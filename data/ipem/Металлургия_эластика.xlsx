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9692" windowHeight="11829" tabRatio="600" firstSheet="0" activeTab="5" autoFilterDateGrouping="1"/>
  </bookViews>
  <sheets>
    <sheet xmlns:r="http://schemas.openxmlformats.org/officeDocument/2006/relationships" name="ЧМ,ЦМ,Руда,Кокс" sheetId="1" state="visible" r:id="rId1"/>
    <sheet xmlns:r="http://schemas.openxmlformats.org/officeDocument/2006/relationships" name="Ставки перевалки" sheetId="2" state="visible" r:id="rId2"/>
    <sheet xmlns:r="http://schemas.openxmlformats.org/officeDocument/2006/relationships" name="Ставки аренды" sheetId="3" state="visible" r:id="rId3"/>
    <sheet xmlns:r="http://schemas.openxmlformats.org/officeDocument/2006/relationships" name="Курсы валют" sheetId="4" state="visible" r:id="rId4"/>
    <sheet xmlns:r="http://schemas.openxmlformats.org/officeDocument/2006/relationships" name="Цены" sheetId="5" state="visible" r:id="rId5"/>
    <sheet xmlns:r="http://schemas.openxmlformats.org/officeDocument/2006/relationships" name="Технический лист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_Order1" hidden="1">255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>История [1]корректировок!$C$10:$I$11</definedName>
    <definedName name="DF_NAVPANEL_13">[2]Отчет!#REF!</definedName>
    <definedName name="DF_NAVPANEL_18">[2]Отчет!#REF!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>'[3]коэф. т. 5'!#REF!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>'[3]коэф. т. 5'!#REF!</definedName>
    <definedName name="исх1">#REF!</definedName>
    <definedName name="Исходная">#REF!</definedName>
    <definedName name="й">#REF!</definedName>
    <definedName name="копия">#REF!</definedName>
    <definedName name="мммм">#REF!</definedName>
    <definedName name="н">'[3]коэф. т. 5'!#REF!</definedName>
    <definedName name="напитки">#REF!</definedName>
    <definedName name="о">'[3]коэф. т. 5'!#REF!</definedName>
    <definedName name="ось">[5]коэфф!$D$4</definedName>
    <definedName name="отправка">#REF!</definedName>
    <definedName name="Повагонная_отправка">#REF!</definedName>
    <definedName name="ппп">#REF!</definedName>
    <definedName name="ппппп">#REF!</definedName>
    <definedName name="р">'[3]коэф. т. 5'!#REF!</definedName>
    <definedName name="рррр">[6]REF!$A$4:$J$1925</definedName>
    <definedName name="схемы">'[7]энерг_1 действ'!$I$3:$I$7</definedName>
    <definedName name="таб.5">#REF!</definedName>
    <definedName name="табл">#REF!</definedName>
    <definedName name="таблица">#REF!</definedName>
    <definedName name="х">'[3]коэф. т. 5'!#REF!</definedName>
    <definedName name="ы">'[3]коэф. т. 5'!#REF!</definedName>
    <definedName name="_xlnm._FilterDatabase" localSheetId="0" hidden="1">'ЧМ,ЦМ,Руда,Кокс'!$A$3:$XFD$156</definedName>
    <definedName name="DF_GRID_2" localSheetId="3">История [1]корректировок!$C$10:$I$11</definedName>
    <definedName name="DF_NAVPANEL_13" localSheetId="3">[2]Отчет!#REF!</definedName>
    <definedName name="DF_NAVPANEL_18" localSheetId="3">[2]Отчет!#REF!</definedName>
    <definedName name="dvrCustomer" localSheetId="3">#REF!</definedName>
    <definedName name="dvrDay" localSheetId="3">#REF!</definedName>
    <definedName name="f" localSheetId="3">'[3]коэф. т. 5'!#REF!</definedName>
    <definedName name="г" localSheetId="3">'[3]коэф. т. 5'!#REF!</definedName>
    <definedName name="н" localSheetId="3">'[3]коэф. т. 5'!#REF!</definedName>
    <definedName name="о" localSheetId="3">'[3]коэф. т. 5'!#REF!</definedName>
    <definedName name="р" localSheetId="3">'[3]коэф. т. 5'!#REF!</definedName>
    <definedName name="схемы" localSheetId="3">'[7]энерг_1 действ'!$I$3:$I$7</definedName>
    <definedName name="х" localSheetId="3">'[3]коэф. т. 5'!#REF!</definedName>
    <definedName name="ы" localSheetId="3">'[3]коэф. т. 5'!#REF!</definedName>
    <definedName name="DF_GRID_2" localSheetId="5">История [1]корректировок!$C$10:$I$11</definedName>
    <definedName name="DF_NAVPANEL_13" localSheetId="5">[2]Отчет!#REF!</definedName>
    <definedName name="DF_NAVPANEL_18" localSheetId="5">[2]Отчет!#REF!</definedName>
    <definedName name="dvrCustomer" localSheetId="5">#REF!</definedName>
    <definedName name="dvrDay" localSheetId="5">#REF!</definedName>
    <definedName name="dvrDocDay" localSheetId="5">#REF!</definedName>
    <definedName name="f" localSheetId="5">'[3]коэф. т. 5'!#REF!</definedName>
    <definedName name="ghjhkhjd" localSheetId="5">#REF!</definedName>
    <definedName name="г" localSheetId="5">'[3]коэф. т. 5'!#REF!</definedName>
    <definedName name="исх1" localSheetId="5">#REF!</definedName>
    <definedName name="Исходная" localSheetId="5">#REF!</definedName>
    <definedName name="й" localSheetId="5">#REF!</definedName>
    <definedName name="н" localSheetId="5">'[3]коэф. т. 5'!#REF!</definedName>
    <definedName name="напитки" localSheetId="5">#REF!</definedName>
    <definedName name="о" localSheetId="5">'[3]коэф. т. 5'!#REF!</definedName>
    <definedName name="отправка" localSheetId="5">#REF!</definedName>
    <definedName name="Повагонная_отправка" localSheetId="5">#REF!</definedName>
    <definedName name="ппп" localSheetId="5">#REF!</definedName>
    <definedName name="р" localSheetId="5">'[3]коэф. т. 5'!#REF!</definedName>
    <definedName name="схемы" localSheetId="5">'[7]энерг_1 действ'!$I$3:$I$7</definedName>
    <definedName name="таб.5" localSheetId="5">#REF!</definedName>
    <definedName name="табл" localSheetId="5">#REF!</definedName>
    <definedName name="таблица" localSheetId="5">#REF!</definedName>
    <definedName name="х" localSheetId="5">'[3]коэф. т. 5'!#REF!</definedName>
    <definedName name="ы" localSheetId="5">'[3]коэф. т. 5'!#REF!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000"/>
    <numFmt numFmtId="165" formatCode="0.0%"/>
    <numFmt numFmtId="166" formatCode="0.0000"/>
    <numFmt numFmtId="167" formatCode="0.000"/>
    <numFmt numFmtId="168" formatCode="0.0"/>
    <numFmt numFmtId="169" formatCode="_-* #,##0.00\ _₽_-;\-* #,##0.00\ _₽_-;_-* &quot;-&quot;??\ _₽_-;_-@_-"/>
    <numFmt numFmtId="170" formatCode="#,##0.0"/>
    <numFmt numFmtId="171" formatCode="#,##0.000"/>
    <numFmt numFmtId="172" formatCode="_-* #,##0\ _F_-;\-* #,##0\ _F_-;_-* &quot;-&quot;\ _F_-;_-@_-"/>
    <numFmt numFmtId="173" formatCode="_-* #,##0.00\ _F_-;\-* #,##0.00\ _F_-;_-* &quot;-&quot;??\ _F_-;_-@_-"/>
    <numFmt numFmtId="174" formatCode="_-* #,##0.00_р_._-;\-* #,##0.00_р_._-;_-* &quot;-&quot;??_р_._-;_-@_-"/>
  </numFmts>
  <fonts count="6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sz val="11"/>
      <scheme val="minor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charset val="204"/>
      <family val="2"/>
      <color indexed="0"/>
      <sz val="7"/>
    </font>
    <font>
      <name val="Arial"/>
      <charset val="204"/>
      <family val="2"/>
      <b val="1"/>
      <color indexed="0"/>
      <sz val="10"/>
    </font>
    <font>
      <name val="Arial"/>
      <charset val="204"/>
      <family val="2"/>
      <color indexed="0"/>
      <sz val="10"/>
    </font>
    <font>
      <name val="Arial"/>
      <charset val="204"/>
      <family val="2"/>
      <i val="1"/>
      <color indexed="0"/>
      <sz val="12"/>
    </font>
    <font>
      <name val="Times New Roman CYR"/>
      <charset val="204"/>
      <sz val="12"/>
    </font>
    <font>
      <name val="Calibri"/>
      <family val="2"/>
      <b val="1"/>
      <color indexed="8"/>
      <sz val="11"/>
    </font>
    <font>
      <name val="Times New Roman CYR"/>
      <charset val="204"/>
      <b val="1"/>
      <sz val="10"/>
    </font>
    <font>
      <name val="MS Sans Serif"/>
      <charset val="204"/>
      <family val="2"/>
      <b val="1"/>
      <color indexed="0"/>
      <sz val="7"/>
    </font>
    <font>
      <name val="Arial"/>
      <family val="2"/>
      <b val="1"/>
      <sz val="8"/>
    </font>
    <font>
      <name val="Arial"/>
      <family val="2"/>
      <color indexed="62"/>
      <sz val="8"/>
    </font>
    <font>
      <name val="Arial"/>
      <family val="2"/>
      <b val="1"/>
      <color indexed="8"/>
      <sz val="8"/>
    </font>
    <font>
      <name val="Arial"/>
      <family val="2"/>
      <sz val="8"/>
    </font>
    <font>
      <name val="Arial"/>
      <family val="2"/>
      <sz val="10"/>
    </font>
    <font>
      <name val="Arial"/>
      <charset val="204"/>
      <family val="2"/>
      <sz val="8"/>
    </font>
    <font>
      <name val="Arial"/>
      <family val="2"/>
      <color indexed="8"/>
      <sz val="8"/>
    </font>
    <font>
      <name val="Arial"/>
      <family val="2"/>
      <sz val="19"/>
    </font>
    <font>
      <name val="Arial"/>
      <family val="2"/>
      <color indexed="14"/>
      <sz val="8"/>
    </font>
    <font>
      <name val="Cambria"/>
      <family val="2"/>
      <b val="1"/>
      <color indexed="62"/>
      <sz val="18"/>
    </font>
    <font>
      <name val="Times New Roman CYR"/>
      <charset val="204"/>
      <b val="1"/>
      <sz val="12"/>
    </font>
    <font>
      <name val="Calibri"/>
      <family val="2"/>
      <color indexed="48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17"/>
      <sz val="11"/>
    </font>
    <font>
      <name val="Arial Cyr"/>
      <charset val="204"/>
      <color indexed="12"/>
      <sz val="10"/>
      <u val="single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9"/>
      <sz val="11"/>
    </font>
    <font>
      <name val="Calibri"/>
      <family val="2"/>
      <color indexed="17"/>
      <sz val="11"/>
    </font>
    <font>
      <name val="Times New Roman"/>
      <charset val="204"/>
      <family val="1"/>
      <sz val="10"/>
    </font>
    <font>
      <name val="Arial Cyr"/>
      <charset val="204"/>
      <sz val="12"/>
    </font>
    <font>
      <name val="Times New Roman"/>
      <charset val="204"/>
      <family val="2"/>
      <color theme="1"/>
      <sz val="14"/>
    </font>
    <font>
      <name val="MS Sans Serif"/>
      <charset val="204"/>
      <family val="2"/>
      <sz val="10"/>
    </font>
    <font>
      <name val="Arial"/>
      <charset val="204"/>
      <family val="2"/>
      <sz val="10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Times New Roman Cyr"/>
      <charset val="204"/>
      <sz val="10"/>
    </font>
    <font>
      <name val="Arial"/>
      <charset val="204"/>
      <family val="2"/>
      <color indexed="8"/>
      <sz val="10"/>
    </font>
    <font>
      <name val="Arial"/>
      <family val="2"/>
      <color indexed="8"/>
      <sz val="10"/>
    </font>
    <font>
      <name val="Calibri"/>
      <family val="2"/>
      <color indexed="37"/>
      <sz val="11"/>
    </font>
    <font>
      <name val="Helv"/>
      <charset val="204"/>
      <sz val="10"/>
    </font>
    <font>
      <name val="Calibri"/>
      <family val="2"/>
      <color indexed="14"/>
      <sz val="11"/>
    </font>
    <font>
      <name val="Helvetica-Narrow"/>
      <family val="2"/>
      <sz val="8"/>
    </font>
    <font>
      <name val="Arial"/>
      <charset val="204"/>
      <family val="2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b val="1"/>
      <color theme="1"/>
      <sz val="22"/>
      <scheme val="minor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204"/>
      <family val="1"/>
      <color theme="1"/>
      <sz val="11"/>
    </font>
    <font>
      <name val="Calibri"/>
      <charset val="204"/>
      <family val="2"/>
      <color theme="10"/>
      <sz val="11"/>
      <u val="single"/>
      <scheme val="minor"/>
    </font>
    <font>
      <name val="Arial"/>
      <charset val="204"/>
      <family val="2"/>
      <color theme="1"/>
      <sz val="10"/>
    </font>
    <font>
      <name val="Calibri"/>
      <charset val="204"/>
      <family val="2"/>
      <color theme="10"/>
      <sz val="14.3"/>
      <u val="single"/>
    </font>
    <font>
      <name val="Times New Roman"/>
      <charset val="204"/>
      <family val="1"/>
      <color theme="1"/>
      <sz val="12"/>
    </font>
    <font>
      <name val="Calibri"/>
      <charset val="204"/>
      <family val="2"/>
      <color theme="1"/>
      <sz val="14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color theme="4" tint="0.7999816888943144"/>
      <sz val="16"/>
      <scheme val="minor"/>
    </font>
    <font>
      <name val="Calibri"/>
      <charset val="204"/>
      <family val="2"/>
      <sz val="16"/>
      <scheme val="minor"/>
    </font>
    <font>
      <name val="Times New Roman"/>
      <charset val="204"/>
      <family val="1"/>
      <sz val="12"/>
    </font>
    <font>
      <name val="Tahoma"/>
      <charset val="204"/>
      <family val="2"/>
      <color rgb="FF000000"/>
      <sz val="8"/>
    </font>
  </fonts>
  <fills count="71">
    <fill>
      <patternFill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09">
    <xf numFmtId="0" fontId="1" fillId="0" borderId="0"/>
    <xf numFmtId="169" fontId="1" fillId="0" borderId="0"/>
    <xf numFmtId="0" fontId="4" fillId="2" borderId="0"/>
    <xf numFmtId="0" fontId="4" fillId="3" borderId="0"/>
    <xf numFmtId="0" fontId="5" fillId="4" borderId="0"/>
    <xf numFmtId="0" fontId="4" fillId="5" borderId="0"/>
    <xf numFmtId="0" fontId="4" fillId="6" borderId="0"/>
    <xf numFmtId="0" fontId="5" fillId="7" borderId="0"/>
    <xf numFmtId="0" fontId="4" fillId="8" borderId="0"/>
    <xf numFmtId="0" fontId="4" fillId="9" borderId="0"/>
    <xf numFmtId="0" fontId="5" fillId="10" borderId="0"/>
    <xf numFmtId="0" fontId="4" fillId="5" borderId="0"/>
    <xf numFmtId="0" fontId="4" fillId="11" borderId="0"/>
    <xf numFmtId="0" fontId="5" fillId="6" borderId="0"/>
    <xf numFmtId="0" fontId="4" fillId="12" borderId="0"/>
    <xf numFmtId="0" fontId="4" fillId="13" borderId="0"/>
    <xf numFmtId="0" fontId="5" fillId="4" borderId="0"/>
    <xf numFmtId="0" fontId="4" fillId="14" borderId="0"/>
    <xf numFmtId="0" fontId="4" fillId="15" borderId="0"/>
    <xf numFmtId="0" fontId="5" fillId="16" borderId="0"/>
    <xf numFmtId="49" fontId="6" fillId="17" borderId="1" applyAlignment="1" applyProtection="1">
      <alignment horizontal="left" vertical="top" wrapText="1"/>
      <protection locked="0" hidden="0"/>
    </xf>
    <xf numFmtId="49" fontId="7" fillId="17" borderId="1" applyAlignment="1" applyProtection="1">
      <alignment horizontal="center" vertical="top" wrapText="1"/>
      <protection locked="0" hidden="0"/>
    </xf>
    <xf numFmtId="49" fontId="8" fillId="17" borderId="0" applyAlignment="1" applyProtection="1">
      <alignment horizontal="right" vertical="top" wrapText="1"/>
      <protection locked="0" hidden="0"/>
    </xf>
    <xf numFmtId="49" fontId="8" fillId="17" borderId="0" applyAlignment="1" applyProtection="1">
      <alignment horizontal="center" vertical="top" wrapText="1"/>
      <protection locked="0" hidden="0"/>
    </xf>
    <xf numFmtId="49" fontId="9" fillId="17" borderId="0" applyAlignment="1" applyProtection="1">
      <alignment horizontal="left" vertical="top" wrapText="1"/>
      <protection locked="0" hidden="0"/>
    </xf>
    <xf numFmtId="0" fontId="10" fillId="0" borderId="2" applyAlignment="1" applyProtection="1">
      <alignment horizontal="left" vertical="top"/>
      <protection locked="0" hidden="0"/>
    </xf>
    <xf numFmtId="0" fontId="11" fillId="18" borderId="0"/>
    <xf numFmtId="0" fontId="11" fillId="19" borderId="0"/>
    <xf numFmtId="0" fontId="11" fillId="20" borderId="0"/>
    <xf numFmtId="0" fontId="12" fillId="0" borderId="2" applyAlignment="1" applyProtection="1">
      <alignment horizontal="center" vertical="top"/>
      <protection locked="0" hidden="0"/>
    </xf>
    <xf numFmtId="49" fontId="13" fillId="17" borderId="1" applyAlignment="1" applyProtection="1">
      <alignment horizontal="center" vertical="top" wrapText="1"/>
      <protection locked="0" hidden="0"/>
    </xf>
    <xf numFmtId="4" fontId="14" fillId="21" borderId="3" applyAlignment="1">
      <alignment vertical="center"/>
    </xf>
    <xf numFmtId="4" fontId="14" fillId="21" borderId="3" applyAlignment="1">
      <alignment vertical="center"/>
    </xf>
    <xf numFmtId="4" fontId="14" fillId="21" borderId="3" applyAlignment="1">
      <alignment vertical="center"/>
    </xf>
    <xf numFmtId="4" fontId="14" fillId="21" borderId="3" applyAlignment="1">
      <alignment vertical="center"/>
    </xf>
    <xf numFmtId="4" fontId="15" fillId="22" borderId="3" applyAlignment="1">
      <alignment vertical="center"/>
    </xf>
    <xf numFmtId="4" fontId="15" fillId="22" borderId="3" applyAlignment="1">
      <alignment vertical="center"/>
    </xf>
    <xf numFmtId="4" fontId="15" fillId="22" borderId="3" applyAlignment="1">
      <alignment vertical="center"/>
    </xf>
    <xf numFmtId="4" fontId="15" fillId="22" borderId="3" applyAlignment="1">
      <alignment vertical="center"/>
    </xf>
    <xf numFmtId="4" fontId="14" fillId="21" borderId="3" applyAlignment="1">
      <alignment horizontal="left" vertical="center" indent="1"/>
    </xf>
    <xf numFmtId="4" fontId="14" fillId="21" borderId="3" applyAlignment="1">
      <alignment horizontal="left" vertical="center" indent="1"/>
    </xf>
    <xf numFmtId="4" fontId="14" fillId="21" borderId="3" applyAlignment="1">
      <alignment horizontal="left" vertical="center" indent="1"/>
    </xf>
    <xf numFmtId="4" fontId="14" fillId="21" borderId="3" applyAlignment="1">
      <alignment horizontal="left" vertical="center" indent="1"/>
    </xf>
    <xf numFmtId="0" fontId="16" fillId="23" borderId="4" applyAlignment="1">
      <alignment horizontal="left" vertical="top" indent="1"/>
    </xf>
    <xf numFmtId="0" fontId="16" fillId="23" borderId="4" applyAlignment="1">
      <alignment horizontal="left" vertical="top" indent="1"/>
    </xf>
    <xf numFmtId="0" fontId="16" fillId="23" borderId="4" applyAlignment="1">
      <alignment horizontal="left" vertical="top" indent="1"/>
    </xf>
    <xf numFmtId="0" fontId="16" fillId="23" borderId="4" applyAlignment="1">
      <alignment horizontal="left" vertical="top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4" borderId="3" applyAlignment="1">
      <alignment horizontal="left" vertical="center" indent="1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5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6" borderId="3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7" borderId="5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8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29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0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1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2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3" borderId="3" applyAlignment="1">
      <alignment horizontal="right" vertical="center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7" fillId="34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8" fillId="35" borderId="5" applyAlignment="1">
      <alignment horizontal="left" vertical="center" indent="1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6" borderId="3" applyAlignment="1">
      <alignment horizontal="right" vertical="center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7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4" fontId="17" fillId="36" borderId="5" applyAlignment="1">
      <alignment horizontal="left" vertical="center" indent="1"/>
    </xf>
    <xf numFmtId="0" fontId="14" fillId="38" borderId="3" applyAlignment="1">
      <alignment horizontal="left" vertical="center" indent="1"/>
    </xf>
    <xf numFmtId="0" fontId="17" fillId="39" borderId="3" applyAlignment="1">
      <alignment horizontal="left" vertical="center" indent="1"/>
    </xf>
    <xf numFmtId="0" fontId="17" fillId="39" borderId="3" applyAlignment="1">
      <alignment horizontal="left" vertical="center" indent="1"/>
    </xf>
    <xf numFmtId="0" fontId="17" fillId="39" borderId="3" applyAlignment="1">
      <alignment horizontal="left" vertical="center" indent="1"/>
    </xf>
    <xf numFmtId="0" fontId="17" fillId="39" borderId="3" applyAlignment="1">
      <alignment horizontal="left" vertical="center" indent="1"/>
    </xf>
    <xf numFmtId="0" fontId="14" fillId="38" borderId="3" applyAlignment="1">
      <alignment horizontal="left" vertical="center" indent="1"/>
    </xf>
    <xf numFmtId="0" fontId="14" fillId="38" borderId="3" applyAlignment="1">
      <alignment horizontal="left" vertical="center" indent="1"/>
    </xf>
    <xf numFmtId="0" fontId="14" fillId="38" borderId="3" applyAlignment="1">
      <alignment horizontal="left" vertical="center" indent="1"/>
    </xf>
    <xf numFmtId="0" fontId="17" fillId="35" borderId="4" applyAlignment="1">
      <alignment horizontal="left" vertical="top" indent="1"/>
    </xf>
    <xf numFmtId="0" fontId="19" fillId="35" borderId="4" applyAlignment="1">
      <alignment horizontal="left" vertical="top" indent="1"/>
    </xf>
    <xf numFmtId="0" fontId="19" fillId="35" borderId="4" applyAlignment="1">
      <alignment horizontal="left" vertical="top" indent="1"/>
    </xf>
    <xf numFmtId="0" fontId="19" fillId="35" borderId="4" applyAlignment="1">
      <alignment horizontal="left" vertical="top" indent="1"/>
    </xf>
    <xf numFmtId="0" fontId="19" fillId="35" borderId="4" applyAlignment="1">
      <alignment horizontal="left" vertical="top" indent="1"/>
    </xf>
    <xf numFmtId="0" fontId="19" fillId="35" borderId="4" applyAlignment="1">
      <alignment horizontal="left" vertical="top" indent="1"/>
    </xf>
    <xf numFmtId="0" fontId="17" fillId="35" borderId="4" applyAlignment="1">
      <alignment horizontal="left" vertical="top" indent="1"/>
    </xf>
    <xf numFmtId="0" fontId="17" fillId="35" borderId="4" applyAlignment="1">
      <alignment horizontal="left" vertical="top" indent="1"/>
    </xf>
    <xf numFmtId="0" fontId="17" fillId="35" borderId="4" applyAlignment="1">
      <alignment horizontal="left" vertical="top" indent="1"/>
    </xf>
    <xf numFmtId="0" fontId="14" fillId="40" borderId="3" applyAlignment="1">
      <alignment horizontal="left" vertical="center" indent="1"/>
    </xf>
    <xf numFmtId="0" fontId="17" fillId="41" borderId="3" applyAlignment="1">
      <alignment horizontal="left" vertical="center" indent="1"/>
    </xf>
    <xf numFmtId="0" fontId="17" fillId="41" borderId="3" applyAlignment="1">
      <alignment horizontal="left" vertical="center" indent="1"/>
    </xf>
    <xf numFmtId="0" fontId="17" fillId="41" borderId="3" applyAlignment="1">
      <alignment horizontal="left" vertical="center" indent="1"/>
    </xf>
    <xf numFmtId="0" fontId="17" fillId="41" borderId="3" applyAlignment="1">
      <alignment horizontal="left" vertical="center" indent="1"/>
    </xf>
    <xf numFmtId="0" fontId="14" fillId="40" borderId="3" applyAlignment="1">
      <alignment horizontal="left" vertical="center" indent="1"/>
    </xf>
    <xf numFmtId="0" fontId="14" fillId="40" borderId="3" applyAlignment="1">
      <alignment horizontal="left" vertical="center" indent="1"/>
    </xf>
    <xf numFmtId="0" fontId="14" fillId="40" borderId="3" applyAlignment="1">
      <alignment horizontal="left" vertical="center" indent="1"/>
    </xf>
    <xf numFmtId="0" fontId="17" fillId="36" borderId="4" applyAlignment="1">
      <alignment horizontal="left" vertical="top" indent="1"/>
    </xf>
    <xf numFmtId="0" fontId="19" fillId="36" borderId="4" applyAlignment="1">
      <alignment horizontal="left" vertical="top" indent="1"/>
    </xf>
    <xf numFmtId="0" fontId="19" fillId="36" borderId="4" applyAlignment="1">
      <alignment horizontal="left" vertical="top" indent="1"/>
    </xf>
    <xf numFmtId="0" fontId="19" fillId="36" borderId="4" applyAlignment="1">
      <alignment horizontal="left" vertical="top" indent="1"/>
    </xf>
    <xf numFmtId="0" fontId="19" fillId="36" borderId="4" applyAlignment="1">
      <alignment horizontal="left" vertical="top" indent="1"/>
    </xf>
    <xf numFmtId="0" fontId="19" fillId="36" borderId="4" applyAlignment="1">
      <alignment horizontal="left" vertical="top" indent="1"/>
    </xf>
    <xf numFmtId="0" fontId="17" fillId="36" borderId="4" applyAlignment="1">
      <alignment horizontal="left" vertical="top" indent="1"/>
    </xf>
    <xf numFmtId="0" fontId="17" fillId="36" borderId="4" applyAlignment="1">
      <alignment horizontal="left" vertical="top" indent="1"/>
    </xf>
    <xf numFmtId="0" fontId="17" fillId="36" borderId="4" applyAlignment="1">
      <alignment horizontal="left" vertical="top" indent="1"/>
    </xf>
    <xf numFmtId="0" fontId="14" fillId="42" borderId="3" applyAlignment="1">
      <alignment horizontal="left" vertical="center" indent="1"/>
    </xf>
    <xf numFmtId="0" fontId="17" fillId="43" borderId="3" applyAlignment="1">
      <alignment horizontal="left" vertical="center" indent="1"/>
    </xf>
    <xf numFmtId="0" fontId="17" fillId="43" borderId="3" applyAlignment="1">
      <alignment horizontal="left" vertical="center" indent="1"/>
    </xf>
    <xf numFmtId="0" fontId="17" fillId="43" borderId="3" applyAlignment="1">
      <alignment horizontal="left" vertical="center" indent="1"/>
    </xf>
    <xf numFmtId="0" fontId="17" fillId="43" borderId="3" applyAlignment="1">
      <alignment horizontal="left" vertical="center" indent="1"/>
    </xf>
    <xf numFmtId="0" fontId="14" fillId="42" borderId="3" applyAlignment="1">
      <alignment horizontal="left" vertical="center" indent="1"/>
    </xf>
    <xf numFmtId="0" fontId="14" fillId="42" borderId="3" applyAlignment="1">
      <alignment horizontal="left" vertical="center" indent="1"/>
    </xf>
    <xf numFmtId="0" fontId="14" fillId="42" borderId="3" applyAlignment="1">
      <alignment horizontal="left" vertical="center" indent="1"/>
    </xf>
    <xf numFmtId="0" fontId="17" fillId="43" borderId="4" applyAlignment="1">
      <alignment horizontal="left" vertical="top" indent="1"/>
    </xf>
    <xf numFmtId="0" fontId="19" fillId="43" borderId="4" applyAlignment="1">
      <alignment horizontal="left" vertical="top" indent="1"/>
    </xf>
    <xf numFmtId="0" fontId="19" fillId="43" borderId="4" applyAlignment="1">
      <alignment horizontal="left" vertical="top" indent="1"/>
    </xf>
    <xf numFmtId="0" fontId="19" fillId="43" borderId="4" applyAlignment="1">
      <alignment horizontal="left" vertical="top" indent="1"/>
    </xf>
    <xf numFmtId="0" fontId="19" fillId="43" borderId="4" applyAlignment="1">
      <alignment horizontal="left" vertical="top" indent="1"/>
    </xf>
    <xf numFmtId="0" fontId="19" fillId="43" borderId="4" applyAlignment="1">
      <alignment horizontal="left" vertical="top" indent="1"/>
    </xf>
    <xf numFmtId="0" fontId="17" fillId="43" borderId="4" applyAlignment="1">
      <alignment horizontal="left" vertical="top" indent="1"/>
    </xf>
    <xf numFmtId="0" fontId="17" fillId="43" borderId="4" applyAlignment="1">
      <alignment horizontal="left" vertical="top" indent="1"/>
    </xf>
    <xf numFmtId="0" fontId="17" fillId="43" borderId="4" applyAlignment="1">
      <alignment horizontal="left" vertical="top" indent="1"/>
    </xf>
    <xf numFmtId="0" fontId="17" fillId="0" borderId="3" applyAlignment="1">
      <alignment horizontal="left" vertical="center" indent="1"/>
    </xf>
    <xf numFmtId="0" fontId="17" fillId="37" borderId="3" applyAlignment="1">
      <alignment horizontal="left" vertical="center" indent="1"/>
    </xf>
    <xf numFmtId="0" fontId="17" fillId="37" borderId="3" applyAlignment="1">
      <alignment horizontal="left" vertical="center" indent="1"/>
    </xf>
    <xf numFmtId="0" fontId="17" fillId="37" borderId="3" applyAlignment="1">
      <alignment horizontal="left" vertical="center" indent="1"/>
    </xf>
    <xf numFmtId="0" fontId="17" fillId="37" borderId="3" applyAlignment="1">
      <alignment horizontal="left" vertical="center" indent="1"/>
    </xf>
    <xf numFmtId="0" fontId="17" fillId="0" borderId="3" applyAlignment="1">
      <alignment horizontal="left" vertical="center" indent="1"/>
    </xf>
    <xf numFmtId="0" fontId="17" fillId="0" borderId="3" applyAlignment="1">
      <alignment horizontal="left" vertical="center" indent="1"/>
    </xf>
    <xf numFmtId="0" fontId="17" fillId="0" borderId="3" applyAlignment="1">
      <alignment horizontal="left" vertical="center" indent="1"/>
    </xf>
    <xf numFmtId="0" fontId="17" fillId="37" borderId="4" applyAlignment="1">
      <alignment horizontal="left" vertical="top" indent="1"/>
    </xf>
    <xf numFmtId="0" fontId="19" fillId="37" borderId="4" applyAlignment="1">
      <alignment horizontal="left" vertical="top" indent="1"/>
    </xf>
    <xf numFmtId="0" fontId="19" fillId="37" borderId="4" applyAlignment="1">
      <alignment horizontal="left" vertical="top" indent="1"/>
    </xf>
    <xf numFmtId="0" fontId="19" fillId="37" borderId="4" applyAlignment="1">
      <alignment horizontal="left" vertical="top" indent="1"/>
    </xf>
    <xf numFmtId="0" fontId="19" fillId="37" borderId="4" applyAlignment="1">
      <alignment horizontal="left" vertical="top" indent="1"/>
    </xf>
    <xf numFmtId="0" fontId="19" fillId="37" borderId="4" applyAlignment="1">
      <alignment horizontal="left" vertical="top" indent="1"/>
    </xf>
    <xf numFmtId="0" fontId="17" fillId="37" borderId="4" applyAlignment="1">
      <alignment horizontal="left" vertical="top" indent="1"/>
    </xf>
    <xf numFmtId="0" fontId="17" fillId="37" borderId="4" applyAlignment="1">
      <alignment horizontal="left" vertical="top" indent="1"/>
    </xf>
    <xf numFmtId="0" fontId="17" fillId="37" borderId="4" applyAlignment="1">
      <alignment horizontal="left" vertical="top" indent="1"/>
    </xf>
    <xf numFmtId="0" fontId="17" fillId="44" borderId="6" applyProtection="1">
      <protection locked="0" hidden="0"/>
    </xf>
    <xf numFmtId="0" fontId="19" fillId="44" borderId="6" applyProtection="1">
      <protection locked="0" hidden="0"/>
    </xf>
    <xf numFmtId="0" fontId="19" fillId="44" borderId="6" applyProtection="1">
      <protection locked="0" hidden="0"/>
    </xf>
    <xf numFmtId="0" fontId="14" fillId="35" borderId="7"/>
    <xf numFmtId="0" fontId="14" fillId="35" borderId="7"/>
    <xf numFmtId="0" fontId="14" fillId="35" borderId="7"/>
    <xf numFmtId="0" fontId="14" fillId="35" borderId="7"/>
    <xf numFmtId="4" fontId="20" fillId="45" borderId="4" applyAlignment="1">
      <alignment vertical="center"/>
    </xf>
    <xf numFmtId="4" fontId="20" fillId="45" borderId="4" applyAlignment="1">
      <alignment vertical="center"/>
    </xf>
    <xf numFmtId="4" fontId="20" fillId="45" borderId="4" applyAlignment="1">
      <alignment vertical="center"/>
    </xf>
    <xf numFmtId="4" fontId="20" fillId="45" borderId="4" applyAlignment="1">
      <alignment vertical="center"/>
    </xf>
    <xf numFmtId="4" fontId="15" fillId="46" borderId="1" applyAlignment="1">
      <alignment vertical="center"/>
    </xf>
    <xf numFmtId="4" fontId="15" fillId="46" borderId="1" applyAlignment="1">
      <alignment vertical="center"/>
    </xf>
    <xf numFmtId="4" fontId="15" fillId="46" borderId="1" applyAlignment="1">
      <alignment vertical="center"/>
    </xf>
    <xf numFmtId="4" fontId="15" fillId="46" borderId="1" applyAlignment="1">
      <alignment vertical="center"/>
    </xf>
    <xf numFmtId="4" fontId="20" fillId="39" borderId="4" applyAlignment="1">
      <alignment horizontal="left" vertical="center" indent="1"/>
    </xf>
    <xf numFmtId="4" fontId="20" fillId="39" borderId="4" applyAlignment="1">
      <alignment horizontal="left" vertical="center" indent="1"/>
    </xf>
    <xf numFmtId="4" fontId="20" fillId="39" borderId="4" applyAlignment="1">
      <alignment horizontal="left" vertical="center" indent="1"/>
    </xf>
    <xf numFmtId="4" fontId="20" fillId="39" borderId="4" applyAlignment="1">
      <alignment horizontal="left" vertical="center" indent="1"/>
    </xf>
    <xf numFmtId="0" fontId="20" fillId="45" borderId="4" applyAlignment="1">
      <alignment horizontal="left" vertical="top" indent="1"/>
    </xf>
    <xf numFmtId="0" fontId="20" fillId="45" borderId="4" applyAlignment="1">
      <alignment horizontal="left" vertical="top" indent="1"/>
    </xf>
    <xf numFmtId="0" fontId="20" fillId="45" borderId="4" applyAlignment="1">
      <alignment horizontal="left" vertical="top" indent="1"/>
    </xf>
    <xf numFmtId="0" fontId="20" fillId="45" borderId="4" applyAlignment="1">
      <alignment horizontal="left" vertical="top" indent="1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7" fillId="0" borderId="3" applyAlignment="1">
      <alignment horizontal="right" vertical="center"/>
    </xf>
    <xf numFmtId="4" fontId="15" fillId="47" borderId="3" applyAlignment="1">
      <alignment horizontal="right" vertical="center"/>
    </xf>
    <xf numFmtId="4" fontId="15" fillId="47" borderId="3" applyAlignment="1">
      <alignment horizontal="right" vertical="center"/>
    </xf>
    <xf numFmtId="4" fontId="15" fillId="47" borderId="3" applyAlignment="1">
      <alignment horizontal="right" vertical="center"/>
    </xf>
    <xf numFmtId="4" fontId="15" fillId="47" borderId="3" applyAlignment="1">
      <alignment horizontal="right" vertical="center"/>
    </xf>
    <xf numFmtId="4" fontId="17" fillId="48" borderId="3" applyAlignment="1">
      <alignment horizontal="left" vertical="center" indent="1"/>
    </xf>
    <xf numFmtId="4" fontId="17" fillId="49" borderId="3" applyAlignment="1">
      <alignment horizontal="left" vertical="center" indent="1"/>
    </xf>
    <xf numFmtId="4" fontId="17" fillId="49" borderId="3" applyAlignment="1">
      <alignment horizontal="left" vertical="center" indent="1"/>
    </xf>
    <xf numFmtId="4" fontId="17" fillId="49" borderId="3" applyAlignment="1">
      <alignment horizontal="left" vertical="center" indent="1"/>
    </xf>
    <xf numFmtId="4" fontId="17" fillId="49" borderId="3" applyAlignment="1">
      <alignment horizontal="left" vertical="center" indent="1"/>
    </xf>
    <xf numFmtId="4" fontId="17" fillId="48" borderId="3" applyAlignment="1">
      <alignment horizontal="left" vertical="center" indent="1"/>
    </xf>
    <xf numFmtId="4" fontId="17" fillId="48" borderId="3" applyAlignment="1">
      <alignment horizontal="left" vertical="center" indent="1"/>
    </xf>
    <xf numFmtId="4" fontId="17" fillId="48" borderId="3" applyAlignment="1">
      <alignment horizontal="left" vertical="center" indent="1"/>
    </xf>
    <xf numFmtId="4" fontId="17" fillId="48" borderId="3" applyAlignment="1">
      <alignment horizontal="left" vertical="center" indent="1"/>
    </xf>
    <xf numFmtId="0" fontId="20" fillId="36" borderId="4" applyAlignment="1">
      <alignment horizontal="left" vertical="top" indent="1"/>
    </xf>
    <xf numFmtId="0" fontId="20" fillId="36" borderId="4" applyAlignment="1">
      <alignment horizontal="left" vertical="top" indent="1"/>
    </xf>
    <xf numFmtId="0" fontId="20" fillId="36" borderId="4" applyAlignment="1">
      <alignment horizontal="left" vertical="top" indent="1"/>
    </xf>
    <xf numFmtId="0" fontId="20" fillId="36" borderId="4" applyAlignment="1">
      <alignment horizontal="left" vertical="top" indent="1"/>
    </xf>
    <xf numFmtId="4" fontId="21" fillId="50" borderId="5" applyAlignment="1">
      <alignment horizontal="left" vertical="center" indent="1"/>
    </xf>
    <xf numFmtId="4" fontId="21" fillId="50" borderId="5" applyAlignment="1">
      <alignment horizontal="left" vertical="center" indent="1"/>
    </xf>
    <xf numFmtId="4" fontId="21" fillId="50" borderId="5" applyAlignment="1">
      <alignment horizontal="left" vertical="center" indent="1"/>
    </xf>
    <xf numFmtId="4" fontId="21" fillId="50" borderId="5" applyAlignment="1">
      <alignment horizontal="left" vertical="center" indent="1"/>
    </xf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4" fontId="22" fillId="44" borderId="3" applyAlignment="1">
      <alignment horizontal="right" vertical="center"/>
    </xf>
    <xf numFmtId="4" fontId="22" fillId="44" borderId="3" applyAlignment="1">
      <alignment horizontal="right" vertical="center"/>
    </xf>
    <xf numFmtId="4" fontId="22" fillId="44" borderId="3" applyAlignment="1">
      <alignment horizontal="right" vertical="center"/>
    </xf>
    <xf numFmtId="4" fontId="22" fillId="44" borderId="3" applyAlignment="1">
      <alignment horizontal="right" vertical="center"/>
    </xf>
    <xf numFmtId="0" fontId="23" fillId="0" borderId="0"/>
    <xf numFmtId="0" fontId="24" fillId="0" borderId="8" applyAlignment="1" applyProtection="1">
      <alignment horizontal="right" vertical="top"/>
      <protection locked="0" hidden="0"/>
    </xf>
    <xf numFmtId="0" fontId="5" fillId="52" borderId="0"/>
    <xf numFmtId="0" fontId="5" fillId="53" borderId="0"/>
    <xf numFmtId="0" fontId="5" fillId="54" borderId="0"/>
    <xf numFmtId="0" fontId="5" fillId="55" borderId="0"/>
    <xf numFmtId="0" fontId="5" fillId="4" borderId="0"/>
    <xf numFmtId="0" fontId="5" fillId="56" borderId="0"/>
    <xf numFmtId="0" fontId="25" fillId="15" borderId="3"/>
    <xf numFmtId="0" fontId="25" fillId="15" borderId="3"/>
    <xf numFmtId="0" fontId="25" fillId="15" borderId="3"/>
    <xf numFmtId="0" fontId="25" fillId="15" borderId="3"/>
    <xf numFmtId="0" fontId="26" fillId="57" borderId="9"/>
    <xf numFmtId="0" fontId="26" fillId="57" borderId="9"/>
    <xf numFmtId="0" fontId="26" fillId="57" borderId="9"/>
    <xf numFmtId="0" fontId="26" fillId="57" borderId="9"/>
    <xf numFmtId="0" fontId="27" fillId="57" borderId="3"/>
    <xf numFmtId="0" fontId="27" fillId="57" borderId="3"/>
    <xf numFmtId="0" fontId="27" fillId="57" borderId="3"/>
    <xf numFmtId="0" fontId="27" fillId="57" borderId="3"/>
    <xf numFmtId="0" fontId="28" fillId="0" borderId="0" applyAlignment="1" applyProtection="1">
      <alignment vertical="top"/>
      <protection locked="0" hidden="0"/>
    </xf>
    <xf numFmtId="0" fontId="29" fillId="0" borderId="10"/>
    <xf numFmtId="0" fontId="30" fillId="0" borderId="11"/>
    <xf numFmtId="0" fontId="31" fillId="0" borderId="12"/>
    <xf numFmtId="0" fontId="31" fillId="0" borderId="0"/>
    <xf numFmtId="0" fontId="11" fillId="0" borderId="13"/>
    <xf numFmtId="0" fontId="11" fillId="0" borderId="13"/>
    <xf numFmtId="0" fontId="11" fillId="0" borderId="13"/>
    <xf numFmtId="0" fontId="11" fillId="0" borderId="13"/>
    <xf numFmtId="0" fontId="32" fillId="55" borderId="14"/>
    <xf numFmtId="0" fontId="33" fillId="15" borderId="0"/>
    <xf numFmtId="0" fontId="33" fillId="1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5" fillId="0" borderId="0"/>
    <xf numFmtId="0" fontId="36" fillId="0" borderId="0"/>
    <xf numFmtId="0" fontId="10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8" borderId="0"/>
    <xf numFmtId="0" fontId="19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 applyAlignment="1" applyProtection="1">
      <alignment vertical="top"/>
      <protection locked="0" hidden="0"/>
    </xf>
    <xf numFmtId="0" fontId="39" fillId="0" borderId="0"/>
    <xf numFmtId="0" fontId="39" fillId="0" borderId="0"/>
    <xf numFmtId="0" fontId="38" fillId="0" borderId="0" applyAlignment="1" applyProtection="1">
      <alignment vertical="top"/>
      <protection locked="0" hidden="0"/>
    </xf>
    <xf numFmtId="0" fontId="39" fillId="0" borderId="0"/>
    <xf numFmtId="0" fontId="39" fillId="0" borderId="0"/>
    <xf numFmtId="0" fontId="19" fillId="58" borderId="0"/>
    <xf numFmtId="0" fontId="35" fillId="0" borderId="0"/>
    <xf numFmtId="0" fontId="40" fillId="0" borderId="0"/>
    <xf numFmtId="0" fontId="19" fillId="59" borderId="0"/>
    <xf numFmtId="0" fontId="19" fillId="59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9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41" fillId="0" borderId="0"/>
    <xf numFmtId="0" fontId="1" fillId="0" borderId="0"/>
    <xf numFmtId="0" fontId="1" fillId="0" borderId="0"/>
    <xf numFmtId="0" fontId="35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" fillId="0" borderId="0"/>
    <xf numFmtId="0" fontId="42" fillId="0" borderId="0"/>
    <xf numFmtId="0" fontId="1" fillId="0" borderId="0"/>
    <xf numFmtId="0" fontId="19" fillId="59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 applyAlignment="1">
      <alignment vertical="top"/>
    </xf>
    <xf numFmtId="0" fontId="43" fillId="0" borderId="0"/>
    <xf numFmtId="0" fontId="38" fillId="0" borderId="0" applyAlignment="1">
      <alignment vertical="top"/>
    </xf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8" fillId="0" borderId="0" applyAlignment="1">
      <alignment vertical="top"/>
    </xf>
    <xf numFmtId="0" fontId="38" fillId="0" borderId="0" applyAlignment="1">
      <alignment vertical="top"/>
    </xf>
    <xf numFmtId="0" fontId="38" fillId="0" borderId="0" applyAlignment="1">
      <alignment vertical="top"/>
    </xf>
    <xf numFmtId="0" fontId="39" fillId="0" borderId="0"/>
    <xf numFmtId="0" fontId="39" fillId="0" borderId="0"/>
    <xf numFmtId="0" fontId="43" fillId="0" borderId="0"/>
    <xf numFmtId="0" fontId="38" fillId="0" borderId="0" applyAlignment="1" applyProtection="1">
      <alignment vertical="top"/>
      <protection locked="0" hidden="0"/>
    </xf>
    <xf numFmtId="0" fontId="44" fillId="14" borderId="0"/>
    <xf numFmtId="0" fontId="19" fillId="14" borderId="3"/>
    <xf numFmtId="0" fontId="19" fillId="14" borderId="3"/>
    <xf numFmtId="0" fontId="19" fillId="14" borderId="3"/>
    <xf numFmtId="0" fontId="19" fillId="14" borderId="3"/>
    <xf numFmtId="0" fontId="19" fillId="14" borderId="3"/>
    <xf numFmtId="0" fontId="17" fillId="14" borderId="3"/>
    <xf numFmtId="0" fontId="17" fillId="14" borderId="3"/>
    <xf numFmtId="0" fontId="17" fillId="14" borderId="3"/>
    <xf numFmtId="0" fontId="17" fillId="14" borderId="3"/>
    <xf numFmtId="9" fontId="19" fillId="0" borderId="0"/>
    <xf numFmtId="9" fontId="19" fillId="0" borderId="0"/>
    <xf numFmtId="9" fontId="1" fillId="0" borderId="0"/>
    <xf numFmtId="9" fontId="19" fillId="0" borderId="0"/>
    <xf numFmtId="9" fontId="19" fillId="0" borderId="0"/>
    <xf numFmtId="9" fontId="19" fillId="0" borderId="0"/>
    <xf numFmtId="9" fontId="40" fillId="0" borderId="0"/>
    <xf numFmtId="9" fontId="19" fillId="0" borderId="0"/>
    <xf numFmtId="9" fontId="19" fillId="0" borderId="0"/>
    <xf numFmtId="9" fontId="1" fillId="0" borderId="0"/>
    <xf numFmtId="9" fontId="19" fillId="0" borderId="0"/>
    <xf numFmtId="9" fontId="19" fillId="0" borderId="0"/>
    <xf numFmtId="0" fontId="33" fillId="0" borderId="15"/>
    <xf numFmtId="0" fontId="45" fillId="0" borderId="0"/>
    <xf numFmtId="0" fontId="46" fillId="0" borderId="0"/>
    <xf numFmtId="172" fontId="47" fillId="0" borderId="0"/>
    <xf numFmtId="173" fontId="47" fillId="0" borderId="0"/>
    <xf numFmtId="174" fontId="39" fillId="0" borderId="0"/>
    <xf numFmtId="174" fontId="39" fillId="0" borderId="0"/>
    <xf numFmtId="174" fontId="40" fillId="0" borderId="0"/>
    <xf numFmtId="174" fontId="40" fillId="0" borderId="0"/>
    <xf numFmtId="174" fontId="40" fillId="0" borderId="0"/>
    <xf numFmtId="174" fontId="40" fillId="0" borderId="0"/>
    <xf numFmtId="174" fontId="1" fillId="0" borderId="0"/>
    <xf numFmtId="174" fontId="48" fillId="0" borderId="0"/>
    <xf numFmtId="174" fontId="43" fillId="0" borderId="0"/>
    <xf numFmtId="43" fontId="19" fillId="0" borderId="0"/>
    <xf numFmtId="43" fontId="1" fillId="0" borderId="0"/>
    <xf numFmtId="0" fontId="4" fillId="9" borderId="0"/>
    <xf numFmtId="0" fontId="4" fillId="9" borderId="0"/>
    <xf numFmtId="49" fontId="6" fillId="17" borderId="16" applyAlignment="1" applyProtection="1">
      <alignment horizontal="left" vertical="top" wrapText="1"/>
      <protection locked="0" hidden="0"/>
    </xf>
    <xf numFmtId="49" fontId="7" fillId="17" borderId="16" applyAlignment="1" applyProtection="1">
      <alignment horizontal="center" vertical="top" wrapText="1"/>
      <protection locked="0" hidden="0"/>
    </xf>
    <xf numFmtId="49" fontId="13" fillId="17" borderId="16" applyAlignment="1" applyProtection="1">
      <alignment horizontal="center" vertical="top" wrapText="1"/>
      <protection locked="0" hidden="0"/>
    </xf>
    <xf numFmtId="4" fontId="15" fillId="46" borderId="16" applyAlignment="1">
      <alignment vertical="center"/>
    </xf>
    <xf numFmtId="4" fontId="15" fillId="46" borderId="16" applyAlignment="1">
      <alignment vertical="center"/>
    </xf>
    <xf numFmtId="4" fontId="15" fillId="46" borderId="16" applyAlignment="1">
      <alignment vertical="center"/>
    </xf>
    <xf numFmtId="4" fontId="15" fillId="46" borderId="16" applyAlignment="1">
      <alignment vertical="center"/>
    </xf>
    <xf numFmtId="0" fontId="17" fillId="51" borderId="16"/>
    <xf numFmtId="0" fontId="17" fillId="51" borderId="16"/>
    <xf numFmtId="0" fontId="17" fillId="51" borderId="16"/>
    <xf numFmtId="0" fontId="17" fillId="51" borderId="16"/>
    <xf numFmtId="0" fontId="17" fillId="51" borderId="16"/>
    <xf numFmtId="0" fontId="17" fillId="51" borderId="16"/>
    <xf numFmtId="0" fontId="17" fillId="51" borderId="16"/>
    <xf numFmtId="0" fontId="17" fillId="51" borderId="16"/>
    <xf numFmtId="43" fontId="19" fillId="0" borderId="0"/>
    <xf numFmtId="43" fontId="1" fillId="0" borderId="0"/>
    <xf numFmtId="9" fontId="1" fillId="0" borderId="0"/>
    <xf numFmtId="0" fontId="55" fillId="0" borderId="0"/>
    <xf numFmtId="9" fontId="55" fillId="0" borderId="0"/>
    <xf numFmtId="0" fontId="55" fillId="0" borderId="0"/>
    <xf numFmtId="169" fontId="55" fillId="0" borderId="0"/>
    <xf numFmtId="0" fontId="57" fillId="0" borderId="0"/>
    <xf numFmtId="0" fontId="58" fillId="0" borderId="0"/>
    <xf numFmtId="43" fontId="1" fillId="0" borderId="0"/>
    <xf numFmtId="0" fontId="55" fillId="0" borderId="0"/>
    <xf numFmtId="0" fontId="40" fillId="0" borderId="0"/>
    <xf numFmtId="174" fontId="1" fillId="0" borderId="0"/>
    <xf numFmtId="43" fontId="1" fillId="0" borderId="0"/>
    <xf numFmtId="9" fontId="1" fillId="0" borderId="0"/>
    <xf numFmtId="174" fontId="1" fillId="0" borderId="0"/>
    <xf numFmtId="0" fontId="59" fillId="0" borderId="0" applyAlignment="1" applyProtection="1">
      <alignment vertical="top"/>
      <protection locked="0" hidden="0"/>
    </xf>
  </cellStyleXfs>
  <cellXfs count="19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48" borderId="16" applyAlignment="1" pivotButton="0" quotePrefix="0" xfId="0">
      <alignment vertical="center"/>
    </xf>
    <xf numFmtId="0" fontId="3" fillId="0" borderId="0" pivotButton="0" quotePrefix="0" xfId="0"/>
    <xf numFmtId="0" fontId="3" fillId="0" borderId="16" applyAlignment="1" pivotButton="0" quotePrefix="0" xfId="0">
      <alignment vertical="center"/>
    </xf>
    <xf numFmtId="0" fontId="3" fillId="0" borderId="0" pivotButton="0" quotePrefix="0" xfId="0"/>
    <xf numFmtId="0" fontId="3" fillId="0" borderId="16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5" fontId="54" fillId="0" borderId="16" applyAlignment="1" pivotButton="0" quotePrefix="0" xfId="0">
      <alignment horizontal="center" vertical="center"/>
    </xf>
    <xf numFmtId="165" fontId="54" fillId="64" borderId="16" applyAlignment="1" pivotButton="0" quotePrefix="0" xfId="0">
      <alignment horizontal="center" vertical="center"/>
    </xf>
    <xf numFmtId="166" fontId="0" fillId="0" borderId="0" pivotButton="0" quotePrefix="0" xfId="0"/>
    <xf numFmtId="0" fontId="55" fillId="0" borderId="0" pivotButton="0" quotePrefix="0" xfId="495"/>
    <xf numFmtId="0" fontId="56" fillId="0" borderId="0" pivotButton="0" quotePrefix="0" xfId="495"/>
    <xf numFmtId="165" fontId="56" fillId="0" borderId="16" applyAlignment="1" pivotButton="0" quotePrefix="0" xfId="496">
      <alignment horizontal="center" vertical="center"/>
    </xf>
    <xf numFmtId="167" fontId="56" fillId="0" borderId="0" pivotButton="0" quotePrefix="0" xfId="495"/>
    <xf numFmtId="167" fontId="55" fillId="0" borderId="0" pivotButton="0" quotePrefix="0" xfId="495"/>
    <xf numFmtId="9" fontId="56" fillId="0" borderId="16" applyAlignment="1" pivotButton="0" quotePrefix="0" xfId="496">
      <alignment horizontal="center" vertical="center"/>
    </xf>
    <xf numFmtId="168" fontId="56" fillId="0" borderId="0" pivotButton="0" quotePrefix="0" xfId="495"/>
    <xf numFmtId="165" fontId="56" fillId="0" borderId="18" applyAlignment="1" pivotButton="0" quotePrefix="0" xfId="496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0" fontId="55" fillId="0" borderId="0" pivotButton="0" quotePrefix="0" xfId="497"/>
    <xf numFmtId="0" fontId="56" fillId="0" borderId="0" pivotButton="0" quotePrefix="0" xfId="497"/>
    <xf numFmtId="165" fontId="56" fillId="0" borderId="16" applyAlignment="1" pivotButton="0" quotePrefix="0" xfId="496">
      <alignment horizontal="center" vertical="center"/>
    </xf>
    <xf numFmtId="10" fontId="56" fillId="0" borderId="0" pivotButton="0" quotePrefix="0" xfId="497"/>
    <xf numFmtId="2" fontId="56" fillId="0" borderId="0" pivotButton="0" quotePrefix="0" xfId="497"/>
    <xf numFmtId="168" fontId="56" fillId="0" borderId="0" pivotButton="0" quotePrefix="0" xfId="497"/>
    <xf numFmtId="0" fontId="55" fillId="65" borderId="0" pivotButton="0" quotePrefix="0" xfId="497"/>
    <xf numFmtId="165" fontId="56" fillId="0" borderId="18" applyAlignment="1" pivotButton="0" quotePrefix="0" xfId="496">
      <alignment horizontal="center" vertical="center"/>
    </xf>
    <xf numFmtId="167" fontId="56" fillId="0" borderId="0" pivotButton="0" quotePrefix="0" xfId="497"/>
    <xf numFmtId="167" fontId="55" fillId="0" borderId="0" pivotButton="0" quotePrefix="0" xfId="497"/>
    <xf numFmtId="2" fontId="55" fillId="0" borderId="0" pivotButton="0" quotePrefix="0" xfId="497"/>
    <xf numFmtId="0" fontId="55" fillId="0" borderId="0" pivotButton="0" quotePrefix="0" xfId="502"/>
    <xf numFmtId="0" fontId="56" fillId="0" borderId="0" pivotButton="0" quotePrefix="0" xfId="502"/>
    <xf numFmtId="165" fontId="56" fillId="0" borderId="16" applyAlignment="1" pivotButton="0" quotePrefix="0" xfId="496">
      <alignment horizontal="center" vertical="center"/>
    </xf>
    <xf numFmtId="10" fontId="56" fillId="0" borderId="0" pivotButton="0" quotePrefix="0" xfId="502"/>
    <xf numFmtId="9" fontId="56" fillId="0" borderId="16" applyAlignment="1" pivotButton="0" quotePrefix="0" xfId="496">
      <alignment horizontal="center" vertical="center"/>
    </xf>
    <xf numFmtId="168" fontId="56" fillId="0" borderId="0" pivotButton="0" quotePrefix="0" xfId="502"/>
    <xf numFmtId="0" fontId="55" fillId="65" borderId="0" pivotButton="0" quotePrefix="0" xfId="502"/>
    <xf numFmtId="165" fontId="56" fillId="0" borderId="18" applyAlignment="1" pivotButton="0" quotePrefix="0" xfId="496">
      <alignment horizontal="center" vertical="center"/>
    </xf>
    <xf numFmtId="167" fontId="56" fillId="0" borderId="0" pivotButton="0" quotePrefix="0" xfId="502"/>
    <xf numFmtId="167" fontId="55" fillId="0" borderId="0" pivotButton="0" quotePrefix="0" xfId="502"/>
    <xf numFmtId="0" fontId="0" fillId="66" borderId="0" pivotButton="0" quotePrefix="0" xfId="0"/>
    <xf numFmtId="14" fontId="0" fillId="66" borderId="0" pivotButton="0" quotePrefix="0" xfId="0"/>
    <xf numFmtId="0" fontId="0" fillId="61" borderId="0" pivotButton="0" quotePrefix="0" xfId="0"/>
    <xf numFmtId="0" fontId="0" fillId="68" borderId="0" pivotButton="0" quotePrefix="0" xfId="0"/>
    <xf numFmtId="0" fontId="59" fillId="0" borderId="0" pivotButton="0" quotePrefix="0" xfId="508"/>
    <xf numFmtId="0" fontId="0" fillId="61" borderId="0" applyAlignment="1" pivotButton="0" quotePrefix="0" xfId="0">
      <alignment horizontal="center"/>
    </xf>
    <xf numFmtId="164" fontId="0" fillId="61" borderId="0" applyAlignment="1" pivotButton="0" quotePrefix="0" xfId="0">
      <alignment horizontal="center"/>
    </xf>
    <xf numFmtId="0" fontId="0" fillId="60" borderId="0" pivotButton="0" quotePrefix="0" xfId="0"/>
    <xf numFmtId="14" fontId="0" fillId="60" borderId="0" pivotButton="0" quotePrefix="0" xfId="0"/>
    <xf numFmtId="1" fontId="0" fillId="66" borderId="0" pivotButton="0" quotePrefix="0" xfId="0"/>
    <xf numFmtId="0" fontId="3" fillId="48" borderId="0" applyAlignment="1" pivotButton="0" quotePrefix="0" xfId="0">
      <alignment horizontal="left" vertical="center" wrapText="1"/>
    </xf>
    <xf numFmtId="14" fontId="0" fillId="68" borderId="0" pivotButton="0" quotePrefix="0" xfId="0"/>
    <xf numFmtId="0" fontId="60" fillId="0" borderId="21" applyAlignment="1" pivotButton="0" quotePrefix="0" xfId="0">
      <alignment vertical="center" wrapText="1"/>
    </xf>
    <xf numFmtId="0" fontId="50" fillId="0" borderId="16" applyAlignment="1" pivotButton="0" quotePrefix="0" xfId="0">
      <alignment vertical="center" wrapText="1"/>
    </xf>
    <xf numFmtId="0" fontId="50" fillId="0" borderId="16" applyAlignment="1" pivotButton="0" quotePrefix="0" xfId="0">
      <alignment horizontal="center" vertical="center" wrapText="1"/>
    </xf>
    <xf numFmtId="0" fontId="50" fillId="61" borderId="16" applyAlignment="1" pivotButton="0" quotePrefix="0" xfId="0">
      <alignment horizontal="center" vertical="center" wrapText="1"/>
    </xf>
    <xf numFmtId="169" fontId="49" fillId="61" borderId="16" applyAlignment="1" pivotButton="0" quotePrefix="0" xfId="1">
      <alignment horizontal="center" vertical="center" wrapText="1"/>
    </xf>
    <xf numFmtId="169" fontId="49" fillId="66" borderId="16" applyAlignment="1" pivotButton="0" quotePrefix="0" xfId="1">
      <alignment horizontal="center" vertical="center" wrapText="1"/>
    </xf>
    <xf numFmtId="169" fontId="49" fillId="70" borderId="16" applyAlignment="1" pivotButton="0" quotePrefix="0" xfId="1">
      <alignment horizontal="center" vertical="center" wrapText="1"/>
    </xf>
    <xf numFmtId="169" fontId="49" fillId="60" borderId="16" applyAlignment="1" pivotButton="0" quotePrefix="0" xfId="1">
      <alignment horizontal="center" vertical="center" wrapText="1"/>
    </xf>
    <xf numFmtId="169" fontId="49" fillId="0" borderId="16" applyAlignment="1" pivotButton="0" quotePrefix="0" xfId="1">
      <alignment horizontal="center" vertical="center" wrapText="1"/>
    </xf>
    <xf numFmtId="169" fontId="49" fillId="69" borderId="16" applyAlignment="1" pivotButton="0" quotePrefix="0" xfId="1">
      <alignment horizontal="center" vertical="center" wrapText="1"/>
    </xf>
    <xf numFmtId="169" fontId="49" fillId="68" borderId="16" applyAlignment="1" pivotButton="0" quotePrefix="0" xfId="1">
      <alignment horizontal="center" vertical="center" wrapText="1"/>
    </xf>
    <xf numFmtId="0" fontId="49" fillId="67" borderId="16" applyAlignment="1" pivotButton="0" quotePrefix="0" xfId="0">
      <alignment horizontal="center" vertical="center" wrapText="1"/>
    </xf>
    <xf numFmtId="0" fontId="54" fillId="0" borderId="16" applyAlignment="1" pivotButton="0" quotePrefix="0" xfId="0">
      <alignment horizontal="center" vertical="center" wrapText="1"/>
    </xf>
    <xf numFmtId="0" fontId="60" fillId="0" borderId="21" applyAlignment="1" pivotButton="0" quotePrefix="0" xfId="0">
      <alignment horizontal="center" vertical="center" wrapText="1"/>
    </xf>
    <xf numFmtId="0" fontId="50" fillId="61" borderId="20" applyAlignment="1" pivotButton="0" quotePrefix="0" xfId="0">
      <alignment horizontal="center" vertical="center" wrapText="1"/>
    </xf>
    <xf numFmtId="165" fontId="54" fillId="0" borderId="20" applyAlignment="1" pivotButton="0" quotePrefix="0" xfId="0">
      <alignment horizontal="center" vertical="center"/>
    </xf>
    <xf numFmtId="0" fontId="50" fillId="0" borderId="16" applyAlignment="1" pivotButton="0" quotePrefix="0" xfId="0">
      <alignment horizontal="center" vertical="center" wrapText="1"/>
    </xf>
    <xf numFmtId="0" fontId="3" fillId="48" borderId="16" applyAlignment="1" pivotButton="0" quotePrefix="0" xfId="0">
      <alignment horizontal="center" vertical="center"/>
    </xf>
    <xf numFmtId="0" fontId="3" fillId="48" borderId="16" applyAlignment="1" pivotButton="0" quotePrefix="0" xfId="0">
      <alignment horizontal="left" vertical="center" wrapText="1"/>
    </xf>
    <xf numFmtId="0" fontId="3" fillId="48" borderId="16" applyAlignment="1" pivotButton="0" quotePrefix="0" xfId="0">
      <alignment horizontal="left" vertical="center"/>
    </xf>
    <xf numFmtId="0" fontId="3" fillId="48" borderId="16" applyAlignment="1" pivotButton="0" quotePrefix="1" xfId="0">
      <alignment horizontal="center" vertical="center" wrapText="1"/>
    </xf>
    <xf numFmtId="3" fontId="3" fillId="48" borderId="16" applyAlignment="1" pivotButton="0" quotePrefix="0" xfId="0">
      <alignment horizontal="center" vertical="center"/>
    </xf>
    <xf numFmtId="3" fontId="3" fillId="0" borderId="16" applyAlignment="1" pivotButton="0" quotePrefix="0" xfId="0">
      <alignment horizontal="center" vertical="center" wrapText="1"/>
    </xf>
    <xf numFmtId="3" fontId="3" fillId="0" borderId="16" applyAlignment="1" pivotButton="0" quotePrefix="0" xfId="0">
      <alignment horizontal="center" vertical="center"/>
    </xf>
    <xf numFmtId="9" fontId="3" fillId="0" borderId="16" pivotButton="0" quotePrefix="0" xfId="0"/>
    <xf numFmtId="0" fontId="3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center" wrapText="1"/>
    </xf>
    <xf numFmtId="0" fontId="3" fillId="0" borderId="16" applyAlignment="1" pivotButton="0" quotePrefix="1" xfId="0">
      <alignment horizontal="center" vertical="center" wrapText="1"/>
    </xf>
    <xf numFmtId="3" fontId="3" fillId="0" borderId="16" applyAlignment="1" pivotButton="0" quotePrefix="0" xfId="0">
      <alignment horizontal="center" vertical="center"/>
    </xf>
    <xf numFmtId="3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left" vertical="center"/>
    </xf>
    <xf numFmtId="0" fontId="3" fillId="0" borderId="16" applyAlignment="1" pivotButton="0" quotePrefix="1" xfId="0">
      <alignment horizontal="left" vertical="center" wrapText="1"/>
    </xf>
    <xf numFmtId="170" fontId="3" fillId="0" borderId="16" applyAlignment="1" pivotButton="0" quotePrefix="0" xfId="0">
      <alignment horizontal="center" vertical="center"/>
    </xf>
    <xf numFmtId="170" fontId="3" fillId="0" borderId="16" applyAlignment="1" pivotButton="0" quotePrefix="0" xfId="0">
      <alignment horizontal="center" vertical="center"/>
    </xf>
    <xf numFmtId="165" fontId="3" fillId="0" borderId="16" applyAlignment="1" pivotButton="0" quotePrefix="0" xfId="494">
      <alignment horizontal="center" vertical="center"/>
    </xf>
    <xf numFmtId="0" fontId="3" fillId="68" borderId="16" applyAlignment="1" pivotButton="0" quotePrefix="0" xfId="0">
      <alignment horizontal="left" vertical="center" wrapText="1"/>
    </xf>
    <xf numFmtId="170" fontId="3" fillId="70" borderId="16" applyAlignment="1" pivotButton="0" quotePrefix="0" xfId="0">
      <alignment horizontal="center" vertical="center"/>
    </xf>
    <xf numFmtId="170" fontId="3" fillId="66" borderId="16" applyAlignment="1" pivotButton="0" quotePrefix="0" xfId="0">
      <alignment horizontal="center" vertical="center"/>
    </xf>
    <xf numFmtId="0" fontId="0" fillId="66" borderId="0" applyAlignment="1" pivotButton="0" quotePrefix="0" xfId="0">
      <alignment horizontal="center" wrapText="1"/>
    </xf>
    <xf numFmtId="167" fontId="62" fillId="70" borderId="0" applyAlignment="1" pivotButton="0" quotePrefix="0" xfId="0">
      <alignment horizontal="center" vertical="center"/>
    </xf>
    <xf numFmtId="0" fontId="62" fillId="70" borderId="0" applyAlignment="1" pivotButton="0" quotePrefix="0" xfId="0">
      <alignment vertical="center"/>
    </xf>
    <xf numFmtId="165" fontId="0" fillId="67" borderId="16" applyAlignment="1" pivotButton="0" quotePrefix="0" xfId="0">
      <alignment horizontal="center" vertical="center"/>
    </xf>
    <xf numFmtId="0" fontId="0" fillId="67" borderId="16" applyAlignment="1" pivotButton="0" quotePrefix="0" xfId="0">
      <alignment horizontal="center" vertical="center"/>
    </xf>
    <xf numFmtId="165" fontId="0" fillId="66" borderId="0" applyAlignment="1" pivotButton="0" quotePrefix="0" xfId="494">
      <alignment horizontal="center" vertical="center"/>
    </xf>
    <xf numFmtId="0" fontId="63" fillId="61" borderId="0" pivotButton="0" quotePrefix="0" xfId="0"/>
    <xf numFmtId="0" fontId="62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0" fontId="64" fillId="61" borderId="0" pivotButton="0" quotePrefix="0" xfId="0"/>
    <xf numFmtId="165" fontId="65" fillId="0" borderId="20" applyAlignment="1" pivotButton="0" quotePrefix="0" xfId="494">
      <alignment horizontal="center" vertical="center" wrapText="1"/>
    </xf>
    <xf numFmtId="171" fontId="0" fillId="64" borderId="0" applyAlignment="1" pivotButton="0" quotePrefix="0" xfId="0">
      <alignment horizontal="center" vertical="center"/>
    </xf>
    <xf numFmtId="0" fontId="3" fillId="61" borderId="16" applyAlignment="1" pivotButton="0" quotePrefix="0" xfId="0">
      <alignment horizontal="center" vertical="center" wrapText="1"/>
    </xf>
    <xf numFmtId="0" fontId="3" fillId="61" borderId="16" applyAlignment="1" pivotButton="0" quotePrefix="0" xfId="0">
      <alignment horizontal="center" vertical="center"/>
    </xf>
    <xf numFmtId="170" fontId="3" fillId="60" borderId="16" applyAlignment="1" pivotButton="0" quotePrefix="0" xfId="0">
      <alignment horizontal="center" vertical="center"/>
    </xf>
    <xf numFmtId="170" fontId="3" fillId="69" borderId="16" applyAlignment="1" pivotButton="0" quotePrefix="0" xfId="0">
      <alignment horizontal="center" vertical="center"/>
    </xf>
    <xf numFmtId="170" fontId="3" fillId="69" borderId="16" applyAlignment="1" pivotButton="0" quotePrefix="0" xfId="494">
      <alignment horizontal="center" vertical="center"/>
    </xf>
    <xf numFmtId="170" fontId="3" fillId="68" borderId="16" applyAlignment="1" pivotButton="0" quotePrefix="0" xfId="0">
      <alignment horizontal="center" vertical="center"/>
    </xf>
    <xf numFmtId="165" fontId="3" fillId="67" borderId="16" applyAlignment="1" pivotButton="0" quotePrefix="0" xfId="494">
      <alignment horizontal="center" vertical="center"/>
    </xf>
    <xf numFmtId="165" fontId="0" fillId="67" borderId="16" applyAlignment="1" pivotButton="0" quotePrefix="0" xfId="494">
      <alignment horizontal="center" vertical="center"/>
    </xf>
    <xf numFmtId="165" fontId="0" fillId="0" borderId="16" applyAlignment="1" pivotButton="0" quotePrefix="0" xfId="494">
      <alignment horizontal="center" vertical="center"/>
    </xf>
    <xf numFmtId="3" fontId="0" fillId="0" borderId="16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1" fillId="67" borderId="17" applyAlignment="1" pivotButton="0" quotePrefix="0" xfId="0">
      <alignment horizontal="center" vertical="center"/>
    </xf>
    <xf numFmtId="0" fontId="51" fillId="63" borderId="19" applyAlignment="1" pivotButton="0" quotePrefix="0" xfId="0">
      <alignment horizontal="center" vertical="center"/>
    </xf>
    <xf numFmtId="0" fontId="51" fillId="63" borderId="22" applyAlignment="1" pivotButton="0" quotePrefix="0" xfId="0">
      <alignment horizontal="center" vertical="center"/>
    </xf>
    <xf numFmtId="0" fontId="51" fillId="63" borderId="20" applyAlignment="1" pivotButton="0" quotePrefix="0" xfId="0">
      <alignment horizontal="center" vertical="center"/>
    </xf>
    <xf numFmtId="0" fontId="51" fillId="61" borderId="19" applyAlignment="1" pivotButton="0" quotePrefix="0" xfId="0">
      <alignment horizontal="center" vertical="center"/>
    </xf>
    <xf numFmtId="0" fontId="51" fillId="61" borderId="22" applyAlignment="1" pivotButton="0" quotePrefix="0" xfId="0">
      <alignment horizontal="center" vertical="center"/>
    </xf>
    <xf numFmtId="0" fontId="51" fillId="61" borderId="20" applyAlignment="1" pivotButton="0" quotePrefix="0" xfId="0">
      <alignment horizontal="center" vertical="center"/>
    </xf>
    <xf numFmtId="0" fontId="51" fillId="62" borderId="19" applyAlignment="1" pivotButton="0" quotePrefix="0" xfId="0">
      <alignment horizontal="center" vertical="center"/>
    </xf>
    <xf numFmtId="0" fontId="51" fillId="62" borderId="22" applyAlignment="1" pivotButton="0" quotePrefix="0" xfId="0">
      <alignment horizontal="center" vertical="center"/>
    </xf>
    <xf numFmtId="0" fontId="51" fillId="62" borderId="20" applyAlignment="1" pivotButton="0" quotePrefix="0" xfId="0">
      <alignment horizontal="center" vertical="center"/>
    </xf>
    <xf numFmtId="0" fontId="54" fillId="0" borderId="20" applyAlignment="1" pivotButton="0" quotePrefix="0" xfId="0">
      <alignment horizontal="center"/>
    </xf>
    <xf numFmtId="0" fontId="54" fillId="0" borderId="16" applyAlignment="1" pivotButton="0" quotePrefix="0" xfId="0">
      <alignment horizontal="center"/>
    </xf>
    <xf numFmtId="0" fontId="50" fillId="61" borderId="16" applyAlignment="1" pivotButton="0" quotePrefix="0" xfId="0">
      <alignment horizontal="center" vertical="center" wrapText="1"/>
    </xf>
    <xf numFmtId="0" fontId="50" fillId="60" borderId="16" applyAlignment="1" pivotButton="0" quotePrefix="0" xfId="0">
      <alignment horizontal="center" vertical="center" wrapText="1"/>
    </xf>
    <xf numFmtId="0" fontId="55" fillId="65" borderId="0" applyAlignment="1" pivotButton="0" quotePrefix="0" xfId="495">
      <alignment horizontal="center"/>
    </xf>
    <xf numFmtId="0" fontId="0" fillId="0" borderId="17" pivotButton="0" quotePrefix="0" xfId="0"/>
    <xf numFmtId="167" fontId="62" fillId="70" borderId="0" applyAlignment="1" pivotButton="0" quotePrefix="0" xfId="0">
      <alignment horizontal="center" vertical="center"/>
    </xf>
    <xf numFmtId="0" fontId="51" fillId="63" borderId="16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0" pivotButton="0" quotePrefix="0" xfId="0"/>
    <xf numFmtId="0" fontId="51" fillId="61" borderId="16" applyAlignment="1" pivotButton="0" quotePrefix="0" xfId="0">
      <alignment horizontal="center" vertical="center"/>
    </xf>
    <xf numFmtId="0" fontId="51" fillId="62" borderId="16" applyAlignment="1" pivotButton="0" quotePrefix="0" xfId="0">
      <alignment horizontal="center" vertical="center"/>
    </xf>
    <xf numFmtId="165" fontId="0" fillId="67" borderId="16" applyAlignment="1" pivotButton="0" quotePrefix="0" xfId="0">
      <alignment horizontal="center" vertical="center"/>
    </xf>
    <xf numFmtId="165" fontId="0" fillId="66" borderId="0" applyAlignment="1" pivotButton="0" quotePrefix="0" xfId="494">
      <alignment horizontal="center" vertical="center"/>
    </xf>
    <xf numFmtId="169" fontId="49" fillId="61" borderId="16" applyAlignment="1" pivotButton="0" quotePrefix="0" xfId="1">
      <alignment horizontal="center" vertical="center" wrapText="1"/>
    </xf>
    <xf numFmtId="169" fontId="49" fillId="66" borderId="16" applyAlignment="1" pivotButton="0" quotePrefix="0" xfId="1">
      <alignment horizontal="center" vertical="center" wrapText="1"/>
    </xf>
    <xf numFmtId="169" fontId="49" fillId="70" borderId="16" applyAlignment="1" pivotButton="0" quotePrefix="0" xfId="1">
      <alignment horizontal="center" vertical="center" wrapText="1"/>
    </xf>
    <xf numFmtId="169" fontId="49" fillId="60" borderId="16" applyAlignment="1" pivotButton="0" quotePrefix="0" xfId="1">
      <alignment horizontal="center" vertical="center" wrapText="1"/>
    </xf>
    <xf numFmtId="169" fontId="49" fillId="0" borderId="16" applyAlignment="1" pivotButton="0" quotePrefix="0" xfId="1">
      <alignment horizontal="center" vertical="center" wrapText="1"/>
    </xf>
    <xf numFmtId="169" fontId="49" fillId="69" borderId="16" applyAlignment="1" pivotButton="0" quotePrefix="0" xfId="1">
      <alignment horizontal="center" vertical="center" wrapText="1"/>
    </xf>
    <xf numFmtId="169" fontId="49" fillId="68" borderId="16" applyAlignment="1" pivotButton="0" quotePrefix="0" xfId="1">
      <alignment horizontal="center" vertical="center" wrapText="1"/>
    </xf>
    <xf numFmtId="0" fontId="0" fillId="0" borderId="28" pivotButton="0" quotePrefix="0" xfId="0"/>
    <xf numFmtId="165" fontId="65" fillId="0" borderId="20" applyAlignment="1" pivotButton="0" quotePrefix="0" xfId="494">
      <alignment horizontal="center" vertical="center" wrapText="1"/>
    </xf>
    <xf numFmtId="165" fontId="54" fillId="0" borderId="20" applyAlignment="1" pivotButton="0" quotePrefix="0" xfId="0">
      <alignment horizontal="center" vertical="center"/>
    </xf>
    <xf numFmtId="165" fontId="54" fillId="0" borderId="16" applyAlignment="1" pivotButton="0" quotePrefix="0" xfId="0">
      <alignment horizontal="center" vertical="center"/>
    </xf>
    <xf numFmtId="165" fontId="54" fillId="64" borderId="16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70" fontId="3" fillId="66" borderId="16" applyAlignment="1" pivotButton="0" quotePrefix="0" xfId="0">
      <alignment horizontal="center" vertical="center"/>
    </xf>
    <xf numFmtId="170" fontId="3" fillId="70" borderId="16" applyAlignment="1" pivotButton="0" quotePrefix="0" xfId="0">
      <alignment horizontal="center" vertical="center"/>
    </xf>
    <xf numFmtId="170" fontId="3" fillId="60" borderId="16" applyAlignment="1" pivotButton="0" quotePrefix="0" xfId="0">
      <alignment horizontal="center" vertical="center"/>
    </xf>
    <xf numFmtId="170" fontId="3" fillId="0" borderId="16" applyAlignment="1" pivotButton="0" quotePrefix="0" xfId="0">
      <alignment horizontal="center" vertical="center"/>
    </xf>
    <xf numFmtId="170" fontId="3" fillId="69" borderId="16" applyAlignment="1" pivotButton="0" quotePrefix="0" xfId="0">
      <alignment horizontal="center" vertical="center"/>
    </xf>
    <xf numFmtId="170" fontId="3" fillId="68" borderId="16" applyAlignment="1" pivotButton="0" quotePrefix="0" xfId="0">
      <alignment horizontal="center" vertical="center"/>
    </xf>
    <xf numFmtId="165" fontId="3" fillId="67" borderId="16" applyAlignment="1" pivotButton="0" quotePrefix="0" xfId="494">
      <alignment horizontal="center" vertical="center"/>
    </xf>
    <xf numFmtId="165" fontId="3" fillId="0" borderId="16" applyAlignment="1" pivotButton="0" quotePrefix="0" xfId="494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67" borderId="16" applyAlignment="1" pivotButton="0" quotePrefix="0" xfId="494">
      <alignment horizontal="center" vertical="center"/>
    </xf>
    <xf numFmtId="165" fontId="0" fillId="0" borderId="16" applyAlignment="1" pivotButton="0" quotePrefix="0" xfId="494">
      <alignment horizontal="center" vertical="center"/>
    </xf>
    <xf numFmtId="166" fontId="0" fillId="0" borderId="0" pivotButton="0" quotePrefix="0" xfId="0"/>
    <xf numFmtId="171" fontId="0" fillId="64" borderId="0" applyAlignment="1" pivotButton="0" quotePrefix="0" xfId="0">
      <alignment horizontal="center" vertical="center"/>
    </xf>
    <xf numFmtId="170" fontId="3" fillId="69" borderId="16" applyAlignment="1" pivotButton="0" quotePrefix="0" xfId="494">
      <alignment horizontal="center" vertical="center"/>
    </xf>
    <xf numFmtId="168" fontId="0" fillId="0" borderId="0" pivotButton="0" quotePrefix="0" xfId="0"/>
    <xf numFmtId="164" fontId="0" fillId="61" borderId="0" applyAlignment="1" pivotButton="0" quotePrefix="0" xfId="0">
      <alignment horizontal="center"/>
    </xf>
    <xf numFmtId="164" fontId="0" fillId="0" borderId="0" pivotButton="0" quotePrefix="0" xfId="0"/>
    <xf numFmtId="165" fontId="56" fillId="0" borderId="16" applyAlignment="1" pivotButton="0" quotePrefix="0" xfId="496">
      <alignment horizontal="center" vertical="center"/>
    </xf>
    <xf numFmtId="167" fontId="55" fillId="0" borderId="0" pivotButton="0" quotePrefix="0" xfId="495"/>
    <xf numFmtId="167" fontId="56" fillId="0" borderId="0" pivotButton="0" quotePrefix="0" xfId="502"/>
    <xf numFmtId="167" fontId="56" fillId="0" borderId="0" pivotButton="0" quotePrefix="0" xfId="497"/>
    <xf numFmtId="165" fontId="56" fillId="0" borderId="18" applyAlignment="1" pivotButton="0" quotePrefix="0" xfId="496">
      <alignment horizontal="center" vertical="center"/>
    </xf>
    <xf numFmtId="167" fontId="56" fillId="0" borderId="0" pivotButton="0" quotePrefix="0" xfId="495"/>
    <xf numFmtId="167" fontId="55" fillId="0" borderId="0" pivotButton="0" quotePrefix="0" xfId="502"/>
    <xf numFmtId="168" fontId="56" fillId="0" borderId="0" pivotButton="0" quotePrefix="0" xfId="497"/>
    <xf numFmtId="168" fontId="56" fillId="0" borderId="0" pivotButton="0" quotePrefix="0" xfId="502"/>
    <xf numFmtId="167" fontId="55" fillId="0" borderId="0" pivotButton="0" quotePrefix="0" xfId="497"/>
    <xf numFmtId="168" fontId="56" fillId="0" borderId="0" pivotButton="0" quotePrefix="0" xfId="495"/>
    <xf numFmtId="167" fontId="0" fillId="0" borderId="0" pivotButton="0" quotePrefix="0" xfId="0"/>
  </cellXfs>
  <cellStyles count="509">
    <cellStyle name="Обычный" xfId="0" builtinId="0"/>
    <cellStyle name="Финансовый" xfId="1" builtinId="3"/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Arial017000001516777215" xfId="20"/>
    <cellStyle name="Arial10110100001516777215" xfId="21"/>
    <cellStyle name="Arial11100000-2147483640016777215" xfId="22"/>
    <cellStyle name="Arial21100000-2147483640016777215" xfId="23"/>
    <cellStyle name="Arial81120100-2147483640016777215" xfId="24"/>
    <cellStyle name="Data style" xfId="25"/>
    <cellStyle name="Emphasis 1" xfId="26"/>
    <cellStyle name="Emphasis 2" xfId="27"/>
    <cellStyle name="Emphasis 3" xfId="28"/>
    <cellStyle name="Header style" xfId="29"/>
    <cellStyle name="MS Sans Serif1017100001516777215" xfId="30"/>
    <cellStyle name="SAPBEXaggData" xfId="31"/>
    <cellStyle name="SAPBEXaggData 2" xfId="32"/>
    <cellStyle name="SAPBEXaggData 3" xfId="33"/>
    <cellStyle name="SAPBEXaggData 4" xfId="34"/>
    <cellStyle name="SAPBEXaggDataEmph" xfId="35"/>
    <cellStyle name="SAPBEXaggDataEmph 2" xfId="36"/>
    <cellStyle name="SAPBEXaggDataEmph 3" xfId="37"/>
    <cellStyle name="SAPBEXaggDataEmph 4" xfId="38"/>
    <cellStyle name="SAPBEXaggItem" xfId="39"/>
    <cellStyle name="SAPBEXaggItem 2" xfId="40"/>
    <cellStyle name="SAPBEXaggItem 3" xfId="41"/>
    <cellStyle name="SAPBEXaggItem 4" xfId="42"/>
    <cellStyle name="SAPBEXaggItemX" xfId="43"/>
    <cellStyle name="SAPBEXaggItemX 2" xfId="44"/>
    <cellStyle name="SAPBEXaggItemX 3" xfId="45"/>
    <cellStyle name="SAPBEXaggItemX 4" xfId="46"/>
    <cellStyle name="SAPBEXchaText" xfId="47"/>
    <cellStyle name="SAPBEXchaText 2" xfId="48"/>
    <cellStyle name="SAPBEXchaText 2 2" xfId="49"/>
    <cellStyle name="SAPBEXchaText 2 2 2" xfId="50"/>
    <cellStyle name="SAPBEXchaText 2 3" xfId="51"/>
    <cellStyle name="SAPBEXchaText 2 4" xfId="52"/>
    <cellStyle name="SAPBEXchaText 3" xfId="53"/>
    <cellStyle name="SAPBEXchaText 4" xfId="54"/>
    <cellStyle name="SAPBEXchaText 5" xfId="55"/>
    <cellStyle name="SAPBEXexcBad7" xfId="56"/>
    <cellStyle name="SAPBEXexcBad7 2" xfId="57"/>
    <cellStyle name="SAPBEXexcBad7 2 2" xfId="58"/>
    <cellStyle name="SAPBEXexcBad7 2 3" xfId="59"/>
    <cellStyle name="SAPBEXexcBad7 2 4" xfId="60"/>
    <cellStyle name="SAPBEXexcBad7 3" xfId="61"/>
    <cellStyle name="SAPBEXexcBad7 4" xfId="62"/>
    <cellStyle name="SAPBEXexcBad7 5" xfId="63"/>
    <cellStyle name="SAPBEXexcBad8" xfId="64"/>
    <cellStyle name="SAPBEXexcBad8 2" xfId="65"/>
    <cellStyle name="SAPBEXexcBad8 2 2" xfId="66"/>
    <cellStyle name="SAPBEXexcBad8 2 3" xfId="67"/>
    <cellStyle name="SAPBEXexcBad8 2 4" xfId="68"/>
    <cellStyle name="SAPBEXexcBad8 3" xfId="69"/>
    <cellStyle name="SAPBEXexcBad8 4" xfId="70"/>
    <cellStyle name="SAPBEXexcBad8 5" xfId="71"/>
    <cellStyle name="SAPBEXexcBad9" xfId="72"/>
    <cellStyle name="SAPBEXexcBad9 2" xfId="73"/>
    <cellStyle name="SAPBEXexcBad9 2 2" xfId="74"/>
    <cellStyle name="SAPBEXexcBad9 2 3" xfId="75"/>
    <cellStyle name="SAPBEXexcBad9 2 4" xfId="76"/>
    <cellStyle name="SAPBEXexcBad9 3" xfId="77"/>
    <cellStyle name="SAPBEXexcBad9 4" xfId="78"/>
    <cellStyle name="SAPBEXexcBad9 5" xfId="79"/>
    <cellStyle name="SAPBEXexcCritical4" xfId="80"/>
    <cellStyle name="SAPBEXexcCritical4 2" xfId="81"/>
    <cellStyle name="SAPBEXexcCritical4 2 2" xfId="82"/>
    <cellStyle name="SAPBEXexcCritical4 2 3" xfId="83"/>
    <cellStyle name="SAPBEXexcCritical4 2 4" xfId="84"/>
    <cellStyle name="SAPBEXexcCritical4 3" xfId="85"/>
    <cellStyle name="SAPBEXexcCritical4 4" xfId="86"/>
    <cellStyle name="SAPBEXexcCritical4 5" xfId="87"/>
    <cellStyle name="SAPBEXexcCritical5" xfId="88"/>
    <cellStyle name="SAPBEXexcCritical5 2" xfId="89"/>
    <cellStyle name="SAPBEXexcCritical5 2 2" xfId="90"/>
    <cellStyle name="SAPBEXexcCritical5 2 3" xfId="91"/>
    <cellStyle name="SAPBEXexcCritical5 2 4" xfId="92"/>
    <cellStyle name="SAPBEXexcCritical5 3" xfId="93"/>
    <cellStyle name="SAPBEXexcCritical5 4" xfId="94"/>
    <cellStyle name="SAPBEXexcCritical5 5" xfId="95"/>
    <cellStyle name="SAPBEXexcCritical6" xfId="96"/>
    <cellStyle name="SAPBEXexcCritical6 2" xfId="97"/>
    <cellStyle name="SAPBEXexcCritical6 2 2" xfId="98"/>
    <cellStyle name="SAPBEXexcCritical6 2 3" xfId="99"/>
    <cellStyle name="SAPBEXexcCritical6 2 4" xfId="100"/>
    <cellStyle name="SAPBEXexcCritical6 3" xfId="101"/>
    <cellStyle name="SAPBEXexcCritical6 4" xfId="102"/>
    <cellStyle name="SAPBEXexcCritical6 5" xfId="103"/>
    <cellStyle name="SAPBEXexcGood1" xfId="104"/>
    <cellStyle name="SAPBEXexcGood1 2" xfId="105"/>
    <cellStyle name="SAPBEXexcGood1 2 2" xfId="106"/>
    <cellStyle name="SAPBEXexcGood1 2 3" xfId="107"/>
    <cellStyle name="SAPBEXexcGood1 2 4" xfId="108"/>
    <cellStyle name="SAPBEXexcGood1 3" xfId="109"/>
    <cellStyle name="SAPBEXexcGood1 4" xfId="110"/>
    <cellStyle name="SAPBEXexcGood1 5" xfId="111"/>
    <cellStyle name="SAPBEXexcGood2" xfId="112"/>
    <cellStyle name="SAPBEXexcGood2 2" xfId="113"/>
    <cellStyle name="SAPBEXexcGood2 2 2" xfId="114"/>
    <cellStyle name="SAPBEXexcGood2 2 3" xfId="115"/>
    <cellStyle name="SAPBEXexcGood2 2 4" xfId="116"/>
    <cellStyle name="SAPBEXexcGood2 3" xfId="117"/>
    <cellStyle name="SAPBEXexcGood2 4" xfId="118"/>
    <cellStyle name="SAPBEXexcGood2 5" xfId="119"/>
    <cellStyle name="SAPBEXexcGood3" xfId="120"/>
    <cellStyle name="SAPBEXexcGood3 2" xfId="121"/>
    <cellStyle name="SAPBEXexcGood3 2 2" xfId="122"/>
    <cellStyle name="SAPBEXexcGood3 2 3" xfId="123"/>
    <cellStyle name="SAPBEXexcGood3 2 4" xfId="124"/>
    <cellStyle name="SAPBEXexcGood3 3" xfId="125"/>
    <cellStyle name="SAPBEXexcGood3 4" xfId="126"/>
    <cellStyle name="SAPBEXexcGood3 5" xfId="127"/>
    <cellStyle name="SAPBEXfilterDrill" xfId="128"/>
    <cellStyle name="SAPBEXfilterDrill 2" xfId="129"/>
    <cellStyle name="SAPBEXfilterDrill 2 2" xfId="130"/>
    <cellStyle name="SAPBEXfilterDrill 2 3" xfId="131"/>
    <cellStyle name="SAPBEXfilterDrill 2 4" xfId="132"/>
    <cellStyle name="SAPBEXfilterDrill 3" xfId="133"/>
    <cellStyle name="SAPBEXfilterDrill 4" xfId="134"/>
    <cellStyle name="SAPBEXfilterDrill 5" xfId="135"/>
    <cellStyle name="SAPBEXfilterItem" xfId="136"/>
    <cellStyle name="SAPBEXfilterItem 2" xfId="137"/>
    <cellStyle name="SAPBEXfilterItem 3" xfId="138"/>
    <cellStyle name="SAPBEXfilterItem 4" xfId="139"/>
    <cellStyle name="SAPBEXfilterText" xfId="140"/>
    <cellStyle name="SAPBEXfilterText 2" xfId="141"/>
    <cellStyle name="SAPBEXfilterText 3" xfId="142"/>
    <cellStyle name="SAPBEXfilterText 4" xfId="143"/>
    <cellStyle name="SAPBEXformats" xfId="144"/>
    <cellStyle name="SAPBEXformats 2" xfId="145"/>
    <cellStyle name="SAPBEXformats 2 2" xfId="146"/>
    <cellStyle name="SAPBEXformats 2 3" xfId="147"/>
    <cellStyle name="SAPBEXformats 2 4" xfId="148"/>
    <cellStyle name="SAPBEXformats 3" xfId="149"/>
    <cellStyle name="SAPBEXformats 4" xfId="150"/>
    <cellStyle name="SAPBEXformats 5" xfId="151"/>
    <cellStyle name="SAPBEXheaderItem" xfId="152"/>
    <cellStyle name="SAPBEXheaderItem 2" xfId="153"/>
    <cellStyle name="SAPBEXheaderItem 2 2" xfId="154"/>
    <cellStyle name="SAPBEXheaderItem 2 3" xfId="155"/>
    <cellStyle name="SAPBEXheaderItem 2 4" xfId="156"/>
    <cellStyle name="SAPBEXheaderItem 3" xfId="157"/>
    <cellStyle name="SAPBEXheaderItem 4" xfId="158"/>
    <cellStyle name="SAPBEXheaderItem 5" xfId="159"/>
    <cellStyle name="SAPBEXheaderText" xfId="160"/>
    <cellStyle name="SAPBEXheaderText 2" xfId="161"/>
    <cellStyle name="SAPBEXheaderText 2 2" xfId="162"/>
    <cellStyle name="SAPBEXheaderText 2 3" xfId="163"/>
    <cellStyle name="SAPBEXheaderText 2 4" xfId="164"/>
    <cellStyle name="SAPBEXheaderText 3" xfId="165"/>
    <cellStyle name="SAPBEXheaderText 4" xfId="166"/>
    <cellStyle name="SAPBEXheaderText 5" xfId="167"/>
    <cellStyle name="SAPBEXHLevel0" xfId="168"/>
    <cellStyle name="SAPBEXHLevel0 2" xfId="169"/>
    <cellStyle name="SAPBEXHLevel0 2 2" xfId="170"/>
    <cellStyle name="SAPBEXHLevel0 2 3" xfId="171"/>
    <cellStyle name="SAPBEXHLevel0 2 4" xfId="172"/>
    <cellStyle name="SAPBEXHLevel0 3" xfId="173"/>
    <cellStyle name="SAPBEXHLevel0 4" xfId="174"/>
    <cellStyle name="SAPBEXHLevel0 5" xfId="175"/>
    <cellStyle name="SAPBEXHLevel0X" xfId="176"/>
    <cellStyle name="SAPBEXHLevel0X 2" xfId="177"/>
    <cellStyle name="SAPBEXHLevel0X 2 2" xfId="178"/>
    <cellStyle name="SAPBEXHLevel0X 2 3" xfId="179"/>
    <cellStyle name="SAPBEXHLevel0X 2 4" xfId="180"/>
    <cellStyle name="SAPBEXHLevel0X 2 5" xfId="181"/>
    <cellStyle name="SAPBEXHLevel0X 3" xfId="182"/>
    <cellStyle name="SAPBEXHLevel0X 4" xfId="183"/>
    <cellStyle name="SAPBEXHLevel0X 5" xfId="184"/>
    <cellStyle name="SAPBEXHLevel1" xfId="185"/>
    <cellStyle name="SAPBEXHLevel1 2" xfId="186"/>
    <cellStyle name="SAPBEXHLevel1 2 2" xfId="187"/>
    <cellStyle name="SAPBEXHLevel1 2 3" xfId="188"/>
    <cellStyle name="SAPBEXHLevel1 2 4" xfId="189"/>
    <cellStyle name="SAPBEXHLevel1 3" xfId="190"/>
    <cellStyle name="SAPBEXHLevel1 4" xfId="191"/>
    <cellStyle name="SAPBEXHLevel1 5" xfId="192"/>
    <cellStyle name="SAPBEXHLevel1X" xfId="193"/>
    <cellStyle name="SAPBEXHLevel1X 2" xfId="194"/>
    <cellStyle name="SAPBEXHLevel1X 2 2" xfId="195"/>
    <cellStyle name="SAPBEXHLevel1X 2 3" xfId="196"/>
    <cellStyle name="SAPBEXHLevel1X 2 4" xfId="197"/>
    <cellStyle name="SAPBEXHLevel1X 2 5" xfId="198"/>
    <cellStyle name="SAPBEXHLevel1X 3" xfId="199"/>
    <cellStyle name="SAPBEXHLevel1X 4" xfId="200"/>
    <cellStyle name="SAPBEXHLevel1X 5" xfId="201"/>
    <cellStyle name="SAPBEXHLevel2" xfId="202"/>
    <cellStyle name="SAPBEXHLevel2 2" xfId="203"/>
    <cellStyle name="SAPBEXHLevel2 2 2" xfId="204"/>
    <cellStyle name="SAPBEXHLevel2 2 3" xfId="205"/>
    <cellStyle name="SAPBEXHLevel2 2 4" xfId="206"/>
    <cellStyle name="SAPBEXHLevel2 3" xfId="207"/>
    <cellStyle name="SAPBEXHLevel2 4" xfId="208"/>
    <cellStyle name="SAPBEXHLevel2 5" xfId="209"/>
    <cellStyle name="SAPBEXHLevel2X" xfId="210"/>
    <cellStyle name="SAPBEXHLevel2X 2" xfId="211"/>
    <cellStyle name="SAPBEXHLevel2X 2 2" xfId="212"/>
    <cellStyle name="SAPBEXHLevel2X 2 3" xfId="213"/>
    <cellStyle name="SAPBEXHLevel2X 2 4" xfId="214"/>
    <cellStyle name="SAPBEXHLevel2X 2 5" xfId="215"/>
    <cellStyle name="SAPBEXHLevel2X 3" xfId="216"/>
    <cellStyle name="SAPBEXHLevel2X 4" xfId="217"/>
    <cellStyle name="SAPBEXHLevel2X 5" xfId="218"/>
    <cellStyle name="SAPBEXHLevel3" xfId="219"/>
    <cellStyle name="SAPBEXHLevel3 2" xfId="220"/>
    <cellStyle name="SAPBEXHLevel3 2 2" xfId="221"/>
    <cellStyle name="SAPBEXHLevel3 2 3" xfId="222"/>
    <cellStyle name="SAPBEXHLevel3 2 4" xfId="223"/>
    <cellStyle name="SAPBEXHLevel3 3" xfId="224"/>
    <cellStyle name="SAPBEXHLevel3 4" xfId="225"/>
    <cellStyle name="SAPBEXHLevel3 5" xfId="226"/>
    <cellStyle name="SAPBEXHLevel3X" xfId="227"/>
    <cellStyle name="SAPBEXHLevel3X 2" xfId="228"/>
    <cellStyle name="SAPBEXHLevel3X 2 2" xfId="229"/>
    <cellStyle name="SAPBEXHLevel3X 2 3" xfId="230"/>
    <cellStyle name="SAPBEXHLevel3X 2 4" xfId="231"/>
    <cellStyle name="SAPBEXHLevel3X 2 5" xfId="232"/>
    <cellStyle name="SAPBEXHLevel3X 3" xfId="233"/>
    <cellStyle name="SAPBEXHLevel3X 4" xfId="234"/>
    <cellStyle name="SAPBEXHLevel3X 5" xfId="235"/>
    <cellStyle name="SAPBEXinputData" xfId="236"/>
    <cellStyle name="SAPBEXinputData 2" xfId="237"/>
    <cellStyle name="SAPBEXinputData 2 2" xfId="238"/>
    <cellStyle name="SAPBEXItemHeader" xfId="239"/>
    <cellStyle name="SAPBEXItemHeader 2" xfId="240"/>
    <cellStyle name="SAPBEXItemHeader 3" xfId="241"/>
    <cellStyle name="SAPBEXItemHeader 4" xfId="242"/>
    <cellStyle name="SAPBEXresData" xfId="243"/>
    <cellStyle name="SAPBEXresData 2" xfId="244"/>
    <cellStyle name="SAPBEXresData 3" xfId="245"/>
    <cellStyle name="SAPBEXresData 4" xfId="246"/>
    <cellStyle name="SAPBEXresDataEmph" xfId="247"/>
    <cellStyle name="SAPBEXresDataEmph 2" xfId="248"/>
    <cellStyle name="SAPBEXresDataEmph 3" xfId="249"/>
    <cellStyle name="SAPBEXresDataEmph 4" xfId="250"/>
    <cellStyle name="SAPBEXresItem" xfId="251"/>
    <cellStyle name="SAPBEXresItem 2" xfId="252"/>
    <cellStyle name="SAPBEXresItem 3" xfId="253"/>
    <cellStyle name="SAPBEXresItem 4" xfId="254"/>
    <cellStyle name="SAPBEXresItemX" xfId="255"/>
    <cellStyle name="SAPBEXresItemX 2" xfId="256"/>
    <cellStyle name="SAPBEXresItemX 3" xfId="257"/>
    <cellStyle name="SAPBEXresItemX 4" xfId="258"/>
    <cellStyle name="SAPBEXstdData" xfId="259"/>
    <cellStyle name="SAPBEXstdData 2" xfId="260"/>
    <cellStyle name="SAPBEXstdData 2 2" xfId="261"/>
    <cellStyle name="SAPBEXstdData 2 3" xfId="262"/>
    <cellStyle name="SAPBEXstdData 2 4" xfId="263"/>
    <cellStyle name="SAPBEXstdData 3" xfId="264"/>
    <cellStyle name="SAPBEXstdData 4" xfId="265"/>
    <cellStyle name="SAPBEXstdData 5" xfId="266"/>
    <cellStyle name="SAPBEXstdDataEmph" xfId="267"/>
    <cellStyle name="SAPBEXstdDataEmph 2" xfId="268"/>
    <cellStyle name="SAPBEXstdDataEmph 3" xfId="269"/>
    <cellStyle name="SAPBEXstdDataEmph 4" xfId="270"/>
    <cellStyle name="SAPBEXstdItem" xfId="271"/>
    <cellStyle name="SAPBEXstdItem 2" xfId="272"/>
    <cellStyle name="SAPBEXstdItem 2 2" xfId="273"/>
    <cellStyle name="SAPBEXstdItem 2 3" xfId="274"/>
    <cellStyle name="SAPBEXstdItem 2 4" xfId="275"/>
    <cellStyle name="SAPBEXstdItem 3" xfId="276"/>
    <cellStyle name="SAPBEXstdItem 3 2" xfId="277"/>
    <cellStyle name="SAPBEXstdItem 4" xfId="278"/>
    <cellStyle name="SAPBEXstdItem 5" xfId="279"/>
    <cellStyle name="SAPBEXstdItemX" xfId="280"/>
    <cellStyle name="SAPBEXstdItemX 2" xfId="281"/>
    <cellStyle name="SAPBEXstdItemX 3" xfId="282"/>
    <cellStyle name="SAPBEXstdItemX 4" xfId="283"/>
    <cellStyle name="SAPBEXtitle" xfId="284"/>
    <cellStyle name="SAPBEXtitle 2" xfId="285"/>
    <cellStyle name="SAPBEXtitle 3" xfId="286"/>
    <cellStyle name="SAPBEXtitle 4" xfId="287"/>
    <cellStyle name="SAPBEXunassignedItem" xfId="288"/>
    <cellStyle name="SAPBEXunassignedItem 2" xfId="289"/>
    <cellStyle name="SAPBEXunassignedItem 2 2" xfId="290"/>
    <cellStyle name="SAPBEXunassignedItem 2 3" xfId="291"/>
    <cellStyle name="SAPBEXunassignedItem 2 4" xfId="292"/>
    <cellStyle name="SAPBEXunassignedItem 3" xfId="293"/>
    <cellStyle name="SAPBEXunassignedItem 4" xfId="294"/>
    <cellStyle name="SAPBEXunassignedItem 5" xfId="295"/>
    <cellStyle name="SAPBEXundefined" xfId="296"/>
    <cellStyle name="SAPBEXundefined 2" xfId="297"/>
    <cellStyle name="SAPBEXundefined 3" xfId="298"/>
    <cellStyle name="SAPBEXundefined 4" xfId="299"/>
    <cellStyle name="Sheet Title" xfId="300"/>
    <cellStyle name="Summary style" xfId="301"/>
    <cellStyle name="Акцент1 2" xfId="302"/>
    <cellStyle name="Акцент2 2" xfId="303"/>
    <cellStyle name="Акцент3 2" xfId="304"/>
    <cellStyle name="Акцент4 2" xfId="305"/>
    <cellStyle name="Акцент5 2" xfId="306"/>
    <cellStyle name="Акцент6 2" xfId="307"/>
    <cellStyle name="Ввод  2" xfId="308"/>
    <cellStyle name="Ввод  3" xfId="309"/>
    <cellStyle name="Ввод  4" xfId="310"/>
    <cellStyle name="Ввод  5" xfId="311"/>
    <cellStyle name="Вывод 2" xfId="312"/>
    <cellStyle name="Вывод 3" xfId="313"/>
    <cellStyle name="Вывод 4" xfId="314"/>
    <cellStyle name="Вывод 5" xfId="315"/>
    <cellStyle name="Вычисление 2" xfId="316"/>
    <cellStyle name="Вычисление 3" xfId="317"/>
    <cellStyle name="Вычисление 4" xfId="318"/>
    <cellStyle name="Вычисление 5" xfId="319"/>
    <cellStyle name="Гиперссылка 2" xfId="320"/>
    <cellStyle name="Заголовок 1 2" xfId="321"/>
    <cellStyle name="Заголовок 2 2" xfId="322"/>
    <cellStyle name="Заголовок 3 2" xfId="323"/>
    <cellStyle name="Заголовок 4 2" xfId="324"/>
    <cellStyle name="Итог 2" xfId="325"/>
    <cellStyle name="Итог 3" xfId="326"/>
    <cellStyle name="Итог 4" xfId="327"/>
    <cellStyle name="Итог 5" xfId="328"/>
    <cellStyle name="Контрольная ячейка 2" xfId="329"/>
    <cellStyle name="Нейтральный 2" xfId="330"/>
    <cellStyle name="Нейтральный 3" xfId="331"/>
    <cellStyle name="Обычный 10" xfId="332"/>
    <cellStyle name="Обычный 10 2" xfId="333"/>
    <cellStyle name="Обычный 10 3" xfId="334"/>
    <cellStyle name="Обычный 10 3 2" xfId="335"/>
    <cellStyle name="Обычный 10 3 2 2" xfId="336"/>
    <cellStyle name="Обычный 10 3 2 3" xfId="337"/>
    <cellStyle name="Обычный 11" xfId="338"/>
    <cellStyle name="Обычный 12" xfId="339"/>
    <cellStyle name="Обычный 13" xfId="340"/>
    <cellStyle name="Обычный 14" xfId="341"/>
    <cellStyle name="Обычный 15" xfId="342"/>
    <cellStyle name="Обычный 16" xfId="343"/>
    <cellStyle name="Обычный 17" xfId="344"/>
    <cellStyle name="Обычный 18" xfId="345"/>
    <cellStyle name="Обычный 19" xfId="346"/>
    <cellStyle name="Обычный 2" xfId="347"/>
    <cellStyle name="Обычный 2 2" xfId="348"/>
    <cellStyle name="Обычный 2 2 2" xfId="349"/>
    <cellStyle name="Обычный 2 2 2 2" xfId="350"/>
    <cellStyle name="Обычный 2 2 3" xfId="351"/>
    <cellStyle name="Обычный 2 2 4" xfId="352"/>
    <cellStyle name="Обычный 2 3" xfId="353"/>
    <cellStyle name="Обычный 2 3 2" xfId="354"/>
    <cellStyle name="Обычный 2 3 2 2" xfId="355"/>
    <cellStyle name="Обычный 2 3 3" xfId="356"/>
    <cellStyle name="Обычный 2 4" xfId="357"/>
    <cellStyle name="Обычный 2 4 2" xfId="358"/>
    <cellStyle name="Обычный 2 5" xfId="359"/>
    <cellStyle name="Обычный 2 5 2" xfId="360"/>
    <cellStyle name="Обычный 2_итого по доходам" xfId="361"/>
    <cellStyle name="Обычный 20" xfId="362"/>
    <cellStyle name="Обычный 21" xfId="363"/>
    <cellStyle name="Обычный 22" xfId="364"/>
    <cellStyle name="Обычный 23" xfId="365"/>
    <cellStyle name="Обычный 24" xfId="366"/>
    <cellStyle name="Обычный 25" xfId="367"/>
    <cellStyle name="Обычный 25 2" xfId="368"/>
    <cellStyle name="Обычный 26" xfId="369"/>
    <cellStyle name="Обычный 26 2" xfId="370"/>
    <cellStyle name="Обычный 27" xfId="371"/>
    <cellStyle name="Обычный 28" xfId="372"/>
    <cellStyle name="Обычный 29" xfId="373"/>
    <cellStyle name="Обычный 3" xfId="374"/>
    <cellStyle name="Обычный 3 2" xfId="375"/>
    <cellStyle name="Обычный 3 2 2" xfId="376"/>
    <cellStyle name="Обычный 3 2 2 2" xfId="377"/>
    <cellStyle name="Обычный 3 2 2 2 2" xfId="378"/>
    <cellStyle name="Обычный 3 2 2 2 2 2" xfId="379"/>
    <cellStyle name="Обычный 3 2 2 2 2 2 2" xfId="380"/>
    <cellStyle name="Обычный 3 2 3" xfId="381"/>
    <cellStyle name="Обычный 3 3" xfId="382"/>
    <cellStyle name="Обычный 3 3 2" xfId="383"/>
    <cellStyle name="Обычный 3 4" xfId="384"/>
    <cellStyle name="Обычный 3 5" xfId="385"/>
    <cellStyle name="Обычный 30" xfId="386"/>
    <cellStyle name="Обычный 31" xfId="387"/>
    <cellStyle name="Обычный 32" xfId="388"/>
    <cellStyle name="Обычный 33" xfId="389"/>
    <cellStyle name="Обычный 34" xfId="390"/>
    <cellStyle name="Обычный 35" xfId="391"/>
    <cellStyle name="Обычный 36" xfId="392"/>
    <cellStyle name="Обычный 37" xfId="393"/>
    <cellStyle name="Обычный 38" xfId="394"/>
    <cellStyle name="Обычный 39" xfId="395"/>
    <cellStyle name="Обычный 4" xfId="396"/>
    <cellStyle name="Обычный 4 2" xfId="397"/>
    <cellStyle name="Обычный 4 2 2" xfId="398"/>
    <cellStyle name="Обычный 4 2 3" xfId="399"/>
    <cellStyle name="Обычный 4 3" xfId="400"/>
    <cellStyle name="Обычный 4 4" xfId="401"/>
    <cellStyle name="Обычный 4 5" xfId="402"/>
    <cellStyle name="Обычный 4 6" xfId="403"/>
    <cellStyle name="Обычный 4 7" xfId="404"/>
    <cellStyle name="Обычный 4 8" xfId="405"/>
    <cellStyle name="Обычный 40" xfId="406"/>
    <cellStyle name="Обычный 41" xfId="407"/>
    <cellStyle name="Обычный 42" xfId="408"/>
    <cellStyle name="Обычный 43" xfId="409"/>
    <cellStyle name="Обычный 44" xfId="410"/>
    <cellStyle name="Обычный 45" xfId="411"/>
    <cellStyle name="Обычный 46" xfId="412"/>
    <cellStyle name="Обычный 47" xfId="413"/>
    <cellStyle name="Обычный 48" xfId="414"/>
    <cellStyle name="Обычный 49" xfId="415"/>
    <cellStyle name="Обычный 5" xfId="416"/>
    <cellStyle name="Обычный 5 2" xfId="417"/>
    <cellStyle name="Обычный 5 3" xfId="418"/>
    <cellStyle name="Обычный 50" xfId="419"/>
    <cellStyle name="Обычный 51" xfId="420"/>
    <cellStyle name="Обычный 52" xfId="421"/>
    <cellStyle name="Обычный 53" xfId="422"/>
    <cellStyle name="Обычный 54" xfId="423"/>
    <cellStyle name="Обычный 55" xfId="424"/>
    <cellStyle name="Обычный 56" xfId="425"/>
    <cellStyle name="Обычный 57" xfId="426"/>
    <cellStyle name="Обычный 6" xfId="427"/>
    <cellStyle name="Обычный 6 2" xfId="428"/>
    <cellStyle name="Обычный 6 3" xfId="429"/>
    <cellStyle name="Обычный 7" xfId="430"/>
    <cellStyle name="Обычный 7 2" xfId="431"/>
    <cellStyle name="Обычный 7 3" xfId="432"/>
    <cellStyle name="Обычный 8" xfId="433"/>
    <cellStyle name="Обычный 8 2" xfId="434"/>
    <cellStyle name="Обычный 9" xfId="435"/>
    <cellStyle name="Обычный 9 2" xfId="436"/>
    <cellStyle name="Плохой 2" xfId="437"/>
    <cellStyle name="Примечание 2" xfId="438"/>
    <cellStyle name="Примечание 2 2" xfId="439"/>
    <cellStyle name="Примечание 2 3" xfId="440"/>
    <cellStyle name="Примечание 2 4" xfId="441"/>
    <cellStyle name="Примечание 2 5" xfId="442"/>
    <cellStyle name="Примечание 3" xfId="443"/>
    <cellStyle name="Примечание 4" xfId="444"/>
    <cellStyle name="Примечание 5" xfId="445"/>
    <cellStyle name="Примечание 6" xfId="446"/>
    <cellStyle name="Процентный 2" xfId="447"/>
    <cellStyle name="Процентный 2 2" xfId="448"/>
    <cellStyle name="Процентный 2 2 2" xfId="449"/>
    <cellStyle name="Процентный 2 3" xfId="450"/>
    <cellStyle name="Процентный 3" xfId="451"/>
    <cellStyle name="Процентный 3 2" xfId="452"/>
    <cellStyle name="Процентный 3 2 2" xfId="453"/>
    <cellStyle name="Процентный 3 3" xfId="454"/>
    <cellStyle name="Процентный 4" xfId="455"/>
    <cellStyle name="Процентный 4 2" xfId="456"/>
    <cellStyle name="Процентный 5" xfId="457"/>
    <cellStyle name="Процентный 6" xfId="458"/>
    <cellStyle name="Связанная ячейка 2" xfId="459"/>
    <cellStyle name="Стиль 1" xfId="460"/>
    <cellStyle name="Текст предупреждения 2" xfId="461"/>
    <cellStyle name="Тысячи [0]_Example " xfId="462"/>
    <cellStyle name="Тысячи_Example " xfId="463"/>
    <cellStyle name="Финансовый 2" xfId="464"/>
    <cellStyle name="Финансовый 2 2" xfId="465"/>
    <cellStyle name="Финансовый 3" xfId="466"/>
    <cellStyle name="Финансовый 3 2" xfId="467"/>
    <cellStyle name="Финансовый 3 3" xfId="468"/>
    <cellStyle name="Финансовый 3 3 2" xfId="469"/>
    <cellStyle name="Финансовый 3 3 3" xfId="470"/>
    <cellStyle name="Финансовый 4" xfId="471"/>
    <cellStyle name="Финансовый 5" xfId="472"/>
    <cellStyle name="Финансовый 6" xfId="473"/>
    <cellStyle name="Финансовый 7" xfId="474"/>
    <cellStyle name="Хороший 2" xfId="475"/>
    <cellStyle name="Хороший 3" xfId="476"/>
    <cellStyle name="Arial017000001516777215 2" xfId="477"/>
    <cellStyle name="Arial10110100001516777215 2" xfId="478"/>
    <cellStyle name="MS Sans Serif1017100001516777215 2" xfId="479"/>
    <cellStyle name="SAPBEXresDataEmph 5" xfId="480"/>
    <cellStyle name="SAPBEXresDataEmph 2 2" xfId="481"/>
    <cellStyle name="SAPBEXresDataEmph 3 2" xfId="482"/>
    <cellStyle name="SAPBEXresDataEmph 4 2" xfId="483"/>
    <cellStyle name="SAPBEXunassignedItem 6" xfId="484"/>
    <cellStyle name="SAPBEXunassignedItem 2 5" xfId="485"/>
    <cellStyle name="SAPBEXunassignedItem 2 2 2" xfId="486"/>
    <cellStyle name="SAPBEXunassignedItem 2 3 2" xfId="487"/>
    <cellStyle name="SAPBEXunassignedItem 2 4 2" xfId="488"/>
    <cellStyle name="SAPBEXunassignedItem 3 2" xfId="489"/>
    <cellStyle name="SAPBEXunassignedItem 4 2" xfId="490"/>
    <cellStyle name="SAPBEXunassignedItem 5 2" xfId="491"/>
    <cellStyle name="Финансовый 6 2" xfId="492"/>
    <cellStyle name="Финансовый 7 2" xfId="493"/>
    <cellStyle name="Процентный" xfId="494" builtinId="5"/>
    <cellStyle name="Обычный 58" xfId="495"/>
    <cellStyle name="Процентный 7" xfId="496"/>
    <cellStyle name="Обычный 59" xfId="497"/>
    <cellStyle name="Финансовый 8" xfId="498"/>
    <cellStyle name="Гиперссылка 2 2" xfId="499"/>
    <cellStyle name="Normal" xfId="500"/>
    <cellStyle name="Финансовый 3 4" xfId="501"/>
    <cellStyle name="Обычный 60" xfId="502"/>
    <cellStyle name="Обычный 3 6" xfId="503"/>
    <cellStyle name="Финансовый 2 3" xfId="504"/>
    <cellStyle name="Финансовый 4 2" xfId="505"/>
    <cellStyle name="Процентный 3 4" xfId="506"/>
    <cellStyle name="Финансовый 2 2 2" xfId="507"/>
    <cellStyle name="Гиперссылка" xfId="508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externalLink" Target="/xl/externalLinks/externalLink4.xml" Id="rId10"/><Relationship Type="http://schemas.openxmlformats.org/officeDocument/2006/relationships/externalLink" Target="/xl/externalLinks/externalLink5.xml" Id="rId11"/><Relationship Type="http://schemas.openxmlformats.org/officeDocument/2006/relationships/externalLink" Target="/xl/externalLinks/externalLink6.xml" Id="rId12"/><Relationship Type="http://schemas.openxmlformats.org/officeDocument/2006/relationships/externalLink" Target="/xl/externalLinks/externalLink7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evteev</author>
  </authors>
  <commentList>
    <comment ref="X68" authorId="0" shapeId="0">
      <text>
        <t xml:space="preserve">evteev:
28 х 2 контейнера 20 фт
</t>
      </text>
    </comment>
    <comment ref="X72" authorId="0" shapeId="0">
      <text>
        <t xml:space="preserve">evteev:
26 х 2 контейнера 20 фт
</t>
      </text>
    </comment>
    <comment ref="X76" authorId="0" shapeId="0">
      <text>
        <t xml:space="preserve">evteev:
26 х 2 контейнера 20 фт
</t>
      </text>
    </comment>
    <comment ref="L77" authorId="0" shapeId="0">
      <text>
        <t>evteev:
Цементовоз</t>
      </text>
    </comment>
    <comment ref="X85" authorId="0" shapeId="0">
      <text>
        <t>evteev:
Сцеп: 61х2вагона</t>
      </text>
    </comment>
    <comment ref="Q96" authorId="0" shapeId="0">
      <text>
        <t>evteev:
Промсорт-Калуга</t>
      </text>
    </comment>
    <comment ref="AC97" authorId="0" shapeId="0">
      <text>
        <t>evteev:
С охраной</t>
      </text>
    </comment>
    <comment ref="AI119" authorId="0" shapeId="0">
      <text>
        <t>evteev:
Себестоимость производства сляба</t>
      </text>
    </comment>
    <comment ref="X146" authorId="0" shapeId="0">
      <text>
        <t xml:space="preserve">evteev:
20 х 2 контейнера 20 фт
</t>
      </text>
    </comment>
    <comment ref="X147" authorId="0" shapeId="0">
      <text>
        <t xml:space="preserve">evteev:
25 х 2 контейнера 20 фт
</t>
      </text>
    </comment>
    <comment ref="X148" authorId="0" shapeId="0">
      <text>
        <t xml:space="preserve">evteev:
25 х 2 контейнера 20 фт
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&#1082;&#1086;&#1088;&#1088;&#1077;&#1082;&#1090;&#1080;&#1088;&#1086;&#1074;&#1086;&#1082;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AKARO~1/AppData/Local/Temp/BW/Analyzer/Workbooks/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1056;&#1040;&#1057;&#1063;&#1045;&#1058;&#1067;/&#1073;&#1083;&#1086;&#1082;&#1080;%20&#1088;&#1072;&#1089;&#1095;&#1077;&#1090;&#1086;&#1074;/&#1089;&#1093;&#1077;&#1084;&#1099;%20&#1076;&#1083;&#1103;%20&#1088;&#1072;&#1089;&#1095;&#1077;&#1090;&#1072;%20&#1090;&#1072;&#1088;&#1080;&#1092;&#1072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&#1089;%20&#1076;&#1080;&#1089;&#1082;&#1072;%20D/2_&#1042;&#1057;&#1045;%20&#1043;&#1056;&#1059;&#1047;&#1067;/2020_&#1074;&#1089;&#1077;%20&#1075;&#1088;&#1091;&#1079;&#1099;%20&#1062;&#1052;&#1058;&#1055;/3_&#1059;&#1043;&#1054;&#1051;&#1068;%202020/3_&#1041;&#1072;&#1083;&#1072;&#1085;&#1089;&#1080;&#1088;&#1086;&#1074;&#1082;&#1072;%20&#1090;&#1072;&#1088;&#1080;&#1092;&#1086;&#1074;/1_&#1041;&#1072;&#1083;&#1072;&#1085;&#1089;&#1080;&#1088;&#1086;&#1074;&#1082;&#1072;%20%20&#1047;&#1057;&#1041;%20&#1082;%20&#1070;&#1075;&#1091;/17_1_&#1086;&#1090;&#1084;&#1077;&#1085;&#1072;%200,4_&#1085;&#1072;%20&#1074;&#1077;&#1089;&#1100;%20&#1042;&#1086;&#1089;&#1090;&#1086;&#1082;_&#1064;&#1040;&#1043;&#1048;%20&#1090;&#1072;&#1088;&#1080;&#1092;%202020/1_&#1057;&#1095;&#1080;&#1090;&#1072;&#1083;&#1082;&#1072;_&#1091;&#1075;&#1086;&#1083;&#1100;%200,4%20&#1085;&#1072;%200,6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ru.myfin.by/currency/cb-rf-archive/2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156"/>
  <sheetViews>
    <sheetView zoomScale="55" zoomScaleNormal="55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F7" sqref="F7"/>
    </sheetView>
  </sheetViews>
  <sheetFormatPr baseColWidth="8" defaultRowHeight="14.6"/>
  <cols>
    <col width="18.84375" customWidth="1" style="123" min="1" max="1"/>
    <col width="8.84375" customWidth="1" style="123" min="2" max="2"/>
    <col width="27.84375" customWidth="1" style="123" min="3" max="3"/>
    <col width="10.3828125" customWidth="1" style="123" min="4" max="4"/>
    <col width="22.3046875" customWidth="1" style="123" min="5" max="5"/>
    <col width="29.15234375" customWidth="1" style="123" min="6" max="6"/>
    <col width="9.15234375" customWidth="1" style="123" min="7" max="8"/>
    <col width="24.3828125" customWidth="1" style="123" min="9" max="10"/>
    <col width="16.3046875" customWidth="1" style="123" min="11" max="11"/>
    <col width="17.3828125" customWidth="1" style="123" min="12" max="12"/>
    <col width="25.3046875" customWidth="1" style="123" min="13" max="13"/>
    <col width="18.53515625" customWidth="1" style="123" min="14" max="14"/>
    <col width="17.69140625" customWidth="1" style="123" min="15" max="15"/>
    <col width="15.3828125" customWidth="1" style="2" min="16" max="16"/>
    <col width="30.15234375" customWidth="1" style="123" min="17" max="18"/>
    <col width="30.15234375" customWidth="1" style="123" min="19" max="23"/>
    <col width="27.3046875" customWidth="1" style="123" min="24" max="25"/>
    <col width="27.3046875" customWidth="1" style="123" min="26" max="28"/>
    <col width="28.53515625" customWidth="1" style="123" min="29" max="29"/>
    <col width="19.61328125" customWidth="1" style="123" min="30" max="30"/>
    <col width="26.84375" customWidth="1" style="123" min="31" max="31"/>
    <col width="16.3828125" customWidth="1" style="123" min="32" max="32"/>
    <col width="14.69140625" customWidth="1" style="123" min="33" max="33"/>
    <col width="23.4609375" customWidth="1" style="123" min="34" max="34"/>
    <col width="20.15234375" customWidth="1" style="123" min="35" max="35"/>
    <col width="22" customWidth="1" style="123" min="36" max="37"/>
    <col width="25.84375" customWidth="1" style="123" min="38" max="38"/>
    <col width="18.84375" customWidth="1" style="123" min="39" max="39"/>
    <col width="22.3046875" customWidth="1" style="123" min="40" max="40"/>
    <col width="21.15234375" customWidth="1" style="123" min="41" max="41"/>
    <col width="19.3828125" customWidth="1" style="123" min="42" max="42"/>
    <col width="19.69140625" customWidth="1" style="123" min="43" max="43"/>
    <col width="21.69140625" customWidth="1" style="123" min="44" max="44"/>
    <col width="21.69140625" customWidth="1" style="123" min="45" max="46"/>
    <col width="22.23046875" customWidth="1" style="123" min="47" max="47"/>
    <col width="19.3828125" customWidth="1" style="123" min="48" max="48"/>
    <col width="17.23046875" customWidth="1" style="123" min="49" max="101"/>
    <col width="22.3828125" customWidth="1" style="123" min="253" max="253"/>
    <col width="22.69140625" customWidth="1" style="123" min="254" max="254"/>
    <col width="18.61328125" customWidth="1" style="123" min="255" max="255"/>
    <col width="16.23046875" customWidth="1" style="123" min="256" max="256"/>
    <col width="54" customWidth="1" style="123" min="257" max="257"/>
  </cols>
  <sheetData>
    <row r="1" ht="36.45" customHeight="1" s="123">
      <c r="P1" s="2" t="n"/>
      <c r="IS1" s="124" t="inlineStr">
        <is>
          <t>индексация жд тарифа</t>
        </is>
      </c>
      <c r="IT1" s="139" t="n"/>
      <c r="IU1" s="100" t="inlineStr">
        <is>
          <t>индексация заданная</t>
        </is>
      </c>
      <c r="IV1" s="140">
        <f>1+(IX1/1000)</f>
        <v/>
      </c>
      <c r="IW1" s="102" t="inlineStr">
        <is>
          <t>корректировка</t>
        </is>
      </c>
    </row>
    <row r="2" ht="34" customHeight="1" s="123">
      <c r="A2" s="141" t="inlineStr">
        <is>
          <t>параметры перевозок</t>
        </is>
      </c>
      <c r="B2" s="142" t="n"/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3" t="n"/>
      <c r="X2" s="144" t="inlineStr">
        <is>
          <t>параметры расчета тарифа</t>
        </is>
      </c>
      <c r="Y2" s="142" t="n"/>
      <c r="Z2" s="142" t="n"/>
      <c r="AA2" s="142" t="n"/>
      <c r="AB2" s="143" t="n"/>
      <c r="AC2" s="145" t="inlineStr">
        <is>
          <t>экономика перевозок в текущих условиях</t>
        </is>
      </c>
      <c r="AD2" s="142" t="n"/>
      <c r="AE2" s="142" t="n"/>
      <c r="AF2" s="142" t="n"/>
      <c r="AG2" s="142" t="n"/>
      <c r="AH2" s="142" t="n"/>
      <c r="AI2" s="142" t="n"/>
      <c r="AJ2" s="142" t="n"/>
      <c r="AK2" s="142" t="n"/>
      <c r="AL2" s="142" t="n"/>
      <c r="AM2" s="142" t="n"/>
      <c r="AN2" s="142" t="n"/>
      <c r="AO2" s="142" t="n"/>
      <c r="AP2" s="142" t="n"/>
      <c r="AQ2" s="142" t="n"/>
      <c r="AR2" s="142" t="n"/>
      <c r="AS2" s="143" t="n"/>
      <c r="AT2" s="59" t="inlineStr">
        <is>
          <t>для усреднения</t>
        </is>
      </c>
      <c r="AU2" s="137" t="inlineStr">
        <is>
          <t>Коэффициент загрузки предприятия</t>
        </is>
      </c>
      <c r="AV2" s="136" t="inlineStr">
        <is>
          <t>трнаспортная с индексацией</t>
        </is>
      </c>
      <c r="AW2" s="142" t="n"/>
      <c r="AX2" s="142" t="n"/>
      <c r="AY2" s="14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134" t="inlineStr">
        <is>
          <t>Изменение тарифа ОАО "РЖД"</t>
        </is>
      </c>
      <c r="CY2" s="142" t="n"/>
      <c r="CZ2" s="142" t="n"/>
      <c r="DA2" s="142" t="n"/>
      <c r="DB2" s="142" t="n"/>
      <c r="DC2" s="142" t="n"/>
      <c r="DD2" s="142" t="n"/>
      <c r="DE2" s="142" t="n"/>
      <c r="DF2" s="142" t="n"/>
      <c r="DG2" s="142" t="n"/>
      <c r="DH2" s="142" t="n"/>
      <c r="DI2" s="142" t="n"/>
      <c r="DJ2" s="142" t="n"/>
      <c r="DK2" s="142" t="n"/>
      <c r="DL2" s="142" t="n"/>
      <c r="DM2" s="142" t="n"/>
      <c r="DN2" s="142" t="n"/>
      <c r="DO2" s="142" t="n"/>
      <c r="DP2" s="142" t="n"/>
      <c r="DQ2" s="142" t="n"/>
      <c r="DR2" s="142" t="n"/>
      <c r="DS2" s="142" t="n"/>
      <c r="DT2" s="142" t="n"/>
      <c r="DU2" s="142" t="n"/>
      <c r="DV2" s="142" t="n"/>
      <c r="DW2" s="142" t="n"/>
      <c r="DX2" s="142" t="n"/>
      <c r="DY2" s="142" t="n"/>
      <c r="DZ2" s="142" t="n"/>
      <c r="EA2" s="142" t="n"/>
      <c r="EB2" s="142" t="n"/>
      <c r="EC2" s="142" t="n"/>
      <c r="ED2" s="142" t="n"/>
      <c r="EE2" s="142" t="n"/>
      <c r="EF2" s="142" t="n"/>
      <c r="EG2" s="142" t="n"/>
      <c r="EH2" s="142" t="n"/>
      <c r="EI2" s="142" t="n"/>
      <c r="EJ2" s="142" t="n"/>
      <c r="EK2" s="142" t="n"/>
      <c r="EL2" s="142" t="n"/>
      <c r="EM2" s="142" t="n"/>
      <c r="EN2" s="142" t="n"/>
      <c r="EO2" s="142" t="n"/>
      <c r="EP2" s="142" t="n"/>
      <c r="EQ2" s="142" t="n"/>
      <c r="ER2" s="142" t="n"/>
      <c r="ES2" s="142" t="n"/>
      <c r="ET2" s="142" t="n"/>
      <c r="EU2" s="142" t="n"/>
      <c r="EV2" s="142" t="n"/>
      <c r="EW2" s="142" t="n"/>
      <c r="EX2" s="142" t="n"/>
      <c r="EY2" s="142" t="n"/>
      <c r="EZ2" s="142" t="n"/>
      <c r="FA2" s="142" t="n"/>
      <c r="FB2" s="142" t="n"/>
      <c r="FC2" s="142" t="n"/>
      <c r="FD2" s="142" t="n"/>
      <c r="FE2" s="142" t="n"/>
      <c r="FF2" s="142" t="n"/>
      <c r="FG2" s="142" t="n"/>
      <c r="FH2" s="142" t="n"/>
      <c r="FI2" s="142" t="n"/>
      <c r="FJ2" s="142" t="n"/>
      <c r="FK2" s="142" t="n"/>
      <c r="FL2" s="142" t="n"/>
      <c r="FM2" s="142" t="n"/>
      <c r="FN2" s="142" t="n"/>
      <c r="FO2" s="142" t="n"/>
      <c r="FP2" s="142" t="n"/>
      <c r="FQ2" s="142" t="n"/>
      <c r="FR2" s="142" t="n"/>
      <c r="FS2" s="142" t="n"/>
      <c r="FT2" s="142" t="n"/>
      <c r="FU2" s="142" t="n"/>
      <c r="FV2" s="142" t="n"/>
      <c r="FW2" s="142" t="n"/>
      <c r="FX2" s="142" t="n"/>
      <c r="FY2" s="142" t="n"/>
      <c r="FZ2" s="142" t="n"/>
      <c r="GA2" s="142" t="n"/>
      <c r="GB2" s="142" t="n"/>
      <c r="GC2" s="142" t="n"/>
      <c r="GD2" s="142" t="n"/>
      <c r="GE2" s="142" t="n"/>
      <c r="GF2" s="142" t="n"/>
      <c r="GG2" s="142" t="n"/>
      <c r="GH2" s="142" t="n"/>
      <c r="GI2" s="142" t="n"/>
      <c r="GJ2" s="142" t="n"/>
      <c r="GK2" s="142" t="n"/>
      <c r="GL2" s="142" t="n"/>
      <c r="GM2" s="142" t="n"/>
      <c r="GN2" s="142" t="n"/>
      <c r="GO2" s="142" t="n"/>
      <c r="GP2" s="142" t="n"/>
      <c r="GQ2" s="142" t="n"/>
      <c r="GR2" s="142" t="n"/>
      <c r="GS2" s="142" t="n"/>
      <c r="GT2" s="142" t="n"/>
      <c r="GU2" s="142" t="n"/>
      <c r="GV2" s="142" t="n"/>
      <c r="GW2" s="142" t="n"/>
      <c r="GX2" s="142" t="n"/>
      <c r="GY2" s="142" t="n"/>
      <c r="GZ2" s="142" t="n"/>
      <c r="HA2" s="142" t="n"/>
      <c r="HB2" s="142" t="n"/>
      <c r="HC2" s="142" t="n"/>
      <c r="HD2" s="142" t="n"/>
      <c r="HE2" s="142" t="n"/>
      <c r="HF2" s="142" t="n"/>
      <c r="HG2" s="142" t="n"/>
      <c r="HH2" s="142" t="n"/>
      <c r="HI2" s="142" t="n"/>
      <c r="HJ2" s="142" t="n"/>
      <c r="HK2" s="142" t="n"/>
      <c r="HL2" s="142" t="n"/>
      <c r="HM2" s="142" t="n"/>
      <c r="HN2" s="142" t="n"/>
      <c r="HO2" s="142" t="n"/>
      <c r="HP2" s="142" t="n"/>
      <c r="HQ2" s="142" t="n"/>
      <c r="HR2" s="142" t="n"/>
      <c r="HS2" s="142" t="n"/>
      <c r="HT2" s="142" t="n"/>
      <c r="HU2" s="142" t="n"/>
      <c r="HV2" s="142" t="n"/>
      <c r="HW2" s="142" t="n"/>
      <c r="HX2" s="142" t="n"/>
      <c r="HY2" s="142" t="n"/>
      <c r="HZ2" s="142" t="n"/>
      <c r="IA2" s="142" t="n"/>
      <c r="IB2" s="142" t="n"/>
      <c r="IC2" s="142" t="n"/>
      <c r="ID2" s="142" t="n"/>
      <c r="IE2" s="142" t="n"/>
      <c r="IF2" s="142" t="n"/>
      <c r="IG2" s="142" t="n"/>
      <c r="IH2" s="142" t="n"/>
      <c r="II2" s="142" t="n"/>
      <c r="IJ2" s="142" t="n"/>
      <c r="IK2" s="142" t="n"/>
      <c r="IL2" s="142" t="n"/>
      <c r="IM2" s="142" t="n"/>
      <c r="IN2" s="142" t="n"/>
      <c r="IO2" s="142" t="n"/>
      <c r="IP2" s="142" t="n"/>
      <c r="IQ2" s="142" t="n"/>
      <c r="IR2" s="143" t="n"/>
      <c r="IS2" s="146">
        <f>ROUND(IU2,2)</f>
        <v/>
      </c>
      <c r="IT2" s="104">
        <f>IF(IS2&lt;0,"скидка","индексация")</f>
        <v/>
      </c>
      <c r="IU2" s="147" t="n">
        <v>0.12</v>
      </c>
      <c r="IV2" s="106" t="n">
        <v>1</v>
      </c>
      <c r="IW2" s="107" t="inlineStr">
        <is>
          <t>при корректировке коэфф НЕ может принимать значения &gt;1, если у ИПЕМ он &lt;=1, т.е. груз нечувствителен</t>
        </is>
      </c>
    </row>
    <row r="3" ht="116.7" customHeight="1" s="123">
      <c r="A3" s="75" t="inlineStr">
        <is>
          <t>Тип металлургии</t>
        </is>
      </c>
      <c r="B3" s="60" t="inlineStr">
        <is>
          <t>Код группы груза</t>
        </is>
      </c>
      <c r="C3" s="75" t="inlineStr">
        <is>
          <t>Группа груза</t>
        </is>
      </c>
      <c r="D3" s="75" t="inlineStr">
        <is>
          <t>Код груза</t>
        </is>
      </c>
      <c r="E3" s="75" t="inlineStr">
        <is>
          <t>Наим груза</t>
        </is>
      </c>
      <c r="F3" s="75" t="inlineStr">
        <is>
          <t>Вид груза</t>
        </is>
      </c>
      <c r="G3" s="75" t="inlineStr">
        <is>
          <t>Дор отпр</t>
        </is>
      </c>
      <c r="H3" s="75" t="inlineStr">
        <is>
          <t>Дор наз</t>
        </is>
      </c>
      <c r="I3" s="75" t="inlineStr">
        <is>
          <t>Станц отпр РФ</t>
        </is>
      </c>
      <c r="J3" s="75" t="inlineStr">
        <is>
          <t>Станц назн РФ</t>
        </is>
      </c>
      <c r="K3" s="75" t="inlineStr">
        <is>
          <t>Средняя дальность(км)</t>
        </is>
      </c>
      <c r="L3" s="75" t="inlineStr">
        <is>
          <t>Род вагона</t>
        </is>
      </c>
      <c r="M3" s="75" t="inlineStr">
        <is>
          <t>Вид перевозки</t>
        </is>
      </c>
      <c r="N3" s="75" t="inlineStr">
        <is>
          <t>Признак контейнерной отправки</t>
        </is>
      </c>
      <c r="O3" s="75" t="inlineStr">
        <is>
          <t>Направление</t>
        </is>
      </c>
      <c r="P3" s="75" t="inlineStr">
        <is>
          <t>ОКПО компании</t>
        </is>
      </c>
      <c r="Q3" s="75" t="inlineStr">
        <is>
          <t>Компания отправителя</t>
        </is>
      </c>
      <c r="R3" s="75" t="inlineStr">
        <is>
          <t>Холдинг отправителя</t>
        </is>
      </c>
      <c r="S3" s="75" t="inlineStr">
        <is>
          <t>Объем перевозок (тн)</t>
        </is>
      </c>
      <c r="T3" s="75" t="inlineStr">
        <is>
          <t>Грузооборот, ткм</t>
        </is>
      </c>
      <c r="U3" s="75" t="inlineStr">
        <is>
          <t>Кол-во вагонов</t>
        </is>
      </c>
      <c r="V3" s="75" t="inlineStr">
        <is>
          <t>Кол-во контейнеров</t>
        </is>
      </c>
      <c r="W3" s="75" t="inlineStr">
        <is>
          <t>Провозная плата, руб</t>
        </is>
      </c>
      <c r="X3" s="136" t="inlineStr">
        <is>
          <t>Загрузка вагона</t>
        </is>
      </c>
      <c r="Y3" s="136" t="inlineStr">
        <is>
          <t>Категория отправки</t>
        </is>
      </c>
      <c r="Z3" s="148" t="inlineStr">
        <is>
          <t>Груженый рейс, дней</t>
        </is>
      </c>
      <c r="AA3" s="148" t="inlineStr">
        <is>
          <t>Порожний рейс, дней</t>
        </is>
      </c>
      <c r="AB3" s="148" t="inlineStr">
        <is>
          <t>Погрузка-разгрузка, дней</t>
        </is>
      </c>
      <c r="AC3" s="149" t="inlineStr">
        <is>
          <t>Расходы по оплате услуг ОАО 'РЖД', руб. за тонну гружёный рейс</t>
        </is>
      </c>
      <c r="AD3" s="149" t="inlineStr">
        <is>
          <t>Расходы по оплате услуг ОАО 'РЖД', руб. за тонну порожний рейс</t>
        </is>
      </c>
      <c r="AE3" s="149" t="inlineStr">
        <is>
          <t>Расходы по оплате услуг ОАО 'РЖД', руб. за тонну общая стоимость (тарифные условия 2026 года)</t>
        </is>
      </c>
      <c r="AF3" s="150" t="inlineStr">
        <is>
          <t>Расходы по оплате услуг операторов, руб. за тонну</t>
        </is>
      </c>
      <c r="AG3" s="151" t="inlineStr">
        <is>
          <t>Расходы на перевалку, руб. за тонну</t>
        </is>
      </c>
      <c r="AH3" s="152" t="inlineStr">
        <is>
          <t>Акциз/пошлина</t>
        </is>
      </c>
      <c r="AI3" s="153" t="inlineStr">
        <is>
          <t>Себестоимость добычи/производства, руб. т.</t>
        </is>
      </c>
      <c r="AJ3" s="154" t="inlineStr">
        <is>
          <t>Стоимость 1 тонны на рынке, руб./т.</t>
        </is>
      </c>
      <c r="AK3" s="152" t="inlineStr">
        <is>
          <t>Стоимость 1 тонны на рынке, $/т.</t>
        </is>
      </c>
      <c r="AL3" s="152" t="inlineStr">
        <is>
          <t xml:space="preserve">Общие транспортные расходы, руб. за тонну </t>
        </is>
      </c>
      <c r="AM3" s="152" t="inlineStr">
        <is>
          <t xml:space="preserve">Нетбэк, руб. за тонну </t>
        </is>
      </c>
      <c r="AN3" s="152" t="inlineStr">
        <is>
          <t>Общие расходы, руб. за тонну</t>
        </is>
      </c>
      <c r="AO3" s="70" t="inlineStr">
        <is>
          <t>Маржинальность в текущих условиях</t>
        </is>
      </c>
      <c r="AP3" s="152" t="inlineStr">
        <is>
          <t>Транспортная составляющая в цене %</t>
        </is>
      </c>
      <c r="AQ3" s="152" t="inlineStr">
        <is>
          <t>Инфраструктурная составляющая в цене %</t>
        </is>
      </c>
      <c r="AR3" s="152" t="inlineStr">
        <is>
          <t>Инфраструктурная составляющая в транспортных затратах</t>
        </is>
      </c>
      <c r="AS3" s="71" t="inlineStr">
        <is>
          <t>Коэффициент сохранения базы В РАСЧЕТ</t>
        </is>
      </c>
      <c r="AT3" s="72" t="inlineStr">
        <is>
          <t>объем*
коэфф</t>
        </is>
      </c>
      <c r="AU3" s="155" t="n"/>
      <c r="AV3" s="70" t="inlineStr">
        <is>
          <t>Маржинальность с индексацией</t>
        </is>
      </c>
      <c r="AW3" s="152" t="inlineStr">
        <is>
          <t>Транспортная составляющая в цене %</t>
        </is>
      </c>
      <c r="AX3" s="152" t="inlineStr">
        <is>
          <t>Инфраструктурная составляющая в цене %</t>
        </is>
      </c>
      <c r="AY3" s="152" t="inlineStr">
        <is>
          <t>Инфраструктурная составляющая в транспортных затратах</t>
        </is>
      </c>
      <c r="AZ3" s="156">
        <f>ROUND(BA3-0.5%,3)</f>
        <v/>
      </c>
      <c r="BA3" s="156">
        <f>ROUND(BB3-0.5%,3)</f>
        <v/>
      </c>
      <c r="BB3" s="156">
        <f>ROUND(BC3-0.5%,3)</f>
        <v/>
      </c>
      <c r="BC3" s="156">
        <f>ROUND(BD3-0.5%,3)</f>
        <v/>
      </c>
      <c r="BD3" s="156">
        <f>ROUND(BE3-0.5%,3)</f>
        <v/>
      </c>
      <c r="BE3" s="156">
        <f>ROUND(BF3-0.5%,3)</f>
        <v/>
      </c>
      <c r="BF3" s="156">
        <f>ROUND(BG3-0.5%,3)</f>
        <v/>
      </c>
      <c r="BG3" s="156">
        <f>ROUND(BH3-0.5%,3)</f>
        <v/>
      </c>
      <c r="BH3" s="156">
        <f>ROUND(BI3-0.5%,3)</f>
        <v/>
      </c>
      <c r="BI3" s="156">
        <f>ROUND(BJ3-0.5%,3)</f>
        <v/>
      </c>
      <c r="BJ3" s="156">
        <f>ROUND(BK3-0.5%,3)</f>
        <v/>
      </c>
      <c r="BK3" s="156">
        <f>ROUND(BL3-0.5%,3)</f>
        <v/>
      </c>
      <c r="BL3" s="156">
        <f>ROUND(BM3-0.5%,3)</f>
        <v/>
      </c>
      <c r="BM3" s="156">
        <f>ROUND(BN3-0.5%,3)</f>
        <v/>
      </c>
      <c r="BN3" s="156">
        <f>ROUND(BO3-0.5%,3)</f>
        <v/>
      </c>
      <c r="BO3" s="156">
        <f>ROUND(BP3-0.5%,3)</f>
        <v/>
      </c>
      <c r="BP3" s="156">
        <f>ROUND(BQ3-0.5%,3)</f>
        <v/>
      </c>
      <c r="BQ3" s="156">
        <f>ROUND(BR3-0.5%,3)</f>
        <v/>
      </c>
      <c r="BR3" s="156">
        <f>ROUND(BS3-0.5%,3)</f>
        <v/>
      </c>
      <c r="BS3" s="156">
        <f>ROUND(BT3-0.5%,3)</f>
        <v/>
      </c>
      <c r="BT3" s="156">
        <f>ROUND(BU3-0.5%,3)</f>
        <v/>
      </c>
      <c r="BU3" s="156">
        <f>ROUND(BV3-0.5%,3)</f>
        <v/>
      </c>
      <c r="BV3" s="156">
        <f>ROUND(BW3-0.5%,3)</f>
        <v/>
      </c>
      <c r="BW3" s="156">
        <f>ROUND(BX3-0.5%,3)</f>
        <v/>
      </c>
      <c r="BX3" s="156">
        <f>ROUND(BY3-0.5%,3)</f>
        <v/>
      </c>
      <c r="BY3" s="156">
        <f>ROUND(BZ3-0.5%,3)</f>
        <v/>
      </c>
      <c r="BZ3" s="156">
        <f>ROUND(CA3-0.5%,3)</f>
        <v/>
      </c>
      <c r="CA3" s="156">
        <f>ROUND(CB3-0.5%,3)</f>
        <v/>
      </c>
      <c r="CB3" s="156">
        <f>ROUND(CC3-0.5%,3)</f>
        <v/>
      </c>
      <c r="CC3" s="156">
        <f>ROUND(CD3-0.5%,3)</f>
        <v/>
      </c>
      <c r="CD3" s="156">
        <f>ROUND(CE3-0.5%,3)</f>
        <v/>
      </c>
      <c r="CE3" s="156">
        <f>ROUND(CF3-0.5%,3)</f>
        <v/>
      </c>
      <c r="CF3" s="156">
        <f>ROUND(CG3-0.5%,3)</f>
        <v/>
      </c>
      <c r="CG3" s="156">
        <f>ROUND(CH3-0.5%,3)</f>
        <v/>
      </c>
      <c r="CH3" s="156">
        <f>ROUND(CI3-0.5%,3)</f>
        <v/>
      </c>
      <c r="CI3" s="156">
        <f>ROUND(CJ3-0.5%,3)</f>
        <v/>
      </c>
      <c r="CJ3" s="156">
        <f>ROUND(CK3-0.5%,3)</f>
        <v/>
      </c>
      <c r="CK3" s="156">
        <f>ROUND(CL3-0.5%,3)</f>
        <v/>
      </c>
      <c r="CL3" s="156">
        <f>ROUND(CM3-0.5%,3)</f>
        <v/>
      </c>
      <c r="CM3" s="156">
        <f>ROUND(CN3-0.5%,3)</f>
        <v/>
      </c>
      <c r="CN3" s="156">
        <f>ROUND(CO3-0.5%,3)</f>
        <v/>
      </c>
      <c r="CO3" s="156">
        <f>ROUND(CP3-0.5%,3)</f>
        <v/>
      </c>
      <c r="CP3" s="156">
        <f>ROUND(CQ3-0.5%,3)</f>
        <v/>
      </c>
      <c r="CQ3" s="156">
        <f>ROUND(CR3-0.5%,3)</f>
        <v/>
      </c>
      <c r="CR3" s="156">
        <f>ROUND(CS3-0.5%,3)</f>
        <v/>
      </c>
      <c r="CS3" s="156">
        <f>ROUND(CT3-0.5%,3)</f>
        <v/>
      </c>
      <c r="CT3" s="156">
        <f>ROUND(CU3-0.5%,3)</f>
        <v/>
      </c>
      <c r="CU3" s="156">
        <f>ROUND(CV3-0.5%,3)</f>
        <v/>
      </c>
      <c r="CV3" s="156">
        <f>ROUND(CW3-0.5%,3)</f>
        <v/>
      </c>
      <c r="CW3" s="156">
        <f>ROUND(CX3-0.5%,3)</f>
        <v/>
      </c>
      <c r="CX3" s="157" t="n">
        <v>-0.25</v>
      </c>
      <c r="CY3" s="158" t="n">
        <v>-0.245</v>
      </c>
      <c r="CZ3" s="158" t="n">
        <v>-0.24</v>
      </c>
      <c r="DA3" s="158" t="n">
        <v>-0.235</v>
      </c>
      <c r="DB3" s="158" t="n">
        <v>-0.23</v>
      </c>
      <c r="DC3" s="158" t="n">
        <v>-0.225</v>
      </c>
      <c r="DD3" s="158" t="n">
        <v>-0.22</v>
      </c>
      <c r="DE3" s="158" t="n">
        <v>-0.215</v>
      </c>
      <c r="DF3" s="158" t="n">
        <v>-0.21</v>
      </c>
      <c r="DG3" s="158" t="n">
        <v>-0.205</v>
      </c>
      <c r="DH3" s="158" t="n">
        <v>-0.2</v>
      </c>
      <c r="DI3" s="158" t="n">
        <v>-0.195</v>
      </c>
      <c r="DJ3" s="158" t="n">
        <v>-0.19</v>
      </c>
      <c r="DK3" s="158" t="n">
        <v>-0.185</v>
      </c>
      <c r="DL3" s="158" t="n">
        <v>-0.18</v>
      </c>
      <c r="DM3" s="158" t="n">
        <v>-0.175</v>
      </c>
      <c r="DN3" s="158" t="n">
        <v>-0.17</v>
      </c>
      <c r="DO3" s="158" t="n">
        <v>-0.165</v>
      </c>
      <c r="DP3" s="158" t="n">
        <v>-0.16</v>
      </c>
      <c r="DQ3" s="158" t="n">
        <v>-0.155</v>
      </c>
      <c r="DR3" s="158" t="n">
        <v>-0.15</v>
      </c>
      <c r="DS3" s="158" t="n">
        <v>-0.145</v>
      </c>
      <c r="DT3" s="158" t="n">
        <v>-0.14</v>
      </c>
      <c r="DU3" s="158" t="n">
        <v>-0.135</v>
      </c>
      <c r="DV3" s="158" t="n">
        <v>-0.13</v>
      </c>
      <c r="DW3" s="158" t="n">
        <v>-0.125</v>
      </c>
      <c r="DX3" s="158" t="n">
        <v>-0.12</v>
      </c>
      <c r="DY3" s="158" t="n">
        <v>-0.115</v>
      </c>
      <c r="DZ3" s="158" t="n">
        <v>-0.11</v>
      </c>
      <c r="EA3" s="158" t="n">
        <v>-0.105</v>
      </c>
      <c r="EB3" s="158" t="n">
        <v>-0.1</v>
      </c>
      <c r="EC3" s="158" t="n">
        <v>-0.095</v>
      </c>
      <c r="ED3" s="158" t="n">
        <v>-0.09</v>
      </c>
      <c r="EE3" s="158" t="n">
        <v>-0.08500000000000001</v>
      </c>
      <c r="EF3" s="158" t="n">
        <v>-0.08</v>
      </c>
      <c r="EG3" s="158" t="n">
        <v>-0.075</v>
      </c>
      <c r="EH3" s="158" t="n">
        <v>-0.07000000000000001</v>
      </c>
      <c r="EI3" s="158" t="n">
        <v>-0.065</v>
      </c>
      <c r="EJ3" s="158" t="n">
        <v>-0.06</v>
      </c>
      <c r="EK3" s="158" t="n">
        <v>-0.055</v>
      </c>
      <c r="EL3" s="158" t="n">
        <v>-0.05</v>
      </c>
      <c r="EM3" s="158" t="n">
        <v>-0.045</v>
      </c>
      <c r="EN3" s="158" t="n">
        <v>-0.04</v>
      </c>
      <c r="EO3" s="158" t="n">
        <v>-0.035</v>
      </c>
      <c r="EP3" s="158" t="n">
        <v>-0.03</v>
      </c>
      <c r="EQ3" s="158" t="n">
        <v>-0.025</v>
      </c>
      <c r="ER3" s="158" t="n">
        <v>-0.02</v>
      </c>
      <c r="ES3" s="158" t="n">
        <v>-0.015</v>
      </c>
      <c r="ET3" s="158" t="n">
        <v>-0.01</v>
      </c>
      <c r="EU3" s="158" t="n">
        <v>-0.005</v>
      </c>
      <c r="EV3" s="159" t="n">
        <v>0</v>
      </c>
      <c r="EW3" s="158" t="n">
        <v>0.005</v>
      </c>
      <c r="EX3" s="158" t="n">
        <v>0.01</v>
      </c>
      <c r="EY3" s="158" t="n">
        <v>0.015</v>
      </c>
      <c r="EZ3" s="158" t="n">
        <v>0.02</v>
      </c>
      <c r="FA3" s="158" t="n">
        <v>0.025</v>
      </c>
      <c r="FB3" s="158" t="n">
        <v>0.03</v>
      </c>
      <c r="FC3" s="158" t="n">
        <v>0.035</v>
      </c>
      <c r="FD3" s="158" t="n">
        <v>0.04</v>
      </c>
      <c r="FE3" s="158" t="n">
        <v>0.045</v>
      </c>
      <c r="FF3" s="158" t="n">
        <v>0.05</v>
      </c>
      <c r="FG3" s="158" t="n">
        <v>0.055</v>
      </c>
      <c r="FH3" s="158" t="n">
        <v>0.06</v>
      </c>
      <c r="FI3" s="158" t="n">
        <v>0.065</v>
      </c>
      <c r="FJ3" s="158" t="n">
        <v>0.07000000000000001</v>
      </c>
      <c r="FK3" s="158" t="n">
        <v>0.075</v>
      </c>
      <c r="FL3" s="158" t="n">
        <v>0.08</v>
      </c>
      <c r="FM3" s="158" t="n">
        <v>0.08500000000000001</v>
      </c>
      <c r="FN3" s="158" t="n">
        <v>0.09</v>
      </c>
      <c r="FO3" s="158" t="n">
        <v>0.095</v>
      </c>
      <c r="FP3" s="158" t="n">
        <v>0.1</v>
      </c>
      <c r="FQ3" s="158" t="n">
        <v>0.105</v>
      </c>
      <c r="FR3" s="158" t="n">
        <v>0.11</v>
      </c>
      <c r="FS3" s="158" t="n">
        <v>0.115</v>
      </c>
      <c r="FT3" s="158" t="n">
        <v>0.12</v>
      </c>
      <c r="FU3" s="158" t="n">
        <v>0.125</v>
      </c>
      <c r="FV3" s="158" t="n">
        <v>0.13</v>
      </c>
      <c r="FW3" s="158" t="n">
        <v>0.135</v>
      </c>
      <c r="FX3" s="158" t="n">
        <v>0.14</v>
      </c>
      <c r="FY3" s="158" t="n">
        <v>0.145</v>
      </c>
      <c r="FZ3" s="158" t="n">
        <v>0.15</v>
      </c>
      <c r="GA3" s="158" t="n">
        <v>0.155</v>
      </c>
      <c r="GB3" s="158" t="n">
        <v>0.16</v>
      </c>
      <c r="GC3" s="158" t="n">
        <v>0.165</v>
      </c>
      <c r="GD3" s="158" t="n">
        <v>0.17</v>
      </c>
      <c r="GE3" s="158" t="n">
        <v>0.175</v>
      </c>
      <c r="GF3" s="158" t="n">
        <v>0.18</v>
      </c>
      <c r="GG3" s="158" t="n">
        <v>0.185</v>
      </c>
      <c r="GH3" s="158" t="n">
        <v>0.19</v>
      </c>
      <c r="GI3" s="158" t="n">
        <v>0.195</v>
      </c>
      <c r="GJ3" s="158" t="n">
        <v>0.2</v>
      </c>
      <c r="GK3" s="158" t="n">
        <v>0.205</v>
      </c>
      <c r="GL3" s="158" t="n">
        <v>0.21</v>
      </c>
      <c r="GM3" s="158" t="n">
        <v>0.215</v>
      </c>
      <c r="GN3" s="158" t="n">
        <v>0.22</v>
      </c>
      <c r="GO3" s="158" t="n">
        <v>0.225</v>
      </c>
      <c r="GP3" s="158" t="n">
        <v>0.23</v>
      </c>
      <c r="GQ3" s="158" t="n">
        <v>0.235</v>
      </c>
      <c r="GR3" s="158" t="n">
        <v>0.24</v>
      </c>
      <c r="GS3" s="158" t="n">
        <v>0.245</v>
      </c>
      <c r="GT3" s="158" t="n">
        <v>0.25</v>
      </c>
      <c r="GU3" s="158" t="n">
        <v>0.255</v>
      </c>
      <c r="GV3" s="158" t="n">
        <v>0.26</v>
      </c>
      <c r="GW3" s="158" t="n">
        <v>0.265</v>
      </c>
      <c r="GX3" s="158" t="n">
        <v>0.27</v>
      </c>
      <c r="GY3" s="158" t="n">
        <v>0.275</v>
      </c>
      <c r="GZ3" s="158" t="n">
        <v>0.28</v>
      </c>
      <c r="HA3" s="158" t="n">
        <v>0.285</v>
      </c>
      <c r="HB3" s="158" t="n">
        <v>0.29</v>
      </c>
      <c r="HC3" s="158" t="n">
        <v>0.295</v>
      </c>
      <c r="HD3" s="158" t="n">
        <v>0.3</v>
      </c>
      <c r="HE3" s="158" t="n">
        <v>0.305</v>
      </c>
      <c r="HF3" s="158" t="n">
        <v>0.31</v>
      </c>
      <c r="HG3" s="158" t="n">
        <v>0.315</v>
      </c>
      <c r="HH3" s="158" t="n">
        <v>0.32</v>
      </c>
      <c r="HI3" s="158" t="n">
        <v>0.325</v>
      </c>
      <c r="HJ3" s="158" t="n">
        <v>0.33</v>
      </c>
      <c r="HK3" s="158" t="n">
        <v>0.335</v>
      </c>
      <c r="HL3" s="158" t="n">
        <v>0.34</v>
      </c>
      <c r="HM3" s="158" t="n">
        <v>0.345</v>
      </c>
      <c r="HN3" s="158" t="n">
        <v>0.35</v>
      </c>
      <c r="HO3" s="158" t="n">
        <v>0.355</v>
      </c>
      <c r="HP3" s="158" t="n">
        <v>0.36</v>
      </c>
      <c r="HQ3" s="158" t="n">
        <v>0.365</v>
      </c>
      <c r="HR3" s="158" t="n">
        <v>0.37</v>
      </c>
      <c r="HS3" s="158" t="n">
        <v>0.375</v>
      </c>
      <c r="HT3" s="158" t="n">
        <v>0.38</v>
      </c>
      <c r="HU3" s="158" t="n">
        <v>0.385</v>
      </c>
      <c r="HV3" s="158" t="n">
        <v>0.39</v>
      </c>
      <c r="HW3" s="158" t="n">
        <v>0.395</v>
      </c>
      <c r="HX3" s="158" t="n">
        <v>0.4</v>
      </c>
      <c r="HY3" s="158" t="n">
        <v>0.405</v>
      </c>
      <c r="HZ3" s="158" t="n">
        <v>0.41</v>
      </c>
      <c r="IA3" s="158" t="n">
        <v>0.415</v>
      </c>
      <c r="IB3" s="158" t="n">
        <v>0.42</v>
      </c>
      <c r="IC3" s="158" t="n">
        <v>0.425</v>
      </c>
      <c r="ID3" s="158" t="n">
        <v>0.43</v>
      </c>
      <c r="IE3" s="158" t="n">
        <v>0.435</v>
      </c>
      <c r="IF3" s="158" t="n">
        <v>0.44</v>
      </c>
      <c r="IG3" s="158" t="n">
        <v>0.445</v>
      </c>
      <c r="IH3" s="158" t="n">
        <v>0.45</v>
      </c>
      <c r="II3" s="158" t="n">
        <v>0.455</v>
      </c>
      <c r="IJ3" s="158" t="n">
        <v>0.46</v>
      </c>
      <c r="IK3" s="158" t="n">
        <v>0.465</v>
      </c>
      <c r="IL3" s="158" t="n">
        <v>0.47</v>
      </c>
      <c r="IM3" s="158" t="n">
        <v>0.475</v>
      </c>
      <c r="IN3" s="158" t="n">
        <v>0.48</v>
      </c>
      <c r="IO3" s="158" t="n">
        <v>0.485</v>
      </c>
      <c r="IP3" s="158" t="n">
        <v>0.49</v>
      </c>
      <c r="IQ3" s="158" t="n">
        <v>0.495</v>
      </c>
      <c r="IR3" s="158" t="n">
        <v>0.5</v>
      </c>
      <c r="IS3" s="71" t="inlineStr">
        <is>
          <t>Коэффициент сохранения базы ИПЕМ</t>
        </is>
      </c>
      <c r="IT3" s="71" t="inlineStr">
        <is>
          <t>Коэффициент сохранения базы с корректировкой</t>
        </is>
      </c>
      <c r="IU3" s="160" t="n"/>
      <c r="IV3" s="109" t="n"/>
      <c r="IW3" s="107" t="inlineStr">
        <is>
          <t>при корректировке коэфф МОЖЕТ принимать значения &gt;1, если у ИПЕМ он &lt;=1, т.е. груз нечувствителен</t>
        </is>
      </c>
    </row>
    <row r="4" ht="45" customHeight="1" s="123">
      <c r="A4" s="89" t="inlineStr">
        <is>
          <t>ЧМ (сырье)</t>
        </is>
      </c>
      <c r="B4" s="90" t="n">
        <v>2</v>
      </c>
      <c r="C4" s="5" t="inlineStr">
        <is>
          <t>Кокс каменноугольный</t>
        </is>
      </c>
      <c r="D4" s="91" t="n">
        <v>17103</v>
      </c>
      <c r="E4" s="91" t="inlineStr">
        <is>
          <t xml:space="preserve">Кокс доменный фракции свыше 25 мм </t>
        </is>
      </c>
      <c r="F4" s="92" t="inlineStr">
        <is>
          <t>КОКС КАМЕННОУГОЛЬНЫЙ</t>
        </is>
      </c>
      <c r="G4" s="91" t="inlineStr">
        <is>
          <t>СВР</t>
        </is>
      </c>
      <c r="H4" s="91" t="inlineStr">
        <is>
          <t>СВР</t>
        </is>
      </c>
      <c r="I4" s="91" t="inlineStr">
        <is>
          <t>ГУБАХА</t>
        </is>
      </c>
      <c r="J4" s="91" t="inlineStr">
        <is>
          <t>СМЫЧКА</t>
        </is>
      </c>
      <c r="K4" s="91" t="n">
        <v>309</v>
      </c>
      <c r="L4" s="91" t="inlineStr">
        <is>
          <t>Полувагоны</t>
        </is>
      </c>
      <c r="M4" s="91" t="inlineStr">
        <is>
          <t>Внутр. перевозки</t>
        </is>
      </c>
      <c r="N4" s="91" t="inlineStr">
        <is>
          <t>вагонная</t>
        </is>
      </c>
      <c r="O4" s="91" t="inlineStr">
        <is>
          <t xml:space="preserve">Южное </t>
        </is>
      </c>
      <c r="P4" s="89" t="inlineStr">
        <is>
          <t>'000053496484</t>
        </is>
      </c>
      <c r="Q4" s="91" t="inlineStr">
        <is>
          <t>'ОАО "Губахинский кокс"</t>
        </is>
      </c>
      <c r="R4" s="91" t="inlineStr">
        <is>
          <t>ЗАО "Стройсервис"</t>
        </is>
      </c>
      <c r="S4" s="87" t="n">
        <v>108133</v>
      </c>
      <c r="T4" s="87" t="n">
        <v>33413188</v>
      </c>
      <c r="U4" s="88" t="n">
        <v>2161</v>
      </c>
      <c r="V4" s="88" t="n">
        <v>0</v>
      </c>
      <c r="W4" s="87" t="n">
        <v>56573433</v>
      </c>
      <c r="X4" s="112" t="n">
        <v>52</v>
      </c>
      <c r="Y4" s="112" t="inlineStr">
        <is>
          <t>групповая</t>
        </is>
      </c>
      <c r="Z4" s="113" t="n">
        <v>4</v>
      </c>
      <c r="AA4" s="113" t="n">
        <v>4</v>
      </c>
      <c r="AB4" s="113" t="n">
        <v>4</v>
      </c>
      <c r="AC4" s="161" t="n">
        <v>555.75</v>
      </c>
      <c r="AD4" s="161">
        <f>AE4-AC4</f>
        <v/>
      </c>
      <c r="AE4" s="161" t="n">
        <v>698.02</v>
      </c>
      <c r="AF4" s="162">
        <f>(Z4+AA4+AB4)*'Ставки аренды'!$B$3/X4</f>
        <v/>
      </c>
      <c r="AG4" s="163" t="n">
        <v>0</v>
      </c>
      <c r="AH4" s="164" t="n">
        <v>0</v>
      </c>
      <c r="AI4" s="165">
        <f>0.855*AJ4</f>
        <v/>
      </c>
      <c r="AJ4" s="166">
        <f>Цены!$D$9</f>
        <v/>
      </c>
      <c r="AK4" s="164">
        <f>AJ4/Цены!$B$1</f>
        <v/>
      </c>
      <c r="AL4" s="164">
        <f>AE4+AF4+AG4</f>
        <v/>
      </c>
      <c r="AM4" s="164">
        <f>AJ4-AL4</f>
        <v/>
      </c>
      <c r="AN4" s="164">
        <f>AI4+AH4+AG4+AF4+AE4</f>
        <v/>
      </c>
      <c r="AO4" s="167">
        <f>(AJ4-AN4)/AJ4</f>
        <v/>
      </c>
      <c r="AP4" s="168">
        <f>AL4/AJ4</f>
        <v/>
      </c>
      <c r="AQ4" s="168">
        <f>AE4/AJ4</f>
        <v/>
      </c>
      <c r="AR4" s="168">
        <f>AE4/AL4</f>
        <v/>
      </c>
      <c r="AS4" s="169" t="n">
        <v>1</v>
      </c>
      <c r="AT4" s="121">
        <f>S4*AS4</f>
        <v/>
      </c>
      <c r="AU4" s="83" t="n">
        <v>0.9</v>
      </c>
      <c r="AV4" s="170">
        <f>(AJ4-(AE4*(1+$IS$2)+AF4+AG4+AH4+AI4))/AJ4</f>
        <v/>
      </c>
      <c r="AW4" s="171">
        <f>(AE4*(1+$IS$2)+AF4+AG4)/AJ4</f>
        <v/>
      </c>
      <c r="AX4" s="171">
        <f>(AE4*(1+$IS$2))/AJ4</f>
        <v/>
      </c>
      <c r="AY4" s="171">
        <f>(AE4*(1+$IS$2))/(AE4*(1+$IS$2)+AF4+AG4)</f>
        <v/>
      </c>
      <c r="AZ4" s="172">
        <f>MIN(IF($AU4=100%,1,1+VLOOKUP(($AJ4-$AI4-$AH4-$AG4-$AF4-$AE4*(1+AZ$3))/$AJ4,'Технический лист'!$A:$B,2,1)-VLOOKUP($AO4,'Технический лист'!$A:$B,2,1)),1+(1-$AU4))</f>
        <v/>
      </c>
      <c r="BA4" s="172">
        <f>MIN(IF($AU4=100%,1,1+VLOOKUP(($AJ4-$AI4-$AH4-$AG4-$AF4-$AE4*(1+BA$3))/$AJ4,'Технический лист'!$A:$B,2,1)-VLOOKUP($AO4,'Технический лист'!$A:$B,2,1)),1+(1-$AU4))</f>
        <v/>
      </c>
      <c r="BB4" s="172">
        <f>MIN(IF($AU4=100%,1,1+VLOOKUP(($AJ4-$AI4-$AH4-$AG4-$AF4-$AE4*(1+BB$3))/$AJ4,'Технический лист'!$A:$B,2,1)-VLOOKUP($AO4,'Технический лист'!$A:$B,2,1)),1+(1-$AU4))</f>
        <v/>
      </c>
      <c r="BC4" s="172">
        <f>MIN(IF($AU4=100%,1,1+VLOOKUP(($AJ4-$AI4-$AH4-$AG4-$AF4-$AE4*(1+BC$3))/$AJ4,'Технический лист'!$A:$B,2,1)-VLOOKUP($AO4,'Технический лист'!$A:$B,2,1)),1+(1-$AU4))</f>
        <v/>
      </c>
      <c r="BD4" s="172">
        <f>MIN(IF($AU4=100%,1,1+VLOOKUP(($AJ4-$AI4-$AH4-$AG4-$AF4-$AE4*(1+BD$3))/$AJ4,'Технический лист'!$A:$B,2,1)-VLOOKUP($AO4,'Технический лист'!$A:$B,2,1)),1+(1-$AU4))</f>
        <v/>
      </c>
      <c r="BE4" s="172">
        <f>MIN(IF($AU4=100%,1,1+VLOOKUP(($AJ4-$AI4-$AH4-$AG4-$AF4-$AE4*(1+BE$3))/$AJ4,'Технический лист'!$A:$B,2,1)-VLOOKUP($AO4,'Технический лист'!$A:$B,2,1)),1+(1-$AU4))</f>
        <v/>
      </c>
      <c r="BF4" s="172">
        <f>MIN(IF($AU4=100%,1,1+VLOOKUP(($AJ4-$AI4-$AH4-$AG4-$AF4-$AE4*(1+BF$3))/$AJ4,'Технический лист'!$A:$B,2,1)-VLOOKUP($AO4,'Технический лист'!$A:$B,2,1)),1+(1-$AU4))</f>
        <v/>
      </c>
      <c r="BG4" s="172">
        <f>MIN(IF($AU4=100%,1,1+VLOOKUP(($AJ4-$AI4-$AH4-$AG4-$AF4-$AE4*(1+BG$3))/$AJ4,'Технический лист'!$A:$B,2,1)-VLOOKUP($AO4,'Технический лист'!$A:$B,2,1)),1+(1-$AU4))</f>
        <v/>
      </c>
      <c r="BH4" s="172">
        <f>MIN(IF($AU4=100%,1,1+VLOOKUP(($AJ4-$AI4-$AH4-$AG4-$AF4-$AE4*(1+BH$3))/$AJ4,'Технический лист'!$A:$B,2,1)-VLOOKUP($AO4,'Технический лист'!$A:$B,2,1)),1+(1-$AU4))</f>
        <v/>
      </c>
      <c r="BI4" s="172">
        <f>MIN(IF($AU4=100%,1,1+VLOOKUP(($AJ4-$AI4-$AH4-$AG4-$AF4-$AE4*(1+BI$3))/$AJ4,'Технический лист'!$A:$B,2,1)-VLOOKUP($AO4,'Технический лист'!$A:$B,2,1)),1+(1-$AU4))</f>
        <v/>
      </c>
      <c r="BJ4" s="172">
        <f>MIN(IF($AU4=100%,1,1+VLOOKUP(($AJ4-$AI4-$AH4-$AG4-$AF4-$AE4*(1+BJ$3))/$AJ4,'Технический лист'!$A:$B,2,1)-VLOOKUP($AO4,'Технический лист'!$A:$B,2,1)),1+(1-$AU4))</f>
        <v/>
      </c>
      <c r="BK4" s="172">
        <f>MIN(IF($AU4=100%,1,1+VLOOKUP(($AJ4-$AI4-$AH4-$AG4-$AF4-$AE4*(1+BK$3))/$AJ4,'Технический лист'!$A:$B,2,1)-VLOOKUP($AO4,'Технический лист'!$A:$B,2,1)),1+(1-$AU4))</f>
        <v/>
      </c>
      <c r="BL4" s="172">
        <f>MIN(IF($AU4=100%,1,1+VLOOKUP(($AJ4-$AI4-$AH4-$AG4-$AF4-$AE4*(1+BL$3))/$AJ4,'Технический лист'!$A:$B,2,1)-VLOOKUP($AO4,'Технический лист'!$A:$B,2,1)),1+(1-$AU4))</f>
        <v/>
      </c>
      <c r="BM4" s="172">
        <f>MIN(IF($AU4=100%,1,1+VLOOKUP(($AJ4-$AI4-$AH4-$AG4-$AF4-$AE4*(1+BM$3))/$AJ4,'Технический лист'!$A:$B,2,1)-VLOOKUP($AO4,'Технический лист'!$A:$B,2,1)),1+(1-$AU4))</f>
        <v/>
      </c>
      <c r="BN4" s="172">
        <f>MIN(IF($AU4=100%,1,1+VLOOKUP(($AJ4-$AI4-$AH4-$AG4-$AF4-$AE4*(1+BN$3))/$AJ4,'Технический лист'!$A:$B,2,1)-VLOOKUP($AO4,'Технический лист'!$A:$B,2,1)),1+(1-$AU4))</f>
        <v/>
      </c>
      <c r="BO4" s="172">
        <f>MIN(IF($AU4=100%,1,1+VLOOKUP(($AJ4-$AI4-$AH4-$AG4-$AF4-$AE4*(1+BO$3))/$AJ4,'Технический лист'!$A:$B,2,1)-VLOOKUP($AO4,'Технический лист'!$A:$B,2,1)),1+(1-$AU4))</f>
        <v/>
      </c>
      <c r="BP4" s="172">
        <f>MIN(IF($AU4=100%,1,1+VLOOKUP(($AJ4-$AI4-$AH4-$AG4-$AF4-$AE4*(1+BP$3))/$AJ4,'Технический лист'!$A:$B,2,1)-VLOOKUP($AO4,'Технический лист'!$A:$B,2,1)),1+(1-$AU4))</f>
        <v/>
      </c>
      <c r="BQ4" s="172">
        <f>MIN(IF($AU4=100%,1,1+VLOOKUP(($AJ4-$AI4-$AH4-$AG4-$AF4-$AE4*(1+BQ$3))/$AJ4,'Технический лист'!$A:$B,2,1)-VLOOKUP($AO4,'Технический лист'!$A:$B,2,1)),1+(1-$AU4))</f>
        <v/>
      </c>
      <c r="BR4" s="172">
        <f>MIN(IF($AU4=100%,1,1+VLOOKUP(($AJ4-$AI4-$AH4-$AG4-$AF4-$AE4*(1+BR$3))/$AJ4,'Технический лист'!$A:$B,2,1)-VLOOKUP($AO4,'Технический лист'!$A:$B,2,1)),1+(1-$AU4))</f>
        <v/>
      </c>
      <c r="BS4" s="172">
        <f>MIN(IF($AU4=100%,1,1+VLOOKUP(($AJ4-$AI4-$AH4-$AG4-$AF4-$AE4*(1+BS$3))/$AJ4,'Технический лист'!$A:$B,2,1)-VLOOKUP($AO4,'Технический лист'!$A:$B,2,1)),1+(1-$AU4))</f>
        <v/>
      </c>
      <c r="BT4" s="172">
        <f>MIN(IF($AU4=100%,1,1+VLOOKUP(($AJ4-$AI4-$AH4-$AG4-$AF4-$AE4*(1+BT$3))/$AJ4,'Технический лист'!$A:$B,2,1)-VLOOKUP($AO4,'Технический лист'!$A:$B,2,1)),1+(1-$AU4))</f>
        <v/>
      </c>
      <c r="BU4" s="172">
        <f>MIN(IF($AU4=100%,1,1+VLOOKUP(($AJ4-$AI4-$AH4-$AG4-$AF4-$AE4*(1+BU$3))/$AJ4,'Технический лист'!$A:$B,2,1)-VLOOKUP($AO4,'Технический лист'!$A:$B,2,1)),1+(1-$AU4))</f>
        <v/>
      </c>
      <c r="BV4" s="172">
        <f>MIN(IF($AU4=100%,1,1+VLOOKUP(($AJ4-$AI4-$AH4-$AG4-$AF4-$AE4*(1+BV$3))/$AJ4,'Технический лист'!$A:$B,2,1)-VLOOKUP($AO4,'Технический лист'!$A:$B,2,1)),1+(1-$AU4))</f>
        <v/>
      </c>
      <c r="BW4" s="172">
        <f>MIN(IF($AU4=100%,1,1+VLOOKUP(($AJ4-$AI4-$AH4-$AG4-$AF4-$AE4*(1+BW$3))/$AJ4,'Технический лист'!$A:$B,2,1)-VLOOKUP($AO4,'Технический лист'!$A:$B,2,1)),1+(1-$AU4))</f>
        <v/>
      </c>
      <c r="BX4" s="172">
        <f>MIN(IF($AU4=100%,1,1+VLOOKUP(($AJ4-$AI4-$AH4-$AG4-$AF4-$AE4*(1+BX$3))/$AJ4,'Технический лист'!$A:$B,2,1)-VLOOKUP($AO4,'Технический лист'!$A:$B,2,1)),1+(1-$AU4))</f>
        <v/>
      </c>
      <c r="BY4" s="172">
        <f>MIN(IF($AU4=100%,1,1+VLOOKUP(($AJ4-$AI4-$AH4-$AG4-$AF4-$AE4*(1+BY$3))/$AJ4,'Технический лист'!$A:$B,2,1)-VLOOKUP($AO4,'Технический лист'!$A:$B,2,1)),1+(1-$AU4))</f>
        <v/>
      </c>
      <c r="BZ4" s="172">
        <f>MIN(IF($AU4=100%,1,1+VLOOKUP(($AJ4-$AI4-$AH4-$AG4-$AF4-$AE4*(1+BZ$3))/$AJ4,'Технический лист'!$A:$B,2,1)-VLOOKUP($AO4,'Технический лист'!$A:$B,2,1)),1+(1-$AU4))</f>
        <v/>
      </c>
      <c r="CA4" s="172">
        <f>MIN(IF($AU4=100%,1,1+VLOOKUP(($AJ4-$AI4-$AH4-$AG4-$AF4-$AE4*(1+CA$3))/$AJ4,'Технический лист'!$A:$B,2,1)-VLOOKUP($AO4,'Технический лист'!$A:$B,2,1)),1+(1-$AU4))</f>
        <v/>
      </c>
      <c r="CB4" s="172">
        <f>MIN(IF($AU4=100%,1,1+VLOOKUP(($AJ4-$AI4-$AH4-$AG4-$AF4-$AE4*(1+CB$3))/$AJ4,'Технический лист'!$A:$B,2,1)-VLOOKUP($AO4,'Технический лист'!$A:$B,2,1)),1+(1-$AU4))</f>
        <v/>
      </c>
      <c r="CC4" s="172">
        <f>MIN(IF($AU4=100%,1,1+VLOOKUP(($AJ4-$AI4-$AH4-$AG4-$AF4-$AE4*(1+CC$3))/$AJ4,'Технический лист'!$A:$B,2,1)-VLOOKUP($AO4,'Технический лист'!$A:$B,2,1)),1+(1-$AU4))</f>
        <v/>
      </c>
      <c r="CD4" s="172">
        <f>MIN(IF($AU4=100%,1,1+VLOOKUP(($AJ4-$AI4-$AH4-$AG4-$AF4-$AE4*(1+CD$3))/$AJ4,'Технический лист'!$A:$B,2,1)-VLOOKUP($AO4,'Технический лист'!$A:$B,2,1)),1+(1-$AU4))</f>
        <v/>
      </c>
      <c r="CE4" s="172">
        <f>MIN(IF($AU4=100%,1,1+VLOOKUP(($AJ4-$AI4-$AH4-$AG4-$AF4-$AE4*(1+CE$3))/$AJ4,'Технический лист'!$A:$B,2,1)-VLOOKUP($AO4,'Технический лист'!$A:$B,2,1)),1+(1-$AU4))</f>
        <v/>
      </c>
      <c r="CF4" s="172">
        <f>MIN(IF($AU4=100%,1,1+VLOOKUP(($AJ4-$AI4-$AH4-$AG4-$AF4-$AE4*(1+CF$3))/$AJ4,'Технический лист'!$A:$B,2,1)-VLOOKUP($AO4,'Технический лист'!$A:$B,2,1)),1+(1-$AU4))</f>
        <v/>
      </c>
      <c r="CG4" s="172">
        <f>MIN(IF($AU4=100%,1,1+VLOOKUP(($AJ4-$AI4-$AH4-$AG4-$AF4-$AE4*(1+CG$3))/$AJ4,'Технический лист'!$A:$B,2,1)-VLOOKUP($AO4,'Технический лист'!$A:$B,2,1)),1+(1-$AU4))</f>
        <v/>
      </c>
      <c r="CH4" s="172">
        <f>MIN(IF($AU4=100%,1,1+VLOOKUP(($AJ4-$AI4-$AH4-$AG4-$AF4-$AE4*(1+CH$3))/$AJ4,'Технический лист'!$A:$B,2,1)-VLOOKUP($AO4,'Технический лист'!$A:$B,2,1)),1+(1-$AU4))</f>
        <v/>
      </c>
      <c r="CI4" s="172">
        <f>MIN(IF($AU4=100%,1,1+VLOOKUP(($AJ4-$AI4-$AH4-$AG4-$AF4-$AE4*(1+CI$3))/$AJ4,'Технический лист'!$A:$B,2,1)-VLOOKUP($AO4,'Технический лист'!$A:$B,2,1)),1+(1-$AU4))</f>
        <v/>
      </c>
      <c r="CJ4" s="172">
        <f>MIN(IF($AU4=100%,1,1+VLOOKUP(($AJ4-$AI4-$AH4-$AG4-$AF4-$AE4*(1+CJ$3))/$AJ4,'Технический лист'!$A:$B,2,1)-VLOOKUP($AO4,'Технический лист'!$A:$B,2,1)),1+(1-$AU4))</f>
        <v/>
      </c>
      <c r="CK4" s="172">
        <f>MIN(IF($AU4=100%,1,1+VLOOKUP(($AJ4-$AI4-$AH4-$AG4-$AF4-$AE4*(1+CK$3))/$AJ4,'Технический лист'!$A:$B,2,1)-VLOOKUP($AO4,'Технический лист'!$A:$B,2,1)),1+(1-$AU4))</f>
        <v/>
      </c>
      <c r="CL4" s="172">
        <f>MIN(IF($AU4=100%,1,1+VLOOKUP(($AJ4-$AI4-$AH4-$AG4-$AF4-$AE4*(1+CL$3))/$AJ4,'Технический лист'!$A:$B,2,1)-VLOOKUP($AO4,'Технический лист'!$A:$B,2,1)),1+(1-$AU4))</f>
        <v/>
      </c>
      <c r="CM4" s="172">
        <f>MIN(IF($AU4=100%,1,1+VLOOKUP(($AJ4-$AI4-$AH4-$AG4-$AF4-$AE4*(1+CM$3))/$AJ4,'Технический лист'!$A:$B,2,1)-VLOOKUP($AO4,'Технический лист'!$A:$B,2,1)),1+(1-$AU4))</f>
        <v/>
      </c>
      <c r="CN4" s="172">
        <f>MIN(IF($AU4=100%,1,1+VLOOKUP(($AJ4-$AI4-$AH4-$AG4-$AF4-$AE4*(1+CN$3))/$AJ4,'Технический лист'!$A:$B,2,1)-VLOOKUP($AO4,'Технический лист'!$A:$B,2,1)),1+(1-$AU4))</f>
        <v/>
      </c>
      <c r="CO4" s="172">
        <f>MIN(IF($AU4=100%,1,1+VLOOKUP(($AJ4-$AI4-$AH4-$AG4-$AF4-$AE4*(1+CO$3))/$AJ4,'Технический лист'!$A:$B,2,1)-VLOOKUP($AO4,'Технический лист'!$A:$B,2,1)),1+(1-$AU4))</f>
        <v/>
      </c>
      <c r="CP4" s="172">
        <f>MIN(IF($AU4=100%,1,1+VLOOKUP(($AJ4-$AI4-$AH4-$AG4-$AF4-$AE4*(1+CP$3))/$AJ4,'Технический лист'!$A:$B,2,1)-VLOOKUP($AO4,'Технический лист'!$A:$B,2,1)),1+(1-$AU4))</f>
        <v/>
      </c>
      <c r="CQ4" s="172">
        <f>MIN(IF($AU4=100%,1,1+VLOOKUP(($AJ4-$AI4-$AH4-$AG4-$AF4-$AE4*(1+CQ$3))/$AJ4,'Технический лист'!$A:$B,2,1)-VLOOKUP($AO4,'Технический лист'!$A:$B,2,1)),1+(1-$AU4))</f>
        <v/>
      </c>
      <c r="CR4" s="172">
        <f>MIN(IF($AU4=100%,1,1+VLOOKUP(($AJ4-$AI4-$AH4-$AG4-$AF4-$AE4*(1+CR$3))/$AJ4,'Технический лист'!$A:$B,2,1)-VLOOKUP($AO4,'Технический лист'!$A:$B,2,1)),1+(1-$AU4))</f>
        <v/>
      </c>
      <c r="CS4" s="172">
        <f>MIN(IF($AU4=100%,1,1+VLOOKUP(($AJ4-$AI4-$AH4-$AG4-$AF4-$AE4*(1+CS$3))/$AJ4,'Технический лист'!$A:$B,2,1)-VLOOKUP($AO4,'Технический лист'!$A:$B,2,1)),1+(1-$AU4))</f>
        <v/>
      </c>
      <c r="CT4" s="172">
        <f>MIN(IF($AU4=100%,1,1+VLOOKUP(($AJ4-$AI4-$AH4-$AG4-$AF4-$AE4*(1+CT$3))/$AJ4,'Технический лист'!$A:$B,2,1)-VLOOKUP($AO4,'Технический лист'!$A:$B,2,1)),1+(1-$AU4))</f>
        <v/>
      </c>
      <c r="CU4" s="172">
        <f>MIN(IF($AU4=100%,1,1+VLOOKUP(($AJ4-$AI4-$AH4-$AG4-$AF4-$AE4*(1+CU$3))/$AJ4,'Технический лист'!$A:$B,2,1)-VLOOKUP($AO4,'Технический лист'!$A:$B,2,1)),1+(1-$AU4))</f>
        <v/>
      </c>
      <c r="CV4" s="172">
        <f>MIN(IF($AU4=100%,1,1+VLOOKUP(($AJ4-$AI4-$AH4-$AG4-$AF4-$AE4*(1+CV$3))/$AJ4,'Технический лист'!$A:$B,2,1)-VLOOKUP($AO4,'Технический лист'!$A:$B,2,1)),1+(1-$AU4))</f>
        <v/>
      </c>
      <c r="CW4" s="172">
        <f>MIN(IF($AU4=100%,1,1+VLOOKUP(($AJ4-$AI4-$AH4-$AG4-$AF4-$AE4*(1+CW$3))/$AJ4,'Технический лист'!$A:$B,2,1)-VLOOKUP($AO4,'Технический лист'!$A:$B,2,1)),1+(1-$AU4))</f>
        <v/>
      </c>
      <c r="CX4" s="172">
        <f>MIN(IF($AU4=100%,1,1+VLOOKUP(($AJ4-$AI4-$AH4-$AG4-$AF4-$AE4*(1+CX$3))/$AJ4,'Технический лист'!$A:$B,2,1)-VLOOKUP($AO4,'Технический лист'!$A:$B,2,1)),1+(1-$AU4))</f>
        <v/>
      </c>
      <c r="CY4" s="172">
        <f>MIN(IF($AU4=100%,1,1+VLOOKUP(($AJ4-$AI4-$AH4-$AG4-$AF4-$AE4*(1+CY$3))/$AJ4,'Технический лист'!$A:$B,2,1)-VLOOKUP($AO4,'Технический лист'!$A:$B,2,1)),1+(1-$AU4))</f>
        <v/>
      </c>
      <c r="CZ4" s="172">
        <f>MIN(IF($AU4=100%,1,1+VLOOKUP(($AJ4-$AI4-$AH4-$AG4-$AF4-$AE4*(1+CZ$3))/$AJ4,'Технический лист'!$A:$B,2,1)-VLOOKUP($AO4,'Технический лист'!$A:$B,2,1)),1+(1-$AU4))</f>
        <v/>
      </c>
      <c r="DA4" s="172">
        <f>MIN(IF($AU4=100%,1,1+VLOOKUP(($AJ4-$AI4-$AH4-$AG4-$AF4-$AE4*(1+DA$3))/$AJ4,'Технический лист'!$A:$B,2,1)-VLOOKUP($AO4,'Технический лист'!$A:$B,2,1)),1+(1-$AU4))</f>
        <v/>
      </c>
      <c r="DB4" s="172">
        <f>MIN(IF($AU4=100%,1,1+VLOOKUP(($AJ4-$AI4-$AH4-$AG4-$AF4-$AE4*(1+DB$3))/$AJ4,'Технический лист'!$A:$B,2,1)-VLOOKUP($AO4,'Технический лист'!$A:$B,2,1)),1+(1-$AU4))</f>
        <v/>
      </c>
      <c r="DC4" s="172">
        <f>MIN(IF($AU4=100%,1,1+VLOOKUP(($AJ4-$AI4-$AH4-$AG4-$AF4-$AE4*(1+DC$3))/$AJ4,'Технический лист'!$A:$B,2,1)-VLOOKUP($AO4,'Технический лист'!$A:$B,2,1)),1+(1-$AU4))</f>
        <v/>
      </c>
      <c r="DD4" s="172">
        <f>MIN(IF($AU4=100%,1,1+VLOOKUP(($AJ4-$AI4-$AH4-$AG4-$AF4-$AE4*(1+DD$3))/$AJ4,'Технический лист'!$A:$B,2,1)-VLOOKUP($AO4,'Технический лист'!$A:$B,2,1)),1+(1-$AU4))</f>
        <v/>
      </c>
      <c r="DE4" s="172">
        <f>MIN(IF($AU4=100%,1,1+VLOOKUP(($AJ4-$AI4-$AH4-$AG4-$AF4-$AE4*(1+DE$3))/$AJ4,'Технический лист'!$A:$B,2,1)-VLOOKUP($AO4,'Технический лист'!$A:$B,2,1)),1+(1-$AU4))</f>
        <v/>
      </c>
      <c r="DF4" s="172">
        <f>MIN(IF($AU4=100%,1,1+VLOOKUP(($AJ4-$AI4-$AH4-$AG4-$AF4-$AE4*(1+DF$3))/$AJ4,'Технический лист'!$A:$B,2,1)-VLOOKUP($AO4,'Технический лист'!$A:$B,2,1)),1+(1-$AU4))</f>
        <v/>
      </c>
      <c r="DG4" s="172">
        <f>MIN(IF($AU4=100%,1,1+VLOOKUP(($AJ4-$AI4-$AH4-$AG4-$AF4-$AE4*(1+DG$3))/$AJ4,'Технический лист'!$A:$B,2,1)-VLOOKUP($AO4,'Технический лист'!$A:$B,2,1)),1+(1-$AU4))</f>
        <v/>
      </c>
      <c r="DH4" s="172">
        <f>MIN(IF($AU4=100%,1,1+VLOOKUP(($AJ4-$AI4-$AH4-$AG4-$AF4-$AE4*(1+DH$3))/$AJ4,'Технический лист'!$A:$B,2,1)-VLOOKUP($AO4,'Технический лист'!$A:$B,2,1)),1+(1-$AU4))</f>
        <v/>
      </c>
      <c r="DI4" s="172">
        <f>MIN(IF($AU4=100%,1,1+VLOOKUP(($AJ4-$AI4-$AH4-$AG4-$AF4-$AE4*(1+DI$3))/$AJ4,'Технический лист'!$A:$B,2,1)-VLOOKUP($AO4,'Технический лист'!$A:$B,2,1)),1+(1-$AU4))</f>
        <v/>
      </c>
      <c r="DJ4" s="172">
        <f>MIN(IF($AU4=100%,1,1+VLOOKUP(($AJ4-$AI4-$AH4-$AG4-$AF4-$AE4*(1+DJ$3))/$AJ4,'Технический лист'!$A:$B,2,1)-VLOOKUP($AO4,'Технический лист'!$A:$B,2,1)),1+(1-$AU4))</f>
        <v/>
      </c>
      <c r="DK4" s="172">
        <f>MIN(IF($AU4=100%,1,1+VLOOKUP(($AJ4-$AI4-$AH4-$AG4-$AF4-$AE4*(1+DK$3))/$AJ4,'Технический лист'!$A:$B,2,1)-VLOOKUP($AO4,'Технический лист'!$A:$B,2,1)),1+(1-$AU4))</f>
        <v/>
      </c>
      <c r="DL4" s="172">
        <f>MIN(IF($AU4=100%,1,1+VLOOKUP(($AJ4-$AI4-$AH4-$AG4-$AF4-$AE4*(1+DL$3))/$AJ4,'Технический лист'!$A:$B,2,1)-VLOOKUP($AO4,'Технический лист'!$A:$B,2,1)),1+(1-$AU4))</f>
        <v/>
      </c>
      <c r="DM4" s="172">
        <f>MIN(IF($AU4=100%,1,1+VLOOKUP(($AJ4-$AI4-$AH4-$AG4-$AF4-$AE4*(1+DM$3))/$AJ4,'Технический лист'!$A:$B,2,1)-VLOOKUP($AO4,'Технический лист'!$A:$B,2,1)),1+(1-$AU4))</f>
        <v/>
      </c>
      <c r="DN4" s="172">
        <f>MIN(IF($AU4=100%,1,1+VLOOKUP(($AJ4-$AI4-$AH4-$AG4-$AF4-$AE4*(1+DN$3))/$AJ4,'Технический лист'!$A:$B,2,1)-VLOOKUP($AO4,'Технический лист'!$A:$B,2,1)),1+(1-$AU4))</f>
        <v/>
      </c>
      <c r="DO4" s="172">
        <f>MIN(IF($AU4=100%,1,1+VLOOKUP(($AJ4-$AI4-$AH4-$AG4-$AF4-$AE4*(1+DO$3))/$AJ4,'Технический лист'!$A:$B,2,1)-VLOOKUP($AO4,'Технический лист'!$A:$B,2,1)),1+(1-$AU4))</f>
        <v/>
      </c>
      <c r="DP4" s="172">
        <f>MIN(IF($AU4=100%,1,1+VLOOKUP(($AJ4-$AI4-$AH4-$AG4-$AF4-$AE4*(1+DP$3))/$AJ4,'Технический лист'!$A:$B,2,1)-VLOOKUP($AO4,'Технический лист'!$A:$B,2,1)),1+(1-$AU4))</f>
        <v/>
      </c>
      <c r="DQ4" s="172">
        <f>MIN(IF($AU4=100%,1,1+VLOOKUP(($AJ4-$AI4-$AH4-$AG4-$AF4-$AE4*(1+DQ$3))/$AJ4,'Технический лист'!$A:$B,2,1)-VLOOKUP($AO4,'Технический лист'!$A:$B,2,1)),1+(1-$AU4))</f>
        <v/>
      </c>
      <c r="DR4" s="172">
        <f>MIN(IF($AU4=100%,1,1+VLOOKUP(($AJ4-$AI4-$AH4-$AG4-$AF4-$AE4*(1+DR$3))/$AJ4,'Технический лист'!$A:$B,2,1)-VLOOKUP($AO4,'Технический лист'!$A:$B,2,1)),1+(1-$AU4))</f>
        <v/>
      </c>
      <c r="DS4" s="172">
        <f>MIN(IF($AU4=100%,1,1+VLOOKUP(($AJ4-$AI4-$AH4-$AG4-$AF4-$AE4*(1+DS$3))/$AJ4,'Технический лист'!$A:$B,2,1)-VLOOKUP($AO4,'Технический лист'!$A:$B,2,1)),1+(1-$AU4))</f>
        <v/>
      </c>
      <c r="DT4" s="172">
        <f>MIN(IF($AU4=100%,1,1+VLOOKUP(($AJ4-$AI4-$AH4-$AG4-$AF4-$AE4*(1+DT$3))/$AJ4,'Технический лист'!$A:$B,2,1)-VLOOKUP($AO4,'Технический лист'!$A:$B,2,1)),1+(1-$AU4))</f>
        <v/>
      </c>
      <c r="DU4" s="172">
        <f>MIN(IF($AU4=100%,1,1+VLOOKUP(($AJ4-$AI4-$AH4-$AG4-$AF4-$AE4*(1+DU$3))/$AJ4,'Технический лист'!$A:$B,2,1)-VLOOKUP($AO4,'Технический лист'!$A:$B,2,1)),1+(1-$AU4))</f>
        <v/>
      </c>
      <c r="DV4" s="172">
        <f>MIN(IF($AU4=100%,1,1+VLOOKUP(($AJ4-$AI4-$AH4-$AG4-$AF4-$AE4*(1+DV$3))/$AJ4,'Технический лист'!$A:$B,2,1)-VLOOKUP($AO4,'Технический лист'!$A:$B,2,1)),1+(1-$AU4))</f>
        <v/>
      </c>
      <c r="DW4" s="172">
        <f>MIN(IF($AU4=100%,1,1+VLOOKUP(($AJ4-$AI4-$AH4-$AG4-$AF4-$AE4*(1+DW$3))/$AJ4,'Технический лист'!$A:$B,2,1)-VLOOKUP($AO4,'Технический лист'!$A:$B,2,1)),1+(1-$AU4))</f>
        <v/>
      </c>
      <c r="DX4" s="172">
        <f>MIN(IF($AU4=100%,1,1+VLOOKUP(($AJ4-$AI4-$AH4-$AG4-$AF4-$AE4*(1+DX$3))/$AJ4,'Технический лист'!$A:$B,2,1)-VLOOKUP($AO4,'Технический лист'!$A:$B,2,1)),1+(1-$AU4))</f>
        <v/>
      </c>
      <c r="DY4" s="172">
        <f>MIN(IF($AU4=100%,1,1+VLOOKUP(($AJ4-$AI4-$AH4-$AG4-$AF4-$AE4*(1+DY$3))/$AJ4,'Технический лист'!$A:$B,2,1)-VLOOKUP($AO4,'Технический лист'!$A:$B,2,1)),1+(1-$AU4))</f>
        <v/>
      </c>
      <c r="DZ4" s="172">
        <f>MIN(IF($AU4=100%,1,1+VLOOKUP(($AJ4-$AI4-$AH4-$AG4-$AF4-$AE4*(1+DZ$3))/$AJ4,'Технический лист'!$A:$B,2,1)-VLOOKUP($AO4,'Технический лист'!$A:$B,2,1)),1+(1-$AU4))</f>
        <v/>
      </c>
      <c r="EA4" s="172">
        <f>MIN(IF($AU4=100%,1,1+VLOOKUP(($AJ4-$AI4-$AH4-$AG4-$AF4-$AE4*(1+EA$3))/$AJ4,'Технический лист'!$A:$B,2,1)-VLOOKUP($AO4,'Технический лист'!$A:$B,2,1)),1+(1-$AU4))</f>
        <v/>
      </c>
      <c r="EB4" s="172">
        <f>MIN(IF($AU4=100%,1,1+VLOOKUP(($AJ4-$AI4-$AH4-$AG4-$AF4-$AE4*(1+EB$3))/$AJ4,'Технический лист'!$A:$B,2,1)-VLOOKUP($AO4,'Технический лист'!$A:$B,2,1)),1+(1-$AU4))</f>
        <v/>
      </c>
      <c r="EC4" s="172">
        <f>MIN(IF($AU4=100%,1,1+VLOOKUP(($AJ4-$AI4-$AH4-$AG4-$AF4-$AE4*(1+EC$3))/$AJ4,'Технический лист'!$A:$B,2,1)-VLOOKUP($AO4,'Технический лист'!$A:$B,2,1)),1+(1-$AU4))</f>
        <v/>
      </c>
      <c r="ED4" s="172">
        <f>MIN(IF($AU4=100%,1,1+VLOOKUP(($AJ4-$AI4-$AH4-$AG4-$AF4-$AE4*(1+ED$3))/$AJ4,'Технический лист'!$A:$B,2,1)-VLOOKUP($AO4,'Технический лист'!$A:$B,2,1)),1+(1-$AU4))</f>
        <v/>
      </c>
      <c r="EE4" s="172">
        <f>MIN(IF($AU4=100%,1,1+VLOOKUP(($AJ4-$AI4-$AH4-$AG4-$AF4-$AE4*(1+EE$3))/$AJ4,'Технический лист'!$A:$B,2,1)-VLOOKUP($AO4,'Технический лист'!$A:$B,2,1)),1+(1-$AU4))</f>
        <v/>
      </c>
      <c r="EF4" s="172">
        <f>MIN(IF($AU4=100%,1,1+VLOOKUP(($AJ4-$AI4-$AH4-$AG4-$AF4-$AE4*(1+EF$3))/$AJ4,'Технический лист'!$A:$B,2,1)-VLOOKUP($AO4,'Технический лист'!$A:$B,2,1)),1+(1-$AU4))</f>
        <v/>
      </c>
      <c r="EG4" s="172">
        <f>MIN(IF($AU4=100%,1,1+VLOOKUP(($AJ4-$AI4-$AH4-$AG4-$AF4-$AE4*(1+EG$3))/$AJ4,'Технический лист'!$A:$B,2,1)-VLOOKUP($AO4,'Технический лист'!$A:$B,2,1)),1+(1-$AU4))</f>
        <v/>
      </c>
      <c r="EH4" s="172">
        <f>MIN(IF($AU4=100%,1,1+VLOOKUP(($AJ4-$AI4-$AH4-$AG4-$AF4-$AE4*(1+EH$3))/$AJ4,'Технический лист'!$A:$B,2,1)-VLOOKUP($AO4,'Технический лист'!$A:$B,2,1)),1+(1-$AU4))</f>
        <v/>
      </c>
      <c r="EI4" s="172">
        <f>MIN(IF($AU4=100%,1,1+VLOOKUP(($AJ4-$AI4-$AH4-$AG4-$AF4-$AE4*(1+EI$3))/$AJ4,'Технический лист'!$A:$B,2,1)-VLOOKUP($AO4,'Технический лист'!$A:$B,2,1)),1+(1-$AU4))</f>
        <v/>
      </c>
      <c r="EJ4" s="172">
        <f>MIN(IF($AU4=100%,1,1+VLOOKUP(($AJ4-$AI4-$AH4-$AG4-$AF4-$AE4*(1+EJ$3))/$AJ4,'Технический лист'!$A:$B,2,1)-VLOOKUP($AO4,'Технический лист'!$A:$B,2,1)),1+(1-$AU4))</f>
        <v/>
      </c>
      <c r="EK4" s="172">
        <f>MIN(IF($AU4=100%,1,1+VLOOKUP(($AJ4-$AI4-$AH4-$AG4-$AF4-$AE4*(1+EK$3))/$AJ4,'Технический лист'!$A:$B,2,1)-VLOOKUP($AO4,'Технический лист'!$A:$B,2,1)),1+(1-$AU4))</f>
        <v/>
      </c>
      <c r="EL4" s="172">
        <f>MIN(IF($AU4=100%,1,1+VLOOKUP(($AJ4-$AI4-$AH4-$AG4-$AF4-$AE4*(1+EL$3))/$AJ4,'Технический лист'!$A:$B,2,1)-VLOOKUP($AO4,'Технический лист'!$A:$B,2,1)),1+(1-$AU4))</f>
        <v/>
      </c>
      <c r="EM4" s="172">
        <f>MIN(IF($AU4=100%,1,1+VLOOKUP(($AJ4-$AI4-$AH4-$AG4-$AF4-$AE4*(1+EM$3))/$AJ4,'Технический лист'!$A:$B,2,1)-VLOOKUP($AO4,'Технический лист'!$A:$B,2,1)),1+(1-$AU4))</f>
        <v/>
      </c>
      <c r="EN4" s="172">
        <f>MIN(IF($AU4=100%,1,1+VLOOKUP(($AJ4-$AI4-$AH4-$AG4-$AF4-$AE4*(1+EN$3))/$AJ4,'Технический лист'!$A:$B,2,1)-VLOOKUP($AO4,'Технический лист'!$A:$B,2,1)),1+(1-$AU4))</f>
        <v/>
      </c>
      <c r="EO4" s="172">
        <f>MIN(IF($AU4=100%,1,1+VLOOKUP(($AJ4-$AI4-$AH4-$AG4-$AF4-$AE4*(1+EO$3))/$AJ4,'Технический лист'!$A:$B,2,1)-VLOOKUP($AO4,'Технический лист'!$A:$B,2,1)),1+(1-$AU4))</f>
        <v/>
      </c>
      <c r="EP4" s="172">
        <f>MIN(IF($AU4=100%,1,1+VLOOKUP(($AJ4-$AI4-$AH4-$AG4-$AF4-$AE4*(1+EP$3))/$AJ4,'Технический лист'!$A:$B,2,1)-VLOOKUP($AO4,'Технический лист'!$A:$B,2,1)),1+(1-$AU4))</f>
        <v/>
      </c>
      <c r="EQ4" s="172">
        <f>MIN(IF($AU4=100%,1,1+VLOOKUP(($AJ4-$AI4-$AH4-$AG4-$AF4-$AE4*(1+EQ$3))/$AJ4,'Технический лист'!$A:$B,2,1)-VLOOKUP($AO4,'Технический лист'!$A:$B,2,1)),1+(1-$AU4))</f>
        <v/>
      </c>
      <c r="ER4" s="172">
        <f>MIN(IF($AU4=100%,1,1+VLOOKUP(($AJ4-$AI4-$AH4-$AG4-$AF4-$AE4*(1+ER$3))/$AJ4,'Технический лист'!$A:$B,2,1)-VLOOKUP($AO4,'Технический лист'!$A:$B,2,1)),1+(1-$AU4))</f>
        <v/>
      </c>
      <c r="ES4" s="172">
        <f>MIN(IF($AU4=100%,1,1+VLOOKUP(($AJ4-$AI4-$AH4-$AG4-$AF4-$AE4*(1+ES$3))/$AJ4,'Технический лист'!$A:$B,2,1)-VLOOKUP($AO4,'Технический лист'!$A:$B,2,1)),1+(1-$AU4))</f>
        <v/>
      </c>
      <c r="ET4" s="172">
        <f>MIN(IF($AU4=100%,1,1+VLOOKUP(($AJ4-$AI4-$AH4-$AG4-$AF4-$AE4*(1+ET$3))/$AJ4,'Технический лист'!$A:$B,2,1)-VLOOKUP($AO4,'Технический лист'!$A:$B,2,1)),1+(1-$AU4))</f>
        <v/>
      </c>
      <c r="EU4" s="172">
        <f>MIN(IF($AU4=100%,1,1+VLOOKUP(($AJ4-$AI4-$AH4-$AG4-$AF4-$AE4*(1+EU$3))/$AJ4,'Технический лист'!$A:$B,2,1)-VLOOKUP($AO4,'Технический лист'!$A:$B,2,1)),1+(1-$AU4))</f>
        <v/>
      </c>
      <c r="EV4" s="173" t="n">
        <v>1</v>
      </c>
      <c r="EW4" s="172">
        <f>MIN(1,MAX(VLOOKUP(($AJ4-$AI4-$AH4-$AG4-$AF4-$AE4*(1+EW$3))/$AJ4,'Технический лист'!$A:$B,2,1),(EV4-0.05)))</f>
        <v/>
      </c>
      <c r="EX4" s="172">
        <f>MIN(1,MAX(VLOOKUP(($AJ4-$AI4-$AH4-$AG4-$AF4-$AE4*(1+EX$3))/$AJ4,'Технический лист'!$A:$B,2,1),(EW4-0.05)))</f>
        <v/>
      </c>
      <c r="EY4" s="172">
        <f>MIN(1,MAX(VLOOKUP(($AJ4-$AI4-$AH4-$AG4-$AF4-$AE4*(1+EY$3))/$AJ4,'Технический лист'!$A:$B,2,1),(EX4-0.05)))</f>
        <v/>
      </c>
      <c r="EZ4" s="172">
        <f>MIN(1,MAX(VLOOKUP(($AJ4-$AI4-$AH4-$AG4-$AF4-$AE4*(1+EZ$3))/$AJ4,'Технический лист'!$A:$B,2,1),(EY4-0.05)))</f>
        <v/>
      </c>
      <c r="FA4" s="172">
        <f>MIN(1,MAX(VLOOKUP(($AJ4-$AI4-$AH4-$AG4-$AF4-$AE4*(1+FA$3))/$AJ4,'Технический лист'!$A:$B,2,1),(EZ4-0.05)))</f>
        <v/>
      </c>
      <c r="FB4" s="172">
        <f>MIN(1,MAX(VLOOKUP(($AJ4-$AI4-$AH4-$AG4-$AF4-$AE4*(1+FB$3))/$AJ4,'Технический лист'!$A:$B,2,1),(FA4-0.05)))</f>
        <v/>
      </c>
      <c r="FC4" s="172">
        <f>MIN(1,MAX(VLOOKUP(($AJ4-$AI4-$AH4-$AG4-$AF4-$AE4*(1+FC$3))/$AJ4,'Технический лист'!$A:$B,2,1),(FB4-0.05)))</f>
        <v/>
      </c>
      <c r="FD4" s="172">
        <f>MIN(1,MAX(VLOOKUP(($AJ4-$AI4-$AH4-$AG4-$AF4-$AE4*(1+FD$3))/$AJ4,'Технический лист'!$A:$B,2,1),(FC4-0.05)))</f>
        <v/>
      </c>
      <c r="FE4" s="172">
        <f>MIN(1,MAX(VLOOKUP(($AJ4-$AI4-$AH4-$AG4-$AF4-$AE4*(1+FE$3))/$AJ4,'Технический лист'!$A:$B,2,1),(FD4-0.05)))</f>
        <v/>
      </c>
      <c r="FF4" s="172">
        <f>MIN(1,MAX(VLOOKUP(($AJ4-$AI4-$AH4-$AG4-$AF4-$AE4*(1+FF$3))/$AJ4,'Технический лист'!$A:$B,2,1),(FE4-0.05)))</f>
        <v/>
      </c>
      <c r="FG4" s="172">
        <f>MIN(1,MAX(VLOOKUP(($AJ4-$AI4-$AH4-$AG4-$AF4-$AE4*(1+FG$3))/$AJ4,'Технический лист'!$A:$B,2,1),(FF4-0.05)))</f>
        <v/>
      </c>
      <c r="FH4" s="172">
        <f>MIN(1,MAX(VLOOKUP(($AJ4-$AI4-$AH4-$AG4-$AF4-$AE4*(1+FH$3))/$AJ4,'Технический лист'!$A:$B,2,1),(FG4-0.05)))</f>
        <v/>
      </c>
      <c r="FI4" s="172">
        <f>MIN(1,MAX(VLOOKUP(($AJ4-$AI4-$AH4-$AG4-$AF4-$AE4*(1+FI$3))/$AJ4,'Технический лист'!$A:$B,2,1),(FH4-0.05)))</f>
        <v/>
      </c>
      <c r="FJ4" s="172">
        <f>MIN(1,MAX(VLOOKUP(($AJ4-$AI4-$AH4-$AG4-$AF4-$AE4*(1+FJ$3))/$AJ4,'Технический лист'!$A:$B,2,1),(FI4-0.05)))</f>
        <v/>
      </c>
      <c r="FK4" s="172">
        <f>MIN(1,MAX(VLOOKUP(($AJ4-$AI4-$AH4-$AG4-$AF4-$AE4*(1+FK$3))/$AJ4,'Технический лист'!$A:$B,2,1),(FJ4-0.05)))</f>
        <v/>
      </c>
      <c r="FL4" s="172">
        <f>MIN(1,MAX(VLOOKUP(($AJ4-$AI4-$AH4-$AG4-$AF4-$AE4*(1+FL$3))/$AJ4,'Технический лист'!$A:$B,2,1),(FK4-0.05)))</f>
        <v/>
      </c>
      <c r="FM4" s="172">
        <f>MIN(1,MAX(VLOOKUP(($AJ4-$AI4-$AH4-$AG4-$AF4-$AE4*(1+FM$3))/$AJ4,'Технический лист'!$A:$B,2,1),(FL4-0.05)))</f>
        <v/>
      </c>
      <c r="FN4" s="172">
        <f>MIN(1,MAX(VLOOKUP(($AJ4-$AI4-$AH4-$AG4-$AF4-$AE4*(1+FN$3))/$AJ4,'Технический лист'!$A:$B,2,1),(FM4-0.05)))</f>
        <v/>
      </c>
      <c r="FO4" s="172">
        <f>MIN(1,MAX(VLOOKUP(($AJ4-$AI4-$AH4-$AG4-$AF4-$AE4*(1+FO$3))/$AJ4,'Технический лист'!$A:$B,2,1),(FN4-0.05)))</f>
        <v/>
      </c>
      <c r="FP4" s="172">
        <f>MIN(1,MAX(VLOOKUP(($AJ4-$AI4-$AH4-$AG4-$AF4-$AE4*(1+FP$3))/$AJ4,'Технический лист'!$A:$B,2,1),(FO4-0.05)))</f>
        <v/>
      </c>
      <c r="FQ4" s="172">
        <f>MIN(1,MAX(VLOOKUP(($AJ4-$AI4-$AH4-$AG4-$AF4-$AE4*(1+FQ$3))/$AJ4,'Технический лист'!$A:$B,2,1),(FP4-0.05)))</f>
        <v/>
      </c>
      <c r="FR4" s="172">
        <f>MIN(1,MAX(VLOOKUP(($AJ4-$AI4-$AH4-$AG4-$AF4-$AE4*(1+FR$3))/$AJ4,'Технический лист'!$A:$B,2,1),(FQ4-0.05)))</f>
        <v/>
      </c>
      <c r="FS4" s="172">
        <f>MIN(1,MAX(VLOOKUP(($AJ4-$AI4-$AH4-$AG4-$AF4-$AE4*(1+FS$3))/$AJ4,'Технический лист'!$A:$B,2,1),(FR4-0.05)))</f>
        <v/>
      </c>
      <c r="FT4" s="172">
        <f>MIN(1,MAX(VLOOKUP(($AJ4-$AI4-$AH4-$AG4-$AF4-$AE4*(1+FT$3))/$AJ4,'Технический лист'!$A:$B,2,1),(FS4-0.05)))</f>
        <v/>
      </c>
      <c r="FU4" s="172">
        <f>MIN(1,MAX(VLOOKUP(($AJ4-$AI4-$AH4-$AG4-$AF4-$AE4*(1+FU$3))/$AJ4,'Технический лист'!$A:$B,2,1),(FT4-0.05)))</f>
        <v/>
      </c>
      <c r="FV4" s="172">
        <f>MIN(1,MAX(VLOOKUP(($AJ4-$AI4-$AH4-$AG4-$AF4-$AE4*(1+FV$3))/$AJ4,'Технический лист'!$A:$B,2,1),(FU4-0.05)))</f>
        <v/>
      </c>
      <c r="FW4" s="172">
        <f>MIN(1,MAX(VLOOKUP(($AJ4-$AI4-$AH4-$AG4-$AF4-$AE4*(1+FW$3))/$AJ4,'Технический лист'!$A:$B,2,1),(FV4-0.05)))</f>
        <v/>
      </c>
      <c r="FX4" s="172">
        <f>MIN(1,MAX(VLOOKUP(($AJ4-$AI4-$AH4-$AG4-$AF4-$AE4*(1+FX$3))/$AJ4,'Технический лист'!$A:$B,2,1),(FW4-0.05)))</f>
        <v/>
      </c>
      <c r="FY4" s="172">
        <f>MIN(1,MAX(VLOOKUP(($AJ4-$AI4-$AH4-$AG4-$AF4-$AE4*(1+FY$3))/$AJ4,'Технический лист'!$A:$B,2,1),(FX4-0.05)))</f>
        <v/>
      </c>
      <c r="FZ4" s="172">
        <f>MIN(1,MAX(VLOOKUP(($AJ4-$AI4-$AH4-$AG4-$AF4-$AE4*(1+FZ$3))/$AJ4,'Технический лист'!$A:$B,2,1),(FY4-0.05)))</f>
        <v/>
      </c>
      <c r="GA4" s="172">
        <f>MIN(1,MAX(VLOOKUP(($AJ4-$AI4-$AH4-$AG4-$AF4-$AE4*(1+GA$3))/$AJ4,'Технический лист'!$A:$B,2,1),(FZ4-0.05)))</f>
        <v/>
      </c>
      <c r="GB4" s="172">
        <f>MIN(1,MAX(VLOOKUP(($AJ4-$AI4-$AH4-$AG4-$AF4-$AE4*(1+GB$3))/$AJ4,'Технический лист'!$A:$B,2,1),(GA4-0.05)))</f>
        <v/>
      </c>
      <c r="GC4" s="172">
        <f>MIN(1,MAX(VLOOKUP(($AJ4-$AI4-$AH4-$AG4-$AF4-$AE4*(1+GC$3))/$AJ4,'Технический лист'!$A:$B,2,1),(GB4-0.05)))</f>
        <v/>
      </c>
      <c r="GD4" s="172">
        <f>MIN(1,MAX(VLOOKUP(($AJ4-$AI4-$AH4-$AG4-$AF4-$AE4*(1+GD$3))/$AJ4,'Технический лист'!$A:$B,2,1),(GC4-0.05)))</f>
        <v/>
      </c>
      <c r="GE4" s="172">
        <f>MIN(1,MAX(VLOOKUP(($AJ4-$AI4-$AH4-$AG4-$AF4-$AE4*(1+GE$3))/$AJ4,'Технический лист'!$A:$B,2,1),(GD4-0.05)))</f>
        <v/>
      </c>
      <c r="GF4" s="172">
        <f>MIN(1,MAX(VLOOKUP(($AJ4-$AI4-$AH4-$AG4-$AF4-$AE4*(1+GF$3))/$AJ4,'Технический лист'!$A:$B,2,1),(GE4-0.05)))</f>
        <v/>
      </c>
      <c r="GG4" s="172">
        <f>MIN(1,MAX(VLOOKUP(($AJ4-$AI4-$AH4-$AG4-$AF4-$AE4*(1+GG$3))/$AJ4,'Технический лист'!$A:$B,2,1),(GF4-0.05)))</f>
        <v/>
      </c>
      <c r="GH4" s="172">
        <f>MIN(1,MAX(VLOOKUP(($AJ4-$AI4-$AH4-$AG4-$AF4-$AE4*(1+GH$3))/$AJ4,'Технический лист'!$A:$B,2,1),(GG4-0.05)))</f>
        <v/>
      </c>
      <c r="GI4" s="172">
        <f>MIN(1,MAX(VLOOKUP(($AJ4-$AI4-$AH4-$AG4-$AF4-$AE4*(1+GI$3))/$AJ4,'Технический лист'!$A:$B,2,1),(GH4-0.05)))</f>
        <v/>
      </c>
      <c r="GJ4" s="172">
        <f>MIN(1,MAX(VLOOKUP(($AJ4-$AI4-$AH4-$AG4-$AF4-$AE4*(1+GJ$3))/$AJ4,'Технический лист'!$A:$B,2,1),(GI4-0.05)))</f>
        <v/>
      </c>
      <c r="GK4" s="172">
        <f>MIN(1,MAX(VLOOKUP(($AJ4-$AI4-$AH4-$AG4-$AF4-$AE4*(1+GK$3))/$AJ4,'Технический лист'!$A:$B,2,1),(GJ4-0.05)))</f>
        <v/>
      </c>
      <c r="GL4" s="172">
        <f>MIN(1,MAX(VLOOKUP(($AJ4-$AI4-$AH4-$AG4-$AF4-$AE4*(1+GL$3))/$AJ4,'Технический лист'!$A:$B,2,1),(GK4-0.05)))</f>
        <v/>
      </c>
      <c r="GM4" s="172">
        <f>MIN(1,MAX(VLOOKUP(($AJ4-$AI4-$AH4-$AG4-$AF4-$AE4*(1+GM$3))/$AJ4,'Технический лист'!$A:$B,2,1),(GL4-0.05)))</f>
        <v/>
      </c>
      <c r="GN4" s="172">
        <f>MIN(1,MAX(VLOOKUP(($AJ4-$AI4-$AH4-$AG4-$AF4-$AE4*(1+GN$3))/$AJ4,'Технический лист'!$A:$B,2,1),(GM4-0.05)))</f>
        <v/>
      </c>
      <c r="GO4" s="172">
        <f>MIN(1,MAX(VLOOKUP(($AJ4-$AI4-$AH4-$AG4-$AF4-$AE4*(1+GO$3))/$AJ4,'Технический лист'!$A:$B,2,1),(GN4-0.05)))</f>
        <v/>
      </c>
      <c r="GP4" s="172">
        <f>MIN(1,MAX(VLOOKUP(($AJ4-$AI4-$AH4-$AG4-$AF4-$AE4*(1+GP$3))/$AJ4,'Технический лист'!$A:$B,2,1),(GO4-0.05)))</f>
        <v/>
      </c>
      <c r="GQ4" s="172">
        <f>MIN(1,MAX(VLOOKUP(($AJ4-$AI4-$AH4-$AG4-$AF4-$AE4*(1+GQ$3))/$AJ4,'Технический лист'!$A:$B,2,1),(GP4-0.05)))</f>
        <v/>
      </c>
      <c r="GR4" s="172">
        <f>MIN(1,MAX(VLOOKUP(($AJ4-$AI4-$AH4-$AG4-$AF4-$AE4*(1+GR$3))/$AJ4,'Технический лист'!$A:$B,2,1),(GQ4-0.05)))</f>
        <v/>
      </c>
      <c r="GS4" s="172">
        <f>MIN(1,MAX(VLOOKUP(($AJ4-$AI4-$AH4-$AG4-$AF4-$AE4*(1+GS$3))/$AJ4,'Технический лист'!$A:$B,2,1),(GR4-0.05)))</f>
        <v/>
      </c>
      <c r="GT4" s="172">
        <f>MIN(1,MAX(VLOOKUP(($AJ4-$AI4-$AH4-$AG4-$AF4-$AE4*(1+GT$3))/$AJ4,'Технический лист'!$A:$B,2,1),(GS4-0.05)))</f>
        <v/>
      </c>
      <c r="GU4" s="172">
        <f>MIN(1,MAX(VLOOKUP(($AJ4-$AI4-$AH4-$AG4-$AF4-$AE4*(1+GU$3))/$AJ4,'Технический лист'!$A:$B,2,1),(GT4-0.05)))</f>
        <v/>
      </c>
      <c r="GV4" s="172">
        <f>MIN(1,MAX(VLOOKUP(($AJ4-$AI4-$AH4-$AG4-$AF4-$AE4*(1+GV$3))/$AJ4,'Технический лист'!$A:$B,2,1),(GU4-0.05)))</f>
        <v/>
      </c>
      <c r="GW4" s="172">
        <f>MIN(1,MAX(VLOOKUP(($AJ4-$AI4-$AH4-$AG4-$AF4-$AE4*(1+GW$3))/$AJ4,'Технический лист'!$A:$B,2,1),(GV4-0.05)))</f>
        <v/>
      </c>
      <c r="GX4" s="172">
        <f>MIN(1,MAX(VLOOKUP(($AJ4-$AI4-$AH4-$AG4-$AF4-$AE4*(1+GX$3))/$AJ4,'Технический лист'!$A:$B,2,1),(GW4-0.05)))</f>
        <v/>
      </c>
      <c r="GY4" s="172">
        <f>MIN(1,MAX(VLOOKUP(($AJ4-$AI4-$AH4-$AG4-$AF4-$AE4*(1+GY$3))/$AJ4,'Технический лист'!$A:$B,2,1),(GX4-0.05)))</f>
        <v/>
      </c>
      <c r="GZ4" s="172">
        <f>MIN(1,MAX(VLOOKUP(($AJ4-$AI4-$AH4-$AG4-$AF4-$AE4*(1+GZ$3))/$AJ4,'Технический лист'!$A:$B,2,1),(GY4-0.05)))</f>
        <v/>
      </c>
      <c r="HA4" s="172">
        <f>MIN(1,MAX(VLOOKUP(($AJ4-$AI4-$AH4-$AG4-$AF4-$AE4*(1+HA$3))/$AJ4,'Технический лист'!$A:$B,2,1),(GZ4-0.05)))</f>
        <v/>
      </c>
      <c r="HB4" s="172">
        <f>MIN(1,MAX(VLOOKUP(($AJ4-$AI4-$AH4-$AG4-$AF4-$AE4*(1+HB$3))/$AJ4,'Технический лист'!$A:$B,2,1),(HA4-0.05)))</f>
        <v/>
      </c>
      <c r="HC4" s="172">
        <f>MIN(1,MAX(VLOOKUP(($AJ4-$AI4-$AH4-$AG4-$AF4-$AE4*(1+HC$3))/$AJ4,'Технический лист'!$A:$B,2,1),(HB4-0.05)))</f>
        <v/>
      </c>
      <c r="HD4" s="172">
        <f>MIN(1,MAX(VLOOKUP(($AJ4-$AI4-$AH4-$AG4-$AF4-$AE4*(1+HD$3))/$AJ4,'Технический лист'!$A:$B,2,1),(HC4-0.05)))</f>
        <v/>
      </c>
      <c r="HE4" s="172">
        <f>MIN(1,MAX(VLOOKUP(($AJ4-$AI4-$AH4-$AG4-$AF4-$AE4*(1+HE$3))/$AJ4,'Технический лист'!$A:$B,2,1),(HD4-0.05)))</f>
        <v/>
      </c>
      <c r="HF4" s="172">
        <f>MIN(1,MAX(VLOOKUP(($AJ4-$AI4-$AH4-$AG4-$AF4-$AE4*(1+HF$3))/$AJ4,'Технический лист'!$A:$B,2,1),(HE4-0.05)))</f>
        <v/>
      </c>
      <c r="HG4" s="172">
        <f>MIN(1,MAX(VLOOKUP(($AJ4-$AI4-$AH4-$AG4-$AF4-$AE4*(1+HG$3))/$AJ4,'Технический лист'!$A:$B,2,1),(HF4-0.05)))</f>
        <v/>
      </c>
      <c r="HH4" s="172">
        <f>MIN(1,MAX(VLOOKUP(($AJ4-$AI4-$AH4-$AG4-$AF4-$AE4*(1+HH$3))/$AJ4,'Технический лист'!$A:$B,2,1),(HG4-0.05)))</f>
        <v/>
      </c>
      <c r="HI4" s="172">
        <f>MIN(1,MAX(VLOOKUP(($AJ4-$AI4-$AH4-$AG4-$AF4-$AE4*(1+HI$3))/$AJ4,'Технический лист'!$A:$B,2,1),(HH4-0.05)))</f>
        <v/>
      </c>
      <c r="HJ4" s="172">
        <f>MIN(1,MAX(VLOOKUP(($AJ4-$AI4-$AH4-$AG4-$AF4-$AE4*(1+HJ$3))/$AJ4,'Технический лист'!$A:$B,2,1),(HI4-0.05)))</f>
        <v/>
      </c>
      <c r="HK4" s="172">
        <f>MIN(1,MAX(VLOOKUP(($AJ4-$AI4-$AH4-$AG4-$AF4-$AE4*(1+HK$3))/$AJ4,'Технический лист'!$A:$B,2,1),(HJ4-0.05)))</f>
        <v/>
      </c>
      <c r="HL4" s="172">
        <f>MIN(1,MAX(VLOOKUP(($AJ4-$AI4-$AH4-$AG4-$AF4-$AE4*(1+HL$3))/$AJ4,'Технический лист'!$A:$B,2,1),(HK4-0.05)))</f>
        <v/>
      </c>
      <c r="HM4" s="172">
        <f>MIN(1,MAX(VLOOKUP(($AJ4-$AI4-$AH4-$AG4-$AF4-$AE4*(1+HM$3))/$AJ4,'Технический лист'!$A:$B,2,1),(HL4-0.05)))</f>
        <v/>
      </c>
      <c r="HN4" s="172">
        <f>MIN(1,MAX(VLOOKUP(($AJ4-$AI4-$AH4-$AG4-$AF4-$AE4*(1+HN$3))/$AJ4,'Технический лист'!$A:$B,2,1),(HM4-0.05)))</f>
        <v/>
      </c>
      <c r="HO4" s="172">
        <f>MIN(1,MAX(VLOOKUP(($AJ4-$AI4-$AH4-$AG4-$AF4-$AE4*(1+HO$3))/$AJ4,'Технический лист'!$A:$B,2,1),(HN4-0.05)))</f>
        <v/>
      </c>
      <c r="HP4" s="172">
        <f>MIN(1,MAX(VLOOKUP(($AJ4-$AI4-$AH4-$AG4-$AF4-$AE4*(1+HP$3))/$AJ4,'Технический лист'!$A:$B,2,1),(HO4-0.05)))</f>
        <v/>
      </c>
      <c r="HQ4" s="172">
        <f>MIN(1,MAX(VLOOKUP(($AJ4-$AI4-$AH4-$AG4-$AF4-$AE4*(1+HQ$3))/$AJ4,'Технический лист'!$A:$B,2,1),(HP4-0.05)))</f>
        <v/>
      </c>
      <c r="HR4" s="172">
        <f>MIN(1,MAX(VLOOKUP(($AJ4-$AI4-$AH4-$AG4-$AF4-$AE4*(1+HR$3))/$AJ4,'Технический лист'!$A:$B,2,1),(HQ4-0.05)))</f>
        <v/>
      </c>
      <c r="HS4" s="172">
        <f>MIN(1,MAX(VLOOKUP(($AJ4-$AI4-$AH4-$AG4-$AF4-$AE4*(1+HS$3))/$AJ4,'Технический лист'!$A:$B,2,1),(HR4-0.05)))</f>
        <v/>
      </c>
      <c r="HT4" s="172">
        <f>MIN(1,MAX(VLOOKUP(($AJ4-$AI4-$AH4-$AG4-$AF4-$AE4*(1+HT$3))/$AJ4,'Технический лист'!$A:$B,2,1),(HS4-0.05)))</f>
        <v/>
      </c>
      <c r="HU4" s="172">
        <f>MIN(1,MAX(VLOOKUP(($AJ4-$AI4-$AH4-$AG4-$AF4-$AE4*(1+HU$3))/$AJ4,'Технический лист'!$A:$B,2,1),(HT4-0.05)))</f>
        <v/>
      </c>
      <c r="HV4" s="172">
        <f>MIN(1,MAX(VLOOKUP(($AJ4-$AI4-$AH4-$AG4-$AF4-$AE4*(1+HV$3))/$AJ4,'Технический лист'!$A:$B,2,1),(HU4-0.05)))</f>
        <v/>
      </c>
      <c r="HW4" s="172">
        <f>MIN(1,MAX(VLOOKUP(($AJ4-$AI4-$AH4-$AG4-$AF4-$AE4*(1+HW$3))/$AJ4,'Технический лист'!$A:$B,2,1),(HV4-0.05)))</f>
        <v/>
      </c>
      <c r="HX4" s="172">
        <f>MIN(1,MAX(VLOOKUP(($AJ4-$AI4-$AH4-$AG4-$AF4-$AE4*(1+HX$3))/$AJ4,'Технический лист'!$A:$B,2,1),(HW4-0.05)))</f>
        <v/>
      </c>
      <c r="HY4" s="172">
        <f>MIN(1,MAX(VLOOKUP(($AJ4-$AI4-$AH4-$AG4-$AF4-$AE4*(1+HY$3))/$AJ4,'Технический лист'!$A:$B,2,1),(HX4-0.05)))</f>
        <v/>
      </c>
      <c r="HZ4" s="172">
        <f>MIN(1,MAX(VLOOKUP(($AJ4-$AI4-$AH4-$AG4-$AF4-$AE4*(1+HZ$3))/$AJ4,'Технический лист'!$A:$B,2,1),(HY4-0.05)))</f>
        <v/>
      </c>
      <c r="IA4" s="172">
        <f>MIN(1,MAX(VLOOKUP(($AJ4-$AI4-$AH4-$AG4-$AF4-$AE4*(1+IA$3))/$AJ4,'Технический лист'!$A:$B,2,1),(HZ4-0.05)))</f>
        <v/>
      </c>
      <c r="IB4" s="172">
        <f>MIN(1,MAX(VLOOKUP(($AJ4-$AI4-$AH4-$AG4-$AF4-$AE4*(1+IB$3))/$AJ4,'Технический лист'!$A:$B,2,1),(IA4-0.05)))</f>
        <v/>
      </c>
      <c r="IC4" s="172">
        <f>MIN(1,MAX(VLOOKUP(($AJ4-$AI4-$AH4-$AG4-$AF4-$AE4*(1+IC$3))/$AJ4,'Технический лист'!$A:$B,2,1),(IB4-0.05)))</f>
        <v/>
      </c>
      <c r="ID4" s="172">
        <f>MIN(1,MAX(VLOOKUP(($AJ4-$AI4-$AH4-$AG4-$AF4-$AE4*(1+ID$3))/$AJ4,'Технический лист'!$A:$B,2,1),(IC4-0.05)))</f>
        <v/>
      </c>
      <c r="IE4" s="172">
        <f>MIN(1,MAX(VLOOKUP(($AJ4-$AI4-$AH4-$AG4-$AF4-$AE4*(1+IE$3))/$AJ4,'Технический лист'!$A:$B,2,1),(ID4-0.05)))</f>
        <v/>
      </c>
      <c r="IF4" s="172">
        <f>MIN(1,MAX(VLOOKUP(($AJ4-$AI4-$AH4-$AG4-$AF4-$AE4*(1+IF$3))/$AJ4,'Технический лист'!$A:$B,2,1),(IE4-0.05)))</f>
        <v/>
      </c>
      <c r="IG4" s="172">
        <f>MIN(1,MAX(VLOOKUP(($AJ4-$AI4-$AH4-$AG4-$AF4-$AE4*(1+IG$3))/$AJ4,'Технический лист'!$A:$B,2,1),(IF4-0.05)))</f>
        <v/>
      </c>
      <c r="IH4" s="172">
        <f>MIN(1,MAX(VLOOKUP(($AJ4-$AI4-$AH4-$AG4-$AF4-$AE4*(1+IH$3))/$AJ4,'Технический лист'!$A:$B,2,1),(IG4-0.05)))</f>
        <v/>
      </c>
      <c r="II4" s="172">
        <f>MIN(1,MAX(VLOOKUP(($AJ4-$AI4-$AH4-$AG4-$AF4-$AE4*(1+II$3))/$AJ4,'Технический лист'!$A:$B,2,1),(IH4-0.05)))</f>
        <v/>
      </c>
      <c r="IJ4" s="172">
        <f>MIN(1,MAX(VLOOKUP(($AJ4-$AI4-$AH4-$AG4-$AF4-$AE4*(1+IJ$3))/$AJ4,'Технический лист'!$A:$B,2,1),(II4-0.05)))</f>
        <v/>
      </c>
      <c r="IK4" s="172">
        <f>MIN(1,MAX(VLOOKUP(($AJ4-$AI4-$AH4-$AG4-$AF4-$AE4*(1+IK$3))/$AJ4,'Технический лист'!$A:$B,2,1),(IJ4-0.05)))</f>
        <v/>
      </c>
      <c r="IL4" s="172">
        <f>MIN(1,MAX(VLOOKUP(($AJ4-$AI4-$AH4-$AG4-$AF4-$AE4*(1+IL$3))/$AJ4,'Технический лист'!$A:$B,2,1),(IK4-0.05)))</f>
        <v/>
      </c>
      <c r="IM4" s="172">
        <f>MIN(1,MAX(VLOOKUP(($AJ4-$AI4-$AH4-$AG4-$AF4-$AE4*(1+IM$3))/$AJ4,'Технический лист'!$A:$B,2,1),(IL4-0.05)))</f>
        <v/>
      </c>
      <c r="IN4" s="172">
        <f>MIN(1,MAX(VLOOKUP(($AJ4-$AI4-$AH4-$AG4-$AF4-$AE4*(1+IN$3))/$AJ4,'Технический лист'!$A:$B,2,1),(IM4-0.05)))</f>
        <v/>
      </c>
      <c r="IO4" s="172">
        <f>MIN(1,MAX(VLOOKUP(($AJ4-$AI4-$AH4-$AG4-$AF4-$AE4*(1+IO$3))/$AJ4,'Технический лист'!$A:$B,2,1),(IN4-0.05)))</f>
        <v/>
      </c>
      <c r="IP4" s="172">
        <f>MIN(1,MAX(VLOOKUP(($AJ4-$AI4-$AH4-$AG4-$AF4-$AE4*(1+IP$3))/$AJ4,'Технический лист'!$A:$B,2,1),(IO4-0.05)))</f>
        <v/>
      </c>
      <c r="IQ4" s="172">
        <f>MIN(1,MAX(VLOOKUP(($AJ4-$AI4-$AH4-$AG4-$AF4-$AE4*(1+IQ$3))/$AJ4,'Технический лист'!$A:$B,2,1),(IP4-0.05)))</f>
        <v/>
      </c>
      <c r="IR4" s="172">
        <f>MIN(1,MAX(VLOOKUP(($AJ4-$AI4-$AH4-$AG4-$AF4-$AE4*(1+IR$3))/$AJ4,'Технический лист'!$A:$B,2,1),(IQ4-0.05)))</f>
        <v/>
      </c>
    </row>
    <row r="5" ht="45" customHeight="1" s="123">
      <c r="A5" s="89" t="inlineStr">
        <is>
          <t>ЧМ (сырье)</t>
        </is>
      </c>
      <c r="B5" s="90" t="n">
        <v>2</v>
      </c>
      <c r="C5" s="5" t="inlineStr">
        <is>
          <t>Кокс каменноугольный</t>
        </is>
      </c>
      <c r="D5" s="91" t="n">
        <v>17103</v>
      </c>
      <c r="E5" s="91" t="inlineStr">
        <is>
          <t xml:space="preserve">Кокс доменный фракции свыше 25 мм </t>
        </is>
      </c>
      <c r="F5" s="92" t="inlineStr">
        <is>
          <t>КОКС КАМЕННОУГОЛЬНЫЙ</t>
        </is>
      </c>
      <c r="G5" s="91" t="inlineStr">
        <is>
          <t>СВР</t>
        </is>
      </c>
      <c r="H5" s="91" t="inlineStr">
        <is>
          <t>МСК</t>
        </is>
      </c>
      <c r="I5" s="91" t="inlineStr">
        <is>
          <t>ГУБАХА</t>
        </is>
      </c>
      <c r="J5" s="91" t="inlineStr">
        <is>
          <t>ЯСНАЯ ПОЛЯНА</t>
        </is>
      </c>
      <c r="K5" s="91" t="n">
        <v>1800</v>
      </c>
      <c r="L5" s="91" t="inlineStr">
        <is>
          <t>Полувагоны</t>
        </is>
      </c>
      <c r="M5" s="91" t="inlineStr">
        <is>
          <t>Внутр. перевозки</t>
        </is>
      </c>
      <c r="N5" s="91" t="inlineStr">
        <is>
          <t>вагонная</t>
        </is>
      </c>
      <c r="O5" s="91" t="inlineStr">
        <is>
          <t xml:space="preserve">Северо-Западное </t>
        </is>
      </c>
      <c r="P5" s="89" t="inlineStr">
        <is>
          <t>'000053496484</t>
        </is>
      </c>
      <c r="Q5" s="91" t="inlineStr">
        <is>
          <t>'ОАО "Губахинский кокс"</t>
        </is>
      </c>
      <c r="R5" s="91" t="inlineStr">
        <is>
          <t>ЗАО "Стройсервис"</t>
        </is>
      </c>
      <c r="S5" s="87" t="n">
        <v>127346</v>
      </c>
      <c r="T5" s="87" t="n">
        <v>229253986</v>
      </c>
      <c r="U5" s="88" t="n">
        <v>2434</v>
      </c>
      <c r="V5" s="88" t="n">
        <v>0</v>
      </c>
      <c r="W5" s="87" t="n">
        <v>186802087</v>
      </c>
      <c r="X5" s="112" t="n">
        <v>52</v>
      </c>
      <c r="Y5" s="112" t="inlineStr">
        <is>
          <t>групповая</t>
        </is>
      </c>
      <c r="Z5" s="113" t="n">
        <v>8</v>
      </c>
      <c r="AA5" s="113" t="n">
        <v>6</v>
      </c>
      <c r="AB5" s="113" t="n">
        <v>4</v>
      </c>
      <c r="AC5" s="161" t="n">
        <v>1614.63</v>
      </c>
      <c r="AD5" s="161">
        <f>AE5-AC5</f>
        <v/>
      </c>
      <c r="AE5" s="161" t="n">
        <v>2298.48</v>
      </c>
      <c r="AF5" s="162">
        <f>(Z5+AA5+AB5)*'Ставки аренды'!$B$3/X5</f>
        <v/>
      </c>
      <c r="AG5" s="163" t="n">
        <v>0</v>
      </c>
      <c r="AH5" s="164" t="n">
        <v>0</v>
      </c>
      <c r="AI5" s="165">
        <f>0.855*AJ5</f>
        <v/>
      </c>
      <c r="AJ5" s="166">
        <f>Цены!$D$9</f>
        <v/>
      </c>
      <c r="AK5" s="164">
        <f>AJ5/Цены!$B$1</f>
        <v/>
      </c>
      <c r="AL5" s="164">
        <f>AE5+AF5+AG5</f>
        <v/>
      </c>
      <c r="AM5" s="164">
        <f>AJ5-AL5</f>
        <v/>
      </c>
      <c r="AN5" s="164">
        <f>AI5+AH5+AG5+AF5+AE5</f>
        <v/>
      </c>
      <c r="AO5" s="167">
        <f>(AJ5-AN5)/AJ5</f>
        <v/>
      </c>
      <c r="AP5" s="168">
        <f>AL5/AJ5</f>
        <v/>
      </c>
      <c r="AQ5" s="168">
        <f>AE5/AJ5</f>
        <v/>
      </c>
      <c r="AR5" s="168">
        <f>AE5/AL5</f>
        <v/>
      </c>
      <c r="AS5" s="169" t="n">
        <v>1</v>
      </c>
      <c r="AT5" s="121">
        <f>S5*AS5</f>
        <v/>
      </c>
      <c r="AU5" s="83" t="n">
        <v>0.9</v>
      </c>
      <c r="AV5" s="170">
        <f>(AJ5-(AE5*(1+$IS$2)+AF5+AG5+AH5+AI5))/AJ5</f>
        <v/>
      </c>
      <c r="AW5" s="171">
        <f>(AE5*(1+$IS$2)+AF5+AG5)/AJ5</f>
        <v/>
      </c>
      <c r="AX5" s="171">
        <f>(AE5*(1+$IS$2))/AJ5</f>
        <v/>
      </c>
      <c r="AY5" s="171">
        <f>(AE5*(1+$IS$2))/(AE5*(1+$IS$2)+AF5+AG5)</f>
        <v/>
      </c>
      <c r="AZ5" s="172">
        <f>MIN(IF($AU5=100%,1,1+VLOOKUP(($AJ5-$AI5-$AH5-$AG5-$AF5-$AE5*(1+AZ$3))/$AJ5,'Технический лист'!$A:$B,2,1)-VLOOKUP($AO5,'Технический лист'!$A:$B,2,1)),1+(1-$AU5))</f>
        <v/>
      </c>
      <c r="BA5" s="172">
        <f>MIN(IF($AU5=100%,1,1+VLOOKUP(($AJ5-$AI5-$AH5-$AG5-$AF5-$AE5*(1+BA$3))/$AJ5,'Технический лист'!$A:$B,2,1)-VLOOKUP($AO5,'Технический лист'!$A:$B,2,1)),1+(1-$AU5))</f>
        <v/>
      </c>
      <c r="BB5" s="172">
        <f>MIN(IF($AU5=100%,1,1+VLOOKUP(($AJ5-$AI5-$AH5-$AG5-$AF5-$AE5*(1+BB$3))/$AJ5,'Технический лист'!$A:$B,2,1)-VLOOKUP($AO5,'Технический лист'!$A:$B,2,1)),1+(1-$AU5))</f>
        <v/>
      </c>
      <c r="BC5" s="172">
        <f>MIN(IF($AU5=100%,1,1+VLOOKUP(($AJ5-$AI5-$AH5-$AG5-$AF5-$AE5*(1+BC$3))/$AJ5,'Технический лист'!$A:$B,2,1)-VLOOKUP($AO5,'Технический лист'!$A:$B,2,1)),1+(1-$AU5))</f>
        <v/>
      </c>
      <c r="BD5" s="172">
        <f>MIN(IF($AU5=100%,1,1+VLOOKUP(($AJ5-$AI5-$AH5-$AG5-$AF5-$AE5*(1+BD$3))/$AJ5,'Технический лист'!$A:$B,2,1)-VLOOKUP($AO5,'Технический лист'!$A:$B,2,1)),1+(1-$AU5))</f>
        <v/>
      </c>
      <c r="BE5" s="172">
        <f>MIN(IF($AU5=100%,1,1+VLOOKUP(($AJ5-$AI5-$AH5-$AG5-$AF5-$AE5*(1+BE$3))/$AJ5,'Технический лист'!$A:$B,2,1)-VLOOKUP($AO5,'Технический лист'!$A:$B,2,1)),1+(1-$AU5))</f>
        <v/>
      </c>
      <c r="BF5" s="172">
        <f>MIN(IF($AU5=100%,1,1+VLOOKUP(($AJ5-$AI5-$AH5-$AG5-$AF5-$AE5*(1+BF$3))/$AJ5,'Технический лист'!$A:$B,2,1)-VLOOKUP($AO5,'Технический лист'!$A:$B,2,1)),1+(1-$AU5))</f>
        <v/>
      </c>
      <c r="BG5" s="172">
        <f>MIN(IF($AU5=100%,1,1+VLOOKUP(($AJ5-$AI5-$AH5-$AG5-$AF5-$AE5*(1+BG$3))/$AJ5,'Технический лист'!$A:$B,2,1)-VLOOKUP($AO5,'Технический лист'!$A:$B,2,1)),1+(1-$AU5))</f>
        <v/>
      </c>
      <c r="BH5" s="172">
        <f>MIN(IF($AU5=100%,1,1+VLOOKUP(($AJ5-$AI5-$AH5-$AG5-$AF5-$AE5*(1+BH$3))/$AJ5,'Технический лист'!$A:$B,2,1)-VLOOKUP($AO5,'Технический лист'!$A:$B,2,1)),1+(1-$AU5))</f>
        <v/>
      </c>
      <c r="BI5" s="172">
        <f>MIN(IF($AU5=100%,1,1+VLOOKUP(($AJ5-$AI5-$AH5-$AG5-$AF5-$AE5*(1+BI$3))/$AJ5,'Технический лист'!$A:$B,2,1)-VLOOKUP($AO5,'Технический лист'!$A:$B,2,1)),1+(1-$AU5))</f>
        <v/>
      </c>
      <c r="BJ5" s="172">
        <f>MIN(IF($AU5=100%,1,1+VLOOKUP(($AJ5-$AI5-$AH5-$AG5-$AF5-$AE5*(1+BJ$3))/$AJ5,'Технический лист'!$A:$B,2,1)-VLOOKUP($AO5,'Технический лист'!$A:$B,2,1)),1+(1-$AU5))</f>
        <v/>
      </c>
      <c r="BK5" s="172">
        <f>MIN(IF($AU5=100%,1,1+VLOOKUP(($AJ5-$AI5-$AH5-$AG5-$AF5-$AE5*(1+BK$3))/$AJ5,'Технический лист'!$A:$B,2,1)-VLOOKUP($AO5,'Технический лист'!$A:$B,2,1)),1+(1-$AU5))</f>
        <v/>
      </c>
      <c r="BL5" s="172">
        <f>MIN(IF($AU5=100%,1,1+VLOOKUP(($AJ5-$AI5-$AH5-$AG5-$AF5-$AE5*(1+BL$3))/$AJ5,'Технический лист'!$A:$B,2,1)-VLOOKUP($AO5,'Технический лист'!$A:$B,2,1)),1+(1-$AU5))</f>
        <v/>
      </c>
      <c r="BM5" s="172">
        <f>MIN(IF($AU5=100%,1,1+VLOOKUP(($AJ5-$AI5-$AH5-$AG5-$AF5-$AE5*(1+BM$3))/$AJ5,'Технический лист'!$A:$B,2,1)-VLOOKUP($AO5,'Технический лист'!$A:$B,2,1)),1+(1-$AU5))</f>
        <v/>
      </c>
      <c r="BN5" s="172">
        <f>MIN(IF($AU5=100%,1,1+VLOOKUP(($AJ5-$AI5-$AH5-$AG5-$AF5-$AE5*(1+BN$3))/$AJ5,'Технический лист'!$A:$B,2,1)-VLOOKUP($AO5,'Технический лист'!$A:$B,2,1)),1+(1-$AU5))</f>
        <v/>
      </c>
      <c r="BO5" s="172">
        <f>MIN(IF($AU5=100%,1,1+VLOOKUP(($AJ5-$AI5-$AH5-$AG5-$AF5-$AE5*(1+BO$3))/$AJ5,'Технический лист'!$A:$B,2,1)-VLOOKUP($AO5,'Технический лист'!$A:$B,2,1)),1+(1-$AU5))</f>
        <v/>
      </c>
      <c r="BP5" s="172">
        <f>MIN(IF($AU5=100%,1,1+VLOOKUP(($AJ5-$AI5-$AH5-$AG5-$AF5-$AE5*(1+BP$3))/$AJ5,'Технический лист'!$A:$B,2,1)-VLOOKUP($AO5,'Технический лист'!$A:$B,2,1)),1+(1-$AU5))</f>
        <v/>
      </c>
      <c r="BQ5" s="172">
        <f>MIN(IF($AU5=100%,1,1+VLOOKUP(($AJ5-$AI5-$AH5-$AG5-$AF5-$AE5*(1+BQ$3))/$AJ5,'Технический лист'!$A:$B,2,1)-VLOOKUP($AO5,'Технический лист'!$A:$B,2,1)),1+(1-$AU5))</f>
        <v/>
      </c>
      <c r="BR5" s="172">
        <f>MIN(IF($AU5=100%,1,1+VLOOKUP(($AJ5-$AI5-$AH5-$AG5-$AF5-$AE5*(1+BR$3))/$AJ5,'Технический лист'!$A:$B,2,1)-VLOOKUP($AO5,'Технический лист'!$A:$B,2,1)),1+(1-$AU5))</f>
        <v/>
      </c>
      <c r="BS5" s="172">
        <f>MIN(IF($AU5=100%,1,1+VLOOKUP(($AJ5-$AI5-$AH5-$AG5-$AF5-$AE5*(1+BS$3))/$AJ5,'Технический лист'!$A:$B,2,1)-VLOOKUP($AO5,'Технический лист'!$A:$B,2,1)),1+(1-$AU5))</f>
        <v/>
      </c>
      <c r="BT5" s="172">
        <f>MIN(IF($AU5=100%,1,1+VLOOKUP(($AJ5-$AI5-$AH5-$AG5-$AF5-$AE5*(1+BT$3))/$AJ5,'Технический лист'!$A:$B,2,1)-VLOOKUP($AO5,'Технический лист'!$A:$B,2,1)),1+(1-$AU5))</f>
        <v/>
      </c>
      <c r="BU5" s="172">
        <f>MIN(IF($AU5=100%,1,1+VLOOKUP(($AJ5-$AI5-$AH5-$AG5-$AF5-$AE5*(1+BU$3))/$AJ5,'Технический лист'!$A:$B,2,1)-VLOOKUP($AO5,'Технический лист'!$A:$B,2,1)),1+(1-$AU5))</f>
        <v/>
      </c>
      <c r="BV5" s="172">
        <f>MIN(IF($AU5=100%,1,1+VLOOKUP(($AJ5-$AI5-$AH5-$AG5-$AF5-$AE5*(1+BV$3))/$AJ5,'Технический лист'!$A:$B,2,1)-VLOOKUP($AO5,'Технический лист'!$A:$B,2,1)),1+(1-$AU5))</f>
        <v/>
      </c>
      <c r="BW5" s="172">
        <f>MIN(IF($AU5=100%,1,1+VLOOKUP(($AJ5-$AI5-$AH5-$AG5-$AF5-$AE5*(1+BW$3))/$AJ5,'Технический лист'!$A:$B,2,1)-VLOOKUP($AO5,'Технический лист'!$A:$B,2,1)),1+(1-$AU5))</f>
        <v/>
      </c>
      <c r="BX5" s="172">
        <f>MIN(IF($AU5=100%,1,1+VLOOKUP(($AJ5-$AI5-$AH5-$AG5-$AF5-$AE5*(1+BX$3))/$AJ5,'Технический лист'!$A:$B,2,1)-VLOOKUP($AO5,'Технический лист'!$A:$B,2,1)),1+(1-$AU5))</f>
        <v/>
      </c>
      <c r="BY5" s="172">
        <f>MIN(IF($AU5=100%,1,1+VLOOKUP(($AJ5-$AI5-$AH5-$AG5-$AF5-$AE5*(1+BY$3))/$AJ5,'Технический лист'!$A:$B,2,1)-VLOOKUP($AO5,'Технический лист'!$A:$B,2,1)),1+(1-$AU5))</f>
        <v/>
      </c>
      <c r="BZ5" s="172">
        <f>MIN(IF($AU5=100%,1,1+VLOOKUP(($AJ5-$AI5-$AH5-$AG5-$AF5-$AE5*(1+BZ$3))/$AJ5,'Технический лист'!$A:$B,2,1)-VLOOKUP($AO5,'Технический лист'!$A:$B,2,1)),1+(1-$AU5))</f>
        <v/>
      </c>
      <c r="CA5" s="172">
        <f>MIN(IF($AU5=100%,1,1+VLOOKUP(($AJ5-$AI5-$AH5-$AG5-$AF5-$AE5*(1+CA$3))/$AJ5,'Технический лист'!$A:$B,2,1)-VLOOKUP($AO5,'Технический лист'!$A:$B,2,1)),1+(1-$AU5))</f>
        <v/>
      </c>
      <c r="CB5" s="172">
        <f>MIN(IF($AU5=100%,1,1+VLOOKUP(($AJ5-$AI5-$AH5-$AG5-$AF5-$AE5*(1+CB$3))/$AJ5,'Технический лист'!$A:$B,2,1)-VLOOKUP($AO5,'Технический лист'!$A:$B,2,1)),1+(1-$AU5))</f>
        <v/>
      </c>
      <c r="CC5" s="172">
        <f>MIN(IF($AU5=100%,1,1+VLOOKUP(($AJ5-$AI5-$AH5-$AG5-$AF5-$AE5*(1+CC$3))/$AJ5,'Технический лист'!$A:$B,2,1)-VLOOKUP($AO5,'Технический лист'!$A:$B,2,1)),1+(1-$AU5))</f>
        <v/>
      </c>
      <c r="CD5" s="172">
        <f>MIN(IF($AU5=100%,1,1+VLOOKUP(($AJ5-$AI5-$AH5-$AG5-$AF5-$AE5*(1+CD$3))/$AJ5,'Технический лист'!$A:$B,2,1)-VLOOKUP($AO5,'Технический лист'!$A:$B,2,1)),1+(1-$AU5))</f>
        <v/>
      </c>
      <c r="CE5" s="172">
        <f>MIN(IF($AU5=100%,1,1+VLOOKUP(($AJ5-$AI5-$AH5-$AG5-$AF5-$AE5*(1+CE$3))/$AJ5,'Технический лист'!$A:$B,2,1)-VLOOKUP($AO5,'Технический лист'!$A:$B,2,1)),1+(1-$AU5))</f>
        <v/>
      </c>
      <c r="CF5" s="172">
        <f>MIN(IF($AU5=100%,1,1+VLOOKUP(($AJ5-$AI5-$AH5-$AG5-$AF5-$AE5*(1+CF$3))/$AJ5,'Технический лист'!$A:$B,2,1)-VLOOKUP($AO5,'Технический лист'!$A:$B,2,1)),1+(1-$AU5))</f>
        <v/>
      </c>
      <c r="CG5" s="172">
        <f>MIN(IF($AU5=100%,1,1+VLOOKUP(($AJ5-$AI5-$AH5-$AG5-$AF5-$AE5*(1+CG$3))/$AJ5,'Технический лист'!$A:$B,2,1)-VLOOKUP($AO5,'Технический лист'!$A:$B,2,1)),1+(1-$AU5))</f>
        <v/>
      </c>
      <c r="CH5" s="172">
        <f>MIN(IF($AU5=100%,1,1+VLOOKUP(($AJ5-$AI5-$AH5-$AG5-$AF5-$AE5*(1+CH$3))/$AJ5,'Технический лист'!$A:$B,2,1)-VLOOKUP($AO5,'Технический лист'!$A:$B,2,1)),1+(1-$AU5))</f>
        <v/>
      </c>
      <c r="CI5" s="172">
        <f>MIN(IF($AU5=100%,1,1+VLOOKUP(($AJ5-$AI5-$AH5-$AG5-$AF5-$AE5*(1+CI$3))/$AJ5,'Технический лист'!$A:$B,2,1)-VLOOKUP($AO5,'Технический лист'!$A:$B,2,1)),1+(1-$AU5))</f>
        <v/>
      </c>
      <c r="CJ5" s="172">
        <f>MIN(IF($AU5=100%,1,1+VLOOKUP(($AJ5-$AI5-$AH5-$AG5-$AF5-$AE5*(1+CJ$3))/$AJ5,'Технический лист'!$A:$B,2,1)-VLOOKUP($AO5,'Технический лист'!$A:$B,2,1)),1+(1-$AU5))</f>
        <v/>
      </c>
      <c r="CK5" s="172">
        <f>MIN(IF($AU5=100%,1,1+VLOOKUP(($AJ5-$AI5-$AH5-$AG5-$AF5-$AE5*(1+CK$3))/$AJ5,'Технический лист'!$A:$B,2,1)-VLOOKUP($AO5,'Технический лист'!$A:$B,2,1)),1+(1-$AU5))</f>
        <v/>
      </c>
      <c r="CL5" s="172">
        <f>MIN(IF($AU5=100%,1,1+VLOOKUP(($AJ5-$AI5-$AH5-$AG5-$AF5-$AE5*(1+CL$3))/$AJ5,'Технический лист'!$A:$B,2,1)-VLOOKUP($AO5,'Технический лист'!$A:$B,2,1)),1+(1-$AU5))</f>
        <v/>
      </c>
      <c r="CM5" s="172">
        <f>MIN(IF($AU5=100%,1,1+VLOOKUP(($AJ5-$AI5-$AH5-$AG5-$AF5-$AE5*(1+CM$3))/$AJ5,'Технический лист'!$A:$B,2,1)-VLOOKUP($AO5,'Технический лист'!$A:$B,2,1)),1+(1-$AU5))</f>
        <v/>
      </c>
      <c r="CN5" s="172">
        <f>MIN(IF($AU5=100%,1,1+VLOOKUP(($AJ5-$AI5-$AH5-$AG5-$AF5-$AE5*(1+CN$3))/$AJ5,'Технический лист'!$A:$B,2,1)-VLOOKUP($AO5,'Технический лист'!$A:$B,2,1)),1+(1-$AU5))</f>
        <v/>
      </c>
      <c r="CO5" s="172">
        <f>MIN(IF($AU5=100%,1,1+VLOOKUP(($AJ5-$AI5-$AH5-$AG5-$AF5-$AE5*(1+CO$3))/$AJ5,'Технический лист'!$A:$B,2,1)-VLOOKUP($AO5,'Технический лист'!$A:$B,2,1)),1+(1-$AU5))</f>
        <v/>
      </c>
      <c r="CP5" s="172">
        <f>MIN(IF($AU5=100%,1,1+VLOOKUP(($AJ5-$AI5-$AH5-$AG5-$AF5-$AE5*(1+CP$3))/$AJ5,'Технический лист'!$A:$B,2,1)-VLOOKUP($AO5,'Технический лист'!$A:$B,2,1)),1+(1-$AU5))</f>
        <v/>
      </c>
      <c r="CQ5" s="172">
        <f>MIN(IF($AU5=100%,1,1+VLOOKUP(($AJ5-$AI5-$AH5-$AG5-$AF5-$AE5*(1+CQ$3))/$AJ5,'Технический лист'!$A:$B,2,1)-VLOOKUP($AO5,'Технический лист'!$A:$B,2,1)),1+(1-$AU5))</f>
        <v/>
      </c>
      <c r="CR5" s="172">
        <f>MIN(IF($AU5=100%,1,1+VLOOKUP(($AJ5-$AI5-$AH5-$AG5-$AF5-$AE5*(1+CR$3))/$AJ5,'Технический лист'!$A:$B,2,1)-VLOOKUP($AO5,'Технический лист'!$A:$B,2,1)),1+(1-$AU5))</f>
        <v/>
      </c>
      <c r="CS5" s="172">
        <f>MIN(IF($AU5=100%,1,1+VLOOKUP(($AJ5-$AI5-$AH5-$AG5-$AF5-$AE5*(1+CS$3))/$AJ5,'Технический лист'!$A:$B,2,1)-VLOOKUP($AO5,'Технический лист'!$A:$B,2,1)),1+(1-$AU5))</f>
        <v/>
      </c>
      <c r="CT5" s="172">
        <f>MIN(IF($AU5=100%,1,1+VLOOKUP(($AJ5-$AI5-$AH5-$AG5-$AF5-$AE5*(1+CT$3))/$AJ5,'Технический лист'!$A:$B,2,1)-VLOOKUP($AO5,'Технический лист'!$A:$B,2,1)),1+(1-$AU5))</f>
        <v/>
      </c>
      <c r="CU5" s="172">
        <f>MIN(IF($AU5=100%,1,1+VLOOKUP(($AJ5-$AI5-$AH5-$AG5-$AF5-$AE5*(1+CU$3))/$AJ5,'Технический лист'!$A:$B,2,1)-VLOOKUP($AO5,'Технический лист'!$A:$B,2,1)),1+(1-$AU5))</f>
        <v/>
      </c>
      <c r="CV5" s="172">
        <f>MIN(IF($AU5=100%,1,1+VLOOKUP(($AJ5-$AI5-$AH5-$AG5-$AF5-$AE5*(1+CV$3))/$AJ5,'Технический лист'!$A:$B,2,1)-VLOOKUP($AO5,'Технический лист'!$A:$B,2,1)),1+(1-$AU5))</f>
        <v/>
      </c>
      <c r="CW5" s="172">
        <f>MIN(IF($AU5=100%,1,1+VLOOKUP(($AJ5-$AI5-$AH5-$AG5-$AF5-$AE5*(1+CW$3))/$AJ5,'Технический лист'!$A:$B,2,1)-VLOOKUP($AO5,'Технический лист'!$A:$B,2,1)),1+(1-$AU5))</f>
        <v/>
      </c>
      <c r="CX5" s="172">
        <f>MIN(IF($AU5=100%,1,1+VLOOKUP(($AJ5-$AI5-$AH5-$AG5-$AF5-$AE5*(1+CX$3))/$AJ5,'Технический лист'!$A:$B,2,1)-VLOOKUP($AO5,'Технический лист'!$A:$B,2,1)),1+(1-$AU5))</f>
        <v/>
      </c>
      <c r="CY5" s="172">
        <f>MIN(IF($AU5=100%,1,1+VLOOKUP(($AJ5-$AI5-$AH5-$AG5-$AF5-$AE5*(1+CY$3))/$AJ5,'Технический лист'!$A:$B,2,1)-VLOOKUP($AO5,'Технический лист'!$A:$B,2,1)),1+(1-$AU5))</f>
        <v/>
      </c>
      <c r="CZ5" s="172">
        <f>MIN(IF($AU5=100%,1,1+VLOOKUP(($AJ5-$AI5-$AH5-$AG5-$AF5-$AE5*(1+CZ$3))/$AJ5,'Технический лист'!$A:$B,2,1)-VLOOKUP($AO5,'Технический лист'!$A:$B,2,1)),1+(1-$AU5))</f>
        <v/>
      </c>
      <c r="DA5" s="172">
        <f>MIN(IF($AU5=100%,1,1+VLOOKUP(($AJ5-$AI5-$AH5-$AG5-$AF5-$AE5*(1+DA$3))/$AJ5,'Технический лист'!$A:$B,2,1)-VLOOKUP($AO5,'Технический лист'!$A:$B,2,1)),1+(1-$AU5))</f>
        <v/>
      </c>
      <c r="DB5" s="172">
        <f>MIN(IF($AU5=100%,1,1+VLOOKUP(($AJ5-$AI5-$AH5-$AG5-$AF5-$AE5*(1+DB$3))/$AJ5,'Технический лист'!$A:$B,2,1)-VLOOKUP($AO5,'Технический лист'!$A:$B,2,1)),1+(1-$AU5))</f>
        <v/>
      </c>
      <c r="DC5" s="172">
        <f>MIN(IF($AU5=100%,1,1+VLOOKUP(($AJ5-$AI5-$AH5-$AG5-$AF5-$AE5*(1+DC$3))/$AJ5,'Технический лист'!$A:$B,2,1)-VLOOKUP($AO5,'Технический лист'!$A:$B,2,1)),1+(1-$AU5))</f>
        <v/>
      </c>
      <c r="DD5" s="172">
        <f>MIN(IF($AU5=100%,1,1+VLOOKUP(($AJ5-$AI5-$AH5-$AG5-$AF5-$AE5*(1+DD$3))/$AJ5,'Технический лист'!$A:$B,2,1)-VLOOKUP($AO5,'Технический лист'!$A:$B,2,1)),1+(1-$AU5))</f>
        <v/>
      </c>
      <c r="DE5" s="172">
        <f>MIN(IF($AU5=100%,1,1+VLOOKUP(($AJ5-$AI5-$AH5-$AG5-$AF5-$AE5*(1+DE$3))/$AJ5,'Технический лист'!$A:$B,2,1)-VLOOKUP($AO5,'Технический лист'!$A:$B,2,1)),1+(1-$AU5))</f>
        <v/>
      </c>
      <c r="DF5" s="172">
        <f>MIN(IF($AU5=100%,1,1+VLOOKUP(($AJ5-$AI5-$AH5-$AG5-$AF5-$AE5*(1+DF$3))/$AJ5,'Технический лист'!$A:$B,2,1)-VLOOKUP($AO5,'Технический лист'!$A:$B,2,1)),1+(1-$AU5))</f>
        <v/>
      </c>
      <c r="DG5" s="172">
        <f>MIN(IF($AU5=100%,1,1+VLOOKUP(($AJ5-$AI5-$AH5-$AG5-$AF5-$AE5*(1+DG$3))/$AJ5,'Технический лист'!$A:$B,2,1)-VLOOKUP($AO5,'Технический лист'!$A:$B,2,1)),1+(1-$AU5))</f>
        <v/>
      </c>
      <c r="DH5" s="172">
        <f>MIN(IF($AU5=100%,1,1+VLOOKUP(($AJ5-$AI5-$AH5-$AG5-$AF5-$AE5*(1+DH$3))/$AJ5,'Технический лист'!$A:$B,2,1)-VLOOKUP($AO5,'Технический лист'!$A:$B,2,1)),1+(1-$AU5))</f>
        <v/>
      </c>
      <c r="DI5" s="172">
        <f>MIN(IF($AU5=100%,1,1+VLOOKUP(($AJ5-$AI5-$AH5-$AG5-$AF5-$AE5*(1+DI$3))/$AJ5,'Технический лист'!$A:$B,2,1)-VLOOKUP($AO5,'Технический лист'!$A:$B,2,1)),1+(1-$AU5))</f>
        <v/>
      </c>
      <c r="DJ5" s="172">
        <f>MIN(IF($AU5=100%,1,1+VLOOKUP(($AJ5-$AI5-$AH5-$AG5-$AF5-$AE5*(1+DJ$3))/$AJ5,'Технический лист'!$A:$B,2,1)-VLOOKUP($AO5,'Технический лист'!$A:$B,2,1)),1+(1-$AU5))</f>
        <v/>
      </c>
      <c r="DK5" s="172">
        <f>MIN(IF($AU5=100%,1,1+VLOOKUP(($AJ5-$AI5-$AH5-$AG5-$AF5-$AE5*(1+DK$3))/$AJ5,'Технический лист'!$A:$B,2,1)-VLOOKUP($AO5,'Технический лист'!$A:$B,2,1)),1+(1-$AU5))</f>
        <v/>
      </c>
      <c r="DL5" s="172">
        <f>MIN(IF($AU5=100%,1,1+VLOOKUP(($AJ5-$AI5-$AH5-$AG5-$AF5-$AE5*(1+DL$3))/$AJ5,'Технический лист'!$A:$B,2,1)-VLOOKUP($AO5,'Технический лист'!$A:$B,2,1)),1+(1-$AU5))</f>
        <v/>
      </c>
      <c r="DM5" s="172">
        <f>MIN(IF($AU5=100%,1,1+VLOOKUP(($AJ5-$AI5-$AH5-$AG5-$AF5-$AE5*(1+DM$3))/$AJ5,'Технический лист'!$A:$B,2,1)-VLOOKUP($AO5,'Технический лист'!$A:$B,2,1)),1+(1-$AU5))</f>
        <v/>
      </c>
      <c r="DN5" s="172">
        <f>MIN(IF($AU5=100%,1,1+VLOOKUP(($AJ5-$AI5-$AH5-$AG5-$AF5-$AE5*(1+DN$3))/$AJ5,'Технический лист'!$A:$B,2,1)-VLOOKUP($AO5,'Технический лист'!$A:$B,2,1)),1+(1-$AU5))</f>
        <v/>
      </c>
      <c r="DO5" s="172">
        <f>MIN(IF($AU5=100%,1,1+VLOOKUP(($AJ5-$AI5-$AH5-$AG5-$AF5-$AE5*(1+DO$3))/$AJ5,'Технический лист'!$A:$B,2,1)-VLOOKUP($AO5,'Технический лист'!$A:$B,2,1)),1+(1-$AU5))</f>
        <v/>
      </c>
      <c r="DP5" s="172">
        <f>MIN(IF($AU5=100%,1,1+VLOOKUP(($AJ5-$AI5-$AH5-$AG5-$AF5-$AE5*(1+DP$3))/$AJ5,'Технический лист'!$A:$B,2,1)-VLOOKUP($AO5,'Технический лист'!$A:$B,2,1)),1+(1-$AU5))</f>
        <v/>
      </c>
      <c r="DQ5" s="172">
        <f>MIN(IF($AU5=100%,1,1+VLOOKUP(($AJ5-$AI5-$AH5-$AG5-$AF5-$AE5*(1+DQ$3))/$AJ5,'Технический лист'!$A:$B,2,1)-VLOOKUP($AO5,'Технический лист'!$A:$B,2,1)),1+(1-$AU5))</f>
        <v/>
      </c>
      <c r="DR5" s="172">
        <f>MIN(IF($AU5=100%,1,1+VLOOKUP(($AJ5-$AI5-$AH5-$AG5-$AF5-$AE5*(1+DR$3))/$AJ5,'Технический лист'!$A:$B,2,1)-VLOOKUP($AO5,'Технический лист'!$A:$B,2,1)),1+(1-$AU5))</f>
        <v/>
      </c>
      <c r="DS5" s="172">
        <f>MIN(IF($AU5=100%,1,1+VLOOKUP(($AJ5-$AI5-$AH5-$AG5-$AF5-$AE5*(1+DS$3))/$AJ5,'Технический лист'!$A:$B,2,1)-VLOOKUP($AO5,'Технический лист'!$A:$B,2,1)),1+(1-$AU5))</f>
        <v/>
      </c>
      <c r="DT5" s="172">
        <f>MIN(IF($AU5=100%,1,1+VLOOKUP(($AJ5-$AI5-$AH5-$AG5-$AF5-$AE5*(1+DT$3))/$AJ5,'Технический лист'!$A:$B,2,1)-VLOOKUP($AO5,'Технический лист'!$A:$B,2,1)),1+(1-$AU5))</f>
        <v/>
      </c>
      <c r="DU5" s="172">
        <f>MIN(IF($AU5=100%,1,1+VLOOKUP(($AJ5-$AI5-$AH5-$AG5-$AF5-$AE5*(1+DU$3))/$AJ5,'Технический лист'!$A:$B,2,1)-VLOOKUP($AO5,'Технический лист'!$A:$B,2,1)),1+(1-$AU5))</f>
        <v/>
      </c>
      <c r="DV5" s="172">
        <f>MIN(IF($AU5=100%,1,1+VLOOKUP(($AJ5-$AI5-$AH5-$AG5-$AF5-$AE5*(1+DV$3))/$AJ5,'Технический лист'!$A:$B,2,1)-VLOOKUP($AO5,'Технический лист'!$A:$B,2,1)),1+(1-$AU5))</f>
        <v/>
      </c>
      <c r="DW5" s="172">
        <f>MIN(IF($AU5=100%,1,1+VLOOKUP(($AJ5-$AI5-$AH5-$AG5-$AF5-$AE5*(1+DW$3))/$AJ5,'Технический лист'!$A:$B,2,1)-VLOOKUP($AO5,'Технический лист'!$A:$B,2,1)),1+(1-$AU5))</f>
        <v/>
      </c>
      <c r="DX5" s="172">
        <f>MIN(IF($AU5=100%,1,1+VLOOKUP(($AJ5-$AI5-$AH5-$AG5-$AF5-$AE5*(1+DX$3))/$AJ5,'Технический лист'!$A:$B,2,1)-VLOOKUP($AO5,'Технический лист'!$A:$B,2,1)),1+(1-$AU5))</f>
        <v/>
      </c>
      <c r="DY5" s="172">
        <f>MIN(IF($AU5=100%,1,1+VLOOKUP(($AJ5-$AI5-$AH5-$AG5-$AF5-$AE5*(1+DY$3))/$AJ5,'Технический лист'!$A:$B,2,1)-VLOOKUP($AO5,'Технический лист'!$A:$B,2,1)),1+(1-$AU5))</f>
        <v/>
      </c>
      <c r="DZ5" s="172">
        <f>MIN(IF($AU5=100%,1,1+VLOOKUP(($AJ5-$AI5-$AH5-$AG5-$AF5-$AE5*(1+DZ$3))/$AJ5,'Технический лист'!$A:$B,2,1)-VLOOKUP($AO5,'Технический лист'!$A:$B,2,1)),1+(1-$AU5))</f>
        <v/>
      </c>
      <c r="EA5" s="172">
        <f>MIN(IF($AU5=100%,1,1+VLOOKUP(($AJ5-$AI5-$AH5-$AG5-$AF5-$AE5*(1+EA$3))/$AJ5,'Технический лист'!$A:$B,2,1)-VLOOKUP($AO5,'Технический лист'!$A:$B,2,1)),1+(1-$AU5))</f>
        <v/>
      </c>
      <c r="EB5" s="172">
        <f>MIN(IF($AU5=100%,1,1+VLOOKUP(($AJ5-$AI5-$AH5-$AG5-$AF5-$AE5*(1+EB$3))/$AJ5,'Технический лист'!$A:$B,2,1)-VLOOKUP($AO5,'Технический лист'!$A:$B,2,1)),1+(1-$AU5))</f>
        <v/>
      </c>
      <c r="EC5" s="172">
        <f>MIN(IF($AU5=100%,1,1+VLOOKUP(($AJ5-$AI5-$AH5-$AG5-$AF5-$AE5*(1+EC$3))/$AJ5,'Технический лист'!$A:$B,2,1)-VLOOKUP($AO5,'Технический лист'!$A:$B,2,1)),1+(1-$AU5))</f>
        <v/>
      </c>
      <c r="ED5" s="172">
        <f>MIN(IF($AU5=100%,1,1+VLOOKUP(($AJ5-$AI5-$AH5-$AG5-$AF5-$AE5*(1+ED$3))/$AJ5,'Технический лист'!$A:$B,2,1)-VLOOKUP($AO5,'Технический лист'!$A:$B,2,1)),1+(1-$AU5))</f>
        <v/>
      </c>
      <c r="EE5" s="172">
        <f>MIN(IF($AU5=100%,1,1+VLOOKUP(($AJ5-$AI5-$AH5-$AG5-$AF5-$AE5*(1+EE$3))/$AJ5,'Технический лист'!$A:$B,2,1)-VLOOKUP($AO5,'Технический лист'!$A:$B,2,1)),1+(1-$AU5))</f>
        <v/>
      </c>
      <c r="EF5" s="172">
        <f>MIN(IF($AU5=100%,1,1+VLOOKUP(($AJ5-$AI5-$AH5-$AG5-$AF5-$AE5*(1+EF$3))/$AJ5,'Технический лист'!$A:$B,2,1)-VLOOKUP($AO5,'Технический лист'!$A:$B,2,1)),1+(1-$AU5))</f>
        <v/>
      </c>
      <c r="EG5" s="172">
        <f>MIN(IF($AU5=100%,1,1+VLOOKUP(($AJ5-$AI5-$AH5-$AG5-$AF5-$AE5*(1+EG$3))/$AJ5,'Технический лист'!$A:$B,2,1)-VLOOKUP($AO5,'Технический лист'!$A:$B,2,1)),1+(1-$AU5))</f>
        <v/>
      </c>
      <c r="EH5" s="172">
        <f>MIN(IF($AU5=100%,1,1+VLOOKUP(($AJ5-$AI5-$AH5-$AG5-$AF5-$AE5*(1+EH$3))/$AJ5,'Технический лист'!$A:$B,2,1)-VLOOKUP($AO5,'Технический лист'!$A:$B,2,1)),1+(1-$AU5))</f>
        <v/>
      </c>
      <c r="EI5" s="172">
        <f>MIN(IF($AU5=100%,1,1+VLOOKUP(($AJ5-$AI5-$AH5-$AG5-$AF5-$AE5*(1+EI$3))/$AJ5,'Технический лист'!$A:$B,2,1)-VLOOKUP($AO5,'Технический лист'!$A:$B,2,1)),1+(1-$AU5))</f>
        <v/>
      </c>
      <c r="EJ5" s="172">
        <f>MIN(IF($AU5=100%,1,1+VLOOKUP(($AJ5-$AI5-$AH5-$AG5-$AF5-$AE5*(1+EJ$3))/$AJ5,'Технический лист'!$A:$B,2,1)-VLOOKUP($AO5,'Технический лист'!$A:$B,2,1)),1+(1-$AU5))</f>
        <v/>
      </c>
      <c r="EK5" s="172">
        <f>MIN(IF($AU5=100%,1,1+VLOOKUP(($AJ5-$AI5-$AH5-$AG5-$AF5-$AE5*(1+EK$3))/$AJ5,'Технический лист'!$A:$B,2,1)-VLOOKUP($AO5,'Технический лист'!$A:$B,2,1)),1+(1-$AU5))</f>
        <v/>
      </c>
      <c r="EL5" s="172">
        <f>MIN(IF($AU5=100%,1,1+VLOOKUP(($AJ5-$AI5-$AH5-$AG5-$AF5-$AE5*(1+EL$3))/$AJ5,'Технический лист'!$A:$B,2,1)-VLOOKUP($AO5,'Технический лист'!$A:$B,2,1)),1+(1-$AU5))</f>
        <v/>
      </c>
      <c r="EM5" s="172">
        <f>MIN(IF($AU5=100%,1,1+VLOOKUP(($AJ5-$AI5-$AH5-$AG5-$AF5-$AE5*(1+EM$3))/$AJ5,'Технический лист'!$A:$B,2,1)-VLOOKUP($AO5,'Технический лист'!$A:$B,2,1)),1+(1-$AU5))</f>
        <v/>
      </c>
      <c r="EN5" s="172">
        <f>MIN(IF($AU5=100%,1,1+VLOOKUP(($AJ5-$AI5-$AH5-$AG5-$AF5-$AE5*(1+EN$3))/$AJ5,'Технический лист'!$A:$B,2,1)-VLOOKUP($AO5,'Технический лист'!$A:$B,2,1)),1+(1-$AU5))</f>
        <v/>
      </c>
      <c r="EO5" s="172">
        <f>MIN(IF($AU5=100%,1,1+VLOOKUP(($AJ5-$AI5-$AH5-$AG5-$AF5-$AE5*(1+EO$3))/$AJ5,'Технический лист'!$A:$B,2,1)-VLOOKUP($AO5,'Технический лист'!$A:$B,2,1)),1+(1-$AU5))</f>
        <v/>
      </c>
      <c r="EP5" s="172">
        <f>MIN(IF($AU5=100%,1,1+VLOOKUP(($AJ5-$AI5-$AH5-$AG5-$AF5-$AE5*(1+EP$3))/$AJ5,'Технический лист'!$A:$B,2,1)-VLOOKUP($AO5,'Технический лист'!$A:$B,2,1)),1+(1-$AU5))</f>
        <v/>
      </c>
      <c r="EQ5" s="172">
        <f>MIN(IF($AU5=100%,1,1+VLOOKUP(($AJ5-$AI5-$AH5-$AG5-$AF5-$AE5*(1+EQ$3))/$AJ5,'Технический лист'!$A:$B,2,1)-VLOOKUP($AO5,'Технический лист'!$A:$B,2,1)),1+(1-$AU5))</f>
        <v/>
      </c>
      <c r="ER5" s="172">
        <f>MIN(IF($AU5=100%,1,1+VLOOKUP(($AJ5-$AI5-$AH5-$AG5-$AF5-$AE5*(1+ER$3))/$AJ5,'Технический лист'!$A:$B,2,1)-VLOOKUP($AO5,'Технический лист'!$A:$B,2,1)),1+(1-$AU5))</f>
        <v/>
      </c>
      <c r="ES5" s="172">
        <f>MIN(IF($AU5=100%,1,1+VLOOKUP(($AJ5-$AI5-$AH5-$AG5-$AF5-$AE5*(1+ES$3))/$AJ5,'Технический лист'!$A:$B,2,1)-VLOOKUP($AO5,'Технический лист'!$A:$B,2,1)),1+(1-$AU5))</f>
        <v/>
      </c>
      <c r="ET5" s="172">
        <f>MIN(IF($AU5=100%,1,1+VLOOKUP(($AJ5-$AI5-$AH5-$AG5-$AF5-$AE5*(1+ET$3))/$AJ5,'Технический лист'!$A:$B,2,1)-VLOOKUP($AO5,'Технический лист'!$A:$B,2,1)),1+(1-$AU5))</f>
        <v/>
      </c>
      <c r="EU5" s="172">
        <f>MIN(IF($AU5=100%,1,1+VLOOKUP(($AJ5-$AI5-$AH5-$AG5-$AF5-$AE5*(1+EU$3))/$AJ5,'Технический лист'!$A:$B,2,1)-VLOOKUP($AO5,'Технический лист'!$A:$B,2,1)),1+(1-$AU5))</f>
        <v/>
      </c>
      <c r="EV5" s="173" t="n">
        <v>1</v>
      </c>
      <c r="EW5" s="172">
        <f>MIN(1,MAX(VLOOKUP(($AJ5-$AI5-$AH5-$AG5-$AF5-$AE5*(1+EW$3))/$AJ5,'Технический лист'!$A:$B,2,1),(EV5-0.05)))</f>
        <v/>
      </c>
      <c r="EX5" s="172">
        <f>MIN(1,MAX(VLOOKUP(($AJ5-$AI5-$AH5-$AG5-$AF5-$AE5*(1+EX$3))/$AJ5,'Технический лист'!$A:$B,2,1),(EW5-0.05)))</f>
        <v/>
      </c>
      <c r="EY5" s="172">
        <f>MIN(1,MAX(VLOOKUP(($AJ5-$AI5-$AH5-$AG5-$AF5-$AE5*(1+EY$3))/$AJ5,'Технический лист'!$A:$B,2,1),(EX5-0.05)))</f>
        <v/>
      </c>
      <c r="EZ5" s="172">
        <f>MIN(1,MAX(VLOOKUP(($AJ5-$AI5-$AH5-$AG5-$AF5-$AE5*(1+EZ$3))/$AJ5,'Технический лист'!$A:$B,2,1),(EY5-0.05)))</f>
        <v/>
      </c>
      <c r="FA5" s="172">
        <f>MIN(1,MAX(VLOOKUP(($AJ5-$AI5-$AH5-$AG5-$AF5-$AE5*(1+FA$3))/$AJ5,'Технический лист'!$A:$B,2,1),(EZ5-0.05)))</f>
        <v/>
      </c>
      <c r="FB5" s="172">
        <f>MIN(1,MAX(VLOOKUP(($AJ5-$AI5-$AH5-$AG5-$AF5-$AE5*(1+FB$3))/$AJ5,'Технический лист'!$A:$B,2,1),(FA5-0.05)))</f>
        <v/>
      </c>
      <c r="FC5" s="172">
        <f>MIN(1,MAX(VLOOKUP(($AJ5-$AI5-$AH5-$AG5-$AF5-$AE5*(1+FC$3))/$AJ5,'Технический лист'!$A:$B,2,1),(FB5-0.05)))</f>
        <v/>
      </c>
      <c r="FD5" s="172">
        <f>MIN(1,MAX(VLOOKUP(($AJ5-$AI5-$AH5-$AG5-$AF5-$AE5*(1+FD$3))/$AJ5,'Технический лист'!$A:$B,2,1),(FC5-0.05)))</f>
        <v/>
      </c>
      <c r="FE5" s="172">
        <f>MIN(1,MAX(VLOOKUP(($AJ5-$AI5-$AH5-$AG5-$AF5-$AE5*(1+FE$3))/$AJ5,'Технический лист'!$A:$B,2,1),(FD5-0.05)))</f>
        <v/>
      </c>
      <c r="FF5" s="172">
        <f>MIN(1,MAX(VLOOKUP(($AJ5-$AI5-$AH5-$AG5-$AF5-$AE5*(1+FF$3))/$AJ5,'Технический лист'!$A:$B,2,1),(FE5-0.05)))</f>
        <v/>
      </c>
      <c r="FG5" s="172">
        <f>MIN(1,MAX(VLOOKUP(($AJ5-$AI5-$AH5-$AG5-$AF5-$AE5*(1+FG$3))/$AJ5,'Технический лист'!$A:$B,2,1),(FF5-0.05)))</f>
        <v/>
      </c>
      <c r="FH5" s="172">
        <f>MIN(1,MAX(VLOOKUP(($AJ5-$AI5-$AH5-$AG5-$AF5-$AE5*(1+FH$3))/$AJ5,'Технический лист'!$A:$B,2,1),(FG5-0.05)))</f>
        <v/>
      </c>
      <c r="FI5" s="172">
        <f>MIN(1,MAX(VLOOKUP(($AJ5-$AI5-$AH5-$AG5-$AF5-$AE5*(1+FI$3))/$AJ5,'Технический лист'!$A:$B,2,1),(FH5-0.05)))</f>
        <v/>
      </c>
      <c r="FJ5" s="172">
        <f>MIN(1,MAX(VLOOKUP(($AJ5-$AI5-$AH5-$AG5-$AF5-$AE5*(1+FJ$3))/$AJ5,'Технический лист'!$A:$B,2,1),(FI5-0.05)))</f>
        <v/>
      </c>
      <c r="FK5" s="172">
        <f>MIN(1,MAX(VLOOKUP(($AJ5-$AI5-$AH5-$AG5-$AF5-$AE5*(1+FK$3))/$AJ5,'Технический лист'!$A:$B,2,1),(FJ5-0.05)))</f>
        <v/>
      </c>
      <c r="FL5" s="172">
        <f>MIN(1,MAX(VLOOKUP(($AJ5-$AI5-$AH5-$AG5-$AF5-$AE5*(1+FL$3))/$AJ5,'Технический лист'!$A:$B,2,1),(FK5-0.05)))</f>
        <v/>
      </c>
      <c r="FM5" s="172">
        <f>MIN(1,MAX(VLOOKUP(($AJ5-$AI5-$AH5-$AG5-$AF5-$AE5*(1+FM$3))/$AJ5,'Технический лист'!$A:$B,2,1),(FL5-0.05)))</f>
        <v/>
      </c>
      <c r="FN5" s="172">
        <f>MIN(1,MAX(VLOOKUP(($AJ5-$AI5-$AH5-$AG5-$AF5-$AE5*(1+FN$3))/$AJ5,'Технический лист'!$A:$B,2,1),(FM5-0.05)))</f>
        <v/>
      </c>
      <c r="FO5" s="172">
        <f>MIN(1,MAX(VLOOKUP(($AJ5-$AI5-$AH5-$AG5-$AF5-$AE5*(1+FO$3))/$AJ5,'Технический лист'!$A:$B,2,1),(FN5-0.05)))</f>
        <v/>
      </c>
      <c r="FP5" s="172">
        <f>MIN(1,MAX(VLOOKUP(($AJ5-$AI5-$AH5-$AG5-$AF5-$AE5*(1+FP$3))/$AJ5,'Технический лист'!$A:$B,2,1),(FO5-0.05)))</f>
        <v/>
      </c>
      <c r="FQ5" s="172">
        <f>MIN(1,MAX(VLOOKUP(($AJ5-$AI5-$AH5-$AG5-$AF5-$AE5*(1+FQ$3))/$AJ5,'Технический лист'!$A:$B,2,1),(FP5-0.05)))</f>
        <v/>
      </c>
      <c r="FR5" s="172">
        <f>MIN(1,MAX(VLOOKUP(($AJ5-$AI5-$AH5-$AG5-$AF5-$AE5*(1+FR$3))/$AJ5,'Технический лист'!$A:$B,2,1),(FQ5-0.05)))</f>
        <v/>
      </c>
      <c r="FS5" s="172">
        <f>MIN(1,MAX(VLOOKUP(($AJ5-$AI5-$AH5-$AG5-$AF5-$AE5*(1+FS$3))/$AJ5,'Технический лист'!$A:$B,2,1),(FR5-0.05)))</f>
        <v/>
      </c>
      <c r="FT5" s="172">
        <f>MIN(1,MAX(VLOOKUP(($AJ5-$AI5-$AH5-$AG5-$AF5-$AE5*(1+FT$3))/$AJ5,'Технический лист'!$A:$B,2,1),(FS5-0.05)))</f>
        <v/>
      </c>
      <c r="FU5" s="172">
        <f>MIN(1,MAX(VLOOKUP(($AJ5-$AI5-$AH5-$AG5-$AF5-$AE5*(1+FU$3))/$AJ5,'Технический лист'!$A:$B,2,1),(FT5-0.05)))</f>
        <v/>
      </c>
      <c r="FV5" s="172">
        <f>MIN(1,MAX(VLOOKUP(($AJ5-$AI5-$AH5-$AG5-$AF5-$AE5*(1+FV$3))/$AJ5,'Технический лист'!$A:$B,2,1),(FU5-0.05)))</f>
        <v/>
      </c>
      <c r="FW5" s="172">
        <f>MIN(1,MAX(VLOOKUP(($AJ5-$AI5-$AH5-$AG5-$AF5-$AE5*(1+FW$3))/$AJ5,'Технический лист'!$A:$B,2,1),(FV5-0.05)))</f>
        <v/>
      </c>
      <c r="FX5" s="172">
        <f>MIN(1,MAX(VLOOKUP(($AJ5-$AI5-$AH5-$AG5-$AF5-$AE5*(1+FX$3))/$AJ5,'Технический лист'!$A:$B,2,1),(FW5-0.05)))</f>
        <v/>
      </c>
      <c r="FY5" s="172">
        <f>MIN(1,MAX(VLOOKUP(($AJ5-$AI5-$AH5-$AG5-$AF5-$AE5*(1+FY$3))/$AJ5,'Технический лист'!$A:$B,2,1),(FX5-0.05)))</f>
        <v/>
      </c>
      <c r="FZ5" s="172">
        <f>MIN(1,MAX(VLOOKUP(($AJ5-$AI5-$AH5-$AG5-$AF5-$AE5*(1+FZ$3))/$AJ5,'Технический лист'!$A:$B,2,1),(FY5-0.05)))</f>
        <v/>
      </c>
      <c r="GA5" s="172">
        <f>MIN(1,MAX(VLOOKUP(($AJ5-$AI5-$AH5-$AG5-$AF5-$AE5*(1+GA$3))/$AJ5,'Технический лист'!$A:$B,2,1),(FZ5-0.05)))</f>
        <v/>
      </c>
      <c r="GB5" s="172">
        <f>MIN(1,MAX(VLOOKUP(($AJ5-$AI5-$AH5-$AG5-$AF5-$AE5*(1+GB$3))/$AJ5,'Технический лист'!$A:$B,2,1),(GA5-0.05)))</f>
        <v/>
      </c>
      <c r="GC5" s="172">
        <f>MIN(1,MAX(VLOOKUP(($AJ5-$AI5-$AH5-$AG5-$AF5-$AE5*(1+GC$3))/$AJ5,'Технический лист'!$A:$B,2,1),(GB5-0.05)))</f>
        <v/>
      </c>
      <c r="GD5" s="172">
        <f>MIN(1,MAX(VLOOKUP(($AJ5-$AI5-$AH5-$AG5-$AF5-$AE5*(1+GD$3))/$AJ5,'Технический лист'!$A:$B,2,1),(GC5-0.05)))</f>
        <v/>
      </c>
      <c r="GE5" s="172">
        <f>MIN(1,MAX(VLOOKUP(($AJ5-$AI5-$AH5-$AG5-$AF5-$AE5*(1+GE$3))/$AJ5,'Технический лист'!$A:$B,2,1),(GD5-0.05)))</f>
        <v/>
      </c>
      <c r="GF5" s="172">
        <f>MIN(1,MAX(VLOOKUP(($AJ5-$AI5-$AH5-$AG5-$AF5-$AE5*(1+GF$3))/$AJ5,'Технический лист'!$A:$B,2,1),(GE5-0.05)))</f>
        <v/>
      </c>
      <c r="GG5" s="172">
        <f>MIN(1,MAX(VLOOKUP(($AJ5-$AI5-$AH5-$AG5-$AF5-$AE5*(1+GG$3))/$AJ5,'Технический лист'!$A:$B,2,1),(GF5-0.05)))</f>
        <v/>
      </c>
      <c r="GH5" s="172">
        <f>MIN(1,MAX(VLOOKUP(($AJ5-$AI5-$AH5-$AG5-$AF5-$AE5*(1+GH$3))/$AJ5,'Технический лист'!$A:$B,2,1),(GG5-0.05)))</f>
        <v/>
      </c>
      <c r="GI5" s="172">
        <f>MIN(1,MAX(VLOOKUP(($AJ5-$AI5-$AH5-$AG5-$AF5-$AE5*(1+GI$3))/$AJ5,'Технический лист'!$A:$B,2,1),(GH5-0.05)))</f>
        <v/>
      </c>
      <c r="GJ5" s="172">
        <f>MIN(1,MAX(VLOOKUP(($AJ5-$AI5-$AH5-$AG5-$AF5-$AE5*(1+GJ$3))/$AJ5,'Технический лист'!$A:$B,2,1),(GI5-0.05)))</f>
        <v/>
      </c>
      <c r="GK5" s="172">
        <f>MIN(1,MAX(VLOOKUP(($AJ5-$AI5-$AH5-$AG5-$AF5-$AE5*(1+GK$3))/$AJ5,'Технический лист'!$A:$B,2,1),(GJ5-0.05)))</f>
        <v/>
      </c>
      <c r="GL5" s="172">
        <f>MIN(1,MAX(VLOOKUP(($AJ5-$AI5-$AH5-$AG5-$AF5-$AE5*(1+GL$3))/$AJ5,'Технический лист'!$A:$B,2,1),(GK5-0.05)))</f>
        <v/>
      </c>
      <c r="GM5" s="172">
        <f>MIN(1,MAX(VLOOKUP(($AJ5-$AI5-$AH5-$AG5-$AF5-$AE5*(1+GM$3))/$AJ5,'Технический лист'!$A:$B,2,1),(GL5-0.05)))</f>
        <v/>
      </c>
      <c r="GN5" s="172">
        <f>MIN(1,MAX(VLOOKUP(($AJ5-$AI5-$AH5-$AG5-$AF5-$AE5*(1+GN$3))/$AJ5,'Технический лист'!$A:$B,2,1),(GM5-0.05)))</f>
        <v/>
      </c>
      <c r="GO5" s="172">
        <f>MIN(1,MAX(VLOOKUP(($AJ5-$AI5-$AH5-$AG5-$AF5-$AE5*(1+GO$3))/$AJ5,'Технический лист'!$A:$B,2,1),(GN5-0.05)))</f>
        <v/>
      </c>
      <c r="GP5" s="172">
        <f>MIN(1,MAX(VLOOKUP(($AJ5-$AI5-$AH5-$AG5-$AF5-$AE5*(1+GP$3))/$AJ5,'Технический лист'!$A:$B,2,1),(GO5-0.05)))</f>
        <v/>
      </c>
      <c r="GQ5" s="172">
        <f>MIN(1,MAX(VLOOKUP(($AJ5-$AI5-$AH5-$AG5-$AF5-$AE5*(1+GQ$3))/$AJ5,'Технический лист'!$A:$B,2,1),(GP5-0.05)))</f>
        <v/>
      </c>
      <c r="GR5" s="172">
        <f>MIN(1,MAX(VLOOKUP(($AJ5-$AI5-$AH5-$AG5-$AF5-$AE5*(1+GR$3))/$AJ5,'Технический лист'!$A:$B,2,1),(GQ5-0.05)))</f>
        <v/>
      </c>
      <c r="GS5" s="172">
        <f>MIN(1,MAX(VLOOKUP(($AJ5-$AI5-$AH5-$AG5-$AF5-$AE5*(1+GS$3))/$AJ5,'Технический лист'!$A:$B,2,1),(GR5-0.05)))</f>
        <v/>
      </c>
      <c r="GT5" s="172">
        <f>MIN(1,MAX(VLOOKUP(($AJ5-$AI5-$AH5-$AG5-$AF5-$AE5*(1+GT$3))/$AJ5,'Технический лист'!$A:$B,2,1),(GS5-0.05)))</f>
        <v/>
      </c>
      <c r="GU5" s="172">
        <f>MIN(1,MAX(VLOOKUP(($AJ5-$AI5-$AH5-$AG5-$AF5-$AE5*(1+GU$3))/$AJ5,'Технический лист'!$A:$B,2,1),(GT5-0.05)))</f>
        <v/>
      </c>
      <c r="GV5" s="172">
        <f>MIN(1,MAX(VLOOKUP(($AJ5-$AI5-$AH5-$AG5-$AF5-$AE5*(1+GV$3))/$AJ5,'Технический лист'!$A:$B,2,1),(GU5-0.05)))</f>
        <v/>
      </c>
      <c r="GW5" s="172">
        <f>MIN(1,MAX(VLOOKUP(($AJ5-$AI5-$AH5-$AG5-$AF5-$AE5*(1+GW$3))/$AJ5,'Технический лист'!$A:$B,2,1),(GV5-0.05)))</f>
        <v/>
      </c>
      <c r="GX5" s="172">
        <f>MIN(1,MAX(VLOOKUP(($AJ5-$AI5-$AH5-$AG5-$AF5-$AE5*(1+GX$3))/$AJ5,'Технический лист'!$A:$B,2,1),(GW5-0.05)))</f>
        <v/>
      </c>
      <c r="GY5" s="172">
        <f>MIN(1,MAX(VLOOKUP(($AJ5-$AI5-$AH5-$AG5-$AF5-$AE5*(1+GY$3))/$AJ5,'Технический лист'!$A:$B,2,1),(GX5-0.05)))</f>
        <v/>
      </c>
      <c r="GZ5" s="172">
        <f>MIN(1,MAX(VLOOKUP(($AJ5-$AI5-$AH5-$AG5-$AF5-$AE5*(1+GZ$3))/$AJ5,'Технический лист'!$A:$B,2,1),(GY5-0.05)))</f>
        <v/>
      </c>
      <c r="HA5" s="172">
        <f>MIN(1,MAX(VLOOKUP(($AJ5-$AI5-$AH5-$AG5-$AF5-$AE5*(1+HA$3))/$AJ5,'Технический лист'!$A:$B,2,1),(GZ5-0.05)))</f>
        <v/>
      </c>
      <c r="HB5" s="172">
        <f>MIN(1,MAX(VLOOKUP(($AJ5-$AI5-$AH5-$AG5-$AF5-$AE5*(1+HB$3))/$AJ5,'Технический лист'!$A:$B,2,1),(HA5-0.05)))</f>
        <v/>
      </c>
      <c r="HC5" s="172">
        <f>MIN(1,MAX(VLOOKUP(($AJ5-$AI5-$AH5-$AG5-$AF5-$AE5*(1+HC$3))/$AJ5,'Технический лист'!$A:$B,2,1),(HB5-0.05)))</f>
        <v/>
      </c>
      <c r="HD5" s="172">
        <f>MIN(1,MAX(VLOOKUP(($AJ5-$AI5-$AH5-$AG5-$AF5-$AE5*(1+HD$3))/$AJ5,'Технический лист'!$A:$B,2,1),(HC5-0.05)))</f>
        <v/>
      </c>
      <c r="HE5" s="172">
        <f>MIN(1,MAX(VLOOKUP(($AJ5-$AI5-$AH5-$AG5-$AF5-$AE5*(1+HE$3))/$AJ5,'Технический лист'!$A:$B,2,1),(HD5-0.05)))</f>
        <v/>
      </c>
      <c r="HF5" s="172">
        <f>MIN(1,MAX(VLOOKUP(($AJ5-$AI5-$AH5-$AG5-$AF5-$AE5*(1+HF$3))/$AJ5,'Технический лист'!$A:$B,2,1),(HE5-0.05)))</f>
        <v/>
      </c>
      <c r="HG5" s="172">
        <f>MIN(1,MAX(VLOOKUP(($AJ5-$AI5-$AH5-$AG5-$AF5-$AE5*(1+HG$3))/$AJ5,'Технический лист'!$A:$B,2,1),(HF5-0.05)))</f>
        <v/>
      </c>
      <c r="HH5" s="172">
        <f>MIN(1,MAX(VLOOKUP(($AJ5-$AI5-$AH5-$AG5-$AF5-$AE5*(1+HH$3))/$AJ5,'Технический лист'!$A:$B,2,1),(HG5-0.05)))</f>
        <v/>
      </c>
      <c r="HI5" s="172">
        <f>MIN(1,MAX(VLOOKUP(($AJ5-$AI5-$AH5-$AG5-$AF5-$AE5*(1+HI$3))/$AJ5,'Технический лист'!$A:$B,2,1),(HH5-0.05)))</f>
        <v/>
      </c>
      <c r="HJ5" s="172">
        <f>MIN(1,MAX(VLOOKUP(($AJ5-$AI5-$AH5-$AG5-$AF5-$AE5*(1+HJ$3))/$AJ5,'Технический лист'!$A:$B,2,1),(HI5-0.05)))</f>
        <v/>
      </c>
      <c r="HK5" s="172">
        <f>MIN(1,MAX(VLOOKUP(($AJ5-$AI5-$AH5-$AG5-$AF5-$AE5*(1+HK$3))/$AJ5,'Технический лист'!$A:$B,2,1),(HJ5-0.05)))</f>
        <v/>
      </c>
      <c r="HL5" s="172">
        <f>MIN(1,MAX(VLOOKUP(($AJ5-$AI5-$AH5-$AG5-$AF5-$AE5*(1+HL$3))/$AJ5,'Технический лист'!$A:$B,2,1),(HK5-0.05)))</f>
        <v/>
      </c>
      <c r="HM5" s="172">
        <f>MIN(1,MAX(VLOOKUP(($AJ5-$AI5-$AH5-$AG5-$AF5-$AE5*(1+HM$3))/$AJ5,'Технический лист'!$A:$B,2,1),(HL5-0.05)))</f>
        <v/>
      </c>
      <c r="HN5" s="172">
        <f>MIN(1,MAX(VLOOKUP(($AJ5-$AI5-$AH5-$AG5-$AF5-$AE5*(1+HN$3))/$AJ5,'Технический лист'!$A:$B,2,1),(HM5-0.05)))</f>
        <v/>
      </c>
      <c r="HO5" s="172">
        <f>MIN(1,MAX(VLOOKUP(($AJ5-$AI5-$AH5-$AG5-$AF5-$AE5*(1+HO$3))/$AJ5,'Технический лист'!$A:$B,2,1),(HN5-0.05)))</f>
        <v/>
      </c>
      <c r="HP5" s="172">
        <f>MIN(1,MAX(VLOOKUP(($AJ5-$AI5-$AH5-$AG5-$AF5-$AE5*(1+HP$3))/$AJ5,'Технический лист'!$A:$B,2,1),(HO5-0.05)))</f>
        <v/>
      </c>
      <c r="HQ5" s="172">
        <f>MIN(1,MAX(VLOOKUP(($AJ5-$AI5-$AH5-$AG5-$AF5-$AE5*(1+HQ$3))/$AJ5,'Технический лист'!$A:$B,2,1),(HP5-0.05)))</f>
        <v/>
      </c>
      <c r="HR5" s="172">
        <f>MIN(1,MAX(VLOOKUP(($AJ5-$AI5-$AH5-$AG5-$AF5-$AE5*(1+HR$3))/$AJ5,'Технический лист'!$A:$B,2,1),(HQ5-0.05)))</f>
        <v/>
      </c>
      <c r="HS5" s="172">
        <f>MIN(1,MAX(VLOOKUP(($AJ5-$AI5-$AH5-$AG5-$AF5-$AE5*(1+HS$3))/$AJ5,'Технический лист'!$A:$B,2,1),(HR5-0.05)))</f>
        <v/>
      </c>
      <c r="HT5" s="172">
        <f>MIN(1,MAX(VLOOKUP(($AJ5-$AI5-$AH5-$AG5-$AF5-$AE5*(1+HT$3))/$AJ5,'Технический лист'!$A:$B,2,1),(HS5-0.05)))</f>
        <v/>
      </c>
      <c r="HU5" s="172">
        <f>MIN(1,MAX(VLOOKUP(($AJ5-$AI5-$AH5-$AG5-$AF5-$AE5*(1+HU$3))/$AJ5,'Технический лист'!$A:$B,2,1),(HT5-0.05)))</f>
        <v/>
      </c>
      <c r="HV5" s="172">
        <f>MIN(1,MAX(VLOOKUP(($AJ5-$AI5-$AH5-$AG5-$AF5-$AE5*(1+HV$3))/$AJ5,'Технический лист'!$A:$B,2,1),(HU5-0.05)))</f>
        <v/>
      </c>
      <c r="HW5" s="172">
        <f>MIN(1,MAX(VLOOKUP(($AJ5-$AI5-$AH5-$AG5-$AF5-$AE5*(1+HW$3))/$AJ5,'Технический лист'!$A:$B,2,1),(HV5-0.05)))</f>
        <v/>
      </c>
      <c r="HX5" s="172">
        <f>MIN(1,MAX(VLOOKUP(($AJ5-$AI5-$AH5-$AG5-$AF5-$AE5*(1+HX$3))/$AJ5,'Технический лист'!$A:$B,2,1),(HW5-0.05)))</f>
        <v/>
      </c>
      <c r="HY5" s="172">
        <f>MIN(1,MAX(VLOOKUP(($AJ5-$AI5-$AH5-$AG5-$AF5-$AE5*(1+HY$3))/$AJ5,'Технический лист'!$A:$B,2,1),(HX5-0.05)))</f>
        <v/>
      </c>
      <c r="HZ5" s="172">
        <f>MIN(1,MAX(VLOOKUP(($AJ5-$AI5-$AH5-$AG5-$AF5-$AE5*(1+HZ$3))/$AJ5,'Технический лист'!$A:$B,2,1),(HY5-0.05)))</f>
        <v/>
      </c>
      <c r="IA5" s="172">
        <f>MIN(1,MAX(VLOOKUP(($AJ5-$AI5-$AH5-$AG5-$AF5-$AE5*(1+IA$3))/$AJ5,'Технический лист'!$A:$B,2,1),(HZ5-0.05)))</f>
        <v/>
      </c>
      <c r="IB5" s="172">
        <f>MIN(1,MAX(VLOOKUP(($AJ5-$AI5-$AH5-$AG5-$AF5-$AE5*(1+IB$3))/$AJ5,'Технический лист'!$A:$B,2,1),(IA5-0.05)))</f>
        <v/>
      </c>
      <c r="IC5" s="172">
        <f>MIN(1,MAX(VLOOKUP(($AJ5-$AI5-$AH5-$AG5-$AF5-$AE5*(1+IC$3))/$AJ5,'Технический лист'!$A:$B,2,1),(IB5-0.05)))</f>
        <v/>
      </c>
      <c r="ID5" s="172">
        <f>MIN(1,MAX(VLOOKUP(($AJ5-$AI5-$AH5-$AG5-$AF5-$AE5*(1+ID$3))/$AJ5,'Технический лист'!$A:$B,2,1),(IC5-0.05)))</f>
        <v/>
      </c>
      <c r="IE5" s="172">
        <f>MIN(1,MAX(VLOOKUP(($AJ5-$AI5-$AH5-$AG5-$AF5-$AE5*(1+IE$3))/$AJ5,'Технический лист'!$A:$B,2,1),(ID5-0.05)))</f>
        <v/>
      </c>
      <c r="IF5" s="172">
        <f>MIN(1,MAX(VLOOKUP(($AJ5-$AI5-$AH5-$AG5-$AF5-$AE5*(1+IF$3))/$AJ5,'Технический лист'!$A:$B,2,1),(IE5-0.05)))</f>
        <v/>
      </c>
      <c r="IG5" s="172">
        <f>MIN(1,MAX(VLOOKUP(($AJ5-$AI5-$AH5-$AG5-$AF5-$AE5*(1+IG$3))/$AJ5,'Технический лист'!$A:$B,2,1),(IF5-0.05)))</f>
        <v/>
      </c>
      <c r="IH5" s="172">
        <f>MIN(1,MAX(VLOOKUP(($AJ5-$AI5-$AH5-$AG5-$AF5-$AE5*(1+IH$3))/$AJ5,'Технический лист'!$A:$B,2,1),(IG5-0.05)))</f>
        <v/>
      </c>
      <c r="II5" s="172">
        <f>MIN(1,MAX(VLOOKUP(($AJ5-$AI5-$AH5-$AG5-$AF5-$AE5*(1+II$3))/$AJ5,'Технический лист'!$A:$B,2,1),(IH5-0.05)))</f>
        <v/>
      </c>
      <c r="IJ5" s="172">
        <f>MIN(1,MAX(VLOOKUP(($AJ5-$AI5-$AH5-$AG5-$AF5-$AE5*(1+IJ$3))/$AJ5,'Технический лист'!$A:$B,2,1),(II5-0.05)))</f>
        <v/>
      </c>
      <c r="IK5" s="172">
        <f>MIN(1,MAX(VLOOKUP(($AJ5-$AI5-$AH5-$AG5-$AF5-$AE5*(1+IK$3))/$AJ5,'Технический лист'!$A:$B,2,1),(IJ5-0.05)))</f>
        <v/>
      </c>
      <c r="IL5" s="172">
        <f>MIN(1,MAX(VLOOKUP(($AJ5-$AI5-$AH5-$AG5-$AF5-$AE5*(1+IL$3))/$AJ5,'Технический лист'!$A:$B,2,1),(IK5-0.05)))</f>
        <v/>
      </c>
      <c r="IM5" s="172">
        <f>MIN(1,MAX(VLOOKUP(($AJ5-$AI5-$AH5-$AG5-$AF5-$AE5*(1+IM$3))/$AJ5,'Технический лист'!$A:$B,2,1),(IL5-0.05)))</f>
        <v/>
      </c>
      <c r="IN5" s="172">
        <f>MIN(1,MAX(VLOOKUP(($AJ5-$AI5-$AH5-$AG5-$AF5-$AE5*(1+IN$3))/$AJ5,'Технический лист'!$A:$B,2,1),(IM5-0.05)))</f>
        <v/>
      </c>
      <c r="IO5" s="172">
        <f>MIN(1,MAX(VLOOKUP(($AJ5-$AI5-$AH5-$AG5-$AF5-$AE5*(1+IO$3))/$AJ5,'Технический лист'!$A:$B,2,1),(IN5-0.05)))</f>
        <v/>
      </c>
      <c r="IP5" s="172">
        <f>MIN(1,MAX(VLOOKUP(($AJ5-$AI5-$AH5-$AG5-$AF5-$AE5*(1+IP$3))/$AJ5,'Технический лист'!$A:$B,2,1),(IO5-0.05)))</f>
        <v/>
      </c>
      <c r="IQ5" s="172">
        <f>MIN(1,MAX(VLOOKUP(($AJ5-$AI5-$AH5-$AG5-$AF5-$AE5*(1+IQ$3))/$AJ5,'Технический лист'!$A:$B,2,1),(IP5-0.05)))</f>
        <v/>
      </c>
      <c r="IR5" s="172">
        <f>MIN(1,MAX(VLOOKUP(($AJ5-$AI5-$AH5-$AG5-$AF5-$AE5*(1+IR$3))/$AJ5,'Технический лист'!$A:$B,2,1),(IQ5-0.05)))</f>
        <v/>
      </c>
    </row>
    <row r="6">
      <c r="A6" s="89" t="inlineStr">
        <is>
          <t>ЧМ (сырье)</t>
        </is>
      </c>
      <c r="B6" s="90" t="n">
        <v>2</v>
      </c>
      <c r="C6" s="5" t="inlineStr">
        <is>
          <t>Кокс каменноугольный</t>
        </is>
      </c>
      <c r="D6" s="91" t="n">
        <v>17105</v>
      </c>
      <c r="E6" s="91" t="inlineStr">
        <is>
          <t xml:space="preserve">Кокс лигнитовый </t>
        </is>
      </c>
      <c r="F6" s="92" t="inlineStr">
        <is>
          <t>КОКС КАМЕННОУГОЛЬНЫЙ</t>
        </is>
      </c>
      <c r="G6" s="91" t="inlineStr">
        <is>
          <t>СВР</t>
        </is>
      </c>
      <c r="H6" s="91" t="inlineStr">
        <is>
          <t>МСК</t>
        </is>
      </c>
      <c r="I6" s="91" t="inlineStr">
        <is>
          <t>ГУБАХА</t>
        </is>
      </c>
      <c r="J6" s="91" t="inlineStr">
        <is>
          <t>КРАСНОЕ-ЭКСП</t>
        </is>
      </c>
      <c r="K6" s="91" t="n">
        <v>2237</v>
      </c>
      <c r="L6" s="91" t="inlineStr">
        <is>
          <t>Полувагоны</t>
        </is>
      </c>
      <c r="M6" s="91" t="inlineStr">
        <is>
          <t>Экспорт</t>
        </is>
      </c>
      <c r="N6" s="91" t="inlineStr">
        <is>
          <t>вагонная</t>
        </is>
      </c>
      <c r="O6" s="91" t="inlineStr">
        <is>
          <t xml:space="preserve">Северо-Западное </t>
        </is>
      </c>
      <c r="P6" s="89" t="inlineStr">
        <is>
          <t>'000053496484</t>
        </is>
      </c>
      <c r="Q6" s="91" t="inlineStr">
        <is>
          <t>'ОАО "Губахинский кокс"</t>
        </is>
      </c>
      <c r="R6" s="91" t="inlineStr">
        <is>
          <t>ЗАО "Стройсервис"</t>
        </is>
      </c>
      <c r="S6" s="87" t="n">
        <v>2377</v>
      </c>
      <c r="T6" s="87" t="n">
        <v>5315872</v>
      </c>
      <c r="U6" s="88" t="n">
        <v>52</v>
      </c>
      <c r="V6" s="88" t="n">
        <v>0</v>
      </c>
      <c r="W6" s="87" t="n">
        <v>4995010</v>
      </c>
      <c r="X6" s="112" t="n">
        <v>52</v>
      </c>
      <c r="Y6" s="112" t="inlineStr">
        <is>
          <t>групповая</t>
        </is>
      </c>
      <c r="Z6" s="113" t="n">
        <v>12</v>
      </c>
      <c r="AA6" s="113" t="n">
        <v>8</v>
      </c>
      <c r="AB6" s="113" t="n">
        <v>4</v>
      </c>
      <c r="AC6" s="161" t="n">
        <v>2011.46</v>
      </c>
      <c r="AD6" s="161">
        <f>AE6-AC6</f>
        <v/>
      </c>
      <c r="AE6" s="161" t="n">
        <v>2750.4</v>
      </c>
      <c r="AF6" s="162">
        <f>(Z6+AA6+AB6)*'Ставки аренды'!$B$3/X6</f>
        <v/>
      </c>
      <c r="AG6" s="163" t="n">
        <v>0</v>
      </c>
      <c r="AH6" s="164" t="n">
        <v>0</v>
      </c>
      <c r="AI6" s="165">
        <f>0.855*AJ6</f>
        <v/>
      </c>
      <c r="AJ6" s="166">
        <f>Цены!$C$8*'Курсы валют'!$B$2</f>
        <v/>
      </c>
      <c r="AK6" s="164">
        <f>AJ6/Цены!$B$1</f>
        <v/>
      </c>
      <c r="AL6" s="164">
        <f>AE6+AF6+AG6</f>
        <v/>
      </c>
      <c r="AM6" s="164">
        <f>AJ6-AL6</f>
        <v/>
      </c>
      <c r="AN6" s="164">
        <f>AI6+AH6+AG6+AF6+AE6</f>
        <v/>
      </c>
      <c r="AO6" s="167">
        <f>(AJ6-AN6)/AJ6</f>
        <v/>
      </c>
      <c r="AP6" s="168">
        <f>AL6/AJ6</f>
        <v/>
      </c>
      <c r="AQ6" s="168">
        <f>AE6/AJ6</f>
        <v/>
      </c>
      <c r="AR6" s="168">
        <f>AE6/AL6</f>
        <v/>
      </c>
      <c r="AS6" s="169" t="n">
        <v>1</v>
      </c>
      <c r="AT6" s="121">
        <f>S6*AS6</f>
        <v/>
      </c>
      <c r="AU6" s="83" t="n">
        <v>0.9</v>
      </c>
      <c r="AV6" s="170">
        <f>(AJ6-(AE6*(1+$IS$2)+AF6+AG6+AH6+AI6))/AJ6</f>
        <v/>
      </c>
      <c r="AW6" s="171">
        <f>(AE6*(1+$IS$2)+AF6+AG6)/AJ6</f>
        <v/>
      </c>
      <c r="AX6" s="171">
        <f>(AE6*(1+$IS$2))/AJ6</f>
        <v/>
      </c>
      <c r="AY6" s="171">
        <f>(AE6*(1+$IS$2))/(AE6*(1+$IS$2)+AF6+AG6)</f>
        <v/>
      </c>
      <c r="AZ6" s="172">
        <f>MIN(IF($AU6=100%,1,1+VLOOKUP(($AJ6-$AI6-$AH6-$AG6-$AF6-$AE6*(1+AZ$3))/$AJ6,'Технический лист'!$A:$B,2,1)-VLOOKUP($AO6,'Технический лист'!$A:$B,2,1)),1+(1-$AU6))</f>
        <v/>
      </c>
      <c r="BA6" s="172">
        <f>MIN(IF($AU6=100%,1,1+VLOOKUP(($AJ6-$AI6-$AH6-$AG6-$AF6-$AE6*(1+BA$3))/$AJ6,'Технический лист'!$A:$B,2,1)-VLOOKUP($AO6,'Технический лист'!$A:$B,2,1)),1+(1-$AU6))</f>
        <v/>
      </c>
      <c r="BB6" s="172">
        <f>MIN(IF($AU6=100%,1,1+VLOOKUP(($AJ6-$AI6-$AH6-$AG6-$AF6-$AE6*(1+BB$3))/$AJ6,'Технический лист'!$A:$B,2,1)-VLOOKUP($AO6,'Технический лист'!$A:$B,2,1)),1+(1-$AU6))</f>
        <v/>
      </c>
      <c r="BC6" s="172">
        <f>MIN(IF($AU6=100%,1,1+VLOOKUP(($AJ6-$AI6-$AH6-$AG6-$AF6-$AE6*(1+BC$3))/$AJ6,'Технический лист'!$A:$B,2,1)-VLOOKUP($AO6,'Технический лист'!$A:$B,2,1)),1+(1-$AU6))</f>
        <v/>
      </c>
      <c r="BD6" s="172">
        <f>MIN(IF($AU6=100%,1,1+VLOOKUP(($AJ6-$AI6-$AH6-$AG6-$AF6-$AE6*(1+BD$3))/$AJ6,'Технический лист'!$A:$B,2,1)-VLOOKUP($AO6,'Технический лист'!$A:$B,2,1)),1+(1-$AU6))</f>
        <v/>
      </c>
      <c r="BE6" s="172">
        <f>MIN(IF($AU6=100%,1,1+VLOOKUP(($AJ6-$AI6-$AH6-$AG6-$AF6-$AE6*(1+BE$3))/$AJ6,'Технический лист'!$A:$B,2,1)-VLOOKUP($AO6,'Технический лист'!$A:$B,2,1)),1+(1-$AU6))</f>
        <v/>
      </c>
      <c r="BF6" s="172">
        <f>MIN(IF($AU6=100%,1,1+VLOOKUP(($AJ6-$AI6-$AH6-$AG6-$AF6-$AE6*(1+BF$3))/$AJ6,'Технический лист'!$A:$B,2,1)-VLOOKUP($AO6,'Технический лист'!$A:$B,2,1)),1+(1-$AU6))</f>
        <v/>
      </c>
      <c r="BG6" s="172">
        <f>MIN(IF($AU6=100%,1,1+VLOOKUP(($AJ6-$AI6-$AH6-$AG6-$AF6-$AE6*(1+BG$3))/$AJ6,'Технический лист'!$A:$B,2,1)-VLOOKUP($AO6,'Технический лист'!$A:$B,2,1)),1+(1-$AU6))</f>
        <v/>
      </c>
      <c r="BH6" s="172">
        <f>MIN(IF($AU6=100%,1,1+VLOOKUP(($AJ6-$AI6-$AH6-$AG6-$AF6-$AE6*(1+BH$3))/$AJ6,'Технический лист'!$A:$B,2,1)-VLOOKUP($AO6,'Технический лист'!$A:$B,2,1)),1+(1-$AU6))</f>
        <v/>
      </c>
      <c r="BI6" s="172">
        <f>MIN(IF($AU6=100%,1,1+VLOOKUP(($AJ6-$AI6-$AH6-$AG6-$AF6-$AE6*(1+BI$3))/$AJ6,'Технический лист'!$A:$B,2,1)-VLOOKUP($AO6,'Технический лист'!$A:$B,2,1)),1+(1-$AU6))</f>
        <v/>
      </c>
      <c r="BJ6" s="172">
        <f>MIN(IF($AU6=100%,1,1+VLOOKUP(($AJ6-$AI6-$AH6-$AG6-$AF6-$AE6*(1+BJ$3))/$AJ6,'Технический лист'!$A:$B,2,1)-VLOOKUP($AO6,'Технический лист'!$A:$B,2,1)),1+(1-$AU6))</f>
        <v/>
      </c>
      <c r="BK6" s="172">
        <f>MIN(IF($AU6=100%,1,1+VLOOKUP(($AJ6-$AI6-$AH6-$AG6-$AF6-$AE6*(1+BK$3))/$AJ6,'Технический лист'!$A:$B,2,1)-VLOOKUP($AO6,'Технический лист'!$A:$B,2,1)),1+(1-$AU6))</f>
        <v/>
      </c>
      <c r="BL6" s="172">
        <f>MIN(IF($AU6=100%,1,1+VLOOKUP(($AJ6-$AI6-$AH6-$AG6-$AF6-$AE6*(1+BL$3))/$AJ6,'Технический лист'!$A:$B,2,1)-VLOOKUP($AO6,'Технический лист'!$A:$B,2,1)),1+(1-$AU6))</f>
        <v/>
      </c>
      <c r="BM6" s="172">
        <f>MIN(IF($AU6=100%,1,1+VLOOKUP(($AJ6-$AI6-$AH6-$AG6-$AF6-$AE6*(1+BM$3))/$AJ6,'Технический лист'!$A:$B,2,1)-VLOOKUP($AO6,'Технический лист'!$A:$B,2,1)),1+(1-$AU6))</f>
        <v/>
      </c>
      <c r="BN6" s="172">
        <f>MIN(IF($AU6=100%,1,1+VLOOKUP(($AJ6-$AI6-$AH6-$AG6-$AF6-$AE6*(1+BN$3))/$AJ6,'Технический лист'!$A:$B,2,1)-VLOOKUP($AO6,'Технический лист'!$A:$B,2,1)),1+(1-$AU6))</f>
        <v/>
      </c>
      <c r="BO6" s="172">
        <f>MIN(IF($AU6=100%,1,1+VLOOKUP(($AJ6-$AI6-$AH6-$AG6-$AF6-$AE6*(1+BO$3))/$AJ6,'Технический лист'!$A:$B,2,1)-VLOOKUP($AO6,'Технический лист'!$A:$B,2,1)),1+(1-$AU6))</f>
        <v/>
      </c>
      <c r="BP6" s="172">
        <f>MIN(IF($AU6=100%,1,1+VLOOKUP(($AJ6-$AI6-$AH6-$AG6-$AF6-$AE6*(1+BP$3))/$AJ6,'Технический лист'!$A:$B,2,1)-VLOOKUP($AO6,'Технический лист'!$A:$B,2,1)),1+(1-$AU6))</f>
        <v/>
      </c>
      <c r="BQ6" s="172">
        <f>MIN(IF($AU6=100%,1,1+VLOOKUP(($AJ6-$AI6-$AH6-$AG6-$AF6-$AE6*(1+BQ$3))/$AJ6,'Технический лист'!$A:$B,2,1)-VLOOKUP($AO6,'Технический лист'!$A:$B,2,1)),1+(1-$AU6))</f>
        <v/>
      </c>
      <c r="BR6" s="172">
        <f>MIN(IF($AU6=100%,1,1+VLOOKUP(($AJ6-$AI6-$AH6-$AG6-$AF6-$AE6*(1+BR$3))/$AJ6,'Технический лист'!$A:$B,2,1)-VLOOKUP($AO6,'Технический лист'!$A:$B,2,1)),1+(1-$AU6))</f>
        <v/>
      </c>
      <c r="BS6" s="172">
        <f>MIN(IF($AU6=100%,1,1+VLOOKUP(($AJ6-$AI6-$AH6-$AG6-$AF6-$AE6*(1+BS$3))/$AJ6,'Технический лист'!$A:$B,2,1)-VLOOKUP($AO6,'Технический лист'!$A:$B,2,1)),1+(1-$AU6))</f>
        <v/>
      </c>
      <c r="BT6" s="172">
        <f>MIN(IF($AU6=100%,1,1+VLOOKUP(($AJ6-$AI6-$AH6-$AG6-$AF6-$AE6*(1+BT$3))/$AJ6,'Технический лист'!$A:$B,2,1)-VLOOKUP($AO6,'Технический лист'!$A:$B,2,1)),1+(1-$AU6))</f>
        <v/>
      </c>
      <c r="BU6" s="172">
        <f>MIN(IF($AU6=100%,1,1+VLOOKUP(($AJ6-$AI6-$AH6-$AG6-$AF6-$AE6*(1+BU$3))/$AJ6,'Технический лист'!$A:$B,2,1)-VLOOKUP($AO6,'Технический лист'!$A:$B,2,1)),1+(1-$AU6))</f>
        <v/>
      </c>
      <c r="BV6" s="172">
        <f>MIN(IF($AU6=100%,1,1+VLOOKUP(($AJ6-$AI6-$AH6-$AG6-$AF6-$AE6*(1+BV$3))/$AJ6,'Технический лист'!$A:$B,2,1)-VLOOKUP($AO6,'Технический лист'!$A:$B,2,1)),1+(1-$AU6))</f>
        <v/>
      </c>
      <c r="BW6" s="172">
        <f>MIN(IF($AU6=100%,1,1+VLOOKUP(($AJ6-$AI6-$AH6-$AG6-$AF6-$AE6*(1+BW$3))/$AJ6,'Технический лист'!$A:$B,2,1)-VLOOKUP($AO6,'Технический лист'!$A:$B,2,1)),1+(1-$AU6))</f>
        <v/>
      </c>
      <c r="BX6" s="172">
        <f>MIN(IF($AU6=100%,1,1+VLOOKUP(($AJ6-$AI6-$AH6-$AG6-$AF6-$AE6*(1+BX$3))/$AJ6,'Технический лист'!$A:$B,2,1)-VLOOKUP($AO6,'Технический лист'!$A:$B,2,1)),1+(1-$AU6))</f>
        <v/>
      </c>
      <c r="BY6" s="172">
        <f>MIN(IF($AU6=100%,1,1+VLOOKUP(($AJ6-$AI6-$AH6-$AG6-$AF6-$AE6*(1+BY$3))/$AJ6,'Технический лист'!$A:$B,2,1)-VLOOKUP($AO6,'Технический лист'!$A:$B,2,1)),1+(1-$AU6))</f>
        <v/>
      </c>
      <c r="BZ6" s="172">
        <f>MIN(IF($AU6=100%,1,1+VLOOKUP(($AJ6-$AI6-$AH6-$AG6-$AF6-$AE6*(1+BZ$3))/$AJ6,'Технический лист'!$A:$B,2,1)-VLOOKUP($AO6,'Технический лист'!$A:$B,2,1)),1+(1-$AU6))</f>
        <v/>
      </c>
      <c r="CA6" s="172">
        <f>MIN(IF($AU6=100%,1,1+VLOOKUP(($AJ6-$AI6-$AH6-$AG6-$AF6-$AE6*(1+CA$3))/$AJ6,'Технический лист'!$A:$B,2,1)-VLOOKUP($AO6,'Технический лист'!$A:$B,2,1)),1+(1-$AU6))</f>
        <v/>
      </c>
      <c r="CB6" s="172">
        <f>MIN(IF($AU6=100%,1,1+VLOOKUP(($AJ6-$AI6-$AH6-$AG6-$AF6-$AE6*(1+CB$3))/$AJ6,'Технический лист'!$A:$B,2,1)-VLOOKUP($AO6,'Технический лист'!$A:$B,2,1)),1+(1-$AU6))</f>
        <v/>
      </c>
      <c r="CC6" s="172">
        <f>MIN(IF($AU6=100%,1,1+VLOOKUP(($AJ6-$AI6-$AH6-$AG6-$AF6-$AE6*(1+CC$3))/$AJ6,'Технический лист'!$A:$B,2,1)-VLOOKUP($AO6,'Технический лист'!$A:$B,2,1)),1+(1-$AU6))</f>
        <v/>
      </c>
      <c r="CD6" s="172">
        <f>MIN(IF($AU6=100%,1,1+VLOOKUP(($AJ6-$AI6-$AH6-$AG6-$AF6-$AE6*(1+CD$3))/$AJ6,'Технический лист'!$A:$B,2,1)-VLOOKUP($AO6,'Технический лист'!$A:$B,2,1)),1+(1-$AU6))</f>
        <v/>
      </c>
      <c r="CE6" s="172">
        <f>MIN(IF($AU6=100%,1,1+VLOOKUP(($AJ6-$AI6-$AH6-$AG6-$AF6-$AE6*(1+CE$3))/$AJ6,'Технический лист'!$A:$B,2,1)-VLOOKUP($AO6,'Технический лист'!$A:$B,2,1)),1+(1-$AU6))</f>
        <v/>
      </c>
      <c r="CF6" s="172">
        <f>MIN(IF($AU6=100%,1,1+VLOOKUP(($AJ6-$AI6-$AH6-$AG6-$AF6-$AE6*(1+CF$3))/$AJ6,'Технический лист'!$A:$B,2,1)-VLOOKUP($AO6,'Технический лист'!$A:$B,2,1)),1+(1-$AU6))</f>
        <v/>
      </c>
      <c r="CG6" s="172">
        <f>MIN(IF($AU6=100%,1,1+VLOOKUP(($AJ6-$AI6-$AH6-$AG6-$AF6-$AE6*(1+CG$3))/$AJ6,'Технический лист'!$A:$B,2,1)-VLOOKUP($AO6,'Технический лист'!$A:$B,2,1)),1+(1-$AU6))</f>
        <v/>
      </c>
      <c r="CH6" s="172">
        <f>MIN(IF($AU6=100%,1,1+VLOOKUP(($AJ6-$AI6-$AH6-$AG6-$AF6-$AE6*(1+CH$3))/$AJ6,'Технический лист'!$A:$B,2,1)-VLOOKUP($AO6,'Технический лист'!$A:$B,2,1)),1+(1-$AU6))</f>
        <v/>
      </c>
      <c r="CI6" s="172">
        <f>MIN(IF($AU6=100%,1,1+VLOOKUP(($AJ6-$AI6-$AH6-$AG6-$AF6-$AE6*(1+CI$3))/$AJ6,'Технический лист'!$A:$B,2,1)-VLOOKUP($AO6,'Технический лист'!$A:$B,2,1)),1+(1-$AU6))</f>
        <v/>
      </c>
      <c r="CJ6" s="172">
        <f>MIN(IF($AU6=100%,1,1+VLOOKUP(($AJ6-$AI6-$AH6-$AG6-$AF6-$AE6*(1+CJ$3))/$AJ6,'Технический лист'!$A:$B,2,1)-VLOOKUP($AO6,'Технический лист'!$A:$B,2,1)),1+(1-$AU6))</f>
        <v/>
      </c>
      <c r="CK6" s="172">
        <f>MIN(IF($AU6=100%,1,1+VLOOKUP(($AJ6-$AI6-$AH6-$AG6-$AF6-$AE6*(1+CK$3))/$AJ6,'Технический лист'!$A:$B,2,1)-VLOOKUP($AO6,'Технический лист'!$A:$B,2,1)),1+(1-$AU6))</f>
        <v/>
      </c>
      <c r="CL6" s="172">
        <f>MIN(IF($AU6=100%,1,1+VLOOKUP(($AJ6-$AI6-$AH6-$AG6-$AF6-$AE6*(1+CL$3))/$AJ6,'Технический лист'!$A:$B,2,1)-VLOOKUP($AO6,'Технический лист'!$A:$B,2,1)),1+(1-$AU6))</f>
        <v/>
      </c>
      <c r="CM6" s="172">
        <f>MIN(IF($AU6=100%,1,1+VLOOKUP(($AJ6-$AI6-$AH6-$AG6-$AF6-$AE6*(1+CM$3))/$AJ6,'Технический лист'!$A:$B,2,1)-VLOOKUP($AO6,'Технический лист'!$A:$B,2,1)),1+(1-$AU6))</f>
        <v/>
      </c>
      <c r="CN6" s="172">
        <f>MIN(IF($AU6=100%,1,1+VLOOKUP(($AJ6-$AI6-$AH6-$AG6-$AF6-$AE6*(1+CN$3))/$AJ6,'Технический лист'!$A:$B,2,1)-VLOOKUP($AO6,'Технический лист'!$A:$B,2,1)),1+(1-$AU6))</f>
        <v/>
      </c>
      <c r="CO6" s="172">
        <f>MIN(IF($AU6=100%,1,1+VLOOKUP(($AJ6-$AI6-$AH6-$AG6-$AF6-$AE6*(1+CO$3))/$AJ6,'Технический лист'!$A:$B,2,1)-VLOOKUP($AO6,'Технический лист'!$A:$B,2,1)),1+(1-$AU6))</f>
        <v/>
      </c>
      <c r="CP6" s="172">
        <f>MIN(IF($AU6=100%,1,1+VLOOKUP(($AJ6-$AI6-$AH6-$AG6-$AF6-$AE6*(1+CP$3))/$AJ6,'Технический лист'!$A:$B,2,1)-VLOOKUP($AO6,'Технический лист'!$A:$B,2,1)),1+(1-$AU6))</f>
        <v/>
      </c>
      <c r="CQ6" s="172">
        <f>MIN(IF($AU6=100%,1,1+VLOOKUP(($AJ6-$AI6-$AH6-$AG6-$AF6-$AE6*(1+CQ$3))/$AJ6,'Технический лист'!$A:$B,2,1)-VLOOKUP($AO6,'Технический лист'!$A:$B,2,1)),1+(1-$AU6))</f>
        <v/>
      </c>
      <c r="CR6" s="172">
        <f>MIN(IF($AU6=100%,1,1+VLOOKUP(($AJ6-$AI6-$AH6-$AG6-$AF6-$AE6*(1+CR$3))/$AJ6,'Технический лист'!$A:$B,2,1)-VLOOKUP($AO6,'Технический лист'!$A:$B,2,1)),1+(1-$AU6))</f>
        <v/>
      </c>
      <c r="CS6" s="172">
        <f>MIN(IF($AU6=100%,1,1+VLOOKUP(($AJ6-$AI6-$AH6-$AG6-$AF6-$AE6*(1+CS$3))/$AJ6,'Технический лист'!$A:$B,2,1)-VLOOKUP($AO6,'Технический лист'!$A:$B,2,1)),1+(1-$AU6))</f>
        <v/>
      </c>
      <c r="CT6" s="172">
        <f>MIN(IF($AU6=100%,1,1+VLOOKUP(($AJ6-$AI6-$AH6-$AG6-$AF6-$AE6*(1+CT$3))/$AJ6,'Технический лист'!$A:$B,2,1)-VLOOKUP($AO6,'Технический лист'!$A:$B,2,1)),1+(1-$AU6))</f>
        <v/>
      </c>
      <c r="CU6" s="172">
        <f>MIN(IF($AU6=100%,1,1+VLOOKUP(($AJ6-$AI6-$AH6-$AG6-$AF6-$AE6*(1+CU$3))/$AJ6,'Технический лист'!$A:$B,2,1)-VLOOKUP($AO6,'Технический лист'!$A:$B,2,1)),1+(1-$AU6))</f>
        <v/>
      </c>
      <c r="CV6" s="172">
        <f>MIN(IF($AU6=100%,1,1+VLOOKUP(($AJ6-$AI6-$AH6-$AG6-$AF6-$AE6*(1+CV$3))/$AJ6,'Технический лист'!$A:$B,2,1)-VLOOKUP($AO6,'Технический лист'!$A:$B,2,1)),1+(1-$AU6))</f>
        <v/>
      </c>
      <c r="CW6" s="172">
        <f>MIN(IF($AU6=100%,1,1+VLOOKUP(($AJ6-$AI6-$AH6-$AG6-$AF6-$AE6*(1+CW$3))/$AJ6,'Технический лист'!$A:$B,2,1)-VLOOKUP($AO6,'Технический лист'!$A:$B,2,1)),1+(1-$AU6))</f>
        <v/>
      </c>
      <c r="CX6" s="172">
        <f>MIN(IF($AU6=100%,1,1+VLOOKUP(($AJ6-$AI6-$AH6-$AG6-$AF6-$AE6*(1+CX$3))/$AJ6,'Технический лист'!$A:$B,2,1)-VLOOKUP($AO6,'Технический лист'!$A:$B,2,1)),1+(1-$AU6))</f>
        <v/>
      </c>
      <c r="CY6" s="172">
        <f>MIN(IF($AU6=100%,1,1+VLOOKUP(($AJ6-$AI6-$AH6-$AG6-$AF6-$AE6*(1+CY$3))/$AJ6,'Технический лист'!$A:$B,2,1)-VLOOKUP($AO6,'Технический лист'!$A:$B,2,1)),1+(1-$AU6))</f>
        <v/>
      </c>
      <c r="CZ6" s="172">
        <f>MIN(IF($AU6=100%,1,1+VLOOKUP(($AJ6-$AI6-$AH6-$AG6-$AF6-$AE6*(1+CZ$3))/$AJ6,'Технический лист'!$A:$B,2,1)-VLOOKUP($AO6,'Технический лист'!$A:$B,2,1)),1+(1-$AU6))</f>
        <v/>
      </c>
      <c r="DA6" s="172">
        <f>MIN(IF($AU6=100%,1,1+VLOOKUP(($AJ6-$AI6-$AH6-$AG6-$AF6-$AE6*(1+DA$3))/$AJ6,'Технический лист'!$A:$B,2,1)-VLOOKUP($AO6,'Технический лист'!$A:$B,2,1)),1+(1-$AU6))</f>
        <v/>
      </c>
      <c r="DB6" s="172">
        <f>MIN(IF($AU6=100%,1,1+VLOOKUP(($AJ6-$AI6-$AH6-$AG6-$AF6-$AE6*(1+DB$3))/$AJ6,'Технический лист'!$A:$B,2,1)-VLOOKUP($AO6,'Технический лист'!$A:$B,2,1)),1+(1-$AU6))</f>
        <v/>
      </c>
      <c r="DC6" s="172">
        <f>MIN(IF($AU6=100%,1,1+VLOOKUP(($AJ6-$AI6-$AH6-$AG6-$AF6-$AE6*(1+DC$3))/$AJ6,'Технический лист'!$A:$B,2,1)-VLOOKUP($AO6,'Технический лист'!$A:$B,2,1)),1+(1-$AU6))</f>
        <v/>
      </c>
      <c r="DD6" s="172">
        <f>MIN(IF($AU6=100%,1,1+VLOOKUP(($AJ6-$AI6-$AH6-$AG6-$AF6-$AE6*(1+DD$3))/$AJ6,'Технический лист'!$A:$B,2,1)-VLOOKUP($AO6,'Технический лист'!$A:$B,2,1)),1+(1-$AU6))</f>
        <v/>
      </c>
      <c r="DE6" s="172">
        <f>MIN(IF($AU6=100%,1,1+VLOOKUP(($AJ6-$AI6-$AH6-$AG6-$AF6-$AE6*(1+DE$3))/$AJ6,'Технический лист'!$A:$B,2,1)-VLOOKUP($AO6,'Технический лист'!$A:$B,2,1)),1+(1-$AU6))</f>
        <v/>
      </c>
      <c r="DF6" s="172">
        <f>MIN(IF($AU6=100%,1,1+VLOOKUP(($AJ6-$AI6-$AH6-$AG6-$AF6-$AE6*(1+DF$3))/$AJ6,'Технический лист'!$A:$B,2,1)-VLOOKUP($AO6,'Технический лист'!$A:$B,2,1)),1+(1-$AU6))</f>
        <v/>
      </c>
      <c r="DG6" s="172">
        <f>MIN(IF($AU6=100%,1,1+VLOOKUP(($AJ6-$AI6-$AH6-$AG6-$AF6-$AE6*(1+DG$3))/$AJ6,'Технический лист'!$A:$B,2,1)-VLOOKUP($AO6,'Технический лист'!$A:$B,2,1)),1+(1-$AU6))</f>
        <v/>
      </c>
      <c r="DH6" s="172">
        <f>MIN(IF($AU6=100%,1,1+VLOOKUP(($AJ6-$AI6-$AH6-$AG6-$AF6-$AE6*(1+DH$3))/$AJ6,'Технический лист'!$A:$B,2,1)-VLOOKUP($AO6,'Технический лист'!$A:$B,2,1)),1+(1-$AU6))</f>
        <v/>
      </c>
      <c r="DI6" s="172">
        <f>MIN(IF($AU6=100%,1,1+VLOOKUP(($AJ6-$AI6-$AH6-$AG6-$AF6-$AE6*(1+DI$3))/$AJ6,'Технический лист'!$A:$B,2,1)-VLOOKUP($AO6,'Технический лист'!$A:$B,2,1)),1+(1-$AU6))</f>
        <v/>
      </c>
      <c r="DJ6" s="172">
        <f>MIN(IF($AU6=100%,1,1+VLOOKUP(($AJ6-$AI6-$AH6-$AG6-$AF6-$AE6*(1+DJ$3))/$AJ6,'Технический лист'!$A:$B,2,1)-VLOOKUP($AO6,'Технический лист'!$A:$B,2,1)),1+(1-$AU6))</f>
        <v/>
      </c>
      <c r="DK6" s="172">
        <f>MIN(IF($AU6=100%,1,1+VLOOKUP(($AJ6-$AI6-$AH6-$AG6-$AF6-$AE6*(1+DK$3))/$AJ6,'Технический лист'!$A:$B,2,1)-VLOOKUP($AO6,'Технический лист'!$A:$B,2,1)),1+(1-$AU6))</f>
        <v/>
      </c>
      <c r="DL6" s="172">
        <f>MIN(IF($AU6=100%,1,1+VLOOKUP(($AJ6-$AI6-$AH6-$AG6-$AF6-$AE6*(1+DL$3))/$AJ6,'Технический лист'!$A:$B,2,1)-VLOOKUP($AO6,'Технический лист'!$A:$B,2,1)),1+(1-$AU6))</f>
        <v/>
      </c>
      <c r="DM6" s="172">
        <f>MIN(IF($AU6=100%,1,1+VLOOKUP(($AJ6-$AI6-$AH6-$AG6-$AF6-$AE6*(1+DM$3))/$AJ6,'Технический лист'!$A:$B,2,1)-VLOOKUP($AO6,'Технический лист'!$A:$B,2,1)),1+(1-$AU6))</f>
        <v/>
      </c>
      <c r="DN6" s="172">
        <f>MIN(IF($AU6=100%,1,1+VLOOKUP(($AJ6-$AI6-$AH6-$AG6-$AF6-$AE6*(1+DN$3))/$AJ6,'Технический лист'!$A:$B,2,1)-VLOOKUP($AO6,'Технический лист'!$A:$B,2,1)),1+(1-$AU6))</f>
        <v/>
      </c>
      <c r="DO6" s="172">
        <f>MIN(IF($AU6=100%,1,1+VLOOKUP(($AJ6-$AI6-$AH6-$AG6-$AF6-$AE6*(1+DO$3))/$AJ6,'Технический лист'!$A:$B,2,1)-VLOOKUP($AO6,'Технический лист'!$A:$B,2,1)),1+(1-$AU6))</f>
        <v/>
      </c>
      <c r="DP6" s="172">
        <f>MIN(IF($AU6=100%,1,1+VLOOKUP(($AJ6-$AI6-$AH6-$AG6-$AF6-$AE6*(1+DP$3))/$AJ6,'Технический лист'!$A:$B,2,1)-VLOOKUP($AO6,'Технический лист'!$A:$B,2,1)),1+(1-$AU6))</f>
        <v/>
      </c>
      <c r="DQ6" s="172">
        <f>MIN(IF($AU6=100%,1,1+VLOOKUP(($AJ6-$AI6-$AH6-$AG6-$AF6-$AE6*(1+DQ$3))/$AJ6,'Технический лист'!$A:$B,2,1)-VLOOKUP($AO6,'Технический лист'!$A:$B,2,1)),1+(1-$AU6))</f>
        <v/>
      </c>
      <c r="DR6" s="172">
        <f>MIN(IF($AU6=100%,1,1+VLOOKUP(($AJ6-$AI6-$AH6-$AG6-$AF6-$AE6*(1+DR$3))/$AJ6,'Технический лист'!$A:$B,2,1)-VLOOKUP($AO6,'Технический лист'!$A:$B,2,1)),1+(1-$AU6))</f>
        <v/>
      </c>
      <c r="DS6" s="172">
        <f>MIN(IF($AU6=100%,1,1+VLOOKUP(($AJ6-$AI6-$AH6-$AG6-$AF6-$AE6*(1+DS$3))/$AJ6,'Технический лист'!$A:$B,2,1)-VLOOKUP($AO6,'Технический лист'!$A:$B,2,1)),1+(1-$AU6))</f>
        <v/>
      </c>
      <c r="DT6" s="172">
        <f>MIN(IF($AU6=100%,1,1+VLOOKUP(($AJ6-$AI6-$AH6-$AG6-$AF6-$AE6*(1+DT$3))/$AJ6,'Технический лист'!$A:$B,2,1)-VLOOKUP($AO6,'Технический лист'!$A:$B,2,1)),1+(1-$AU6))</f>
        <v/>
      </c>
      <c r="DU6" s="172">
        <f>MIN(IF($AU6=100%,1,1+VLOOKUP(($AJ6-$AI6-$AH6-$AG6-$AF6-$AE6*(1+DU$3))/$AJ6,'Технический лист'!$A:$B,2,1)-VLOOKUP($AO6,'Технический лист'!$A:$B,2,1)),1+(1-$AU6))</f>
        <v/>
      </c>
      <c r="DV6" s="172">
        <f>MIN(IF($AU6=100%,1,1+VLOOKUP(($AJ6-$AI6-$AH6-$AG6-$AF6-$AE6*(1+DV$3))/$AJ6,'Технический лист'!$A:$B,2,1)-VLOOKUP($AO6,'Технический лист'!$A:$B,2,1)),1+(1-$AU6))</f>
        <v/>
      </c>
      <c r="DW6" s="172">
        <f>MIN(IF($AU6=100%,1,1+VLOOKUP(($AJ6-$AI6-$AH6-$AG6-$AF6-$AE6*(1+DW$3))/$AJ6,'Технический лист'!$A:$B,2,1)-VLOOKUP($AO6,'Технический лист'!$A:$B,2,1)),1+(1-$AU6))</f>
        <v/>
      </c>
      <c r="DX6" s="172">
        <f>MIN(IF($AU6=100%,1,1+VLOOKUP(($AJ6-$AI6-$AH6-$AG6-$AF6-$AE6*(1+DX$3))/$AJ6,'Технический лист'!$A:$B,2,1)-VLOOKUP($AO6,'Технический лист'!$A:$B,2,1)),1+(1-$AU6))</f>
        <v/>
      </c>
      <c r="DY6" s="172">
        <f>MIN(IF($AU6=100%,1,1+VLOOKUP(($AJ6-$AI6-$AH6-$AG6-$AF6-$AE6*(1+DY$3))/$AJ6,'Технический лист'!$A:$B,2,1)-VLOOKUP($AO6,'Технический лист'!$A:$B,2,1)),1+(1-$AU6))</f>
        <v/>
      </c>
      <c r="DZ6" s="172">
        <f>MIN(IF($AU6=100%,1,1+VLOOKUP(($AJ6-$AI6-$AH6-$AG6-$AF6-$AE6*(1+DZ$3))/$AJ6,'Технический лист'!$A:$B,2,1)-VLOOKUP($AO6,'Технический лист'!$A:$B,2,1)),1+(1-$AU6))</f>
        <v/>
      </c>
      <c r="EA6" s="172">
        <f>MIN(IF($AU6=100%,1,1+VLOOKUP(($AJ6-$AI6-$AH6-$AG6-$AF6-$AE6*(1+EA$3))/$AJ6,'Технический лист'!$A:$B,2,1)-VLOOKUP($AO6,'Технический лист'!$A:$B,2,1)),1+(1-$AU6))</f>
        <v/>
      </c>
      <c r="EB6" s="172">
        <f>MIN(IF($AU6=100%,1,1+VLOOKUP(($AJ6-$AI6-$AH6-$AG6-$AF6-$AE6*(1+EB$3))/$AJ6,'Технический лист'!$A:$B,2,1)-VLOOKUP($AO6,'Технический лист'!$A:$B,2,1)),1+(1-$AU6))</f>
        <v/>
      </c>
      <c r="EC6" s="172">
        <f>MIN(IF($AU6=100%,1,1+VLOOKUP(($AJ6-$AI6-$AH6-$AG6-$AF6-$AE6*(1+EC$3))/$AJ6,'Технический лист'!$A:$B,2,1)-VLOOKUP($AO6,'Технический лист'!$A:$B,2,1)),1+(1-$AU6))</f>
        <v/>
      </c>
      <c r="ED6" s="172">
        <f>MIN(IF($AU6=100%,1,1+VLOOKUP(($AJ6-$AI6-$AH6-$AG6-$AF6-$AE6*(1+ED$3))/$AJ6,'Технический лист'!$A:$B,2,1)-VLOOKUP($AO6,'Технический лист'!$A:$B,2,1)),1+(1-$AU6))</f>
        <v/>
      </c>
      <c r="EE6" s="172">
        <f>MIN(IF($AU6=100%,1,1+VLOOKUP(($AJ6-$AI6-$AH6-$AG6-$AF6-$AE6*(1+EE$3))/$AJ6,'Технический лист'!$A:$B,2,1)-VLOOKUP($AO6,'Технический лист'!$A:$B,2,1)),1+(1-$AU6))</f>
        <v/>
      </c>
      <c r="EF6" s="172">
        <f>MIN(IF($AU6=100%,1,1+VLOOKUP(($AJ6-$AI6-$AH6-$AG6-$AF6-$AE6*(1+EF$3))/$AJ6,'Технический лист'!$A:$B,2,1)-VLOOKUP($AO6,'Технический лист'!$A:$B,2,1)),1+(1-$AU6))</f>
        <v/>
      </c>
      <c r="EG6" s="172">
        <f>MIN(IF($AU6=100%,1,1+VLOOKUP(($AJ6-$AI6-$AH6-$AG6-$AF6-$AE6*(1+EG$3))/$AJ6,'Технический лист'!$A:$B,2,1)-VLOOKUP($AO6,'Технический лист'!$A:$B,2,1)),1+(1-$AU6))</f>
        <v/>
      </c>
      <c r="EH6" s="172">
        <f>MIN(IF($AU6=100%,1,1+VLOOKUP(($AJ6-$AI6-$AH6-$AG6-$AF6-$AE6*(1+EH$3))/$AJ6,'Технический лист'!$A:$B,2,1)-VLOOKUP($AO6,'Технический лист'!$A:$B,2,1)),1+(1-$AU6))</f>
        <v/>
      </c>
      <c r="EI6" s="172">
        <f>MIN(IF($AU6=100%,1,1+VLOOKUP(($AJ6-$AI6-$AH6-$AG6-$AF6-$AE6*(1+EI$3))/$AJ6,'Технический лист'!$A:$B,2,1)-VLOOKUP($AO6,'Технический лист'!$A:$B,2,1)),1+(1-$AU6))</f>
        <v/>
      </c>
      <c r="EJ6" s="172">
        <f>MIN(IF($AU6=100%,1,1+VLOOKUP(($AJ6-$AI6-$AH6-$AG6-$AF6-$AE6*(1+EJ$3))/$AJ6,'Технический лист'!$A:$B,2,1)-VLOOKUP($AO6,'Технический лист'!$A:$B,2,1)),1+(1-$AU6))</f>
        <v/>
      </c>
      <c r="EK6" s="172">
        <f>MIN(IF($AU6=100%,1,1+VLOOKUP(($AJ6-$AI6-$AH6-$AG6-$AF6-$AE6*(1+EK$3))/$AJ6,'Технический лист'!$A:$B,2,1)-VLOOKUP($AO6,'Технический лист'!$A:$B,2,1)),1+(1-$AU6))</f>
        <v/>
      </c>
      <c r="EL6" s="172">
        <f>MIN(IF($AU6=100%,1,1+VLOOKUP(($AJ6-$AI6-$AH6-$AG6-$AF6-$AE6*(1+EL$3))/$AJ6,'Технический лист'!$A:$B,2,1)-VLOOKUP($AO6,'Технический лист'!$A:$B,2,1)),1+(1-$AU6))</f>
        <v/>
      </c>
      <c r="EM6" s="172">
        <f>MIN(IF($AU6=100%,1,1+VLOOKUP(($AJ6-$AI6-$AH6-$AG6-$AF6-$AE6*(1+EM$3))/$AJ6,'Технический лист'!$A:$B,2,1)-VLOOKUP($AO6,'Технический лист'!$A:$B,2,1)),1+(1-$AU6))</f>
        <v/>
      </c>
      <c r="EN6" s="172">
        <f>MIN(IF($AU6=100%,1,1+VLOOKUP(($AJ6-$AI6-$AH6-$AG6-$AF6-$AE6*(1+EN$3))/$AJ6,'Технический лист'!$A:$B,2,1)-VLOOKUP($AO6,'Технический лист'!$A:$B,2,1)),1+(1-$AU6))</f>
        <v/>
      </c>
      <c r="EO6" s="172">
        <f>MIN(IF($AU6=100%,1,1+VLOOKUP(($AJ6-$AI6-$AH6-$AG6-$AF6-$AE6*(1+EO$3))/$AJ6,'Технический лист'!$A:$B,2,1)-VLOOKUP($AO6,'Технический лист'!$A:$B,2,1)),1+(1-$AU6))</f>
        <v/>
      </c>
      <c r="EP6" s="172">
        <f>MIN(IF($AU6=100%,1,1+VLOOKUP(($AJ6-$AI6-$AH6-$AG6-$AF6-$AE6*(1+EP$3))/$AJ6,'Технический лист'!$A:$B,2,1)-VLOOKUP($AO6,'Технический лист'!$A:$B,2,1)),1+(1-$AU6))</f>
        <v/>
      </c>
      <c r="EQ6" s="172">
        <f>MIN(IF($AU6=100%,1,1+VLOOKUP(($AJ6-$AI6-$AH6-$AG6-$AF6-$AE6*(1+EQ$3))/$AJ6,'Технический лист'!$A:$B,2,1)-VLOOKUP($AO6,'Технический лист'!$A:$B,2,1)),1+(1-$AU6))</f>
        <v/>
      </c>
      <c r="ER6" s="172">
        <f>MIN(IF($AU6=100%,1,1+VLOOKUP(($AJ6-$AI6-$AH6-$AG6-$AF6-$AE6*(1+ER$3))/$AJ6,'Технический лист'!$A:$B,2,1)-VLOOKUP($AO6,'Технический лист'!$A:$B,2,1)),1+(1-$AU6))</f>
        <v/>
      </c>
      <c r="ES6" s="172">
        <f>MIN(IF($AU6=100%,1,1+VLOOKUP(($AJ6-$AI6-$AH6-$AG6-$AF6-$AE6*(1+ES$3))/$AJ6,'Технический лист'!$A:$B,2,1)-VLOOKUP($AO6,'Технический лист'!$A:$B,2,1)),1+(1-$AU6))</f>
        <v/>
      </c>
      <c r="ET6" s="172">
        <f>MIN(IF($AU6=100%,1,1+VLOOKUP(($AJ6-$AI6-$AH6-$AG6-$AF6-$AE6*(1+ET$3))/$AJ6,'Технический лист'!$A:$B,2,1)-VLOOKUP($AO6,'Технический лист'!$A:$B,2,1)),1+(1-$AU6))</f>
        <v/>
      </c>
      <c r="EU6" s="172">
        <f>MIN(IF($AU6=100%,1,1+VLOOKUP(($AJ6-$AI6-$AH6-$AG6-$AF6-$AE6*(1+EU$3))/$AJ6,'Технический лист'!$A:$B,2,1)-VLOOKUP($AO6,'Технический лист'!$A:$B,2,1)),1+(1-$AU6))</f>
        <v/>
      </c>
      <c r="EV6" s="173" t="n">
        <v>1</v>
      </c>
      <c r="EW6" s="172">
        <f>MIN(1,MAX(VLOOKUP(($AJ6-$AI6-$AH6-$AG6-$AF6-$AE6*(1+EW$3))/$AJ6,'Технический лист'!$A:$B,2,1),(EV6-0.05)))</f>
        <v/>
      </c>
      <c r="EX6" s="172">
        <f>MIN(1,MAX(VLOOKUP(($AJ6-$AI6-$AH6-$AG6-$AF6-$AE6*(1+EX$3))/$AJ6,'Технический лист'!$A:$B,2,1),(EW6-0.05)))</f>
        <v/>
      </c>
      <c r="EY6" s="172">
        <f>MIN(1,MAX(VLOOKUP(($AJ6-$AI6-$AH6-$AG6-$AF6-$AE6*(1+EY$3))/$AJ6,'Технический лист'!$A:$B,2,1),(EX6-0.05)))</f>
        <v/>
      </c>
      <c r="EZ6" s="172">
        <f>MIN(1,MAX(VLOOKUP(($AJ6-$AI6-$AH6-$AG6-$AF6-$AE6*(1+EZ$3))/$AJ6,'Технический лист'!$A:$B,2,1),(EY6-0.05)))</f>
        <v/>
      </c>
      <c r="FA6" s="172">
        <f>MIN(1,MAX(VLOOKUP(($AJ6-$AI6-$AH6-$AG6-$AF6-$AE6*(1+FA$3))/$AJ6,'Технический лист'!$A:$B,2,1),(EZ6-0.05)))</f>
        <v/>
      </c>
      <c r="FB6" s="172">
        <f>MIN(1,MAX(VLOOKUP(($AJ6-$AI6-$AH6-$AG6-$AF6-$AE6*(1+FB$3))/$AJ6,'Технический лист'!$A:$B,2,1),(FA6-0.05)))</f>
        <v/>
      </c>
      <c r="FC6" s="172">
        <f>MIN(1,MAX(VLOOKUP(($AJ6-$AI6-$AH6-$AG6-$AF6-$AE6*(1+FC$3))/$AJ6,'Технический лист'!$A:$B,2,1),(FB6-0.05)))</f>
        <v/>
      </c>
      <c r="FD6" s="172">
        <f>MIN(1,MAX(VLOOKUP(($AJ6-$AI6-$AH6-$AG6-$AF6-$AE6*(1+FD$3))/$AJ6,'Технический лист'!$A:$B,2,1),(FC6-0.05)))</f>
        <v/>
      </c>
      <c r="FE6" s="172">
        <f>MIN(1,MAX(VLOOKUP(($AJ6-$AI6-$AH6-$AG6-$AF6-$AE6*(1+FE$3))/$AJ6,'Технический лист'!$A:$B,2,1),(FD6-0.05)))</f>
        <v/>
      </c>
      <c r="FF6" s="172">
        <f>MIN(1,MAX(VLOOKUP(($AJ6-$AI6-$AH6-$AG6-$AF6-$AE6*(1+FF$3))/$AJ6,'Технический лист'!$A:$B,2,1),(FE6-0.05)))</f>
        <v/>
      </c>
      <c r="FG6" s="172">
        <f>MIN(1,MAX(VLOOKUP(($AJ6-$AI6-$AH6-$AG6-$AF6-$AE6*(1+FG$3))/$AJ6,'Технический лист'!$A:$B,2,1),(FF6-0.05)))</f>
        <v/>
      </c>
      <c r="FH6" s="172">
        <f>MIN(1,MAX(VLOOKUP(($AJ6-$AI6-$AH6-$AG6-$AF6-$AE6*(1+FH$3))/$AJ6,'Технический лист'!$A:$B,2,1),(FG6-0.05)))</f>
        <v/>
      </c>
      <c r="FI6" s="172">
        <f>MIN(1,MAX(VLOOKUP(($AJ6-$AI6-$AH6-$AG6-$AF6-$AE6*(1+FI$3))/$AJ6,'Технический лист'!$A:$B,2,1),(FH6-0.05)))</f>
        <v/>
      </c>
      <c r="FJ6" s="172">
        <f>MIN(1,MAX(VLOOKUP(($AJ6-$AI6-$AH6-$AG6-$AF6-$AE6*(1+FJ$3))/$AJ6,'Технический лист'!$A:$B,2,1),(FI6-0.05)))</f>
        <v/>
      </c>
      <c r="FK6" s="172">
        <f>MIN(1,MAX(VLOOKUP(($AJ6-$AI6-$AH6-$AG6-$AF6-$AE6*(1+FK$3))/$AJ6,'Технический лист'!$A:$B,2,1),(FJ6-0.05)))</f>
        <v/>
      </c>
      <c r="FL6" s="172">
        <f>MIN(1,MAX(VLOOKUP(($AJ6-$AI6-$AH6-$AG6-$AF6-$AE6*(1+FL$3))/$AJ6,'Технический лист'!$A:$B,2,1),(FK6-0.05)))</f>
        <v/>
      </c>
      <c r="FM6" s="172">
        <f>MIN(1,MAX(VLOOKUP(($AJ6-$AI6-$AH6-$AG6-$AF6-$AE6*(1+FM$3))/$AJ6,'Технический лист'!$A:$B,2,1),(FL6-0.05)))</f>
        <v/>
      </c>
      <c r="FN6" s="172">
        <f>MIN(1,MAX(VLOOKUP(($AJ6-$AI6-$AH6-$AG6-$AF6-$AE6*(1+FN$3))/$AJ6,'Технический лист'!$A:$B,2,1),(FM6-0.05)))</f>
        <v/>
      </c>
      <c r="FO6" s="172">
        <f>MIN(1,MAX(VLOOKUP(($AJ6-$AI6-$AH6-$AG6-$AF6-$AE6*(1+FO$3))/$AJ6,'Технический лист'!$A:$B,2,1),(FN6-0.05)))</f>
        <v/>
      </c>
      <c r="FP6" s="172">
        <f>MIN(1,MAX(VLOOKUP(($AJ6-$AI6-$AH6-$AG6-$AF6-$AE6*(1+FP$3))/$AJ6,'Технический лист'!$A:$B,2,1),(FO6-0.05)))</f>
        <v/>
      </c>
      <c r="FQ6" s="172">
        <f>MIN(1,MAX(VLOOKUP(($AJ6-$AI6-$AH6-$AG6-$AF6-$AE6*(1+FQ$3))/$AJ6,'Технический лист'!$A:$B,2,1),(FP6-0.05)))</f>
        <v/>
      </c>
      <c r="FR6" s="172">
        <f>MIN(1,MAX(VLOOKUP(($AJ6-$AI6-$AH6-$AG6-$AF6-$AE6*(1+FR$3))/$AJ6,'Технический лист'!$A:$B,2,1),(FQ6-0.05)))</f>
        <v/>
      </c>
      <c r="FS6" s="172">
        <f>MIN(1,MAX(VLOOKUP(($AJ6-$AI6-$AH6-$AG6-$AF6-$AE6*(1+FS$3))/$AJ6,'Технический лист'!$A:$B,2,1),(FR6-0.05)))</f>
        <v/>
      </c>
      <c r="FT6" s="172">
        <f>MIN(1,MAX(VLOOKUP(($AJ6-$AI6-$AH6-$AG6-$AF6-$AE6*(1+FT$3))/$AJ6,'Технический лист'!$A:$B,2,1),(FS6-0.05)))</f>
        <v/>
      </c>
      <c r="FU6" s="172">
        <f>MIN(1,MAX(VLOOKUP(($AJ6-$AI6-$AH6-$AG6-$AF6-$AE6*(1+FU$3))/$AJ6,'Технический лист'!$A:$B,2,1),(FT6-0.05)))</f>
        <v/>
      </c>
      <c r="FV6" s="172">
        <f>MIN(1,MAX(VLOOKUP(($AJ6-$AI6-$AH6-$AG6-$AF6-$AE6*(1+FV$3))/$AJ6,'Технический лист'!$A:$B,2,1),(FU6-0.05)))</f>
        <v/>
      </c>
      <c r="FW6" s="172">
        <f>MIN(1,MAX(VLOOKUP(($AJ6-$AI6-$AH6-$AG6-$AF6-$AE6*(1+FW$3))/$AJ6,'Технический лист'!$A:$B,2,1),(FV6-0.05)))</f>
        <v/>
      </c>
      <c r="FX6" s="172">
        <f>MIN(1,MAX(VLOOKUP(($AJ6-$AI6-$AH6-$AG6-$AF6-$AE6*(1+FX$3))/$AJ6,'Технический лист'!$A:$B,2,1),(FW6-0.05)))</f>
        <v/>
      </c>
      <c r="FY6" s="172">
        <f>MIN(1,MAX(VLOOKUP(($AJ6-$AI6-$AH6-$AG6-$AF6-$AE6*(1+FY$3))/$AJ6,'Технический лист'!$A:$B,2,1),(FX6-0.05)))</f>
        <v/>
      </c>
      <c r="FZ6" s="172">
        <f>MIN(1,MAX(VLOOKUP(($AJ6-$AI6-$AH6-$AG6-$AF6-$AE6*(1+FZ$3))/$AJ6,'Технический лист'!$A:$B,2,1),(FY6-0.05)))</f>
        <v/>
      </c>
      <c r="GA6" s="172">
        <f>MIN(1,MAX(VLOOKUP(($AJ6-$AI6-$AH6-$AG6-$AF6-$AE6*(1+GA$3))/$AJ6,'Технический лист'!$A:$B,2,1),(FZ6-0.05)))</f>
        <v/>
      </c>
      <c r="GB6" s="172">
        <f>MIN(1,MAX(VLOOKUP(($AJ6-$AI6-$AH6-$AG6-$AF6-$AE6*(1+GB$3))/$AJ6,'Технический лист'!$A:$B,2,1),(GA6-0.05)))</f>
        <v/>
      </c>
      <c r="GC6" s="172">
        <f>MIN(1,MAX(VLOOKUP(($AJ6-$AI6-$AH6-$AG6-$AF6-$AE6*(1+GC$3))/$AJ6,'Технический лист'!$A:$B,2,1),(GB6-0.05)))</f>
        <v/>
      </c>
      <c r="GD6" s="172">
        <f>MIN(1,MAX(VLOOKUP(($AJ6-$AI6-$AH6-$AG6-$AF6-$AE6*(1+GD$3))/$AJ6,'Технический лист'!$A:$B,2,1),(GC6-0.05)))</f>
        <v/>
      </c>
      <c r="GE6" s="172">
        <f>MIN(1,MAX(VLOOKUP(($AJ6-$AI6-$AH6-$AG6-$AF6-$AE6*(1+GE$3))/$AJ6,'Технический лист'!$A:$B,2,1),(GD6-0.05)))</f>
        <v/>
      </c>
      <c r="GF6" s="172">
        <f>MIN(1,MAX(VLOOKUP(($AJ6-$AI6-$AH6-$AG6-$AF6-$AE6*(1+GF$3))/$AJ6,'Технический лист'!$A:$B,2,1),(GE6-0.05)))</f>
        <v/>
      </c>
      <c r="GG6" s="172">
        <f>MIN(1,MAX(VLOOKUP(($AJ6-$AI6-$AH6-$AG6-$AF6-$AE6*(1+GG$3))/$AJ6,'Технический лист'!$A:$B,2,1),(GF6-0.05)))</f>
        <v/>
      </c>
      <c r="GH6" s="172">
        <f>MIN(1,MAX(VLOOKUP(($AJ6-$AI6-$AH6-$AG6-$AF6-$AE6*(1+GH$3))/$AJ6,'Технический лист'!$A:$B,2,1),(GG6-0.05)))</f>
        <v/>
      </c>
      <c r="GI6" s="172">
        <f>MIN(1,MAX(VLOOKUP(($AJ6-$AI6-$AH6-$AG6-$AF6-$AE6*(1+GI$3))/$AJ6,'Технический лист'!$A:$B,2,1),(GH6-0.05)))</f>
        <v/>
      </c>
      <c r="GJ6" s="172">
        <f>MIN(1,MAX(VLOOKUP(($AJ6-$AI6-$AH6-$AG6-$AF6-$AE6*(1+GJ$3))/$AJ6,'Технический лист'!$A:$B,2,1),(GI6-0.05)))</f>
        <v/>
      </c>
      <c r="GK6" s="172">
        <f>MIN(1,MAX(VLOOKUP(($AJ6-$AI6-$AH6-$AG6-$AF6-$AE6*(1+GK$3))/$AJ6,'Технический лист'!$A:$B,2,1),(GJ6-0.05)))</f>
        <v/>
      </c>
      <c r="GL6" s="172">
        <f>MIN(1,MAX(VLOOKUP(($AJ6-$AI6-$AH6-$AG6-$AF6-$AE6*(1+GL$3))/$AJ6,'Технический лист'!$A:$B,2,1),(GK6-0.05)))</f>
        <v/>
      </c>
      <c r="GM6" s="172">
        <f>MIN(1,MAX(VLOOKUP(($AJ6-$AI6-$AH6-$AG6-$AF6-$AE6*(1+GM$3))/$AJ6,'Технический лист'!$A:$B,2,1),(GL6-0.05)))</f>
        <v/>
      </c>
      <c r="GN6" s="172">
        <f>MIN(1,MAX(VLOOKUP(($AJ6-$AI6-$AH6-$AG6-$AF6-$AE6*(1+GN$3))/$AJ6,'Технический лист'!$A:$B,2,1),(GM6-0.05)))</f>
        <v/>
      </c>
      <c r="GO6" s="172">
        <f>MIN(1,MAX(VLOOKUP(($AJ6-$AI6-$AH6-$AG6-$AF6-$AE6*(1+GO$3))/$AJ6,'Технический лист'!$A:$B,2,1),(GN6-0.05)))</f>
        <v/>
      </c>
      <c r="GP6" s="172">
        <f>MIN(1,MAX(VLOOKUP(($AJ6-$AI6-$AH6-$AG6-$AF6-$AE6*(1+GP$3))/$AJ6,'Технический лист'!$A:$B,2,1),(GO6-0.05)))</f>
        <v/>
      </c>
      <c r="GQ6" s="172">
        <f>MIN(1,MAX(VLOOKUP(($AJ6-$AI6-$AH6-$AG6-$AF6-$AE6*(1+GQ$3))/$AJ6,'Технический лист'!$A:$B,2,1),(GP6-0.05)))</f>
        <v/>
      </c>
      <c r="GR6" s="172">
        <f>MIN(1,MAX(VLOOKUP(($AJ6-$AI6-$AH6-$AG6-$AF6-$AE6*(1+GR$3))/$AJ6,'Технический лист'!$A:$B,2,1),(GQ6-0.05)))</f>
        <v/>
      </c>
      <c r="GS6" s="172">
        <f>MIN(1,MAX(VLOOKUP(($AJ6-$AI6-$AH6-$AG6-$AF6-$AE6*(1+GS$3))/$AJ6,'Технический лист'!$A:$B,2,1),(GR6-0.05)))</f>
        <v/>
      </c>
      <c r="GT6" s="172">
        <f>MIN(1,MAX(VLOOKUP(($AJ6-$AI6-$AH6-$AG6-$AF6-$AE6*(1+GT$3))/$AJ6,'Технический лист'!$A:$B,2,1),(GS6-0.05)))</f>
        <v/>
      </c>
      <c r="GU6" s="172">
        <f>MIN(1,MAX(VLOOKUP(($AJ6-$AI6-$AH6-$AG6-$AF6-$AE6*(1+GU$3))/$AJ6,'Технический лист'!$A:$B,2,1),(GT6-0.05)))</f>
        <v/>
      </c>
      <c r="GV6" s="172">
        <f>MIN(1,MAX(VLOOKUP(($AJ6-$AI6-$AH6-$AG6-$AF6-$AE6*(1+GV$3))/$AJ6,'Технический лист'!$A:$B,2,1),(GU6-0.05)))</f>
        <v/>
      </c>
      <c r="GW6" s="172">
        <f>MIN(1,MAX(VLOOKUP(($AJ6-$AI6-$AH6-$AG6-$AF6-$AE6*(1+GW$3))/$AJ6,'Технический лист'!$A:$B,2,1),(GV6-0.05)))</f>
        <v/>
      </c>
      <c r="GX6" s="172">
        <f>MIN(1,MAX(VLOOKUP(($AJ6-$AI6-$AH6-$AG6-$AF6-$AE6*(1+GX$3))/$AJ6,'Технический лист'!$A:$B,2,1),(GW6-0.05)))</f>
        <v/>
      </c>
      <c r="GY6" s="172">
        <f>MIN(1,MAX(VLOOKUP(($AJ6-$AI6-$AH6-$AG6-$AF6-$AE6*(1+GY$3))/$AJ6,'Технический лист'!$A:$B,2,1),(GX6-0.05)))</f>
        <v/>
      </c>
      <c r="GZ6" s="172">
        <f>MIN(1,MAX(VLOOKUP(($AJ6-$AI6-$AH6-$AG6-$AF6-$AE6*(1+GZ$3))/$AJ6,'Технический лист'!$A:$B,2,1),(GY6-0.05)))</f>
        <v/>
      </c>
      <c r="HA6" s="172">
        <f>MIN(1,MAX(VLOOKUP(($AJ6-$AI6-$AH6-$AG6-$AF6-$AE6*(1+HA$3))/$AJ6,'Технический лист'!$A:$B,2,1),(GZ6-0.05)))</f>
        <v/>
      </c>
      <c r="HB6" s="172">
        <f>MIN(1,MAX(VLOOKUP(($AJ6-$AI6-$AH6-$AG6-$AF6-$AE6*(1+HB$3))/$AJ6,'Технический лист'!$A:$B,2,1),(HA6-0.05)))</f>
        <v/>
      </c>
      <c r="HC6" s="172">
        <f>MIN(1,MAX(VLOOKUP(($AJ6-$AI6-$AH6-$AG6-$AF6-$AE6*(1+HC$3))/$AJ6,'Технический лист'!$A:$B,2,1),(HB6-0.05)))</f>
        <v/>
      </c>
      <c r="HD6" s="172">
        <f>MIN(1,MAX(VLOOKUP(($AJ6-$AI6-$AH6-$AG6-$AF6-$AE6*(1+HD$3))/$AJ6,'Технический лист'!$A:$B,2,1),(HC6-0.05)))</f>
        <v/>
      </c>
      <c r="HE6" s="172">
        <f>MIN(1,MAX(VLOOKUP(($AJ6-$AI6-$AH6-$AG6-$AF6-$AE6*(1+HE$3))/$AJ6,'Технический лист'!$A:$B,2,1),(HD6-0.05)))</f>
        <v/>
      </c>
      <c r="HF6" s="172">
        <f>MIN(1,MAX(VLOOKUP(($AJ6-$AI6-$AH6-$AG6-$AF6-$AE6*(1+HF$3))/$AJ6,'Технический лист'!$A:$B,2,1),(HE6-0.05)))</f>
        <v/>
      </c>
      <c r="HG6" s="172">
        <f>MIN(1,MAX(VLOOKUP(($AJ6-$AI6-$AH6-$AG6-$AF6-$AE6*(1+HG$3))/$AJ6,'Технический лист'!$A:$B,2,1),(HF6-0.05)))</f>
        <v/>
      </c>
      <c r="HH6" s="172">
        <f>MIN(1,MAX(VLOOKUP(($AJ6-$AI6-$AH6-$AG6-$AF6-$AE6*(1+HH$3))/$AJ6,'Технический лист'!$A:$B,2,1),(HG6-0.05)))</f>
        <v/>
      </c>
      <c r="HI6" s="172">
        <f>MIN(1,MAX(VLOOKUP(($AJ6-$AI6-$AH6-$AG6-$AF6-$AE6*(1+HI$3))/$AJ6,'Технический лист'!$A:$B,2,1),(HH6-0.05)))</f>
        <v/>
      </c>
      <c r="HJ6" s="172">
        <f>MIN(1,MAX(VLOOKUP(($AJ6-$AI6-$AH6-$AG6-$AF6-$AE6*(1+HJ$3))/$AJ6,'Технический лист'!$A:$B,2,1),(HI6-0.05)))</f>
        <v/>
      </c>
      <c r="HK6" s="172">
        <f>MIN(1,MAX(VLOOKUP(($AJ6-$AI6-$AH6-$AG6-$AF6-$AE6*(1+HK$3))/$AJ6,'Технический лист'!$A:$B,2,1),(HJ6-0.05)))</f>
        <v/>
      </c>
      <c r="HL6" s="172">
        <f>MIN(1,MAX(VLOOKUP(($AJ6-$AI6-$AH6-$AG6-$AF6-$AE6*(1+HL$3))/$AJ6,'Технический лист'!$A:$B,2,1),(HK6-0.05)))</f>
        <v/>
      </c>
      <c r="HM6" s="172">
        <f>MIN(1,MAX(VLOOKUP(($AJ6-$AI6-$AH6-$AG6-$AF6-$AE6*(1+HM$3))/$AJ6,'Технический лист'!$A:$B,2,1),(HL6-0.05)))</f>
        <v/>
      </c>
      <c r="HN6" s="172">
        <f>MIN(1,MAX(VLOOKUP(($AJ6-$AI6-$AH6-$AG6-$AF6-$AE6*(1+HN$3))/$AJ6,'Технический лист'!$A:$B,2,1),(HM6-0.05)))</f>
        <v/>
      </c>
      <c r="HO6" s="172">
        <f>MIN(1,MAX(VLOOKUP(($AJ6-$AI6-$AH6-$AG6-$AF6-$AE6*(1+HO$3))/$AJ6,'Технический лист'!$A:$B,2,1),(HN6-0.05)))</f>
        <v/>
      </c>
      <c r="HP6" s="172">
        <f>MIN(1,MAX(VLOOKUP(($AJ6-$AI6-$AH6-$AG6-$AF6-$AE6*(1+HP$3))/$AJ6,'Технический лист'!$A:$B,2,1),(HO6-0.05)))</f>
        <v/>
      </c>
      <c r="HQ6" s="172">
        <f>MIN(1,MAX(VLOOKUP(($AJ6-$AI6-$AH6-$AG6-$AF6-$AE6*(1+HQ$3))/$AJ6,'Технический лист'!$A:$B,2,1),(HP6-0.05)))</f>
        <v/>
      </c>
      <c r="HR6" s="172">
        <f>MIN(1,MAX(VLOOKUP(($AJ6-$AI6-$AH6-$AG6-$AF6-$AE6*(1+HR$3))/$AJ6,'Технический лист'!$A:$B,2,1),(HQ6-0.05)))</f>
        <v/>
      </c>
      <c r="HS6" s="172">
        <f>MIN(1,MAX(VLOOKUP(($AJ6-$AI6-$AH6-$AG6-$AF6-$AE6*(1+HS$3))/$AJ6,'Технический лист'!$A:$B,2,1),(HR6-0.05)))</f>
        <v/>
      </c>
      <c r="HT6" s="172">
        <f>MIN(1,MAX(VLOOKUP(($AJ6-$AI6-$AH6-$AG6-$AF6-$AE6*(1+HT$3))/$AJ6,'Технический лист'!$A:$B,2,1),(HS6-0.05)))</f>
        <v/>
      </c>
      <c r="HU6" s="172">
        <f>MIN(1,MAX(VLOOKUP(($AJ6-$AI6-$AH6-$AG6-$AF6-$AE6*(1+HU$3))/$AJ6,'Технический лист'!$A:$B,2,1),(HT6-0.05)))</f>
        <v/>
      </c>
      <c r="HV6" s="172">
        <f>MIN(1,MAX(VLOOKUP(($AJ6-$AI6-$AH6-$AG6-$AF6-$AE6*(1+HV$3))/$AJ6,'Технический лист'!$A:$B,2,1),(HU6-0.05)))</f>
        <v/>
      </c>
      <c r="HW6" s="172">
        <f>MIN(1,MAX(VLOOKUP(($AJ6-$AI6-$AH6-$AG6-$AF6-$AE6*(1+HW$3))/$AJ6,'Технический лист'!$A:$B,2,1),(HV6-0.05)))</f>
        <v/>
      </c>
      <c r="HX6" s="172">
        <f>MIN(1,MAX(VLOOKUP(($AJ6-$AI6-$AH6-$AG6-$AF6-$AE6*(1+HX$3))/$AJ6,'Технический лист'!$A:$B,2,1),(HW6-0.05)))</f>
        <v/>
      </c>
      <c r="HY6" s="172">
        <f>MIN(1,MAX(VLOOKUP(($AJ6-$AI6-$AH6-$AG6-$AF6-$AE6*(1+HY$3))/$AJ6,'Технический лист'!$A:$B,2,1),(HX6-0.05)))</f>
        <v/>
      </c>
      <c r="HZ6" s="172">
        <f>MIN(1,MAX(VLOOKUP(($AJ6-$AI6-$AH6-$AG6-$AF6-$AE6*(1+HZ$3))/$AJ6,'Технический лист'!$A:$B,2,1),(HY6-0.05)))</f>
        <v/>
      </c>
      <c r="IA6" s="172">
        <f>MIN(1,MAX(VLOOKUP(($AJ6-$AI6-$AH6-$AG6-$AF6-$AE6*(1+IA$3))/$AJ6,'Технический лист'!$A:$B,2,1),(HZ6-0.05)))</f>
        <v/>
      </c>
      <c r="IB6" s="172">
        <f>MIN(1,MAX(VLOOKUP(($AJ6-$AI6-$AH6-$AG6-$AF6-$AE6*(1+IB$3))/$AJ6,'Технический лист'!$A:$B,2,1),(IA6-0.05)))</f>
        <v/>
      </c>
      <c r="IC6" s="172">
        <f>MIN(1,MAX(VLOOKUP(($AJ6-$AI6-$AH6-$AG6-$AF6-$AE6*(1+IC$3))/$AJ6,'Технический лист'!$A:$B,2,1),(IB6-0.05)))</f>
        <v/>
      </c>
      <c r="ID6" s="172">
        <f>MIN(1,MAX(VLOOKUP(($AJ6-$AI6-$AH6-$AG6-$AF6-$AE6*(1+ID$3))/$AJ6,'Технический лист'!$A:$B,2,1),(IC6-0.05)))</f>
        <v/>
      </c>
      <c r="IE6" s="172">
        <f>MIN(1,MAX(VLOOKUP(($AJ6-$AI6-$AH6-$AG6-$AF6-$AE6*(1+IE$3))/$AJ6,'Технический лист'!$A:$B,2,1),(ID6-0.05)))</f>
        <v/>
      </c>
      <c r="IF6" s="172">
        <f>MIN(1,MAX(VLOOKUP(($AJ6-$AI6-$AH6-$AG6-$AF6-$AE6*(1+IF$3))/$AJ6,'Технический лист'!$A:$B,2,1),(IE6-0.05)))</f>
        <v/>
      </c>
      <c r="IG6" s="172">
        <f>MIN(1,MAX(VLOOKUP(($AJ6-$AI6-$AH6-$AG6-$AF6-$AE6*(1+IG$3))/$AJ6,'Технический лист'!$A:$B,2,1),(IF6-0.05)))</f>
        <v/>
      </c>
      <c r="IH6" s="172">
        <f>MIN(1,MAX(VLOOKUP(($AJ6-$AI6-$AH6-$AG6-$AF6-$AE6*(1+IH$3))/$AJ6,'Технический лист'!$A:$B,2,1),(IG6-0.05)))</f>
        <v/>
      </c>
      <c r="II6" s="172">
        <f>MIN(1,MAX(VLOOKUP(($AJ6-$AI6-$AH6-$AG6-$AF6-$AE6*(1+II$3))/$AJ6,'Технический лист'!$A:$B,2,1),(IH6-0.05)))</f>
        <v/>
      </c>
      <c r="IJ6" s="172">
        <f>MIN(1,MAX(VLOOKUP(($AJ6-$AI6-$AH6-$AG6-$AF6-$AE6*(1+IJ$3))/$AJ6,'Технический лист'!$A:$B,2,1),(II6-0.05)))</f>
        <v/>
      </c>
      <c r="IK6" s="172">
        <f>MIN(1,MAX(VLOOKUP(($AJ6-$AI6-$AH6-$AG6-$AF6-$AE6*(1+IK$3))/$AJ6,'Технический лист'!$A:$B,2,1),(IJ6-0.05)))</f>
        <v/>
      </c>
      <c r="IL6" s="172">
        <f>MIN(1,MAX(VLOOKUP(($AJ6-$AI6-$AH6-$AG6-$AF6-$AE6*(1+IL$3))/$AJ6,'Технический лист'!$A:$B,2,1),(IK6-0.05)))</f>
        <v/>
      </c>
      <c r="IM6" s="172">
        <f>MIN(1,MAX(VLOOKUP(($AJ6-$AI6-$AH6-$AG6-$AF6-$AE6*(1+IM$3))/$AJ6,'Технический лист'!$A:$B,2,1),(IL6-0.05)))</f>
        <v/>
      </c>
      <c r="IN6" s="172">
        <f>MIN(1,MAX(VLOOKUP(($AJ6-$AI6-$AH6-$AG6-$AF6-$AE6*(1+IN$3))/$AJ6,'Технический лист'!$A:$B,2,1),(IM6-0.05)))</f>
        <v/>
      </c>
      <c r="IO6" s="172">
        <f>MIN(1,MAX(VLOOKUP(($AJ6-$AI6-$AH6-$AG6-$AF6-$AE6*(1+IO$3))/$AJ6,'Технический лист'!$A:$B,2,1),(IN6-0.05)))</f>
        <v/>
      </c>
      <c r="IP6" s="172">
        <f>MIN(1,MAX(VLOOKUP(($AJ6-$AI6-$AH6-$AG6-$AF6-$AE6*(1+IP$3))/$AJ6,'Технический лист'!$A:$B,2,1),(IO6-0.05)))</f>
        <v/>
      </c>
      <c r="IQ6" s="172">
        <f>MIN(1,MAX(VLOOKUP(($AJ6-$AI6-$AH6-$AG6-$AF6-$AE6*(1+IQ$3))/$AJ6,'Технический лист'!$A:$B,2,1),(IP6-0.05)))</f>
        <v/>
      </c>
      <c r="IR6" s="172">
        <f>MIN(1,MAX(VLOOKUP(($AJ6-$AI6-$AH6-$AG6-$AF6-$AE6*(1+IR$3))/$AJ6,'Технический лист'!$A:$B,2,1),(IQ6-0.05)))</f>
        <v/>
      </c>
    </row>
    <row r="7" ht="45" customHeight="1" s="123">
      <c r="A7" s="89" t="inlineStr">
        <is>
          <t>ЧМ (сырье)</t>
        </is>
      </c>
      <c r="B7" s="90" t="n">
        <v>2</v>
      </c>
      <c r="C7" s="5" t="inlineStr">
        <is>
          <t>Кокс каменноугольный</t>
        </is>
      </c>
      <c r="D7" s="91" t="n">
        <v>17108</v>
      </c>
      <c r="E7" s="91" t="inlineStr">
        <is>
          <t xml:space="preserve">Кокс литейный КЛ-3 </t>
        </is>
      </c>
      <c r="F7" s="92" t="inlineStr">
        <is>
          <t>КОКС КАМЕННОУГОЛЬНЫЙ</t>
        </is>
      </c>
      <c r="G7" s="91" t="inlineStr">
        <is>
          <t>СВР</t>
        </is>
      </c>
      <c r="H7" s="91" t="inlineStr">
        <is>
          <t>СВР</t>
        </is>
      </c>
      <c r="I7" s="91" t="inlineStr">
        <is>
          <t>СМЫЧКА</t>
        </is>
      </c>
      <c r="J7" s="91" t="inlineStr">
        <is>
          <t>КАЧКАНАР</t>
        </is>
      </c>
      <c r="K7" s="91" t="n">
        <v>103</v>
      </c>
      <c r="L7" s="91" t="inlineStr">
        <is>
          <t>Полувагоны</t>
        </is>
      </c>
      <c r="M7" s="91" t="inlineStr">
        <is>
          <t>Внутр. перевозки</t>
        </is>
      </c>
      <c r="N7" s="91" t="inlineStr">
        <is>
          <t>вагонная</t>
        </is>
      </c>
      <c r="O7" s="91" t="inlineStr">
        <is>
          <t xml:space="preserve">Южное </t>
        </is>
      </c>
      <c r="P7" s="89" t="inlineStr">
        <is>
          <t>'000000186269</t>
        </is>
      </c>
      <c r="Q7" s="91" t="inlineStr">
        <is>
          <t>АО "ЕВРАЗ НТМК"</t>
        </is>
      </c>
      <c r="R7" s="91" t="inlineStr">
        <is>
          <t>ООО "ЕвразХолдинг"</t>
        </is>
      </c>
      <c r="S7" s="87" t="n">
        <v>107630</v>
      </c>
      <c r="T7" s="87" t="n">
        <v>11085971</v>
      </c>
      <c r="U7" s="88" t="n">
        <v>1721</v>
      </c>
      <c r="V7" s="88" t="n">
        <v>0</v>
      </c>
      <c r="W7" s="87" t="n">
        <v>26484037</v>
      </c>
      <c r="X7" s="112" t="n">
        <v>62</v>
      </c>
      <c r="Y7" s="112" t="inlineStr">
        <is>
          <t>маршрутная</t>
        </is>
      </c>
      <c r="Z7" s="113" t="n">
        <v>3</v>
      </c>
      <c r="AA7" s="113" t="n">
        <v>3</v>
      </c>
      <c r="AB7" s="113" t="n">
        <v>4</v>
      </c>
      <c r="AC7" s="161" t="n">
        <v>278.6</v>
      </c>
      <c r="AD7" s="161">
        <f>AE7-AC7</f>
        <v/>
      </c>
      <c r="AE7" s="161" t="n">
        <v>335.73</v>
      </c>
      <c r="AF7" s="162">
        <f>(Z7+AA7+AB7)*'Ставки аренды'!$B$3/X7</f>
        <v/>
      </c>
      <c r="AG7" s="163" t="n">
        <v>0</v>
      </c>
      <c r="AH7" s="164" t="n">
        <v>0</v>
      </c>
      <c r="AI7" s="165">
        <f>0.71*AVERAGE(AJ7,AJ8)</f>
        <v/>
      </c>
      <c r="AJ7" s="166">
        <f>Цены!$D$9</f>
        <v/>
      </c>
      <c r="AK7" s="164">
        <f>AJ7/Цены!$B$1</f>
        <v/>
      </c>
      <c r="AL7" s="164">
        <f>AE7+AF7+AG7</f>
        <v/>
      </c>
      <c r="AM7" s="164">
        <f>AJ7-AL7</f>
        <v/>
      </c>
      <c r="AN7" s="164">
        <f>AI7+AH7+AG7+AF7+AE7</f>
        <v/>
      </c>
      <c r="AO7" s="167">
        <f>(AJ7-AN7)/AJ7</f>
        <v/>
      </c>
      <c r="AP7" s="168">
        <f>AL7/AJ7</f>
        <v/>
      </c>
      <c r="AQ7" s="168">
        <f>AE7/AJ7</f>
        <v/>
      </c>
      <c r="AR7" s="168">
        <f>AE7/AL7</f>
        <v/>
      </c>
      <c r="AS7" s="169" t="n">
        <v>1</v>
      </c>
      <c r="AT7" s="121">
        <f>S7*AS7</f>
        <v/>
      </c>
      <c r="AU7" s="83" t="n">
        <v>1</v>
      </c>
      <c r="AV7" s="170">
        <f>(AJ7-(AE7*(1+$IS$2)+AF7+AG7+AH7+AI7))/AJ7</f>
        <v/>
      </c>
      <c r="AW7" s="171">
        <f>(AE7*(1+$IS$2)+AF7+AG7)/AJ7</f>
        <v/>
      </c>
      <c r="AX7" s="171">
        <f>(AE7*(1+$IS$2))/AJ7</f>
        <v/>
      </c>
      <c r="AY7" s="171">
        <f>(AE7*(1+$IS$2))/(AE7*(1+$IS$2)+AF7+AG7)</f>
        <v/>
      </c>
      <c r="AZ7" s="172">
        <f>MIN(IF($AU7=100%,1,1+VLOOKUP(($AJ7-$AI7-$AH7-$AG7-$AF7-$AE7*(1+AZ$3))/$AJ7,'Технический лист'!$A:$B,2,1)-VLOOKUP($AO7,'Технический лист'!$A:$B,2,1)),1+(1-$AU7))</f>
        <v/>
      </c>
      <c r="BA7" s="172">
        <f>MIN(IF($AU7=100%,1,1+VLOOKUP(($AJ7-$AI7-$AH7-$AG7-$AF7-$AE7*(1+BA$3))/$AJ7,'Технический лист'!$A:$B,2,1)-VLOOKUP($AO7,'Технический лист'!$A:$B,2,1)),1+(1-$AU7))</f>
        <v/>
      </c>
      <c r="BB7" s="172">
        <f>MIN(IF($AU7=100%,1,1+VLOOKUP(($AJ7-$AI7-$AH7-$AG7-$AF7-$AE7*(1+BB$3))/$AJ7,'Технический лист'!$A:$B,2,1)-VLOOKUP($AO7,'Технический лист'!$A:$B,2,1)),1+(1-$AU7))</f>
        <v/>
      </c>
      <c r="BC7" s="172">
        <f>MIN(IF($AU7=100%,1,1+VLOOKUP(($AJ7-$AI7-$AH7-$AG7-$AF7-$AE7*(1+BC$3))/$AJ7,'Технический лист'!$A:$B,2,1)-VLOOKUP($AO7,'Технический лист'!$A:$B,2,1)),1+(1-$AU7))</f>
        <v/>
      </c>
      <c r="BD7" s="172">
        <f>MIN(IF($AU7=100%,1,1+VLOOKUP(($AJ7-$AI7-$AH7-$AG7-$AF7-$AE7*(1+BD$3))/$AJ7,'Технический лист'!$A:$B,2,1)-VLOOKUP($AO7,'Технический лист'!$A:$B,2,1)),1+(1-$AU7))</f>
        <v/>
      </c>
      <c r="BE7" s="172">
        <f>MIN(IF($AU7=100%,1,1+VLOOKUP(($AJ7-$AI7-$AH7-$AG7-$AF7-$AE7*(1+BE$3))/$AJ7,'Технический лист'!$A:$B,2,1)-VLOOKUP($AO7,'Технический лист'!$A:$B,2,1)),1+(1-$AU7))</f>
        <v/>
      </c>
      <c r="BF7" s="172">
        <f>MIN(IF($AU7=100%,1,1+VLOOKUP(($AJ7-$AI7-$AH7-$AG7-$AF7-$AE7*(1+BF$3))/$AJ7,'Технический лист'!$A:$B,2,1)-VLOOKUP($AO7,'Технический лист'!$A:$B,2,1)),1+(1-$AU7))</f>
        <v/>
      </c>
      <c r="BG7" s="172">
        <f>MIN(IF($AU7=100%,1,1+VLOOKUP(($AJ7-$AI7-$AH7-$AG7-$AF7-$AE7*(1+BG$3))/$AJ7,'Технический лист'!$A:$B,2,1)-VLOOKUP($AO7,'Технический лист'!$A:$B,2,1)),1+(1-$AU7))</f>
        <v/>
      </c>
      <c r="BH7" s="172">
        <f>MIN(IF($AU7=100%,1,1+VLOOKUP(($AJ7-$AI7-$AH7-$AG7-$AF7-$AE7*(1+BH$3))/$AJ7,'Технический лист'!$A:$B,2,1)-VLOOKUP($AO7,'Технический лист'!$A:$B,2,1)),1+(1-$AU7))</f>
        <v/>
      </c>
      <c r="BI7" s="172">
        <f>MIN(IF($AU7=100%,1,1+VLOOKUP(($AJ7-$AI7-$AH7-$AG7-$AF7-$AE7*(1+BI$3))/$AJ7,'Технический лист'!$A:$B,2,1)-VLOOKUP($AO7,'Технический лист'!$A:$B,2,1)),1+(1-$AU7))</f>
        <v/>
      </c>
      <c r="BJ7" s="172">
        <f>MIN(IF($AU7=100%,1,1+VLOOKUP(($AJ7-$AI7-$AH7-$AG7-$AF7-$AE7*(1+BJ$3))/$AJ7,'Технический лист'!$A:$B,2,1)-VLOOKUP($AO7,'Технический лист'!$A:$B,2,1)),1+(1-$AU7))</f>
        <v/>
      </c>
      <c r="BK7" s="172">
        <f>MIN(IF($AU7=100%,1,1+VLOOKUP(($AJ7-$AI7-$AH7-$AG7-$AF7-$AE7*(1+BK$3))/$AJ7,'Технический лист'!$A:$B,2,1)-VLOOKUP($AO7,'Технический лист'!$A:$B,2,1)),1+(1-$AU7))</f>
        <v/>
      </c>
      <c r="BL7" s="172">
        <f>MIN(IF($AU7=100%,1,1+VLOOKUP(($AJ7-$AI7-$AH7-$AG7-$AF7-$AE7*(1+BL$3))/$AJ7,'Технический лист'!$A:$B,2,1)-VLOOKUP($AO7,'Технический лист'!$A:$B,2,1)),1+(1-$AU7))</f>
        <v/>
      </c>
      <c r="BM7" s="172">
        <f>MIN(IF($AU7=100%,1,1+VLOOKUP(($AJ7-$AI7-$AH7-$AG7-$AF7-$AE7*(1+BM$3))/$AJ7,'Технический лист'!$A:$B,2,1)-VLOOKUP($AO7,'Технический лист'!$A:$B,2,1)),1+(1-$AU7))</f>
        <v/>
      </c>
      <c r="BN7" s="172">
        <f>MIN(IF($AU7=100%,1,1+VLOOKUP(($AJ7-$AI7-$AH7-$AG7-$AF7-$AE7*(1+BN$3))/$AJ7,'Технический лист'!$A:$B,2,1)-VLOOKUP($AO7,'Технический лист'!$A:$B,2,1)),1+(1-$AU7))</f>
        <v/>
      </c>
      <c r="BO7" s="172">
        <f>MIN(IF($AU7=100%,1,1+VLOOKUP(($AJ7-$AI7-$AH7-$AG7-$AF7-$AE7*(1+BO$3))/$AJ7,'Технический лист'!$A:$B,2,1)-VLOOKUP($AO7,'Технический лист'!$A:$B,2,1)),1+(1-$AU7))</f>
        <v/>
      </c>
      <c r="BP7" s="172">
        <f>MIN(IF($AU7=100%,1,1+VLOOKUP(($AJ7-$AI7-$AH7-$AG7-$AF7-$AE7*(1+BP$3))/$AJ7,'Технический лист'!$A:$B,2,1)-VLOOKUP($AO7,'Технический лист'!$A:$B,2,1)),1+(1-$AU7))</f>
        <v/>
      </c>
      <c r="BQ7" s="172">
        <f>MIN(IF($AU7=100%,1,1+VLOOKUP(($AJ7-$AI7-$AH7-$AG7-$AF7-$AE7*(1+BQ$3))/$AJ7,'Технический лист'!$A:$B,2,1)-VLOOKUP($AO7,'Технический лист'!$A:$B,2,1)),1+(1-$AU7))</f>
        <v/>
      </c>
      <c r="BR7" s="172">
        <f>MIN(IF($AU7=100%,1,1+VLOOKUP(($AJ7-$AI7-$AH7-$AG7-$AF7-$AE7*(1+BR$3))/$AJ7,'Технический лист'!$A:$B,2,1)-VLOOKUP($AO7,'Технический лист'!$A:$B,2,1)),1+(1-$AU7))</f>
        <v/>
      </c>
      <c r="BS7" s="172">
        <f>MIN(IF($AU7=100%,1,1+VLOOKUP(($AJ7-$AI7-$AH7-$AG7-$AF7-$AE7*(1+BS$3))/$AJ7,'Технический лист'!$A:$B,2,1)-VLOOKUP($AO7,'Технический лист'!$A:$B,2,1)),1+(1-$AU7))</f>
        <v/>
      </c>
      <c r="BT7" s="172">
        <f>MIN(IF($AU7=100%,1,1+VLOOKUP(($AJ7-$AI7-$AH7-$AG7-$AF7-$AE7*(1+BT$3))/$AJ7,'Технический лист'!$A:$B,2,1)-VLOOKUP($AO7,'Технический лист'!$A:$B,2,1)),1+(1-$AU7))</f>
        <v/>
      </c>
      <c r="BU7" s="172">
        <f>MIN(IF($AU7=100%,1,1+VLOOKUP(($AJ7-$AI7-$AH7-$AG7-$AF7-$AE7*(1+BU$3))/$AJ7,'Технический лист'!$A:$B,2,1)-VLOOKUP($AO7,'Технический лист'!$A:$B,2,1)),1+(1-$AU7))</f>
        <v/>
      </c>
      <c r="BV7" s="172">
        <f>MIN(IF($AU7=100%,1,1+VLOOKUP(($AJ7-$AI7-$AH7-$AG7-$AF7-$AE7*(1+BV$3))/$AJ7,'Технический лист'!$A:$B,2,1)-VLOOKUP($AO7,'Технический лист'!$A:$B,2,1)),1+(1-$AU7))</f>
        <v/>
      </c>
      <c r="BW7" s="172">
        <f>MIN(IF($AU7=100%,1,1+VLOOKUP(($AJ7-$AI7-$AH7-$AG7-$AF7-$AE7*(1+BW$3))/$AJ7,'Технический лист'!$A:$B,2,1)-VLOOKUP($AO7,'Технический лист'!$A:$B,2,1)),1+(1-$AU7))</f>
        <v/>
      </c>
      <c r="BX7" s="172">
        <f>MIN(IF($AU7=100%,1,1+VLOOKUP(($AJ7-$AI7-$AH7-$AG7-$AF7-$AE7*(1+BX$3))/$AJ7,'Технический лист'!$A:$B,2,1)-VLOOKUP($AO7,'Технический лист'!$A:$B,2,1)),1+(1-$AU7))</f>
        <v/>
      </c>
      <c r="BY7" s="172">
        <f>MIN(IF($AU7=100%,1,1+VLOOKUP(($AJ7-$AI7-$AH7-$AG7-$AF7-$AE7*(1+BY$3))/$AJ7,'Технический лист'!$A:$B,2,1)-VLOOKUP($AO7,'Технический лист'!$A:$B,2,1)),1+(1-$AU7))</f>
        <v/>
      </c>
      <c r="BZ7" s="172">
        <f>MIN(IF($AU7=100%,1,1+VLOOKUP(($AJ7-$AI7-$AH7-$AG7-$AF7-$AE7*(1+BZ$3))/$AJ7,'Технический лист'!$A:$B,2,1)-VLOOKUP($AO7,'Технический лист'!$A:$B,2,1)),1+(1-$AU7))</f>
        <v/>
      </c>
      <c r="CA7" s="172">
        <f>MIN(IF($AU7=100%,1,1+VLOOKUP(($AJ7-$AI7-$AH7-$AG7-$AF7-$AE7*(1+CA$3))/$AJ7,'Технический лист'!$A:$B,2,1)-VLOOKUP($AO7,'Технический лист'!$A:$B,2,1)),1+(1-$AU7))</f>
        <v/>
      </c>
      <c r="CB7" s="172">
        <f>MIN(IF($AU7=100%,1,1+VLOOKUP(($AJ7-$AI7-$AH7-$AG7-$AF7-$AE7*(1+CB$3))/$AJ7,'Технический лист'!$A:$B,2,1)-VLOOKUP($AO7,'Технический лист'!$A:$B,2,1)),1+(1-$AU7))</f>
        <v/>
      </c>
      <c r="CC7" s="172">
        <f>MIN(IF($AU7=100%,1,1+VLOOKUP(($AJ7-$AI7-$AH7-$AG7-$AF7-$AE7*(1+CC$3))/$AJ7,'Технический лист'!$A:$B,2,1)-VLOOKUP($AO7,'Технический лист'!$A:$B,2,1)),1+(1-$AU7))</f>
        <v/>
      </c>
      <c r="CD7" s="172">
        <f>MIN(IF($AU7=100%,1,1+VLOOKUP(($AJ7-$AI7-$AH7-$AG7-$AF7-$AE7*(1+CD$3))/$AJ7,'Технический лист'!$A:$B,2,1)-VLOOKUP($AO7,'Технический лист'!$A:$B,2,1)),1+(1-$AU7))</f>
        <v/>
      </c>
      <c r="CE7" s="172">
        <f>MIN(IF($AU7=100%,1,1+VLOOKUP(($AJ7-$AI7-$AH7-$AG7-$AF7-$AE7*(1+CE$3))/$AJ7,'Технический лист'!$A:$B,2,1)-VLOOKUP($AO7,'Технический лист'!$A:$B,2,1)),1+(1-$AU7))</f>
        <v/>
      </c>
      <c r="CF7" s="172">
        <f>MIN(IF($AU7=100%,1,1+VLOOKUP(($AJ7-$AI7-$AH7-$AG7-$AF7-$AE7*(1+CF$3))/$AJ7,'Технический лист'!$A:$B,2,1)-VLOOKUP($AO7,'Технический лист'!$A:$B,2,1)),1+(1-$AU7))</f>
        <v/>
      </c>
      <c r="CG7" s="172">
        <f>MIN(IF($AU7=100%,1,1+VLOOKUP(($AJ7-$AI7-$AH7-$AG7-$AF7-$AE7*(1+CG$3))/$AJ7,'Технический лист'!$A:$B,2,1)-VLOOKUP($AO7,'Технический лист'!$A:$B,2,1)),1+(1-$AU7))</f>
        <v/>
      </c>
      <c r="CH7" s="172">
        <f>MIN(IF($AU7=100%,1,1+VLOOKUP(($AJ7-$AI7-$AH7-$AG7-$AF7-$AE7*(1+CH$3))/$AJ7,'Технический лист'!$A:$B,2,1)-VLOOKUP($AO7,'Технический лист'!$A:$B,2,1)),1+(1-$AU7))</f>
        <v/>
      </c>
      <c r="CI7" s="172">
        <f>MIN(IF($AU7=100%,1,1+VLOOKUP(($AJ7-$AI7-$AH7-$AG7-$AF7-$AE7*(1+CI$3))/$AJ7,'Технический лист'!$A:$B,2,1)-VLOOKUP($AO7,'Технический лист'!$A:$B,2,1)),1+(1-$AU7))</f>
        <v/>
      </c>
      <c r="CJ7" s="172">
        <f>MIN(IF($AU7=100%,1,1+VLOOKUP(($AJ7-$AI7-$AH7-$AG7-$AF7-$AE7*(1+CJ$3))/$AJ7,'Технический лист'!$A:$B,2,1)-VLOOKUP($AO7,'Технический лист'!$A:$B,2,1)),1+(1-$AU7))</f>
        <v/>
      </c>
      <c r="CK7" s="172">
        <f>MIN(IF($AU7=100%,1,1+VLOOKUP(($AJ7-$AI7-$AH7-$AG7-$AF7-$AE7*(1+CK$3))/$AJ7,'Технический лист'!$A:$B,2,1)-VLOOKUP($AO7,'Технический лист'!$A:$B,2,1)),1+(1-$AU7))</f>
        <v/>
      </c>
      <c r="CL7" s="172">
        <f>MIN(IF($AU7=100%,1,1+VLOOKUP(($AJ7-$AI7-$AH7-$AG7-$AF7-$AE7*(1+CL$3))/$AJ7,'Технический лист'!$A:$B,2,1)-VLOOKUP($AO7,'Технический лист'!$A:$B,2,1)),1+(1-$AU7))</f>
        <v/>
      </c>
      <c r="CM7" s="172">
        <f>MIN(IF($AU7=100%,1,1+VLOOKUP(($AJ7-$AI7-$AH7-$AG7-$AF7-$AE7*(1+CM$3))/$AJ7,'Технический лист'!$A:$B,2,1)-VLOOKUP($AO7,'Технический лист'!$A:$B,2,1)),1+(1-$AU7))</f>
        <v/>
      </c>
      <c r="CN7" s="172">
        <f>MIN(IF($AU7=100%,1,1+VLOOKUP(($AJ7-$AI7-$AH7-$AG7-$AF7-$AE7*(1+CN$3))/$AJ7,'Технический лист'!$A:$B,2,1)-VLOOKUP($AO7,'Технический лист'!$A:$B,2,1)),1+(1-$AU7))</f>
        <v/>
      </c>
      <c r="CO7" s="172">
        <f>MIN(IF($AU7=100%,1,1+VLOOKUP(($AJ7-$AI7-$AH7-$AG7-$AF7-$AE7*(1+CO$3))/$AJ7,'Технический лист'!$A:$B,2,1)-VLOOKUP($AO7,'Технический лист'!$A:$B,2,1)),1+(1-$AU7))</f>
        <v/>
      </c>
      <c r="CP7" s="172">
        <f>MIN(IF($AU7=100%,1,1+VLOOKUP(($AJ7-$AI7-$AH7-$AG7-$AF7-$AE7*(1+CP$3))/$AJ7,'Технический лист'!$A:$B,2,1)-VLOOKUP($AO7,'Технический лист'!$A:$B,2,1)),1+(1-$AU7))</f>
        <v/>
      </c>
      <c r="CQ7" s="172">
        <f>MIN(IF($AU7=100%,1,1+VLOOKUP(($AJ7-$AI7-$AH7-$AG7-$AF7-$AE7*(1+CQ$3))/$AJ7,'Технический лист'!$A:$B,2,1)-VLOOKUP($AO7,'Технический лист'!$A:$B,2,1)),1+(1-$AU7))</f>
        <v/>
      </c>
      <c r="CR7" s="172">
        <f>MIN(IF($AU7=100%,1,1+VLOOKUP(($AJ7-$AI7-$AH7-$AG7-$AF7-$AE7*(1+CR$3))/$AJ7,'Технический лист'!$A:$B,2,1)-VLOOKUP($AO7,'Технический лист'!$A:$B,2,1)),1+(1-$AU7))</f>
        <v/>
      </c>
      <c r="CS7" s="172">
        <f>MIN(IF($AU7=100%,1,1+VLOOKUP(($AJ7-$AI7-$AH7-$AG7-$AF7-$AE7*(1+CS$3))/$AJ7,'Технический лист'!$A:$B,2,1)-VLOOKUP($AO7,'Технический лист'!$A:$B,2,1)),1+(1-$AU7))</f>
        <v/>
      </c>
      <c r="CT7" s="172">
        <f>MIN(IF($AU7=100%,1,1+VLOOKUP(($AJ7-$AI7-$AH7-$AG7-$AF7-$AE7*(1+CT$3))/$AJ7,'Технический лист'!$A:$B,2,1)-VLOOKUP($AO7,'Технический лист'!$A:$B,2,1)),1+(1-$AU7))</f>
        <v/>
      </c>
      <c r="CU7" s="172">
        <f>MIN(IF($AU7=100%,1,1+VLOOKUP(($AJ7-$AI7-$AH7-$AG7-$AF7-$AE7*(1+CU$3))/$AJ7,'Технический лист'!$A:$B,2,1)-VLOOKUP($AO7,'Технический лист'!$A:$B,2,1)),1+(1-$AU7))</f>
        <v/>
      </c>
      <c r="CV7" s="172">
        <f>MIN(IF($AU7=100%,1,1+VLOOKUP(($AJ7-$AI7-$AH7-$AG7-$AF7-$AE7*(1+CV$3))/$AJ7,'Технический лист'!$A:$B,2,1)-VLOOKUP($AO7,'Технический лист'!$A:$B,2,1)),1+(1-$AU7))</f>
        <v/>
      </c>
      <c r="CW7" s="172">
        <f>MIN(IF($AU7=100%,1,1+VLOOKUP(($AJ7-$AI7-$AH7-$AG7-$AF7-$AE7*(1+CW$3))/$AJ7,'Технический лист'!$A:$B,2,1)-VLOOKUP($AO7,'Технический лист'!$A:$B,2,1)),1+(1-$AU7))</f>
        <v/>
      </c>
      <c r="CX7" s="172">
        <f>MIN(IF($AU7=100%,1,1+VLOOKUP(($AJ7-$AI7-$AH7-$AG7-$AF7-$AE7*(1+CX$3))/$AJ7,'Технический лист'!$A:$B,2,1)-VLOOKUP($AO7,'Технический лист'!$A:$B,2,1)),1+(1-$AU7))</f>
        <v/>
      </c>
      <c r="CY7" s="172">
        <f>MIN(IF($AU7=100%,1,1+VLOOKUP(($AJ7-$AI7-$AH7-$AG7-$AF7-$AE7*(1+CY$3))/$AJ7,'Технический лист'!$A:$B,2,1)-VLOOKUP($AO7,'Технический лист'!$A:$B,2,1)),1+(1-$AU7))</f>
        <v/>
      </c>
      <c r="CZ7" s="172">
        <f>MIN(IF($AU7=100%,1,1+VLOOKUP(($AJ7-$AI7-$AH7-$AG7-$AF7-$AE7*(1+CZ$3))/$AJ7,'Технический лист'!$A:$B,2,1)-VLOOKUP($AO7,'Технический лист'!$A:$B,2,1)),1+(1-$AU7))</f>
        <v/>
      </c>
      <c r="DA7" s="172">
        <f>MIN(IF($AU7=100%,1,1+VLOOKUP(($AJ7-$AI7-$AH7-$AG7-$AF7-$AE7*(1+DA$3))/$AJ7,'Технический лист'!$A:$B,2,1)-VLOOKUP($AO7,'Технический лист'!$A:$B,2,1)),1+(1-$AU7))</f>
        <v/>
      </c>
      <c r="DB7" s="172">
        <f>MIN(IF($AU7=100%,1,1+VLOOKUP(($AJ7-$AI7-$AH7-$AG7-$AF7-$AE7*(1+DB$3))/$AJ7,'Технический лист'!$A:$B,2,1)-VLOOKUP($AO7,'Технический лист'!$A:$B,2,1)),1+(1-$AU7))</f>
        <v/>
      </c>
      <c r="DC7" s="172">
        <f>MIN(IF($AU7=100%,1,1+VLOOKUP(($AJ7-$AI7-$AH7-$AG7-$AF7-$AE7*(1+DC$3))/$AJ7,'Технический лист'!$A:$B,2,1)-VLOOKUP($AO7,'Технический лист'!$A:$B,2,1)),1+(1-$AU7))</f>
        <v/>
      </c>
      <c r="DD7" s="172">
        <f>MIN(IF($AU7=100%,1,1+VLOOKUP(($AJ7-$AI7-$AH7-$AG7-$AF7-$AE7*(1+DD$3))/$AJ7,'Технический лист'!$A:$B,2,1)-VLOOKUP($AO7,'Технический лист'!$A:$B,2,1)),1+(1-$AU7))</f>
        <v/>
      </c>
      <c r="DE7" s="172">
        <f>MIN(IF($AU7=100%,1,1+VLOOKUP(($AJ7-$AI7-$AH7-$AG7-$AF7-$AE7*(1+DE$3))/$AJ7,'Технический лист'!$A:$B,2,1)-VLOOKUP($AO7,'Технический лист'!$A:$B,2,1)),1+(1-$AU7))</f>
        <v/>
      </c>
      <c r="DF7" s="172">
        <f>MIN(IF($AU7=100%,1,1+VLOOKUP(($AJ7-$AI7-$AH7-$AG7-$AF7-$AE7*(1+DF$3))/$AJ7,'Технический лист'!$A:$B,2,1)-VLOOKUP($AO7,'Технический лист'!$A:$B,2,1)),1+(1-$AU7))</f>
        <v/>
      </c>
      <c r="DG7" s="172">
        <f>MIN(IF($AU7=100%,1,1+VLOOKUP(($AJ7-$AI7-$AH7-$AG7-$AF7-$AE7*(1+DG$3))/$AJ7,'Технический лист'!$A:$B,2,1)-VLOOKUP($AO7,'Технический лист'!$A:$B,2,1)),1+(1-$AU7))</f>
        <v/>
      </c>
      <c r="DH7" s="172">
        <f>MIN(IF($AU7=100%,1,1+VLOOKUP(($AJ7-$AI7-$AH7-$AG7-$AF7-$AE7*(1+DH$3))/$AJ7,'Технический лист'!$A:$B,2,1)-VLOOKUP($AO7,'Технический лист'!$A:$B,2,1)),1+(1-$AU7))</f>
        <v/>
      </c>
      <c r="DI7" s="172">
        <f>MIN(IF($AU7=100%,1,1+VLOOKUP(($AJ7-$AI7-$AH7-$AG7-$AF7-$AE7*(1+DI$3))/$AJ7,'Технический лист'!$A:$B,2,1)-VLOOKUP($AO7,'Технический лист'!$A:$B,2,1)),1+(1-$AU7))</f>
        <v/>
      </c>
      <c r="DJ7" s="172">
        <f>MIN(IF($AU7=100%,1,1+VLOOKUP(($AJ7-$AI7-$AH7-$AG7-$AF7-$AE7*(1+DJ$3))/$AJ7,'Технический лист'!$A:$B,2,1)-VLOOKUP($AO7,'Технический лист'!$A:$B,2,1)),1+(1-$AU7))</f>
        <v/>
      </c>
      <c r="DK7" s="172">
        <f>MIN(IF($AU7=100%,1,1+VLOOKUP(($AJ7-$AI7-$AH7-$AG7-$AF7-$AE7*(1+DK$3))/$AJ7,'Технический лист'!$A:$B,2,1)-VLOOKUP($AO7,'Технический лист'!$A:$B,2,1)),1+(1-$AU7))</f>
        <v/>
      </c>
      <c r="DL7" s="172">
        <f>MIN(IF($AU7=100%,1,1+VLOOKUP(($AJ7-$AI7-$AH7-$AG7-$AF7-$AE7*(1+DL$3))/$AJ7,'Технический лист'!$A:$B,2,1)-VLOOKUP($AO7,'Технический лист'!$A:$B,2,1)),1+(1-$AU7))</f>
        <v/>
      </c>
      <c r="DM7" s="172">
        <f>MIN(IF($AU7=100%,1,1+VLOOKUP(($AJ7-$AI7-$AH7-$AG7-$AF7-$AE7*(1+DM$3))/$AJ7,'Технический лист'!$A:$B,2,1)-VLOOKUP($AO7,'Технический лист'!$A:$B,2,1)),1+(1-$AU7))</f>
        <v/>
      </c>
      <c r="DN7" s="172">
        <f>MIN(IF($AU7=100%,1,1+VLOOKUP(($AJ7-$AI7-$AH7-$AG7-$AF7-$AE7*(1+DN$3))/$AJ7,'Технический лист'!$A:$B,2,1)-VLOOKUP($AO7,'Технический лист'!$A:$B,2,1)),1+(1-$AU7))</f>
        <v/>
      </c>
      <c r="DO7" s="172">
        <f>MIN(IF($AU7=100%,1,1+VLOOKUP(($AJ7-$AI7-$AH7-$AG7-$AF7-$AE7*(1+DO$3))/$AJ7,'Технический лист'!$A:$B,2,1)-VLOOKUP($AO7,'Технический лист'!$A:$B,2,1)),1+(1-$AU7))</f>
        <v/>
      </c>
      <c r="DP7" s="172">
        <f>MIN(IF($AU7=100%,1,1+VLOOKUP(($AJ7-$AI7-$AH7-$AG7-$AF7-$AE7*(1+DP$3))/$AJ7,'Технический лист'!$A:$B,2,1)-VLOOKUP($AO7,'Технический лист'!$A:$B,2,1)),1+(1-$AU7))</f>
        <v/>
      </c>
      <c r="DQ7" s="172">
        <f>MIN(IF($AU7=100%,1,1+VLOOKUP(($AJ7-$AI7-$AH7-$AG7-$AF7-$AE7*(1+DQ$3))/$AJ7,'Технический лист'!$A:$B,2,1)-VLOOKUP($AO7,'Технический лист'!$A:$B,2,1)),1+(1-$AU7))</f>
        <v/>
      </c>
      <c r="DR7" s="172">
        <f>MIN(IF($AU7=100%,1,1+VLOOKUP(($AJ7-$AI7-$AH7-$AG7-$AF7-$AE7*(1+DR$3))/$AJ7,'Технический лист'!$A:$B,2,1)-VLOOKUP($AO7,'Технический лист'!$A:$B,2,1)),1+(1-$AU7))</f>
        <v/>
      </c>
      <c r="DS7" s="172">
        <f>MIN(IF($AU7=100%,1,1+VLOOKUP(($AJ7-$AI7-$AH7-$AG7-$AF7-$AE7*(1+DS$3))/$AJ7,'Технический лист'!$A:$B,2,1)-VLOOKUP($AO7,'Технический лист'!$A:$B,2,1)),1+(1-$AU7))</f>
        <v/>
      </c>
      <c r="DT7" s="172">
        <f>MIN(IF($AU7=100%,1,1+VLOOKUP(($AJ7-$AI7-$AH7-$AG7-$AF7-$AE7*(1+DT$3))/$AJ7,'Технический лист'!$A:$B,2,1)-VLOOKUP($AO7,'Технический лист'!$A:$B,2,1)),1+(1-$AU7))</f>
        <v/>
      </c>
      <c r="DU7" s="172">
        <f>MIN(IF($AU7=100%,1,1+VLOOKUP(($AJ7-$AI7-$AH7-$AG7-$AF7-$AE7*(1+DU$3))/$AJ7,'Технический лист'!$A:$B,2,1)-VLOOKUP($AO7,'Технический лист'!$A:$B,2,1)),1+(1-$AU7))</f>
        <v/>
      </c>
      <c r="DV7" s="172">
        <f>MIN(IF($AU7=100%,1,1+VLOOKUP(($AJ7-$AI7-$AH7-$AG7-$AF7-$AE7*(1+DV$3))/$AJ7,'Технический лист'!$A:$B,2,1)-VLOOKUP($AO7,'Технический лист'!$A:$B,2,1)),1+(1-$AU7))</f>
        <v/>
      </c>
      <c r="DW7" s="172">
        <f>MIN(IF($AU7=100%,1,1+VLOOKUP(($AJ7-$AI7-$AH7-$AG7-$AF7-$AE7*(1+DW$3))/$AJ7,'Технический лист'!$A:$B,2,1)-VLOOKUP($AO7,'Технический лист'!$A:$B,2,1)),1+(1-$AU7))</f>
        <v/>
      </c>
      <c r="DX7" s="172">
        <f>MIN(IF($AU7=100%,1,1+VLOOKUP(($AJ7-$AI7-$AH7-$AG7-$AF7-$AE7*(1+DX$3))/$AJ7,'Технический лист'!$A:$B,2,1)-VLOOKUP($AO7,'Технический лист'!$A:$B,2,1)),1+(1-$AU7))</f>
        <v/>
      </c>
      <c r="DY7" s="172">
        <f>MIN(IF($AU7=100%,1,1+VLOOKUP(($AJ7-$AI7-$AH7-$AG7-$AF7-$AE7*(1+DY$3))/$AJ7,'Технический лист'!$A:$B,2,1)-VLOOKUP($AO7,'Технический лист'!$A:$B,2,1)),1+(1-$AU7))</f>
        <v/>
      </c>
      <c r="DZ7" s="172">
        <f>MIN(IF($AU7=100%,1,1+VLOOKUP(($AJ7-$AI7-$AH7-$AG7-$AF7-$AE7*(1+DZ$3))/$AJ7,'Технический лист'!$A:$B,2,1)-VLOOKUP($AO7,'Технический лист'!$A:$B,2,1)),1+(1-$AU7))</f>
        <v/>
      </c>
      <c r="EA7" s="172">
        <f>MIN(IF($AU7=100%,1,1+VLOOKUP(($AJ7-$AI7-$AH7-$AG7-$AF7-$AE7*(1+EA$3))/$AJ7,'Технический лист'!$A:$B,2,1)-VLOOKUP($AO7,'Технический лист'!$A:$B,2,1)),1+(1-$AU7))</f>
        <v/>
      </c>
      <c r="EB7" s="172">
        <f>MIN(IF($AU7=100%,1,1+VLOOKUP(($AJ7-$AI7-$AH7-$AG7-$AF7-$AE7*(1+EB$3))/$AJ7,'Технический лист'!$A:$B,2,1)-VLOOKUP($AO7,'Технический лист'!$A:$B,2,1)),1+(1-$AU7))</f>
        <v/>
      </c>
      <c r="EC7" s="172">
        <f>MIN(IF($AU7=100%,1,1+VLOOKUP(($AJ7-$AI7-$AH7-$AG7-$AF7-$AE7*(1+EC$3))/$AJ7,'Технический лист'!$A:$B,2,1)-VLOOKUP($AO7,'Технический лист'!$A:$B,2,1)),1+(1-$AU7))</f>
        <v/>
      </c>
      <c r="ED7" s="172">
        <f>MIN(IF($AU7=100%,1,1+VLOOKUP(($AJ7-$AI7-$AH7-$AG7-$AF7-$AE7*(1+ED$3))/$AJ7,'Технический лист'!$A:$B,2,1)-VLOOKUP($AO7,'Технический лист'!$A:$B,2,1)),1+(1-$AU7))</f>
        <v/>
      </c>
      <c r="EE7" s="172">
        <f>MIN(IF($AU7=100%,1,1+VLOOKUP(($AJ7-$AI7-$AH7-$AG7-$AF7-$AE7*(1+EE$3))/$AJ7,'Технический лист'!$A:$B,2,1)-VLOOKUP($AO7,'Технический лист'!$A:$B,2,1)),1+(1-$AU7))</f>
        <v/>
      </c>
      <c r="EF7" s="172">
        <f>MIN(IF($AU7=100%,1,1+VLOOKUP(($AJ7-$AI7-$AH7-$AG7-$AF7-$AE7*(1+EF$3))/$AJ7,'Технический лист'!$A:$B,2,1)-VLOOKUP($AO7,'Технический лист'!$A:$B,2,1)),1+(1-$AU7))</f>
        <v/>
      </c>
      <c r="EG7" s="172">
        <f>MIN(IF($AU7=100%,1,1+VLOOKUP(($AJ7-$AI7-$AH7-$AG7-$AF7-$AE7*(1+EG$3))/$AJ7,'Технический лист'!$A:$B,2,1)-VLOOKUP($AO7,'Технический лист'!$A:$B,2,1)),1+(1-$AU7))</f>
        <v/>
      </c>
      <c r="EH7" s="172">
        <f>MIN(IF($AU7=100%,1,1+VLOOKUP(($AJ7-$AI7-$AH7-$AG7-$AF7-$AE7*(1+EH$3))/$AJ7,'Технический лист'!$A:$B,2,1)-VLOOKUP($AO7,'Технический лист'!$A:$B,2,1)),1+(1-$AU7))</f>
        <v/>
      </c>
      <c r="EI7" s="172">
        <f>MIN(IF($AU7=100%,1,1+VLOOKUP(($AJ7-$AI7-$AH7-$AG7-$AF7-$AE7*(1+EI$3))/$AJ7,'Технический лист'!$A:$B,2,1)-VLOOKUP($AO7,'Технический лист'!$A:$B,2,1)),1+(1-$AU7))</f>
        <v/>
      </c>
      <c r="EJ7" s="172">
        <f>MIN(IF($AU7=100%,1,1+VLOOKUP(($AJ7-$AI7-$AH7-$AG7-$AF7-$AE7*(1+EJ$3))/$AJ7,'Технический лист'!$A:$B,2,1)-VLOOKUP($AO7,'Технический лист'!$A:$B,2,1)),1+(1-$AU7))</f>
        <v/>
      </c>
      <c r="EK7" s="172">
        <f>MIN(IF($AU7=100%,1,1+VLOOKUP(($AJ7-$AI7-$AH7-$AG7-$AF7-$AE7*(1+EK$3))/$AJ7,'Технический лист'!$A:$B,2,1)-VLOOKUP($AO7,'Технический лист'!$A:$B,2,1)),1+(1-$AU7))</f>
        <v/>
      </c>
      <c r="EL7" s="172">
        <f>MIN(IF($AU7=100%,1,1+VLOOKUP(($AJ7-$AI7-$AH7-$AG7-$AF7-$AE7*(1+EL$3))/$AJ7,'Технический лист'!$A:$B,2,1)-VLOOKUP($AO7,'Технический лист'!$A:$B,2,1)),1+(1-$AU7))</f>
        <v/>
      </c>
      <c r="EM7" s="172">
        <f>MIN(IF($AU7=100%,1,1+VLOOKUP(($AJ7-$AI7-$AH7-$AG7-$AF7-$AE7*(1+EM$3))/$AJ7,'Технический лист'!$A:$B,2,1)-VLOOKUP($AO7,'Технический лист'!$A:$B,2,1)),1+(1-$AU7))</f>
        <v/>
      </c>
      <c r="EN7" s="172">
        <f>MIN(IF($AU7=100%,1,1+VLOOKUP(($AJ7-$AI7-$AH7-$AG7-$AF7-$AE7*(1+EN$3))/$AJ7,'Технический лист'!$A:$B,2,1)-VLOOKUP($AO7,'Технический лист'!$A:$B,2,1)),1+(1-$AU7))</f>
        <v/>
      </c>
      <c r="EO7" s="172">
        <f>MIN(IF($AU7=100%,1,1+VLOOKUP(($AJ7-$AI7-$AH7-$AG7-$AF7-$AE7*(1+EO$3))/$AJ7,'Технический лист'!$A:$B,2,1)-VLOOKUP($AO7,'Технический лист'!$A:$B,2,1)),1+(1-$AU7))</f>
        <v/>
      </c>
      <c r="EP7" s="172">
        <f>MIN(IF($AU7=100%,1,1+VLOOKUP(($AJ7-$AI7-$AH7-$AG7-$AF7-$AE7*(1+EP$3))/$AJ7,'Технический лист'!$A:$B,2,1)-VLOOKUP($AO7,'Технический лист'!$A:$B,2,1)),1+(1-$AU7))</f>
        <v/>
      </c>
      <c r="EQ7" s="172">
        <f>MIN(IF($AU7=100%,1,1+VLOOKUP(($AJ7-$AI7-$AH7-$AG7-$AF7-$AE7*(1+EQ$3))/$AJ7,'Технический лист'!$A:$B,2,1)-VLOOKUP($AO7,'Технический лист'!$A:$B,2,1)),1+(1-$AU7))</f>
        <v/>
      </c>
      <c r="ER7" s="172">
        <f>MIN(IF($AU7=100%,1,1+VLOOKUP(($AJ7-$AI7-$AH7-$AG7-$AF7-$AE7*(1+ER$3))/$AJ7,'Технический лист'!$A:$B,2,1)-VLOOKUP($AO7,'Технический лист'!$A:$B,2,1)),1+(1-$AU7))</f>
        <v/>
      </c>
      <c r="ES7" s="172">
        <f>MIN(IF($AU7=100%,1,1+VLOOKUP(($AJ7-$AI7-$AH7-$AG7-$AF7-$AE7*(1+ES$3))/$AJ7,'Технический лист'!$A:$B,2,1)-VLOOKUP($AO7,'Технический лист'!$A:$B,2,1)),1+(1-$AU7))</f>
        <v/>
      </c>
      <c r="ET7" s="172">
        <f>MIN(IF($AU7=100%,1,1+VLOOKUP(($AJ7-$AI7-$AH7-$AG7-$AF7-$AE7*(1+ET$3))/$AJ7,'Технический лист'!$A:$B,2,1)-VLOOKUP($AO7,'Технический лист'!$A:$B,2,1)),1+(1-$AU7))</f>
        <v/>
      </c>
      <c r="EU7" s="172">
        <f>MIN(IF($AU7=100%,1,1+VLOOKUP(($AJ7-$AI7-$AH7-$AG7-$AF7-$AE7*(1+EU$3))/$AJ7,'Технический лист'!$A:$B,2,1)-VLOOKUP($AO7,'Технический лист'!$A:$B,2,1)),1+(1-$AU7))</f>
        <v/>
      </c>
      <c r="EV7" s="173" t="n">
        <v>1</v>
      </c>
      <c r="EW7" s="172">
        <f>MIN(1,MAX(VLOOKUP(($AJ7-$AI7-$AH7-$AG7-$AF7-$AE7*(1+EW$3))/$AJ7,'Технический лист'!$A:$B,2,1),(EV7-0.05)))</f>
        <v/>
      </c>
      <c r="EX7" s="172">
        <f>MIN(1,MAX(VLOOKUP(($AJ7-$AI7-$AH7-$AG7-$AF7-$AE7*(1+EX$3))/$AJ7,'Технический лист'!$A:$B,2,1),(EW7-0.05)))</f>
        <v/>
      </c>
      <c r="EY7" s="172">
        <f>MIN(1,MAX(VLOOKUP(($AJ7-$AI7-$AH7-$AG7-$AF7-$AE7*(1+EY$3))/$AJ7,'Технический лист'!$A:$B,2,1),(EX7-0.05)))</f>
        <v/>
      </c>
      <c r="EZ7" s="172">
        <f>MIN(1,MAX(VLOOKUP(($AJ7-$AI7-$AH7-$AG7-$AF7-$AE7*(1+EZ$3))/$AJ7,'Технический лист'!$A:$B,2,1),(EY7-0.05)))</f>
        <v/>
      </c>
      <c r="FA7" s="172">
        <f>MIN(1,MAX(VLOOKUP(($AJ7-$AI7-$AH7-$AG7-$AF7-$AE7*(1+FA$3))/$AJ7,'Технический лист'!$A:$B,2,1),(EZ7-0.05)))</f>
        <v/>
      </c>
      <c r="FB7" s="172">
        <f>MIN(1,MAX(VLOOKUP(($AJ7-$AI7-$AH7-$AG7-$AF7-$AE7*(1+FB$3))/$AJ7,'Технический лист'!$A:$B,2,1),(FA7-0.05)))</f>
        <v/>
      </c>
      <c r="FC7" s="172">
        <f>MIN(1,MAX(VLOOKUP(($AJ7-$AI7-$AH7-$AG7-$AF7-$AE7*(1+FC$3))/$AJ7,'Технический лист'!$A:$B,2,1),(FB7-0.05)))</f>
        <v/>
      </c>
      <c r="FD7" s="172">
        <f>MIN(1,MAX(VLOOKUP(($AJ7-$AI7-$AH7-$AG7-$AF7-$AE7*(1+FD$3))/$AJ7,'Технический лист'!$A:$B,2,1),(FC7-0.05)))</f>
        <v/>
      </c>
      <c r="FE7" s="172">
        <f>MIN(1,MAX(VLOOKUP(($AJ7-$AI7-$AH7-$AG7-$AF7-$AE7*(1+FE$3))/$AJ7,'Технический лист'!$A:$B,2,1),(FD7-0.05)))</f>
        <v/>
      </c>
      <c r="FF7" s="172">
        <f>MIN(1,MAX(VLOOKUP(($AJ7-$AI7-$AH7-$AG7-$AF7-$AE7*(1+FF$3))/$AJ7,'Технический лист'!$A:$B,2,1),(FE7-0.05)))</f>
        <v/>
      </c>
      <c r="FG7" s="172">
        <f>MIN(1,MAX(VLOOKUP(($AJ7-$AI7-$AH7-$AG7-$AF7-$AE7*(1+FG$3))/$AJ7,'Технический лист'!$A:$B,2,1),(FF7-0.05)))</f>
        <v/>
      </c>
      <c r="FH7" s="172">
        <f>MIN(1,MAX(VLOOKUP(($AJ7-$AI7-$AH7-$AG7-$AF7-$AE7*(1+FH$3))/$AJ7,'Технический лист'!$A:$B,2,1),(FG7-0.05)))</f>
        <v/>
      </c>
      <c r="FI7" s="172">
        <f>MIN(1,MAX(VLOOKUP(($AJ7-$AI7-$AH7-$AG7-$AF7-$AE7*(1+FI$3))/$AJ7,'Технический лист'!$A:$B,2,1),(FH7-0.05)))</f>
        <v/>
      </c>
      <c r="FJ7" s="172">
        <f>MIN(1,MAX(VLOOKUP(($AJ7-$AI7-$AH7-$AG7-$AF7-$AE7*(1+FJ$3))/$AJ7,'Технический лист'!$A:$B,2,1),(FI7-0.05)))</f>
        <v/>
      </c>
      <c r="FK7" s="172">
        <f>MIN(1,MAX(VLOOKUP(($AJ7-$AI7-$AH7-$AG7-$AF7-$AE7*(1+FK$3))/$AJ7,'Технический лист'!$A:$B,2,1),(FJ7-0.05)))</f>
        <v/>
      </c>
      <c r="FL7" s="172">
        <f>MIN(1,MAX(VLOOKUP(($AJ7-$AI7-$AH7-$AG7-$AF7-$AE7*(1+FL$3))/$AJ7,'Технический лист'!$A:$B,2,1),(FK7-0.05)))</f>
        <v/>
      </c>
      <c r="FM7" s="172">
        <f>MIN(1,MAX(VLOOKUP(($AJ7-$AI7-$AH7-$AG7-$AF7-$AE7*(1+FM$3))/$AJ7,'Технический лист'!$A:$B,2,1),(FL7-0.05)))</f>
        <v/>
      </c>
      <c r="FN7" s="172">
        <f>MIN(1,MAX(VLOOKUP(($AJ7-$AI7-$AH7-$AG7-$AF7-$AE7*(1+FN$3))/$AJ7,'Технический лист'!$A:$B,2,1),(FM7-0.05)))</f>
        <v/>
      </c>
      <c r="FO7" s="172">
        <f>MIN(1,MAX(VLOOKUP(($AJ7-$AI7-$AH7-$AG7-$AF7-$AE7*(1+FO$3))/$AJ7,'Технический лист'!$A:$B,2,1),(FN7-0.05)))</f>
        <v/>
      </c>
      <c r="FP7" s="172">
        <f>MIN(1,MAX(VLOOKUP(($AJ7-$AI7-$AH7-$AG7-$AF7-$AE7*(1+FP$3))/$AJ7,'Технический лист'!$A:$B,2,1),(FO7-0.05)))</f>
        <v/>
      </c>
      <c r="FQ7" s="172">
        <f>MIN(1,MAX(VLOOKUP(($AJ7-$AI7-$AH7-$AG7-$AF7-$AE7*(1+FQ$3))/$AJ7,'Технический лист'!$A:$B,2,1),(FP7-0.05)))</f>
        <v/>
      </c>
      <c r="FR7" s="172">
        <f>MIN(1,MAX(VLOOKUP(($AJ7-$AI7-$AH7-$AG7-$AF7-$AE7*(1+FR$3))/$AJ7,'Технический лист'!$A:$B,2,1),(FQ7-0.05)))</f>
        <v/>
      </c>
      <c r="FS7" s="172">
        <f>MIN(1,MAX(VLOOKUP(($AJ7-$AI7-$AH7-$AG7-$AF7-$AE7*(1+FS$3))/$AJ7,'Технический лист'!$A:$B,2,1),(FR7-0.05)))</f>
        <v/>
      </c>
      <c r="FT7" s="172">
        <f>MIN(1,MAX(VLOOKUP(($AJ7-$AI7-$AH7-$AG7-$AF7-$AE7*(1+FT$3))/$AJ7,'Технический лист'!$A:$B,2,1),(FS7-0.05)))</f>
        <v/>
      </c>
      <c r="FU7" s="172">
        <f>MIN(1,MAX(VLOOKUP(($AJ7-$AI7-$AH7-$AG7-$AF7-$AE7*(1+FU$3))/$AJ7,'Технический лист'!$A:$B,2,1),(FT7-0.05)))</f>
        <v/>
      </c>
      <c r="FV7" s="172">
        <f>MIN(1,MAX(VLOOKUP(($AJ7-$AI7-$AH7-$AG7-$AF7-$AE7*(1+FV$3))/$AJ7,'Технический лист'!$A:$B,2,1),(FU7-0.05)))</f>
        <v/>
      </c>
      <c r="FW7" s="172">
        <f>MIN(1,MAX(VLOOKUP(($AJ7-$AI7-$AH7-$AG7-$AF7-$AE7*(1+FW$3))/$AJ7,'Технический лист'!$A:$B,2,1),(FV7-0.05)))</f>
        <v/>
      </c>
      <c r="FX7" s="172">
        <f>MIN(1,MAX(VLOOKUP(($AJ7-$AI7-$AH7-$AG7-$AF7-$AE7*(1+FX$3))/$AJ7,'Технический лист'!$A:$B,2,1),(FW7-0.05)))</f>
        <v/>
      </c>
      <c r="FY7" s="172">
        <f>MIN(1,MAX(VLOOKUP(($AJ7-$AI7-$AH7-$AG7-$AF7-$AE7*(1+FY$3))/$AJ7,'Технический лист'!$A:$B,2,1),(FX7-0.05)))</f>
        <v/>
      </c>
      <c r="FZ7" s="172">
        <f>MIN(1,MAX(VLOOKUP(($AJ7-$AI7-$AH7-$AG7-$AF7-$AE7*(1+FZ$3))/$AJ7,'Технический лист'!$A:$B,2,1),(FY7-0.05)))</f>
        <v/>
      </c>
      <c r="GA7" s="172">
        <f>MIN(1,MAX(VLOOKUP(($AJ7-$AI7-$AH7-$AG7-$AF7-$AE7*(1+GA$3))/$AJ7,'Технический лист'!$A:$B,2,1),(FZ7-0.05)))</f>
        <v/>
      </c>
      <c r="GB7" s="172">
        <f>MIN(1,MAX(VLOOKUP(($AJ7-$AI7-$AH7-$AG7-$AF7-$AE7*(1+GB$3))/$AJ7,'Технический лист'!$A:$B,2,1),(GA7-0.05)))</f>
        <v/>
      </c>
      <c r="GC7" s="172">
        <f>MIN(1,MAX(VLOOKUP(($AJ7-$AI7-$AH7-$AG7-$AF7-$AE7*(1+GC$3))/$AJ7,'Технический лист'!$A:$B,2,1),(GB7-0.05)))</f>
        <v/>
      </c>
      <c r="GD7" s="172">
        <f>MIN(1,MAX(VLOOKUP(($AJ7-$AI7-$AH7-$AG7-$AF7-$AE7*(1+GD$3))/$AJ7,'Технический лист'!$A:$B,2,1),(GC7-0.05)))</f>
        <v/>
      </c>
      <c r="GE7" s="172">
        <f>MIN(1,MAX(VLOOKUP(($AJ7-$AI7-$AH7-$AG7-$AF7-$AE7*(1+GE$3))/$AJ7,'Технический лист'!$A:$B,2,1),(GD7-0.05)))</f>
        <v/>
      </c>
      <c r="GF7" s="172">
        <f>MIN(1,MAX(VLOOKUP(($AJ7-$AI7-$AH7-$AG7-$AF7-$AE7*(1+GF$3))/$AJ7,'Технический лист'!$A:$B,2,1),(GE7-0.05)))</f>
        <v/>
      </c>
      <c r="GG7" s="172">
        <f>MIN(1,MAX(VLOOKUP(($AJ7-$AI7-$AH7-$AG7-$AF7-$AE7*(1+GG$3))/$AJ7,'Технический лист'!$A:$B,2,1),(GF7-0.05)))</f>
        <v/>
      </c>
      <c r="GH7" s="172">
        <f>MIN(1,MAX(VLOOKUP(($AJ7-$AI7-$AH7-$AG7-$AF7-$AE7*(1+GH$3))/$AJ7,'Технический лист'!$A:$B,2,1),(GG7-0.05)))</f>
        <v/>
      </c>
      <c r="GI7" s="172">
        <f>MIN(1,MAX(VLOOKUP(($AJ7-$AI7-$AH7-$AG7-$AF7-$AE7*(1+GI$3))/$AJ7,'Технический лист'!$A:$B,2,1),(GH7-0.05)))</f>
        <v/>
      </c>
      <c r="GJ7" s="172">
        <f>MIN(1,MAX(VLOOKUP(($AJ7-$AI7-$AH7-$AG7-$AF7-$AE7*(1+GJ$3))/$AJ7,'Технический лист'!$A:$B,2,1),(GI7-0.05)))</f>
        <v/>
      </c>
      <c r="GK7" s="172">
        <f>MIN(1,MAX(VLOOKUP(($AJ7-$AI7-$AH7-$AG7-$AF7-$AE7*(1+GK$3))/$AJ7,'Технический лист'!$A:$B,2,1),(GJ7-0.05)))</f>
        <v/>
      </c>
      <c r="GL7" s="172">
        <f>MIN(1,MAX(VLOOKUP(($AJ7-$AI7-$AH7-$AG7-$AF7-$AE7*(1+GL$3))/$AJ7,'Технический лист'!$A:$B,2,1),(GK7-0.05)))</f>
        <v/>
      </c>
      <c r="GM7" s="172">
        <f>MIN(1,MAX(VLOOKUP(($AJ7-$AI7-$AH7-$AG7-$AF7-$AE7*(1+GM$3))/$AJ7,'Технический лист'!$A:$B,2,1),(GL7-0.05)))</f>
        <v/>
      </c>
      <c r="GN7" s="172">
        <f>MIN(1,MAX(VLOOKUP(($AJ7-$AI7-$AH7-$AG7-$AF7-$AE7*(1+GN$3))/$AJ7,'Технический лист'!$A:$B,2,1),(GM7-0.05)))</f>
        <v/>
      </c>
      <c r="GO7" s="172">
        <f>MIN(1,MAX(VLOOKUP(($AJ7-$AI7-$AH7-$AG7-$AF7-$AE7*(1+GO$3))/$AJ7,'Технический лист'!$A:$B,2,1),(GN7-0.05)))</f>
        <v/>
      </c>
      <c r="GP7" s="172">
        <f>MIN(1,MAX(VLOOKUP(($AJ7-$AI7-$AH7-$AG7-$AF7-$AE7*(1+GP$3))/$AJ7,'Технический лист'!$A:$B,2,1),(GO7-0.05)))</f>
        <v/>
      </c>
      <c r="GQ7" s="172">
        <f>MIN(1,MAX(VLOOKUP(($AJ7-$AI7-$AH7-$AG7-$AF7-$AE7*(1+GQ$3))/$AJ7,'Технический лист'!$A:$B,2,1),(GP7-0.05)))</f>
        <v/>
      </c>
      <c r="GR7" s="172">
        <f>MIN(1,MAX(VLOOKUP(($AJ7-$AI7-$AH7-$AG7-$AF7-$AE7*(1+GR$3))/$AJ7,'Технический лист'!$A:$B,2,1),(GQ7-0.05)))</f>
        <v/>
      </c>
      <c r="GS7" s="172">
        <f>MIN(1,MAX(VLOOKUP(($AJ7-$AI7-$AH7-$AG7-$AF7-$AE7*(1+GS$3))/$AJ7,'Технический лист'!$A:$B,2,1),(GR7-0.05)))</f>
        <v/>
      </c>
      <c r="GT7" s="172">
        <f>MIN(1,MAX(VLOOKUP(($AJ7-$AI7-$AH7-$AG7-$AF7-$AE7*(1+GT$3))/$AJ7,'Технический лист'!$A:$B,2,1),(GS7-0.05)))</f>
        <v/>
      </c>
      <c r="GU7" s="172">
        <f>MIN(1,MAX(VLOOKUP(($AJ7-$AI7-$AH7-$AG7-$AF7-$AE7*(1+GU$3))/$AJ7,'Технический лист'!$A:$B,2,1),(GT7-0.05)))</f>
        <v/>
      </c>
      <c r="GV7" s="172">
        <f>MIN(1,MAX(VLOOKUP(($AJ7-$AI7-$AH7-$AG7-$AF7-$AE7*(1+GV$3))/$AJ7,'Технический лист'!$A:$B,2,1),(GU7-0.05)))</f>
        <v/>
      </c>
      <c r="GW7" s="172">
        <f>MIN(1,MAX(VLOOKUP(($AJ7-$AI7-$AH7-$AG7-$AF7-$AE7*(1+GW$3))/$AJ7,'Технический лист'!$A:$B,2,1),(GV7-0.05)))</f>
        <v/>
      </c>
      <c r="GX7" s="172">
        <f>MIN(1,MAX(VLOOKUP(($AJ7-$AI7-$AH7-$AG7-$AF7-$AE7*(1+GX$3))/$AJ7,'Технический лист'!$A:$B,2,1),(GW7-0.05)))</f>
        <v/>
      </c>
      <c r="GY7" s="172">
        <f>MIN(1,MAX(VLOOKUP(($AJ7-$AI7-$AH7-$AG7-$AF7-$AE7*(1+GY$3))/$AJ7,'Технический лист'!$A:$B,2,1),(GX7-0.05)))</f>
        <v/>
      </c>
      <c r="GZ7" s="172">
        <f>MIN(1,MAX(VLOOKUP(($AJ7-$AI7-$AH7-$AG7-$AF7-$AE7*(1+GZ$3))/$AJ7,'Технический лист'!$A:$B,2,1),(GY7-0.05)))</f>
        <v/>
      </c>
      <c r="HA7" s="172">
        <f>MIN(1,MAX(VLOOKUP(($AJ7-$AI7-$AH7-$AG7-$AF7-$AE7*(1+HA$3))/$AJ7,'Технический лист'!$A:$B,2,1),(GZ7-0.05)))</f>
        <v/>
      </c>
      <c r="HB7" s="172">
        <f>MIN(1,MAX(VLOOKUP(($AJ7-$AI7-$AH7-$AG7-$AF7-$AE7*(1+HB$3))/$AJ7,'Технический лист'!$A:$B,2,1),(HA7-0.05)))</f>
        <v/>
      </c>
      <c r="HC7" s="172">
        <f>MIN(1,MAX(VLOOKUP(($AJ7-$AI7-$AH7-$AG7-$AF7-$AE7*(1+HC$3))/$AJ7,'Технический лист'!$A:$B,2,1),(HB7-0.05)))</f>
        <v/>
      </c>
      <c r="HD7" s="172">
        <f>MIN(1,MAX(VLOOKUP(($AJ7-$AI7-$AH7-$AG7-$AF7-$AE7*(1+HD$3))/$AJ7,'Технический лист'!$A:$B,2,1),(HC7-0.05)))</f>
        <v/>
      </c>
      <c r="HE7" s="172">
        <f>MIN(1,MAX(VLOOKUP(($AJ7-$AI7-$AH7-$AG7-$AF7-$AE7*(1+HE$3))/$AJ7,'Технический лист'!$A:$B,2,1),(HD7-0.05)))</f>
        <v/>
      </c>
      <c r="HF7" s="172">
        <f>MIN(1,MAX(VLOOKUP(($AJ7-$AI7-$AH7-$AG7-$AF7-$AE7*(1+HF$3))/$AJ7,'Технический лист'!$A:$B,2,1),(HE7-0.05)))</f>
        <v/>
      </c>
      <c r="HG7" s="172">
        <f>MIN(1,MAX(VLOOKUP(($AJ7-$AI7-$AH7-$AG7-$AF7-$AE7*(1+HG$3))/$AJ7,'Технический лист'!$A:$B,2,1),(HF7-0.05)))</f>
        <v/>
      </c>
      <c r="HH7" s="172">
        <f>MIN(1,MAX(VLOOKUP(($AJ7-$AI7-$AH7-$AG7-$AF7-$AE7*(1+HH$3))/$AJ7,'Технический лист'!$A:$B,2,1),(HG7-0.05)))</f>
        <v/>
      </c>
      <c r="HI7" s="172">
        <f>MIN(1,MAX(VLOOKUP(($AJ7-$AI7-$AH7-$AG7-$AF7-$AE7*(1+HI$3))/$AJ7,'Технический лист'!$A:$B,2,1),(HH7-0.05)))</f>
        <v/>
      </c>
      <c r="HJ7" s="172">
        <f>MIN(1,MAX(VLOOKUP(($AJ7-$AI7-$AH7-$AG7-$AF7-$AE7*(1+HJ$3))/$AJ7,'Технический лист'!$A:$B,2,1),(HI7-0.05)))</f>
        <v/>
      </c>
      <c r="HK7" s="172">
        <f>MIN(1,MAX(VLOOKUP(($AJ7-$AI7-$AH7-$AG7-$AF7-$AE7*(1+HK$3))/$AJ7,'Технический лист'!$A:$B,2,1),(HJ7-0.05)))</f>
        <v/>
      </c>
      <c r="HL7" s="172">
        <f>MIN(1,MAX(VLOOKUP(($AJ7-$AI7-$AH7-$AG7-$AF7-$AE7*(1+HL$3))/$AJ7,'Технический лист'!$A:$B,2,1),(HK7-0.05)))</f>
        <v/>
      </c>
      <c r="HM7" s="172">
        <f>MIN(1,MAX(VLOOKUP(($AJ7-$AI7-$AH7-$AG7-$AF7-$AE7*(1+HM$3))/$AJ7,'Технический лист'!$A:$B,2,1),(HL7-0.05)))</f>
        <v/>
      </c>
      <c r="HN7" s="172">
        <f>MIN(1,MAX(VLOOKUP(($AJ7-$AI7-$AH7-$AG7-$AF7-$AE7*(1+HN$3))/$AJ7,'Технический лист'!$A:$B,2,1),(HM7-0.05)))</f>
        <v/>
      </c>
      <c r="HO7" s="172">
        <f>MIN(1,MAX(VLOOKUP(($AJ7-$AI7-$AH7-$AG7-$AF7-$AE7*(1+HO$3))/$AJ7,'Технический лист'!$A:$B,2,1),(HN7-0.05)))</f>
        <v/>
      </c>
      <c r="HP7" s="172">
        <f>MIN(1,MAX(VLOOKUP(($AJ7-$AI7-$AH7-$AG7-$AF7-$AE7*(1+HP$3))/$AJ7,'Технический лист'!$A:$B,2,1),(HO7-0.05)))</f>
        <v/>
      </c>
      <c r="HQ7" s="172">
        <f>MIN(1,MAX(VLOOKUP(($AJ7-$AI7-$AH7-$AG7-$AF7-$AE7*(1+HQ$3))/$AJ7,'Технический лист'!$A:$B,2,1),(HP7-0.05)))</f>
        <v/>
      </c>
      <c r="HR7" s="172">
        <f>MIN(1,MAX(VLOOKUP(($AJ7-$AI7-$AH7-$AG7-$AF7-$AE7*(1+HR$3))/$AJ7,'Технический лист'!$A:$B,2,1),(HQ7-0.05)))</f>
        <v/>
      </c>
      <c r="HS7" s="172">
        <f>MIN(1,MAX(VLOOKUP(($AJ7-$AI7-$AH7-$AG7-$AF7-$AE7*(1+HS$3))/$AJ7,'Технический лист'!$A:$B,2,1),(HR7-0.05)))</f>
        <v/>
      </c>
      <c r="HT7" s="172">
        <f>MIN(1,MAX(VLOOKUP(($AJ7-$AI7-$AH7-$AG7-$AF7-$AE7*(1+HT$3))/$AJ7,'Технический лист'!$A:$B,2,1),(HS7-0.05)))</f>
        <v/>
      </c>
      <c r="HU7" s="172">
        <f>MIN(1,MAX(VLOOKUP(($AJ7-$AI7-$AH7-$AG7-$AF7-$AE7*(1+HU$3))/$AJ7,'Технический лист'!$A:$B,2,1),(HT7-0.05)))</f>
        <v/>
      </c>
      <c r="HV7" s="172">
        <f>MIN(1,MAX(VLOOKUP(($AJ7-$AI7-$AH7-$AG7-$AF7-$AE7*(1+HV$3))/$AJ7,'Технический лист'!$A:$B,2,1),(HU7-0.05)))</f>
        <v/>
      </c>
      <c r="HW7" s="172">
        <f>MIN(1,MAX(VLOOKUP(($AJ7-$AI7-$AH7-$AG7-$AF7-$AE7*(1+HW$3))/$AJ7,'Технический лист'!$A:$B,2,1),(HV7-0.05)))</f>
        <v/>
      </c>
      <c r="HX7" s="172">
        <f>MIN(1,MAX(VLOOKUP(($AJ7-$AI7-$AH7-$AG7-$AF7-$AE7*(1+HX$3))/$AJ7,'Технический лист'!$A:$B,2,1),(HW7-0.05)))</f>
        <v/>
      </c>
      <c r="HY7" s="172">
        <f>MIN(1,MAX(VLOOKUP(($AJ7-$AI7-$AH7-$AG7-$AF7-$AE7*(1+HY$3))/$AJ7,'Технический лист'!$A:$B,2,1),(HX7-0.05)))</f>
        <v/>
      </c>
      <c r="HZ7" s="172">
        <f>MIN(1,MAX(VLOOKUP(($AJ7-$AI7-$AH7-$AG7-$AF7-$AE7*(1+HZ$3))/$AJ7,'Технический лист'!$A:$B,2,1),(HY7-0.05)))</f>
        <v/>
      </c>
      <c r="IA7" s="172">
        <f>MIN(1,MAX(VLOOKUP(($AJ7-$AI7-$AH7-$AG7-$AF7-$AE7*(1+IA$3))/$AJ7,'Технический лист'!$A:$B,2,1),(HZ7-0.05)))</f>
        <v/>
      </c>
      <c r="IB7" s="172">
        <f>MIN(1,MAX(VLOOKUP(($AJ7-$AI7-$AH7-$AG7-$AF7-$AE7*(1+IB$3))/$AJ7,'Технический лист'!$A:$B,2,1),(IA7-0.05)))</f>
        <v/>
      </c>
      <c r="IC7" s="172">
        <f>MIN(1,MAX(VLOOKUP(($AJ7-$AI7-$AH7-$AG7-$AF7-$AE7*(1+IC$3))/$AJ7,'Технический лист'!$A:$B,2,1),(IB7-0.05)))</f>
        <v/>
      </c>
      <c r="ID7" s="172">
        <f>MIN(1,MAX(VLOOKUP(($AJ7-$AI7-$AH7-$AG7-$AF7-$AE7*(1+ID$3))/$AJ7,'Технический лист'!$A:$B,2,1),(IC7-0.05)))</f>
        <v/>
      </c>
      <c r="IE7" s="172">
        <f>MIN(1,MAX(VLOOKUP(($AJ7-$AI7-$AH7-$AG7-$AF7-$AE7*(1+IE$3))/$AJ7,'Технический лист'!$A:$B,2,1),(ID7-0.05)))</f>
        <v/>
      </c>
      <c r="IF7" s="172">
        <f>MIN(1,MAX(VLOOKUP(($AJ7-$AI7-$AH7-$AG7-$AF7-$AE7*(1+IF$3))/$AJ7,'Технический лист'!$A:$B,2,1),(IE7-0.05)))</f>
        <v/>
      </c>
      <c r="IG7" s="172">
        <f>MIN(1,MAX(VLOOKUP(($AJ7-$AI7-$AH7-$AG7-$AF7-$AE7*(1+IG$3))/$AJ7,'Технический лист'!$A:$B,2,1),(IF7-0.05)))</f>
        <v/>
      </c>
      <c r="IH7" s="172">
        <f>MIN(1,MAX(VLOOKUP(($AJ7-$AI7-$AH7-$AG7-$AF7-$AE7*(1+IH$3))/$AJ7,'Технический лист'!$A:$B,2,1),(IG7-0.05)))</f>
        <v/>
      </c>
      <c r="II7" s="172">
        <f>MIN(1,MAX(VLOOKUP(($AJ7-$AI7-$AH7-$AG7-$AF7-$AE7*(1+II$3))/$AJ7,'Технический лист'!$A:$B,2,1),(IH7-0.05)))</f>
        <v/>
      </c>
      <c r="IJ7" s="172">
        <f>MIN(1,MAX(VLOOKUP(($AJ7-$AI7-$AH7-$AG7-$AF7-$AE7*(1+IJ$3))/$AJ7,'Технический лист'!$A:$B,2,1),(II7-0.05)))</f>
        <v/>
      </c>
      <c r="IK7" s="172">
        <f>MIN(1,MAX(VLOOKUP(($AJ7-$AI7-$AH7-$AG7-$AF7-$AE7*(1+IK$3))/$AJ7,'Технический лист'!$A:$B,2,1),(IJ7-0.05)))</f>
        <v/>
      </c>
      <c r="IL7" s="172">
        <f>MIN(1,MAX(VLOOKUP(($AJ7-$AI7-$AH7-$AG7-$AF7-$AE7*(1+IL$3))/$AJ7,'Технический лист'!$A:$B,2,1),(IK7-0.05)))</f>
        <v/>
      </c>
      <c r="IM7" s="172">
        <f>MIN(1,MAX(VLOOKUP(($AJ7-$AI7-$AH7-$AG7-$AF7-$AE7*(1+IM$3))/$AJ7,'Технический лист'!$A:$B,2,1),(IL7-0.05)))</f>
        <v/>
      </c>
      <c r="IN7" s="172">
        <f>MIN(1,MAX(VLOOKUP(($AJ7-$AI7-$AH7-$AG7-$AF7-$AE7*(1+IN$3))/$AJ7,'Технический лист'!$A:$B,2,1),(IM7-0.05)))</f>
        <v/>
      </c>
      <c r="IO7" s="172">
        <f>MIN(1,MAX(VLOOKUP(($AJ7-$AI7-$AH7-$AG7-$AF7-$AE7*(1+IO$3))/$AJ7,'Технический лист'!$A:$B,2,1),(IN7-0.05)))</f>
        <v/>
      </c>
      <c r="IP7" s="172">
        <f>MIN(1,MAX(VLOOKUP(($AJ7-$AI7-$AH7-$AG7-$AF7-$AE7*(1+IP$3))/$AJ7,'Технический лист'!$A:$B,2,1),(IO7-0.05)))</f>
        <v/>
      </c>
      <c r="IQ7" s="172">
        <f>MIN(1,MAX(VLOOKUP(($AJ7-$AI7-$AH7-$AG7-$AF7-$AE7*(1+IQ$3))/$AJ7,'Технический лист'!$A:$B,2,1),(IP7-0.05)))</f>
        <v/>
      </c>
      <c r="IR7" s="172">
        <f>MIN(1,MAX(VLOOKUP(($AJ7-$AI7-$AH7-$AG7-$AF7-$AE7*(1+IR$3))/$AJ7,'Технический лист'!$A:$B,2,1),(IQ7-0.05)))</f>
        <v/>
      </c>
    </row>
    <row r="8">
      <c r="A8" s="89" t="inlineStr">
        <is>
          <t>ЧМ (сырье)</t>
        </is>
      </c>
      <c r="B8" s="90" t="n">
        <v>2</v>
      </c>
      <c r="C8" s="5" t="inlineStr">
        <is>
          <t>Кокс каменноугольный</t>
        </is>
      </c>
      <c r="D8" s="91" t="n">
        <v>17108</v>
      </c>
      <c r="E8" s="91" t="inlineStr">
        <is>
          <t xml:space="preserve">Кокс литейный КЛ-3 </t>
        </is>
      </c>
      <c r="F8" s="92" t="inlineStr">
        <is>
          <t>КОКС КАМЕННОУГОЛЬНЫЙ</t>
        </is>
      </c>
      <c r="G8" s="91" t="inlineStr">
        <is>
          <t>СВР</t>
        </is>
      </c>
      <c r="H8" s="91" t="inlineStr">
        <is>
          <t>ЮУР</t>
        </is>
      </c>
      <c r="I8" s="91" t="inlineStr">
        <is>
          <t>СМЫЧКА</t>
        </is>
      </c>
      <c r="J8" s="91" t="inlineStr">
        <is>
          <t>КАРТ1-ЭК-РОС</t>
        </is>
      </c>
      <c r="K8" s="91" t="n">
        <v>715</v>
      </c>
      <c r="L8" s="91" t="inlineStr">
        <is>
          <t>Полувагоны</t>
        </is>
      </c>
      <c r="M8" s="91" t="inlineStr">
        <is>
          <t>Экспорт</t>
        </is>
      </c>
      <c r="N8" s="91" t="inlineStr">
        <is>
          <t>вагонная</t>
        </is>
      </c>
      <c r="O8" s="91" t="inlineStr">
        <is>
          <t xml:space="preserve">Южное </t>
        </is>
      </c>
      <c r="P8" s="89" t="inlineStr">
        <is>
          <t>'000080294056</t>
        </is>
      </c>
      <c r="Q8" s="91" t="inlineStr">
        <is>
          <t>ООО "ЕвразХолдинг"</t>
        </is>
      </c>
      <c r="R8" s="91" t="inlineStr">
        <is>
          <t>ООО "ЕвразХолдинг"</t>
        </is>
      </c>
      <c r="S8" s="87" t="n">
        <v>15408</v>
      </c>
      <c r="T8" s="87" t="n">
        <v>11018927</v>
      </c>
      <c r="U8" s="88" t="n">
        <v>254</v>
      </c>
      <c r="V8" s="88" t="n">
        <v>0</v>
      </c>
      <c r="W8" s="87" t="n">
        <v>11679155</v>
      </c>
      <c r="X8" s="112" t="n">
        <v>56</v>
      </c>
      <c r="Y8" s="112" t="inlineStr">
        <is>
          <t>групповая</t>
        </is>
      </c>
      <c r="Z8" s="113" t="n">
        <v>5</v>
      </c>
      <c r="AA8" s="113" t="n">
        <v>3</v>
      </c>
      <c r="AB8" s="113" t="n">
        <v>4</v>
      </c>
      <c r="AC8" s="161" t="n">
        <v>889.96</v>
      </c>
      <c r="AD8" s="161">
        <f>AE8-AC8</f>
        <v/>
      </c>
      <c r="AE8" s="161" t="n">
        <v>1157.75</v>
      </c>
      <c r="AF8" s="162">
        <f>(Z8+AA8+AB8)*'Ставки аренды'!$B$3/X8</f>
        <v/>
      </c>
      <c r="AG8" s="163" t="n">
        <v>0</v>
      </c>
      <c r="AH8" s="164" t="n">
        <v>0</v>
      </c>
      <c r="AI8" s="165">
        <f>0.71*AVERAGE(AJ7,AJ8)</f>
        <v/>
      </c>
      <c r="AJ8" s="166">
        <f>Цены!$C$8*'Курсы валют'!$B$2</f>
        <v/>
      </c>
      <c r="AK8" s="164">
        <f>AJ8/Цены!$B$1</f>
        <v/>
      </c>
      <c r="AL8" s="164">
        <f>AE8+AF8+AG8</f>
        <v/>
      </c>
      <c r="AM8" s="164">
        <f>AJ8-AL8</f>
        <v/>
      </c>
      <c r="AN8" s="164">
        <f>AI8+AH8+AG8+AF8+AE8</f>
        <v/>
      </c>
      <c r="AO8" s="167">
        <f>(AJ8-AN8)/AJ8</f>
        <v/>
      </c>
      <c r="AP8" s="168">
        <f>AL8/AJ8</f>
        <v/>
      </c>
      <c r="AQ8" s="168">
        <f>AE8/AJ8</f>
        <v/>
      </c>
      <c r="AR8" s="168">
        <f>AE8/AL8</f>
        <v/>
      </c>
      <c r="AS8" s="169" t="n">
        <v>1</v>
      </c>
      <c r="AT8" s="121">
        <f>S8*AS8</f>
        <v/>
      </c>
      <c r="AU8" s="83" t="n">
        <v>0.85</v>
      </c>
      <c r="AV8" s="170">
        <f>(AJ8-(AE8*(1+$IS$2)+AF8+AG8+AH8+AI8))/AJ8</f>
        <v/>
      </c>
      <c r="AW8" s="171">
        <f>(AE8*(1+$IS$2)+AF8+AG8)/AJ8</f>
        <v/>
      </c>
      <c r="AX8" s="171">
        <f>(AE8*(1+$IS$2))/AJ8</f>
        <v/>
      </c>
      <c r="AY8" s="171">
        <f>(AE8*(1+$IS$2))/(AE8*(1+$IS$2)+AF8+AG8)</f>
        <v/>
      </c>
      <c r="AZ8" s="172">
        <f>MIN(IF($AU8=100%,1,1+VLOOKUP(($AJ8-$AI8-$AH8-$AG8-$AF8-$AE8*(1+AZ$3))/$AJ8,'Технический лист'!$A:$B,2,1)-VLOOKUP($AO8,'Технический лист'!$A:$B,2,1)),1+(1-$AU8))</f>
        <v/>
      </c>
      <c r="BA8" s="172">
        <f>MIN(IF($AU8=100%,1,1+VLOOKUP(($AJ8-$AI8-$AH8-$AG8-$AF8-$AE8*(1+BA$3))/$AJ8,'Технический лист'!$A:$B,2,1)-VLOOKUP($AO8,'Технический лист'!$A:$B,2,1)),1+(1-$AU8))</f>
        <v/>
      </c>
      <c r="BB8" s="172">
        <f>MIN(IF($AU8=100%,1,1+VLOOKUP(($AJ8-$AI8-$AH8-$AG8-$AF8-$AE8*(1+BB$3))/$AJ8,'Технический лист'!$A:$B,2,1)-VLOOKUP($AO8,'Технический лист'!$A:$B,2,1)),1+(1-$AU8))</f>
        <v/>
      </c>
      <c r="BC8" s="172">
        <f>MIN(IF($AU8=100%,1,1+VLOOKUP(($AJ8-$AI8-$AH8-$AG8-$AF8-$AE8*(1+BC$3))/$AJ8,'Технический лист'!$A:$B,2,1)-VLOOKUP($AO8,'Технический лист'!$A:$B,2,1)),1+(1-$AU8))</f>
        <v/>
      </c>
      <c r="BD8" s="172">
        <f>MIN(IF($AU8=100%,1,1+VLOOKUP(($AJ8-$AI8-$AH8-$AG8-$AF8-$AE8*(1+BD$3))/$AJ8,'Технический лист'!$A:$B,2,1)-VLOOKUP($AO8,'Технический лист'!$A:$B,2,1)),1+(1-$AU8))</f>
        <v/>
      </c>
      <c r="BE8" s="172">
        <f>MIN(IF($AU8=100%,1,1+VLOOKUP(($AJ8-$AI8-$AH8-$AG8-$AF8-$AE8*(1+BE$3))/$AJ8,'Технический лист'!$A:$B,2,1)-VLOOKUP($AO8,'Технический лист'!$A:$B,2,1)),1+(1-$AU8))</f>
        <v/>
      </c>
      <c r="BF8" s="172">
        <f>MIN(IF($AU8=100%,1,1+VLOOKUP(($AJ8-$AI8-$AH8-$AG8-$AF8-$AE8*(1+BF$3))/$AJ8,'Технический лист'!$A:$B,2,1)-VLOOKUP($AO8,'Технический лист'!$A:$B,2,1)),1+(1-$AU8))</f>
        <v/>
      </c>
      <c r="BG8" s="172">
        <f>MIN(IF($AU8=100%,1,1+VLOOKUP(($AJ8-$AI8-$AH8-$AG8-$AF8-$AE8*(1+BG$3))/$AJ8,'Технический лист'!$A:$B,2,1)-VLOOKUP($AO8,'Технический лист'!$A:$B,2,1)),1+(1-$AU8))</f>
        <v/>
      </c>
      <c r="BH8" s="172">
        <f>MIN(IF($AU8=100%,1,1+VLOOKUP(($AJ8-$AI8-$AH8-$AG8-$AF8-$AE8*(1+BH$3))/$AJ8,'Технический лист'!$A:$B,2,1)-VLOOKUP($AO8,'Технический лист'!$A:$B,2,1)),1+(1-$AU8))</f>
        <v/>
      </c>
      <c r="BI8" s="172">
        <f>MIN(IF($AU8=100%,1,1+VLOOKUP(($AJ8-$AI8-$AH8-$AG8-$AF8-$AE8*(1+BI$3))/$AJ8,'Технический лист'!$A:$B,2,1)-VLOOKUP($AO8,'Технический лист'!$A:$B,2,1)),1+(1-$AU8))</f>
        <v/>
      </c>
      <c r="BJ8" s="172">
        <f>MIN(IF($AU8=100%,1,1+VLOOKUP(($AJ8-$AI8-$AH8-$AG8-$AF8-$AE8*(1+BJ$3))/$AJ8,'Технический лист'!$A:$B,2,1)-VLOOKUP($AO8,'Технический лист'!$A:$B,2,1)),1+(1-$AU8))</f>
        <v/>
      </c>
      <c r="BK8" s="172">
        <f>MIN(IF($AU8=100%,1,1+VLOOKUP(($AJ8-$AI8-$AH8-$AG8-$AF8-$AE8*(1+BK$3))/$AJ8,'Технический лист'!$A:$B,2,1)-VLOOKUP($AO8,'Технический лист'!$A:$B,2,1)),1+(1-$AU8))</f>
        <v/>
      </c>
      <c r="BL8" s="172">
        <f>MIN(IF($AU8=100%,1,1+VLOOKUP(($AJ8-$AI8-$AH8-$AG8-$AF8-$AE8*(1+BL$3))/$AJ8,'Технический лист'!$A:$B,2,1)-VLOOKUP($AO8,'Технический лист'!$A:$B,2,1)),1+(1-$AU8))</f>
        <v/>
      </c>
      <c r="BM8" s="172">
        <f>MIN(IF($AU8=100%,1,1+VLOOKUP(($AJ8-$AI8-$AH8-$AG8-$AF8-$AE8*(1+BM$3))/$AJ8,'Технический лист'!$A:$B,2,1)-VLOOKUP($AO8,'Технический лист'!$A:$B,2,1)),1+(1-$AU8))</f>
        <v/>
      </c>
      <c r="BN8" s="172">
        <f>MIN(IF($AU8=100%,1,1+VLOOKUP(($AJ8-$AI8-$AH8-$AG8-$AF8-$AE8*(1+BN$3))/$AJ8,'Технический лист'!$A:$B,2,1)-VLOOKUP($AO8,'Технический лист'!$A:$B,2,1)),1+(1-$AU8))</f>
        <v/>
      </c>
      <c r="BO8" s="172">
        <f>MIN(IF($AU8=100%,1,1+VLOOKUP(($AJ8-$AI8-$AH8-$AG8-$AF8-$AE8*(1+BO$3))/$AJ8,'Технический лист'!$A:$B,2,1)-VLOOKUP($AO8,'Технический лист'!$A:$B,2,1)),1+(1-$AU8))</f>
        <v/>
      </c>
      <c r="BP8" s="172">
        <f>MIN(IF($AU8=100%,1,1+VLOOKUP(($AJ8-$AI8-$AH8-$AG8-$AF8-$AE8*(1+BP$3))/$AJ8,'Технический лист'!$A:$B,2,1)-VLOOKUP($AO8,'Технический лист'!$A:$B,2,1)),1+(1-$AU8))</f>
        <v/>
      </c>
      <c r="BQ8" s="172">
        <f>MIN(IF($AU8=100%,1,1+VLOOKUP(($AJ8-$AI8-$AH8-$AG8-$AF8-$AE8*(1+BQ$3))/$AJ8,'Технический лист'!$A:$B,2,1)-VLOOKUP($AO8,'Технический лист'!$A:$B,2,1)),1+(1-$AU8))</f>
        <v/>
      </c>
      <c r="BR8" s="172">
        <f>MIN(IF($AU8=100%,1,1+VLOOKUP(($AJ8-$AI8-$AH8-$AG8-$AF8-$AE8*(1+BR$3))/$AJ8,'Технический лист'!$A:$B,2,1)-VLOOKUP($AO8,'Технический лист'!$A:$B,2,1)),1+(1-$AU8))</f>
        <v/>
      </c>
      <c r="BS8" s="172">
        <f>MIN(IF($AU8=100%,1,1+VLOOKUP(($AJ8-$AI8-$AH8-$AG8-$AF8-$AE8*(1+BS$3))/$AJ8,'Технический лист'!$A:$B,2,1)-VLOOKUP($AO8,'Технический лист'!$A:$B,2,1)),1+(1-$AU8))</f>
        <v/>
      </c>
      <c r="BT8" s="172">
        <f>MIN(IF($AU8=100%,1,1+VLOOKUP(($AJ8-$AI8-$AH8-$AG8-$AF8-$AE8*(1+BT$3))/$AJ8,'Технический лист'!$A:$B,2,1)-VLOOKUP($AO8,'Технический лист'!$A:$B,2,1)),1+(1-$AU8))</f>
        <v/>
      </c>
      <c r="BU8" s="172">
        <f>MIN(IF($AU8=100%,1,1+VLOOKUP(($AJ8-$AI8-$AH8-$AG8-$AF8-$AE8*(1+BU$3))/$AJ8,'Технический лист'!$A:$B,2,1)-VLOOKUP($AO8,'Технический лист'!$A:$B,2,1)),1+(1-$AU8))</f>
        <v/>
      </c>
      <c r="BV8" s="172">
        <f>MIN(IF($AU8=100%,1,1+VLOOKUP(($AJ8-$AI8-$AH8-$AG8-$AF8-$AE8*(1+BV$3))/$AJ8,'Технический лист'!$A:$B,2,1)-VLOOKUP($AO8,'Технический лист'!$A:$B,2,1)),1+(1-$AU8))</f>
        <v/>
      </c>
      <c r="BW8" s="172">
        <f>MIN(IF($AU8=100%,1,1+VLOOKUP(($AJ8-$AI8-$AH8-$AG8-$AF8-$AE8*(1+BW$3))/$AJ8,'Технический лист'!$A:$B,2,1)-VLOOKUP($AO8,'Технический лист'!$A:$B,2,1)),1+(1-$AU8))</f>
        <v/>
      </c>
      <c r="BX8" s="172">
        <f>MIN(IF($AU8=100%,1,1+VLOOKUP(($AJ8-$AI8-$AH8-$AG8-$AF8-$AE8*(1+BX$3))/$AJ8,'Технический лист'!$A:$B,2,1)-VLOOKUP($AO8,'Технический лист'!$A:$B,2,1)),1+(1-$AU8))</f>
        <v/>
      </c>
      <c r="BY8" s="172">
        <f>MIN(IF($AU8=100%,1,1+VLOOKUP(($AJ8-$AI8-$AH8-$AG8-$AF8-$AE8*(1+BY$3))/$AJ8,'Технический лист'!$A:$B,2,1)-VLOOKUP($AO8,'Технический лист'!$A:$B,2,1)),1+(1-$AU8))</f>
        <v/>
      </c>
      <c r="BZ8" s="172">
        <f>MIN(IF($AU8=100%,1,1+VLOOKUP(($AJ8-$AI8-$AH8-$AG8-$AF8-$AE8*(1+BZ$3))/$AJ8,'Технический лист'!$A:$B,2,1)-VLOOKUP($AO8,'Технический лист'!$A:$B,2,1)),1+(1-$AU8))</f>
        <v/>
      </c>
      <c r="CA8" s="172">
        <f>MIN(IF($AU8=100%,1,1+VLOOKUP(($AJ8-$AI8-$AH8-$AG8-$AF8-$AE8*(1+CA$3))/$AJ8,'Технический лист'!$A:$B,2,1)-VLOOKUP($AO8,'Технический лист'!$A:$B,2,1)),1+(1-$AU8))</f>
        <v/>
      </c>
      <c r="CB8" s="172">
        <f>MIN(IF($AU8=100%,1,1+VLOOKUP(($AJ8-$AI8-$AH8-$AG8-$AF8-$AE8*(1+CB$3))/$AJ8,'Технический лист'!$A:$B,2,1)-VLOOKUP($AO8,'Технический лист'!$A:$B,2,1)),1+(1-$AU8))</f>
        <v/>
      </c>
      <c r="CC8" s="172">
        <f>MIN(IF($AU8=100%,1,1+VLOOKUP(($AJ8-$AI8-$AH8-$AG8-$AF8-$AE8*(1+CC$3))/$AJ8,'Технический лист'!$A:$B,2,1)-VLOOKUP($AO8,'Технический лист'!$A:$B,2,1)),1+(1-$AU8))</f>
        <v/>
      </c>
      <c r="CD8" s="172">
        <f>MIN(IF($AU8=100%,1,1+VLOOKUP(($AJ8-$AI8-$AH8-$AG8-$AF8-$AE8*(1+CD$3))/$AJ8,'Технический лист'!$A:$B,2,1)-VLOOKUP($AO8,'Технический лист'!$A:$B,2,1)),1+(1-$AU8))</f>
        <v/>
      </c>
      <c r="CE8" s="172">
        <f>MIN(IF($AU8=100%,1,1+VLOOKUP(($AJ8-$AI8-$AH8-$AG8-$AF8-$AE8*(1+CE$3))/$AJ8,'Технический лист'!$A:$B,2,1)-VLOOKUP($AO8,'Технический лист'!$A:$B,2,1)),1+(1-$AU8))</f>
        <v/>
      </c>
      <c r="CF8" s="172">
        <f>MIN(IF($AU8=100%,1,1+VLOOKUP(($AJ8-$AI8-$AH8-$AG8-$AF8-$AE8*(1+CF$3))/$AJ8,'Технический лист'!$A:$B,2,1)-VLOOKUP($AO8,'Технический лист'!$A:$B,2,1)),1+(1-$AU8))</f>
        <v/>
      </c>
      <c r="CG8" s="172">
        <f>MIN(IF($AU8=100%,1,1+VLOOKUP(($AJ8-$AI8-$AH8-$AG8-$AF8-$AE8*(1+CG$3))/$AJ8,'Технический лист'!$A:$B,2,1)-VLOOKUP($AO8,'Технический лист'!$A:$B,2,1)),1+(1-$AU8))</f>
        <v/>
      </c>
      <c r="CH8" s="172">
        <f>MIN(IF($AU8=100%,1,1+VLOOKUP(($AJ8-$AI8-$AH8-$AG8-$AF8-$AE8*(1+CH$3))/$AJ8,'Технический лист'!$A:$B,2,1)-VLOOKUP($AO8,'Технический лист'!$A:$B,2,1)),1+(1-$AU8))</f>
        <v/>
      </c>
      <c r="CI8" s="172">
        <f>MIN(IF($AU8=100%,1,1+VLOOKUP(($AJ8-$AI8-$AH8-$AG8-$AF8-$AE8*(1+CI$3))/$AJ8,'Технический лист'!$A:$B,2,1)-VLOOKUP($AO8,'Технический лист'!$A:$B,2,1)),1+(1-$AU8))</f>
        <v/>
      </c>
      <c r="CJ8" s="172">
        <f>MIN(IF($AU8=100%,1,1+VLOOKUP(($AJ8-$AI8-$AH8-$AG8-$AF8-$AE8*(1+CJ$3))/$AJ8,'Технический лист'!$A:$B,2,1)-VLOOKUP($AO8,'Технический лист'!$A:$B,2,1)),1+(1-$AU8))</f>
        <v/>
      </c>
      <c r="CK8" s="172">
        <f>MIN(IF($AU8=100%,1,1+VLOOKUP(($AJ8-$AI8-$AH8-$AG8-$AF8-$AE8*(1+CK$3))/$AJ8,'Технический лист'!$A:$B,2,1)-VLOOKUP($AO8,'Технический лист'!$A:$B,2,1)),1+(1-$AU8))</f>
        <v/>
      </c>
      <c r="CL8" s="172">
        <f>MIN(IF($AU8=100%,1,1+VLOOKUP(($AJ8-$AI8-$AH8-$AG8-$AF8-$AE8*(1+CL$3))/$AJ8,'Технический лист'!$A:$B,2,1)-VLOOKUP($AO8,'Технический лист'!$A:$B,2,1)),1+(1-$AU8))</f>
        <v/>
      </c>
      <c r="CM8" s="172">
        <f>MIN(IF($AU8=100%,1,1+VLOOKUP(($AJ8-$AI8-$AH8-$AG8-$AF8-$AE8*(1+CM$3))/$AJ8,'Технический лист'!$A:$B,2,1)-VLOOKUP($AO8,'Технический лист'!$A:$B,2,1)),1+(1-$AU8))</f>
        <v/>
      </c>
      <c r="CN8" s="172">
        <f>MIN(IF($AU8=100%,1,1+VLOOKUP(($AJ8-$AI8-$AH8-$AG8-$AF8-$AE8*(1+CN$3))/$AJ8,'Технический лист'!$A:$B,2,1)-VLOOKUP($AO8,'Технический лист'!$A:$B,2,1)),1+(1-$AU8))</f>
        <v/>
      </c>
      <c r="CO8" s="172">
        <f>MIN(IF($AU8=100%,1,1+VLOOKUP(($AJ8-$AI8-$AH8-$AG8-$AF8-$AE8*(1+CO$3))/$AJ8,'Технический лист'!$A:$B,2,1)-VLOOKUP($AO8,'Технический лист'!$A:$B,2,1)),1+(1-$AU8))</f>
        <v/>
      </c>
      <c r="CP8" s="172">
        <f>MIN(IF($AU8=100%,1,1+VLOOKUP(($AJ8-$AI8-$AH8-$AG8-$AF8-$AE8*(1+CP$3))/$AJ8,'Технический лист'!$A:$B,2,1)-VLOOKUP($AO8,'Технический лист'!$A:$B,2,1)),1+(1-$AU8))</f>
        <v/>
      </c>
      <c r="CQ8" s="172">
        <f>MIN(IF($AU8=100%,1,1+VLOOKUP(($AJ8-$AI8-$AH8-$AG8-$AF8-$AE8*(1+CQ$3))/$AJ8,'Технический лист'!$A:$B,2,1)-VLOOKUP($AO8,'Технический лист'!$A:$B,2,1)),1+(1-$AU8))</f>
        <v/>
      </c>
      <c r="CR8" s="172">
        <f>MIN(IF($AU8=100%,1,1+VLOOKUP(($AJ8-$AI8-$AH8-$AG8-$AF8-$AE8*(1+CR$3))/$AJ8,'Технический лист'!$A:$B,2,1)-VLOOKUP($AO8,'Технический лист'!$A:$B,2,1)),1+(1-$AU8))</f>
        <v/>
      </c>
      <c r="CS8" s="172">
        <f>MIN(IF($AU8=100%,1,1+VLOOKUP(($AJ8-$AI8-$AH8-$AG8-$AF8-$AE8*(1+CS$3))/$AJ8,'Технический лист'!$A:$B,2,1)-VLOOKUP($AO8,'Технический лист'!$A:$B,2,1)),1+(1-$AU8))</f>
        <v/>
      </c>
      <c r="CT8" s="172">
        <f>MIN(IF($AU8=100%,1,1+VLOOKUP(($AJ8-$AI8-$AH8-$AG8-$AF8-$AE8*(1+CT$3))/$AJ8,'Технический лист'!$A:$B,2,1)-VLOOKUP($AO8,'Технический лист'!$A:$B,2,1)),1+(1-$AU8))</f>
        <v/>
      </c>
      <c r="CU8" s="172">
        <f>MIN(IF($AU8=100%,1,1+VLOOKUP(($AJ8-$AI8-$AH8-$AG8-$AF8-$AE8*(1+CU$3))/$AJ8,'Технический лист'!$A:$B,2,1)-VLOOKUP($AO8,'Технический лист'!$A:$B,2,1)),1+(1-$AU8))</f>
        <v/>
      </c>
      <c r="CV8" s="172">
        <f>MIN(IF($AU8=100%,1,1+VLOOKUP(($AJ8-$AI8-$AH8-$AG8-$AF8-$AE8*(1+CV$3))/$AJ8,'Технический лист'!$A:$B,2,1)-VLOOKUP($AO8,'Технический лист'!$A:$B,2,1)),1+(1-$AU8))</f>
        <v/>
      </c>
      <c r="CW8" s="172">
        <f>MIN(IF($AU8=100%,1,1+VLOOKUP(($AJ8-$AI8-$AH8-$AG8-$AF8-$AE8*(1+CW$3))/$AJ8,'Технический лист'!$A:$B,2,1)-VLOOKUP($AO8,'Технический лист'!$A:$B,2,1)),1+(1-$AU8))</f>
        <v/>
      </c>
      <c r="CX8" s="172">
        <f>MIN(IF($AU8=100%,1,1+VLOOKUP(($AJ8-$AI8-$AH8-$AG8-$AF8-$AE8*(1+CX$3))/$AJ8,'Технический лист'!$A:$B,2,1)-VLOOKUP($AO8,'Технический лист'!$A:$B,2,1)),1+(1-$AU8))</f>
        <v/>
      </c>
      <c r="CY8" s="172">
        <f>MIN(IF($AU8=100%,1,1+VLOOKUP(($AJ8-$AI8-$AH8-$AG8-$AF8-$AE8*(1+CY$3))/$AJ8,'Технический лист'!$A:$B,2,1)-VLOOKUP($AO8,'Технический лист'!$A:$B,2,1)),1+(1-$AU8))</f>
        <v/>
      </c>
      <c r="CZ8" s="172">
        <f>MIN(IF($AU8=100%,1,1+VLOOKUP(($AJ8-$AI8-$AH8-$AG8-$AF8-$AE8*(1+CZ$3))/$AJ8,'Технический лист'!$A:$B,2,1)-VLOOKUP($AO8,'Технический лист'!$A:$B,2,1)),1+(1-$AU8))</f>
        <v/>
      </c>
      <c r="DA8" s="172">
        <f>MIN(IF($AU8=100%,1,1+VLOOKUP(($AJ8-$AI8-$AH8-$AG8-$AF8-$AE8*(1+DA$3))/$AJ8,'Технический лист'!$A:$B,2,1)-VLOOKUP($AO8,'Технический лист'!$A:$B,2,1)),1+(1-$AU8))</f>
        <v/>
      </c>
      <c r="DB8" s="172">
        <f>MIN(IF($AU8=100%,1,1+VLOOKUP(($AJ8-$AI8-$AH8-$AG8-$AF8-$AE8*(1+DB$3))/$AJ8,'Технический лист'!$A:$B,2,1)-VLOOKUP($AO8,'Технический лист'!$A:$B,2,1)),1+(1-$AU8))</f>
        <v/>
      </c>
      <c r="DC8" s="172">
        <f>MIN(IF($AU8=100%,1,1+VLOOKUP(($AJ8-$AI8-$AH8-$AG8-$AF8-$AE8*(1+DC$3))/$AJ8,'Технический лист'!$A:$B,2,1)-VLOOKUP($AO8,'Технический лист'!$A:$B,2,1)),1+(1-$AU8))</f>
        <v/>
      </c>
      <c r="DD8" s="172">
        <f>MIN(IF($AU8=100%,1,1+VLOOKUP(($AJ8-$AI8-$AH8-$AG8-$AF8-$AE8*(1+DD$3))/$AJ8,'Технический лист'!$A:$B,2,1)-VLOOKUP($AO8,'Технический лист'!$A:$B,2,1)),1+(1-$AU8))</f>
        <v/>
      </c>
      <c r="DE8" s="172">
        <f>MIN(IF($AU8=100%,1,1+VLOOKUP(($AJ8-$AI8-$AH8-$AG8-$AF8-$AE8*(1+DE$3))/$AJ8,'Технический лист'!$A:$B,2,1)-VLOOKUP($AO8,'Технический лист'!$A:$B,2,1)),1+(1-$AU8))</f>
        <v/>
      </c>
      <c r="DF8" s="172">
        <f>MIN(IF($AU8=100%,1,1+VLOOKUP(($AJ8-$AI8-$AH8-$AG8-$AF8-$AE8*(1+DF$3))/$AJ8,'Технический лист'!$A:$B,2,1)-VLOOKUP($AO8,'Технический лист'!$A:$B,2,1)),1+(1-$AU8))</f>
        <v/>
      </c>
      <c r="DG8" s="172">
        <f>MIN(IF($AU8=100%,1,1+VLOOKUP(($AJ8-$AI8-$AH8-$AG8-$AF8-$AE8*(1+DG$3))/$AJ8,'Технический лист'!$A:$B,2,1)-VLOOKUP($AO8,'Технический лист'!$A:$B,2,1)),1+(1-$AU8))</f>
        <v/>
      </c>
      <c r="DH8" s="172">
        <f>MIN(IF($AU8=100%,1,1+VLOOKUP(($AJ8-$AI8-$AH8-$AG8-$AF8-$AE8*(1+DH$3))/$AJ8,'Технический лист'!$A:$B,2,1)-VLOOKUP($AO8,'Технический лист'!$A:$B,2,1)),1+(1-$AU8))</f>
        <v/>
      </c>
      <c r="DI8" s="172">
        <f>MIN(IF($AU8=100%,1,1+VLOOKUP(($AJ8-$AI8-$AH8-$AG8-$AF8-$AE8*(1+DI$3))/$AJ8,'Технический лист'!$A:$B,2,1)-VLOOKUP($AO8,'Технический лист'!$A:$B,2,1)),1+(1-$AU8))</f>
        <v/>
      </c>
      <c r="DJ8" s="172">
        <f>MIN(IF($AU8=100%,1,1+VLOOKUP(($AJ8-$AI8-$AH8-$AG8-$AF8-$AE8*(1+DJ$3))/$AJ8,'Технический лист'!$A:$B,2,1)-VLOOKUP($AO8,'Технический лист'!$A:$B,2,1)),1+(1-$AU8))</f>
        <v/>
      </c>
      <c r="DK8" s="172">
        <f>MIN(IF($AU8=100%,1,1+VLOOKUP(($AJ8-$AI8-$AH8-$AG8-$AF8-$AE8*(1+DK$3))/$AJ8,'Технический лист'!$A:$B,2,1)-VLOOKUP($AO8,'Технический лист'!$A:$B,2,1)),1+(1-$AU8))</f>
        <v/>
      </c>
      <c r="DL8" s="172">
        <f>MIN(IF($AU8=100%,1,1+VLOOKUP(($AJ8-$AI8-$AH8-$AG8-$AF8-$AE8*(1+DL$3))/$AJ8,'Технический лист'!$A:$B,2,1)-VLOOKUP($AO8,'Технический лист'!$A:$B,2,1)),1+(1-$AU8))</f>
        <v/>
      </c>
      <c r="DM8" s="172">
        <f>MIN(IF($AU8=100%,1,1+VLOOKUP(($AJ8-$AI8-$AH8-$AG8-$AF8-$AE8*(1+DM$3))/$AJ8,'Технический лист'!$A:$B,2,1)-VLOOKUP($AO8,'Технический лист'!$A:$B,2,1)),1+(1-$AU8))</f>
        <v/>
      </c>
      <c r="DN8" s="172">
        <f>MIN(IF($AU8=100%,1,1+VLOOKUP(($AJ8-$AI8-$AH8-$AG8-$AF8-$AE8*(1+DN$3))/$AJ8,'Технический лист'!$A:$B,2,1)-VLOOKUP($AO8,'Технический лист'!$A:$B,2,1)),1+(1-$AU8))</f>
        <v/>
      </c>
      <c r="DO8" s="172">
        <f>MIN(IF($AU8=100%,1,1+VLOOKUP(($AJ8-$AI8-$AH8-$AG8-$AF8-$AE8*(1+DO$3))/$AJ8,'Технический лист'!$A:$B,2,1)-VLOOKUP($AO8,'Технический лист'!$A:$B,2,1)),1+(1-$AU8))</f>
        <v/>
      </c>
      <c r="DP8" s="172">
        <f>MIN(IF($AU8=100%,1,1+VLOOKUP(($AJ8-$AI8-$AH8-$AG8-$AF8-$AE8*(1+DP$3))/$AJ8,'Технический лист'!$A:$B,2,1)-VLOOKUP($AO8,'Технический лист'!$A:$B,2,1)),1+(1-$AU8))</f>
        <v/>
      </c>
      <c r="DQ8" s="172">
        <f>MIN(IF($AU8=100%,1,1+VLOOKUP(($AJ8-$AI8-$AH8-$AG8-$AF8-$AE8*(1+DQ$3))/$AJ8,'Технический лист'!$A:$B,2,1)-VLOOKUP($AO8,'Технический лист'!$A:$B,2,1)),1+(1-$AU8))</f>
        <v/>
      </c>
      <c r="DR8" s="172">
        <f>MIN(IF($AU8=100%,1,1+VLOOKUP(($AJ8-$AI8-$AH8-$AG8-$AF8-$AE8*(1+DR$3))/$AJ8,'Технический лист'!$A:$B,2,1)-VLOOKUP($AO8,'Технический лист'!$A:$B,2,1)),1+(1-$AU8))</f>
        <v/>
      </c>
      <c r="DS8" s="172">
        <f>MIN(IF($AU8=100%,1,1+VLOOKUP(($AJ8-$AI8-$AH8-$AG8-$AF8-$AE8*(1+DS$3))/$AJ8,'Технический лист'!$A:$B,2,1)-VLOOKUP($AO8,'Технический лист'!$A:$B,2,1)),1+(1-$AU8))</f>
        <v/>
      </c>
      <c r="DT8" s="172">
        <f>MIN(IF($AU8=100%,1,1+VLOOKUP(($AJ8-$AI8-$AH8-$AG8-$AF8-$AE8*(1+DT$3))/$AJ8,'Технический лист'!$A:$B,2,1)-VLOOKUP($AO8,'Технический лист'!$A:$B,2,1)),1+(1-$AU8))</f>
        <v/>
      </c>
      <c r="DU8" s="172">
        <f>MIN(IF($AU8=100%,1,1+VLOOKUP(($AJ8-$AI8-$AH8-$AG8-$AF8-$AE8*(1+DU$3))/$AJ8,'Технический лист'!$A:$B,2,1)-VLOOKUP($AO8,'Технический лист'!$A:$B,2,1)),1+(1-$AU8))</f>
        <v/>
      </c>
      <c r="DV8" s="172">
        <f>MIN(IF($AU8=100%,1,1+VLOOKUP(($AJ8-$AI8-$AH8-$AG8-$AF8-$AE8*(1+DV$3))/$AJ8,'Технический лист'!$A:$B,2,1)-VLOOKUP($AO8,'Технический лист'!$A:$B,2,1)),1+(1-$AU8))</f>
        <v/>
      </c>
      <c r="DW8" s="172">
        <f>MIN(IF($AU8=100%,1,1+VLOOKUP(($AJ8-$AI8-$AH8-$AG8-$AF8-$AE8*(1+DW$3))/$AJ8,'Технический лист'!$A:$B,2,1)-VLOOKUP($AO8,'Технический лист'!$A:$B,2,1)),1+(1-$AU8))</f>
        <v/>
      </c>
      <c r="DX8" s="172">
        <f>MIN(IF($AU8=100%,1,1+VLOOKUP(($AJ8-$AI8-$AH8-$AG8-$AF8-$AE8*(1+DX$3))/$AJ8,'Технический лист'!$A:$B,2,1)-VLOOKUP($AO8,'Технический лист'!$A:$B,2,1)),1+(1-$AU8))</f>
        <v/>
      </c>
      <c r="DY8" s="172">
        <f>MIN(IF($AU8=100%,1,1+VLOOKUP(($AJ8-$AI8-$AH8-$AG8-$AF8-$AE8*(1+DY$3))/$AJ8,'Технический лист'!$A:$B,2,1)-VLOOKUP($AO8,'Технический лист'!$A:$B,2,1)),1+(1-$AU8))</f>
        <v/>
      </c>
      <c r="DZ8" s="172">
        <f>MIN(IF($AU8=100%,1,1+VLOOKUP(($AJ8-$AI8-$AH8-$AG8-$AF8-$AE8*(1+DZ$3))/$AJ8,'Технический лист'!$A:$B,2,1)-VLOOKUP($AO8,'Технический лист'!$A:$B,2,1)),1+(1-$AU8))</f>
        <v/>
      </c>
      <c r="EA8" s="172">
        <f>MIN(IF($AU8=100%,1,1+VLOOKUP(($AJ8-$AI8-$AH8-$AG8-$AF8-$AE8*(1+EA$3))/$AJ8,'Технический лист'!$A:$B,2,1)-VLOOKUP($AO8,'Технический лист'!$A:$B,2,1)),1+(1-$AU8))</f>
        <v/>
      </c>
      <c r="EB8" s="172">
        <f>MIN(IF($AU8=100%,1,1+VLOOKUP(($AJ8-$AI8-$AH8-$AG8-$AF8-$AE8*(1+EB$3))/$AJ8,'Технический лист'!$A:$B,2,1)-VLOOKUP($AO8,'Технический лист'!$A:$B,2,1)),1+(1-$AU8))</f>
        <v/>
      </c>
      <c r="EC8" s="172">
        <f>MIN(IF($AU8=100%,1,1+VLOOKUP(($AJ8-$AI8-$AH8-$AG8-$AF8-$AE8*(1+EC$3))/$AJ8,'Технический лист'!$A:$B,2,1)-VLOOKUP($AO8,'Технический лист'!$A:$B,2,1)),1+(1-$AU8))</f>
        <v/>
      </c>
      <c r="ED8" s="172">
        <f>MIN(IF($AU8=100%,1,1+VLOOKUP(($AJ8-$AI8-$AH8-$AG8-$AF8-$AE8*(1+ED$3))/$AJ8,'Технический лист'!$A:$B,2,1)-VLOOKUP($AO8,'Технический лист'!$A:$B,2,1)),1+(1-$AU8))</f>
        <v/>
      </c>
      <c r="EE8" s="172">
        <f>MIN(IF($AU8=100%,1,1+VLOOKUP(($AJ8-$AI8-$AH8-$AG8-$AF8-$AE8*(1+EE$3))/$AJ8,'Технический лист'!$A:$B,2,1)-VLOOKUP($AO8,'Технический лист'!$A:$B,2,1)),1+(1-$AU8))</f>
        <v/>
      </c>
      <c r="EF8" s="172">
        <f>MIN(IF($AU8=100%,1,1+VLOOKUP(($AJ8-$AI8-$AH8-$AG8-$AF8-$AE8*(1+EF$3))/$AJ8,'Технический лист'!$A:$B,2,1)-VLOOKUP($AO8,'Технический лист'!$A:$B,2,1)),1+(1-$AU8))</f>
        <v/>
      </c>
      <c r="EG8" s="172">
        <f>MIN(IF($AU8=100%,1,1+VLOOKUP(($AJ8-$AI8-$AH8-$AG8-$AF8-$AE8*(1+EG$3))/$AJ8,'Технический лист'!$A:$B,2,1)-VLOOKUP($AO8,'Технический лист'!$A:$B,2,1)),1+(1-$AU8))</f>
        <v/>
      </c>
      <c r="EH8" s="172">
        <f>MIN(IF($AU8=100%,1,1+VLOOKUP(($AJ8-$AI8-$AH8-$AG8-$AF8-$AE8*(1+EH$3))/$AJ8,'Технический лист'!$A:$B,2,1)-VLOOKUP($AO8,'Технический лист'!$A:$B,2,1)),1+(1-$AU8))</f>
        <v/>
      </c>
      <c r="EI8" s="172">
        <f>MIN(IF($AU8=100%,1,1+VLOOKUP(($AJ8-$AI8-$AH8-$AG8-$AF8-$AE8*(1+EI$3))/$AJ8,'Технический лист'!$A:$B,2,1)-VLOOKUP($AO8,'Технический лист'!$A:$B,2,1)),1+(1-$AU8))</f>
        <v/>
      </c>
      <c r="EJ8" s="172">
        <f>MIN(IF($AU8=100%,1,1+VLOOKUP(($AJ8-$AI8-$AH8-$AG8-$AF8-$AE8*(1+EJ$3))/$AJ8,'Технический лист'!$A:$B,2,1)-VLOOKUP($AO8,'Технический лист'!$A:$B,2,1)),1+(1-$AU8))</f>
        <v/>
      </c>
      <c r="EK8" s="172">
        <f>MIN(IF($AU8=100%,1,1+VLOOKUP(($AJ8-$AI8-$AH8-$AG8-$AF8-$AE8*(1+EK$3))/$AJ8,'Технический лист'!$A:$B,2,1)-VLOOKUP($AO8,'Технический лист'!$A:$B,2,1)),1+(1-$AU8))</f>
        <v/>
      </c>
      <c r="EL8" s="172">
        <f>MIN(IF($AU8=100%,1,1+VLOOKUP(($AJ8-$AI8-$AH8-$AG8-$AF8-$AE8*(1+EL$3))/$AJ8,'Технический лист'!$A:$B,2,1)-VLOOKUP($AO8,'Технический лист'!$A:$B,2,1)),1+(1-$AU8))</f>
        <v/>
      </c>
      <c r="EM8" s="172">
        <f>MIN(IF($AU8=100%,1,1+VLOOKUP(($AJ8-$AI8-$AH8-$AG8-$AF8-$AE8*(1+EM$3))/$AJ8,'Технический лист'!$A:$B,2,1)-VLOOKUP($AO8,'Технический лист'!$A:$B,2,1)),1+(1-$AU8))</f>
        <v/>
      </c>
      <c r="EN8" s="172">
        <f>MIN(IF($AU8=100%,1,1+VLOOKUP(($AJ8-$AI8-$AH8-$AG8-$AF8-$AE8*(1+EN$3))/$AJ8,'Технический лист'!$A:$B,2,1)-VLOOKUP($AO8,'Технический лист'!$A:$B,2,1)),1+(1-$AU8))</f>
        <v/>
      </c>
      <c r="EO8" s="172">
        <f>MIN(IF($AU8=100%,1,1+VLOOKUP(($AJ8-$AI8-$AH8-$AG8-$AF8-$AE8*(1+EO$3))/$AJ8,'Технический лист'!$A:$B,2,1)-VLOOKUP($AO8,'Технический лист'!$A:$B,2,1)),1+(1-$AU8))</f>
        <v/>
      </c>
      <c r="EP8" s="172">
        <f>MIN(IF($AU8=100%,1,1+VLOOKUP(($AJ8-$AI8-$AH8-$AG8-$AF8-$AE8*(1+EP$3))/$AJ8,'Технический лист'!$A:$B,2,1)-VLOOKUP($AO8,'Технический лист'!$A:$B,2,1)),1+(1-$AU8))</f>
        <v/>
      </c>
      <c r="EQ8" s="172">
        <f>MIN(IF($AU8=100%,1,1+VLOOKUP(($AJ8-$AI8-$AH8-$AG8-$AF8-$AE8*(1+EQ$3))/$AJ8,'Технический лист'!$A:$B,2,1)-VLOOKUP($AO8,'Технический лист'!$A:$B,2,1)),1+(1-$AU8))</f>
        <v/>
      </c>
      <c r="ER8" s="172">
        <f>MIN(IF($AU8=100%,1,1+VLOOKUP(($AJ8-$AI8-$AH8-$AG8-$AF8-$AE8*(1+ER$3))/$AJ8,'Технический лист'!$A:$B,2,1)-VLOOKUP($AO8,'Технический лист'!$A:$B,2,1)),1+(1-$AU8))</f>
        <v/>
      </c>
      <c r="ES8" s="172">
        <f>MIN(IF($AU8=100%,1,1+VLOOKUP(($AJ8-$AI8-$AH8-$AG8-$AF8-$AE8*(1+ES$3))/$AJ8,'Технический лист'!$A:$B,2,1)-VLOOKUP($AO8,'Технический лист'!$A:$B,2,1)),1+(1-$AU8))</f>
        <v/>
      </c>
      <c r="ET8" s="172">
        <f>MIN(IF($AU8=100%,1,1+VLOOKUP(($AJ8-$AI8-$AH8-$AG8-$AF8-$AE8*(1+ET$3))/$AJ8,'Технический лист'!$A:$B,2,1)-VLOOKUP($AO8,'Технический лист'!$A:$B,2,1)),1+(1-$AU8))</f>
        <v/>
      </c>
      <c r="EU8" s="172">
        <f>MIN(IF($AU8=100%,1,1+VLOOKUP(($AJ8-$AI8-$AH8-$AG8-$AF8-$AE8*(1+EU$3))/$AJ8,'Технический лист'!$A:$B,2,1)-VLOOKUP($AO8,'Технический лист'!$A:$B,2,1)),1+(1-$AU8))</f>
        <v/>
      </c>
      <c r="EV8" s="173" t="n">
        <v>1</v>
      </c>
      <c r="EW8" s="172">
        <f>MIN(1,MAX(VLOOKUP(($AJ8-$AI8-$AH8-$AG8-$AF8-$AE8*(1+EW$3))/$AJ8,'Технический лист'!$A:$B,2,1),(EV8-0.05)))</f>
        <v/>
      </c>
      <c r="EX8" s="172">
        <f>MIN(1,MAX(VLOOKUP(($AJ8-$AI8-$AH8-$AG8-$AF8-$AE8*(1+EX$3))/$AJ8,'Технический лист'!$A:$B,2,1),(EW8-0.05)))</f>
        <v/>
      </c>
      <c r="EY8" s="172">
        <f>MIN(1,MAX(VLOOKUP(($AJ8-$AI8-$AH8-$AG8-$AF8-$AE8*(1+EY$3))/$AJ8,'Технический лист'!$A:$B,2,1),(EX8-0.05)))</f>
        <v/>
      </c>
      <c r="EZ8" s="172">
        <f>MIN(1,MAX(VLOOKUP(($AJ8-$AI8-$AH8-$AG8-$AF8-$AE8*(1+EZ$3))/$AJ8,'Технический лист'!$A:$B,2,1),(EY8-0.05)))</f>
        <v/>
      </c>
      <c r="FA8" s="172">
        <f>MIN(1,MAX(VLOOKUP(($AJ8-$AI8-$AH8-$AG8-$AF8-$AE8*(1+FA$3))/$AJ8,'Технический лист'!$A:$B,2,1),(EZ8-0.05)))</f>
        <v/>
      </c>
      <c r="FB8" s="172">
        <f>MIN(1,MAX(VLOOKUP(($AJ8-$AI8-$AH8-$AG8-$AF8-$AE8*(1+FB$3))/$AJ8,'Технический лист'!$A:$B,2,1),(FA8-0.05)))</f>
        <v/>
      </c>
      <c r="FC8" s="172">
        <f>MIN(1,MAX(VLOOKUP(($AJ8-$AI8-$AH8-$AG8-$AF8-$AE8*(1+FC$3))/$AJ8,'Технический лист'!$A:$B,2,1),(FB8-0.05)))</f>
        <v/>
      </c>
      <c r="FD8" s="172">
        <f>MIN(1,MAX(VLOOKUP(($AJ8-$AI8-$AH8-$AG8-$AF8-$AE8*(1+FD$3))/$AJ8,'Технический лист'!$A:$B,2,1),(FC8-0.05)))</f>
        <v/>
      </c>
      <c r="FE8" s="172">
        <f>MIN(1,MAX(VLOOKUP(($AJ8-$AI8-$AH8-$AG8-$AF8-$AE8*(1+FE$3))/$AJ8,'Технический лист'!$A:$B,2,1),(FD8-0.05)))</f>
        <v/>
      </c>
      <c r="FF8" s="172">
        <f>MIN(1,MAX(VLOOKUP(($AJ8-$AI8-$AH8-$AG8-$AF8-$AE8*(1+FF$3))/$AJ8,'Технический лист'!$A:$B,2,1),(FE8-0.05)))</f>
        <v/>
      </c>
      <c r="FG8" s="172">
        <f>MIN(1,MAX(VLOOKUP(($AJ8-$AI8-$AH8-$AG8-$AF8-$AE8*(1+FG$3))/$AJ8,'Технический лист'!$A:$B,2,1),(FF8-0.05)))</f>
        <v/>
      </c>
      <c r="FH8" s="172">
        <f>MIN(1,MAX(VLOOKUP(($AJ8-$AI8-$AH8-$AG8-$AF8-$AE8*(1+FH$3))/$AJ8,'Технический лист'!$A:$B,2,1),(FG8-0.05)))</f>
        <v/>
      </c>
      <c r="FI8" s="172">
        <f>MIN(1,MAX(VLOOKUP(($AJ8-$AI8-$AH8-$AG8-$AF8-$AE8*(1+FI$3))/$AJ8,'Технический лист'!$A:$B,2,1),(FH8-0.05)))</f>
        <v/>
      </c>
      <c r="FJ8" s="172">
        <f>MIN(1,MAX(VLOOKUP(($AJ8-$AI8-$AH8-$AG8-$AF8-$AE8*(1+FJ$3))/$AJ8,'Технический лист'!$A:$B,2,1),(FI8-0.05)))</f>
        <v/>
      </c>
      <c r="FK8" s="172">
        <f>MIN(1,MAX(VLOOKUP(($AJ8-$AI8-$AH8-$AG8-$AF8-$AE8*(1+FK$3))/$AJ8,'Технический лист'!$A:$B,2,1),(FJ8-0.05)))</f>
        <v/>
      </c>
      <c r="FL8" s="172">
        <f>MIN(1,MAX(VLOOKUP(($AJ8-$AI8-$AH8-$AG8-$AF8-$AE8*(1+FL$3))/$AJ8,'Технический лист'!$A:$B,2,1),(FK8-0.05)))</f>
        <v/>
      </c>
      <c r="FM8" s="172">
        <f>MIN(1,MAX(VLOOKUP(($AJ8-$AI8-$AH8-$AG8-$AF8-$AE8*(1+FM$3))/$AJ8,'Технический лист'!$A:$B,2,1),(FL8-0.05)))</f>
        <v/>
      </c>
      <c r="FN8" s="172">
        <f>MIN(1,MAX(VLOOKUP(($AJ8-$AI8-$AH8-$AG8-$AF8-$AE8*(1+FN$3))/$AJ8,'Технический лист'!$A:$B,2,1),(FM8-0.05)))</f>
        <v/>
      </c>
      <c r="FO8" s="172">
        <f>MIN(1,MAX(VLOOKUP(($AJ8-$AI8-$AH8-$AG8-$AF8-$AE8*(1+FO$3))/$AJ8,'Технический лист'!$A:$B,2,1),(FN8-0.05)))</f>
        <v/>
      </c>
      <c r="FP8" s="172">
        <f>MIN(1,MAX(VLOOKUP(($AJ8-$AI8-$AH8-$AG8-$AF8-$AE8*(1+FP$3))/$AJ8,'Технический лист'!$A:$B,2,1),(FO8-0.05)))</f>
        <v/>
      </c>
      <c r="FQ8" s="172">
        <f>MIN(1,MAX(VLOOKUP(($AJ8-$AI8-$AH8-$AG8-$AF8-$AE8*(1+FQ$3))/$AJ8,'Технический лист'!$A:$B,2,1),(FP8-0.05)))</f>
        <v/>
      </c>
      <c r="FR8" s="172">
        <f>MIN(1,MAX(VLOOKUP(($AJ8-$AI8-$AH8-$AG8-$AF8-$AE8*(1+FR$3))/$AJ8,'Технический лист'!$A:$B,2,1),(FQ8-0.05)))</f>
        <v/>
      </c>
      <c r="FS8" s="172">
        <f>MIN(1,MAX(VLOOKUP(($AJ8-$AI8-$AH8-$AG8-$AF8-$AE8*(1+FS$3))/$AJ8,'Технический лист'!$A:$B,2,1),(FR8-0.05)))</f>
        <v/>
      </c>
      <c r="FT8" s="172">
        <f>MIN(1,MAX(VLOOKUP(($AJ8-$AI8-$AH8-$AG8-$AF8-$AE8*(1+FT$3))/$AJ8,'Технический лист'!$A:$B,2,1),(FS8-0.05)))</f>
        <v/>
      </c>
      <c r="FU8" s="172">
        <f>MIN(1,MAX(VLOOKUP(($AJ8-$AI8-$AH8-$AG8-$AF8-$AE8*(1+FU$3))/$AJ8,'Технический лист'!$A:$B,2,1),(FT8-0.05)))</f>
        <v/>
      </c>
      <c r="FV8" s="172">
        <f>MIN(1,MAX(VLOOKUP(($AJ8-$AI8-$AH8-$AG8-$AF8-$AE8*(1+FV$3))/$AJ8,'Технический лист'!$A:$B,2,1),(FU8-0.05)))</f>
        <v/>
      </c>
      <c r="FW8" s="172">
        <f>MIN(1,MAX(VLOOKUP(($AJ8-$AI8-$AH8-$AG8-$AF8-$AE8*(1+FW$3))/$AJ8,'Технический лист'!$A:$B,2,1),(FV8-0.05)))</f>
        <v/>
      </c>
      <c r="FX8" s="172">
        <f>MIN(1,MAX(VLOOKUP(($AJ8-$AI8-$AH8-$AG8-$AF8-$AE8*(1+FX$3))/$AJ8,'Технический лист'!$A:$B,2,1),(FW8-0.05)))</f>
        <v/>
      </c>
      <c r="FY8" s="172">
        <f>MIN(1,MAX(VLOOKUP(($AJ8-$AI8-$AH8-$AG8-$AF8-$AE8*(1+FY$3))/$AJ8,'Технический лист'!$A:$B,2,1),(FX8-0.05)))</f>
        <v/>
      </c>
      <c r="FZ8" s="172">
        <f>MIN(1,MAX(VLOOKUP(($AJ8-$AI8-$AH8-$AG8-$AF8-$AE8*(1+FZ$3))/$AJ8,'Технический лист'!$A:$B,2,1),(FY8-0.05)))</f>
        <v/>
      </c>
      <c r="GA8" s="172">
        <f>MIN(1,MAX(VLOOKUP(($AJ8-$AI8-$AH8-$AG8-$AF8-$AE8*(1+GA$3))/$AJ8,'Технический лист'!$A:$B,2,1),(FZ8-0.05)))</f>
        <v/>
      </c>
      <c r="GB8" s="172">
        <f>MIN(1,MAX(VLOOKUP(($AJ8-$AI8-$AH8-$AG8-$AF8-$AE8*(1+GB$3))/$AJ8,'Технический лист'!$A:$B,2,1),(GA8-0.05)))</f>
        <v/>
      </c>
      <c r="GC8" s="172">
        <f>MIN(1,MAX(VLOOKUP(($AJ8-$AI8-$AH8-$AG8-$AF8-$AE8*(1+GC$3))/$AJ8,'Технический лист'!$A:$B,2,1),(GB8-0.05)))</f>
        <v/>
      </c>
      <c r="GD8" s="172">
        <f>MIN(1,MAX(VLOOKUP(($AJ8-$AI8-$AH8-$AG8-$AF8-$AE8*(1+GD$3))/$AJ8,'Технический лист'!$A:$B,2,1),(GC8-0.05)))</f>
        <v/>
      </c>
      <c r="GE8" s="172">
        <f>MIN(1,MAX(VLOOKUP(($AJ8-$AI8-$AH8-$AG8-$AF8-$AE8*(1+GE$3))/$AJ8,'Технический лист'!$A:$B,2,1),(GD8-0.05)))</f>
        <v/>
      </c>
      <c r="GF8" s="172">
        <f>MIN(1,MAX(VLOOKUP(($AJ8-$AI8-$AH8-$AG8-$AF8-$AE8*(1+GF$3))/$AJ8,'Технический лист'!$A:$B,2,1),(GE8-0.05)))</f>
        <v/>
      </c>
      <c r="GG8" s="172">
        <f>MIN(1,MAX(VLOOKUP(($AJ8-$AI8-$AH8-$AG8-$AF8-$AE8*(1+GG$3))/$AJ8,'Технический лист'!$A:$B,2,1),(GF8-0.05)))</f>
        <v/>
      </c>
      <c r="GH8" s="172">
        <f>MIN(1,MAX(VLOOKUP(($AJ8-$AI8-$AH8-$AG8-$AF8-$AE8*(1+GH$3))/$AJ8,'Технический лист'!$A:$B,2,1),(GG8-0.05)))</f>
        <v/>
      </c>
      <c r="GI8" s="172">
        <f>MIN(1,MAX(VLOOKUP(($AJ8-$AI8-$AH8-$AG8-$AF8-$AE8*(1+GI$3))/$AJ8,'Технический лист'!$A:$B,2,1),(GH8-0.05)))</f>
        <v/>
      </c>
      <c r="GJ8" s="172">
        <f>MIN(1,MAX(VLOOKUP(($AJ8-$AI8-$AH8-$AG8-$AF8-$AE8*(1+GJ$3))/$AJ8,'Технический лист'!$A:$B,2,1),(GI8-0.05)))</f>
        <v/>
      </c>
      <c r="GK8" s="172">
        <f>MIN(1,MAX(VLOOKUP(($AJ8-$AI8-$AH8-$AG8-$AF8-$AE8*(1+GK$3))/$AJ8,'Технический лист'!$A:$B,2,1),(GJ8-0.05)))</f>
        <v/>
      </c>
      <c r="GL8" s="172">
        <f>MIN(1,MAX(VLOOKUP(($AJ8-$AI8-$AH8-$AG8-$AF8-$AE8*(1+GL$3))/$AJ8,'Технический лист'!$A:$B,2,1),(GK8-0.05)))</f>
        <v/>
      </c>
      <c r="GM8" s="172">
        <f>MIN(1,MAX(VLOOKUP(($AJ8-$AI8-$AH8-$AG8-$AF8-$AE8*(1+GM$3))/$AJ8,'Технический лист'!$A:$B,2,1),(GL8-0.05)))</f>
        <v/>
      </c>
      <c r="GN8" s="172">
        <f>MIN(1,MAX(VLOOKUP(($AJ8-$AI8-$AH8-$AG8-$AF8-$AE8*(1+GN$3))/$AJ8,'Технический лист'!$A:$B,2,1),(GM8-0.05)))</f>
        <v/>
      </c>
      <c r="GO8" s="172">
        <f>MIN(1,MAX(VLOOKUP(($AJ8-$AI8-$AH8-$AG8-$AF8-$AE8*(1+GO$3))/$AJ8,'Технический лист'!$A:$B,2,1),(GN8-0.05)))</f>
        <v/>
      </c>
      <c r="GP8" s="172">
        <f>MIN(1,MAX(VLOOKUP(($AJ8-$AI8-$AH8-$AG8-$AF8-$AE8*(1+GP$3))/$AJ8,'Технический лист'!$A:$B,2,1),(GO8-0.05)))</f>
        <v/>
      </c>
      <c r="GQ8" s="172">
        <f>MIN(1,MAX(VLOOKUP(($AJ8-$AI8-$AH8-$AG8-$AF8-$AE8*(1+GQ$3))/$AJ8,'Технический лист'!$A:$B,2,1),(GP8-0.05)))</f>
        <v/>
      </c>
      <c r="GR8" s="172">
        <f>MIN(1,MAX(VLOOKUP(($AJ8-$AI8-$AH8-$AG8-$AF8-$AE8*(1+GR$3))/$AJ8,'Технический лист'!$A:$B,2,1),(GQ8-0.05)))</f>
        <v/>
      </c>
      <c r="GS8" s="172">
        <f>MIN(1,MAX(VLOOKUP(($AJ8-$AI8-$AH8-$AG8-$AF8-$AE8*(1+GS$3))/$AJ8,'Технический лист'!$A:$B,2,1),(GR8-0.05)))</f>
        <v/>
      </c>
      <c r="GT8" s="172">
        <f>MIN(1,MAX(VLOOKUP(($AJ8-$AI8-$AH8-$AG8-$AF8-$AE8*(1+GT$3))/$AJ8,'Технический лист'!$A:$B,2,1),(GS8-0.05)))</f>
        <v/>
      </c>
      <c r="GU8" s="172">
        <f>MIN(1,MAX(VLOOKUP(($AJ8-$AI8-$AH8-$AG8-$AF8-$AE8*(1+GU$3))/$AJ8,'Технический лист'!$A:$B,2,1),(GT8-0.05)))</f>
        <v/>
      </c>
      <c r="GV8" s="172">
        <f>MIN(1,MAX(VLOOKUP(($AJ8-$AI8-$AH8-$AG8-$AF8-$AE8*(1+GV$3))/$AJ8,'Технический лист'!$A:$B,2,1),(GU8-0.05)))</f>
        <v/>
      </c>
      <c r="GW8" s="172">
        <f>MIN(1,MAX(VLOOKUP(($AJ8-$AI8-$AH8-$AG8-$AF8-$AE8*(1+GW$3))/$AJ8,'Технический лист'!$A:$B,2,1),(GV8-0.05)))</f>
        <v/>
      </c>
      <c r="GX8" s="172">
        <f>MIN(1,MAX(VLOOKUP(($AJ8-$AI8-$AH8-$AG8-$AF8-$AE8*(1+GX$3))/$AJ8,'Технический лист'!$A:$B,2,1),(GW8-0.05)))</f>
        <v/>
      </c>
      <c r="GY8" s="172">
        <f>MIN(1,MAX(VLOOKUP(($AJ8-$AI8-$AH8-$AG8-$AF8-$AE8*(1+GY$3))/$AJ8,'Технический лист'!$A:$B,2,1),(GX8-0.05)))</f>
        <v/>
      </c>
      <c r="GZ8" s="172">
        <f>MIN(1,MAX(VLOOKUP(($AJ8-$AI8-$AH8-$AG8-$AF8-$AE8*(1+GZ$3))/$AJ8,'Технический лист'!$A:$B,2,1),(GY8-0.05)))</f>
        <v/>
      </c>
      <c r="HA8" s="172">
        <f>MIN(1,MAX(VLOOKUP(($AJ8-$AI8-$AH8-$AG8-$AF8-$AE8*(1+HA$3))/$AJ8,'Технический лист'!$A:$B,2,1),(GZ8-0.05)))</f>
        <v/>
      </c>
      <c r="HB8" s="172">
        <f>MIN(1,MAX(VLOOKUP(($AJ8-$AI8-$AH8-$AG8-$AF8-$AE8*(1+HB$3))/$AJ8,'Технический лист'!$A:$B,2,1),(HA8-0.05)))</f>
        <v/>
      </c>
      <c r="HC8" s="172">
        <f>MIN(1,MAX(VLOOKUP(($AJ8-$AI8-$AH8-$AG8-$AF8-$AE8*(1+HC$3))/$AJ8,'Технический лист'!$A:$B,2,1),(HB8-0.05)))</f>
        <v/>
      </c>
      <c r="HD8" s="172">
        <f>MIN(1,MAX(VLOOKUP(($AJ8-$AI8-$AH8-$AG8-$AF8-$AE8*(1+HD$3))/$AJ8,'Технический лист'!$A:$B,2,1),(HC8-0.05)))</f>
        <v/>
      </c>
      <c r="HE8" s="172">
        <f>MIN(1,MAX(VLOOKUP(($AJ8-$AI8-$AH8-$AG8-$AF8-$AE8*(1+HE$3))/$AJ8,'Технический лист'!$A:$B,2,1),(HD8-0.05)))</f>
        <v/>
      </c>
      <c r="HF8" s="172">
        <f>MIN(1,MAX(VLOOKUP(($AJ8-$AI8-$AH8-$AG8-$AF8-$AE8*(1+HF$3))/$AJ8,'Технический лист'!$A:$B,2,1),(HE8-0.05)))</f>
        <v/>
      </c>
      <c r="HG8" s="172">
        <f>MIN(1,MAX(VLOOKUP(($AJ8-$AI8-$AH8-$AG8-$AF8-$AE8*(1+HG$3))/$AJ8,'Технический лист'!$A:$B,2,1),(HF8-0.05)))</f>
        <v/>
      </c>
      <c r="HH8" s="172">
        <f>MIN(1,MAX(VLOOKUP(($AJ8-$AI8-$AH8-$AG8-$AF8-$AE8*(1+HH$3))/$AJ8,'Технический лист'!$A:$B,2,1),(HG8-0.05)))</f>
        <v/>
      </c>
      <c r="HI8" s="172">
        <f>MIN(1,MAX(VLOOKUP(($AJ8-$AI8-$AH8-$AG8-$AF8-$AE8*(1+HI$3))/$AJ8,'Технический лист'!$A:$B,2,1),(HH8-0.05)))</f>
        <v/>
      </c>
      <c r="HJ8" s="172">
        <f>MIN(1,MAX(VLOOKUP(($AJ8-$AI8-$AH8-$AG8-$AF8-$AE8*(1+HJ$3))/$AJ8,'Технический лист'!$A:$B,2,1),(HI8-0.05)))</f>
        <v/>
      </c>
      <c r="HK8" s="172">
        <f>MIN(1,MAX(VLOOKUP(($AJ8-$AI8-$AH8-$AG8-$AF8-$AE8*(1+HK$3))/$AJ8,'Технический лист'!$A:$B,2,1),(HJ8-0.05)))</f>
        <v/>
      </c>
      <c r="HL8" s="172">
        <f>MIN(1,MAX(VLOOKUP(($AJ8-$AI8-$AH8-$AG8-$AF8-$AE8*(1+HL$3))/$AJ8,'Технический лист'!$A:$B,2,1),(HK8-0.05)))</f>
        <v/>
      </c>
      <c r="HM8" s="172">
        <f>MIN(1,MAX(VLOOKUP(($AJ8-$AI8-$AH8-$AG8-$AF8-$AE8*(1+HM$3))/$AJ8,'Технический лист'!$A:$B,2,1),(HL8-0.05)))</f>
        <v/>
      </c>
      <c r="HN8" s="172">
        <f>MIN(1,MAX(VLOOKUP(($AJ8-$AI8-$AH8-$AG8-$AF8-$AE8*(1+HN$3))/$AJ8,'Технический лист'!$A:$B,2,1),(HM8-0.05)))</f>
        <v/>
      </c>
      <c r="HO8" s="172">
        <f>MIN(1,MAX(VLOOKUP(($AJ8-$AI8-$AH8-$AG8-$AF8-$AE8*(1+HO$3))/$AJ8,'Технический лист'!$A:$B,2,1),(HN8-0.05)))</f>
        <v/>
      </c>
      <c r="HP8" s="172">
        <f>MIN(1,MAX(VLOOKUP(($AJ8-$AI8-$AH8-$AG8-$AF8-$AE8*(1+HP$3))/$AJ8,'Технический лист'!$A:$B,2,1),(HO8-0.05)))</f>
        <v/>
      </c>
      <c r="HQ8" s="172">
        <f>MIN(1,MAX(VLOOKUP(($AJ8-$AI8-$AH8-$AG8-$AF8-$AE8*(1+HQ$3))/$AJ8,'Технический лист'!$A:$B,2,1),(HP8-0.05)))</f>
        <v/>
      </c>
      <c r="HR8" s="172">
        <f>MIN(1,MAX(VLOOKUP(($AJ8-$AI8-$AH8-$AG8-$AF8-$AE8*(1+HR$3))/$AJ8,'Технический лист'!$A:$B,2,1),(HQ8-0.05)))</f>
        <v/>
      </c>
      <c r="HS8" s="172">
        <f>MIN(1,MAX(VLOOKUP(($AJ8-$AI8-$AH8-$AG8-$AF8-$AE8*(1+HS$3))/$AJ8,'Технический лист'!$A:$B,2,1),(HR8-0.05)))</f>
        <v/>
      </c>
      <c r="HT8" s="172">
        <f>MIN(1,MAX(VLOOKUP(($AJ8-$AI8-$AH8-$AG8-$AF8-$AE8*(1+HT$3))/$AJ8,'Технический лист'!$A:$B,2,1),(HS8-0.05)))</f>
        <v/>
      </c>
      <c r="HU8" s="172">
        <f>MIN(1,MAX(VLOOKUP(($AJ8-$AI8-$AH8-$AG8-$AF8-$AE8*(1+HU$3))/$AJ8,'Технический лист'!$A:$B,2,1),(HT8-0.05)))</f>
        <v/>
      </c>
      <c r="HV8" s="172">
        <f>MIN(1,MAX(VLOOKUP(($AJ8-$AI8-$AH8-$AG8-$AF8-$AE8*(1+HV$3))/$AJ8,'Технический лист'!$A:$B,2,1),(HU8-0.05)))</f>
        <v/>
      </c>
      <c r="HW8" s="172">
        <f>MIN(1,MAX(VLOOKUP(($AJ8-$AI8-$AH8-$AG8-$AF8-$AE8*(1+HW$3))/$AJ8,'Технический лист'!$A:$B,2,1),(HV8-0.05)))</f>
        <v/>
      </c>
      <c r="HX8" s="172">
        <f>MIN(1,MAX(VLOOKUP(($AJ8-$AI8-$AH8-$AG8-$AF8-$AE8*(1+HX$3))/$AJ8,'Технический лист'!$A:$B,2,1),(HW8-0.05)))</f>
        <v/>
      </c>
      <c r="HY8" s="172">
        <f>MIN(1,MAX(VLOOKUP(($AJ8-$AI8-$AH8-$AG8-$AF8-$AE8*(1+HY$3))/$AJ8,'Технический лист'!$A:$B,2,1),(HX8-0.05)))</f>
        <v/>
      </c>
      <c r="HZ8" s="172">
        <f>MIN(1,MAX(VLOOKUP(($AJ8-$AI8-$AH8-$AG8-$AF8-$AE8*(1+HZ$3))/$AJ8,'Технический лист'!$A:$B,2,1),(HY8-0.05)))</f>
        <v/>
      </c>
      <c r="IA8" s="172">
        <f>MIN(1,MAX(VLOOKUP(($AJ8-$AI8-$AH8-$AG8-$AF8-$AE8*(1+IA$3))/$AJ8,'Технический лист'!$A:$B,2,1),(HZ8-0.05)))</f>
        <v/>
      </c>
      <c r="IB8" s="172">
        <f>MIN(1,MAX(VLOOKUP(($AJ8-$AI8-$AH8-$AG8-$AF8-$AE8*(1+IB$3))/$AJ8,'Технический лист'!$A:$B,2,1),(IA8-0.05)))</f>
        <v/>
      </c>
      <c r="IC8" s="172">
        <f>MIN(1,MAX(VLOOKUP(($AJ8-$AI8-$AH8-$AG8-$AF8-$AE8*(1+IC$3))/$AJ8,'Технический лист'!$A:$B,2,1),(IB8-0.05)))</f>
        <v/>
      </c>
      <c r="ID8" s="172">
        <f>MIN(1,MAX(VLOOKUP(($AJ8-$AI8-$AH8-$AG8-$AF8-$AE8*(1+ID$3))/$AJ8,'Технический лист'!$A:$B,2,1),(IC8-0.05)))</f>
        <v/>
      </c>
      <c r="IE8" s="172">
        <f>MIN(1,MAX(VLOOKUP(($AJ8-$AI8-$AH8-$AG8-$AF8-$AE8*(1+IE$3))/$AJ8,'Технический лист'!$A:$B,2,1),(ID8-0.05)))</f>
        <v/>
      </c>
      <c r="IF8" s="172">
        <f>MIN(1,MAX(VLOOKUP(($AJ8-$AI8-$AH8-$AG8-$AF8-$AE8*(1+IF$3))/$AJ8,'Технический лист'!$A:$B,2,1),(IE8-0.05)))</f>
        <v/>
      </c>
      <c r="IG8" s="172">
        <f>MIN(1,MAX(VLOOKUP(($AJ8-$AI8-$AH8-$AG8-$AF8-$AE8*(1+IG$3))/$AJ8,'Технический лист'!$A:$B,2,1),(IF8-0.05)))</f>
        <v/>
      </c>
      <c r="IH8" s="172">
        <f>MIN(1,MAX(VLOOKUP(($AJ8-$AI8-$AH8-$AG8-$AF8-$AE8*(1+IH$3))/$AJ8,'Технический лист'!$A:$B,2,1),(IG8-0.05)))</f>
        <v/>
      </c>
      <c r="II8" s="172">
        <f>MIN(1,MAX(VLOOKUP(($AJ8-$AI8-$AH8-$AG8-$AF8-$AE8*(1+II$3))/$AJ8,'Технический лист'!$A:$B,2,1),(IH8-0.05)))</f>
        <v/>
      </c>
      <c r="IJ8" s="172">
        <f>MIN(1,MAX(VLOOKUP(($AJ8-$AI8-$AH8-$AG8-$AF8-$AE8*(1+IJ$3))/$AJ8,'Технический лист'!$A:$B,2,1),(II8-0.05)))</f>
        <v/>
      </c>
      <c r="IK8" s="172">
        <f>MIN(1,MAX(VLOOKUP(($AJ8-$AI8-$AH8-$AG8-$AF8-$AE8*(1+IK$3))/$AJ8,'Технический лист'!$A:$B,2,1),(IJ8-0.05)))</f>
        <v/>
      </c>
      <c r="IL8" s="172">
        <f>MIN(1,MAX(VLOOKUP(($AJ8-$AI8-$AH8-$AG8-$AF8-$AE8*(1+IL$3))/$AJ8,'Технический лист'!$A:$B,2,1),(IK8-0.05)))</f>
        <v/>
      </c>
      <c r="IM8" s="172">
        <f>MIN(1,MAX(VLOOKUP(($AJ8-$AI8-$AH8-$AG8-$AF8-$AE8*(1+IM$3))/$AJ8,'Технический лист'!$A:$B,2,1),(IL8-0.05)))</f>
        <v/>
      </c>
      <c r="IN8" s="172">
        <f>MIN(1,MAX(VLOOKUP(($AJ8-$AI8-$AH8-$AG8-$AF8-$AE8*(1+IN$3))/$AJ8,'Технический лист'!$A:$B,2,1),(IM8-0.05)))</f>
        <v/>
      </c>
      <c r="IO8" s="172">
        <f>MIN(1,MAX(VLOOKUP(($AJ8-$AI8-$AH8-$AG8-$AF8-$AE8*(1+IO$3))/$AJ8,'Технический лист'!$A:$B,2,1),(IN8-0.05)))</f>
        <v/>
      </c>
      <c r="IP8" s="172">
        <f>MIN(1,MAX(VLOOKUP(($AJ8-$AI8-$AH8-$AG8-$AF8-$AE8*(1+IP$3))/$AJ8,'Технический лист'!$A:$B,2,1),(IO8-0.05)))</f>
        <v/>
      </c>
      <c r="IQ8" s="172">
        <f>MIN(1,MAX(VLOOKUP(($AJ8-$AI8-$AH8-$AG8-$AF8-$AE8*(1+IQ$3))/$AJ8,'Технический лист'!$A:$B,2,1),(IP8-0.05)))</f>
        <v/>
      </c>
      <c r="IR8" s="172">
        <f>MIN(1,MAX(VLOOKUP(($AJ8-$AI8-$AH8-$AG8-$AF8-$AE8*(1+IR$3))/$AJ8,'Технический лист'!$A:$B,2,1),(IQ8-0.05)))</f>
        <v/>
      </c>
    </row>
    <row r="9" ht="45" customHeight="1" s="123">
      <c r="A9" s="89" t="inlineStr">
        <is>
          <t>ЧМ (сырье)</t>
        </is>
      </c>
      <c r="B9" s="90" t="n">
        <v>2</v>
      </c>
      <c r="C9" s="5" t="inlineStr">
        <is>
          <t>Кокс каменноугольный</t>
        </is>
      </c>
      <c r="D9" s="91" t="n">
        <v>17106</v>
      </c>
      <c r="E9" s="91" t="inlineStr">
        <is>
          <t xml:space="preserve">Кокс литейный КЛ-1 </t>
        </is>
      </c>
      <c r="F9" s="92" t="inlineStr">
        <is>
          <t>КОКС КАМЕННОУГОЛЬНЫЙ</t>
        </is>
      </c>
      <c r="G9" s="91" t="inlineStr">
        <is>
          <t>СВР</t>
        </is>
      </c>
      <c r="H9" s="91" t="inlineStr">
        <is>
          <t>ВСБ</t>
        </is>
      </c>
      <c r="I9" s="91" t="inlineStr">
        <is>
          <t>СМЫЧКА</t>
        </is>
      </c>
      <c r="J9" s="91" t="inlineStr">
        <is>
          <t>ГОНЧАРОВО</t>
        </is>
      </c>
      <c r="K9" s="91" t="n">
        <v>3548</v>
      </c>
      <c r="L9" s="91" t="inlineStr">
        <is>
          <t>Полувагоны</t>
        </is>
      </c>
      <c r="M9" s="91" t="inlineStr">
        <is>
          <t>Внутр. перевозки</t>
        </is>
      </c>
      <c r="N9" s="91" t="inlineStr">
        <is>
          <t>вагонная</t>
        </is>
      </c>
      <c r="O9" s="91" t="inlineStr">
        <is>
          <t xml:space="preserve">Восточное </t>
        </is>
      </c>
      <c r="P9" s="89" t="inlineStr">
        <is>
          <t>'000080294056</t>
        </is>
      </c>
      <c r="Q9" s="91" t="inlineStr">
        <is>
          <t>ООО "ЕвразХолдинг"</t>
        </is>
      </c>
      <c r="R9" s="91" t="inlineStr">
        <is>
          <t>ООО "ЕвразХолдинг"</t>
        </is>
      </c>
      <c r="S9" s="87" t="n">
        <v>4069</v>
      </c>
      <c r="T9" s="87" t="n">
        <v>14438053</v>
      </c>
      <c r="U9" s="88" t="n">
        <v>70</v>
      </c>
      <c r="V9" s="88" t="n">
        <v>0</v>
      </c>
      <c r="W9" s="87" t="n">
        <v>8422842</v>
      </c>
      <c r="X9" s="112" t="n">
        <v>56</v>
      </c>
      <c r="Y9" s="112" t="inlineStr">
        <is>
          <t>групповая</t>
        </is>
      </c>
      <c r="Z9" s="113" t="n">
        <v>12</v>
      </c>
      <c r="AA9" s="113" t="n">
        <v>10</v>
      </c>
      <c r="AB9" s="113" t="n">
        <v>4</v>
      </c>
      <c r="AC9" s="161" t="n">
        <v>2331.39</v>
      </c>
      <c r="AD9" s="161">
        <f>AE9-AC9</f>
        <v/>
      </c>
      <c r="AE9" s="161" t="n">
        <v>3199.73</v>
      </c>
      <c r="AF9" s="162">
        <f>(Z9+AA9+AB9)*'Ставки аренды'!$B$3/X9</f>
        <v/>
      </c>
      <c r="AG9" s="163" t="n">
        <v>0</v>
      </c>
      <c r="AH9" s="164" t="n">
        <v>0</v>
      </c>
      <c r="AI9" s="165">
        <f>0.71*AVERAGE(AJ7,AJ8)</f>
        <v/>
      </c>
      <c r="AJ9" s="166">
        <f>Цены!$D$9</f>
        <v/>
      </c>
      <c r="AK9" s="164">
        <f>AJ9/Цены!$B$1</f>
        <v/>
      </c>
      <c r="AL9" s="164">
        <f>AE9+AF9+AG9</f>
        <v/>
      </c>
      <c r="AM9" s="164">
        <f>AJ9-AL9</f>
        <v/>
      </c>
      <c r="AN9" s="164">
        <f>AI9+AH9+AG9+AF9+AE9</f>
        <v/>
      </c>
      <c r="AO9" s="167">
        <f>(AJ9-AN9)/AJ9</f>
        <v/>
      </c>
      <c r="AP9" s="168">
        <f>AL9/AJ9</f>
        <v/>
      </c>
      <c r="AQ9" s="168">
        <f>AE9/AJ9</f>
        <v/>
      </c>
      <c r="AR9" s="168">
        <f>AE9/AL9</f>
        <v/>
      </c>
      <c r="AS9" s="169" t="n">
        <v>1</v>
      </c>
      <c r="AT9" s="121">
        <f>S9*AS9</f>
        <v/>
      </c>
      <c r="AU9" s="83" t="n">
        <v>0.85</v>
      </c>
      <c r="AV9" s="170">
        <f>(AJ9-(AE9*(1+$IS$2)+AF9+AG9+AH9+AI9))/AJ9</f>
        <v/>
      </c>
      <c r="AW9" s="171">
        <f>(AE9*(1+$IS$2)+AF9+AG9)/AJ9</f>
        <v/>
      </c>
      <c r="AX9" s="171">
        <f>(AE9*(1+$IS$2))/AJ9</f>
        <v/>
      </c>
      <c r="AY9" s="171">
        <f>(AE9*(1+$IS$2))/(AE9*(1+$IS$2)+AF9+AG9)</f>
        <v/>
      </c>
      <c r="AZ9" s="172">
        <f>MIN(IF($AU9=100%,1,1+VLOOKUP(($AJ9-$AI9-$AH9-$AG9-$AF9-$AE9*(1+AZ$3))/$AJ9,'Технический лист'!$A:$B,2,1)-VLOOKUP($AO9,'Технический лист'!$A:$B,2,1)),1+(1-$AU9))</f>
        <v/>
      </c>
      <c r="BA9" s="172">
        <f>MIN(IF($AU9=100%,1,1+VLOOKUP(($AJ9-$AI9-$AH9-$AG9-$AF9-$AE9*(1+BA$3))/$AJ9,'Технический лист'!$A:$B,2,1)-VLOOKUP($AO9,'Технический лист'!$A:$B,2,1)),1+(1-$AU9))</f>
        <v/>
      </c>
      <c r="BB9" s="172">
        <f>MIN(IF($AU9=100%,1,1+VLOOKUP(($AJ9-$AI9-$AH9-$AG9-$AF9-$AE9*(1+BB$3))/$AJ9,'Технический лист'!$A:$B,2,1)-VLOOKUP($AO9,'Технический лист'!$A:$B,2,1)),1+(1-$AU9))</f>
        <v/>
      </c>
      <c r="BC9" s="172">
        <f>MIN(IF($AU9=100%,1,1+VLOOKUP(($AJ9-$AI9-$AH9-$AG9-$AF9-$AE9*(1+BC$3))/$AJ9,'Технический лист'!$A:$B,2,1)-VLOOKUP($AO9,'Технический лист'!$A:$B,2,1)),1+(1-$AU9))</f>
        <v/>
      </c>
      <c r="BD9" s="172">
        <f>MIN(IF($AU9=100%,1,1+VLOOKUP(($AJ9-$AI9-$AH9-$AG9-$AF9-$AE9*(1+BD$3))/$AJ9,'Технический лист'!$A:$B,2,1)-VLOOKUP($AO9,'Технический лист'!$A:$B,2,1)),1+(1-$AU9))</f>
        <v/>
      </c>
      <c r="BE9" s="172">
        <f>MIN(IF($AU9=100%,1,1+VLOOKUP(($AJ9-$AI9-$AH9-$AG9-$AF9-$AE9*(1+BE$3))/$AJ9,'Технический лист'!$A:$B,2,1)-VLOOKUP($AO9,'Технический лист'!$A:$B,2,1)),1+(1-$AU9))</f>
        <v/>
      </c>
      <c r="BF9" s="172">
        <f>MIN(IF($AU9=100%,1,1+VLOOKUP(($AJ9-$AI9-$AH9-$AG9-$AF9-$AE9*(1+BF$3))/$AJ9,'Технический лист'!$A:$B,2,1)-VLOOKUP($AO9,'Технический лист'!$A:$B,2,1)),1+(1-$AU9))</f>
        <v/>
      </c>
      <c r="BG9" s="172">
        <f>MIN(IF($AU9=100%,1,1+VLOOKUP(($AJ9-$AI9-$AH9-$AG9-$AF9-$AE9*(1+BG$3))/$AJ9,'Технический лист'!$A:$B,2,1)-VLOOKUP($AO9,'Технический лист'!$A:$B,2,1)),1+(1-$AU9))</f>
        <v/>
      </c>
      <c r="BH9" s="172">
        <f>MIN(IF($AU9=100%,1,1+VLOOKUP(($AJ9-$AI9-$AH9-$AG9-$AF9-$AE9*(1+BH$3))/$AJ9,'Технический лист'!$A:$B,2,1)-VLOOKUP($AO9,'Технический лист'!$A:$B,2,1)),1+(1-$AU9))</f>
        <v/>
      </c>
      <c r="BI9" s="172">
        <f>MIN(IF($AU9=100%,1,1+VLOOKUP(($AJ9-$AI9-$AH9-$AG9-$AF9-$AE9*(1+BI$3))/$AJ9,'Технический лист'!$A:$B,2,1)-VLOOKUP($AO9,'Технический лист'!$A:$B,2,1)),1+(1-$AU9))</f>
        <v/>
      </c>
      <c r="BJ9" s="172">
        <f>MIN(IF($AU9=100%,1,1+VLOOKUP(($AJ9-$AI9-$AH9-$AG9-$AF9-$AE9*(1+BJ$3))/$AJ9,'Технический лист'!$A:$B,2,1)-VLOOKUP($AO9,'Технический лист'!$A:$B,2,1)),1+(1-$AU9))</f>
        <v/>
      </c>
      <c r="BK9" s="172">
        <f>MIN(IF($AU9=100%,1,1+VLOOKUP(($AJ9-$AI9-$AH9-$AG9-$AF9-$AE9*(1+BK$3))/$AJ9,'Технический лист'!$A:$B,2,1)-VLOOKUP($AO9,'Технический лист'!$A:$B,2,1)),1+(1-$AU9))</f>
        <v/>
      </c>
      <c r="BL9" s="172">
        <f>MIN(IF($AU9=100%,1,1+VLOOKUP(($AJ9-$AI9-$AH9-$AG9-$AF9-$AE9*(1+BL$3))/$AJ9,'Технический лист'!$A:$B,2,1)-VLOOKUP($AO9,'Технический лист'!$A:$B,2,1)),1+(1-$AU9))</f>
        <v/>
      </c>
      <c r="BM9" s="172">
        <f>MIN(IF($AU9=100%,1,1+VLOOKUP(($AJ9-$AI9-$AH9-$AG9-$AF9-$AE9*(1+BM$3))/$AJ9,'Технический лист'!$A:$B,2,1)-VLOOKUP($AO9,'Технический лист'!$A:$B,2,1)),1+(1-$AU9))</f>
        <v/>
      </c>
      <c r="BN9" s="172">
        <f>MIN(IF($AU9=100%,1,1+VLOOKUP(($AJ9-$AI9-$AH9-$AG9-$AF9-$AE9*(1+BN$3))/$AJ9,'Технический лист'!$A:$B,2,1)-VLOOKUP($AO9,'Технический лист'!$A:$B,2,1)),1+(1-$AU9))</f>
        <v/>
      </c>
      <c r="BO9" s="172">
        <f>MIN(IF($AU9=100%,1,1+VLOOKUP(($AJ9-$AI9-$AH9-$AG9-$AF9-$AE9*(1+BO$3))/$AJ9,'Технический лист'!$A:$B,2,1)-VLOOKUP($AO9,'Технический лист'!$A:$B,2,1)),1+(1-$AU9))</f>
        <v/>
      </c>
      <c r="BP9" s="172">
        <f>MIN(IF($AU9=100%,1,1+VLOOKUP(($AJ9-$AI9-$AH9-$AG9-$AF9-$AE9*(1+BP$3))/$AJ9,'Технический лист'!$A:$B,2,1)-VLOOKUP($AO9,'Технический лист'!$A:$B,2,1)),1+(1-$AU9))</f>
        <v/>
      </c>
      <c r="BQ9" s="172">
        <f>MIN(IF($AU9=100%,1,1+VLOOKUP(($AJ9-$AI9-$AH9-$AG9-$AF9-$AE9*(1+BQ$3))/$AJ9,'Технический лист'!$A:$B,2,1)-VLOOKUP($AO9,'Технический лист'!$A:$B,2,1)),1+(1-$AU9))</f>
        <v/>
      </c>
      <c r="BR9" s="172">
        <f>MIN(IF($AU9=100%,1,1+VLOOKUP(($AJ9-$AI9-$AH9-$AG9-$AF9-$AE9*(1+BR$3))/$AJ9,'Технический лист'!$A:$B,2,1)-VLOOKUP($AO9,'Технический лист'!$A:$B,2,1)),1+(1-$AU9))</f>
        <v/>
      </c>
      <c r="BS9" s="172">
        <f>MIN(IF($AU9=100%,1,1+VLOOKUP(($AJ9-$AI9-$AH9-$AG9-$AF9-$AE9*(1+BS$3))/$AJ9,'Технический лист'!$A:$B,2,1)-VLOOKUP($AO9,'Технический лист'!$A:$B,2,1)),1+(1-$AU9))</f>
        <v/>
      </c>
      <c r="BT9" s="172">
        <f>MIN(IF($AU9=100%,1,1+VLOOKUP(($AJ9-$AI9-$AH9-$AG9-$AF9-$AE9*(1+BT$3))/$AJ9,'Технический лист'!$A:$B,2,1)-VLOOKUP($AO9,'Технический лист'!$A:$B,2,1)),1+(1-$AU9))</f>
        <v/>
      </c>
      <c r="BU9" s="172">
        <f>MIN(IF($AU9=100%,1,1+VLOOKUP(($AJ9-$AI9-$AH9-$AG9-$AF9-$AE9*(1+BU$3))/$AJ9,'Технический лист'!$A:$B,2,1)-VLOOKUP($AO9,'Технический лист'!$A:$B,2,1)),1+(1-$AU9))</f>
        <v/>
      </c>
      <c r="BV9" s="172">
        <f>MIN(IF($AU9=100%,1,1+VLOOKUP(($AJ9-$AI9-$AH9-$AG9-$AF9-$AE9*(1+BV$3))/$AJ9,'Технический лист'!$A:$B,2,1)-VLOOKUP($AO9,'Технический лист'!$A:$B,2,1)),1+(1-$AU9))</f>
        <v/>
      </c>
      <c r="BW9" s="172">
        <f>MIN(IF($AU9=100%,1,1+VLOOKUP(($AJ9-$AI9-$AH9-$AG9-$AF9-$AE9*(1+BW$3))/$AJ9,'Технический лист'!$A:$B,2,1)-VLOOKUP($AO9,'Технический лист'!$A:$B,2,1)),1+(1-$AU9))</f>
        <v/>
      </c>
      <c r="BX9" s="172">
        <f>MIN(IF($AU9=100%,1,1+VLOOKUP(($AJ9-$AI9-$AH9-$AG9-$AF9-$AE9*(1+BX$3))/$AJ9,'Технический лист'!$A:$B,2,1)-VLOOKUP($AO9,'Технический лист'!$A:$B,2,1)),1+(1-$AU9))</f>
        <v/>
      </c>
      <c r="BY9" s="172">
        <f>MIN(IF($AU9=100%,1,1+VLOOKUP(($AJ9-$AI9-$AH9-$AG9-$AF9-$AE9*(1+BY$3))/$AJ9,'Технический лист'!$A:$B,2,1)-VLOOKUP($AO9,'Технический лист'!$A:$B,2,1)),1+(1-$AU9))</f>
        <v/>
      </c>
      <c r="BZ9" s="172">
        <f>MIN(IF($AU9=100%,1,1+VLOOKUP(($AJ9-$AI9-$AH9-$AG9-$AF9-$AE9*(1+BZ$3))/$AJ9,'Технический лист'!$A:$B,2,1)-VLOOKUP($AO9,'Технический лист'!$A:$B,2,1)),1+(1-$AU9))</f>
        <v/>
      </c>
      <c r="CA9" s="172">
        <f>MIN(IF($AU9=100%,1,1+VLOOKUP(($AJ9-$AI9-$AH9-$AG9-$AF9-$AE9*(1+CA$3))/$AJ9,'Технический лист'!$A:$B,2,1)-VLOOKUP($AO9,'Технический лист'!$A:$B,2,1)),1+(1-$AU9))</f>
        <v/>
      </c>
      <c r="CB9" s="172">
        <f>MIN(IF($AU9=100%,1,1+VLOOKUP(($AJ9-$AI9-$AH9-$AG9-$AF9-$AE9*(1+CB$3))/$AJ9,'Технический лист'!$A:$B,2,1)-VLOOKUP($AO9,'Технический лист'!$A:$B,2,1)),1+(1-$AU9))</f>
        <v/>
      </c>
      <c r="CC9" s="172">
        <f>MIN(IF($AU9=100%,1,1+VLOOKUP(($AJ9-$AI9-$AH9-$AG9-$AF9-$AE9*(1+CC$3))/$AJ9,'Технический лист'!$A:$B,2,1)-VLOOKUP($AO9,'Технический лист'!$A:$B,2,1)),1+(1-$AU9))</f>
        <v/>
      </c>
      <c r="CD9" s="172">
        <f>MIN(IF($AU9=100%,1,1+VLOOKUP(($AJ9-$AI9-$AH9-$AG9-$AF9-$AE9*(1+CD$3))/$AJ9,'Технический лист'!$A:$B,2,1)-VLOOKUP($AO9,'Технический лист'!$A:$B,2,1)),1+(1-$AU9))</f>
        <v/>
      </c>
      <c r="CE9" s="172">
        <f>MIN(IF($AU9=100%,1,1+VLOOKUP(($AJ9-$AI9-$AH9-$AG9-$AF9-$AE9*(1+CE$3))/$AJ9,'Технический лист'!$A:$B,2,1)-VLOOKUP($AO9,'Технический лист'!$A:$B,2,1)),1+(1-$AU9))</f>
        <v/>
      </c>
      <c r="CF9" s="172">
        <f>MIN(IF($AU9=100%,1,1+VLOOKUP(($AJ9-$AI9-$AH9-$AG9-$AF9-$AE9*(1+CF$3))/$AJ9,'Технический лист'!$A:$B,2,1)-VLOOKUP($AO9,'Технический лист'!$A:$B,2,1)),1+(1-$AU9))</f>
        <v/>
      </c>
      <c r="CG9" s="172">
        <f>MIN(IF($AU9=100%,1,1+VLOOKUP(($AJ9-$AI9-$AH9-$AG9-$AF9-$AE9*(1+CG$3))/$AJ9,'Технический лист'!$A:$B,2,1)-VLOOKUP($AO9,'Технический лист'!$A:$B,2,1)),1+(1-$AU9))</f>
        <v/>
      </c>
      <c r="CH9" s="172">
        <f>MIN(IF($AU9=100%,1,1+VLOOKUP(($AJ9-$AI9-$AH9-$AG9-$AF9-$AE9*(1+CH$3))/$AJ9,'Технический лист'!$A:$B,2,1)-VLOOKUP($AO9,'Технический лист'!$A:$B,2,1)),1+(1-$AU9))</f>
        <v/>
      </c>
      <c r="CI9" s="172">
        <f>MIN(IF($AU9=100%,1,1+VLOOKUP(($AJ9-$AI9-$AH9-$AG9-$AF9-$AE9*(1+CI$3))/$AJ9,'Технический лист'!$A:$B,2,1)-VLOOKUP($AO9,'Технический лист'!$A:$B,2,1)),1+(1-$AU9))</f>
        <v/>
      </c>
      <c r="CJ9" s="172">
        <f>MIN(IF($AU9=100%,1,1+VLOOKUP(($AJ9-$AI9-$AH9-$AG9-$AF9-$AE9*(1+CJ$3))/$AJ9,'Технический лист'!$A:$B,2,1)-VLOOKUP($AO9,'Технический лист'!$A:$B,2,1)),1+(1-$AU9))</f>
        <v/>
      </c>
      <c r="CK9" s="172">
        <f>MIN(IF($AU9=100%,1,1+VLOOKUP(($AJ9-$AI9-$AH9-$AG9-$AF9-$AE9*(1+CK$3))/$AJ9,'Технический лист'!$A:$B,2,1)-VLOOKUP($AO9,'Технический лист'!$A:$B,2,1)),1+(1-$AU9))</f>
        <v/>
      </c>
      <c r="CL9" s="172">
        <f>MIN(IF($AU9=100%,1,1+VLOOKUP(($AJ9-$AI9-$AH9-$AG9-$AF9-$AE9*(1+CL$3))/$AJ9,'Технический лист'!$A:$B,2,1)-VLOOKUP($AO9,'Технический лист'!$A:$B,2,1)),1+(1-$AU9))</f>
        <v/>
      </c>
      <c r="CM9" s="172">
        <f>MIN(IF($AU9=100%,1,1+VLOOKUP(($AJ9-$AI9-$AH9-$AG9-$AF9-$AE9*(1+CM$3))/$AJ9,'Технический лист'!$A:$B,2,1)-VLOOKUP($AO9,'Технический лист'!$A:$B,2,1)),1+(1-$AU9))</f>
        <v/>
      </c>
      <c r="CN9" s="172">
        <f>MIN(IF($AU9=100%,1,1+VLOOKUP(($AJ9-$AI9-$AH9-$AG9-$AF9-$AE9*(1+CN$3))/$AJ9,'Технический лист'!$A:$B,2,1)-VLOOKUP($AO9,'Технический лист'!$A:$B,2,1)),1+(1-$AU9))</f>
        <v/>
      </c>
      <c r="CO9" s="172">
        <f>MIN(IF($AU9=100%,1,1+VLOOKUP(($AJ9-$AI9-$AH9-$AG9-$AF9-$AE9*(1+CO$3))/$AJ9,'Технический лист'!$A:$B,2,1)-VLOOKUP($AO9,'Технический лист'!$A:$B,2,1)),1+(1-$AU9))</f>
        <v/>
      </c>
      <c r="CP9" s="172">
        <f>MIN(IF($AU9=100%,1,1+VLOOKUP(($AJ9-$AI9-$AH9-$AG9-$AF9-$AE9*(1+CP$3))/$AJ9,'Технический лист'!$A:$B,2,1)-VLOOKUP($AO9,'Технический лист'!$A:$B,2,1)),1+(1-$AU9))</f>
        <v/>
      </c>
      <c r="CQ9" s="172">
        <f>MIN(IF($AU9=100%,1,1+VLOOKUP(($AJ9-$AI9-$AH9-$AG9-$AF9-$AE9*(1+CQ$3))/$AJ9,'Технический лист'!$A:$B,2,1)-VLOOKUP($AO9,'Технический лист'!$A:$B,2,1)),1+(1-$AU9))</f>
        <v/>
      </c>
      <c r="CR9" s="172">
        <f>MIN(IF($AU9=100%,1,1+VLOOKUP(($AJ9-$AI9-$AH9-$AG9-$AF9-$AE9*(1+CR$3))/$AJ9,'Технический лист'!$A:$B,2,1)-VLOOKUP($AO9,'Технический лист'!$A:$B,2,1)),1+(1-$AU9))</f>
        <v/>
      </c>
      <c r="CS9" s="172">
        <f>MIN(IF($AU9=100%,1,1+VLOOKUP(($AJ9-$AI9-$AH9-$AG9-$AF9-$AE9*(1+CS$3))/$AJ9,'Технический лист'!$A:$B,2,1)-VLOOKUP($AO9,'Технический лист'!$A:$B,2,1)),1+(1-$AU9))</f>
        <v/>
      </c>
      <c r="CT9" s="172">
        <f>MIN(IF($AU9=100%,1,1+VLOOKUP(($AJ9-$AI9-$AH9-$AG9-$AF9-$AE9*(1+CT$3))/$AJ9,'Технический лист'!$A:$B,2,1)-VLOOKUP($AO9,'Технический лист'!$A:$B,2,1)),1+(1-$AU9))</f>
        <v/>
      </c>
      <c r="CU9" s="172">
        <f>MIN(IF($AU9=100%,1,1+VLOOKUP(($AJ9-$AI9-$AH9-$AG9-$AF9-$AE9*(1+CU$3))/$AJ9,'Технический лист'!$A:$B,2,1)-VLOOKUP($AO9,'Технический лист'!$A:$B,2,1)),1+(1-$AU9))</f>
        <v/>
      </c>
      <c r="CV9" s="172">
        <f>MIN(IF($AU9=100%,1,1+VLOOKUP(($AJ9-$AI9-$AH9-$AG9-$AF9-$AE9*(1+CV$3))/$AJ9,'Технический лист'!$A:$B,2,1)-VLOOKUP($AO9,'Технический лист'!$A:$B,2,1)),1+(1-$AU9))</f>
        <v/>
      </c>
      <c r="CW9" s="172">
        <f>MIN(IF($AU9=100%,1,1+VLOOKUP(($AJ9-$AI9-$AH9-$AG9-$AF9-$AE9*(1+CW$3))/$AJ9,'Технический лист'!$A:$B,2,1)-VLOOKUP($AO9,'Технический лист'!$A:$B,2,1)),1+(1-$AU9))</f>
        <v/>
      </c>
      <c r="CX9" s="172">
        <f>MIN(IF($AU9=100%,1,1+VLOOKUP(($AJ9-$AI9-$AH9-$AG9-$AF9-$AE9*(1+CX$3))/$AJ9,'Технический лист'!$A:$B,2,1)-VLOOKUP($AO9,'Технический лист'!$A:$B,2,1)),1+(1-$AU9))</f>
        <v/>
      </c>
      <c r="CY9" s="172">
        <f>MIN(IF($AU9=100%,1,1+VLOOKUP(($AJ9-$AI9-$AH9-$AG9-$AF9-$AE9*(1+CY$3))/$AJ9,'Технический лист'!$A:$B,2,1)-VLOOKUP($AO9,'Технический лист'!$A:$B,2,1)),1+(1-$AU9))</f>
        <v/>
      </c>
      <c r="CZ9" s="172">
        <f>MIN(IF($AU9=100%,1,1+VLOOKUP(($AJ9-$AI9-$AH9-$AG9-$AF9-$AE9*(1+CZ$3))/$AJ9,'Технический лист'!$A:$B,2,1)-VLOOKUP($AO9,'Технический лист'!$A:$B,2,1)),1+(1-$AU9))</f>
        <v/>
      </c>
      <c r="DA9" s="172">
        <f>MIN(IF($AU9=100%,1,1+VLOOKUP(($AJ9-$AI9-$AH9-$AG9-$AF9-$AE9*(1+DA$3))/$AJ9,'Технический лист'!$A:$B,2,1)-VLOOKUP($AO9,'Технический лист'!$A:$B,2,1)),1+(1-$AU9))</f>
        <v/>
      </c>
      <c r="DB9" s="172">
        <f>MIN(IF($AU9=100%,1,1+VLOOKUP(($AJ9-$AI9-$AH9-$AG9-$AF9-$AE9*(1+DB$3))/$AJ9,'Технический лист'!$A:$B,2,1)-VLOOKUP($AO9,'Технический лист'!$A:$B,2,1)),1+(1-$AU9))</f>
        <v/>
      </c>
      <c r="DC9" s="172">
        <f>MIN(IF($AU9=100%,1,1+VLOOKUP(($AJ9-$AI9-$AH9-$AG9-$AF9-$AE9*(1+DC$3))/$AJ9,'Технический лист'!$A:$B,2,1)-VLOOKUP($AO9,'Технический лист'!$A:$B,2,1)),1+(1-$AU9))</f>
        <v/>
      </c>
      <c r="DD9" s="172">
        <f>MIN(IF($AU9=100%,1,1+VLOOKUP(($AJ9-$AI9-$AH9-$AG9-$AF9-$AE9*(1+DD$3))/$AJ9,'Технический лист'!$A:$B,2,1)-VLOOKUP($AO9,'Технический лист'!$A:$B,2,1)),1+(1-$AU9))</f>
        <v/>
      </c>
      <c r="DE9" s="172">
        <f>MIN(IF($AU9=100%,1,1+VLOOKUP(($AJ9-$AI9-$AH9-$AG9-$AF9-$AE9*(1+DE$3))/$AJ9,'Технический лист'!$A:$B,2,1)-VLOOKUP($AO9,'Технический лист'!$A:$B,2,1)),1+(1-$AU9))</f>
        <v/>
      </c>
      <c r="DF9" s="172">
        <f>MIN(IF($AU9=100%,1,1+VLOOKUP(($AJ9-$AI9-$AH9-$AG9-$AF9-$AE9*(1+DF$3))/$AJ9,'Технический лист'!$A:$B,2,1)-VLOOKUP($AO9,'Технический лист'!$A:$B,2,1)),1+(1-$AU9))</f>
        <v/>
      </c>
      <c r="DG9" s="172">
        <f>MIN(IF($AU9=100%,1,1+VLOOKUP(($AJ9-$AI9-$AH9-$AG9-$AF9-$AE9*(1+DG$3))/$AJ9,'Технический лист'!$A:$B,2,1)-VLOOKUP($AO9,'Технический лист'!$A:$B,2,1)),1+(1-$AU9))</f>
        <v/>
      </c>
      <c r="DH9" s="172">
        <f>MIN(IF($AU9=100%,1,1+VLOOKUP(($AJ9-$AI9-$AH9-$AG9-$AF9-$AE9*(1+DH$3))/$AJ9,'Технический лист'!$A:$B,2,1)-VLOOKUP($AO9,'Технический лист'!$A:$B,2,1)),1+(1-$AU9))</f>
        <v/>
      </c>
      <c r="DI9" s="172">
        <f>MIN(IF($AU9=100%,1,1+VLOOKUP(($AJ9-$AI9-$AH9-$AG9-$AF9-$AE9*(1+DI$3))/$AJ9,'Технический лист'!$A:$B,2,1)-VLOOKUP($AO9,'Технический лист'!$A:$B,2,1)),1+(1-$AU9))</f>
        <v/>
      </c>
      <c r="DJ9" s="172">
        <f>MIN(IF($AU9=100%,1,1+VLOOKUP(($AJ9-$AI9-$AH9-$AG9-$AF9-$AE9*(1+DJ$3))/$AJ9,'Технический лист'!$A:$B,2,1)-VLOOKUP($AO9,'Технический лист'!$A:$B,2,1)),1+(1-$AU9))</f>
        <v/>
      </c>
      <c r="DK9" s="172">
        <f>MIN(IF($AU9=100%,1,1+VLOOKUP(($AJ9-$AI9-$AH9-$AG9-$AF9-$AE9*(1+DK$3))/$AJ9,'Технический лист'!$A:$B,2,1)-VLOOKUP($AO9,'Технический лист'!$A:$B,2,1)),1+(1-$AU9))</f>
        <v/>
      </c>
      <c r="DL9" s="172">
        <f>MIN(IF($AU9=100%,1,1+VLOOKUP(($AJ9-$AI9-$AH9-$AG9-$AF9-$AE9*(1+DL$3))/$AJ9,'Технический лист'!$A:$B,2,1)-VLOOKUP($AO9,'Технический лист'!$A:$B,2,1)),1+(1-$AU9))</f>
        <v/>
      </c>
      <c r="DM9" s="172">
        <f>MIN(IF($AU9=100%,1,1+VLOOKUP(($AJ9-$AI9-$AH9-$AG9-$AF9-$AE9*(1+DM$3))/$AJ9,'Технический лист'!$A:$B,2,1)-VLOOKUP($AO9,'Технический лист'!$A:$B,2,1)),1+(1-$AU9))</f>
        <v/>
      </c>
      <c r="DN9" s="172">
        <f>MIN(IF($AU9=100%,1,1+VLOOKUP(($AJ9-$AI9-$AH9-$AG9-$AF9-$AE9*(1+DN$3))/$AJ9,'Технический лист'!$A:$B,2,1)-VLOOKUP($AO9,'Технический лист'!$A:$B,2,1)),1+(1-$AU9))</f>
        <v/>
      </c>
      <c r="DO9" s="172">
        <f>MIN(IF($AU9=100%,1,1+VLOOKUP(($AJ9-$AI9-$AH9-$AG9-$AF9-$AE9*(1+DO$3))/$AJ9,'Технический лист'!$A:$B,2,1)-VLOOKUP($AO9,'Технический лист'!$A:$B,2,1)),1+(1-$AU9))</f>
        <v/>
      </c>
      <c r="DP9" s="172">
        <f>MIN(IF($AU9=100%,1,1+VLOOKUP(($AJ9-$AI9-$AH9-$AG9-$AF9-$AE9*(1+DP$3))/$AJ9,'Технический лист'!$A:$B,2,1)-VLOOKUP($AO9,'Технический лист'!$A:$B,2,1)),1+(1-$AU9))</f>
        <v/>
      </c>
      <c r="DQ9" s="172">
        <f>MIN(IF($AU9=100%,1,1+VLOOKUP(($AJ9-$AI9-$AH9-$AG9-$AF9-$AE9*(1+DQ$3))/$AJ9,'Технический лист'!$A:$B,2,1)-VLOOKUP($AO9,'Технический лист'!$A:$B,2,1)),1+(1-$AU9))</f>
        <v/>
      </c>
      <c r="DR9" s="172">
        <f>MIN(IF($AU9=100%,1,1+VLOOKUP(($AJ9-$AI9-$AH9-$AG9-$AF9-$AE9*(1+DR$3))/$AJ9,'Технический лист'!$A:$B,2,1)-VLOOKUP($AO9,'Технический лист'!$A:$B,2,1)),1+(1-$AU9))</f>
        <v/>
      </c>
      <c r="DS9" s="172">
        <f>MIN(IF($AU9=100%,1,1+VLOOKUP(($AJ9-$AI9-$AH9-$AG9-$AF9-$AE9*(1+DS$3))/$AJ9,'Технический лист'!$A:$B,2,1)-VLOOKUP($AO9,'Технический лист'!$A:$B,2,1)),1+(1-$AU9))</f>
        <v/>
      </c>
      <c r="DT9" s="172">
        <f>MIN(IF($AU9=100%,1,1+VLOOKUP(($AJ9-$AI9-$AH9-$AG9-$AF9-$AE9*(1+DT$3))/$AJ9,'Технический лист'!$A:$B,2,1)-VLOOKUP($AO9,'Технический лист'!$A:$B,2,1)),1+(1-$AU9))</f>
        <v/>
      </c>
      <c r="DU9" s="172">
        <f>MIN(IF($AU9=100%,1,1+VLOOKUP(($AJ9-$AI9-$AH9-$AG9-$AF9-$AE9*(1+DU$3))/$AJ9,'Технический лист'!$A:$B,2,1)-VLOOKUP($AO9,'Технический лист'!$A:$B,2,1)),1+(1-$AU9))</f>
        <v/>
      </c>
      <c r="DV9" s="172">
        <f>MIN(IF($AU9=100%,1,1+VLOOKUP(($AJ9-$AI9-$AH9-$AG9-$AF9-$AE9*(1+DV$3))/$AJ9,'Технический лист'!$A:$B,2,1)-VLOOKUP($AO9,'Технический лист'!$A:$B,2,1)),1+(1-$AU9))</f>
        <v/>
      </c>
      <c r="DW9" s="172">
        <f>MIN(IF($AU9=100%,1,1+VLOOKUP(($AJ9-$AI9-$AH9-$AG9-$AF9-$AE9*(1+DW$3))/$AJ9,'Технический лист'!$A:$B,2,1)-VLOOKUP($AO9,'Технический лист'!$A:$B,2,1)),1+(1-$AU9))</f>
        <v/>
      </c>
      <c r="DX9" s="172">
        <f>MIN(IF($AU9=100%,1,1+VLOOKUP(($AJ9-$AI9-$AH9-$AG9-$AF9-$AE9*(1+DX$3))/$AJ9,'Технический лист'!$A:$B,2,1)-VLOOKUP($AO9,'Технический лист'!$A:$B,2,1)),1+(1-$AU9))</f>
        <v/>
      </c>
      <c r="DY9" s="172">
        <f>MIN(IF($AU9=100%,1,1+VLOOKUP(($AJ9-$AI9-$AH9-$AG9-$AF9-$AE9*(1+DY$3))/$AJ9,'Технический лист'!$A:$B,2,1)-VLOOKUP($AO9,'Технический лист'!$A:$B,2,1)),1+(1-$AU9))</f>
        <v/>
      </c>
      <c r="DZ9" s="172">
        <f>MIN(IF($AU9=100%,1,1+VLOOKUP(($AJ9-$AI9-$AH9-$AG9-$AF9-$AE9*(1+DZ$3))/$AJ9,'Технический лист'!$A:$B,2,1)-VLOOKUP($AO9,'Технический лист'!$A:$B,2,1)),1+(1-$AU9))</f>
        <v/>
      </c>
      <c r="EA9" s="172">
        <f>MIN(IF($AU9=100%,1,1+VLOOKUP(($AJ9-$AI9-$AH9-$AG9-$AF9-$AE9*(1+EA$3))/$AJ9,'Технический лист'!$A:$B,2,1)-VLOOKUP($AO9,'Технический лист'!$A:$B,2,1)),1+(1-$AU9))</f>
        <v/>
      </c>
      <c r="EB9" s="172">
        <f>MIN(IF($AU9=100%,1,1+VLOOKUP(($AJ9-$AI9-$AH9-$AG9-$AF9-$AE9*(1+EB$3))/$AJ9,'Технический лист'!$A:$B,2,1)-VLOOKUP($AO9,'Технический лист'!$A:$B,2,1)),1+(1-$AU9))</f>
        <v/>
      </c>
      <c r="EC9" s="172">
        <f>MIN(IF($AU9=100%,1,1+VLOOKUP(($AJ9-$AI9-$AH9-$AG9-$AF9-$AE9*(1+EC$3))/$AJ9,'Технический лист'!$A:$B,2,1)-VLOOKUP($AO9,'Технический лист'!$A:$B,2,1)),1+(1-$AU9))</f>
        <v/>
      </c>
      <c r="ED9" s="172">
        <f>MIN(IF($AU9=100%,1,1+VLOOKUP(($AJ9-$AI9-$AH9-$AG9-$AF9-$AE9*(1+ED$3))/$AJ9,'Технический лист'!$A:$B,2,1)-VLOOKUP($AO9,'Технический лист'!$A:$B,2,1)),1+(1-$AU9))</f>
        <v/>
      </c>
      <c r="EE9" s="172">
        <f>MIN(IF($AU9=100%,1,1+VLOOKUP(($AJ9-$AI9-$AH9-$AG9-$AF9-$AE9*(1+EE$3))/$AJ9,'Технический лист'!$A:$B,2,1)-VLOOKUP($AO9,'Технический лист'!$A:$B,2,1)),1+(1-$AU9))</f>
        <v/>
      </c>
      <c r="EF9" s="172">
        <f>MIN(IF($AU9=100%,1,1+VLOOKUP(($AJ9-$AI9-$AH9-$AG9-$AF9-$AE9*(1+EF$3))/$AJ9,'Технический лист'!$A:$B,2,1)-VLOOKUP($AO9,'Технический лист'!$A:$B,2,1)),1+(1-$AU9))</f>
        <v/>
      </c>
      <c r="EG9" s="172">
        <f>MIN(IF($AU9=100%,1,1+VLOOKUP(($AJ9-$AI9-$AH9-$AG9-$AF9-$AE9*(1+EG$3))/$AJ9,'Технический лист'!$A:$B,2,1)-VLOOKUP($AO9,'Технический лист'!$A:$B,2,1)),1+(1-$AU9))</f>
        <v/>
      </c>
      <c r="EH9" s="172">
        <f>MIN(IF($AU9=100%,1,1+VLOOKUP(($AJ9-$AI9-$AH9-$AG9-$AF9-$AE9*(1+EH$3))/$AJ9,'Технический лист'!$A:$B,2,1)-VLOOKUP($AO9,'Технический лист'!$A:$B,2,1)),1+(1-$AU9))</f>
        <v/>
      </c>
      <c r="EI9" s="172">
        <f>MIN(IF($AU9=100%,1,1+VLOOKUP(($AJ9-$AI9-$AH9-$AG9-$AF9-$AE9*(1+EI$3))/$AJ9,'Технический лист'!$A:$B,2,1)-VLOOKUP($AO9,'Технический лист'!$A:$B,2,1)),1+(1-$AU9))</f>
        <v/>
      </c>
      <c r="EJ9" s="172">
        <f>MIN(IF($AU9=100%,1,1+VLOOKUP(($AJ9-$AI9-$AH9-$AG9-$AF9-$AE9*(1+EJ$3))/$AJ9,'Технический лист'!$A:$B,2,1)-VLOOKUP($AO9,'Технический лист'!$A:$B,2,1)),1+(1-$AU9))</f>
        <v/>
      </c>
      <c r="EK9" s="172">
        <f>MIN(IF($AU9=100%,1,1+VLOOKUP(($AJ9-$AI9-$AH9-$AG9-$AF9-$AE9*(1+EK$3))/$AJ9,'Технический лист'!$A:$B,2,1)-VLOOKUP($AO9,'Технический лист'!$A:$B,2,1)),1+(1-$AU9))</f>
        <v/>
      </c>
      <c r="EL9" s="172">
        <f>MIN(IF($AU9=100%,1,1+VLOOKUP(($AJ9-$AI9-$AH9-$AG9-$AF9-$AE9*(1+EL$3))/$AJ9,'Технический лист'!$A:$B,2,1)-VLOOKUP($AO9,'Технический лист'!$A:$B,2,1)),1+(1-$AU9))</f>
        <v/>
      </c>
      <c r="EM9" s="172">
        <f>MIN(IF($AU9=100%,1,1+VLOOKUP(($AJ9-$AI9-$AH9-$AG9-$AF9-$AE9*(1+EM$3))/$AJ9,'Технический лист'!$A:$B,2,1)-VLOOKUP($AO9,'Технический лист'!$A:$B,2,1)),1+(1-$AU9))</f>
        <v/>
      </c>
      <c r="EN9" s="172">
        <f>MIN(IF($AU9=100%,1,1+VLOOKUP(($AJ9-$AI9-$AH9-$AG9-$AF9-$AE9*(1+EN$3))/$AJ9,'Технический лист'!$A:$B,2,1)-VLOOKUP($AO9,'Технический лист'!$A:$B,2,1)),1+(1-$AU9))</f>
        <v/>
      </c>
      <c r="EO9" s="172">
        <f>MIN(IF($AU9=100%,1,1+VLOOKUP(($AJ9-$AI9-$AH9-$AG9-$AF9-$AE9*(1+EO$3))/$AJ9,'Технический лист'!$A:$B,2,1)-VLOOKUP($AO9,'Технический лист'!$A:$B,2,1)),1+(1-$AU9))</f>
        <v/>
      </c>
      <c r="EP9" s="172">
        <f>MIN(IF($AU9=100%,1,1+VLOOKUP(($AJ9-$AI9-$AH9-$AG9-$AF9-$AE9*(1+EP$3))/$AJ9,'Технический лист'!$A:$B,2,1)-VLOOKUP($AO9,'Технический лист'!$A:$B,2,1)),1+(1-$AU9))</f>
        <v/>
      </c>
      <c r="EQ9" s="172">
        <f>MIN(IF($AU9=100%,1,1+VLOOKUP(($AJ9-$AI9-$AH9-$AG9-$AF9-$AE9*(1+EQ$3))/$AJ9,'Технический лист'!$A:$B,2,1)-VLOOKUP($AO9,'Технический лист'!$A:$B,2,1)),1+(1-$AU9))</f>
        <v/>
      </c>
      <c r="ER9" s="172">
        <f>MIN(IF($AU9=100%,1,1+VLOOKUP(($AJ9-$AI9-$AH9-$AG9-$AF9-$AE9*(1+ER$3))/$AJ9,'Технический лист'!$A:$B,2,1)-VLOOKUP($AO9,'Технический лист'!$A:$B,2,1)),1+(1-$AU9))</f>
        <v/>
      </c>
      <c r="ES9" s="172">
        <f>MIN(IF($AU9=100%,1,1+VLOOKUP(($AJ9-$AI9-$AH9-$AG9-$AF9-$AE9*(1+ES$3))/$AJ9,'Технический лист'!$A:$B,2,1)-VLOOKUP($AO9,'Технический лист'!$A:$B,2,1)),1+(1-$AU9))</f>
        <v/>
      </c>
      <c r="ET9" s="172">
        <f>MIN(IF($AU9=100%,1,1+VLOOKUP(($AJ9-$AI9-$AH9-$AG9-$AF9-$AE9*(1+ET$3))/$AJ9,'Технический лист'!$A:$B,2,1)-VLOOKUP($AO9,'Технический лист'!$A:$B,2,1)),1+(1-$AU9))</f>
        <v/>
      </c>
      <c r="EU9" s="172">
        <f>MIN(IF($AU9=100%,1,1+VLOOKUP(($AJ9-$AI9-$AH9-$AG9-$AF9-$AE9*(1+EU$3))/$AJ9,'Технический лист'!$A:$B,2,1)-VLOOKUP($AO9,'Технический лист'!$A:$B,2,1)),1+(1-$AU9))</f>
        <v/>
      </c>
      <c r="EV9" s="173" t="n">
        <v>1</v>
      </c>
      <c r="EW9" s="172">
        <f>MIN(1,MAX(VLOOKUP(($AJ9-$AI9-$AH9-$AG9-$AF9-$AE9*(1+EW$3))/$AJ9,'Технический лист'!$A:$B,2,1),(EV9-0.05)))</f>
        <v/>
      </c>
      <c r="EX9" s="172">
        <f>MIN(1,MAX(VLOOKUP(($AJ9-$AI9-$AH9-$AG9-$AF9-$AE9*(1+EX$3))/$AJ9,'Технический лист'!$A:$B,2,1),(EW9-0.05)))</f>
        <v/>
      </c>
      <c r="EY9" s="172">
        <f>MIN(1,MAX(VLOOKUP(($AJ9-$AI9-$AH9-$AG9-$AF9-$AE9*(1+EY$3))/$AJ9,'Технический лист'!$A:$B,2,1),(EX9-0.05)))</f>
        <v/>
      </c>
      <c r="EZ9" s="172">
        <f>MIN(1,MAX(VLOOKUP(($AJ9-$AI9-$AH9-$AG9-$AF9-$AE9*(1+EZ$3))/$AJ9,'Технический лист'!$A:$B,2,1),(EY9-0.05)))</f>
        <v/>
      </c>
      <c r="FA9" s="172">
        <f>MIN(1,MAX(VLOOKUP(($AJ9-$AI9-$AH9-$AG9-$AF9-$AE9*(1+FA$3))/$AJ9,'Технический лист'!$A:$B,2,1),(EZ9-0.05)))</f>
        <v/>
      </c>
      <c r="FB9" s="172">
        <f>MIN(1,MAX(VLOOKUP(($AJ9-$AI9-$AH9-$AG9-$AF9-$AE9*(1+FB$3))/$AJ9,'Технический лист'!$A:$B,2,1),(FA9-0.05)))</f>
        <v/>
      </c>
      <c r="FC9" s="172">
        <f>MIN(1,MAX(VLOOKUP(($AJ9-$AI9-$AH9-$AG9-$AF9-$AE9*(1+FC$3))/$AJ9,'Технический лист'!$A:$B,2,1),(FB9-0.05)))</f>
        <v/>
      </c>
      <c r="FD9" s="172">
        <f>MIN(1,MAX(VLOOKUP(($AJ9-$AI9-$AH9-$AG9-$AF9-$AE9*(1+FD$3))/$AJ9,'Технический лист'!$A:$B,2,1),(FC9-0.05)))</f>
        <v/>
      </c>
      <c r="FE9" s="172">
        <f>MIN(1,MAX(VLOOKUP(($AJ9-$AI9-$AH9-$AG9-$AF9-$AE9*(1+FE$3))/$AJ9,'Технический лист'!$A:$B,2,1),(FD9-0.05)))</f>
        <v/>
      </c>
      <c r="FF9" s="172">
        <f>MIN(1,MAX(VLOOKUP(($AJ9-$AI9-$AH9-$AG9-$AF9-$AE9*(1+FF$3))/$AJ9,'Технический лист'!$A:$B,2,1),(FE9-0.05)))</f>
        <v/>
      </c>
      <c r="FG9" s="172">
        <f>MIN(1,MAX(VLOOKUP(($AJ9-$AI9-$AH9-$AG9-$AF9-$AE9*(1+FG$3))/$AJ9,'Технический лист'!$A:$B,2,1),(FF9-0.05)))</f>
        <v/>
      </c>
      <c r="FH9" s="172">
        <f>MIN(1,MAX(VLOOKUP(($AJ9-$AI9-$AH9-$AG9-$AF9-$AE9*(1+FH$3))/$AJ9,'Технический лист'!$A:$B,2,1),(FG9-0.05)))</f>
        <v/>
      </c>
      <c r="FI9" s="172">
        <f>MIN(1,MAX(VLOOKUP(($AJ9-$AI9-$AH9-$AG9-$AF9-$AE9*(1+FI$3))/$AJ9,'Технический лист'!$A:$B,2,1),(FH9-0.05)))</f>
        <v/>
      </c>
      <c r="FJ9" s="172">
        <f>MIN(1,MAX(VLOOKUP(($AJ9-$AI9-$AH9-$AG9-$AF9-$AE9*(1+FJ$3))/$AJ9,'Технический лист'!$A:$B,2,1),(FI9-0.05)))</f>
        <v/>
      </c>
      <c r="FK9" s="172">
        <f>MIN(1,MAX(VLOOKUP(($AJ9-$AI9-$AH9-$AG9-$AF9-$AE9*(1+FK$3))/$AJ9,'Технический лист'!$A:$B,2,1),(FJ9-0.05)))</f>
        <v/>
      </c>
      <c r="FL9" s="172">
        <f>MIN(1,MAX(VLOOKUP(($AJ9-$AI9-$AH9-$AG9-$AF9-$AE9*(1+FL$3))/$AJ9,'Технический лист'!$A:$B,2,1),(FK9-0.05)))</f>
        <v/>
      </c>
      <c r="FM9" s="172">
        <f>MIN(1,MAX(VLOOKUP(($AJ9-$AI9-$AH9-$AG9-$AF9-$AE9*(1+FM$3))/$AJ9,'Технический лист'!$A:$B,2,1),(FL9-0.05)))</f>
        <v/>
      </c>
      <c r="FN9" s="172">
        <f>MIN(1,MAX(VLOOKUP(($AJ9-$AI9-$AH9-$AG9-$AF9-$AE9*(1+FN$3))/$AJ9,'Технический лист'!$A:$B,2,1),(FM9-0.05)))</f>
        <v/>
      </c>
      <c r="FO9" s="172">
        <f>MIN(1,MAX(VLOOKUP(($AJ9-$AI9-$AH9-$AG9-$AF9-$AE9*(1+FO$3))/$AJ9,'Технический лист'!$A:$B,2,1),(FN9-0.05)))</f>
        <v/>
      </c>
      <c r="FP9" s="172">
        <f>MIN(1,MAX(VLOOKUP(($AJ9-$AI9-$AH9-$AG9-$AF9-$AE9*(1+FP$3))/$AJ9,'Технический лист'!$A:$B,2,1),(FO9-0.05)))</f>
        <v/>
      </c>
      <c r="FQ9" s="172">
        <f>MIN(1,MAX(VLOOKUP(($AJ9-$AI9-$AH9-$AG9-$AF9-$AE9*(1+FQ$3))/$AJ9,'Технический лист'!$A:$B,2,1),(FP9-0.05)))</f>
        <v/>
      </c>
      <c r="FR9" s="172">
        <f>MIN(1,MAX(VLOOKUP(($AJ9-$AI9-$AH9-$AG9-$AF9-$AE9*(1+FR$3))/$AJ9,'Технический лист'!$A:$B,2,1),(FQ9-0.05)))</f>
        <v/>
      </c>
      <c r="FS9" s="172">
        <f>MIN(1,MAX(VLOOKUP(($AJ9-$AI9-$AH9-$AG9-$AF9-$AE9*(1+FS$3))/$AJ9,'Технический лист'!$A:$B,2,1),(FR9-0.05)))</f>
        <v/>
      </c>
      <c r="FT9" s="172">
        <f>MIN(1,MAX(VLOOKUP(($AJ9-$AI9-$AH9-$AG9-$AF9-$AE9*(1+FT$3))/$AJ9,'Технический лист'!$A:$B,2,1),(FS9-0.05)))</f>
        <v/>
      </c>
      <c r="FU9" s="172">
        <f>MIN(1,MAX(VLOOKUP(($AJ9-$AI9-$AH9-$AG9-$AF9-$AE9*(1+FU$3))/$AJ9,'Технический лист'!$A:$B,2,1),(FT9-0.05)))</f>
        <v/>
      </c>
      <c r="FV9" s="172">
        <f>MIN(1,MAX(VLOOKUP(($AJ9-$AI9-$AH9-$AG9-$AF9-$AE9*(1+FV$3))/$AJ9,'Технический лист'!$A:$B,2,1),(FU9-0.05)))</f>
        <v/>
      </c>
      <c r="FW9" s="172">
        <f>MIN(1,MAX(VLOOKUP(($AJ9-$AI9-$AH9-$AG9-$AF9-$AE9*(1+FW$3))/$AJ9,'Технический лист'!$A:$B,2,1),(FV9-0.05)))</f>
        <v/>
      </c>
      <c r="FX9" s="172">
        <f>MIN(1,MAX(VLOOKUP(($AJ9-$AI9-$AH9-$AG9-$AF9-$AE9*(1+FX$3))/$AJ9,'Технический лист'!$A:$B,2,1),(FW9-0.05)))</f>
        <v/>
      </c>
      <c r="FY9" s="172">
        <f>MIN(1,MAX(VLOOKUP(($AJ9-$AI9-$AH9-$AG9-$AF9-$AE9*(1+FY$3))/$AJ9,'Технический лист'!$A:$B,2,1),(FX9-0.05)))</f>
        <v/>
      </c>
      <c r="FZ9" s="172">
        <f>MIN(1,MAX(VLOOKUP(($AJ9-$AI9-$AH9-$AG9-$AF9-$AE9*(1+FZ$3))/$AJ9,'Технический лист'!$A:$B,2,1),(FY9-0.05)))</f>
        <v/>
      </c>
      <c r="GA9" s="172">
        <f>MIN(1,MAX(VLOOKUP(($AJ9-$AI9-$AH9-$AG9-$AF9-$AE9*(1+GA$3))/$AJ9,'Технический лист'!$A:$B,2,1),(FZ9-0.05)))</f>
        <v/>
      </c>
      <c r="GB9" s="172">
        <f>MIN(1,MAX(VLOOKUP(($AJ9-$AI9-$AH9-$AG9-$AF9-$AE9*(1+GB$3))/$AJ9,'Технический лист'!$A:$B,2,1),(GA9-0.05)))</f>
        <v/>
      </c>
      <c r="GC9" s="172">
        <f>MIN(1,MAX(VLOOKUP(($AJ9-$AI9-$AH9-$AG9-$AF9-$AE9*(1+GC$3))/$AJ9,'Технический лист'!$A:$B,2,1),(GB9-0.05)))</f>
        <v/>
      </c>
      <c r="GD9" s="172">
        <f>MIN(1,MAX(VLOOKUP(($AJ9-$AI9-$AH9-$AG9-$AF9-$AE9*(1+GD$3))/$AJ9,'Технический лист'!$A:$B,2,1),(GC9-0.05)))</f>
        <v/>
      </c>
      <c r="GE9" s="172">
        <f>MIN(1,MAX(VLOOKUP(($AJ9-$AI9-$AH9-$AG9-$AF9-$AE9*(1+GE$3))/$AJ9,'Технический лист'!$A:$B,2,1),(GD9-0.05)))</f>
        <v/>
      </c>
      <c r="GF9" s="172">
        <f>MIN(1,MAX(VLOOKUP(($AJ9-$AI9-$AH9-$AG9-$AF9-$AE9*(1+GF$3))/$AJ9,'Технический лист'!$A:$B,2,1),(GE9-0.05)))</f>
        <v/>
      </c>
      <c r="GG9" s="172">
        <f>MIN(1,MAX(VLOOKUP(($AJ9-$AI9-$AH9-$AG9-$AF9-$AE9*(1+GG$3))/$AJ9,'Технический лист'!$A:$B,2,1),(GF9-0.05)))</f>
        <v/>
      </c>
      <c r="GH9" s="172">
        <f>MIN(1,MAX(VLOOKUP(($AJ9-$AI9-$AH9-$AG9-$AF9-$AE9*(1+GH$3))/$AJ9,'Технический лист'!$A:$B,2,1),(GG9-0.05)))</f>
        <v/>
      </c>
      <c r="GI9" s="172">
        <f>MIN(1,MAX(VLOOKUP(($AJ9-$AI9-$AH9-$AG9-$AF9-$AE9*(1+GI$3))/$AJ9,'Технический лист'!$A:$B,2,1),(GH9-0.05)))</f>
        <v/>
      </c>
      <c r="GJ9" s="172">
        <f>MIN(1,MAX(VLOOKUP(($AJ9-$AI9-$AH9-$AG9-$AF9-$AE9*(1+GJ$3))/$AJ9,'Технический лист'!$A:$B,2,1),(GI9-0.05)))</f>
        <v/>
      </c>
      <c r="GK9" s="172">
        <f>MIN(1,MAX(VLOOKUP(($AJ9-$AI9-$AH9-$AG9-$AF9-$AE9*(1+GK$3))/$AJ9,'Технический лист'!$A:$B,2,1),(GJ9-0.05)))</f>
        <v/>
      </c>
      <c r="GL9" s="172">
        <f>MIN(1,MAX(VLOOKUP(($AJ9-$AI9-$AH9-$AG9-$AF9-$AE9*(1+GL$3))/$AJ9,'Технический лист'!$A:$B,2,1),(GK9-0.05)))</f>
        <v/>
      </c>
      <c r="GM9" s="172">
        <f>MIN(1,MAX(VLOOKUP(($AJ9-$AI9-$AH9-$AG9-$AF9-$AE9*(1+GM$3))/$AJ9,'Технический лист'!$A:$B,2,1),(GL9-0.05)))</f>
        <v/>
      </c>
      <c r="GN9" s="172">
        <f>MIN(1,MAX(VLOOKUP(($AJ9-$AI9-$AH9-$AG9-$AF9-$AE9*(1+GN$3))/$AJ9,'Технический лист'!$A:$B,2,1),(GM9-0.05)))</f>
        <v/>
      </c>
      <c r="GO9" s="172">
        <f>MIN(1,MAX(VLOOKUP(($AJ9-$AI9-$AH9-$AG9-$AF9-$AE9*(1+GO$3))/$AJ9,'Технический лист'!$A:$B,2,1),(GN9-0.05)))</f>
        <v/>
      </c>
      <c r="GP9" s="172">
        <f>MIN(1,MAX(VLOOKUP(($AJ9-$AI9-$AH9-$AG9-$AF9-$AE9*(1+GP$3))/$AJ9,'Технический лист'!$A:$B,2,1),(GO9-0.05)))</f>
        <v/>
      </c>
      <c r="GQ9" s="172">
        <f>MIN(1,MAX(VLOOKUP(($AJ9-$AI9-$AH9-$AG9-$AF9-$AE9*(1+GQ$3))/$AJ9,'Технический лист'!$A:$B,2,1),(GP9-0.05)))</f>
        <v/>
      </c>
      <c r="GR9" s="172">
        <f>MIN(1,MAX(VLOOKUP(($AJ9-$AI9-$AH9-$AG9-$AF9-$AE9*(1+GR$3))/$AJ9,'Технический лист'!$A:$B,2,1),(GQ9-0.05)))</f>
        <v/>
      </c>
      <c r="GS9" s="172">
        <f>MIN(1,MAX(VLOOKUP(($AJ9-$AI9-$AH9-$AG9-$AF9-$AE9*(1+GS$3))/$AJ9,'Технический лист'!$A:$B,2,1),(GR9-0.05)))</f>
        <v/>
      </c>
      <c r="GT9" s="172">
        <f>MIN(1,MAX(VLOOKUP(($AJ9-$AI9-$AH9-$AG9-$AF9-$AE9*(1+GT$3))/$AJ9,'Технический лист'!$A:$B,2,1),(GS9-0.05)))</f>
        <v/>
      </c>
      <c r="GU9" s="172">
        <f>MIN(1,MAX(VLOOKUP(($AJ9-$AI9-$AH9-$AG9-$AF9-$AE9*(1+GU$3))/$AJ9,'Технический лист'!$A:$B,2,1),(GT9-0.05)))</f>
        <v/>
      </c>
      <c r="GV9" s="172">
        <f>MIN(1,MAX(VLOOKUP(($AJ9-$AI9-$AH9-$AG9-$AF9-$AE9*(1+GV$3))/$AJ9,'Технический лист'!$A:$B,2,1),(GU9-0.05)))</f>
        <v/>
      </c>
      <c r="GW9" s="172">
        <f>MIN(1,MAX(VLOOKUP(($AJ9-$AI9-$AH9-$AG9-$AF9-$AE9*(1+GW$3))/$AJ9,'Технический лист'!$A:$B,2,1),(GV9-0.05)))</f>
        <v/>
      </c>
      <c r="GX9" s="172">
        <f>MIN(1,MAX(VLOOKUP(($AJ9-$AI9-$AH9-$AG9-$AF9-$AE9*(1+GX$3))/$AJ9,'Технический лист'!$A:$B,2,1),(GW9-0.05)))</f>
        <v/>
      </c>
      <c r="GY9" s="172">
        <f>MIN(1,MAX(VLOOKUP(($AJ9-$AI9-$AH9-$AG9-$AF9-$AE9*(1+GY$3))/$AJ9,'Технический лист'!$A:$B,2,1),(GX9-0.05)))</f>
        <v/>
      </c>
      <c r="GZ9" s="172">
        <f>MIN(1,MAX(VLOOKUP(($AJ9-$AI9-$AH9-$AG9-$AF9-$AE9*(1+GZ$3))/$AJ9,'Технический лист'!$A:$B,2,1),(GY9-0.05)))</f>
        <v/>
      </c>
      <c r="HA9" s="172">
        <f>MIN(1,MAX(VLOOKUP(($AJ9-$AI9-$AH9-$AG9-$AF9-$AE9*(1+HA$3))/$AJ9,'Технический лист'!$A:$B,2,1),(GZ9-0.05)))</f>
        <v/>
      </c>
      <c r="HB9" s="172">
        <f>MIN(1,MAX(VLOOKUP(($AJ9-$AI9-$AH9-$AG9-$AF9-$AE9*(1+HB$3))/$AJ9,'Технический лист'!$A:$B,2,1),(HA9-0.05)))</f>
        <v/>
      </c>
      <c r="HC9" s="172">
        <f>MIN(1,MAX(VLOOKUP(($AJ9-$AI9-$AH9-$AG9-$AF9-$AE9*(1+HC$3))/$AJ9,'Технический лист'!$A:$B,2,1),(HB9-0.05)))</f>
        <v/>
      </c>
      <c r="HD9" s="172">
        <f>MIN(1,MAX(VLOOKUP(($AJ9-$AI9-$AH9-$AG9-$AF9-$AE9*(1+HD$3))/$AJ9,'Технический лист'!$A:$B,2,1),(HC9-0.05)))</f>
        <v/>
      </c>
      <c r="HE9" s="172">
        <f>MIN(1,MAX(VLOOKUP(($AJ9-$AI9-$AH9-$AG9-$AF9-$AE9*(1+HE$3))/$AJ9,'Технический лист'!$A:$B,2,1),(HD9-0.05)))</f>
        <v/>
      </c>
      <c r="HF9" s="172">
        <f>MIN(1,MAX(VLOOKUP(($AJ9-$AI9-$AH9-$AG9-$AF9-$AE9*(1+HF$3))/$AJ9,'Технический лист'!$A:$B,2,1),(HE9-0.05)))</f>
        <v/>
      </c>
      <c r="HG9" s="172">
        <f>MIN(1,MAX(VLOOKUP(($AJ9-$AI9-$AH9-$AG9-$AF9-$AE9*(1+HG$3))/$AJ9,'Технический лист'!$A:$B,2,1),(HF9-0.05)))</f>
        <v/>
      </c>
      <c r="HH9" s="172">
        <f>MIN(1,MAX(VLOOKUP(($AJ9-$AI9-$AH9-$AG9-$AF9-$AE9*(1+HH$3))/$AJ9,'Технический лист'!$A:$B,2,1),(HG9-0.05)))</f>
        <v/>
      </c>
      <c r="HI9" s="172">
        <f>MIN(1,MAX(VLOOKUP(($AJ9-$AI9-$AH9-$AG9-$AF9-$AE9*(1+HI$3))/$AJ9,'Технический лист'!$A:$B,2,1),(HH9-0.05)))</f>
        <v/>
      </c>
      <c r="HJ9" s="172">
        <f>MIN(1,MAX(VLOOKUP(($AJ9-$AI9-$AH9-$AG9-$AF9-$AE9*(1+HJ$3))/$AJ9,'Технический лист'!$A:$B,2,1),(HI9-0.05)))</f>
        <v/>
      </c>
      <c r="HK9" s="172">
        <f>MIN(1,MAX(VLOOKUP(($AJ9-$AI9-$AH9-$AG9-$AF9-$AE9*(1+HK$3))/$AJ9,'Технический лист'!$A:$B,2,1),(HJ9-0.05)))</f>
        <v/>
      </c>
      <c r="HL9" s="172">
        <f>MIN(1,MAX(VLOOKUP(($AJ9-$AI9-$AH9-$AG9-$AF9-$AE9*(1+HL$3))/$AJ9,'Технический лист'!$A:$B,2,1),(HK9-0.05)))</f>
        <v/>
      </c>
      <c r="HM9" s="172">
        <f>MIN(1,MAX(VLOOKUP(($AJ9-$AI9-$AH9-$AG9-$AF9-$AE9*(1+HM$3))/$AJ9,'Технический лист'!$A:$B,2,1),(HL9-0.05)))</f>
        <v/>
      </c>
      <c r="HN9" s="172">
        <f>MIN(1,MAX(VLOOKUP(($AJ9-$AI9-$AH9-$AG9-$AF9-$AE9*(1+HN$3))/$AJ9,'Технический лист'!$A:$B,2,1),(HM9-0.05)))</f>
        <v/>
      </c>
      <c r="HO9" s="172">
        <f>MIN(1,MAX(VLOOKUP(($AJ9-$AI9-$AH9-$AG9-$AF9-$AE9*(1+HO$3))/$AJ9,'Технический лист'!$A:$B,2,1),(HN9-0.05)))</f>
        <v/>
      </c>
      <c r="HP9" s="172">
        <f>MIN(1,MAX(VLOOKUP(($AJ9-$AI9-$AH9-$AG9-$AF9-$AE9*(1+HP$3))/$AJ9,'Технический лист'!$A:$B,2,1),(HO9-0.05)))</f>
        <v/>
      </c>
      <c r="HQ9" s="172">
        <f>MIN(1,MAX(VLOOKUP(($AJ9-$AI9-$AH9-$AG9-$AF9-$AE9*(1+HQ$3))/$AJ9,'Технический лист'!$A:$B,2,1),(HP9-0.05)))</f>
        <v/>
      </c>
      <c r="HR9" s="172">
        <f>MIN(1,MAX(VLOOKUP(($AJ9-$AI9-$AH9-$AG9-$AF9-$AE9*(1+HR$3))/$AJ9,'Технический лист'!$A:$B,2,1),(HQ9-0.05)))</f>
        <v/>
      </c>
      <c r="HS9" s="172">
        <f>MIN(1,MAX(VLOOKUP(($AJ9-$AI9-$AH9-$AG9-$AF9-$AE9*(1+HS$3))/$AJ9,'Технический лист'!$A:$B,2,1),(HR9-0.05)))</f>
        <v/>
      </c>
      <c r="HT9" s="172">
        <f>MIN(1,MAX(VLOOKUP(($AJ9-$AI9-$AH9-$AG9-$AF9-$AE9*(1+HT$3))/$AJ9,'Технический лист'!$A:$B,2,1),(HS9-0.05)))</f>
        <v/>
      </c>
      <c r="HU9" s="172">
        <f>MIN(1,MAX(VLOOKUP(($AJ9-$AI9-$AH9-$AG9-$AF9-$AE9*(1+HU$3))/$AJ9,'Технический лист'!$A:$B,2,1),(HT9-0.05)))</f>
        <v/>
      </c>
      <c r="HV9" s="172">
        <f>MIN(1,MAX(VLOOKUP(($AJ9-$AI9-$AH9-$AG9-$AF9-$AE9*(1+HV$3))/$AJ9,'Технический лист'!$A:$B,2,1),(HU9-0.05)))</f>
        <v/>
      </c>
      <c r="HW9" s="172">
        <f>MIN(1,MAX(VLOOKUP(($AJ9-$AI9-$AH9-$AG9-$AF9-$AE9*(1+HW$3))/$AJ9,'Технический лист'!$A:$B,2,1),(HV9-0.05)))</f>
        <v/>
      </c>
      <c r="HX9" s="172">
        <f>MIN(1,MAX(VLOOKUP(($AJ9-$AI9-$AH9-$AG9-$AF9-$AE9*(1+HX$3))/$AJ9,'Технический лист'!$A:$B,2,1),(HW9-0.05)))</f>
        <v/>
      </c>
      <c r="HY9" s="172">
        <f>MIN(1,MAX(VLOOKUP(($AJ9-$AI9-$AH9-$AG9-$AF9-$AE9*(1+HY$3))/$AJ9,'Технический лист'!$A:$B,2,1),(HX9-0.05)))</f>
        <v/>
      </c>
      <c r="HZ9" s="172">
        <f>MIN(1,MAX(VLOOKUP(($AJ9-$AI9-$AH9-$AG9-$AF9-$AE9*(1+HZ$3))/$AJ9,'Технический лист'!$A:$B,2,1),(HY9-0.05)))</f>
        <v/>
      </c>
      <c r="IA9" s="172">
        <f>MIN(1,MAX(VLOOKUP(($AJ9-$AI9-$AH9-$AG9-$AF9-$AE9*(1+IA$3))/$AJ9,'Технический лист'!$A:$B,2,1),(HZ9-0.05)))</f>
        <v/>
      </c>
      <c r="IB9" s="172">
        <f>MIN(1,MAX(VLOOKUP(($AJ9-$AI9-$AH9-$AG9-$AF9-$AE9*(1+IB$3))/$AJ9,'Технический лист'!$A:$B,2,1),(IA9-0.05)))</f>
        <v/>
      </c>
      <c r="IC9" s="172">
        <f>MIN(1,MAX(VLOOKUP(($AJ9-$AI9-$AH9-$AG9-$AF9-$AE9*(1+IC$3))/$AJ9,'Технический лист'!$A:$B,2,1),(IB9-0.05)))</f>
        <v/>
      </c>
      <c r="ID9" s="172">
        <f>MIN(1,MAX(VLOOKUP(($AJ9-$AI9-$AH9-$AG9-$AF9-$AE9*(1+ID$3))/$AJ9,'Технический лист'!$A:$B,2,1),(IC9-0.05)))</f>
        <v/>
      </c>
      <c r="IE9" s="172">
        <f>MIN(1,MAX(VLOOKUP(($AJ9-$AI9-$AH9-$AG9-$AF9-$AE9*(1+IE$3))/$AJ9,'Технический лист'!$A:$B,2,1),(ID9-0.05)))</f>
        <v/>
      </c>
      <c r="IF9" s="172">
        <f>MIN(1,MAX(VLOOKUP(($AJ9-$AI9-$AH9-$AG9-$AF9-$AE9*(1+IF$3))/$AJ9,'Технический лист'!$A:$B,2,1),(IE9-0.05)))</f>
        <v/>
      </c>
      <c r="IG9" s="172">
        <f>MIN(1,MAX(VLOOKUP(($AJ9-$AI9-$AH9-$AG9-$AF9-$AE9*(1+IG$3))/$AJ9,'Технический лист'!$A:$B,2,1),(IF9-0.05)))</f>
        <v/>
      </c>
      <c r="IH9" s="172">
        <f>MIN(1,MAX(VLOOKUP(($AJ9-$AI9-$AH9-$AG9-$AF9-$AE9*(1+IH$3))/$AJ9,'Технический лист'!$A:$B,2,1),(IG9-0.05)))</f>
        <v/>
      </c>
      <c r="II9" s="172">
        <f>MIN(1,MAX(VLOOKUP(($AJ9-$AI9-$AH9-$AG9-$AF9-$AE9*(1+II$3))/$AJ9,'Технический лист'!$A:$B,2,1),(IH9-0.05)))</f>
        <v/>
      </c>
      <c r="IJ9" s="172">
        <f>MIN(1,MAX(VLOOKUP(($AJ9-$AI9-$AH9-$AG9-$AF9-$AE9*(1+IJ$3))/$AJ9,'Технический лист'!$A:$B,2,1),(II9-0.05)))</f>
        <v/>
      </c>
      <c r="IK9" s="172">
        <f>MIN(1,MAX(VLOOKUP(($AJ9-$AI9-$AH9-$AG9-$AF9-$AE9*(1+IK$3))/$AJ9,'Технический лист'!$A:$B,2,1),(IJ9-0.05)))</f>
        <v/>
      </c>
      <c r="IL9" s="172">
        <f>MIN(1,MAX(VLOOKUP(($AJ9-$AI9-$AH9-$AG9-$AF9-$AE9*(1+IL$3))/$AJ9,'Технический лист'!$A:$B,2,1),(IK9-0.05)))</f>
        <v/>
      </c>
      <c r="IM9" s="172">
        <f>MIN(1,MAX(VLOOKUP(($AJ9-$AI9-$AH9-$AG9-$AF9-$AE9*(1+IM$3))/$AJ9,'Технический лист'!$A:$B,2,1),(IL9-0.05)))</f>
        <v/>
      </c>
      <c r="IN9" s="172">
        <f>MIN(1,MAX(VLOOKUP(($AJ9-$AI9-$AH9-$AG9-$AF9-$AE9*(1+IN$3))/$AJ9,'Технический лист'!$A:$B,2,1),(IM9-0.05)))</f>
        <v/>
      </c>
      <c r="IO9" s="172">
        <f>MIN(1,MAX(VLOOKUP(($AJ9-$AI9-$AH9-$AG9-$AF9-$AE9*(1+IO$3))/$AJ9,'Технический лист'!$A:$B,2,1),(IN9-0.05)))</f>
        <v/>
      </c>
      <c r="IP9" s="172">
        <f>MIN(1,MAX(VLOOKUP(($AJ9-$AI9-$AH9-$AG9-$AF9-$AE9*(1+IP$3))/$AJ9,'Технический лист'!$A:$B,2,1),(IO9-0.05)))</f>
        <v/>
      </c>
      <c r="IQ9" s="172">
        <f>MIN(1,MAX(VLOOKUP(($AJ9-$AI9-$AH9-$AG9-$AF9-$AE9*(1+IQ$3))/$AJ9,'Технический лист'!$A:$B,2,1),(IP9-0.05)))</f>
        <v/>
      </c>
      <c r="IR9" s="172">
        <f>MIN(1,MAX(VLOOKUP(($AJ9-$AI9-$AH9-$AG9-$AF9-$AE9*(1+IR$3))/$AJ9,'Технический лист'!$A:$B,2,1),(IQ9-0.05)))</f>
        <v/>
      </c>
    </row>
    <row r="10" ht="45" customHeight="1" s="123">
      <c r="A10" s="89" t="inlineStr">
        <is>
          <t>ЧМ (сырье)</t>
        </is>
      </c>
      <c r="B10" s="90" t="n">
        <v>2</v>
      </c>
      <c r="C10" s="5" t="inlineStr">
        <is>
          <t>Кокс каменноугольный</t>
        </is>
      </c>
      <c r="D10" s="91" t="n">
        <v>17107</v>
      </c>
      <c r="E10" s="91" t="inlineStr">
        <is>
          <t xml:space="preserve">Кокс литейный КЛ-2 </t>
        </is>
      </c>
      <c r="F10" s="92" t="inlineStr">
        <is>
          <t>КОКС КАМЕННОУГОЛЬНЫЙ</t>
        </is>
      </c>
      <c r="G10" s="91" t="inlineStr">
        <is>
          <t>СВР</t>
        </is>
      </c>
      <c r="H10" s="91" t="inlineStr">
        <is>
          <t>СВР</t>
        </is>
      </c>
      <c r="I10" s="91" t="inlineStr">
        <is>
          <t>ТЮМЕНЬ-СЕВЕР</t>
        </is>
      </c>
      <c r="J10" s="91" t="inlineStr">
        <is>
          <t>УАЗ</t>
        </is>
      </c>
      <c r="K10" s="91" t="n">
        <v>297</v>
      </c>
      <c r="L10" s="91" t="inlineStr">
        <is>
          <t>Полувагоны</t>
        </is>
      </c>
      <c r="M10" s="91" t="inlineStr">
        <is>
          <t>Внутр. перевозки</t>
        </is>
      </c>
      <c r="N10" s="91" t="inlineStr">
        <is>
          <t>вагонная</t>
        </is>
      </c>
      <c r="O10" s="91" t="inlineStr">
        <is>
          <t xml:space="preserve">Южное </t>
        </is>
      </c>
      <c r="P10" s="89" t="inlineStr">
        <is>
          <t>'000027958866</t>
        </is>
      </c>
      <c r="Q10" s="91" t="inlineStr">
        <is>
          <t>АО "Антипинский НПЗ"</t>
        </is>
      </c>
      <c r="R10" s="91" t="inlineStr">
        <is>
          <t>ООО "РИ-ИНВЕСТ"</t>
        </is>
      </c>
      <c r="S10" s="87" t="n">
        <v>2318</v>
      </c>
      <c r="T10" s="87" t="n">
        <v>688462</v>
      </c>
      <c r="U10" s="88" t="n">
        <v>36</v>
      </c>
      <c r="V10" s="88" t="n">
        <v>0</v>
      </c>
      <c r="W10" s="87" t="n">
        <v>941063</v>
      </c>
      <c r="X10" s="112" t="n">
        <v>64</v>
      </c>
      <c r="Y10" s="112" t="inlineStr">
        <is>
          <t>групповая</t>
        </is>
      </c>
      <c r="Z10" s="113" t="n">
        <v>4</v>
      </c>
      <c r="AA10" s="113" t="n">
        <v>4</v>
      </c>
      <c r="AB10" s="113" t="n">
        <v>4</v>
      </c>
      <c r="AC10" s="161" t="n">
        <v>447.67</v>
      </c>
      <c r="AD10" s="161">
        <f>AE10-AC10</f>
        <v/>
      </c>
      <c r="AE10" s="161" t="n">
        <v>553.14</v>
      </c>
      <c r="AF10" s="162">
        <f>(Z10+AA10+AB10)*'Ставки аренды'!$B$3/X10</f>
        <v/>
      </c>
      <c r="AG10" s="163" t="n">
        <v>0</v>
      </c>
      <c r="AH10" s="164" t="n">
        <v>0</v>
      </c>
      <c r="AI10" s="165">
        <f>0.95*AVERAGE(AJ10,AJ11)</f>
        <v/>
      </c>
      <c r="AJ10" s="166">
        <f>Цены!$D$9</f>
        <v/>
      </c>
      <c r="AK10" s="164">
        <f>AJ10/Цены!$B$1</f>
        <v/>
      </c>
      <c r="AL10" s="164">
        <f>AE10+AF10+AG10</f>
        <v/>
      </c>
      <c r="AM10" s="164">
        <f>AJ10-AL10</f>
        <v/>
      </c>
      <c r="AN10" s="164">
        <f>AI10+AH10+AG10+AF10+AE10</f>
        <v/>
      </c>
      <c r="AO10" s="167">
        <f>(AJ10-AN10)/AJ10</f>
        <v/>
      </c>
      <c r="AP10" s="168">
        <f>AL10/AJ10</f>
        <v/>
      </c>
      <c r="AQ10" s="168">
        <f>AE10/AJ10</f>
        <v/>
      </c>
      <c r="AR10" s="168">
        <f>AE10/AL10</f>
        <v/>
      </c>
      <c r="AS10" s="169" t="n">
        <v>1</v>
      </c>
      <c r="AT10" s="121">
        <f>S10*AS10</f>
        <v/>
      </c>
      <c r="AU10" s="83" t="n">
        <v>0.95</v>
      </c>
      <c r="AV10" s="170">
        <f>(AJ10-(AE10*(1+$IS$2)+AF10+AG10+AH10+AI10))/AJ10</f>
        <v/>
      </c>
      <c r="AW10" s="171">
        <f>(AE10*(1+$IS$2)+AF10+AG10)/AJ10</f>
        <v/>
      </c>
      <c r="AX10" s="171">
        <f>(AE10*(1+$IS$2))/AJ10</f>
        <v/>
      </c>
      <c r="AY10" s="171">
        <f>(AE10*(1+$IS$2))/(AE10*(1+$IS$2)+AF10+AG10)</f>
        <v/>
      </c>
      <c r="AZ10" s="172">
        <f>MIN(IF($AU10=100%,1,1+VLOOKUP(($AJ10-$AI10-$AH10-$AG10-$AF10-$AE10*(1+AZ$3))/$AJ10,'Технический лист'!$A:$B,2,1)-VLOOKUP($AO10,'Технический лист'!$A:$B,2,1)),1+(1-$AU10))</f>
        <v/>
      </c>
      <c r="BA10" s="172">
        <f>MIN(IF($AU10=100%,1,1+VLOOKUP(($AJ10-$AI10-$AH10-$AG10-$AF10-$AE10*(1+BA$3))/$AJ10,'Технический лист'!$A:$B,2,1)-VLOOKUP($AO10,'Технический лист'!$A:$B,2,1)),1+(1-$AU10))</f>
        <v/>
      </c>
      <c r="BB10" s="172">
        <f>MIN(IF($AU10=100%,1,1+VLOOKUP(($AJ10-$AI10-$AH10-$AG10-$AF10-$AE10*(1+BB$3))/$AJ10,'Технический лист'!$A:$B,2,1)-VLOOKUP($AO10,'Технический лист'!$A:$B,2,1)),1+(1-$AU10))</f>
        <v/>
      </c>
      <c r="BC10" s="172">
        <f>MIN(IF($AU10=100%,1,1+VLOOKUP(($AJ10-$AI10-$AH10-$AG10-$AF10-$AE10*(1+BC$3))/$AJ10,'Технический лист'!$A:$B,2,1)-VLOOKUP($AO10,'Технический лист'!$A:$B,2,1)),1+(1-$AU10))</f>
        <v/>
      </c>
      <c r="BD10" s="172">
        <f>MIN(IF($AU10=100%,1,1+VLOOKUP(($AJ10-$AI10-$AH10-$AG10-$AF10-$AE10*(1+BD$3))/$AJ10,'Технический лист'!$A:$B,2,1)-VLOOKUP($AO10,'Технический лист'!$A:$B,2,1)),1+(1-$AU10))</f>
        <v/>
      </c>
      <c r="BE10" s="172">
        <f>MIN(IF($AU10=100%,1,1+VLOOKUP(($AJ10-$AI10-$AH10-$AG10-$AF10-$AE10*(1+BE$3))/$AJ10,'Технический лист'!$A:$B,2,1)-VLOOKUP($AO10,'Технический лист'!$A:$B,2,1)),1+(1-$AU10))</f>
        <v/>
      </c>
      <c r="BF10" s="172">
        <f>MIN(IF($AU10=100%,1,1+VLOOKUP(($AJ10-$AI10-$AH10-$AG10-$AF10-$AE10*(1+BF$3))/$AJ10,'Технический лист'!$A:$B,2,1)-VLOOKUP($AO10,'Технический лист'!$A:$B,2,1)),1+(1-$AU10))</f>
        <v/>
      </c>
      <c r="BG10" s="172">
        <f>MIN(IF($AU10=100%,1,1+VLOOKUP(($AJ10-$AI10-$AH10-$AG10-$AF10-$AE10*(1+BG$3))/$AJ10,'Технический лист'!$A:$B,2,1)-VLOOKUP($AO10,'Технический лист'!$A:$B,2,1)),1+(1-$AU10))</f>
        <v/>
      </c>
      <c r="BH10" s="172">
        <f>MIN(IF($AU10=100%,1,1+VLOOKUP(($AJ10-$AI10-$AH10-$AG10-$AF10-$AE10*(1+BH$3))/$AJ10,'Технический лист'!$A:$B,2,1)-VLOOKUP($AO10,'Технический лист'!$A:$B,2,1)),1+(1-$AU10))</f>
        <v/>
      </c>
      <c r="BI10" s="172">
        <f>MIN(IF($AU10=100%,1,1+VLOOKUP(($AJ10-$AI10-$AH10-$AG10-$AF10-$AE10*(1+BI$3))/$AJ10,'Технический лист'!$A:$B,2,1)-VLOOKUP($AO10,'Технический лист'!$A:$B,2,1)),1+(1-$AU10))</f>
        <v/>
      </c>
      <c r="BJ10" s="172">
        <f>MIN(IF($AU10=100%,1,1+VLOOKUP(($AJ10-$AI10-$AH10-$AG10-$AF10-$AE10*(1+BJ$3))/$AJ10,'Технический лист'!$A:$B,2,1)-VLOOKUP($AO10,'Технический лист'!$A:$B,2,1)),1+(1-$AU10))</f>
        <v/>
      </c>
      <c r="BK10" s="172">
        <f>MIN(IF($AU10=100%,1,1+VLOOKUP(($AJ10-$AI10-$AH10-$AG10-$AF10-$AE10*(1+BK$3))/$AJ10,'Технический лист'!$A:$B,2,1)-VLOOKUP($AO10,'Технический лист'!$A:$B,2,1)),1+(1-$AU10))</f>
        <v/>
      </c>
      <c r="BL10" s="172">
        <f>MIN(IF($AU10=100%,1,1+VLOOKUP(($AJ10-$AI10-$AH10-$AG10-$AF10-$AE10*(1+BL$3))/$AJ10,'Технический лист'!$A:$B,2,1)-VLOOKUP($AO10,'Технический лист'!$A:$B,2,1)),1+(1-$AU10))</f>
        <v/>
      </c>
      <c r="BM10" s="172">
        <f>MIN(IF($AU10=100%,1,1+VLOOKUP(($AJ10-$AI10-$AH10-$AG10-$AF10-$AE10*(1+BM$3))/$AJ10,'Технический лист'!$A:$B,2,1)-VLOOKUP($AO10,'Технический лист'!$A:$B,2,1)),1+(1-$AU10))</f>
        <v/>
      </c>
      <c r="BN10" s="172">
        <f>MIN(IF($AU10=100%,1,1+VLOOKUP(($AJ10-$AI10-$AH10-$AG10-$AF10-$AE10*(1+BN$3))/$AJ10,'Технический лист'!$A:$B,2,1)-VLOOKUP($AO10,'Технический лист'!$A:$B,2,1)),1+(1-$AU10))</f>
        <v/>
      </c>
      <c r="BO10" s="172">
        <f>MIN(IF($AU10=100%,1,1+VLOOKUP(($AJ10-$AI10-$AH10-$AG10-$AF10-$AE10*(1+BO$3))/$AJ10,'Технический лист'!$A:$B,2,1)-VLOOKUP($AO10,'Технический лист'!$A:$B,2,1)),1+(1-$AU10))</f>
        <v/>
      </c>
      <c r="BP10" s="172">
        <f>MIN(IF($AU10=100%,1,1+VLOOKUP(($AJ10-$AI10-$AH10-$AG10-$AF10-$AE10*(1+BP$3))/$AJ10,'Технический лист'!$A:$B,2,1)-VLOOKUP($AO10,'Технический лист'!$A:$B,2,1)),1+(1-$AU10))</f>
        <v/>
      </c>
      <c r="BQ10" s="172">
        <f>MIN(IF($AU10=100%,1,1+VLOOKUP(($AJ10-$AI10-$AH10-$AG10-$AF10-$AE10*(1+BQ$3))/$AJ10,'Технический лист'!$A:$B,2,1)-VLOOKUP($AO10,'Технический лист'!$A:$B,2,1)),1+(1-$AU10))</f>
        <v/>
      </c>
      <c r="BR10" s="172">
        <f>MIN(IF($AU10=100%,1,1+VLOOKUP(($AJ10-$AI10-$AH10-$AG10-$AF10-$AE10*(1+BR$3))/$AJ10,'Технический лист'!$A:$B,2,1)-VLOOKUP($AO10,'Технический лист'!$A:$B,2,1)),1+(1-$AU10))</f>
        <v/>
      </c>
      <c r="BS10" s="172">
        <f>MIN(IF($AU10=100%,1,1+VLOOKUP(($AJ10-$AI10-$AH10-$AG10-$AF10-$AE10*(1+BS$3))/$AJ10,'Технический лист'!$A:$B,2,1)-VLOOKUP($AO10,'Технический лист'!$A:$B,2,1)),1+(1-$AU10))</f>
        <v/>
      </c>
      <c r="BT10" s="172">
        <f>MIN(IF($AU10=100%,1,1+VLOOKUP(($AJ10-$AI10-$AH10-$AG10-$AF10-$AE10*(1+BT$3))/$AJ10,'Технический лист'!$A:$B,2,1)-VLOOKUP($AO10,'Технический лист'!$A:$B,2,1)),1+(1-$AU10))</f>
        <v/>
      </c>
      <c r="BU10" s="172">
        <f>MIN(IF($AU10=100%,1,1+VLOOKUP(($AJ10-$AI10-$AH10-$AG10-$AF10-$AE10*(1+BU$3))/$AJ10,'Технический лист'!$A:$B,2,1)-VLOOKUP($AO10,'Технический лист'!$A:$B,2,1)),1+(1-$AU10))</f>
        <v/>
      </c>
      <c r="BV10" s="172">
        <f>MIN(IF($AU10=100%,1,1+VLOOKUP(($AJ10-$AI10-$AH10-$AG10-$AF10-$AE10*(1+BV$3))/$AJ10,'Технический лист'!$A:$B,2,1)-VLOOKUP($AO10,'Технический лист'!$A:$B,2,1)),1+(1-$AU10))</f>
        <v/>
      </c>
      <c r="BW10" s="172">
        <f>MIN(IF($AU10=100%,1,1+VLOOKUP(($AJ10-$AI10-$AH10-$AG10-$AF10-$AE10*(1+BW$3))/$AJ10,'Технический лист'!$A:$B,2,1)-VLOOKUP($AO10,'Технический лист'!$A:$B,2,1)),1+(1-$AU10))</f>
        <v/>
      </c>
      <c r="BX10" s="172">
        <f>MIN(IF($AU10=100%,1,1+VLOOKUP(($AJ10-$AI10-$AH10-$AG10-$AF10-$AE10*(1+BX$3))/$AJ10,'Технический лист'!$A:$B,2,1)-VLOOKUP($AO10,'Технический лист'!$A:$B,2,1)),1+(1-$AU10))</f>
        <v/>
      </c>
      <c r="BY10" s="172">
        <f>MIN(IF($AU10=100%,1,1+VLOOKUP(($AJ10-$AI10-$AH10-$AG10-$AF10-$AE10*(1+BY$3))/$AJ10,'Технический лист'!$A:$B,2,1)-VLOOKUP($AO10,'Технический лист'!$A:$B,2,1)),1+(1-$AU10))</f>
        <v/>
      </c>
      <c r="BZ10" s="172">
        <f>MIN(IF($AU10=100%,1,1+VLOOKUP(($AJ10-$AI10-$AH10-$AG10-$AF10-$AE10*(1+BZ$3))/$AJ10,'Технический лист'!$A:$B,2,1)-VLOOKUP($AO10,'Технический лист'!$A:$B,2,1)),1+(1-$AU10))</f>
        <v/>
      </c>
      <c r="CA10" s="172">
        <f>MIN(IF($AU10=100%,1,1+VLOOKUP(($AJ10-$AI10-$AH10-$AG10-$AF10-$AE10*(1+CA$3))/$AJ10,'Технический лист'!$A:$B,2,1)-VLOOKUP($AO10,'Технический лист'!$A:$B,2,1)),1+(1-$AU10))</f>
        <v/>
      </c>
      <c r="CB10" s="172">
        <f>MIN(IF($AU10=100%,1,1+VLOOKUP(($AJ10-$AI10-$AH10-$AG10-$AF10-$AE10*(1+CB$3))/$AJ10,'Технический лист'!$A:$B,2,1)-VLOOKUP($AO10,'Технический лист'!$A:$B,2,1)),1+(1-$AU10))</f>
        <v/>
      </c>
      <c r="CC10" s="172">
        <f>MIN(IF($AU10=100%,1,1+VLOOKUP(($AJ10-$AI10-$AH10-$AG10-$AF10-$AE10*(1+CC$3))/$AJ10,'Технический лист'!$A:$B,2,1)-VLOOKUP($AO10,'Технический лист'!$A:$B,2,1)),1+(1-$AU10))</f>
        <v/>
      </c>
      <c r="CD10" s="172">
        <f>MIN(IF($AU10=100%,1,1+VLOOKUP(($AJ10-$AI10-$AH10-$AG10-$AF10-$AE10*(1+CD$3))/$AJ10,'Технический лист'!$A:$B,2,1)-VLOOKUP($AO10,'Технический лист'!$A:$B,2,1)),1+(1-$AU10))</f>
        <v/>
      </c>
      <c r="CE10" s="172">
        <f>MIN(IF($AU10=100%,1,1+VLOOKUP(($AJ10-$AI10-$AH10-$AG10-$AF10-$AE10*(1+CE$3))/$AJ10,'Технический лист'!$A:$B,2,1)-VLOOKUP($AO10,'Технический лист'!$A:$B,2,1)),1+(1-$AU10))</f>
        <v/>
      </c>
      <c r="CF10" s="172">
        <f>MIN(IF($AU10=100%,1,1+VLOOKUP(($AJ10-$AI10-$AH10-$AG10-$AF10-$AE10*(1+CF$3))/$AJ10,'Технический лист'!$A:$B,2,1)-VLOOKUP($AO10,'Технический лист'!$A:$B,2,1)),1+(1-$AU10))</f>
        <v/>
      </c>
      <c r="CG10" s="172">
        <f>MIN(IF($AU10=100%,1,1+VLOOKUP(($AJ10-$AI10-$AH10-$AG10-$AF10-$AE10*(1+CG$3))/$AJ10,'Технический лист'!$A:$B,2,1)-VLOOKUP($AO10,'Технический лист'!$A:$B,2,1)),1+(1-$AU10))</f>
        <v/>
      </c>
      <c r="CH10" s="172">
        <f>MIN(IF($AU10=100%,1,1+VLOOKUP(($AJ10-$AI10-$AH10-$AG10-$AF10-$AE10*(1+CH$3))/$AJ10,'Технический лист'!$A:$B,2,1)-VLOOKUP($AO10,'Технический лист'!$A:$B,2,1)),1+(1-$AU10))</f>
        <v/>
      </c>
      <c r="CI10" s="172">
        <f>MIN(IF($AU10=100%,1,1+VLOOKUP(($AJ10-$AI10-$AH10-$AG10-$AF10-$AE10*(1+CI$3))/$AJ10,'Технический лист'!$A:$B,2,1)-VLOOKUP($AO10,'Технический лист'!$A:$B,2,1)),1+(1-$AU10))</f>
        <v/>
      </c>
      <c r="CJ10" s="172">
        <f>MIN(IF($AU10=100%,1,1+VLOOKUP(($AJ10-$AI10-$AH10-$AG10-$AF10-$AE10*(1+CJ$3))/$AJ10,'Технический лист'!$A:$B,2,1)-VLOOKUP($AO10,'Технический лист'!$A:$B,2,1)),1+(1-$AU10))</f>
        <v/>
      </c>
      <c r="CK10" s="172">
        <f>MIN(IF($AU10=100%,1,1+VLOOKUP(($AJ10-$AI10-$AH10-$AG10-$AF10-$AE10*(1+CK$3))/$AJ10,'Технический лист'!$A:$B,2,1)-VLOOKUP($AO10,'Технический лист'!$A:$B,2,1)),1+(1-$AU10))</f>
        <v/>
      </c>
      <c r="CL10" s="172">
        <f>MIN(IF($AU10=100%,1,1+VLOOKUP(($AJ10-$AI10-$AH10-$AG10-$AF10-$AE10*(1+CL$3))/$AJ10,'Технический лист'!$A:$B,2,1)-VLOOKUP($AO10,'Технический лист'!$A:$B,2,1)),1+(1-$AU10))</f>
        <v/>
      </c>
      <c r="CM10" s="172">
        <f>MIN(IF($AU10=100%,1,1+VLOOKUP(($AJ10-$AI10-$AH10-$AG10-$AF10-$AE10*(1+CM$3))/$AJ10,'Технический лист'!$A:$B,2,1)-VLOOKUP($AO10,'Технический лист'!$A:$B,2,1)),1+(1-$AU10))</f>
        <v/>
      </c>
      <c r="CN10" s="172">
        <f>MIN(IF($AU10=100%,1,1+VLOOKUP(($AJ10-$AI10-$AH10-$AG10-$AF10-$AE10*(1+CN$3))/$AJ10,'Технический лист'!$A:$B,2,1)-VLOOKUP($AO10,'Технический лист'!$A:$B,2,1)),1+(1-$AU10))</f>
        <v/>
      </c>
      <c r="CO10" s="172">
        <f>MIN(IF($AU10=100%,1,1+VLOOKUP(($AJ10-$AI10-$AH10-$AG10-$AF10-$AE10*(1+CO$3))/$AJ10,'Технический лист'!$A:$B,2,1)-VLOOKUP($AO10,'Технический лист'!$A:$B,2,1)),1+(1-$AU10))</f>
        <v/>
      </c>
      <c r="CP10" s="172">
        <f>MIN(IF($AU10=100%,1,1+VLOOKUP(($AJ10-$AI10-$AH10-$AG10-$AF10-$AE10*(1+CP$3))/$AJ10,'Технический лист'!$A:$B,2,1)-VLOOKUP($AO10,'Технический лист'!$A:$B,2,1)),1+(1-$AU10))</f>
        <v/>
      </c>
      <c r="CQ10" s="172">
        <f>MIN(IF($AU10=100%,1,1+VLOOKUP(($AJ10-$AI10-$AH10-$AG10-$AF10-$AE10*(1+CQ$3))/$AJ10,'Технический лист'!$A:$B,2,1)-VLOOKUP($AO10,'Технический лист'!$A:$B,2,1)),1+(1-$AU10))</f>
        <v/>
      </c>
      <c r="CR10" s="172">
        <f>MIN(IF($AU10=100%,1,1+VLOOKUP(($AJ10-$AI10-$AH10-$AG10-$AF10-$AE10*(1+CR$3))/$AJ10,'Технический лист'!$A:$B,2,1)-VLOOKUP($AO10,'Технический лист'!$A:$B,2,1)),1+(1-$AU10))</f>
        <v/>
      </c>
      <c r="CS10" s="172">
        <f>MIN(IF($AU10=100%,1,1+VLOOKUP(($AJ10-$AI10-$AH10-$AG10-$AF10-$AE10*(1+CS$3))/$AJ10,'Технический лист'!$A:$B,2,1)-VLOOKUP($AO10,'Технический лист'!$A:$B,2,1)),1+(1-$AU10))</f>
        <v/>
      </c>
      <c r="CT10" s="172">
        <f>MIN(IF($AU10=100%,1,1+VLOOKUP(($AJ10-$AI10-$AH10-$AG10-$AF10-$AE10*(1+CT$3))/$AJ10,'Технический лист'!$A:$B,2,1)-VLOOKUP($AO10,'Технический лист'!$A:$B,2,1)),1+(1-$AU10))</f>
        <v/>
      </c>
      <c r="CU10" s="172">
        <f>MIN(IF($AU10=100%,1,1+VLOOKUP(($AJ10-$AI10-$AH10-$AG10-$AF10-$AE10*(1+CU$3))/$AJ10,'Технический лист'!$A:$B,2,1)-VLOOKUP($AO10,'Технический лист'!$A:$B,2,1)),1+(1-$AU10))</f>
        <v/>
      </c>
      <c r="CV10" s="172">
        <f>MIN(IF($AU10=100%,1,1+VLOOKUP(($AJ10-$AI10-$AH10-$AG10-$AF10-$AE10*(1+CV$3))/$AJ10,'Технический лист'!$A:$B,2,1)-VLOOKUP($AO10,'Технический лист'!$A:$B,2,1)),1+(1-$AU10))</f>
        <v/>
      </c>
      <c r="CW10" s="172">
        <f>MIN(IF($AU10=100%,1,1+VLOOKUP(($AJ10-$AI10-$AH10-$AG10-$AF10-$AE10*(1+CW$3))/$AJ10,'Технический лист'!$A:$B,2,1)-VLOOKUP($AO10,'Технический лист'!$A:$B,2,1)),1+(1-$AU10))</f>
        <v/>
      </c>
      <c r="CX10" s="172">
        <f>MIN(IF($AU10=100%,1,1+VLOOKUP(($AJ10-$AI10-$AH10-$AG10-$AF10-$AE10*(1+CX$3))/$AJ10,'Технический лист'!$A:$B,2,1)-VLOOKUP($AO10,'Технический лист'!$A:$B,2,1)),1+(1-$AU10))</f>
        <v/>
      </c>
      <c r="CY10" s="172">
        <f>MIN(IF($AU10=100%,1,1+VLOOKUP(($AJ10-$AI10-$AH10-$AG10-$AF10-$AE10*(1+CY$3))/$AJ10,'Технический лист'!$A:$B,2,1)-VLOOKUP($AO10,'Технический лист'!$A:$B,2,1)),1+(1-$AU10))</f>
        <v/>
      </c>
      <c r="CZ10" s="172">
        <f>MIN(IF($AU10=100%,1,1+VLOOKUP(($AJ10-$AI10-$AH10-$AG10-$AF10-$AE10*(1+CZ$3))/$AJ10,'Технический лист'!$A:$B,2,1)-VLOOKUP($AO10,'Технический лист'!$A:$B,2,1)),1+(1-$AU10))</f>
        <v/>
      </c>
      <c r="DA10" s="172">
        <f>MIN(IF($AU10=100%,1,1+VLOOKUP(($AJ10-$AI10-$AH10-$AG10-$AF10-$AE10*(1+DA$3))/$AJ10,'Технический лист'!$A:$B,2,1)-VLOOKUP($AO10,'Технический лист'!$A:$B,2,1)),1+(1-$AU10))</f>
        <v/>
      </c>
      <c r="DB10" s="172">
        <f>MIN(IF($AU10=100%,1,1+VLOOKUP(($AJ10-$AI10-$AH10-$AG10-$AF10-$AE10*(1+DB$3))/$AJ10,'Технический лист'!$A:$B,2,1)-VLOOKUP($AO10,'Технический лист'!$A:$B,2,1)),1+(1-$AU10))</f>
        <v/>
      </c>
      <c r="DC10" s="172">
        <f>MIN(IF($AU10=100%,1,1+VLOOKUP(($AJ10-$AI10-$AH10-$AG10-$AF10-$AE10*(1+DC$3))/$AJ10,'Технический лист'!$A:$B,2,1)-VLOOKUP($AO10,'Технический лист'!$A:$B,2,1)),1+(1-$AU10))</f>
        <v/>
      </c>
      <c r="DD10" s="172">
        <f>MIN(IF($AU10=100%,1,1+VLOOKUP(($AJ10-$AI10-$AH10-$AG10-$AF10-$AE10*(1+DD$3))/$AJ10,'Технический лист'!$A:$B,2,1)-VLOOKUP($AO10,'Технический лист'!$A:$B,2,1)),1+(1-$AU10))</f>
        <v/>
      </c>
      <c r="DE10" s="172">
        <f>MIN(IF($AU10=100%,1,1+VLOOKUP(($AJ10-$AI10-$AH10-$AG10-$AF10-$AE10*(1+DE$3))/$AJ10,'Технический лист'!$A:$B,2,1)-VLOOKUP($AO10,'Технический лист'!$A:$B,2,1)),1+(1-$AU10))</f>
        <v/>
      </c>
      <c r="DF10" s="172">
        <f>MIN(IF($AU10=100%,1,1+VLOOKUP(($AJ10-$AI10-$AH10-$AG10-$AF10-$AE10*(1+DF$3))/$AJ10,'Технический лист'!$A:$B,2,1)-VLOOKUP($AO10,'Технический лист'!$A:$B,2,1)),1+(1-$AU10))</f>
        <v/>
      </c>
      <c r="DG10" s="172">
        <f>MIN(IF($AU10=100%,1,1+VLOOKUP(($AJ10-$AI10-$AH10-$AG10-$AF10-$AE10*(1+DG$3))/$AJ10,'Технический лист'!$A:$B,2,1)-VLOOKUP($AO10,'Технический лист'!$A:$B,2,1)),1+(1-$AU10))</f>
        <v/>
      </c>
      <c r="DH10" s="172">
        <f>MIN(IF($AU10=100%,1,1+VLOOKUP(($AJ10-$AI10-$AH10-$AG10-$AF10-$AE10*(1+DH$3))/$AJ10,'Технический лист'!$A:$B,2,1)-VLOOKUP($AO10,'Технический лист'!$A:$B,2,1)),1+(1-$AU10))</f>
        <v/>
      </c>
      <c r="DI10" s="172">
        <f>MIN(IF($AU10=100%,1,1+VLOOKUP(($AJ10-$AI10-$AH10-$AG10-$AF10-$AE10*(1+DI$3))/$AJ10,'Технический лист'!$A:$B,2,1)-VLOOKUP($AO10,'Технический лист'!$A:$B,2,1)),1+(1-$AU10))</f>
        <v/>
      </c>
      <c r="DJ10" s="172">
        <f>MIN(IF($AU10=100%,1,1+VLOOKUP(($AJ10-$AI10-$AH10-$AG10-$AF10-$AE10*(1+DJ$3))/$AJ10,'Технический лист'!$A:$B,2,1)-VLOOKUP($AO10,'Технический лист'!$A:$B,2,1)),1+(1-$AU10))</f>
        <v/>
      </c>
      <c r="DK10" s="172">
        <f>MIN(IF($AU10=100%,1,1+VLOOKUP(($AJ10-$AI10-$AH10-$AG10-$AF10-$AE10*(1+DK$3))/$AJ10,'Технический лист'!$A:$B,2,1)-VLOOKUP($AO10,'Технический лист'!$A:$B,2,1)),1+(1-$AU10))</f>
        <v/>
      </c>
      <c r="DL10" s="172">
        <f>MIN(IF($AU10=100%,1,1+VLOOKUP(($AJ10-$AI10-$AH10-$AG10-$AF10-$AE10*(1+DL$3))/$AJ10,'Технический лист'!$A:$B,2,1)-VLOOKUP($AO10,'Технический лист'!$A:$B,2,1)),1+(1-$AU10))</f>
        <v/>
      </c>
      <c r="DM10" s="172">
        <f>MIN(IF($AU10=100%,1,1+VLOOKUP(($AJ10-$AI10-$AH10-$AG10-$AF10-$AE10*(1+DM$3))/$AJ10,'Технический лист'!$A:$B,2,1)-VLOOKUP($AO10,'Технический лист'!$A:$B,2,1)),1+(1-$AU10))</f>
        <v/>
      </c>
      <c r="DN10" s="172">
        <f>MIN(IF($AU10=100%,1,1+VLOOKUP(($AJ10-$AI10-$AH10-$AG10-$AF10-$AE10*(1+DN$3))/$AJ10,'Технический лист'!$A:$B,2,1)-VLOOKUP($AO10,'Технический лист'!$A:$B,2,1)),1+(1-$AU10))</f>
        <v/>
      </c>
      <c r="DO10" s="172">
        <f>MIN(IF($AU10=100%,1,1+VLOOKUP(($AJ10-$AI10-$AH10-$AG10-$AF10-$AE10*(1+DO$3))/$AJ10,'Технический лист'!$A:$B,2,1)-VLOOKUP($AO10,'Технический лист'!$A:$B,2,1)),1+(1-$AU10))</f>
        <v/>
      </c>
      <c r="DP10" s="172">
        <f>MIN(IF($AU10=100%,1,1+VLOOKUP(($AJ10-$AI10-$AH10-$AG10-$AF10-$AE10*(1+DP$3))/$AJ10,'Технический лист'!$A:$B,2,1)-VLOOKUP($AO10,'Технический лист'!$A:$B,2,1)),1+(1-$AU10))</f>
        <v/>
      </c>
      <c r="DQ10" s="172">
        <f>MIN(IF($AU10=100%,1,1+VLOOKUP(($AJ10-$AI10-$AH10-$AG10-$AF10-$AE10*(1+DQ$3))/$AJ10,'Технический лист'!$A:$B,2,1)-VLOOKUP($AO10,'Технический лист'!$A:$B,2,1)),1+(1-$AU10))</f>
        <v/>
      </c>
      <c r="DR10" s="172">
        <f>MIN(IF($AU10=100%,1,1+VLOOKUP(($AJ10-$AI10-$AH10-$AG10-$AF10-$AE10*(1+DR$3))/$AJ10,'Технический лист'!$A:$B,2,1)-VLOOKUP($AO10,'Технический лист'!$A:$B,2,1)),1+(1-$AU10))</f>
        <v/>
      </c>
      <c r="DS10" s="172">
        <f>MIN(IF($AU10=100%,1,1+VLOOKUP(($AJ10-$AI10-$AH10-$AG10-$AF10-$AE10*(1+DS$3))/$AJ10,'Технический лист'!$A:$B,2,1)-VLOOKUP($AO10,'Технический лист'!$A:$B,2,1)),1+(1-$AU10))</f>
        <v/>
      </c>
      <c r="DT10" s="172">
        <f>MIN(IF($AU10=100%,1,1+VLOOKUP(($AJ10-$AI10-$AH10-$AG10-$AF10-$AE10*(1+DT$3))/$AJ10,'Технический лист'!$A:$B,2,1)-VLOOKUP($AO10,'Технический лист'!$A:$B,2,1)),1+(1-$AU10))</f>
        <v/>
      </c>
      <c r="DU10" s="172">
        <f>MIN(IF($AU10=100%,1,1+VLOOKUP(($AJ10-$AI10-$AH10-$AG10-$AF10-$AE10*(1+DU$3))/$AJ10,'Технический лист'!$A:$B,2,1)-VLOOKUP($AO10,'Технический лист'!$A:$B,2,1)),1+(1-$AU10))</f>
        <v/>
      </c>
      <c r="DV10" s="172">
        <f>MIN(IF($AU10=100%,1,1+VLOOKUP(($AJ10-$AI10-$AH10-$AG10-$AF10-$AE10*(1+DV$3))/$AJ10,'Технический лист'!$A:$B,2,1)-VLOOKUP($AO10,'Технический лист'!$A:$B,2,1)),1+(1-$AU10))</f>
        <v/>
      </c>
      <c r="DW10" s="172">
        <f>MIN(IF($AU10=100%,1,1+VLOOKUP(($AJ10-$AI10-$AH10-$AG10-$AF10-$AE10*(1+DW$3))/$AJ10,'Технический лист'!$A:$B,2,1)-VLOOKUP($AO10,'Технический лист'!$A:$B,2,1)),1+(1-$AU10))</f>
        <v/>
      </c>
      <c r="DX10" s="172">
        <f>MIN(IF($AU10=100%,1,1+VLOOKUP(($AJ10-$AI10-$AH10-$AG10-$AF10-$AE10*(1+DX$3))/$AJ10,'Технический лист'!$A:$B,2,1)-VLOOKUP($AO10,'Технический лист'!$A:$B,2,1)),1+(1-$AU10))</f>
        <v/>
      </c>
      <c r="DY10" s="172">
        <f>MIN(IF($AU10=100%,1,1+VLOOKUP(($AJ10-$AI10-$AH10-$AG10-$AF10-$AE10*(1+DY$3))/$AJ10,'Технический лист'!$A:$B,2,1)-VLOOKUP($AO10,'Технический лист'!$A:$B,2,1)),1+(1-$AU10))</f>
        <v/>
      </c>
      <c r="DZ10" s="172">
        <f>MIN(IF($AU10=100%,1,1+VLOOKUP(($AJ10-$AI10-$AH10-$AG10-$AF10-$AE10*(1+DZ$3))/$AJ10,'Технический лист'!$A:$B,2,1)-VLOOKUP($AO10,'Технический лист'!$A:$B,2,1)),1+(1-$AU10))</f>
        <v/>
      </c>
      <c r="EA10" s="172">
        <f>MIN(IF($AU10=100%,1,1+VLOOKUP(($AJ10-$AI10-$AH10-$AG10-$AF10-$AE10*(1+EA$3))/$AJ10,'Технический лист'!$A:$B,2,1)-VLOOKUP($AO10,'Технический лист'!$A:$B,2,1)),1+(1-$AU10))</f>
        <v/>
      </c>
      <c r="EB10" s="172">
        <f>MIN(IF($AU10=100%,1,1+VLOOKUP(($AJ10-$AI10-$AH10-$AG10-$AF10-$AE10*(1+EB$3))/$AJ10,'Технический лист'!$A:$B,2,1)-VLOOKUP($AO10,'Технический лист'!$A:$B,2,1)),1+(1-$AU10))</f>
        <v/>
      </c>
      <c r="EC10" s="172">
        <f>MIN(IF($AU10=100%,1,1+VLOOKUP(($AJ10-$AI10-$AH10-$AG10-$AF10-$AE10*(1+EC$3))/$AJ10,'Технический лист'!$A:$B,2,1)-VLOOKUP($AO10,'Технический лист'!$A:$B,2,1)),1+(1-$AU10))</f>
        <v/>
      </c>
      <c r="ED10" s="172">
        <f>MIN(IF($AU10=100%,1,1+VLOOKUP(($AJ10-$AI10-$AH10-$AG10-$AF10-$AE10*(1+ED$3))/$AJ10,'Технический лист'!$A:$B,2,1)-VLOOKUP($AO10,'Технический лист'!$A:$B,2,1)),1+(1-$AU10))</f>
        <v/>
      </c>
      <c r="EE10" s="172">
        <f>MIN(IF($AU10=100%,1,1+VLOOKUP(($AJ10-$AI10-$AH10-$AG10-$AF10-$AE10*(1+EE$3))/$AJ10,'Технический лист'!$A:$B,2,1)-VLOOKUP($AO10,'Технический лист'!$A:$B,2,1)),1+(1-$AU10))</f>
        <v/>
      </c>
      <c r="EF10" s="172">
        <f>MIN(IF($AU10=100%,1,1+VLOOKUP(($AJ10-$AI10-$AH10-$AG10-$AF10-$AE10*(1+EF$3))/$AJ10,'Технический лист'!$A:$B,2,1)-VLOOKUP($AO10,'Технический лист'!$A:$B,2,1)),1+(1-$AU10))</f>
        <v/>
      </c>
      <c r="EG10" s="172">
        <f>MIN(IF($AU10=100%,1,1+VLOOKUP(($AJ10-$AI10-$AH10-$AG10-$AF10-$AE10*(1+EG$3))/$AJ10,'Технический лист'!$A:$B,2,1)-VLOOKUP($AO10,'Технический лист'!$A:$B,2,1)),1+(1-$AU10))</f>
        <v/>
      </c>
      <c r="EH10" s="172">
        <f>MIN(IF($AU10=100%,1,1+VLOOKUP(($AJ10-$AI10-$AH10-$AG10-$AF10-$AE10*(1+EH$3))/$AJ10,'Технический лист'!$A:$B,2,1)-VLOOKUP($AO10,'Технический лист'!$A:$B,2,1)),1+(1-$AU10))</f>
        <v/>
      </c>
      <c r="EI10" s="172">
        <f>MIN(IF($AU10=100%,1,1+VLOOKUP(($AJ10-$AI10-$AH10-$AG10-$AF10-$AE10*(1+EI$3))/$AJ10,'Технический лист'!$A:$B,2,1)-VLOOKUP($AO10,'Технический лист'!$A:$B,2,1)),1+(1-$AU10))</f>
        <v/>
      </c>
      <c r="EJ10" s="172">
        <f>MIN(IF($AU10=100%,1,1+VLOOKUP(($AJ10-$AI10-$AH10-$AG10-$AF10-$AE10*(1+EJ$3))/$AJ10,'Технический лист'!$A:$B,2,1)-VLOOKUP($AO10,'Технический лист'!$A:$B,2,1)),1+(1-$AU10))</f>
        <v/>
      </c>
      <c r="EK10" s="172">
        <f>MIN(IF($AU10=100%,1,1+VLOOKUP(($AJ10-$AI10-$AH10-$AG10-$AF10-$AE10*(1+EK$3))/$AJ10,'Технический лист'!$A:$B,2,1)-VLOOKUP($AO10,'Технический лист'!$A:$B,2,1)),1+(1-$AU10))</f>
        <v/>
      </c>
      <c r="EL10" s="172">
        <f>MIN(IF($AU10=100%,1,1+VLOOKUP(($AJ10-$AI10-$AH10-$AG10-$AF10-$AE10*(1+EL$3))/$AJ10,'Технический лист'!$A:$B,2,1)-VLOOKUP($AO10,'Технический лист'!$A:$B,2,1)),1+(1-$AU10))</f>
        <v/>
      </c>
      <c r="EM10" s="172">
        <f>MIN(IF($AU10=100%,1,1+VLOOKUP(($AJ10-$AI10-$AH10-$AG10-$AF10-$AE10*(1+EM$3))/$AJ10,'Технический лист'!$A:$B,2,1)-VLOOKUP($AO10,'Технический лист'!$A:$B,2,1)),1+(1-$AU10))</f>
        <v/>
      </c>
      <c r="EN10" s="172">
        <f>MIN(IF($AU10=100%,1,1+VLOOKUP(($AJ10-$AI10-$AH10-$AG10-$AF10-$AE10*(1+EN$3))/$AJ10,'Технический лист'!$A:$B,2,1)-VLOOKUP($AO10,'Технический лист'!$A:$B,2,1)),1+(1-$AU10))</f>
        <v/>
      </c>
      <c r="EO10" s="172">
        <f>MIN(IF($AU10=100%,1,1+VLOOKUP(($AJ10-$AI10-$AH10-$AG10-$AF10-$AE10*(1+EO$3))/$AJ10,'Технический лист'!$A:$B,2,1)-VLOOKUP($AO10,'Технический лист'!$A:$B,2,1)),1+(1-$AU10))</f>
        <v/>
      </c>
      <c r="EP10" s="172">
        <f>MIN(IF($AU10=100%,1,1+VLOOKUP(($AJ10-$AI10-$AH10-$AG10-$AF10-$AE10*(1+EP$3))/$AJ10,'Технический лист'!$A:$B,2,1)-VLOOKUP($AO10,'Технический лист'!$A:$B,2,1)),1+(1-$AU10))</f>
        <v/>
      </c>
      <c r="EQ10" s="172">
        <f>MIN(IF($AU10=100%,1,1+VLOOKUP(($AJ10-$AI10-$AH10-$AG10-$AF10-$AE10*(1+EQ$3))/$AJ10,'Технический лист'!$A:$B,2,1)-VLOOKUP($AO10,'Технический лист'!$A:$B,2,1)),1+(1-$AU10))</f>
        <v/>
      </c>
      <c r="ER10" s="172">
        <f>MIN(IF($AU10=100%,1,1+VLOOKUP(($AJ10-$AI10-$AH10-$AG10-$AF10-$AE10*(1+ER$3))/$AJ10,'Технический лист'!$A:$B,2,1)-VLOOKUP($AO10,'Технический лист'!$A:$B,2,1)),1+(1-$AU10))</f>
        <v/>
      </c>
      <c r="ES10" s="172">
        <f>MIN(IF($AU10=100%,1,1+VLOOKUP(($AJ10-$AI10-$AH10-$AG10-$AF10-$AE10*(1+ES$3))/$AJ10,'Технический лист'!$A:$B,2,1)-VLOOKUP($AO10,'Технический лист'!$A:$B,2,1)),1+(1-$AU10))</f>
        <v/>
      </c>
      <c r="ET10" s="172">
        <f>MIN(IF($AU10=100%,1,1+VLOOKUP(($AJ10-$AI10-$AH10-$AG10-$AF10-$AE10*(1+ET$3))/$AJ10,'Технический лист'!$A:$B,2,1)-VLOOKUP($AO10,'Технический лист'!$A:$B,2,1)),1+(1-$AU10))</f>
        <v/>
      </c>
      <c r="EU10" s="172">
        <f>MIN(IF($AU10=100%,1,1+VLOOKUP(($AJ10-$AI10-$AH10-$AG10-$AF10-$AE10*(1+EU$3))/$AJ10,'Технический лист'!$A:$B,2,1)-VLOOKUP($AO10,'Технический лист'!$A:$B,2,1)),1+(1-$AU10))</f>
        <v/>
      </c>
      <c r="EV10" s="173" t="n">
        <v>1</v>
      </c>
      <c r="EW10" s="172">
        <f>MIN(1,MAX(VLOOKUP(($AJ10-$AI10-$AH10-$AG10-$AF10-$AE10*(1+EW$3))/$AJ10,'Технический лист'!$A:$B,2,1),(EV10-0.05)))</f>
        <v/>
      </c>
      <c r="EX10" s="172">
        <f>MIN(1,MAX(VLOOKUP(($AJ10-$AI10-$AH10-$AG10-$AF10-$AE10*(1+EX$3))/$AJ10,'Технический лист'!$A:$B,2,1),(EW10-0.05)))</f>
        <v/>
      </c>
      <c r="EY10" s="172">
        <f>MIN(1,MAX(VLOOKUP(($AJ10-$AI10-$AH10-$AG10-$AF10-$AE10*(1+EY$3))/$AJ10,'Технический лист'!$A:$B,2,1),(EX10-0.05)))</f>
        <v/>
      </c>
      <c r="EZ10" s="172">
        <f>MIN(1,MAX(VLOOKUP(($AJ10-$AI10-$AH10-$AG10-$AF10-$AE10*(1+EZ$3))/$AJ10,'Технический лист'!$A:$B,2,1),(EY10-0.05)))</f>
        <v/>
      </c>
      <c r="FA10" s="172">
        <f>MIN(1,MAX(VLOOKUP(($AJ10-$AI10-$AH10-$AG10-$AF10-$AE10*(1+FA$3))/$AJ10,'Технический лист'!$A:$B,2,1),(EZ10-0.05)))</f>
        <v/>
      </c>
      <c r="FB10" s="172">
        <f>MIN(1,MAX(VLOOKUP(($AJ10-$AI10-$AH10-$AG10-$AF10-$AE10*(1+FB$3))/$AJ10,'Технический лист'!$A:$B,2,1),(FA10-0.05)))</f>
        <v/>
      </c>
      <c r="FC10" s="172">
        <f>MIN(1,MAX(VLOOKUP(($AJ10-$AI10-$AH10-$AG10-$AF10-$AE10*(1+FC$3))/$AJ10,'Технический лист'!$A:$B,2,1),(FB10-0.05)))</f>
        <v/>
      </c>
      <c r="FD10" s="172">
        <f>MIN(1,MAX(VLOOKUP(($AJ10-$AI10-$AH10-$AG10-$AF10-$AE10*(1+FD$3))/$AJ10,'Технический лист'!$A:$B,2,1),(FC10-0.05)))</f>
        <v/>
      </c>
      <c r="FE10" s="172">
        <f>MIN(1,MAX(VLOOKUP(($AJ10-$AI10-$AH10-$AG10-$AF10-$AE10*(1+FE$3))/$AJ10,'Технический лист'!$A:$B,2,1),(FD10-0.05)))</f>
        <v/>
      </c>
      <c r="FF10" s="172">
        <f>MIN(1,MAX(VLOOKUP(($AJ10-$AI10-$AH10-$AG10-$AF10-$AE10*(1+FF$3))/$AJ10,'Технический лист'!$A:$B,2,1),(FE10-0.05)))</f>
        <v/>
      </c>
      <c r="FG10" s="172">
        <f>MIN(1,MAX(VLOOKUP(($AJ10-$AI10-$AH10-$AG10-$AF10-$AE10*(1+FG$3))/$AJ10,'Технический лист'!$A:$B,2,1),(FF10-0.05)))</f>
        <v/>
      </c>
      <c r="FH10" s="172">
        <f>MIN(1,MAX(VLOOKUP(($AJ10-$AI10-$AH10-$AG10-$AF10-$AE10*(1+FH$3))/$AJ10,'Технический лист'!$A:$B,2,1),(FG10-0.05)))</f>
        <v/>
      </c>
      <c r="FI10" s="172">
        <f>MIN(1,MAX(VLOOKUP(($AJ10-$AI10-$AH10-$AG10-$AF10-$AE10*(1+FI$3))/$AJ10,'Технический лист'!$A:$B,2,1),(FH10-0.05)))</f>
        <v/>
      </c>
      <c r="FJ10" s="172">
        <f>MIN(1,MAX(VLOOKUP(($AJ10-$AI10-$AH10-$AG10-$AF10-$AE10*(1+FJ$3))/$AJ10,'Технический лист'!$A:$B,2,1),(FI10-0.05)))</f>
        <v/>
      </c>
      <c r="FK10" s="172">
        <f>MIN(1,MAX(VLOOKUP(($AJ10-$AI10-$AH10-$AG10-$AF10-$AE10*(1+FK$3))/$AJ10,'Технический лист'!$A:$B,2,1),(FJ10-0.05)))</f>
        <v/>
      </c>
      <c r="FL10" s="172">
        <f>MIN(1,MAX(VLOOKUP(($AJ10-$AI10-$AH10-$AG10-$AF10-$AE10*(1+FL$3))/$AJ10,'Технический лист'!$A:$B,2,1),(FK10-0.05)))</f>
        <v/>
      </c>
      <c r="FM10" s="172">
        <f>MIN(1,MAX(VLOOKUP(($AJ10-$AI10-$AH10-$AG10-$AF10-$AE10*(1+FM$3))/$AJ10,'Технический лист'!$A:$B,2,1),(FL10-0.05)))</f>
        <v/>
      </c>
      <c r="FN10" s="172">
        <f>MIN(1,MAX(VLOOKUP(($AJ10-$AI10-$AH10-$AG10-$AF10-$AE10*(1+FN$3))/$AJ10,'Технический лист'!$A:$B,2,1),(FM10-0.05)))</f>
        <v/>
      </c>
      <c r="FO10" s="172">
        <f>MIN(1,MAX(VLOOKUP(($AJ10-$AI10-$AH10-$AG10-$AF10-$AE10*(1+FO$3))/$AJ10,'Технический лист'!$A:$B,2,1),(FN10-0.05)))</f>
        <v/>
      </c>
      <c r="FP10" s="172">
        <f>MIN(1,MAX(VLOOKUP(($AJ10-$AI10-$AH10-$AG10-$AF10-$AE10*(1+FP$3))/$AJ10,'Технический лист'!$A:$B,2,1),(FO10-0.05)))</f>
        <v/>
      </c>
      <c r="FQ10" s="172">
        <f>MIN(1,MAX(VLOOKUP(($AJ10-$AI10-$AH10-$AG10-$AF10-$AE10*(1+FQ$3))/$AJ10,'Технический лист'!$A:$B,2,1),(FP10-0.05)))</f>
        <v/>
      </c>
      <c r="FR10" s="172">
        <f>MIN(1,MAX(VLOOKUP(($AJ10-$AI10-$AH10-$AG10-$AF10-$AE10*(1+FR$3))/$AJ10,'Технический лист'!$A:$B,2,1),(FQ10-0.05)))</f>
        <v/>
      </c>
      <c r="FS10" s="172">
        <f>MIN(1,MAX(VLOOKUP(($AJ10-$AI10-$AH10-$AG10-$AF10-$AE10*(1+FS$3))/$AJ10,'Технический лист'!$A:$B,2,1),(FR10-0.05)))</f>
        <v/>
      </c>
      <c r="FT10" s="172">
        <f>MIN(1,MAX(VLOOKUP(($AJ10-$AI10-$AH10-$AG10-$AF10-$AE10*(1+FT$3))/$AJ10,'Технический лист'!$A:$B,2,1),(FS10-0.05)))</f>
        <v/>
      </c>
      <c r="FU10" s="172">
        <f>MIN(1,MAX(VLOOKUP(($AJ10-$AI10-$AH10-$AG10-$AF10-$AE10*(1+FU$3))/$AJ10,'Технический лист'!$A:$B,2,1),(FT10-0.05)))</f>
        <v/>
      </c>
      <c r="FV10" s="172">
        <f>MIN(1,MAX(VLOOKUP(($AJ10-$AI10-$AH10-$AG10-$AF10-$AE10*(1+FV$3))/$AJ10,'Технический лист'!$A:$B,2,1),(FU10-0.05)))</f>
        <v/>
      </c>
      <c r="FW10" s="172">
        <f>MIN(1,MAX(VLOOKUP(($AJ10-$AI10-$AH10-$AG10-$AF10-$AE10*(1+FW$3))/$AJ10,'Технический лист'!$A:$B,2,1),(FV10-0.05)))</f>
        <v/>
      </c>
      <c r="FX10" s="172">
        <f>MIN(1,MAX(VLOOKUP(($AJ10-$AI10-$AH10-$AG10-$AF10-$AE10*(1+FX$3))/$AJ10,'Технический лист'!$A:$B,2,1),(FW10-0.05)))</f>
        <v/>
      </c>
      <c r="FY10" s="172">
        <f>MIN(1,MAX(VLOOKUP(($AJ10-$AI10-$AH10-$AG10-$AF10-$AE10*(1+FY$3))/$AJ10,'Технический лист'!$A:$B,2,1),(FX10-0.05)))</f>
        <v/>
      </c>
      <c r="FZ10" s="172">
        <f>MIN(1,MAX(VLOOKUP(($AJ10-$AI10-$AH10-$AG10-$AF10-$AE10*(1+FZ$3))/$AJ10,'Технический лист'!$A:$B,2,1),(FY10-0.05)))</f>
        <v/>
      </c>
      <c r="GA10" s="172">
        <f>MIN(1,MAX(VLOOKUP(($AJ10-$AI10-$AH10-$AG10-$AF10-$AE10*(1+GA$3))/$AJ10,'Технический лист'!$A:$B,2,1),(FZ10-0.05)))</f>
        <v/>
      </c>
      <c r="GB10" s="172">
        <f>MIN(1,MAX(VLOOKUP(($AJ10-$AI10-$AH10-$AG10-$AF10-$AE10*(1+GB$3))/$AJ10,'Технический лист'!$A:$B,2,1),(GA10-0.05)))</f>
        <v/>
      </c>
      <c r="GC10" s="172">
        <f>MIN(1,MAX(VLOOKUP(($AJ10-$AI10-$AH10-$AG10-$AF10-$AE10*(1+GC$3))/$AJ10,'Технический лист'!$A:$B,2,1),(GB10-0.05)))</f>
        <v/>
      </c>
      <c r="GD10" s="172">
        <f>MIN(1,MAX(VLOOKUP(($AJ10-$AI10-$AH10-$AG10-$AF10-$AE10*(1+GD$3))/$AJ10,'Технический лист'!$A:$B,2,1),(GC10-0.05)))</f>
        <v/>
      </c>
      <c r="GE10" s="172">
        <f>MIN(1,MAX(VLOOKUP(($AJ10-$AI10-$AH10-$AG10-$AF10-$AE10*(1+GE$3))/$AJ10,'Технический лист'!$A:$B,2,1),(GD10-0.05)))</f>
        <v/>
      </c>
      <c r="GF10" s="172">
        <f>MIN(1,MAX(VLOOKUP(($AJ10-$AI10-$AH10-$AG10-$AF10-$AE10*(1+GF$3))/$AJ10,'Технический лист'!$A:$B,2,1),(GE10-0.05)))</f>
        <v/>
      </c>
      <c r="GG10" s="172">
        <f>MIN(1,MAX(VLOOKUP(($AJ10-$AI10-$AH10-$AG10-$AF10-$AE10*(1+GG$3))/$AJ10,'Технический лист'!$A:$B,2,1),(GF10-0.05)))</f>
        <v/>
      </c>
      <c r="GH10" s="172">
        <f>MIN(1,MAX(VLOOKUP(($AJ10-$AI10-$AH10-$AG10-$AF10-$AE10*(1+GH$3))/$AJ10,'Технический лист'!$A:$B,2,1),(GG10-0.05)))</f>
        <v/>
      </c>
      <c r="GI10" s="172">
        <f>MIN(1,MAX(VLOOKUP(($AJ10-$AI10-$AH10-$AG10-$AF10-$AE10*(1+GI$3))/$AJ10,'Технический лист'!$A:$B,2,1),(GH10-0.05)))</f>
        <v/>
      </c>
      <c r="GJ10" s="172">
        <f>MIN(1,MAX(VLOOKUP(($AJ10-$AI10-$AH10-$AG10-$AF10-$AE10*(1+GJ$3))/$AJ10,'Технический лист'!$A:$B,2,1),(GI10-0.05)))</f>
        <v/>
      </c>
      <c r="GK10" s="172">
        <f>MIN(1,MAX(VLOOKUP(($AJ10-$AI10-$AH10-$AG10-$AF10-$AE10*(1+GK$3))/$AJ10,'Технический лист'!$A:$B,2,1),(GJ10-0.05)))</f>
        <v/>
      </c>
      <c r="GL10" s="172">
        <f>MIN(1,MAX(VLOOKUP(($AJ10-$AI10-$AH10-$AG10-$AF10-$AE10*(1+GL$3))/$AJ10,'Технический лист'!$A:$B,2,1),(GK10-0.05)))</f>
        <v/>
      </c>
      <c r="GM10" s="172">
        <f>MIN(1,MAX(VLOOKUP(($AJ10-$AI10-$AH10-$AG10-$AF10-$AE10*(1+GM$3))/$AJ10,'Технический лист'!$A:$B,2,1),(GL10-0.05)))</f>
        <v/>
      </c>
      <c r="GN10" s="172">
        <f>MIN(1,MAX(VLOOKUP(($AJ10-$AI10-$AH10-$AG10-$AF10-$AE10*(1+GN$3))/$AJ10,'Технический лист'!$A:$B,2,1),(GM10-0.05)))</f>
        <v/>
      </c>
      <c r="GO10" s="172">
        <f>MIN(1,MAX(VLOOKUP(($AJ10-$AI10-$AH10-$AG10-$AF10-$AE10*(1+GO$3))/$AJ10,'Технический лист'!$A:$B,2,1),(GN10-0.05)))</f>
        <v/>
      </c>
      <c r="GP10" s="172">
        <f>MIN(1,MAX(VLOOKUP(($AJ10-$AI10-$AH10-$AG10-$AF10-$AE10*(1+GP$3))/$AJ10,'Технический лист'!$A:$B,2,1),(GO10-0.05)))</f>
        <v/>
      </c>
      <c r="GQ10" s="172">
        <f>MIN(1,MAX(VLOOKUP(($AJ10-$AI10-$AH10-$AG10-$AF10-$AE10*(1+GQ$3))/$AJ10,'Технический лист'!$A:$B,2,1),(GP10-0.05)))</f>
        <v/>
      </c>
      <c r="GR10" s="172">
        <f>MIN(1,MAX(VLOOKUP(($AJ10-$AI10-$AH10-$AG10-$AF10-$AE10*(1+GR$3))/$AJ10,'Технический лист'!$A:$B,2,1),(GQ10-0.05)))</f>
        <v/>
      </c>
      <c r="GS10" s="172">
        <f>MIN(1,MAX(VLOOKUP(($AJ10-$AI10-$AH10-$AG10-$AF10-$AE10*(1+GS$3))/$AJ10,'Технический лист'!$A:$B,2,1),(GR10-0.05)))</f>
        <v/>
      </c>
      <c r="GT10" s="172">
        <f>MIN(1,MAX(VLOOKUP(($AJ10-$AI10-$AH10-$AG10-$AF10-$AE10*(1+GT$3))/$AJ10,'Технический лист'!$A:$B,2,1),(GS10-0.05)))</f>
        <v/>
      </c>
      <c r="GU10" s="172">
        <f>MIN(1,MAX(VLOOKUP(($AJ10-$AI10-$AH10-$AG10-$AF10-$AE10*(1+GU$3))/$AJ10,'Технический лист'!$A:$B,2,1),(GT10-0.05)))</f>
        <v/>
      </c>
      <c r="GV10" s="172">
        <f>MIN(1,MAX(VLOOKUP(($AJ10-$AI10-$AH10-$AG10-$AF10-$AE10*(1+GV$3))/$AJ10,'Технический лист'!$A:$B,2,1),(GU10-0.05)))</f>
        <v/>
      </c>
      <c r="GW10" s="172">
        <f>MIN(1,MAX(VLOOKUP(($AJ10-$AI10-$AH10-$AG10-$AF10-$AE10*(1+GW$3))/$AJ10,'Технический лист'!$A:$B,2,1),(GV10-0.05)))</f>
        <v/>
      </c>
      <c r="GX10" s="172">
        <f>MIN(1,MAX(VLOOKUP(($AJ10-$AI10-$AH10-$AG10-$AF10-$AE10*(1+GX$3))/$AJ10,'Технический лист'!$A:$B,2,1),(GW10-0.05)))</f>
        <v/>
      </c>
      <c r="GY10" s="172">
        <f>MIN(1,MAX(VLOOKUP(($AJ10-$AI10-$AH10-$AG10-$AF10-$AE10*(1+GY$3))/$AJ10,'Технический лист'!$A:$B,2,1),(GX10-0.05)))</f>
        <v/>
      </c>
      <c r="GZ10" s="172">
        <f>MIN(1,MAX(VLOOKUP(($AJ10-$AI10-$AH10-$AG10-$AF10-$AE10*(1+GZ$3))/$AJ10,'Технический лист'!$A:$B,2,1),(GY10-0.05)))</f>
        <v/>
      </c>
      <c r="HA10" s="172">
        <f>MIN(1,MAX(VLOOKUP(($AJ10-$AI10-$AH10-$AG10-$AF10-$AE10*(1+HA$3))/$AJ10,'Технический лист'!$A:$B,2,1),(GZ10-0.05)))</f>
        <v/>
      </c>
      <c r="HB10" s="172">
        <f>MIN(1,MAX(VLOOKUP(($AJ10-$AI10-$AH10-$AG10-$AF10-$AE10*(1+HB$3))/$AJ10,'Технический лист'!$A:$B,2,1),(HA10-0.05)))</f>
        <v/>
      </c>
      <c r="HC10" s="172">
        <f>MIN(1,MAX(VLOOKUP(($AJ10-$AI10-$AH10-$AG10-$AF10-$AE10*(1+HC$3))/$AJ10,'Технический лист'!$A:$B,2,1),(HB10-0.05)))</f>
        <v/>
      </c>
      <c r="HD10" s="172">
        <f>MIN(1,MAX(VLOOKUP(($AJ10-$AI10-$AH10-$AG10-$AF10-$AE10*(1+HD$3))/$AJ10,'Технический лист'!$A:$B,2,1),(HC10-0.05)))</f>
        <v/>
      </c>
      <c r="HE10" s="172">
        <f>MIN(1,MAX(VLOOKUP(($AJ10-$AI10-$AH10-$AG10-$AF10-$AE10*(1+HE$3))/$AJ10,'Технический лист'!$A:$B,2,1),(HD10-0.05)))</f>
        <v/>
      </c>
      <c r="HF10" s="172">
        <f>MIN(1,MAX(VLOOKUP(($AJ10-$AI10-$AH10-$AG10-$AF10-$AE10*(1+HF$3))/$AJ10,'Технический лист'!$A:$B,2,1),(HE10-0.05)))</f>
        <v/>
      </c>
      <c r="HG10" s="172">
        <f>MIN(1,MAX(VLOOKUP(($AJ10-$AI10-$AH10-$AG10-$AF10-$AE10*(1+HG$3))/$AJ10,'Технический лист'!$A:$B,2,1),(HF10-0.05)))</f>
        <v/>
      </c>
      <c r="HH10" s="172">
        <f>MIN(1,MAX(VLOOKUP(($AJ10-$AI10-$AH10-$AG10-$AF10-$AE10*(1+HH$3))/$AJ10,'Технический лист'!$A:$B,2,1),(HG10-0.05)))</f>
        <v/>
      </c>
      <c r="HI10" s="172">
        <f>MIN(1,MAX(VLOOKUP(($AJ10-$AI10-$AH10-$AG10-$AF10-$AE10*(1+HI$3))/$AJ10,'Технический лист'!$A:$B,2,1),(HH10-0.05)))</f>
        <v/>
      </c>
      <c r="HJ10" s="172">
        <f>MIN(1,MAX(VLOOKUP(($AJ10-$AI10-$AH10-$AG10-$AF10-$AE10*(1+HJ$3))/$AJ10,'Технический лист'!$A:$B,2,1),(HI10-0.05)))</f>
        <v/>
      </c>
      <c r="HK10" s="172">
        <f>MIN(1,MAX(VLOOKUP(($AJ10-$AI10-$AH10-$AG10-$AF10-$AE10*(1+HK$3))/$AJ10,'Технический лист'!$A:$B,2,1),(HJ10-0.05)))</f>
        <v/>
      </c>
      <c r="HL10" s="172">
        <f>MIN(1,MAX(VLOOKUP(($AJ10-$AI10-$AH10-$AG10-$AF10-$AE10*(1+HL$3))/$AJ10,'Технический лист'!$A:$B,2,1),(HK10-0.05)))</f>
        <v/>
      </c>
      <c r="HM10" s="172">
        <f>MIN(1,MAX(VLOOKUP(($AJ10-$AI10-$AH10-$AG10-$AF10-$AE10*(1+HM$3))/$AJ10,'Технический лист'!$A:$B,2,1),(HL10-0.05)))</f>
        <v/>
      </c>
      <c r="HN10" s="172">
        <f>MIN(1,MAX(VLOOKUP(($AJ10-$AI10-$AH10-$AG10-$AF10-$AE10*(1+HN$3))/$AJ10,'Технический лист'!$A:$B,2,1),(HM10-0.05)))</f>
        <v/>
      </c>
      <c r="HO10" s="172">
        <f>MIN(1,MAX(VLOOKUP(($AJ10-$AI10-$AH10-$AG10-$AF10-$AE10*(1+HO$3))/$AJ10,'Технический лист'!$A:$B,2,1),(HN10-0.05)))</f>
        <v/>
      </c>
      <c r="HP10" s="172">
        <f>MIN(1,MAX(VLOOKUP(($AJ10-$AI10-$AH10-$AG10-$AF10-$AE10*(1+HP$3))/$AJ10,'Технический лист'!$A:$B,2,1),(HO10-0.05)))</f>
        <v/>
      </c>
      <c r="HQ10" s="172">
        <f>MIN(1,MAX(VLOOKUP(($AJ10-$AI10-$AH10-$AG10-$AF10-$AE10*(1+HQ$3))/$AJ10,'Технический лист'!$A:$B,2,1),(HP10-0.05)))</f>
        <v/>
      </c>
      <c r="HR10" s="172">
        <f>MIN(1,MAX(VLOOKUP(($AJ10-$AI10-$AH10-$AG10-$AF10-$AE10*(1+HR$3))/$AJ10,'Технический лист'!$A:$B,2,1),(HQ10-0.05)))</f>
        <v/>
      </c>
      <c r="HS10" s="172">
        <f>MIN(1,MAX(VLOOKUP(($AJ10-$AI10-$AH10-$AG10-$AF10-$AE10*(1+HS$3))/$AJ10,'Технический лист'!$A:$B,2,1),(HR10-0.05)))</f>
        <v/>
      </c>
      <c r="HT10" s="172">
        <f>MIN(1,MAX(VLOOKUP(($AJ10-$AI10-$AH10-$AG10-$AF10-$AE10*(1+HT$3))/$AJ10,'Технический лист'!$A:$B,2,1),(HS10-0.05)))</f>
        <v/>
      </c>
      <c r="HU10" s="172">
        <f>MIN(1,MAX(VLOOKUP(($AJ10-$AI10-$AH10-$AG10-$AF10-$AE10*(1+HU$3))/$AJ10,'Технический лист'!$A:$B,2,1),(HT10-0.05)))</f>
        <v/>
      </c>
      <c r="HV10" s="172">
        <f>MIN(1,MAX(VLOOKUP(($AJ10-$AI10-$AH10-$AG10-$AF10-$AE10*(1+HV$3))/$AJ10,'Технический лист'!$A:$B,2,1),(HU10-0.05)))</f>
        <v/>
      </c>
      <c r="HW10" s="172">
        <f>MIN(1,MAX(VLOOKUP(($AJ10-$AI10-$AH10-$AG10-$AF10-$AE10*(1+HW$3))/$AJ10,'Технический лист'!$A:$B,2,1),(HV10-0.05)))</f>
        <v/>
      </c>
      <c r="HX10" s="172">
        <f>MIN(1,MAX(VLOOKUP(($AJ10-$AI10-$AH10-$AG10-$AF10-$AE10*(1+HX$3))/$AJ10,'Технический лист'!$A:$B,2,1),(HW10-0.05)))</f>
        <v/>
      </c>
      <c r="HY10" s="172">
        <f>MIN(1,MAX(VLOOKUP(($AJ10-$AI10-$AH10-$AG10-$AF10-$AE10*(1+HY$3))/$AJ10,'Технический лист'!$A:$B,2,1),(HX10-0.05)))</f>
        <v/>
      </c>
      <c r="HZ10" s="172">
        <f>MIN(1,MAX(VLOOKUP(($AJ10-$AI10-$AH10-$AG10-$AF10-$AE10*(1+HZ$3))/$AJ10,'Технический лист'!$A:$B,2,1),(HY10-0.05)))</f>
        <v/>
      </c>
      <c r="IA10" s="172">
        <f>MIN(1,MAX(VLOOKUP(($AJ10-$AI10-$AH10-$AG10-$AF10-$AE10*(1+IA$3))/$AJ10,'Технический лист'!$A:$B,2,1),(HZ10-0.05)))</f>
        <v/>
      </c>
      <c r="IB10" s="172">
        <f>MIN(1,MAX(VLOOKUP(($AJ10-$AI10-$AH10-$AG10-$AF10-$AE10*(1+IB$3))/$AJ10,'Технический лист'!$A:$B,2,1),(IA10-0.05)))</f>
        <v/>
      </c>
      <c r="IC10" s="172">
        <f>MIN(1,MAX(VLOOKUP(($AJ10-$AI10-$AH10-$AG10-$AF10-$AE10*(1+IC$3))/$AJ10,'Технический лист'!$A:$B,2,1),(IB10-0.05)))</f>
        <v/>
      </c>
      <c r="ID10" s="172">
        <f>MIN(1,MAX(VLOOKUP(($AJ10-$AI10-$AH10-$AG10-$AF10-$AE10*(1+ID$3))/$AJ10,'Технический лист'!$A:$B,2,1),(IC10-0.05)))</f>
        <v/>
      </c>
      <c r="IE10" s="172">
        <f>MIN(1,MAX(VLOOKUP(($AJ10-$AI10-$AH10-$AG10-$AF10-$AE10*(1+IE$3))/$AJ10,'Технический лист'!$A:$B,2,1),(ID10-0.05)))</f>
        <v/>
      </c>
      <c r="IF10" s="172">
        <f>MIN(1,MAX(VLOOKUP(($AJ10-$AI10-$AH10-$AG10-$AF10-$AE10*(1+IF$3))/$AJ10,'Технический лист'!$A:$B,2,1),(IE10-0.05)))</f>
        <v/>
      </c>
      <c r="IG10" s="172">
        <f>MIN(1,MAX(VLOOKUP(($AJ10-$AI10-$AH10-$AG10-$AF10-$AE10*(1+IG$3))/$AJ10,'Технический лист'!$A:$B,2,1),(IF10-0.05)))</f>
        <v/>
      </c>
      <c r="IH10" s="172">
        <f>MIN(1,MAX(VLOOKUP(($AJ10-$AI10-$AH10-$AG10-$AF10-$AE10*(1+IH$3))/$AJ10,'Технический лист'!$A:$B,2,1),(IG10-0.05)))</f>
        <v/>
      </c>
      <c r="II10" s="172">
        <f>MIN(1,MAX(VLOOKUP(($AJ10-$AI10-$AH10-$AG10-$AF10-$AE10*(1+II$3))/$AJ10,'Технический лист'!$A:$B,2,1),(IH10-0.05)))</f>
        <v/>
      </c>
      <c r="IJ10" s="172">
        <f>MIN(1,MAX(VLOOKUP(($AJ10-$AI10-$AH10-$AG10-$AF10-$AE10*(1+IJ$3))/$AJ10,'Технический лист'!$A:$B,2,1),(II10-0.05)))</f>
        <v/>
      </c>
      <c r="IK10" s="172">
        <f>MIN(1,MAX(VLOOKUP(($AJ10-$AI10-$AH10-$AG10-$AF10-$AE10*(1+IK$3))/$AJ10,'Технический лист'!$A:$B,2,1),(IJ10-0.05)))</f>
        <v/>
      </c>
      <c r="IL10" s="172">
        <f>MIN(1,MAX(VLOOKUP(($AJ10-$AI10-$AH10-$AG10-$AF10-$AE10*(1+IL$3))/$AJ10,'Технический лист'!$A:$B,2,1),(IK10-0.05)))</f>
        <v/>
      </c>
      <c r="IM10" s="172">
        <f>MIN(1,MAX(VLOOKUP(($AJ10-$AI10-$AH10-$AG10-$AF10-$AE10*(1+IM$3))/$AJ10,'Технический лист'!$A:$B,2,1),(IL10-0.05)))</f>
        <v/>
      </c>
      <c r="IN10" s="172">
        <f>MIN(1,MAX(VLOOKUP(($AJ10-$AI10-$AH10-$AG10-$AF10-$AE10*(1+IN$3))/$AJ10,'Технический лист'!$A:$B,2,1),(IM10-0.05)))</f>
        <v/>
      </c>
      <c r="IO10" s="172">
        <f>MIN(1,MAX(VLOOKUP(($AJ10-$AI10-$AH10-$AG10-$AF10-$AE10*(1+IO$3))/$AJ10,'Технический лист'!$A:$B,2,1),(IN10-0.05)))</f>
        <v/>
      </c>
      <c r="IP10" s="172">
        <f>MIN(1,MAX(VLOOKUP(($AJ10-$AI10-$AH10-$AG10-$AF10-$AE10*(1+IP$3))/$AJ10,'Технический лист'!$A:$B,2,1),(IO10-0.05)))</f>
        <v/>
      </c>
      <c r="IQ10" s="172">
        <f>MIN(1,MAX(VLOOKUP(($AJ10-$AI10-$AH10-$AG10-$AF10-$AE10*(1+IQ$3))/$AJ10,'Технический лист'!$A:$B,2,1),(IP10-0.05)))</f>
        <v/>
      </c>
      <c r="IR10" s="172">
        <f>MIN(1,MAX(VLOOKUP(($AJ10-$AI10-$AH10-$AG10-$AF10-$AE10*(1+IR$3))/$AJ10,'Технический лист'!$A:$B,2,1),(IQ10-0.05)))</f>
        <v/>
      </c>
    </row>
    <row r="11">
      <c r="A11" s="89" t="inlineStr">
        <is>
          <t>ЧМ (сырье)</t>
        </is>
      </c>
      <c r="B11" s="90" t="n">
        <v>2</v>
      </c>
      <c r="C11" s="5" t="inlineStr">
        <is>
          <t>Кокс каменноугольный</t>
        </is>
      </c>
      <c r="D11" s="91" t="n">
        <v>17107</v>
      </c>
      <c r="E11" s="91" t="inlineStr">
        <is>
          <t xml:space="preserve">Кокс литейный КЛ-2 </t>
        </is>
      </c>
      <c r="F11" s="92" t="inlineStr">
        <is>
          <t>КОКС КАМЕННОУГОЛЬНЫЙ</t>
        </is>
      </c>
      <c r="G11" s="91" t="inlineStr">
        <is>
          <t>СВР</t>
        </is>
      </c>
      <c r="H11" s="91" t="inlineStr">
        <is>
          <t>ЮУР</t>
        </is>
      </c>
      <c r="I11" s="91" t="inlineStr">
        <is>
          <t>ТЮМЕНЬ-СЕВЕР</t>
        </is>
      </c>
      <c r="J11" s="91" t="inlineStr">
        <is>
          <t>КАРТ1-ЭК-РОС</t>
        </is>
      </c>
      <c r="K11" s="91" t="n">
        <v>748</v>
      </c>
      <c r="L11" s="91" t="inlineStr">
        <is>
          <t>Полувагоны</t>
        </is>
      </c>
      <c r="M11" s="91" t="inlineStr">
        <is>
          <t>Экспорт</t>
        </is>
      </c>
      <c r="N11" s="91" t="inlineStr">
        <is>
          <t>вагонная</t>
        </is>
      </c>
      <c r="O11" s="91" t="inlineStr">
        <is>
          <t xml:space="preserve">Южное </t>
        </is>
      </c>
      <c r="P11" s="89" t="inlineStr">
        <is>
          <t>'000027958866</t>
        </is>
      </c>
      <c r="Q11" s="91" t="inlineStr">
        <is>
          <t>АО "Антипинский НПЗ"</t>
        </is>
      </c>
      <c r="R11" s="91" t="inlineStr">
        <is>
          <t>ООО "РИ-ИНВЕСТ"</t>
        </is>
      </c>
      <c r="S11" s="87" t="n">
        <v>2167</v>
      </c>
      <c r="T11" s="87" t="n">
        <v>1621459</v>
      </c>
      <c r="U11" s="88" t="n">
        <v>34</v>
      </c>
      <c r="V11" s="88" t="n">
        <v>0</v>
      </c>
      <c r="W11" s="87" t="n">
        <v>1668248</v>
      </c>
      <c r="X11" s="112" t="n">
        <v>64</v>
      </c>
      <c r="Y11" s="112" t="inlineStr">
        <is>
          <t>групповая</t>
        </is>
      </c>
      <c r="Z11" s="113" t="n">
        <v>5</v>
      </c>
      <c r="AA11" s="113" t="n">
        <v>3</v>
      </c>
      <c r="AB11" s="113" t="n">
        <v>4</v>
      </c>
      <c r="AC11" s="161" t="n">
        <v>833.4400000000001</v>
      </c>
      <c r="AD11" s="161">
        <f>AE11-AC11</f>
        <v/>
      </c>
      <c r="AE11" s="161" t="n">
        <v>1080.53</v>
      </c>
      <c r="AF11" s="162">
        <f>(Z11+AA11+AB11)*'Ставки аренды'!$B$3/X11</f>
        <v/>
      </c>
      <c r="AG11" s="163" t="n">
        <v>0</v>
      </c>
      <c r="AH11" s="164" t="n">
        <v>0</v>
      </c>
      <c r="AI11" s="165">
        <f>0.95*AVERAGE(AJ10,AJ11)</f>
        <v/>
      </c>
      <c r="AJ11" s="166">
        <f>Цены!$C$8*'Курсы валют'!$B$2</f>
        <v/>
      </c>
      <c r="AK11" s="164">
        <f>AJ11/Цены!$B$1</f>
        <v/>
      </c>
      <c r="AL11" s="164">
        <f>AE11+AF11+AG11</f>
        <v/>
      </c>
      <c r="AM11" s="164">
        <f>AJ11-AL11</f>
        <v/>
      </c>
      <c r="AN11" s="164">
        <f>AI11+AH11+AG11+AF11+AE11</f>
        <v/>
      </c>
      <c r="AO11" s="167">
        <f>(AJ11-AN11)/AJ11</f>
        <v/>
      </c>
      <c r="AP11" s="168">
        <f>AL11/AJ11</f>
        <v/>
      </c>
      <c r="AQ11" s="168">
        <f>AE11/AJ11</f>
        <v/>
      </c>
      <c r="AR11" s="168">
        <f>AE11/AL11</f>
        <v/>
      </c>
      <c r="AS11" s="169" t="n">
        <v>1</v>
      </c>
      <c r="AT11" s="121">
        <f>S11*AS11</f>
        <v/>
      </c>
      <c r="AU11" s="83" t="n">
        <v>0.95</v>
      </c>
      <c r="AV11" s="170">
        <f>(AJ11-(AE11*(1+$IS$2)+AF11+AG11+AH11+AI11))/AJ11</f>
        <v/>
      </c>
      <c r="AW11" s="171">
        <f>(AE11*(1+$IS$2)+AF11+AG11)/AJ11</f>
        <v/>
      </c>
      <c r="AX11" s="171">
        <f>(AE11*(1+$IS$2))/AJ11</f>
        <v/>
      </c>
      <c r="AY11" s="171">
        <f>(AE11*(1+$IS$2))/(AE11*(1+$IS$2)+AF11+AG11)</f>
        <v/>
      </c>
      <c r="AZ11" s="172">
        <f>MIN(IF($AU11=100%,1,1+VLOOKUP(($AJ11-$AI11-$AH11-$AG11-$AF11-$AE11*(1+AZ$3))/$AJ11,'Технический лист'!$A:$B,2,1)-VLOOKUP($AO11,'Технический лист'!$A:$B,2,1)),1+(1-$AU11))</f>
        <v/>
      </c>
      <c r="BA11" s="172">
        <f>MIN(IF($AU11=100%,1,1+VLOOKUP(($AJ11-$AI11-$AH11-$AG11-$AF11-$AE11*(1+BA$3))/$AJ11,'Технический лист'!$A:$B,2,1)-VLOOKUP($AO11,'Технический лист'!$A:$B,2,1)),1+(1-$AU11))</f>
        <v/>
      </c>
      <c r="BB11" s="172">
        <f>MIN(IF($AU11=100%,1,1+VLOOKUP(($AJ11-$AI11-$AH11-$AG11-$AF11-$AE11*(1+BB$3))/$AJ11,'Технический лист'!$A:$B,2,1)-VLOOKUP($AO11,'Технический лист'!$A:$B,2,1)),1+(1-$AU11))</f>
        <v/>
      </c>
      <c r="BC11" s="172">
        <f>MIN(IF($AU11=100%,1,1+VLOOKUP(($AJ11-$AI11-$AH11-$AG11-$AF11-$AE11*(1+BC$3))/$AJ11,'Технический лист'!$A:$B,2,1)-VLOOKUP($AO11,'Технический лист'!$A:$B,2,1)),1+(1-$AU11))</f>
        <v/>
      </c>
      <c r="BD11" s="172">
        <f>MIN(IF($AU11=100%,1,1+VLOOKUP(($AJ11-$AI11-$AH11-$AG11-$AF11-$AE11*(1+BD$3))/$AJ11,'Технический лист'!$A:$B,2,1)-VLOOKUP($AO11,'Технический лист'!$A:$B,2,1)),1+(1-$AU11))</f>
        <v/>
      </c>
      <c r="BE11" s="172">
        <f>MIN(IF($AU11=100%,1,1+VLOOKUP(($AJ11-$AI11-$AH11-$AG11-$AF11-$AE11*(1+BE$3))/$AJ11,'Технический лист'!$A:$B,2,1)-VLOOKUP($AO11,'Технический лист'!$A:$B,2,1)),1+(1-$AU11))</f>
        <v/>
      </c>
      <c r="BF11" s="172">
        <f>MIN(IF($AU11=100%,1,1+VLOOKUP(($AJ11-$AI11-$AH11-$AG11-$AF11-$AE11*(1+BF$3))/$AJ11,'Технический лист'!$A:$B,2,1)-VLOOKUP($AO11,'Технический лист'!$A:$B,2,1)),1+(1-$AU11))</f>
        <v/>
      </c>
      <c r="BG11" s="172">
        <f>MIN(IF($AU11=100%,1,1+VLOOKUP(($AJ11-$AI11-$AH11-$AG11-$AF11-$AE11*(1+BG$3))/$AJ11,'Технический лист'!$A:$B,2,1)-VLOOKUP($AO11,'Технический лист'!$A:$B,2,1)),1+(1-$AU11))</f>
        <v/>
      </c>
      <c r="BH11" s="172">
        <f>MIN(IF($AU11=100%,1,1+VLOOKUP(($AJ11-$AI11-$AH11-$AG11-$AF11-$AE11*(1+BH$3))/$AJ11,'Технический лист'!$A:$B,2,1)-VLOOKUP($AO11,'Технический лист'!$A:$B,2,1)),1+(1-$AU11))</f>
        <v/>
      </c>
      <c r="BI11" s="172">
        <f>MIN(IF($AU11=100%,1,1+VLOOKUP(($AJ11-$AI11-$AH11-$AG11-$AF11-$AE11*(1+BI$3))/$AJ11,'Технический лист'!$A:$B,2,1)-VLOOKUP($AO11,'Технический лист'!$A:$B,2,1)),1+(1-$AU11))</f>
        <v/>
      </c>
      <c r="BJ11" s="172">
        <f>MIN(IF($AU11=100%,1,1+VLOOKUP(($AJ11-$AI11-$AH11-$AG11-$AF11-$AE11*(1+BJ$3))/$AJ11,'Технический лист'!$A:$B,2,1)-VLOOKUP($AO11,'Технический лист'!$A:$B,2,1)),1+(1-$AU11))</f>
        <v/>
      </c>
      <c r="BK11" s="172">
        <f>MIN(IF($AU11=100%,1,1+VLOOKUP(($AJ11-$AI11-$AH11-$AG11-$AF11-$AE11*(1+BK$3))/$AJ11,'Технический лист'!$A:$B,2,1)-VLOOKUP($AO11,'Технический лист'!$A:$B,2,1)),1+(1-$AU11))</f>
        <v/>
      </c>
      <c r="BL11" s="172">
        <f>MIN(IF($AU11=100%,1,1+VLOOKUP(($AJ11-$AI11-$AH11-$AG11-$AF11-$AE11*(1+BL$3))/$AJ11,'Технический лист'!$A:$B,2,1)-VLOOKUP($AO11,'Технический лист'!$A:$B,2,1)),1+(1-$AU11))</f>
        <v/>
      </c>
      <c r="BM11" s="172">
        <f>MIN(IF($AU11=100%,1,1+VLOOKUP(($AJ11-$AI11-$AH11-$AG11-$AF11-$AE11*(1+BM$3))/$AJ11,'Технический лист'!$A:$B,2,1)-VLOOKUP($AO11,'Технический лист'!$A:$B,2,1)),1+(1-$AU11))</f>
        <v/>
      </c>
      <c r="BN11" s="172">
        <f>MIN(IF($AU11=100%,1,1+VLOOKUP(($AJ11-$AI11-$AH11-$AG11-$AF11-$AE11*(1+BN$3))/$AJ11,'Технический лист'!$A:$B,2,1)-VLOOKUP($AO11,'Технический лист'!$A:$B,2,1)),1+(1-$AU11))</f>
        <v/>
      </c>
      <c r="BO11" s="172">
        <f>MIN(IF($AU11=100%,1,1+VLOOKUP(($AJ11-$AI11-$AH11-$AG11-$AF11-$AE11*(1+BO$3))/$AJ11,'Технический лист'!$A:$B,2,1)-VLOOKUP($AO11,'Технический лист'!$A:$B,2,1)),1+(1-$AU11))</f>
        <v/>
      </c>
      <c r="BP11" s="172">
        <f>MIN(IF($AU11=100%,1,1+VLOOKUP(($AJ11-$AI11-$AH11-$AG11-$AF11-$AE11*(1+BP$3))/$AJ11,'Технический лист'!$A:$B,2,1)-VLOOKUP($AO11,'Технический лист'!$A:$B,2,1)),1+(1-$AU11))</f>
        <v/>
      </c>
      <c r="BQ11" s="172">
        <f>MIN(IF($AU11=100%,1,1+VLOOKUP(($AJ11-$AI11-$AH11-$AG11-$AF11-$AE11*(1+BQ$3))/$AJ11,'Технический лист'!$A:$B,2,1)-VLOOKUP($AO11,'Технический лист'!$A:$B,2,1)),1+(1-$AU11))</f>
        <v/>
      </c>
      <c r="BR11" s="172">
        <f>MIN(IF($AU11=100%,1,1+VLOOKUP(($AJ11-$AI11-$AH11-$AG11-$AF11-$AE11*(1+BR$3))/$AJ11,'Технический лист'!$A:$B,2,1)-VLOOKUP($AO11,'Технический лист'!$A:$B,2,1)),1+(1-$AU11))</f>
        <v/>
      </c>
      <c r="BS11" s="172">
        <f>MIN(IF($AU11=100%,1,1+VLOOKUP(($AJ11-$AI11-$AH11-$AG11-$AF11-$AE11*(1+BS$3))/$AJ11,'Технический лист'!$A:$B,2,1)-VLOOKUP($AO11,'Технический лист'!$A:$B,2,1)),1+(1-$AU11))</f>
        <v/>
      </c>
      <c r="BT11" s="172">
        <f>MIN(IF($AU11=100%,1,1+VLOOKUP(($AJ11-$AI11-$AH11-$AG11-$AF11-$AE11*(1+BT$3))/$AJ11,'Технический лист'!$A:$B,2,1)-VLOOKUP($AO11,'Технический лист'!$A:$B,2,1)),1+(1-$AU11))</f>
        <v/>
      </c>
      <c r="BU11" s="172">
        <f>MIN(IF($AU11=100%,1,1+VLOOKUP(($AJ11-$AI11-$AH11-$AG11-$AF11-$AE11*(1+BU$3))/$AJ11,'Технический лист'!$A:$B,2,1)-VLOOKUP($AO11,'Технический лист'!$A:$B,2,1)),1+(1-$AU11))</f>
        <v/>
      </c>
      <c r="BV11" s="172">
        <f>MIN(IF($AU11=100%,1,1+VLOOKUP(($AJ11-$AI11-$AH11-$AG11-$AF11-$AE11*(1+BV$3))/$AJ11,'Технический лист'!$A:$B,2,1)-VLOOKUP($AO11,'Технический лист'!$A:$B,2,1)),1+(1-$AU11))</f>
        <v/>
      </c>
      <c r="BW11" s="172">
        <f>MIN(IF($AU11=100%,1,1+VLOOKUP(($AJ11-$AI11-$AH11-$AG11-$AF11-$AE11*(1+BW$3))/$AJ11,'Технический лист'!$A:$B,2,1)-VLOOKUP($AO11,'Технический лист'!$A:$B,2,1)),1+(1-$AU11))</f>
        <v/>
      </c>
      <c r="BX11" s="172">
        <f>MIN(IF($AU11=100%,1,1+VLOOKUP(($AJ11-$AI11-$AH11-$AG11-$AF11-$AE11*(1+BX$3))/$AJ11,'Технический лист'!$A:$B,2,1)-VLOOKUP($AO11,'Технический лист'!$A:$B,2,1)),1+(1-$AU11))</f>
        <v/>
      </c>
      <c r="BY11" s="172">
        <f>MIN(IF($AU11=100%,1,1+VLOOKUP(($AJ11-$AI11-$AH11-$AG11-$AF11-$AE11*(1+BY$3))/$AJ11,'Технический лист'!$A:$B,2,1)-VLOOKUP($AO11,'Технический лист'!$A:$B,2,1)),1+(1-$AU11))</f>
        <v/>
      </c>
      <c r="BZ11" s="172">
        <f>MIN(IF($AU11=100%,1,1+VLOOKUP(($AJ11-$AI11-$AH11-$AG11-$AF11-$AE11*(1+BZ$3))/$AJ11,'Технический лист'!$A:$B,2,1)-VLOOKUP($AO11,'Технический лист'!$A:$B,2,1)),1+(1-$AU11))</f>
        <v/>
      </c>
      <c r="CA11" s="172">
        <f>MIN(IF($AU11=100%,1,1+VLOOKUP(($AJ11-$AI11-$AH11-$AG11-$AF11-$AE11*(1+CA$3))/$AJ11,'Технический лист'!$A:$B,2,1)-VLOOKUP($AO11,'Технический лист'!$A:$B,2,1)),1+(1-$AU11))</f>
        <v/>
      </c>
      <c r="CB11" s="172">
        <f>MIN(IF($AU11=100%,1,1+VLOOKUP(($AJ11-$AI11-$AH11-$AG11-$AF11-$AE11*(1+CB$3))/$AJ11,'Технический лист'!$A:$B,2,1)-VLOOKUP($AO11,'Технический лист'!$A:$B,2,1)),1+(1-$AU11))</f>
        <v/>
      </c>
      <c r="CC11" s="172">
        <f>MIN(IF($AU11=100%,1,1+VLOOKUP(($AJ11-$AI11-$AH11-$AG11-$AF11-$AE11*(1+CC$3))/$AJ11,'Технический лист'!$A:$B,2,1)-VLOOKUP($AO11,'Технический лист'!$A:$B,2,1)),1+(1-$AU11))</f>
        <v/>
      </c>
      <c r="CD11" s="172">
        <f>MIN(IF($AU11=100%,1,1+VLOOKUP(($AJ11-$AI11-$AH11-$AG11-$AF11-$AE11*(1+CD$3))/$AJ11,'Технический лист'!$A:$B,2,1)-VLOOKUP($AO11,'Технический лист'!$A:$B,2,1)),1+(1-$AU11))</f>
        <v/>
      </c>
      <c r="CE11" s="172">
        <f>MIN(IF($AU11=100%,1,1+VLOOKUP(($AJ11-$AI11-$AH11-$AG11-$AF11-$AE11*(1+CE$3))/$AJ11,'Технический лист'!$A:$B,2,1)-VLOOKUP($AO11,'Технический лист'!$A:$B,2,1)),1+(1-$AU11))</f>
        <v/>
      </c>
      <c r="CF11" s="172">
        <f>MIN(IF($AU11=100%,1,1+VLOOKUP(($AJ11-$AI11-$AH11-$AG11-$AF11-$AE11*(1+CF$3))/$AJ11,'Технический лист'!$A:$B,2,1)-VLOOKUP($AO11,'Технический лист'!$A:$B,2,1)),1+(1-$AU11))</f>
        <v/>
      </c>
      <c r="CG11" s="172">
        <f>MIN(IF($AU11=100%,1,1+VLOOKUP(($AJ11-$AI11-$AH11-$AG11-$AF11-$AE11*(1+CG$3))/$AJ11,'Технический лист'!$A:$B,2,1)-VLOOKUP($AO11,'Технический лист'!$A:$B,2,1)),1+(1-$AU11))</f>
        <v/>
      </c>
      <c r="CH11" s="172">
        <f>MIN(IF($AU11=100%,1,1+VLOOKUP(($AJ11-$AI11-$AH11-$AG11-$AF11-$AE11*(1+CH$3))/$AJ11,'Технический лист'!$A:$B,2,1)-VLOOKUP($AO11,'Технический лист'!$A:$B,2,1)),1+(1-$AU11))</f>
        <v/>
      </c>
      <c r="CI11" s="172">
        <f>MIN(IF($AU11=100%,1,1+VLOOKUP(($AJ11-$AI11-$AH11-$AG11-$AF11-$AE11*(1+CI$3))/$AJ11,'Технический лист'!$A:$B,2,1)-VLOOKUP($AO11,'Технический лист'!$A:$B,2,1)),1+(1-$AU11))</f>
        <v/>
      </c>
      <c r="CJ11" s="172">
        <f>MIN(IF($AU11=100%,1,1+VLOOKUP(($AJ11-$AI11-$AH11-$AG11-$AF11-$AE11*(1+CJ$3))/$AJ11,'Технический лист'!$A:$B,2,1)-VLOOKUP($AO11,'Технический лист'!$A:$B,2,1)),1+(1-$AU11))</f>
        <v/>
      </c>
      <c r="CK11" s="172">
        <f>MIN(IF($AU11=100%,1,1+VLOOKUP(($AJ11-$AI11-$AH11-$AG11-$AF11-$AE11*(1+CK$3))/$AJ11,'Технический лист'!$A:$B,2,1)-VLOOKUP($AO11,'Технический лист'!$A:$B,2,1)),1+(1-$AU11))</f>
        <v/>
      </c>
      <c r="CL11" s="172">
        <f>MIN(IF($AU11=100%,1,1+VLOOKUP(($AJ11-$AI11-$AH11-$AG11-$AF11-$AE11*(1+CL$3))/$AJ11,'Технический лист'!$A:$B,2,1)-VLOOKUP($AO11,'Технический лист'!$A:$B,2,1)),1+(1-$AU11))</f>
        <v/>
      </c>
      <c r="CM11" s="172">
        <f>MIN(IF($AU11=100%,1,1+VLOOKUP(($AJ11-$AI11-$AH11-$AG11-$AF11-$AE11*(1+CM$3))/$AJ11,'Технический лист'!$A:$B,2,1)-VLOOKUP($AO11,'Технический лист'!$A:$B,2,1)),1+(1-$AU11))</f>
        <v/>
      </c>
      <c r="CN11" s="172">
        <f>MIN(IF($AU11=100%,1,1+VLOOKUP(($AJ11-$AI11-$AH11-$AG11-$AF11-$AE11*(1+CN$3))/$AJ11,'Технический лист'!$A:$B,2,1)-VLOOKUP($AO11,'Технический лист'!$A:$B,2,1)),1+(1-$AU11))</f>
        <v/>
      </c>
      <c r="CO11" s="172">
        <f>MIN(IF($AU11=100%,1,1+VLOOKUP(($AJ11-$AI11-$AH11-$AG11-$AF11-$AE11*(1+CO$3))/$AJ11,'Технический лист'!$A:$B,2,1)-VLOOKUP($AO11,'Технический лист'!$A:$B,2,1)),1+(1-$AU11))</f>
        <v/>
      </c>
      <c r="CP11" s="172">
        <f>MIN(IF($AU11=100%,1,1+VLOOKUP(($AJ11-$AI11-$AH11-$AG11-$AF11-$AE11*(1+CP$3))/$AJ11,'Технический лист'!$A:$B,2,1)-VLOOKUP($AO11,'Технический лист'!$A:$B,2,1)),1+(1-$AU11))</f>
        <v/>
      </c>
      <c r="CQ11" s="172">
        <f>MIN(IF($AU11=100%,1,1+VLOOKUP(($AJ11-$AI11-$AH11-$AG11-$AF11-$AE11*(1+CQ$3))/$AJ11,'Технический лист'!$A:$B,2,1)-VLOOKUP($AO11,'Технический лист'!$A:$B,2,1)),1+(1-$AU11))</f>
        <v/>
      </c>
      <c r="CR11" s="172">
        <f>MIN(IF($AU11=100%,1,1+VLOOKUP(($AJ11-$AI11-$AH11-$AG11-$AF11-$AE11*(1+CR$3))/$AJ11,'Технический лист'!$A:$B,2,1)-VLOOKUP($AO11,'Технический лист'!$A:$B,2,1)),1+(1-$AU11))</f>
        <v/>
      </c>
      <c r="CS11" s="172">
        <f>MIN(IF($AU11=100%,1,1+VLOOKUP(($AJ11-$AI11-$AH11-$AG11-$AF11-$AE11*(1+CS$3))/$AJ11,'Технический лист'!$A:$B,2,1)-VLOOKUP($AO11,'Технический лист'!$A:$B,2,1)),1+(1-$AU11))</f>
        <v/>
      </c>
      <c r="CT11" s="172">
        <f>MIN(IF($AU11=100%,1,1+VLOOKUP(($AJ11-$AI11-$AH11-$AG11-$AF11-$AE11*(1+CT$3))/$AJ11,'Технический лист'!$A:$B,2,1)-VLOOKUP($AO11,'Технический лист'!$A:$B,2,1)),1+(1-$AU11))</f>
        <v/>
      </c>
      <c r="CU11" s="172">
        <f>MIN(IF($AU11=100%,1,1+VLOOKUP(($AJ11-$AI11-$AH11-$AG11-$AF11-$AE11*(1+CU$3))/$AJ11,'Технический лист'!$A:$B,2,1)-VLOOKUP($AO11,'Технический лист'!$A:$B,2,1)),1+(1-$AU11))</f>
        <v/>
      </c>
      <c r="CV11" s="172">
        <f>MIN(IF($AU11=100%,1,1+VLOOKUP(($AJ11-$AI11-$AH11-$AG11-$AF11-$AE11*(1+CV$3))/$AJ11,'Технический лист'!$A:$B,2,1)-VLOOKUP($AO11,'Технический лист'!$A:$B,2,1)),1+(1-$AU11))</f>
        <v/>
      </c>
      <c r="CW11" s="172">
        <f>MIN(IF($AU11=100%,1,1+VLOOKUP(($AJ11-$AI11-$AH11-$AG11-$AF11-$AE11*(1+CW$3))/$AJ11,'Технический лист'!$A:$B,2,1)-VLOOKUP($AO11,'Технический лист'!$A:$B,2,1)),1+(1-$AU11))</f>
        <v/>
      </c>
      <c r="CX11" s="172">
        <f>MIN(IF($AU11=100%,1,1+VLOOKUP(($AJ11-$AI11-$AH11-$AG11-$AF11-$AE11*(1+CX$3))/$AJ11,'Технический лист'!$A:$B,2,1)-VLOOKUP($AO11,'Технический лист'!$A:$B,2,1)),1+(1-$AU11))</f>
        <v/>
      </c>
      <c r="CY11" s="172">
        <f>MIN(IF($AU11=100%,1,1+VLOOKUP(($AJ11-$AI11-$AH11-$AG11-$AF11-$AE11*(1+CY$3))/$AJ11,'Технический лист'!$A:$B,2,1)-VLOOKUP($AO11,'Технический лист'!$A:$B,2,1)),1+(1-$AU11))</f>
        <v/>
      </c>
      <c r="CZ11" s="172">
        <f>MIN(IF($AU11=100%,1,1+VLOOKUP(($AJ11-$AI11-$AH11-$AG11-$AF11-$AE11*(1+CZ$3))/$AJ11,'Технический лист'!$A:$B,2,1)-VLOOKUP($AO11,'Технический лист'!$A:$B,2,1)),1+(1-$AU11))</f>
        <v/>
      </c>
      <c r="DA11" s="172">
        <f>MIN(IF($AU11=100%,1,1+VLOOKUP(($AJ11-$AI11-$AH11-$AG11-$AF11-$AE11*(1+DA$3))/$AJ11,'Технический лист'!$A:$B,2,1)-VLOOKUP($AO11,'Технический лист'!$A:$B,2,1)),1+(1-$AU11))</f>
        <v/>
      </c>
      <c r="DB11" s="172">
        <f>MIN(IF($AU11=100%,1,1+VLOOKUP(($AJ11-$AI11-$AH11-$AG11-$AF11-$AE11*(1+DB$3))/$AJ11,'Технический лист'!$A:$B,2,1)-VLOOKUP($AO11,'Технический лист'!$A:$B,2,1)),1+(1-$AU11))</f>
        <v/>
      </c>
      <c r="DC11" s="172">
        <f>MIN(IF($AU11=100%,1,1+VLOOKUP(($AJ11-$AI11-$AH11-$AG11-$AF11-$AE11*(1+DC$3))/$AJ11,'Технический лист'!$A:$B,2,1)-VLOOKUP($AO11,'Технический лист'!$A:$B,2,1)),1+(1-$AU11))</f>
        <v/>
      </c>
      <c r="DD11" s="172">
        <f>MIN(IF($AU11=100%,1,1+VLOOKUP(($AJ11-$AI11-$AH11-$AG11-$AF11-$AE11*(1+DD$3))/$AJ11,'Технический лист'!$A:$B,2,1)-VLOOKUP($AO11,'Технический лист'!$A:$B,2,1)),1+(1-$AU11))</f>
        <v/>
      </c>
      <c r="DE11" s="172">
        <f>MIN(IF($AU11=100%,1,1+VLOOKUP(($AJ11-$AI11-$AH11-$AG11-$AF11-$AE11*(1+DE$3))/$AJ11,'Технический лист'!$A:$B,2,1)-VLOOKUP($AO11,'Технический лист'!$A:$B,2,1)),1+(1-$AU11))</f>
        <v/>
      </c>
      <c r="DF11" s="172">
        <f>MIN(IF($AU11=100%,1,1+VLOOKUP(($AJ11-$AI11-$AH11-$AG11-$AF11-$AE11*(1+DF$3))/$AJ11,'Технический лист'!$A:$B,2,1)-VLOOKUP($AO11,'Технический лист'!$A:$B,2,1)),1+(1-$AU11))</f>
        <v/>
      </c>
      <c r="DG11" s="172">
        <f>MIN(IF($AU11=100%,1,1+VLOOKUP(($AJ11-$AI11-$AH11-$AG11-$AF11-$AE11*(1+DG$3))/$AJ11,'Технический лист'!$A:$B,2,1)-VLOOKUP($AO11,'Технический лист'!$A:$B,2,1)),1+(1-$AU11))</f>
        <v/>
      </c>
      <c r="DH11" s="172">
        <f>MIN(IF($AU11=100%,1,1+VLOOKUP(($AJ11-$AI11-$AH11-$AG11-$AF11-$AE11*(1+DH$3))/$AJ11,'Технический лист'!$A:$B,2,1)-VLOOKUP($AO11,'Технический лист'!$A:$B,2,1)),1+(1-$AU11))</f>
        <v/>
      </c>
      <c r="DI11" s="172">
        <f>MIN(IF($AU11=100%,1,1+VLOOKUP(($AJ11-$AI11-$AH11-$AG11-$AF11-$AE11*(1+DI$3))/$AJ11,'Технический лист'!$A:$B,2,1)-VLOOKUP($AO11,'Технический лист'!$A:$B,2,1)),1+(1-$AU11))</f>
        <v/>
      </c>
      <c r="DJ11" s="172">
        <f>MIN(IF($AU11=100%,1,1+VLOOKUP(($AJ11-$AI11-$AH11-$AG11-$AF11-$AE11*(1+DJ$3))/$AJ11,'Технический лист'!$A:$B,2,1)-VLOOKUP($AO11,'Технический лист'!$A:$B,2,1)),1+(1-$AU11))</f>
        <v/>
      </c>
      <c r="DK11" s="172">
        <f>MIN(IF($AU11=100%,1,1+VLOOKUP(($AJ11-$AI11-$AH11-$AG11-$AF11-$AE11*(1+DK$3))/$AJ11,'Технический лист'!$A:$B,2,1)-VLOOKUP($AO11,'Технический лист'!$A:$B,2,1)),1+(1-$AU11))</f>
        <v/>
      </c>
      <c r="DL11" s="172">
        <f>MIN(IF($AU11=100%,1,1+VLOOKUP(($AJ11-$AI11-$AH11-$AG11-$AF11-$AE11*(1+DL$3))/$AJ11,'Технический лист'!$A:$B,2,1)-VLOOKUP($AO11,'Технический лист'!$A:$B,2,1)),1+(1-$AU11))</f>
        <v/>
      </c>
      <c r="DM11" s="172">
        <f>MIN(IF($AU11=100%,1,1+VLOOKUP(($AJ11-$AI11-$AH11-$AG11-$AF11-$AE11*(1+DM$3))/$AJ11,'Технический лист'!$A:$B,2,1)-VLOOKUP($AO11,'Технический лист'!$A:$B,2,1)),1+(1-$AU11))</f>
        <v/>
      </c>
      <c r="DN11" s="172">
        <f>MIN(IF($AU11=100%,1,1+VLOOKUP(($AJ11-$AI11-$AH11-$AG11-$AF11-$AE11*(1+DN$3))/$AJ11,'Технический лист'!$A:$B,2,1)-VLOOKUP($AO11,'Технический лист'!$A:$B,2,1)),1+(1-$AU11))</f>
        <v/>
      </c>
      <c r="DO11" s="172">
        <f>MIN(IF($AU11=100%,1,1+VLOOKUP(($AJ11-$AI11-$AH11-$AG11-$AF11-$AE11*(1+DO$3))/$AJ11,'Технический лист'!$A:$B,2,1)-VLOOKUP($AO11,'Технический лист'!$A:$B,2,1)),1+(1-$AU11))</f>
        <v/>
      </c>
      <c r="DP11" s="172">
        <f>MIN(IF($AU11=100%,1,1+VLOOKUP(($AJ11-$AI11-$AH11-$AG11-$AF11-$AE11*(1+DP$3))/$AJ11,'Технический лист'!$A:$B,2,1)-VLOOKUP($AO11,'Технический лист'!$A:$B,2,1)),1+(1-$AU11))</f>
        <v/>
      </c>
      <c r="DQ11" s="172">
        <f>MIN(IF($AU11=100%,1,1+VLOOKUP(($AJ11-$AI11-$AH11-$AG11-$AF11-$AE11*(1+DQ$3))/$AJ11,'Технический лист'!$A:$B,2,1)-VLOOKUP($AO11,'Технический лист'!$A:$B,2,1)),1+(1-$AU11))</f>
        <v/>
      </c>
      <c r="DR11" s="172">
        <f>MIN(IF($AU11=100%,1,1+VLOOKUP(($AJ11-$AI11-$AH11-$AG11-$AF11-$AE11*(1+DR$3))/$AJ11,'Технический лист'!$A:$B,2,1)-VLOOKUP($AO11,'Технический лист'!$A:$B,2,1)),1+(1-$AU11))</f>
        <v/>
      </c>
      <c r="DS11" s="172">
        <f>MIN(IF($AU11=100%,1,1+VLOOKUP(($AJ11-$AI11-$AH11-$AG11-$AF11-$AE11*(1+DS$3))/$AJ11,'Технический лист'!$A:$B,2,1)-VLOOKUP($AO11,'Технический лист'!$A:$B,2,1)),1+(1-$AU11))</f>
        <v/>
      </c>
      <c r="DT11" s="172">
        <f>MIN(IF($AU11=100%,1,1+VLOOKUP(($AJ11-$AI11-$AH11-$AG11-$AF11-$AE11*(1+DT$3))/$AJ11,'Технический лист'!$A:$B,2,1)-VLOOKUP($AO11,'Технический лист'!$A:$B,2,1)),1+(1-$AU11))</f>
        <v/>
      </c>
      <c r="DU11" s="172">
        <f>MIN(IF($AU11=100%,1,1+VLOOKUP(($AJ11-$AI11-$AH11-$AG11-$AF11-$AE11*(1+DU$3))/$AJ11,'Технический лист'!$A:$B,2,1)-VLOOKUP($AO11,'Технический лист'!$A:$B,2,1)),1+(1-$AU11))</f>
        <v/>
      </c>
      <c r="DV11" s="172">
        <f>MIN(IF($AU11=100%,1,1+VLOOKUP(($AJ11-$AI11-$AH11-$AG11-$AF11-$AE11*(1+DV$3))/$AJ11,'Технический лист'!$A:$B,2,1)-VLOOKUP($AO11,'Технический лист'!$A:$B,2,1)),1+(1-$AU11))</f>
        <v/>
      </c>
      <c r="DW11" s="172">
        <f>MIN(IF($AU11=100%,1,1+VLOOKUP(($AJ11-$AI11-$AH11-$AG11-$AF11-$AE11*(1+DW$3))/$AJ11,'Технический лист'!$A:$B,2,1)-VLOOKUP($AO11,'Технический лист'!$A:$B,2,1)),1+(1-$AU11))</f>
        <v/>
      </c>
      <c r="DX11" s="172">
        <f>MIN(IF($AU11=100%,1,1+VLOOKUP(($AJ11-$AI11-$AH11-$AG11-$AF11-$AE11*(1+DX$3))/$AJ11,'Технический лист'!$A:$B,2,1)-VLOOKUP($AO11,'Технический лист'!$A:$B,2,1)),1+(1-$AU11))</f>
        <v/>
      </c>
      <c r="DY11" s="172">
        <f>MIN(IF($AU11=100%,1,1+VLOOKUP(($AJ11-$AI11-$AH11-$AG11-$AF11-$AE11*(1+DY$3))/$AJ11,'Технический лист'!$A:$B,2,1)-VLOOKUP($AO11,'Технический лист'!$A:$B,2,1)),1+(1-$AU11))</f>
        <v/>
      </c>
      <c r="DZ11" s="172">
        <f>MIN(IF($AU11=100%,1,1+VLOOKUP(($AJ11-$AI11-$AH11-$AG11-$AF11-$AE11*(1+DZ$3))/$AJ11,'Технический лист'!$A:$B,2,1)-VLOOKUP($AO11,'Технический лист'!$A:$B,2,1)),1+(1-$AU11))</f>
        <v/>
      </c>
      <c r="EA11" s="172">
        <f>MIN(IF($AU11=100%,1,1+VLOOKUP(($AJ11-$AI11-$AH11-$AG11-$AF11-$AE11*(1+EA$3))/$AJ11,'Технический лист'!$A:$B,2,1)-VLOOKUP($AO11,'Технический лист'!$A:$B,2,1)),1+(1-$AU11))</f>
        <v/>
      </c>
      <c r="EB11" s="172">
        <f>MIN(IF($AU11=100%,1,1+VLOOKUP(($AJ11-$AI11-$AH11-$AG11-$AF11-$AE11*(1+EB$3))/$AJ11,'Технический лист'!$A:$B,2,1)-VLOOKUP($AO11,'Технический лист'!$A:$B,2,1)),1+(1-$AU11))</f>
        <v/>
      </c>
      <c r="EC11" s="172">
        <f>MIN(IF($AU11=100%,1,1+VLOOKUP(($AJ11-$AI11-$AH11-$AG11-$AF11-$AE11*(1+EC$3))/$AJ11,'Технический лист'!$A:$B,2,1)-VLOOKUP($AO11,'Технический лист'!$A:$B,2,1)),1+(1-$AU11))</f>
        <v/>
      </c>
      <c r="ED11" s="172">
        <f>MIN(IF($AU11=100%,1,1+VLOOKUP(($AJ11-$AI11-$AH11-$AG11-$AF11-$AE11*(1+ED$3))/$AJ11,'Технический лист'!$A:$B,2,1)-VLOOKUP($AO11,'Технический лист'!$A:$B,2,1)),1+(1-$AU11))</f>
        <v/>
      </c>
      <c r="EE11" s="172">
        <f>MIN(IF($AU11=100%,1,1+VLOOKUP(($AJ11-$AI11-$AH11-$AG11-$AF11-$AE11*(1+EE$3))/$AJ11,'Технический лист'!$A:$B,2,1)-VLOOKUP($AO11,'Технический лист'!$A:$B,2,1)),1+(1-$AU11))</f>
        <v/>
      </c>
      <c r="EF11" s="172">
        <f>MIN(IF($AU11=100%,1,1+VLOOKUP(($AJ11-$AI11-$AH11-$AG11-$AF11-$AE11*(1+EF$3))/$AJ11,'Технический лист'!$A:$B,2,1)-VLOOKUP($AO11,'Технический лист'!$A:$B,2,1)),1+(1-$AU11))</f>
        <v/>
      </c>
      <c r="EG11" s="172">
        <f>MIN(IF($AU11=100%,1,1+VLOOKUP(($AJ11-$AI11-$AH11-$AG11-$AF11-$AE11*(1+EG$3))/$AJ11,'Технический лист'!$A:$B,2,1)-VLOOKUP($AO11,'Технический лист'!$A:$B,2,1)),1+(1-$AU11))</f>
        <v/>
      </c>
      <c r="EH11" s="172">
        <f>MIN(IF($AU11=100%,1,1+VLOOKUP(($AJ11-$AI11-$AH11-$AG11-$AF11-$AE11*(1+EH$3))/$AJ11,'Технический лист'!$A:$B,2,1)-VLOOKUP($AO11,'Технический лист'!$A:$B,2,1)),1+(1-$AU11))</f>
        <v/>
      </c>
      <c r="EI11" s="172">
        <f>MIN(IF($AU11=100%,1,1+VLOOKUP(($AJ11-$AI11-$AH11-$AG11-$AF11-$AE11*(1+EI$3))/$AJ11,'Технический лист'!$A:$B,2,1)-VLOOKUP($AO11,'Технический лист'!$A:$B,2,1)),1+(1-$AU11))</f>
        <v/>
      </c>
      <c r="EJ11" s="172">
        <f>MIN(IF($AU11=100%,1,1+VLOOKUP(($AJ11-$AI11-$AH11-$AG11-$AF11-$AE11*(1+EJ$3))/$AJ11,'Технический лист'!$A:$B,2,1)-VLOOKUP($AO11,'Технический лист'!$A:$B,2,1)),1+(1-$AU11))</f>
        <v/>
      </c>
      <c r="EK11" s="172">
        <f>MIN(IF($AU11=100%,1,1+VLOOKUP(($AJ11-$AI11-$AH11-$AG11-$AF11-$AE11*(1+EK$3))/$AJ11,'Технический лист'!$A:$B,2,1)-VLOOKUP($AO11,'Технический лист'!$A:$B,2,1)),1+(1-$AU11))</f>
        <v/>
      </c>
      <c r="EL11" s="172">
        <f>MIN(IF($AU11=100%,1,1+VLOOKUP(($AJ11-$AI11-$AH11-$AG11-$AF11-$AE11*(1+EL$3))/$AJ11,'Технический лист'!$A:$B,2,1)-VLOOKUP($AO11,'Технический лист'!$A:$B,2,1)),1+(1-$AU11))</f>
        <v/>
      </c>
      <c r="EM11" s="172">
        <f>MIN(IF($AU11=100%,1,1+VLOOKUP(($AJ11-$AI11-$AH11-$AG11-$AF11-$AE11*(1+EM$3))/$AJ11,'Технический лист'!$A:$B,2,1)-VLOOKUP($AO11,'Технический лист'!$A:$B,2,1)),1+(1-$AU11))</f>
        <v/>
      </c>
      <c r="EN11" s="172">
        <f>MIN(IF($AU11=100%,1,1+VLOOKUP(($AJ11-$AI11-$AH11-$AG11-$AF11-$AE11*(1+EN$3))/$AJ11,'Технический лист'!$A:$B,2,1)-VLOOKUP($AO11,'Технический лист'!$A:$B,2,1)),1+(1-$AU11))</f>
        <v/>
      </c>
      <c r="EO11" s="172">
        <f>MIN(IF($AU11=100%,1,1+VLOOKUP(($AJ11-$AI11-$AH11-$AG11-$AF11-$AE11*(1+EO$3))/$AJ11,'Технический лист'!$A:$B,2,1)-VLOOKUP($AO11,'Технический лист'!$A:$B,2,1)),1+(1-$AU11))</f>
        <v/>
      </c>
      <c r="EP11" s="172">
        <f>MIN(IF($AU11=100%,1,1+VLOOKUP(($AJ11-$AI11-$AH11-$AG11-$AF11-$AE11*(1+EP$3))/$AJ11,'Технический лист'!$A:$B,2,1)-VLOOKUP($AO11,'Технический лист'!$A:$B,2,1)),1+(1-$AU11))</f>
        <v/>
      </c>
      <c r="EQ11" s="172">
        <f>MIN(IF($AU11=100%,1,1+VLOOKUP(($AJ11-$AI11-$AH11-$AG11-$AF11-$AE11*(1+EQ$3))/$AJ11,'Технический лист'!$A:$B,2,1)-VLOOKUP($AO11,'Технический лист'!$A:$B,2,1)),1+(1-$AU11))</f>
        <v/>
      </c>
      <c r="ER11" s="172">
        <f>MIN(IF($AU11=100%,1,1+VLOOKUP(($AJ11-$AI11-$AH11-$AG11-$AF11-$AE11*(1+ER$3))/$AJ11,'Технический лист'!$A:$B,2,1)-VLOOKUP($AO11,'Технический лист'!$A:$B,2,1)),1+(1-$AU11))</f>
        <v/>
      </c>
      <c r="ES11" s="172">
        <f>MIN(IF($AU11=100%,1,1+VLOOKUP(($AJ11-$AI11-$AH11-$AG11-$AF11-$AE11*(1+ES$3))/$AJ11,'Технический лист'!$A:$B,2,1)-VLOOKUP($AO11,'Технический лист'!$A:$B,2,1)),1+(1-$AU11))</f>
        <v/>
      </c>
      <c r="ET11" s="172">
        <f>MIN(IF($AU11=100%,1,1+VLOOKUP(($AJ11-$AI11-$AH11-$AG11-$AF11-$AE11*(1+ET$3))/$AJ11,'Технический лист'!$A:$B,2,1)-VLOOKUP($AO11,'Технический лист'!$A:$B,2,1)),1+(1-$AU11))</f>
        <v/>
      </c>
      <c r="EU11" s="172">
        <f>MIN(IF($AU11=100%,1,1+VLOOKUP(($AJ11-$AI11-$AH11-$AG11-$AF11-$AE11*(1+EU$3))/$AJ11,'Технический лист'!$A:$B,2,1)-VLOOKUP($AO11,'Технический лист'!$A:$B,2,1)),1+(1-$AU11))</f>
        <v/>
      </c>
      <c r="EV11" s="173" t="n">
        <v>1</v>
      </c>
      <c r="EW11" s="172">
        <f>MIN(1,MAX(VLOOKUP(($AJ11-$AI11-$AH11-$AG11-$AF11-$AE11*(1+EW$3))/$AJ11,'Технический лист'!$A:$B,2,1),(EV11-0.05)))</f>
        <v/>
      </c>
      <c r="EX11" s="172">
        <f>MIN(1,MAX(VLOOKUP(($AJ11-$AI11-$AH11-$AG11-$AF11-$AE11*(1+EX$3))/$AJ11,'Технический лист'!$A:$B,2,1),(EW11-0.05)))</f>
        <v/>
      </c>
      <c r="EY11" s="172">
        <f>MIN(1,MAX(VLOOKUP(($AJ11-$AI11-$AH11-$AG11-$AF11-$AE11*(1+EY$3))/$AJ11,'Технический лист'!$A:$B,2,1),(EX11-0.05)))</f>
        <v/>
      </c>
      <c r="EZ11" s="172">
        <f>MIN(1,MAX(VLOOKUP(($AJ11-$AI11-$AH11-$AG11-$AF11-$AE11*(1+EZ$3))/$AJ11,'Технический лист'!$A:$B,2,1),(EY11-0.05)))</f>
        <v/>
      </c>
      <c r="FA11" s="172">
        <f>MIN(1,MAX(VLOOKUP(($AJ11-$AI11-$AH11-$AG11-$AF11-$AE11*(1+FA$3))/$AJ11,'Технический лист'!$A:$B,2,1),(EZ11-0.05)))</f>
        <v/>
      </c>
      <c r="FB11" s="172">
        <f>MIN(1,MAX(VLOOKUP(($AJ11-$AI11-$AH11-$AG11-$AF11-$AE11*(1+FB$3))/$AJ11,'Технический лист'!$A:$B,2,1),(FA11-0.05)))</f>
        <v/>
      </c>
      <c r="FC11" s="172">
        <f>MIN(1,MAX(VLOOKUP(($AJ11-$AI11-$AH11-$AG11-$AF11-$AE11*(1+FC$3))/$AJ11,'Технический лист'!$A:$B,2,1),(FB11-0.05)))</f>
        <v/>
      </c>
      <c r="FD11" s="172">
        <f>MIN(1,MAX(VLOOKUP(($AJ11-$AI11-$AH11-$AG11-$AF11-$AE11*(1+FD$3))/$AJ11,'Технический лист'!$A:$B,2,1),(FC11-0.05)))</f>
        <v/>
      </c>
      <c r="FE11" s="172">
        <f>MIN(1,MAX(VLOOKUP(($AJ11-$AI11-$AH11-$AG11-$AF11-$AE11*(1+FE$3))/$AJ11,'Технический лист'!$A:$B,2,1),(FD11-0.05)))</f>
        <v/>
      </c>
      <c r="FF11" s="172">
        <f>MIN(1,MAX(VLOOKUP(($AJ11-$AI11-$AH11-$AG11-$AF11-$AE11*(1+FF$3))/$AJ11,'Технический лист'!$A:$B,2,1),(FE11-0.05)))</f>
        <v/>
      </c>
      <c r="FG11" s="172">
        <f>MIN(1,MAX(VLOOKUP(($AJ11-$AI11-$AH11-$AG11-$AF11-$AE11*(1+FG$3))/$AJ11,'Технический лист'!$A:$B,2,1),(FF11-0.05)))</f>
        <v/>
      </c>
      <c r="FH11" s="172">
        <f>MIN(1,MAX(VLOOKUP(($AJ11-$AI11-$AH11-$AG11-$AF11-$AE11*(1+FH$3))/$AJ11,'Технический лист'!$A:$B,2,1),(FG11-0.05)))</f>
        <v/>
      </c>
      <c r="FI11" s="172">
        <f>MIN(1,MAX(VLOOKUP(($AJ11-$AI11-$AH11-$AG11-$AF11-$AE11*(1+FI$3))/$AJ11,'Технический лист'!$A:$B,2,1),(FH11-0.05)))</f>
        <v/>
      </c>
      <c r="FJ11" s="172">
        <f>MIN(1,MAX(VLOOKUP(($AJ11-$AI11-$AH11-$AG11-$AF11-$AE11*(1+FJ$3))/$AJ11,'Технический лист'!$A:$B,2,1),(FI11-0.05)))</f>
        <v/>
      </c>
      <c r="FK11" s="172">
        <f>MIN(1,MAX(VLOOKUP(($AJ11-$AI11-$AH11-$AG11-$AF11-$AE11*(1+FK$3))/$AJ11,'Технический лист'!$A:$B,2,1),(FJ11-0.05)))</f>
        <v/>
      </c>
      <c r="FL11" s="172">
        <f>MIN(1,MAX(VLOOKUP(($AJ11-$AI11-$AH11-$AG11-$AF11-$AE11*(1+FL$3))/$AJ11,'Технический лист'!$A:$B,2,1),(FK11-0.05)))</f>
        <v/>
      </c>
      <c r="FM11" s="172">
        <f>MIN(1,MAX(VLOOKUP(($AJ11-$AI11-$AH11-$AG11-$AF11-$AE11*(1+FM$3))/$AJ11,'Технический лист'!$A:$B,2,1),(FL11-0.05)))</f>
        <v/>
      </c>
      <c r="FN11" s="172">
        <f>MIN(1,MAX(VLOOKUP(($AJ11-$AI11-$AH11-$AG11-$AF11-$AE11*(1+FN$3))/$AJ11,'Технический лист'!$A:$B,2,1),(FM11-0.05)))</f>
        <v/>
      </c>
      <c r="FO11" s="172">
        <f>MIN(1,MAX(VLOOKUP(($AJ11-$AI11-$AH11-$AG11-$AF11-$AE11*(1+FO$3))/$AJ11,'Технический лист'!$A:$B,2,1),(FN11-0.05)))</f>
        <v/>
      </c>
      <c r="FP11" s="172">
        <f>MIN(1,MAX(VLOOKUP(($AJ11-$AI11-$AH11-$AG11-$AF11-$AE11*(1+FP$3))/$AJ11,'Технический лист'!$A:$B,2,1),(FO11-0.05)))</f>
        <v/>
      </c>
      <c r="FQ11" s="172">
        <f>MIN(1,MAX(VLOOKUP(($AJ11-$AI11-$AH11-$AG11-$AF11-$AE11*(1+FQ$3))/$AJ11,'Технический лист'!$A:$B,2,1),(FP11-0.05)))</f>
        <v/>
      </c>
      <c r="FR11" s="172">
        <f>MIN(1,MAX(VLOOKUP(($AJ11-$AI11-$AH11-$AG11-$AF11-$AE11*(1+FR$3))/$AJ11,'Технический лист'!$A:$B,2,1),(FQ11-0.05)))</f>
        <v/>
      </c>
      <c r="FS11" s="172">
        <f>MIN(1,MAX(VLOOKUP(($AJ11-$AI11-$AH11-$AG11-$AF11-$AE11*(1+FS$3))/$AJ11,'Технический лист'!$A:$B,2,1),(FR11-0.05)))</f>
        <v/>
      </c>
      <c r="FT11" s="172">
        <f>MIN(1,MAX(VLOOKUP(($AJ11-$AI11-$AH11-$AG11-$AF11-$AE11*(1+FT$3))/$AJ11,'Технический лист'!$A:$B,2,1),(FS11-0.05)))</f>
        <v/>
      </c>
      <c r="FU11" s="172">
        <f>MIN(1,MAX(VLOOKUP(($AJ11-$AI11-$AH11-$AG11-$AF11-$AE11*(1+FU$3))/$AJ11,'Технический лист'!$A:$B,2,1),(FT11-0.05)))</f>
        <v/>
      </c>
      <c r="FV11" s="172">
        <f>MIN(1,MAX(VLOOKUP(($AJ11-$AI11-$AH11-$AG11-$AF11-$AE11*(1+FV$3))/$AJ11,'Технический лист'!$A:$B,2,1),(FU11-0.05)))</f>
        <v/>
      </c>
      <c r="FW11" s="172">
        <f>MIN(1,MAX(VLOOKUP(($AJ11-$AI11-$AH11-$AG11-$AF11-$AE11*(1+FW$3))/$AJ11,'Технический лист'!$A:$B,2,1),(FV11-0.05)))</f>
        <v/>
      </c>
      <c r="FX11" s="172">
        <f>MIN(1,MAX(VLOOKUP(($AJ11-$AI11-$AH11-$AG11-$AF11-$AE11*(1+FX$3))/$AJ11,'Технический лист'!$A:$B,2,1),(FW11-0.05)))</f>
        <v/>
      </c>
      <c r="FY11" s="172">
        <f>MIN(1,MAX(VLOOKUP(($AJ11-$AI11-$AH11-$AG11-$AF11-$AE11*(1+FY$3))/$AJ11,'Технический лист'!$A:$B,2,1),(FX11-0.05)))</f>
        <v/>
      </c>
      <c r="FZ11" s="172">
        <f>MIN(1,MAX(VLOOKUP(($AJ11-$AI11-$AH11-$AG11-$AF11-$AE11*(1+FZ$3))/$AJ11,'Технический лист'!$A:$B,2,1),(FY11-0.05)))</f>
        <v/>
      </c>
      <c r="GA11" s="172">
        <f>MIN(1,MAX(VLOOKUP(($AJ11-$AI11-$AH11-$AG11-$AF11-$AE11*(1+GA$3))/$AJ11,'Технический лист'!$A:$B,2,1),(FZ11-0.05)))</f>
        <v/>
      </c>
      <c r="GB11" s="172">
        <f>MIN(1,MAX(VLOOKUP(($AJ11-$AI11-$AH11-$AG11-$AF11-$AE11*(1+GB$3))/$AJ11,'Технический лист'!$A:$B,2,1),(GA11-0.05)))</f>
        <v/>
      </c>
      <c r="GC11" s="172">
        <f>MIN(1,MAX(VLOOKUP(($AJ11-$AI11-$AH11-$AG11-$AF11-$AE11*(1+GC$3))/$AJ11,'Технический лист'!$A:$B,2,1),(GB11-0.05)))</f>
        <v/>
      </c>
      <c r="GD11" s="172">
        <f>MIN(1,MAX(VLOOKUP(($AJ11-$AI11-$AH11-$AG11-$AF11-$AE11*(1+GD$3))/$AJ11,'Технический лист'!$A:$B,2,1),(GC11-0.05)))</f>
        <v/>
      </c>
      <c r="GE11" s="172">
        <f>MIN(1,MAX(VLOOKUP(($AJ11-$AI11-$AH11-$AG11-$AF11-$AE11*(1+GE$3))/$AJ11,'Технический лист'!$A:$B,2,1),(GD11-0.05)))</f>
        <v/>
      </c>
      <c r="GF11" s="172">
        <f>MIN(1,MAX(VLOOKUP(($AJ11-$AI11-$AH11-$AG11-$AF11-$AE11*(1+GF$3))/$AJ11,'Технический лист'!$A:$B,2,1),(GE11-0.05)))</f>
        <v/>
      </c>
      <c r="GG11" s="172">
        <f>MIN(1,MAX(VLOOKUP(($AJ11-$AI11-$AH11-$AG11-$AF11-$AE11*(1+GG$3))/$AJ11,'Технический лист'!$A:$B,2,1),(GF11-0.05)))</f>
        <v/>
      </c>
      <c r="GH11" s="172">
        <f>MIN(1,MAX(VLOOKUP(($AJ11-$AI11-$AH11-$AG11-$AF11-$AE11*(1+GH$3))/$AJ11,'Технический лист'!$A:$B,2,1),(GG11-0.05)))</f>
        <v/>
      </c>
      <c r="GI11" s="172">
        <f>MIN(1,MAX(VLOOKUP(($AJ11-$AI11-$AH11-$AG11-$AF11-$AE11*(1+GI$3))/$AJ11,'Технический лист'!$A:$B,2,1),(GH11-0.05)))</f>
        <v/>
      </c>
      <c r="GJ11" s="172">
        <f>MIN(1,MAX(VLOOKUP(($AJ11-$AI11-$AH11-$AG11-$AF11-$AE11*(1+GJ$3))/$AJ11,'Технический лист'!$A:$B,2,1),(GI11-0.05)))</f>
        <v/>
      </c>
      <c r="GK11" s="172">
        <f>MIN(1,MAX(VLOOKUP(($AJ11-$AI11-$AH11-$AG11-$AF11-$AE11*(1+GK$3))/$AJ11,'Технический лист'!$A:$B,2,1),(GJ11-0.05)))</f>
        <v/>
      </c>
      <c r="GL11" s="172">
        <f>MIN(1,MAX(VLOOKUP(($AJ11-$AI11-$AH11-$AG11-$AF11-$AE11*(1+GL$3))/$AJ11,'Технический лист'!$A:$B,2,1),(GK11-0.05)))</f>
        <v/>
      </c>
      <c r="GM11" s="172">
        <f>MIN(1,MAX(VLOOKUP(($AJ11-$AI11-$AH11-$AG11-$AF11-$AE11*(1+GM$3))/$AJ11,'Технический лист'!$A:$B,2,1),(GL11-0.05)))</f>
        <v/>
      </c>
      <c r="GN11" s="172">
        <f>MIN(1,MAX(VLOOKUP(($AJ11-$AI11-$AH11-$AG11-$AF11-$AE11*(1+GN$3))/$AJ11,'Технический лист'!$A:$B,2,1),(GM11-0.05)))</f>
        <v/>
      </c>
      <c r="GO11" s="172">
        <f>MIN(1,MAX(VLOOKUP(($AJ11-$AI11-$AH11-$AG11-$AF11-$AE11*(1+GO$3))/$AJ11,'Технический лист'!$A:$B,2,1),(GN11-0.05)))</f>
        <v/>
      </c>
      <c r="GP11" s="172">
        <f>MIN(1,MAX(VLOOKUP(($AJ11-$AI11-$AH11-$AG11-$AF11-$AE11*(1+GP$3))/$AJ11,'Технический лист'!$A:$B,2,1),(GO11-0.05)))</f>
        <v/>
      </c>
      <c r="GQ11" s="172">
        <f>MIN(1,MAX(VLOOKUP(($AJ11-$AI11-$AH11-$AG11-$AF11-$AE11*(1+GQ$3))/$AJ11,'Технический лист'!$A:$B,2,1),(GP11-0.05)))</f>
        <v/>
      </c>
      <c r="GR11" s="172">
        <f>MIN(1,MAX(VLOOKUP(($AJ11-$AI11-$AH11-$AG11-$AF11-$AE11*(1+GR$3))/$AJ11,'Технический лист'!$A:$B,2,1),(GQ11-0.05)))</f>
        <v/>
      </c>
      <c r="GS11" s="172">
        <f>MIN(1,MAX(VLOOKUP(($AJ11-$AI11-$AH11-$AG11-$AF11-$AE11*(1+GS$3))/$AJ11,'Технический лист'!$A:$B,2,1),(GR11-0.05)))</f>
        <v/>
      </c>
      <c r="GT11" s="172">
        <f>MIN(1,MAX(VLOOKUP(($AJ11-$AI11-$AH11-$AG11-$AF11-$AE11*(1+GT$3))/$AJ11,'Технический лист'!$A:$B,2,1),(GS11-0.05)))</f>
        <v/>
      </c>
      <c r="GU11" s="172">
        <f>MIN(1,MAX(VLOOKUP(($AJ11-$AI11-$AH11-$AG11-$AF11-$AE11*(1+GU$3))/$AJ11,'Технический лист'!$A:$B,2,1),(GT11-0.05)))</f>
        <v/>
      </c>
      <c r="GV11" s="172">
        <f>MIN(1,MAX(VLOOKUP(($AJ11-$AI11-$AH11-$AG11-$AF11-$AE11*(1+GV$3))/$AJ11,'Технический лист'!$A:$B,2,1),(GU11-0.05)))</f>
        <v/>
      </c>
      <c r="GW11" s="172">
        <f>MIN(1,MAX(VLOOKUP(($AJ11-$AI11-$AH11-$AG11-$AF11-$AE11*(1+GW$3))/$AJ11,'Технический лист'!$A:$B,2,1),(GV11-0.05)))</f>
        <v/>
      </c>
      <c r="GX11" s="172">
        <f>MIN(1,MAX(VLOOKUP(($AJ11-$AI11-$AH11-$AG11-$AF11-$AE11*(1+GX$3))/$AJ11,'Технический лист'!$A:$B,2,1),(GW11-0.05)))</f>
        <v/>
      </c>
      <c r="GY11" s="172">
        <f>MIN(1,MAX(VLOOKUP(($AJ11-$AI11-$AH11-$AG11-$AF11-$AE11*(1+GY$3))/$AJ11,'Технический лист'!$A:$B,2,1),(GX11-0.05)))</f>
        <v/>
      </c>
      <c r="GZ11" s="172">
        <f>MIN(1,MAX(VLOOKUP(($AJ11-$AI11-$AH11-$AG11-$AF11-$AE11*(1+GZ$3))/$AJ11,'Технический лист'!$A:$B,2,1),(GY11-0.05)))</f>
        <v/>
      </c>
      <c r="HA11" s="172">
        <f>MIN(1,MAX(VLOOKUP(($AJ11-$AI11-$AH11-$AG11-$AF11-$AE11*(1+HA$3))/$AJ11,'Технический лист'!$A:$B,2,1),(GZ11-0.05)))</f>
        <v/>
      </c>
      <c r="HB11" s="172">
        <f>MIN(1,MAX(VLOOKUP(($AJ11-$AI11-$AH11-$AG11-$AF11-$AE11*(1+HB$3))/$AJ11,'Технический лист'!$A:$B,2,1),(HA11-0.05)))</f>
        <v/>
      </c>
      <c r="HC11" s="172">
        <f>MIN(1,MAX(VLOOKUP(($AJ11-$AI11-$AH11-$AG11-$AF11-$AE11*(1+HC$3))/$AJ11,'Технический лист'!$A:$B,2,1),(HB11-0.05)))</f>
        <v/>
      </c>
      <c r="HD11" s="172">
        <f>MIN(1,MAX(VLOOKUP(($AJ11-$AI11-$AH11-$AG11-$AF11-$AE11*(1+HD$3))/$AJ11,'Технический лист'!$A:$B,2,1),(HC11-0.05)))</f>
        <v/>
      </c>
      <c r="HE11" s="172">
        <f>MIN(1,MAX(VLOOKUP(($AJ11-$AI11-$AH11-$AG11-$AF11-$AE11*(1+HE$3))/$AJ11,'Технический лист'!$A:$B,2,1),(HD11-0.05)))</f>
        <v/>
      </c>
      <c r="HF11" s="172">
        <f>MIN(1,MAX(VLOOKUP(($AJ11-$AI11-$AH11-$AG11-$AF11-$AE11*(1+HF$3))/$AJ11,'Технический лист'!$A:$B,2,1),(HE11-0.05)))</f>
        <v/>
      </c>
      <c r="HG11" s="172">
        <f>MIN(1,MAX(VLOOKUP(($AJ11-$AI11-$AH11-$AG11-$AF11-$AE11*(1+HG$3))/$AJ11,'Технический лист'!$A:$B,2,1),(HF11-0.05)))</f>
        <v/>
      </c>
      <c r="HH11" s="172">
        <f>MIN(1,MAX(VLOOKUP(($AJ11-$AI11-$AH11-$AG11-$AF11-$AE11*(1+HH$3))/$AJ11,'Технический лист'!$A:$B,2,1),(HG11-0.05)))</f>
        <v/>
      </c>
      <c r="HI11" s="172">
        <f>MIN(1,MAX(VLOOKUP(($AJ11-$AI11-$AH11-$AG11-$AF11-$AE11*(1+HI$3))/$AJ11,'Технический лист'!$A:$B,2,1),(HH11-0.05)))</f>
        <v/>
      </c>
      <c r="HJ11" s="172">
        <f>MIN(1,MAX(VLOOKUP(($AJ11-$AI11-$AH11-$AG11-$AF11-$AE11*(1+HJ$3))/$AJ11,'Технический лист'!$A:$B,2,1),(HI11-0.05)))</f>
        <v/>
      </c>
      <c r="HK11" s="172">
        <f>MIN(1,MAX(VLOOKUP(($AJ11-$AI11-$AH11-$AG11-$AF11-$AE11*(1+HK$3))/$AJ11,'Технический лист'!$A:$B,2,1),(HJ11-0.05)))</f>
        <v/>
      </c>
      <c r="HL11" s="172">
        <f>MIN(1,MAX(VLOOKUP(($AJ11-$AI11-$AH11-$AG11-$AF11-$AE11*(1+HL$3))/$AJ11,'Технический лист'!$A:$B,2,1),(HK11-0.05)))</f>
        <v/>
      </c>
      <c r="HM11" s="172">
        <f>MIN(1,MAX(VLOOKUP(($AJ11-$AI11-$AH11-$AG11-$AF11-$AE11*(1+HM$3))/$AJ11,'Технический лист'!$A:$B,2,1),(HL11-0.05)))</f>
        <v/>
      </c>
      <c r="HN11" s="172">
        <f>MIN(1,MAX(VLOOKUP(($AJ11-$AI11-$AH11-$AG11-$AF11-$AE11*(1+HN$3))/$AJ11,'Технический лист'!$A:$B,2,1),(HM11-0.05)))</f>
        <v/>
      </c>
      <c r="HO11" s="172">
        <f>MIN(1,MAX(VLOOKUP(($AJ11-$AI11-$AH11-$AG11-$AF11-$AE11*(1+HO$3))/$AJ11,'Технический лист'!$A:$B,2,1),(HN11-0.05)))</f>
        <v/>
      </c>
      <c r="HP11" s="172">
        <f>MIN(1,MAX(VLOOKUP(($AJ11-$AI11-$AH11-$AG11-$AF11-$AE11*(1+HP$3))/$AJ11,'Технический лист'!$A:$B,2,1),(HO11-0.05)))</f>
        <v/>
      </c>
      <c r="HQ11" s="172">
        <f>MIN(1,MAX(VLOOKUP(($AJ11-$AI11-$AH11-$AG11-$AF11-$AE11*(1+HQ$3))/$AJ11,'Технический лист'!$A:$B,2,1),(HP11-0.05)))</f>
        <v/>
      </c>
      <c r="HR11" s="172">
        <f>MIN(1,MAX(VLOOKUP(($AJ11-$AI11-$AH11-$AG11-$AF11-$AE11*(1+HR$3))/$AJ11,'Технический лист'!$A:$B,2,1),(HQ11-0.05)))</f>
        <v/>
      </c>
      <c r="HS11" s="172">
        <f>MIN(1,MAX(VLOOKUP(($AJ11-$AI11-$AH11-$AG11-$AF11-$AE11*(1+HS$3))/$AJ11,'Технический лист'!$A:$B,2,1),(HR11-0.05)))</f>
        <v/>
      </c>
      <c r="HT11" s="172">
        <f>MIN(1,MAX(VLOOKUP(($AJ11-$AI11-$AH11-$AG11-$AF11-$AE11*(1+HT$3))/$AJ11,'Технический лист'!$A:$B,2,1),(HS11-0.05)))</f>
        <v/>
      </c>
      <c r="HU11" s="172">
        <f>MIN(1,MAX(VLOOKUP(($AJ11-$AI11-$AH11-$AG11-$AF11-$AE11*(1+HU$3))/$AJ11,'Технический лист'!$A:$B,2,1),(HT11-0.05)))</f>
        <v/>
      </c>
      <c r="HV11" s="172">
        <f>MIN(1,MAX(VLOOKUP(($AJ11-$AI11-$AH11-$AG11-$AF11-$AE11*(1+HV$3))/$AJ11,'Технический лист'!$A:$B,2,1),(HU11-0.05)))</f>
        <v/>
      </c>
      <c r="HW11" s="172">
        <f>MIN(1,MAX(VLOOKUP(($AJ11-$AI11-$AH11-$AG11-$AF11-$AE11*(1+HW$3))/$AJ11,'Технический лист'!$A:$B,2,1),(HV11-0.05)))</f>
        <v/>
      </c>
      <c r="HX11" s="172">
        <f>MIN(1,MAX(VLOOKUP(($AJ11-$AI11-$AH11-$AG11-$AF11-$AE11*(1+HX$3))/$AJ11,'Технический лист'!$A:$B,2,1),(HW11-0.05)))</f>
        <v/>
      </c>
      <c r="HY11" s="172">
        <f>MIN(1,MAX(VLOOKUP(($AJ11-$AI11-$AH11-$AG11-$AF11-$AE11*(1+HY$3))/$AJ11,'Технический лист'!$A:$B,2,1),(HX11-0.05)))</f>
        <v/>
      </c>
      <c r="HZ11" s="172">
        <f>MIN(1,MAX(VLOOKUP(($AJ11-$AI11-$AH11-$AG11-$AF11-$AE11*(1+HZ$3))/$AJ11,'Технический лист'!$A:$B,2,1),(HY11-0.05)))</f>
        <v/>
      </c>
      <c r="IA11" s="172">
        <f>MIN(1,MAX(VLOOKUP(($AJ11-$AI11-$AH11-$AG11-$AF11-$AE11*(1+IA$3))/$AJ11,'Технический лист'!$A:$B,2,1),(HZ11-0.05)))</f>
        <v/>
      </c>
      <c r="IB11" s="172">
        <f>MIN(1,MAX(VLOOKUP(($AJ11-$AI11-$AH11-$AG11-$AF11-$AE11*(1+IB$3))/$AJ11,'Технический лист'!$A:$B,2,1),(IA11-0.05)))</f>
        <v/>
      </c>
      <c r="IC11" s="172">
        <f>MIN(1,MAX(VLOOKUP(($AJ11-$AI11-$AH11-$AG11-$AF11-$AE11*(1+IC$3))/$AJ11,'Технический лист'!$A:$B,2,1),(IB11-0.05)))</f>
        <v/>
      </c>
      <c r="ID11" s="172">
        <f>MIN(1,MAX(VLOOKUP(($AJ11-$AI11-$AH11-$AG11-$AF11-$AE11*(1+ID$3))/$AJ11,'Технический лист'!$A:$B,2,1),(IC11-0.05)))</f>
        <v/>
      </c>
      <c r="IE11" s="172">
        <f>MIN(1,MAX(VLOOKUP(($AJ11-$AI11-$AH11-$AG11-$AF11-$AE11*(1+IE$3))/$AJ11,'Технический лист'!$A:$B,2,1),(ID11-0.05)))</f>
        <v/>
      </c>
      <c r="IF11" s="172">
        <f>MIN(1,MAX(VLOOKUP(($AJ11-$AI11-$AH11-$AG11-$AF11-$AE11*(1+IF$3))/$AJ11,'Технический лист'!$A:$B,2,1),(IE11-0.05)))</f>
        <v/>
      </c>
      <c r="IG11" s="172">
        <f>MIN(1,MAX(VLOOKUP(($AJ11-$AI11-$AH11-$AG11-$AF11-$AE11*(1+IG$3))/$AJ11,'Технический лист'!$A:$B,2,1),(IF11-0.05)))</f>
        <v/>
      </c>
      <c r="IH11" s="172">
        <f>MIN(1,MAX(VLOOKUP(($AJ11-$AI11-$AH11-$AG11-$AF11-$AE11*(1+IH$3))/$AJ11,'Технический лист'!$A:$B,2,1),(IG11-0.05)))</f>
        <v/>
      </c>
      <c r="II11" s="172">
        <f>MIN(1,MAX(VLOOKUP(($AJ11-$AI11-$AH11-$AG11-$AF11-$AE11*(1+II$3))/$AJ11,'Технический лист'!$A:$B,2,1),(IH11-0.05)))</f>
        <v/>
      </c>
      <c r="IJ11" s="172">
        <f>MIN(1,MAX(VLOOKUP(($AJ11-$AI11-$AH11-$AG11-$AF11-$AE11*(1+IJ$3))/$AJ11,'Технический лист'!$A:$B,2,1),(II11-0.05)))</f>
        <v/>
      </c>
      <c r="IK11" s="172">
        <f>MIN(1,MAX(VLOOKUP(($AJ11-$AI11-$AH11-$AG11-$AF11-$AE11*(1+IK$3))/$AJ11,'Технический лист'!$A:$B,2,1),(IJ11-0.05)))</f>
        <v/>
      </c>
      <c r="IL11" s="172">
        <f>MIN(1,MAX(VLOOKUP(($AJ11-$AI11-$AH11-$AG11-$AF11-$AE11*(1+IL$3))/$AJ11,'Технический лист'!$A:$B,2,1),(IK11-0.05)))</f>
        <v/>
      </c>
      <c r="IM11" s="172">
        <f>MIN(1,MAX(VLOOKUP(($AJ11-$AI11-$AH11-$AG11-$AF11-$AE11*(1+IM$3))/$AJ11,'Технический лист'!$A:$B,2,1),(IL11-0.05)))</f>
        <v/>
      </c>
      <c r="IN11" s="172">
        <f>MIN(1,MAX(VLOOKUP(($AJ11-$AI11-$AH11-$AG11-$AF11-$AE11*(1+IN$3))/$AJ11,'Технический лист'!$A:$B,2,1),(IM11-0.05)))</f>
        <v/>
      </c>
      <c r="IO11" s="172">
        <f>MIN(1,MAX(VLOOKUP(($AJ11-$AI11-$AH11-$AG11-$AF11-$AE11*(1+IO$3))/$AJ11,'Технический лист'!$A:$B,2,1),(IN11-0.05)))</f>
        <v/>
      </c>
      <c r="IP11" s="172">
        <f>MIN(1,MAX(VLOOKUP(($AJ11-$AI11-$AH11-$AG11-$AF11-$AE11*(1+IP$3))/$AJ11,'Технический лист'!$A:$B,2,1),(IO11-0.05)))</f>
        <v/>
      </c>
      <c r="IQ11" s="172">
        <f>MIN(1,MAX(VLOOKUP(($AJ11-$AI11-$AH11-$AG11-$AF11-$AE11*(1+IQ$3))/$AJ11,'Технический лист'!$A:$B,2,1),(IP11-0.05)))</f>
        <v/>
      </c>
      <c r="IR11" s="172">
        <f>MIN(1,MAX(VLOOKUP(($AJ11-$AI11-$AH11-$AG11-$AF11-$AE11*(1+IR$3))/$AJ11,'Технический лист'!$A:$B,2,1),(IQ11-0.05)))</f>
        <v/>
      </c>
    </row>
    <row r="12" ht="45" customHeight="1" s="123">
      <c r="A12" s="89" t="inlineStr">
        <is>
          <t>ЧМ (сырье)</t>
        </is>
      </c>
      <c r="B12" s="90" t="n">
        <v>2</v>
      </c>
      <c r="C12" s="5" t="inlineStr">
        <is>
          <t>Кокс каменноугольный</t>
        </is>
      </c>
      <c r="D12" s="91" t="n">
        <v>17107</v>
      </c>
      <c r="E12" s="91" t="inlineStr">
        <is>
          <t xml:space="preserve">Кокс литейный КЛ-2 </t>
        </is>
      </c>
      <c r="F12" s="92" t="inlineStr">
        <is>
          <t>КОКС КАМЕННОУГОЛЬНЫЙ</t>
        </is>
      </c>
      <c r="G12" s="91" t="inlineStr">
        <is>
          <t>СВР</t>
        </is>
      </c>
      <c r="H12" s="91" t="inlineStr">
        <is>
          <t>ВСБ</t>
        </is>
      </c>
      <c r="I12" s="91" t="inlineStr">
        <is>
          <t>ТЮМЕНЬ-СЕВЕР</t>
        </is>
      </c>
      <c r="J12" s="91" t="inlineStr">
        <is>
          <t>БАГУЛЬНАЯ</t>
        </is>
      </c>
      <c r="K12" s="91" t="n">
        <v>2676</v>
      </c>
      <c r="L12" s="91" t="inlineStr">
        <is>
          <t>Полувагоны</t>
        </is>
      </c>
      <c r="M12" s="91" t="inlineStr">
        <is>
          <t>Внутр. перевозки</t>
        </is>
      </c>
      <c r="N12" s="91" t="inlineStr">
        <is>
          <t>вагонная</t>
        </is>
      </c>
      <c r="O12" s="91" t="inlineStr">
        <is>
          <t xml:space="preserve">Восточное </t>
        </is>
      </c>
      <c r="P12" s="89" t="inlineStr">
        <is>
          <t>'000027958866</t>
        </is>
      </c>
      <c r="Q12" s="91" t="inlineStr">
        <is>
          <t>АО "Антипинский НПЗ"</t>
        </is>
      </c>
      <c r="R12" s="91" t="inlineStr">
        <is>
          <t>ООО "РИ-ИНВЕСТ"</t>
        </is>
      </c>
      <c r="S12" s="87" t="n">
        <v>115217</v>
      </c>
      <c r="T12" s="87" t="n">
        <v>308286836</v>
      </c>
      <c r="U12" s="88" t="n">
        <v>1809</v>
      </c>
      <c r="V12" s="88" t="n">
        <v>0</v>
      </c>
      <c r="W12" s="87" t="n">
        <v>182973051</v>
      </c>
      <c r="X12" s="112" t="n">
        <v>64</v>
      </c>
      <c r="Y12" s="112" t="inlineStr">
        <is>
          <t>групповая</t>
        </is>
      </c>
      <c r="Z12" s="113" t="n">
        <v>11</v>
      </c>
      <c r="AA12" s="113" t="n">
        <v>8</v>
      </c>
      <c r="AB12" s="113" t="n">
        <v>4</v>
      </c>
      <c r="AC12" s="161" t="n">
        <v>1761.09</v>
      </c>
      <c r="AD12" s="161">
        <f>AE12-AC12</f>
        <v/>
      </c>
      <c r="AE12" s="161" t="n">
        <v>2415.2</v>
      </c>
      <c r="AF12" s="162">
        <f>(Z12+AA12+AB12)*'Ставки аренды'!$B$3/X12</f>
        <v/>
      </c>
      <c r="AG12" s="163" t="n">
        <v>0</v>
      </c>
      <c r="AH12" s="164" t="n">
        <v>0</v>
      </c>
      <c r="AI12" s="165">
        <f>0.95*AVERAGE(AJ10,AJ11)</f>
        <v/>
      </c>
      <c r="AJ12" s="166">
        <f>Цены!$D$9</f>
        <v/>
      </c>
      <c r="AK12" s="164">
        <f>AJ12/Цены!$B$1</f>
        <v/>
      </c>
      <c r="AL12" s="164">
        <f>AE12+AF12+AG12</f>
        <v/>
      </c>
      <c r="AM12" s="164">
        <f>AJ12-AL12</f>
        <v/>
      </c>
      <c r="AN12" s="164">
        <f>AI12+AH12+AG12+AF12+AE12</f>
        <v/>
      </c>
      <c r="AO12" s="167">
        <f>(AJ12-AN12)/AJ12</f>
        <v/>
      </c>
      <c r="AP12" s="168">
        <f>AL12/AJ12</f>
        <v/>
      </c>
      <c r="AQ12" s="168">
        <f>AE12/AJ12</f>
        <v/>
      </c>
      <c r="AR12" s="168">
        <f>AE12/AL12</f>
        <v/>
      </c>
      <c r="AS12" s="169" t="n">
        <v>1</v>
      </c>
      <c r="AT12" s="121">
        <f>S12*AS12</f>
        <v/>
      </c>
      <c r="AU12" s="83" t="n">
        <v>0.95</v>
      </c>
      <c r="AV12" s="170">
        <f>(AJ12-(AE12*(1+$IS$2)+AF12+AG12+AH12+AI12))/AJ12</f>
        <v/>
      </c>
      <c r="AW12" s="171">
        <f>(AE12*(1+$IS$2)+AF12+AG12)/AJ12</f>
        <v/>
      </c>
      <c r="AX12" s="171">
        <f>(AE12*(1+$IS$2))/AJ12</f>
        <v/>
      </c>
      <c r="AY12" s="171">
        <f>(AE12*(1+$IS$2))/(AE12*(1+$IS$2)+AF12+AG12)</f>
        <v/>
      </c>
      <c r="AZ12" s="172">
        <f>MIN(IF($AU12=100%,1,1+VLOOKUP(($AJ12-$AI12-$AH12-$AG12-$AF12-$AE12*(1+AZ$3))/$AJ12,'Технический лист'!$A:$B,2,1)-VLOOKUP($AO12,'Технический лист'!$A:$B,2,1)),1+(1-$AU12))</f>
        <v/>
      </c>
      <c r="BA12" s="172">
        <f>MIN(IF($AU12=100%,1,1+VLOOKUP(($AJ12-$AI12-$AH12-$AG12-$AF12-$AE12*(1+BA$3))/$AJ12,'Технический лист'!$A:$B,2,1)-VLOOKUP($AO12,'Технический лист'!$A:$B,2,1)),1+(1-$AU12))</f>
        <v/>
      </c>
      <c r="BB12" s="172">
        <f>MIN(IF($AU12=100%,1,1+VLOOKUP(($AJ12-$AI12-$AH12-$AG12-$AF12-$AE12*(1+BB$3))/$AJ12,'Технический лист'!$A:$B,2,1)-VLOOKUP($AO12,'Технический лист'!$A:$B,2,1)),1+(1-$AU12))</f>
        <v/>
      </c>
      <c r="BC12" s="172">
        <f>MIN(IF($AU12=100%,1,1+VLOOKUP(($AJ12-$AI12-$AH12-$AG12-$AF12-$AE12*(1+BC$3))/$AJ12,'Технический лист'!$A:$B,2,1)-VLOOKUP($AO12,'Технический лист'!$A:$B,2,1)),1+(1-$AU12))</f>
        <v/>
      </c>
      <c r="BD12" s="172">
        <f>MIN(IF($AU12=100%,1,1+VLOOKUP(($AJ12-$AI12-$AH12-$AG12-$AF12-$AE12*(1+BD$3))/$AJ12,'Технический лист'!$A:$B,2,1)-VLOOKUP($AO12,'Технический лист'!$A:$B,2,1)),1+(1-$AU12))</f>
        <v/>
      </c>
      <c r="BE12" s="172">
        <f>MIN(IF($AU12=100%,1,1+VLOOKUP(($AJ12-$AI12-$AH12-$AG12-$AF12-$AE12*(1+BE$3))/$AJ12,'Технический лист'!$A:$B,2,1)-VLOOKUP($AO12,'Технический лист'!$A:$B,2,1)),1+(1-$AU12))</f>
        <v/>
      </c>
      <c r="BF12" s="172">
        <f>MIN(IF($AU12=100%,1,1+VLOOKUP(($AJ12-$AI12-$AH12-$AG12-$AF12-$AE12*(1+BF$3))/$AJ12,'Технический лист'!$A:$B,2,1)-VLOOKUP($AO12,'Технический лист'!$A:$B,2,1)),1+(1-$AU12))</f>
        <v/>
      </c>
      <c r="BG12" s="172">
        <f>MIN(IF($AU12=100%,1,1+VLOOKUP(($AJ12-$AI12-$AH12-$AG12-$AF12-$AE12*(1+BG$3))/$AJ12,'Технический лист'!$A:$B,2,1)-VLOOKUP($AO12,'Технический лист'!$A:$B,2,1)),1+(1-$AU12))</f>
        <v/>
      </c>
      <c r="BH12" s="172">
        <f>MIN(IF($AU12=100%,1,1+VLOOKUP(($AJ12-$AI12-$AH12-$AG12-$AF12-$AE12*(1+BH$3))/$AJ12,'Технический лист'!$A:$B,2,1)-VLOOKUP($AO12,'Технический лист'!$A:$B,2,1)),1+(1-$AU12))</f>
        <v/>
      </c>
      <c r="BI12" s="172">
        <f>MIN(IF($AU12=100%,1,1+VLOOKUP(($AJ12-$AI12-$AH12-$AG12-$AF12-$AE12*(1+BI$3))/$AJ12,'Технический лист'!$A:$B,2,1)-VLOOKUP($AO12,'Технический лист'!$A:$B,2,1)),1+(1-$AU12))</f>
        <v/>
      </c>
      <c r="BJ12" s="172">
        <f>MIN(IF($AU12=100%,1,1+VLOOKUP(($AJ12-$AI12-$AH12-$AG12-$AF12-$AE12*(1+BJ$3))/$AJ12,'Технический лист'!$A:$B,2,1)-VLOOKUP($AO12,'Технический лист'!$A:$B,2,1)),1+(1-$AU12))</f>
        <v/>
      </c>
      <c r="BK12" s="172">
        <f>MIN(IF($AU12=100%,1,1+VLOOKUP(($AJ12-$AI12-$AH12-$AG12-$AF12-$AE12*(1+BK$3))/$AJ12,'Технический лист'!$A:$B,2,1)-VLOOKUP($AO12,'Технический лист'!$A:$B,2,1)),1+(1-$AU12))</f>
        <v/>
      </c>
      <c r="BL12" s="172">
        <f>MIN(IF($AU12=100%,1,1+VLOOKUP(($AJ12-$AI12-$AH12-$AG12-$AF12-$AE12*(1+BL$3))/$AJ12,'Технический лист'!$A:$B,2,1)-VLOOKUP($AO12,'Технический лист'!$A:$B,2,1)),1+(1-$AU12))</f>
        <v/>
      </c>
      <c r="BM12" s="172">
        <f>MIN(IF($AU12=100%,1,1+VLOOKUP(($AJ12-$AI12-$AH12-$AG12-$AF12-$AE12*(1+BM$3))/$AJ12,'Технический лист'!$A:$B,2,1)-VLOOKUP($AO12,'Технический лист'!$A:$B,2,1)),1+(1-$AU12))</f>
        <v/>
      </c>
      <c r="BN12" s="172">
        <f>MIN(IF($AU12=100%,1,1+VLOOKUP(($AJ12-$AI12-$AH12-$AG12-$AF12-$AE12*(1+BN$3))/$AJ12,'Технический лист'!$A:$B,2,1)-VLOOKUP($AO12,'Технический лист'!$A:$B,2,1)),1+(1-$AU12))</f>
        <v/>
      </c>
      <c r="BO12" s="172">
        <f>MIN(IF($AU12=100%,1,1+VLOOKUP(($AJ12-$AI12-$AH12-$AG12-$AF12-$AE12*(1+BO$3))/$AJ12,'Технический лист'!$A:$B,2,1)-VLOOKUP($AO12,'Технический лист'!$A:$B,2,1)),1+(1-$AU12))</f>
        <v/>
      </c>
      <c r="BP12" s="172">
        <f>MIN(IF($AU12=100%,1,1+VLOOKUP(($AJ12-$AI12-$AH12-$AG12-$AF12-$AE12*(1+BP$3))/$AJ12,'Технический лист'!$A:$B,2,1)-VLOOKUP($AO12,'Технический лист'!$A:$B,2,1)),1+(1-$AU12))</f>
        <v/>
      </c>
      <c r="BQ12" s="172">
        <f>MIN(IF($AU12=100%,1,1+VLOOKUP(($AJ12-$AI12-$AH12-$AG12-$AF12-$AE12*(1+BQ$3))/$AJ12,'Технический лист'!$A:$B,2,1)-VLOOKUP($AO12,'Технический лист'!$A:$B,2,1)),1+(1-$AU12))</f>
        <v/>
      </c>
      <c r="BR12" s="172">
        <f>MIN(IF($AU12=100%,1,1+VLOOKUP(($AJ12-$AI12-$AH12-$AG12-$AF12-$AE12*(1+BR$3))/$AJ12,'Технический лист'!$A:$B,2,1)-VLOOKUP($AO12,'Технический лист'!$A:$B,2,1)),1+(1-$AU12))</f>
        <v/>
      </c>
      <c r="BS12" s="172">
        <f>MIN(IF($AU12=100%,1,1+VLOOKUP(($AJ12-$AI12-$AH12-$AG12-$AF12-$AE12*(1+BS$3))/$AJ12,'Технический лист'!$A:$B,2,1)-VLOOKUP($AO12,'Технический лист'!$A:$B,2,1)),1+(1-$AU12))</f>
        <v/>
      </c>
      <c r="BT12" s="172">
        <f>MIN(IF($AU12=100%,1,1+VLOOKUP(($AJ12-$AI12-$AH12-$AG12-$AF12-$AE12*(1+BT$3))/$AJ12,'Технический лист'!$A:$B,2,1)-VLOOKUP($AO12,'Технический лист'!$A:$B,2,1)),1+(1-$AU12))</f>
        <v/>
      </c>
      <c r="BU12" s="172">
        <f>MIN(IF($AU12=100%,1,1+VLOOKUP(($AJ12-$AI12-$AH12-$AG12-$AF12-$AE12*(1+BU$3))/$AJ12,'Технический лист'!$A:$B,2,1)-VLOOKUP($AO12,'Технический лист'!$A:$B,2,1)),1+(1-$AU12))</f>
        <v/>
      </c>
      <c r="BV12" s="172">
        <f>MIN(IF($AU12=100%,1,1+VLOOKUP(($AJ12-$AI12-$AH12-$AG12-$AF12-$AE12*(1+BV$3))/$AJ12,'Технический лист'!$A:$B,2,1)-VLOOKUP($AO12,'Технический лист'!$A:$B,2,1)),1+(1-$AU12))</f>
        <v/>
      </c>
      <c r="BW12" s="172">
        <f>MIN(IF($AU12=100%,1,1+VLOOKUP(($AJ12-$AI12-$AH12-$AG12-$AF12-$AE12*(1+BW$3))/$AJ12,'Технический лист'!$A:$B,2,1)-VLOOKUP($AO12,'Технический лист'!$A:$B,2,1)),1+(1-$AU12))</f>
        <v/>
      </c>
      <c r="BX12" s="172">
        <f>MIN(IF($AU12=100%,1,1+VLOOKUP(($AJ12-$AI12-$AH12-$AG12-$AF12-$AE12*(1+BX$3))/$AJ12,'Технический лист'!$A:$B,2,1)-VLOOKUP($AO12,'Технический лист'!$A:$B,2,1)),1+(1-$AU12))</f>
        <v/>
      </c>
      <c r="BY12" s="172">
        <f>MIN(IF($AU12=100%,1,1+VLOOKUP(($AJ12-$AI12-$AH12-$AG12-$AF12-$AE12*(1+BY$3))/$AJ12,'Технический лист'!$A:$B,2,1)-VLOOKUP($AO12,'Технический лист'!$A:$B,2,1)),1+(1-$AU12))</f>
        <v/>
      </c>
      <c r="BZ12" s="172">
        <f>MIN(IF($AU12=100%,1,1+VLOOKUP(($AJ12-$AI12-$AH12-$AG12-$AF12-$AE12*(1+BZ$3))/$AJ12,'Технический лист'!$A:$B,2,1)-VLOOKUP($AO12,'Технический лист'!$A:$B,2,1)),1+(1-$AU12))</f>
        <v/>
      </c>
      <c r="CA12" s="172">
        <f>MIN(IF($AU12=100%,1,1+VLOOKUP(($AJ12-$AI12-$AH12-$AG12-$AF12-$AE12*(1+CA$3))/$AJ12,'Технический лист'!$A:$B,2,1)-VLOOKUP($AO12,'Технический лист'!$A:$B,2,1)),1+(1-$AU12))</f>
        <v/>
      </c>
      <c r="CB12" s="172">
        <f>MIN(IF($AU12=100%,1,1+VLOOKUP(($AJ12-$AI12-$AH12-$AG12-$AF12-$AE12*(1+CB$3))/$AJ12,'Технический лист'!$A:$B,2,1)-VLOOKUP($AO12,'Технический лист'!$A:$B,2,1)),1+(1-$AU12))</f>
        <v/>
      </c>
      <c r="CC12" s="172">
        <f>MIN(IF($AU12=100%,1,1+VLOOKUP(($AJ12-$AI12-$AH12-$AG12-$AF12-$AE12*(1+CC$3))/$AJ12,'Технический лист'!$A:$B,2,1)-VLOOKUP($AO12,'Технический лист'!$A:$B,2,1)),1+(1-$AU12))</f>
        <v/>
      </c>
      <c r="CD12" s="172">
        <f>MIN(IF($AU12=100%,1,1+VLOOKUP(($AJ12-$AI12-$AH12-$AG12-$AF12-$AE12*(1+CD$3))/$AJ12,'Технический лист'!$A:$B,2,1)-VLOOKUP($AO12,'Технический лист'!$A:$B,2,1)),1+(1-$AU12))</f>
        <v/>
      </c>
      <c r="CE12" s="172">
        <f>MIN(IF($AU12=100%,1,1+VLOOKUP(($AJ12-$AI12-$AH12-$AG12-$AF12-$AE12*(1+CE$3))/$AJ12,'Технический лист'!$A:$B,2,1)-VLOOKUP($AO12,'Технический лист'!$A:$B,2,1)),1+(1-$AU12))</f>
        <v/>
      </c>
      <c r="CF12" s="172">
        <f>MIN(IF($AU12=100%,1,1+VLOOKUP(($AJ12-$AI12-$AH12-$AG12-$AF12-$AE12*(1+CF$3))/$AJ12,'Технический лист'!$A:$B,2,1)-VLOOKUP($AO12,'Технический лист'!$A:$B,2,1)),1+(1-$AU12))</f>
        <v/>
      </c>
      <c r="CG12" s="172">
        <f>MIN(IF($AU12=100%,1,1+VLOOKUP(($AJ12-$AI12-$AH12-$AG12-$AF12-$AE12*(1+CG$3))/$AJ12,'Технический лист'!$A:$B,2,1)-VLOOKUP($AO12,'Технический лист'!$A:$B,2,1)),1+(1-$AU12))</f>
        <v/>
      </c>
      <c r="CH12" s="172">
        <f>MIN(IF($AU12=100%,1,1+VLOOKUP(($AJ12-$AI12-$AH12-$AG12-$AF12-$AE12*(1+CH$3))/$AJ12,'Технический лист'!$A:$B,2,1)-VLOOKUP($AO12,'Технический лист'!$A:$B,2,1)),1+(1-$AU12))</f>
        <v/>
      </c>
      <c r="CI12" s="172">
        <f>MIN(IF($AU12=100%,1,1+VLOOKUP(($AJ12-$AI12-$AH12-$AG12-$AF12-$AE12*(1+CI$3))/$AJ12,'Технический лист'!$A:$B,2,1)-VLOOKUP($AO12,'Технический лист'!$A:$B,2,1)),1+(1-$AU12))</f>
        <v/>
      </c>
      <c r="CJ12" s="172">
        <f>MIN(IF($AU12=100%,1,1+VLOOKUP(($AJ12-$AI12-$AH12-$AG12-$AF12-$AE12*(1+CJ$3))/$AJ12,'Технический лист'!$A:$B,2,1)-VLOOKUP($AO12,'Технический лист'!$A:$B,2,1)),1+(1-$AU12))</f>
        <v/>
      </c>
      <c r="CK12" s="172">
        <f>MIN(IF($AU12=100%,1,1+VLOOKUP(($AJ12-$AI12-$AH12-$AG12-$AF12-$AE12*(1+CK$3))/$AJ12,'Технический лист'!$A:$B,2,1)-VLOOKUP($AO12,'Технический лист'!$A:$B,2,1)),1+(1-$AU12))</f>
        <v/>
      </c>
      <c r="CL12" s="172">
        <f>MIN(IF($AU12=100%,1,1+VLOOKUP(($AJ12-$AI12-$AH12-$AG12-$AF12-$AE12*(1+CL$3))/$AJ12,'Технический лист'!$A:$B,2,1)-VLOOKUP($AO12,'Технический лист'!$A:$B,2,1)),1+(1-$AU12))</f>
        <v/>
      </c>
      <c r="CM12" s="172">
        <f>MIN(IF($AU12=100%,1,1+VLOOKUP(($AJ12-$AI12-$AH12-$AG12-$AF12-$AE12*(1+CM$3))/$AJ12,'Технический лист'!$A:$B,2,1)-VLOOKUP($AO12,'Технический лист'!$A:$B,2,1)),1+(1-$AU12))</f>
        <v/>
      </c>
      <c r="CN12" s="172">
        <f>MIN(IF($AU12=100%,1,1+VLOOKUP(($AJ12-$AI12-$AH12-$AG12-$AF12-$AE12*(1+CN$3))/$AJ12,'Технический лист'!$A:$B,2,1)-VLOOKUP($AO12,'Технический лист'!$A:$B,2,1)),1+(1-$AU12))</f>
        <v/>
      </c>
      <c r="CO12" s="172">
        <f>MIN(IF($AU12=100%,1,1+VLOOKUP(($AJ12-$AI12-$AH12-$AG12-$AF12-$AE12*(1+CO$3))/$AJ12,'Технический лист'!$A:$B,2,1)-VLOOKUP($AO12,'Технический лист'!$A:$B,2,1)),1+(1-$AU12))</f>
        <v/>
      </c>
      <c r="CP12" s="172">
        <f>MIN(IF($AU12=100%,1,1+VLOOKUP(($AJ12-$AI12-$AH12-$AG12-$AF12-$AE12*(1+CP$3))/$AJ12,'Технический лист'!$A:$B,2,1)-VLOOKUP($AO12,'Технический лист'!$A:$B,2,1)),1+(1-$AU12))</f>
        <v/>
      </c>
      <c r="CQ12" s="172">
        <f>MIN(IF($AU12=100%,1,1+VLOOKUP(($AJ12-$AI12-$AH12-$AG12-$AF12-$AE12*(1+CQ$3))/$AJ12,'Технический лист'!$A:$B,2,1)-VLOOKUP($AO12,'Технический лист'!$A:$B,2,1)),1+(1-$AU12))</f>
        <v/>
      </c>
      <c r="CR12" s="172">
        <f>MIN(IF($AU12=100%,1,1+VLOOKUP(($AJ12-$AI12-$AH12-$AG12-$AF12-$AE12*(1+CR$3))/$AJ12,'Технический лист'!$A:$B,2,1)-VLOOKUP($AO12,'Технический лист'!$A:$B,2,1)),1+(1-$AU12))</f>
        <v/>
      </c>
      <c r="CS12" s="172">
        <f>MIN(IF($AU12=100%,1,1+VLOOKUP(($AJ12-$AI12-$AH12-$AG12-$AF12-$AE12*(1+CS$3))/$AJ12,'Технический лист'!$A:$B,2,1)-VLOOKUP($AO12,'Технический лист'!$A:$B,2,1)),1+(1-$AU12))</f>
        <v/>
      </c>
      <c r="CT12" s="172">
        <f>MIN(IF($AU12=100%,1,1+VLOOKUP(($AJ12-$AI12-$AH12-$AG12-$AF12-$AE12*(1+CT$3))/$AJ12,'Технический лист'!$A:$B,2,1)-VLOOKUP($AO12,'Технический лист'!$A:$B,2,1)),1+(1-$AU12))</f>
        <v/>
      </c>
      <c r="CU12" s="172">
        <f>MIN(IF($AU12=100%,1,1+VLOOKUP(($AJ12-$AI12-$AH12-$AG12-$AF12-$AE12*(1+CU$3))/$AJ12,'Технический лист'!$A:$B,2,1)-VLOOKUP($AO12,'Технический лист'!$A:$B,2,1)),1+(1-$AU12))</f>
        <v/>
      </c>
      <c r="CV12" s="172">
        <f>MIN(IF($AU12=100%,1,1+VLOOKUP(($AJ12-$AI12-$AH12-$AG12-$AF12-$AE12*(1+CV$3))/$AJ12,'Технический лист'!$A:$B,2,1)-VLOOKUP($AO12,'Технический лист'!$A:$B,2,1)),1+(1-$AU12))</f>
        <v/>
      </c>
      <c r="CW12" s="172">
        <f>MIN(IF($AU12=100%,1,1+VLOOKUP(($AJ12-$AI12-$AH12-$AG12-$AF12-$AE12*(1+CW$3))/$AJ12,'Технический лист'!$A:$B,2,1)-VLOOKUP($AO12,'Технический лист'!$A:$B,2,1)),1+(1-$AU12))</f>
        <v/>
      </c>
      <c r="CX12" s="172">
        <f>MIN(IF($AU12=100%,1,1+VLOOKUP(($AJ12-$AI12-$AH12-$AG12-$AF12-$AE12*(1+CX$3))/$AJ12,'Технический лист'!$A:$B,2,1)-VLOOKUP($AO12,'Технический лист'!$A:$B,2,1)),1+(1-$AU12))</f>
        <v/>
      </c>
      <c r="CY12" s="172">
        <f>MIN(IF($AU12=100%,1,1+VLOOKUP(($AJ12-$AI12-$AH12-$AG12-$AF12-$AE12*(1+CY$3))/$AJ12,'Технический лист'!$A:$B,2,1)-VLOOKUP($AO12,'Технический лист'!$A:$B,2,1)),1+(1-$AU12))</f>
        <v/>
      </c>
      <c r="CZ12" s="172">
        <f>MIN(IF($AU12=100%,1,1+VLOOKUP(($AJ12-$AI12-$AH12-$AG12-$AF12-$AE12*(1+CZ$3))/$AJ12,'Технический лист'!$A:$B,2,1)-VLOOKUP($AO12,'Технический лист'!$A:$B,2,1)),1+(1-$AU12))</f>
        <v/>
      </c>
      <c r="DA12" s="172">
        <f>MIN(IF($AU12=100%,1,1+VLOOKUP(($AJ12-$AI12-$AH12-$AG12-$AF12-$AE12*(1+DA$3))/$AJ12,'Технический лист'!$A:$B,2,1)-VLOOKUP($AO12,'Технический лист'!$A:$B,2,1)),1+(1-$AU12))</f>
        <v/>
      </c>
      <c r="DB12" s="172">
        <f>MIN(IF($AU12=100%,1,1+VLOOKUP(($AJ12-$AI12-$AH12-$AG12-$AF12-$AE12*(1+DB$3))/$AJ12,'Технический лист'!$A:$B,2,1)-VLOOKUP($AO12,'Технический лист'!$A:$B,2,1)),1+(1-$AU12))</f>
        <v/>
      </c>
      <c r="DC12" s="172">
        <f>MIN(IF($AU12=100%,1,1+VLOOKUP(($AJ12-$AI12-$AH12-$AG12-$AF12-$AE12*(1+DC$3))/$AJ12,'Технический лист'!$A:$B,2,1)-VLOOKUP($AO12,'Технический лист'!$A:$B,2,1)),1+(1-$AU12))</f>
        <v/>
      </c>
      <c r="DD12" s="172">
        <f>MIN(IF($AU12=100%,1,1+VLOOKUP(($AJ12-$AI12-$AH12-$AG12-$AF12-$AE12*(1+DD$3))/$AJ12,'Технический лист'!$A:$B,2,1)-VLOOKUP($AO12,'Технический лист'!$A:$B,2,1)),1+(1-$AU12))</f>
        <v/>
      </c>
      <c r="DE12" s="172">
        <f>MIN(IF($AU12=100%,1,1+VLOOKUP(($AJ12-$AI12-$AH12-$AG12-$AF12-$AE12*(1+DE$3))/$AJ12,'Технический лист'!$A:$B,2,1)-VLOOKUP($AO12,'Технический лист'!$A:$B,2,1)),1+(1-$AU12))</f>
        <v/>
      </c>
      <c r="DF12" s="172">
        <f>MIN(IF($AU12=100%,1,1+VLOOKUP(($AJ12-$AI12-$AH12-$AG12-$AF12-$AE12*(1+DF$3))/$AJ12,'Технический лист'!$A:$B,2,1)-VLOOKUP($AO12,'Технический лист'!$A:$B,2,1)),1+(1-$AU12))</f>
        <v/>
      </c>
      <c r="DG12" s="172">
        <f>MIN(IF($AU12=100%,1,1+VLOOKUP(($AJ12-$AI12-$AH12-$AG12-$AF12-$AE12*(1+DG$3))/$AJ12,'Технический лист'!$A:$B,2,1)-VLOOKUP($AO12,'Технический лист'!$A:$B,2,1)),1+(1-$AU12))</f>
        <v/>
      </c>
      <c r="DH12" s="172">
        <f>MIN(IF($AU12=100%,1,1+VLOOKUP(($AJ12-$AI12-$AH12-$AG12-$AF12-$AE12*(1+DH$3))/$AJ12,'Технический лист'!$A:$B,2,1)-VLOOKUP($AO12,'Технический лист'!$A:$B,2,1)),1+(1-$AU12))</f>
        <v/>
      </c>
      <c r="DI12" s="172">
        <f>MIN(IF($AU12=100%,1,1+VLOOKUP(($AJ12-$AI12-$AH12-$AG12-$AF12-$AE12*(1+DI$3))/$AJ12,'Технический лист'!$A:$B,2,1)-VLOOKUP($AO12,'Технический лист'!$A:$B,2,1)),1+(1-$AU12))</f>
        <v/>
      </c>
      <c r="DJ12" s="172">
        <f>MIN(IF($AU12=100%,1,1+VLOOKUP(($AJ12-$AI12-$AH12-$AG12-$AF12-$AE12*(1+DJ$3))/$AJ12,'Технический лист'!$A:$B,2,1)-VLOOKUP($AO12,'Технический лист'!$A:$B,2,1)),1+(1-$AU12))</f>
        <v/>
      </c>
      <c r="DK12" s="172">
        <f>MIN(IF($AU12=100%,1,1+VLOOKUP(($AJ12-$AI12-$AH12-$AG12-$AF12-$AE12*(1+DK$3))/$AJ12,'Технический лист'!$A:$B,2,1)-VLOOKUP($AO12,'Технический лист'!$A:$B,2,1)),1+(1-$AU12))</f>
        <v/>
      </c>
      <c r="DL12" s="172">
        <f>MIN(IF($AU12=100%,1,1+VLOOKUP(($AJ12-$AI12-$AH12-$AG12-$AF12-$AE12*(1+DL$3))/$AJ12,'Технический лист'!$A:$B,2,1)-VLOOKUP($AO12,'Технический лист'!$A:$B,2,1)),1+(1-$AU12))</f>
        <v/>
      </c>
      <c r="DM12" s="172">
        <f>MIN(IF($AU12=100%,1,1+VLOOKUP(($AJ12-$AI12-$AH12-$AG12-$AF12-$AE12*(1+DM$3))/$AJ12,'Технический лист'!$A:$B,2,1)-VLOOKUP($AO12,'Технический лист'!$A:$B,2,1)),1+(1-$AU12))</f>
        <v/>
      </c>
      <c r="DN12" s="172">
        <f>MIN(IF($AU12=100%,1,1+VLOOKUP(($AJ12-$AI12-$AH12-$AG12-$AF12-$AE12*(1+DN$3))/$AJ12,'Технический лист'!$A:$B,2,1)-VLOOKUP($AO12,'Технический лист'!$A:$B,2,1)),1+(1-$AU12))</f>
        <v/>
      </c>
      <c r="DO12" s="172">
        <f>MIN(IF($AU12=100%,1,1+VLOOKUP(($AJ12-$AI12-$AH12-$AG12-$AF12-$AE12*(1+DO$3))/$AJ12,'Технический лист'!$A:$B,2,1)-VLOOKUP($AO12,'Технический лист'!$A:$B,2,1)),1+(1-$AU12))</f>
        <v/>
      </c>
      <c r="DP12" s="172">
        <f>MIN(IF($AU12=100%,1,1+VLOOKUP(($AJ12-$AI12-$AH12-$AG12-$AF12-$AE12*(1+DP$3))/$AJ12,'Технический лист'!$A:$B,2,1)-VLOOKUP($AO12,'Технический лист'!$A:$B,2,1)),1+(1-$AU12))</f>
        <v/>
      </c>
      <c r="DQ12" s="172">
        <f>MIN(IF($AU12=100%,1,1+VLOOKUP(($AJ12-$AI12-$AH12-$AG12-$AF12-$AE12*(1+DQ$3))/$AJ12,'Технический лист'!$A:$B,2,1)-VLOOKUP($AO12,'Технический лист'!$A:$B,2,1)),1+(1-$AU12))</f>
        <v/>
      </c>
      <c r="DR12" s="172">
        <f>MIN(IF($AU12=100%,1,1+VLOOKUP(($AJ12-$AI12-$AH12-$AG12-$AF12-$AE12*(1+DR$3))/$AJ12,'Технический лист'!$A:$B,2,1)-VLOOKUP($AO12,'Технический лист'!$A:$B,2,1)),1+(1-$AU12))</f>
        <v/>
      </c>
      <c r="DS12" s="172">
        <f>MIN(IF($AU12=100%,1,1+VLOOKUP(($AJ12-$AI12-$AH12-$AG12-$AF12-$AE12*(1+DS$3))/$AJ12,'Технический лист'!$A:$B,2,1)-VLOOKUP($AO12,'Технический лист'!$A:$B,2,1)),1+(1-$AU12))</f>
        <v/>
      </c>
      <c r="DT12" s="172">
        <f>MIN(IF($AU12=100%,1,1+VLOOKUP(($AJ12-$AI12-$AH12-$AG12-$AF12-$AE12*(1+DT$3))/$AJ12,'Технический лист'!$A:$B,2,1)-VLOOKUP($AO12,'Технический лист'!$A:$B,2,1)),1+(1-$AU12))</f>
        <v/>
      </c>
      <c r="DU12" s="172">
        <f>MIN(IF($AU12=100%,1,1+VLOOKUP(($AJ12-$AI12-$AH12-$AG12-$AF12-$AE12*(1+DU$3))/$AJ12,'Технический лист'!$A:$B,2,1)-VLOOKUP($AO12,'Технический лист'!$A:$B,2,1)),1+(1-$AU12))</f>
        <v/>
      </c>
      <c r="DV12" s="172">
        <f>MIN(IF($AU12=100%,1,1+VLOOKUP(($AJ12-$AI12-$AH12-$AG12-$AF12-$AE12*(1+DV$3))/$AJ12,'Технический лист'!$A:$B,2,1)-VLOOKUP($AO12,'Технический лист'!$A:$B,2,1)),1+(1-$AU12))</f>
        <v/>
      </c>
      <c r="DW12" s="172">
        <f>MIN(IF($AU12=100%,1,1+VLOOKUP(($AJ12-$AI12-$AH12-$AG12-$AF12-$AE12*(1+DW$3))/$AJ12,'Технический лист'!$A:$B,2,1)-VLOOKUP($AO12,'Технический лист'!$A:$B,2,1)),1+(1-$AU12))</f>
        <v/>
      </c>
      <c r="DX12" s="172">
        <f>MIN(IF($AU12=100%,1,1+VLOOKUP(($AJ12-$AI12-$AH12-$AG12-$AF12-$AE12*(1+DX$3))/$AJ12,'Технический лист'!$A:$B,2,1)-VLOOKUP($AO12,'Технический лист'!$A:$B,2,1)),1+(1-$AU12))</f>
        <v/>
      </c>
      <c r="DY12" s="172">
        <f>MIN(IF($AU12=100%,1,1+VLOOKUP(($AJ12-$AI12-$AH12-$AG12-$AF12-$AE12*(1+DY$3))/$AJ12,'Технический лист'!$A:$B,2,1)-VLOOKUP($AO12,'Технический лист'!$A:$B,2,1)),1+(1-$AU12))</f>
        <v/>
      </c>
      <c r="DZ12" s="172">
        <f>MIN(IF($AU12=100%,1,1+VLOOKUP(($AJ12-$AI12-$AH12-$AG12-$AF12-$AE12*(1+DZ$3))/$AJ12,'Технический лист'!$A:$B,2,1)-VLOOKUP($AO12,'Технический лист'!$A:$B,2,1)),1+(1-$AU12))</f>
        <v/>
      </c>
      <c r="EA12" s="172">
        <f>MIN(IF($AU12=100%,1,1+VLOOKUP(($AJ12-$AI12-$AH12-$AG12-$AF12-$AE12*(1+EA$3))/$AJ12,'Технический лист'!$A:$B,2,1)-VLOOKUP($AO12,'Технический лист'!$A:$B,2,1)),1+(1-$AU12))</f>
        <v/>
      </c>
      <c r="EB12" s="172">
        <f>MIN(IF($AU12=100%,1,1+VLOOKUP(($AJ12-$AI12-$AH12-$AG12-$AF12-$AE12*(1+EB$3))/$AJ12,'Технический лист'!$A:$B,2,1)-VLOOKUP($AO12,'Технический лист'!$A:$B,2,1)),1+(1-$AU12))</f>
        <v/>
      </c>
      <c r="EC12" s="172">
        <f>MIN(IF($AU12=100%,1,1+VLOOKUP(($AJ12-$AI12-$AH12-$AG12-$AF12-$AE12*(1+EC$3))/$AJ12,'Технический лист'!$A:$B,2,1)-VLOOKUP($AO12,'Технический лист'!$A:$B,2,1)),1+(1-$AU12))</f>
        <v/>
      </c>
      <c r="ED12" s="172">
        <f>MIN(IF($AU12=100%,1,1+VLOOKUP(($AJ12-$AI12-$AH12-$AG12-$AF12-$AE12*(1+ED$3))/$AJ12,'Технический лист'!$A:$B,2,1)-VLOOKUP($AO12,'Технический лист'!$A:$B,2,1)),1+(1-$AU12))</f>
        <v/>
      </c>
      <c r="EE12" s="172">
        <f>MIN(IF($AU12=100%,1,1+VLOOKUP(($AJ12-$AI12-$AH12-$AG12-$AF12-$AE12*(1+EE$3))/$AJ12,'Технический лист'!$A:$B,2,1)-VLOOKUP($AO12,'Технический лист'!$A:$B,2,1)),1+(1-$AU12))</f>
        <v/>
      </c>
      <c r="EF12" s="172">
        <f>MIN(IF($AU12=100%,1,1+VLOOKUP(($AJ12-$AI12-$AH12-$AG12-$AF12-$AE12*(1+EF$3))/$AJ12,'Технический лист'!$A:$B,2,1)-VLOOKUP($AO12,'Технический лист'!$A:$B,2,1)),1+(1-$AU12))</f>
        <v/>
      </c>
      <c r="EG12" s="172">
        <f>MIN(IF($AU12=100%,1,1+VLOOKUP(($AJ12-$AI12-$AH12-$AG12-$AF12-$AE12*(1+EG$3))/$AJ12,'Технический лист'!$A:$B,2,1)-VLOOKUP($AO12,'Технический лист'!$A:$B,2,1)),1+(1-$AU12))</f>
        <v/>
      </c>
      <c r="EH12" s="172">
        <f>MIN(IF($AU12=100%,1,1+VLOOKUP(($AJ12-$AI12-$AH12-$AG12-$AF12-$AE12*(1+EH$3))/$AJ12,'Технический лист'!$A:$B,2,1)-VLOOKUP($AO12,'Технический лист'!$A:$B,2,1)),1+(1-$AU12))</f>
        <v/>
      </c>
      <c r="EI12" s="172">
        <f>MIN(IF($AU12=100%,1,1+VLOOKUP(($AJ12-$AI12-$AH12-$AG12-$AF12-$AE12*(1+EI$3))/$AJ12,'Технический лист'!$A:$B,2,1)-VLOOKUP($AO12,'Технический лист'!$A:$B,2,1)),1+(1-$AU12))</f>
        <v/>
      </c>
      <c r="EJ12" s="172">
        <f>MIN(IF($AU12=100%,1,1+VLOOKUP(($AJ12-$AI12-$AH12-$AG12-$AF12-$AE12*(1+EJ$3))/$AJ12,'Технический лист'!$A:$B,2,1)-VLOOKUP($AO12,'Технический лист'!$A:$B,2,1)),1+(1-$AU12))</f>
        <v/>
      </c>
      <c r="EK12" s="172">
        <f>MIN(IF($AU12=100%,1,1+VLOOKUP(($AJ12-$AI12-$AH12-$AG12-$AF12-$AE12*(1+EK$3))/$AJ12,'Технический лист'!$A:$B,2,1)-VLOOKUP($AO12,'Технический лист'!$A:$B,2,1)),1+(1-$AU12))</f>
        <v/>
      </c>
      <c r="EL12" s="172">
        <f>MIN(IF($AU12=100%,1,1+VLOOKUP(($AJ12-$AI12-$AH12-$AG12-$AF12-$AE12*(1+EL$3))/$AJ12,'Технический лист'!$A:$B,2,1)-VLOOKUP($AO12,'Технический лист'!$A:$B,2,1)),1+(1-$AU12))</f>
        <v/>
      </c>
      <c r="EM12" s="172">
        <f>MIN(IF($AU12=100%,1,1+VLOOKUP(($AJ12-$AI12-$AH12-$AG12-$AF12-$AE12*(1+EM$3))/$AJ12,'Технический лист'!$A:$B,2,1)-VLOOKUP($AO12,'Технический лист'!$A:$B,2,1)),1+(1-$AU12))</f>
        <v/>
      </c>
      <c r="EN12" s="172">
        <f>MIN(IF($AU12=100%,1,1+VLOOKUP(($AJ12-$AI12-$AH12-$AG12-$AF12-$AE12*(1+EN$3))/$AJ12,'Технический лист'!$A:$B,2,1)-VLOOKUP($AO12,'Технический лист'!$A:$B,2,1)),1+(1-$AU12))</f>
        <v/>
      </c>
      <c r="EO12" s="172">
        <f>MIN(IF($AU12=100%,1,1+VLOOKUP(($AJ12-$AI12-$AH12-$AG12-$AF12-$AE12*(1+EO$3))/$AJ12,'Технический лист'!$A:$B,2,1)-VLOOKUP($AO12,'Технический лист'!$A:$B,2,1)),1+(1-$AU12))</f>
        <v/>
      </c>
      <c r="EP12" s="172">
        <f>MIN(IF($AU12=100%,1,1+VLOOKUP(($AJ12-$AI12-$AH12-$AG12-$AF12-$AE12*(1+EP$3))/$AJ12,'Технический лист'!$A:$B,2,1)-VLOOKUP($AO12,'Технический лист'!$A:$B,2,1)),1+(1-$AU12))</f>
        <v/>
      </c>
      <c r="EQ12" s="172">
        <f>MIN(IF($AU12=100%,1,1+VLOOKUP(($AJ12-$AI12-$AH12-$AG12-$AF12-$AE12*(1+EQ$3))/$AJ12,'Технический лист'!$A:$B,2,1)-VLOOKUP($AO12,'Технический лист'!$A:$B,2,1)),1+(1-$AU12))</f>
        <v/>
      </c>
      <c r="ER12" s="172">
        <f>MIN(IF($AU12=100%,1,1+VLOOKUP(($AJ12-$AI12-$AH12-$AG12-$AF12-$AE12*(1+ER$3))/$AJ12,'Технический лист'!$A:$B,2,1)-VLOOKUP($AO12,'Технический лист'!$A:$B,2,1)),1+(1-$AU12))</f>
        <v/>
      </c>
      <c r="ES12" s="172">
        <f>MIN(IF($AU12=100%,1,1+VLOOKUP(($AJ12-$AI12-$AH12-$AG12-$AF12-$AE12*(1+ES$3))/$AJ12,'Технический лист'!$A:$B,2,1)-VLOOKUP($AO12,'Технический лист'!$A:$B,2,1)),1+(1-$AU12))</f>
        <v/>
      </c>
      <c r="ET12" s="172">
        <f>MIN(IF($AU12=100%,1,1+VLOOKUP(($AJ12-$AI12-$AH12-$AG12-$AF12-$AE12*(1+ET$3))/$AJ12,'Технический лист'!$A:$B,2,1)-VLOOKUP($AO12,'Технический лист'!$A:$B,2,1)),1+(1-$AU12))</f>
        <v/>
      </c>
      <c r="EU12" s="172">
        <f>MIN(IF($AU12=100%,1,1+VLOOKUP(($AJ12-$AI12-$AH12-$AG12-$AF12-$AE12*(1+EU$3))/$AJ12,'Технический лист'!$A:$B,2,1)-VLOOKUP($AO12,'Технический лист'!$A:$B,2,1)),1+(1-$AU12))</f>
        <v/>
      </c>
      <c r="EV12" s="173" t="n">
        <v>1</v>
      </c>
      <c r="EW12" s="172">
        <f>MIN(1,MAX(VLOOKUP(($AJ12-$AI12-$AH12-$AG12-$AF12-$AE12*(1+EW$3))/$AJ12,'Технический лист'!$A:$B,2,1),(EV12-0.05)))</f>
        <v/>
      </c>
      <c r="EX12" s="172">
        <f>MIN(1,MAX(VLOOKUP(($AJ12-$AI12-$AH12-$AG12-$AF12-$AE12*(1+EX$3))/$AJ12,'Технический лист'!$A:$B,2,1),(EW12-0.05)))</f>
        <v/>
      </c>
      <c r="EY12" s="172">
        <f>MIN(1,MAX(VLOOKUP(($AJ12-$AI12-$AH12-$AG12-$AF12-$AE12*(1+EY$3))/$AJ12,'Технический лист'!$A:$B,2,1),(EX12-0.05)))</f>
        <v/>
      </c>
      <c r="EZ12" s="172">
        <f>MIN(1,MAX(VLOOKUP(($AJ12-$AI12-$AH12-$AG12-$AF12-$AE12*(1+EZ$3))/$AJ12,'Технический лист'!$A:$B,2,1),(EY12-0.05)))</f>
        <v/>
      </c>
      <c r="FA12" s="172">
        <f>MIN(1,MAX(VLOOKUP(($AJ12-$AI12-$AH12-$AG12-$AF12-$AE12*(1+FA$3))/$AJ12,'Технический лист'!$A:$B,2,1),(EZ12-0.05)))</f>
        <v/>
      </c>
      <c r="FB12" s="172">
        <f>MIN(1,MAX(VLOOKUP(($AJ12-$AI12-$AH12-$AG12-$AF12-$AE12*(1+FB$3))/$AJ12,'Технический лист'!$A:$B,2,1),(FA12-0.05)))</f>
        <v/>
      </c>
      <c r="FC12" s="172">
        <f>MIN(1,MAX(VLOOKUP(($AJ12-$AI12-$AH12-$AG12-$AF12-$AE12*(1+FC$3))/$AJ12,'Технический лист'!$A:$B,2,1),(FB12-0.05)))</f>
        <v/>
      </c>
      <c r="FD12" s="172">
        <f>MIN(1,MAX(VLOOKUP(($AJ12-$AI12-$AH12-$AG12-$AF12-$AE12*(1+FD$3))/$AJ12,'Технический лист'!$A:$B,2,1),(FC12-0.05)))</f>
        <v/>
      </c>
      <c r="FE12" s="172">
        <f>MIN(1,MAX(VLOOKUP(($AJ12-$AI12-$AH12-$AG12-$AF12-$AE12*(1+FE$3))/$AJ12,'Технический лист'!$A:$B,2,1),(FD12-0.05)))</f>
        <v/>
      </c>
      <c r="FF12" s="172">
        <f>MIN(1,MAX(VLOOKUP(($AJ12-$AI12-$AH12-$AG12-$AF12-$AE12*(1+FF$3))/$AJ12,'Технический лист'!$A:$B,2,1),(FE12-0.05)))</f>
        <v/>
      </c>
      <c r="FG12" s="172">
        <f>MIN(1,MAX(VLOOKUP(($AJ12-$AI12-$AH12-$AG12-$AF12-$AE12*(1+FG$3))/$AJ12,'Технический лист'!$A:$B,2,1),(FF12-0.05)))</f>
        <v/>
      </c>
      <c r="FH12" s="172">
        <f>MIN(1,MAX(VLOOKUP(($AJ12-$AI12-$AH12-$AG12-$AF12-$AE12*(1+FH$3))/$AJ12,'Технический лист'!$A:$B,2,1),(FG12-0.05)))</f>
        <v/>
      </c>
      <c r="FI12" s="172">
        <f>MIN(1,MAX(VLOOKUP(($AJ12-$AI12-$AH12-$AG12-$AF12-$AE12*(1+FI$3))/$AJ12,'Технический лист'!$A:$B,2,1),(FH12-0.05)))</f>
        <v/>
      </c>
      <c r="FJ12" s="172">
        <f>MIN(1,MAX(VLOOKUP(($AJ12-$AI12-$AH12-$AG12-$AF12-$AE12*(1+FJ$3))/$AJ12,'Технический лист'!$A:$B,2,1),(FI12-0.05)))</f>
        <v/>
      </c>
      <c r="FK12" s="172">
        <f>MIN(1,MAX(VLOOKUP(($AJ12-$AI12-$AH12-$AG12-$AF12-$AE12*(1+FK$3))/$AJ12,'Технический лист'!$A:$B,2,1),(FJ12-0.05)))</f>
        <v/>
      </c>
      <c r="FL12" s="172">
        <f>MIN(1,MAX(VLOOKUP(($AJ12-$AI12-$AH12-$AG12-$AF12-$AE12*(1+FL$3))/$AJ12,'Технический лист'!$A:$B,2,1),(FK12-0.05)))</f>
        <v/>
      </c>
      <c r="FM12" s="172">
        <f>MIN(1,MAX(VLOOKUP(($AJ12-$AI12-$AH12-$AG12-$AF12-$AE12*(1+FM$3))/$AJ12,'Технический лист'!$A:$B,2,1),(FL12-0.05)))</f>
        <v/>
      </c>
      <c r="FN12" s="172">
        <f>MIN(1,MAX(VLOOKUP(($AJ12-$AI12-$AH12-$AG12-$AF12-$AE12*(1+FN$3))/$AJ12,'Технический лист'!$A:$B,2,1),(FM12-0.05)))</f>
        <v/>
      </c>
      <c r="FO12" s="172">
        <f>MIN(1,MAX(VLOOKUP(($AJ12-$AI12-$AH12-$AG12-$AF12-$AE12*(1+FO$3))/$AJ12,'Технический лист'!$A:$B,2,1),(FN12-0.05)))</f>
        <v/>
      </c>
      <c r="FP12" s="172">
        <f>MIN(1,MAX(VLOOKUP(($AJ12-$AI12-$AH12-$AG12-$AF12-$AE12*(1+FP$3))/$AJ12,'Технический лист'!$A:$B,2,1),(FO12-0.05)))</f>
        <v/>
      </c>
      <c r="FQ12" s="172">
        <f>MIN(1,MAX(VLOOKUP(($AJ12-$AI12-$AH12-$AG12-$AF12-$AE12*(1+FQ$3))/$AJ12,'Технический лист'!$A:$B,2,1),(FP12-0.05)))</f>
        <v/>
      </c>
      <c r="FR12" s="172">
        <f>MIN(1,MAX(VLOOKUP(($AJ12-$AI12-$AH12-$AG12-$AF12-$AE12*(1+FR$3))/$AJ12,'Технический лист'!$A:$B,2,1),(FQ12-0.05)))</f>
        <v/>
      </c>
      <c r="FS12" s="172">
        <f>MIN(1,MAX(VLOOKUP(($AJ12-$AI12-$AH12-$AG12-$AF12-$AE12*(1+FS$3))/$AJ12,'Технический лист'!$A:$B,2,1),(FR12-0.05)))</f>
        <v/>
      </c>
      <c r="FT12" s="172">
        <f>MIN(1,MAX(VLOOKUP(($AJ12-$AI12-$AH12-$AG12-$AF12-$AE12*(1+FT$3))/$AJ12,'Технический лист'!$A:$B,2,1),(FS12-0.05)))</f>
        <v/>
      </c>
      <c r="FU12" s="172">
        <f>MIN(1,MAX(VLOOKUP(($AJ12-$AI12-$AH12-$AG12-$AF12-$AE12*(1+FU$3))/$AJ12,'Технический лист'!$A:$B,2,1),(FT12-0.05)))</f>
        <v/>
      </c>
      <c r="FV12" s="172">
        <f>MIN(1,MAX(VLOOKUP(($AJ12-$AI12-$AH12-$AG12-$AF12-$AE12*(1+FV$3))/$AJ12,'Технический лист'!$A:$B,2,1),(FU12-0.05)))</f>
        <v/>
      </c>
      <c r="FW12" s="172">
        <f>MIN(1,MAX(VLOOKUP(($AJ12-$AI12-$AH12-$AG12-$AF12-$AE12*(1+FW$3))/$AJ12,'Технический лист'!$A:$B,2,1),(FV12-0.05)))</f>
        <v/>
      </c>
      <c r="FX12" s="172">
        <f>MIN(1,MAX(VLOOKUP(($AJ12-$AI12-$AH12-$AG12-$AF12-$AE12*(1+FX$3))/$AJ12,'Технический лист'!$A:$B,2,1),(FW12-0.05)))</f>
        <v/>
      </c>
      <c r="FY12" s="172">
        <f>MIN(1,MAX(VLOOKUP(($AJ12-$AI12-$AH12-$AG12-$AF12-$AE12*(1+FY$3))/$AJ12,'Технический лист'!$A:$B,2,1),(FX12-0.05)))</f>
        <v/>
      </c>
      <c r="FZ12" s="172">
        <f>MIN(1,MAX(VLOOKUP(($AJ12-$AI12-$AH12-$AG12-$AF12-$AE12*(1+FZ$3))/$AJ12,'Технический лист'!$A:$B,2,1),(FY12-0.05)))</f>
        <v/>
      </c>
      <c r="GA12" s="172">
        <f>MIN(1,MAX(VLOOKUP(($AJ12-$AI12-$AH12-$AG12-$AF12-$AE12*(1+GA$3))/$AJ12,'Технический лист'!$A:$B,2,1),(FZ12-0.05)))</f>
        <v/>
      </c>
      <c r="GB12" s="172">
        <f>MIN(1,MAX(VLOOKUP(($AJ12-$AI12-$AH12-$AG12-$AF12-$AE12*(1+GB$3))/$AJ12,'Технический лист'!$A:$B,2,1),(GA12-0.05)))</f>
        <v/>
      </c>
      <c r="GC12" s="172">
        <f>MIN(1,MAX(VLOOKUP(($AJ12-$AI12-$AH12-$AG12-$AF12-$AE12*(1+GC$3))/$AJ12,'Технический лист'!$A:$B,2,1),(GB12-0.05)))</f>
        <v/>
      </c>
      <c r="GD12" s="172">
        <f>MIN(1,MAX(VLOOKUP(($AJ12-$AI12-$AH12-$AG12-$AF12-$AE12*(1+GD$3))/$AJ12,'Технический лист'!$A:$B,2,1),(GC12-0.05)))</f>
        <v/>
      </c>
      <c r="GE12" s="172">
        <f>MIN(1,MAX(VLOOKUP(($AJ12-$AI12-$AH12-$AG12-$AF12-$AE12*(1+GE$3))/$AJ12,'Технический лист'!$A:$B,2,1),(GD12-0.05)))</f>
        <v/>
      </c>
      <c r="GF12" s="172">
        <f>MIN(1,MAX(VLOOKUP(($AJ12-$AI12-$AH12-$AG12-$AF12-$AE12*(1+GF$3))/$AJ12,'Технический лист'!$A:$B,2,1),(GE12-0.05)))</f>
        <v/>
      </c>
      <c r="GG12" s="172">
        <f>MIN(1,MAX(VLOOKUP(($AJ12-$AI12-$AH12-$AG12-$AF12-$AE12*(1+GG$3))/$AJ12,'Технический лист'!$A:$B,2,1),(GF12-0.05)))</f>
        <v/>
      </c>
      <c r="GH12" s="172">
        <f>MIN(1,MAX(VLOOKUP(($AJ12-$AI12-$AH12-$AG12-$AF12-$AE12*(1+GH$3))/$AJ12,'Технический лист'!$A:$B,2,1),(GG12-0.05)))</f>
        <v/>
      </c>
      <c r="GI12" s="172">
        <f>MIN(1,MAX(VLOOKUP(($AJ12-$AI12-$AH12-$AG12-$AF12-$AE12*(1+GI$3))/$AJ12,'Технический лист'!$A:$B,2,1),(GH12-0.05)))</f>
        <v/>
      </c>
      <c r="GJ12" s="172">
        <f>MIN(1,MAX(VLOOKUP(($AJ12-$AI12-$AH12-$AG12-$AF12-$AE12*(1+GJ$3))/$AJ12,'Технический лист'!$A:$B,2,1),(GI12-0.05)))</f>
        <v/>
      </c>
      <c r="GK12" s="172">
        <f>MIN(1,MAX(VLOOKUP(($AJ12-$AI12-$AH12-$AG12-$AF12-$AE12*(1+GK$3))/$AJ12,'Технический лист'!$A:$B,2,1),(GJ12-0.05)))</f>
        <v/>
      </c>
      <c r="GL12" s="172">
        <f>MIN(1,MAX(VLOOKUP(($AJ12-$AI12-$AH12-$AG12-$AF12-$AE12*(1+GL$3))/$AJ12,'Технический лист'!$A:$B,2,1),(GK12-0.05)))</f>
        <v/>
      </c>
      <c r="GM12" s="172">
        <f>MIN(1,MAX(VLOOKUP(($AJ12-$AI12-$AH12-$AG12-$AF12-$AE12*(1+GM$3))/$AJ12,'Технический лист'!$A:$B,2,1),(GL12-0.05)))</f>
        <v/>
      </c>
      <c r="GN12" s="172">
        <f>MIN(1,MAX(VLOOKUP(($AJ12-$AI12-$AH12-$AG12-$AF12-$AE12*(1+GN$3))/$AJ12,'Технический лист'!$A:$B,2,1),(GM12-0.05)))</f>
        <v/>
      </c>
      <c r="GO12" s="172">
        <f>MIN(1,MAX(VLOOKUP(($AJ12-$AI12-$AH12-$AG12-$AF12-$AE12*(1+GO$3))/$AJ12,'Технический лист'!$A:$B,2,1),(GN12-0.05)))</f>
        <v/>
      </c>
      <c r="GP12" s="172">
        <f>MIN(1,MAX(VLOOKUP(($AJ12-$AI12-$AH12-$AG12-$AF12-$AE12*(1+GP$3))/$AJ12,'Технический лист'!$A:$B,2,1),(GO12-0.05)))</f>
        <v/>
      </c>
      <c r="GQ12" s="172">
        <f>MIN(1,MAX(VLOOKUP(($AJ12-$AI12-$AH12-$AG12-$AF12-$AE12*(1+GQ$3))/$AJ12,'Технический лист'!$A:$B,2,1),(GP12-0.05)))</f>
        <v/>
      </c>
      <c r="GR12" s="172">
        <f>MIN(1,MAX(VLOOKUP(($AJ12-$AI12-$AH12-$AG12-$AF12-$AE12*(1+GR$3))/$AJ12,'Технический лист'!$A:$B,2,1),(GQ12-0.05)))</f>
        <v/>
      </c>
      <c r="GS12" s="172">
        <f>MIN(1,MAX(VLOOKUP(($AJ12-$AI12-$AH12-$AG12-$AF12-$AE12*(1+GS$3))/$AJ12,'Технический лист'!$A:$B,2,1),(GR12-0.05)))</f>
        <v/>
      </c>
      <c r="GT12" s="172">
        <f>MIN(1,MAX(VLOOKUP(($AJ12-$AI12-$AH12-$AG12-$AF12-$AE12*(1+GT$3))/$AJ12,'Технический лист'!$A:$B,2,1),(GS12-0.05)))</f>
        <v/>
      </c>
      <c r="GU12" s="172">
        <f>MIN(1,MAX(VLOOKUP(($AJ12-$AI12-$AH12-$AG12-$AF12-$AE12*(1+GU$3))/$AJ12,'Технический лист'!$A:$B,2,1),(GT12-0.05)))</f>
        <v/>
      </c>
      <c r="GV12" s="172">
        <f>MIN(1,MAX(VLOOKUP(($AJ12-$AI12-$AH12-$AG12-$AF12-$AE12*(1+GV$3))/$AJ12,'Технический лист'!$A:$B,2,1),(GU12-0.05)))</f>
        <v/>
      </c>
      <c r="GW12" s="172">
        <f>MIN(1,MAX(VLOOKUP(($AJ12-$AI12-$AH12-$AG12-$AF12-$AE12*(1+GW$3))/$AJ12,'Технический лист'!$A:$B,2,1),(GV12-0.05)))</f>
        <v/>
      </c>
      <c r="GX12" s="172">
        <f>MIN(1,MAX(VLOOKUP(($AJ12-$AI12-$AH12-$AG12-$AF12-$AE12*(1+GX$3))/$AJ12,'Технический лист'!$A:$B,2,1),(GW12-0.05)))</f>
        <v/>
      </c>
      <c r="GY12" s="172">
        <f>MIN(1,MAX(VLOOKUP(($AJ12-$AI12-$AH12-$AG12-$AF12-$AE12*(1+GY$3))/$AJ12,'Технический лист'!$A:$B,2,1),(GX12-0.05)))</f>
        <v/>
      </c>
      <c r="GZ12" s="172">
        <f>MIN(1,MAX(VLOOKUP(($AJ12-$AI12-$AH12-$AG12-$AF12-$AE12*(1+GZ$3))/$AJ12,'Технический лист'!$A:$B,2,1),(GY12-0.05)))</f>
        <v/>
      </c>
      <c r="HA12" s="172">
        <f>MIN(1,MAX(VLOOKUP(($AJ12-$AI12-$AH12-$AG12-$AF12-$AE12*(1+HA$3))/$AJ12,'Технический лист'!$A:$B,2,1),(GZ12-0.05)))</f>
        <v/>
      </c>
      <c r="HB12" s="172">
        <f>MIN(1,MAX(VLOOKUP(($AJ12-$AI12-$AH12-$AG12-$AF12-$AE12*(1+HB$3))/$AJ12,'Технический лист'!$A:$B,2,1),(HA12-0.05)))</f>
        <v/>
      </c>
      <c r="HC12" s="172">
        <f>MIN(1,MAX(VLOOKUP(($AJ12-$AI12-$AH12-$AG12-$AF12-$AE12*(1+HC$3))/$AJ12,'Технический лист'!$A:$B,2,1),(HB12-0.05)))</f>
        <v/>
      </c>
      <c r="HD12" s="172">
        <f>MIN(1,MAX(VLOOKUP(($AJ12-$AI12-$AH12-$AG12-$AF12-$AE12*(1+HD$3))/$AJ12,'Технический лист'!$A:$B,2,1),(HC12-0.05)))</f>
        <v/>
      </c>
      <c r="HE12" s="172">
        <f>MIN(1,MAX(VLOOKUP(($AJ12-$AI12-$AH12-$AG12-$AF12-$AE12*(1+HE$3))/$AJ12,'Технический лист'!$A:$B,2,1),(HD12-0.05)))</f>
        <v/>
      </c>
      <c r="HF12" s="172">
        <f>MIN(1,MAX(VLOOKUP(($AJ12-$AI12-$AH12-$AG12-$AF12-$AE12*(1+HF$3))/$AJ12,'Технический лист'!$A:$B,2,1),(HE12-0.05)))</f>
        <v/>
      </c>
      <c r="HG12" s="172">
        <f>MIN(1,MAX(VLOOKUP(($AJ12-$AI12-$AH12-$AG12-$AF12-$AE12*(1+HG$3))/$AJ12,'Технический лист'!$A:$B,2,1),(HF12-0.05)))</f>
        <v/>
      </c>
      <c r="HH12" s="172">
        <f>MIN(1,MAX(VLOOKUP(($AJ12-$AI12-$AH12-$AG12-$AF12-$AE12*(1+HH$3))/$AJ12,'Технический лист'!$A:$B,2,1),(HG12-0.05)))</f>
        <v/>
      </c>
      <c r="HI12" s="172">
        <f>MIN(1,MAX(VLOOKUP(($AJ12-$AI12-$AH12-$AG12-$AF12-$AE12*(1+HI$3))/$AJ12,'Технический лист'!$A:$B,2,1),(HH12-0.05)))</f>
        <v/>
      </c>
      <c r="HJ12" s="172">
        <f>MIN(1,MAX(VLOOKUP(($AJ12-$AI12-$AH12-$AG12-$AF12-$AE12*(1+HJ$3))/$AJ12,'Технический лист'!$A:$B,2,1),(HI12-0.05)))</f>
        <v/>
      </c>
      <c r="HK12" s="172">
        <f>MIN(1,MAX(VLOOKUP(($AJ12-$AI12-$AH12-$AG12-$AF12-$AE12*(1+HK$3))/$AJ12,'Технический лист'!$A:$B,2,1),(HJ12-0.05)))</f>
        <v/>
      </c>
      <c r="HL12" s="172">
        <f>MIN(1,MAX(VLOOKUP(($AJ12-$AI12-$AH12-$AG12-$AF12-$AE12*(1+HL$3))/$AJ12,'Технический лист'!$A:$B,2,1),(HK12-0.05)))</f>
        <v/>
      </c>
      <c r="HM12" s="172">
        <f>MIN(1,MAX(VLOOKUP(($AJ12-$AI12-$AH12-$AG12-$AF12-$AE12*(1+HM$3))/$AJ12,'Технический лист'!$A:$B,2,1),(HL12-0.05)))</f>
        <v/>
      </c>
      <c r="HN12" s="172">
        <f>MIN(1,MAX(VLOOKUP(($AJ12-$AI12-$AH12-$AG12-$AF12-$AE12*(1+HN$3))/$AJ12,'Технический лист'!$A:$B,2,1),(HM12-0.05)))</f>
        <v/>
      </c>
      <c r="HO12" s="172">
        <f>MIN(1,MAX(VLOOKUP(($AJ12-$AI12-$AH12-$AG12-$AF12-$AE12*(1+HO$3))/$AJ12,'Технический лист'!$A:$B,2,1),(HN12-0.05)))</f>
        <v/>
      </c>
      <c r="HP12" s="172">
        <f>MIN(1,MAX(VLOOKUP(($AJ12-$AI12-$AH12-$AG12-$AF12-$AE12*(1+HP$3))/$AJ12,'Технический лист'!$A:$B,2,1),(HO12-0.05)))</f>
        <v/>
      </c>
      <c r="HQ12" s="172">
        <f>MIN(1,MAX(VLOOKUP(($AJ12-$AI12-$AH12-$AG12-$AF12-$AE12*(1+HQ$3))/$AJ12,'Технический лист'!$A:$B,2,1),(HP12-0.05)))</f>
        <v/>
      </c>
      <c r="HR12" s="172">
        <f>MIN(1,MAX(VLOOKUP(($AJ12-$AI12-$AH12-$AG12-$AF12-$AE12*(1+HR$3))/$AJ12,'Технический лист'!$A:$B,2,1),(HQ12-0.05)))</f>
        <v/>
      </c>
      <c r="HS12" s="172">
        <f>MIN(1,MAX(VLOOKUP(($AJ12-$AI12-$AH12-$AG12-$AF12-$AE12*(1+HS$3))/$AJ12,'Технический лист'!$A:$B,2,1),(HR12-0.05)))</f>
        <v/>
      </c>
      <c r="HT12" s="172">
        <f>MIN(1,MAX(VLOOKUP(($AJ12-$AI12-$AH12-$AG12-$AF12-$AE12*(1+HT$3))/$AJ12,'Технический лист'!$A:$B,2,1),(HS12-0.05)))</f>
        <v/>
      </c>
      <c r="HU12" s="172">
        <f>MIN(1,MAX(VLOOKUP(($AJ12-$AI12-$AH12-$AG12-$AF12-$AE12*(1+HU$3))/$AJ12,'Технический лист'!$A:$B,2,1),(HT12-0.05)))</f>
        <v/>
      </c>
      <c r="HV12" s="172">
        <f>MIN(1,MAX(VLOOKUP(($AJ12-$AI12-$AH12-$AG12-$AF12-$AE12*(1+HV$3))/$AJ12,'Технический лист'!$A:$B,2,1),(HU12-0.05)))</f>
        <v/>
      </c>
      <c r="HW12" s="172">
        <f>MIN(1,MAX(VLOOKUP(($AJ12-$AI12-$AH12-$AG12-$AF12-$AE12*(1+HW$3))/$AJ12,'Технический лист'!$A:$B,2,1),(HV12-0.05)))</f>
        <v/>
      </c>
      <c r="HX12" s="172">
        <f>MIN(1,MAX(VLOOKUP(($AJ12-$AI12-$AH12-$AG12-$AF12-$AE12*(1+HX$3))/$AJ12,'Технический лист'!$A:$B,2,1),(HW12-0.05)))</f>
        <v/>
      </c>
      <c r="HY12" s="172">
        <f>MIN(1,MAX(VLOOKUP(($AJ12-$AI12-$AH12-$AG12-$AF12-$AE12*(1+HY$3))/$AJ12,'Технический лист'!$A:$B,2,1),(HX12-0.05)))</f>
        <v/>
      </c>
      <c r="HZ12" s="172">
        <f>MIN(1,MAX(VLOOKUP(($AJ12-$AI12-$AH12-$AG12-$AF12-$AE12*(1+HZ$3))/$AJ12,'Технический лист'!$A:$B,2,1),(HY12-0.05)))</f>
        <v/>
      </c>
      <c r="IA12" s="172">
        <f>MIN(1,MAX(VLOOKUP(($AJ12-$AI12-$AH12-$AG12-$AF12-$AE12*(1+IA$3))/$AJ12,'Технический лист'!$A:$B,2,1),(HZ12-0.05)))</f>
        <v/>
      </c>
      <c r="IB12" s="172">
        <f>MIN(1,MAX(VLOOKUP(($AJ12-$AI12-$AH12-$AG12-$AF12-$AE12*(1+IB$3))/$AJ12,'Технический лист'!$A:$B,2,1),(IA12-0.05)))</f>
        <v/>
      </c>
      <c r="IC12" s="172">
        <f>MIN(1,MAX(VLOOKUP(($AJ12-$AI12-$AH12-$AG12-$AF12-$AE12*(1+IC$3))/$AJ12,'Технический лист'!$A:$B,2,1),(IB12-0.05)))</f>
        <v/>
      </c>
      <c r="ID12" s="172">
        <f>MIN(1,MAX(VLOOKUP(($AJ12-$AI12-$AH12-$AG12-$AF12-$AE12*(1+ID$3))/$AJ12,'Технический лист'!$A:$B,2,1),(IC12-0.05)))</f>
        <v/>
      </c>
      <c r="IE12" s="172">
        <f>MIN(1,MAX(VLOOKUP(($AJ12-$AI12-$AH12-$AG12-$AF12-$AE12*(1+IE$3))/$AJ12,'Технический лист'!$A:$B,2,1),(ID12-0.05)))</f>
        <v/>
      </c>
      <c r="IF12" s="172">
        <f>MIN(1,MAX(VLOOKUP(($AJ12-$AI12-$AH12-$AG12-$AF12-$AE12*(1+IF$3))/$AJ12,'Технический лист'!$A:$B,2,1),(IE12-0.05)))</f>
        <v/>
      </c>
      <c r="IG12" s="172">
        <f>MIN(1,MAX(VLOOKUP(($AJ12-$AI12-$AH12-$AG12-$AF12-$AE12*(1+IG$3))/$AJ12,'Технический лист'!$A:$B,2,1),(IF12-0.05)))</f>
        <v/>
      </c>
      <c r="IH12" s="172">
        <f>MIN(1,MAX(VLOOKUP(($AJ12-$AI12-$AH12-$AG12-$AF12-$AE12*(1+IH$3))/$AJ12,'Технический лист'!$A:$B,2,1),(IG12-0.05)))</f>
        <v/>
      </c>
      <c r="II12" s="172">
        <f>MIN(1,MAX(VLOOKUP(($AJ12-$AI12-$AH12-$AG12-$AF12-$AE12*(1+II$3))/$AJ12,'Технический лист'!$A:$B,2,1),(IH12-0.05)))</f>
        <v/>
      </c>
      <c r="IJ12" s="172">
        <f>MIN(1,MAX(VLOOKUP(($AJ12-$AI12-$AH12-$AG12-$AF12-$AE12*(1+IJ$3))/$AJ12,'Технический лист'!$A:$B,2,1),(II12-0.05)))</f>
        <v/>
      </c>
      <c r="IK12" s="172">
        <f>MIN(1,MAX(VLOOKUP(($AJ12-$AI12-$AH12-$AG12-$AF12-$AE12*(1+IK$3))/$AJ12,'Технический лист'!$A:$B,2,1),(IJ12-0.05)))</f>
        <v/>
      </c>
      <c r="IL12" s="172">
        <f>MIN(1,MAX(VLOOKUP(($AJ12-$AI12-$AH12-$AG12-$AF12-$AE12*(1+IL$3))/$AJ12,'Технический лист'!$A:$B,2,1),(IK12-0.05)))</f>
        <v/>
      </c>
      <c r="IM12" s="172">
        <f>MIN(1,MAX(VLOOKUP(($AJ12-$AI12-$AH12-$AG12-$AF12-$AE12*(1+IM$3))/$AJ12,'Технический лист'!$A:$B,2,1),(IL12-0.05)))</f>
        <v/>
      </c>
      <c r="IN12" s="172">
        <f>MIN(1,MAX(VLOOKUP(($AJ12-$AI12-$AH12-$AG12-$AF12-$AE12*(1+IN$3))/$AJ12,'Технический лист'!$A:$B,2,1),(IM12-0.05)))</f>
        <v/>
      </c>
      <c r="IO12" s="172">
        <f>MIN(1,MAX(VLOOKUP(($AJ12-$AI12-$AH12-$AG12-$AF12-$AE12*(1+IO$3))/$AJ12,'Технический лист'!$A:$B,2,1),(IN12-0.05)))</f>
        <v/>
      </c>
      <c r="IP12" s="172">
        <f>MIN(1,MAX(VLOOKUP(($AJ12-$AI12-$AH12-$AG12-$AF12-$AE12*(1+IP$3))/$AJ12,'Технический лист'!$A:$B,2,1),(IO12-0.05)))</f>
        <v/>
      </c>
      <c r="IQ12" s="172">
        <f>MIN(1,MAX(VLOOKUP(($AJ12-$AI12-$AH12-$AG12-$AF12-$AE12*(1+IQ$3))/$AJ12,'Технический лист'!$A:$B,2,1),(IP12-0.05)))</f>
        <v/>
      </c>
      <c r="IR12" s="172">
        <f>MIN(1,MAX(VLOOKUP(($AJ12-$AI12-$AH12-$AG12-$AF12-$AE12*(1+IR$3))/$AJ12,'Технический лист'!$A:$B,2,1),(IQ12-0.05)))</f>
        <v/>
      </c>
    </row>
    <row r="13" ht="17.15" customHeight="1" s="123">
      <c r="A13" s="89" t="inlineStr">
        <is>
          <t>ЧМ (сырье)</t>
        </is>
      </c>
      <c r="B13" s="90" t="n">
        <v>2</v>
      </c>
      <c r="C13" s="5" t="inlineStr">
        <is>
          <t>Кокс каменноугольный</t>
        </is>
      </c>
      <c r="D13" s="91" t="n">
        <v>17111</v>
      </c>
      <c r="E13" s="91" t="inlineStr">
        <is>
          <t xml:space="preserve">Кокс электродный </t>
        </is>
      </c>
      <c r="F13" s="92" t="inlineStr">
        <is>
          <t>КОКС КАМЕННОУГОЛЬНЫЙ</t>
        </is>
      </c>
      <c r="G13" s="91" t="inlineStr">
        <is>
          <t>ЗСБ</t>
        </is>
      </c>
      <c r="H13" s="91" t="inlineStr">
        <is>
          <t>ЗСБ</t>
        </is>
      </c>
      <c r="I13" s="91" t="inlineStr">
        <is>
          <t>ПРЕДКОМБИНАТ</t>
        </is>
      </c>
      <c r="J13" s="91" t="inlineStr">
        <is>
          <t>КУЛУНДА-ЭК-Р</t>
        </is>
      </c>
      <c r="K13" s="91" t="n">
        <v>804</v>
      </c>
      <c r="L13" s="91" t="inlineStr">
        <is>
          <t>Полувагоны</t>
        </is>
      </c>
      <c r="M13" s="91" t="inlineStr">
        <is>
          <t>Экспорт</t>
        </is>
      </c>
      <c r="N13" s="91" t="inlineStr">
        <is>
          <t>вагонная</t>
        </is>
      </c>
      <c r="O13" s="91" t="inlineStr">
        <is>
          <t xml:space="preserve">Южное </t>
        </is>
      </c>
      <c r="P13" s="89" t="inlineStr">
        <is>
          <t>'000078553378</t>
        </is>
      </c>
      <c r="Q13" s="91" t="inlineStr">
        <is>
          <t>ООО "УК"ПМХ"</t>
        </is>
      </c>
      <c r="R13" s="91" t="inlineStr">
        <is>
          <t>ООО "УК"ПМХ"</t>
        </is>
      </c>
      <c r="S13" s="87" t="n">
        <v>103613</v>
      </c>
      <c r="T13" s="87" t="n">
        <v>83305004</v>
      </c>
      <c r="U13" s="88" t="n">
        <v>2081</v>
      </c>
      <c r="V13" s="88" t="n">
        <v>0</v>
      </c>
      <c r="W13" s="87" t="n">
        <v>103864531</v>
      </c>
      <c r="X13" s="112" t="n">
        <v>50</v>
      </c>
      <c r="Y13" s="112" t="inlineStr">
        <is>
          <t>групповая</t>
        </is>
      </c>
      <c r="Z13" s="113" t="n">
        <v>6</v>
      </c>
      <c r="AA13" s="113" t="n">
        <v>3</v>
      </c>
      <c r="AB13" s="113" t="n">
        <v>4</v>
      </c>
      <c r="AC13" s="161" t="n">
        <v>1088.32</v>
      </c>
      <c r="AD13" s="161">
        <f>AE13-AC13</f>
        <v/>
      </c>
      <c r="AE13" s="161" t="n">
        <v>1424.38</v>
      </c>
      <c r="AF13" s="162">
        <f>(Z13+AA13+AB13)*'Ставки аренды'!$B$3/X13</f>
        <v/>
      </c>
      <c r="AG13" s="163" t="n">
        <v>0</v>
      </c>
      <c r="AH13" s="164" t="n">
        <v>0</v>
      </c>
      <c r="AI13" s="165">
        <f>0.9*AVERAGE(AJ13,AJ14)</f>
        <v/>
      </c>
      <c r="AJ13" s="166">
        <f>Цены!$C$8*'Курсы валют'!$B$2</f>
        <v/>
      </c>
      <c r="AK13" s="164">
        <f>AJ13/Цены!$B$1</f>
        <v/>
      </c>
      <c r="AL13" s="164">
        <f>AE13+AF13+AG13</f>
        <v/>
      </c>
      <c r="AM13" s="164">
        <f>AJ13-AL13</f>
        <v/>
      </c>
      <c r="AN13" s="164">
        <f>AI13+AH13+AG13+AF13+AE13</f>
        <v/>
      </c>
      <c r="AO13" s="167">
        <f>(AJ13-AN13)/AJ13</f>
        <v/>
      </c>
      <c r="AP13" s="168">
        <f>AL13/AJ13</f>
        <v/>
      </c>
      <c r="AQ13" s="168">
        <f>AE13/AJ13</f>
        <v/>
      </c>
      <c r="AR13" s="168">
        <f>AE13/AL13</f>
        <v/>
      </c>
      <c r="AS13" s="169" t="n">
        <v>1</v>
      </c>
      <c r="AT13" s="121">
        <f>S13*AS13</f>
        <v/>
      </c>
      <c r="AU13" s="83" t="n">
        <v>0.9</v>
      </c>
      <c r="AV13" s="170">
        <f>(AJ13-(AE13*(1+$IS$2)+AF13+AG13+AH13+AI13))/AJ13</f>
        <v/>
      </c>
      <c r="AW13" s="171">
        <f>(AE13*(1+$IS$2)+AF13+AG13)/AJ13</f>
        <v/>
      </c>
      <c r="AX13" s="171">
        <f>(AE13*(1+$IS$2))/AJ13</f>
        <v/>
      </c>
      <c r="AY13" s="171">
        <f>(AE13*(1+$IS$2))/(AE13*(1+$IS$2)+AF13+AG13)</f>
        <v/>
      </c>
      <c r="AZ13" s="172">
        <f>MIN(IF($AU13=100%,1,1+VLOOKUP(($AJ13-$AI13-$AH13-$AG13-$AF13-$AE13*(1+AZ$3))/$AJ13,'Технический лист'!$A:$B,2,1)-VLOOKUP($AO13,'Технический лист'!$A:$B,2,1)),1+(1-$AU13))</f>
        <v/>
      </c>
      <c r="BA13" s="172">
        <f>MIN(IF($AU13=100%,1,1+VLOOKUP(($AJ13-$AI13-$AH13-$AG13-$AF13-$AE13*(1+BA$3))/$AJ13,'Технический лист'!$A:$B,2,1)-VLOOKUP($AO13,'Технический лист'!$A:$B,2,1)),1+(1-$AU13))</f>
        <v/>
      </c>
      <c r="BB13" s="172">
        <f>MIN(IF($AU13=100%,1,1+VLOOKUP(($AJ13-$AI13-$AH13-$AG13-$AF13-$AE13*(1+BB$3))/$AJ13,'Технический лист'!$A:$B,2,1)-VLOOKUP($AO13,'Технический лист'!$A:$B,2,1)),1+(1-$AU13))</f>
        <v/>
      </c>
      <c r="BC13" s="172">
        <f>MIN(IF($AU13=100%,1,1+VLOOKUP(($AJ13-$AI13-$AH13-$AG13-$AF13-$AE13*(1+BC$3))/$AJ13,'Технический лист'!$A:$B,2,1)-VLOOKUP($AO13,'Технический лист'!$A:$B,2,1)),1+(1-$AU13))</f>
        <v/>
      </c>
      <c r="BD13" s="172">
        <f>MIN(IF($AU13=100%,1,1+VLOOKUP(($AJ13-$AI13-$AH13-$AG13-$AF13-$AE13*(1+BD$3))/$AJ13,'Технический лист'!$A:$B,2,1)-VLOOKUP($AO13,'Технический лист'!$A:$B,2,1)),1+(1-$AU13))</f>
        <v/>
      </c>
      <c r="BE13" s="172">
        <f>MIN(IF($AU13=100%,1,1+VLOOKUP(($AJ13-$AI13-$AH13-$AG13-$AF13-$AE13*(1+BE$3))/$AJ13,'Технический лист'!$A:$B,2,1)-VLOOKUP($AO13,'Технический лист'!$A:$B,2,1)),1+(1-$AU13))</f>
        <v/>
      </c>
      <c r="BF13" s="172">
        <f>MIN(IF($AU13=100%,1,1+VLOOKUP(($AJ13-$AI13-$AH13-$AG13-$AF13-$AE13*(1+BF$3))/$AJ13,'Технический лист'!$A:$B,2,1)-VLOOKUP($AO13,'Технический лист'!$A:$B,2,1)),1+(1-$AU13))</f>
        <v/>
      </c>
      <c r="BG13" s="172">
        <f>MIN(IF($AU13=100%,1,1+VLOOKUP(($AJ13-$AI13-$AH13-$AG13-$AF13-$AE13*(1+BG$3))/$AJ13,'Технический лист'!$A:$B,2,1)-VLOOKUP($AO13,'Технический лист'!$A:$B,2,1)),1+(1-$AU13))</f>
        <v/>
      </c>
      <c r="BH13" s="172">
        <f>MIN(IF($AU13=100%,1,1+VLOOKUP(($AJ13-$AI13-$AH13-$AG13-$AF13-$AE13*(1+BH$3))/$AJ13,'Технический лист'!$A:$B,2,1)-VLOOKUP($AO13,'Технический лист'!$A:$B,2,1)),1+(1-$AU13))</f>
        <v/>
      </c>
      <c r="BI13" s="172">
        <f>MIN(IF($AU13=100%,1,1+VLOOKUP(($AJ13-$AI13-$AH13-$AG13-$AF13-$AE13*(1+BI$3))/$AJ13,'Технический лист'!$A:$B,2,1)-VLOOKUP($AO13,'Технический лист'!$A:$B,2,1)),1+(1-$AU13))</f>
        <v/>
      </c>
      <c r="BJ13" s="172">
        <f>MIN(IF($AU13=100%,1,1+VLOOKUP(($AJ13-$AI13-$AH13-$AG13-$AF13-$AE13*(1+BJ$3))/$AJ13,'Технический лист'!$A:$B,2,1)-VLOOKUP($AO13,'Технический лист'!$A:$B,2,1)),1+(1-$AU13))</f>
        <v/>
      </c>
      <c r="BK13" s="172">
        <f>MIN(IF($AU13=100%,1,1+VLOOKUP(($AJ13-$AI13-$AH13-$AG13-$AF13-$AE13*(1+BK$3))/$AJ13,'Технический лист'!$A:$B,2,1)-VLOOKUP($AO13,'Технический лист'!$A:$B,2,1)),1+(1-$AU13))</f>
        <v/>
      </c>
      <c r="BL13" s="172">
        <f>MIN(IF($AU13=100%,1,1+VLOOKUP(($AJ13-$AI13-$AH13-$AG13-$AF13-$AE13*(1+BL$3))/$AJ13,'Технический лист'!$A:$B,2,1)-VLOOKUP($AO13,'Технический лист'!$A:$B,2,1)),1+(1-$AU13))</f>
        <v/>
      </c>
      <c r="BM13" s="172">
        <f>MIN(IF($AU13=100%,1,1+VLOOKUP(($AJ13-$AI13-$AH13-$AG13-$AF13-$AE13*(1+BM$3))/$AJ13,'Технический лист'!$A:$B,2,1)-VLOOKUP($AO13,'Технический лист'!$A:$B,2,1)),1+(1-$AU13))</f>
        <v/>
      </c>
      <c r="BN13" s="172">
        <f>MIN(IF($AU13=100%,1,1+VLOOKUP(($AJ13-$AI13-$AH13-$AG13-$AF13-$AE13*(1+BN$3))/$AJ13,'Технический лист'!$A:$B,2,1)-VLOOKUP($AO13,'Технический лист'!$A:$B,2,1)),1+(1-$AU13))</f>
        <v/>
      </c>
      <c r="BO13" s="172">
        <f>MIN(IF($AU13=100%,1,1+VLOOKUP(($AJ13-$AI13-$AH13-$AG13-$AF13-$AE13*(1+BO$3))/$AJ13,'Технический лист'!$A:$B,2,1)-VLOOKUP($AO13,'Технический лист'!$A:$B,2,1)),1+(1-$AU13))</f>
        <v/>
      </c>
      <c r="BP13" s="172">
        <f>MIN(IF($AU13=100%,1,1+VLOOKUP(($AJ13-$AI13-$AH13-$AG13-$AF13-$AE13*(1+BP$3))/$AJ13,'Технический лист'!$A:$B,2,1)-VLOOKUP($AO13,'Технический лист'!$A:$B,2,1)),1+(1-$AU13))</f>
        <v/>
      </c>
      <c r="BQ13" s="172">
        <f>MIN(IF($AU13=100%,1,1+VLOOKUP(($AJ13-$AI13-$AH13-$AG13-$AF13-$AE13*(1+BQ$3))/$AJ13,'Технический лист'!$A:$B,2,1)-VLOOKUP($AO13,'Технический лист'!$A:$B,2,1)),1+(1-$AU13))</f>
        <v/>
      </c>
      <c r="BR13" s="172">
        <f>MIN(IF($AU13=100%,1,1+VLOOKUP(($AJ13-$AI13-$AH13-$AG13-$AF13-$AE13*(1+BR$3))/$AJ13,'Технический лист'!$A:$B,2,1)-VLOOKUP($AO13,'Технический лист'!$A:$B,2,1)),1+(1-$AU13))</f>
        <v/>
      </c>
      <c r="BS13" s="172">
        <f>MIN(IF($AU13=100%,1,1+VLOOKUP(($AJ13-$AI13-$AH13-$AG13-$AF13-$AE13*(1+BS$3))/$AJ13,'Технический лист'!$A:$B,2,1)-VLOOKUP($AO13,'Технический лист'!$A:$B,2,1)),1+(1-$AU13))</f>
        <v/>
      </c>
      <c r="BT13" s="172">
        <f>MIN(IF($AU13=100%,1,1+VLOOKUP(($AJ13-$AI13-$AH13-$AG13-$AF13-$AE13*(1+BT$3))/$AJ13,'Технический лист'!$A:$B,2,1)-VLOOKUP($AO13,'Технический лист'!$A:$B,2,1)),1+(1-$AU13))</f>
        <v/>
      </c>
      <c r="BU13" s="172">
        <f>MIN(IF($AU13=100%,1,1+VLOOKUP(($AJ13-$AI13-$AH13-$AG13-$AF13-$AE13*(1+BU$3))/$AJ13,'Технический лист'!$A:$B,2,1)-VLOOKUP($AO13,'Технический лист'!$A:$B,2,1)),1+(1-$AU13))</f>
        <v/>
      </c>
      <c r="BV13" s="172">
        <f>MIN(IF($AU13=100%,1,1+VLOOKUP(($AJ13-$AI13-$AH13-$AG13-$AF13-$AE13*(1+BV$3))/$AJ13,'Технический лист'!$A:$B,2,1)-VLOOKUP($AO13,'Технический лист'!$A:$B,2,1)),1+(1-$AU13))</f>
        <v/>
      </c>
      <c r="BW13" s="172">
        <f>MIN(IF($AU13=100%,1,1+VLOOKUP(($AJ13-$AI13-$AH13-$AG13-$AF13-$AE13*(1+BW$3))/$AJ13,'Технический лист'!$A:$B,2,1)-VLOOKUP($AO13,'Технический лист'!$A:$B,2,1)),1+(1-$AU13))</f>
        <v/>
      </c>
      <c r="BX13" s="172">
        <f>MIN(IF($AU13=100%,1,1+VLOOKUP(($AJ13-$AI13-$AH13-$AG13-$AF13-$AE13*(1+BX$3))/$AJ13,'Технический лист'!$A:$B,2,1)-VLOOKUP($AO13,'Технический лист'!$A:$B,2,1)),1+(1-$AU13))</f>
        <v/>
      </c>
      <c r="BY13" s="172">
        <f>MIN(IF($AU13=100%,1,1+VLOOKUP(($AJ13-$AI13-$AH13-$AG13-$AF13-$AE13*(1+BY$3))/$AJ13,'Технический лист'!$A:$B,2,1)-VLOOKUP($AO13,'Технический лист'!$A:$B,2,1)),1+(1-$AU13))</f>
        <v/>
      </c>
      <c r="BZ13" s="172">
        <f>MIN(IF($AU13=100%,1,1+VLOOKUP(($AJ13-$AI13-$AH13-$AG13-$AF13-$AE13*(1+BZ$3))/$AJ13,'Технический лист'!$A:$B,2,1)-VLOOKUP($AO13,'Технический лист'!$A:$B,2,1)),1+(1-$AU13))</f>
        <v/>
      </c>
      <c r="CA13" s="172">
        <f>MIN(IF($AU13=100%,1,1+VLOOKUP(($AJ13-$AI13-$AH13-$AG13-$AF13-$AE13*(1+CA$3))/$AJ13,'Технический лист'!$A:$B,2,1)-VLOOKUP($AO13,'Технический лист'!$A:$B,2,1)),1+(1-$AU13))</f>
        <v/>
      </c>
      <c r="CB13" s="172">
        <f>MIN(IF($AU13=100%,1,1+VLOOKUP(($AJ13-$AI13-$AH13-$AG13-$AF13-$AE13*(1+CB$3))/$AJ13,'Технический лист'!$A:$B,2,1)-VLOOKUP($AO13,'Технический лист'!$A:$B,2,1)),1+(1-$AU13))</f>
        <v/>
      </c>
      <c r="CC13" s="172">
        <f>MIN(IF($AU13=100%,1,1+VLOOKUP(($AJ13-$AI13-$AH13-$AG13-$AF13-$AE13*(1+CC$3))/$AJ13,'Технический лист'!$A:$B,2,1)-VLOOKUP($AO13,'Технический лист'!$A:$B,2,1)),1+(1-$AU13))</f>
        <v/>
      </c>
      <c r="CD13" s="172">
        <f>MIN(IF($AU13=100%,1,1+VLOOKUP(($AJ13-$AI13-$AH13-$AG13-$AF13-$AE13*(1+CD$3))/$AJ13,'Технический лист'!$A:$B,2,1)-VLOOKUP($AO13,'Технический лист'!$A:$B,2,1)),1+(1-$AU13))</f>
        <v/>
      </c>
      <c r="CE13" s="172">
        <f>MIN(IF($AU13=100%,1,1+VLOOKUP(($AJ13-$AI13-$AH13-$AG13-$AF13-$AE13*(1+CE$3))/$AJ13,'Технический лист'!$A:$B,2,1)-VLOOKUP($AO13,'Технический лист'!$A:$B,2,1)),1+(1-$AU13))</f>
        <v/>
      </c>
      <c r="CF13" s="172">
        <f>MIN(IF($AU13=100%,1,1+VLOOKUP(($AJ13-$AI13-$AH13-$AG13-$AF13-$AE13*(1+CF$3))/$AJ13,'Технический лист'!$A:$B,2,1)-VLOOKUP($AO13,'Технический лист'!$A:$B,2,1)),1+(1-$AU13))</f>
        <v/>
      </c>
      <c r="CG13" s="172">
        <f>MIN(IF($AU13=100%,1,1+VLOOKUP(($AJ13-$AI13-$AH13-$AG13-$AF13-$AE13*(1+CG$3))/$AJ13,'Технический лист'!$A:$B,2,1)-VLOOKUP($AO13,'Технический лист'!$A:$B,2,1)),1+(1-$AU13))</f>
        <v/>
      </c>
      <c r="CH13" s="172">
        <f>MIN(IF($AU13=100%,1,1+VLOOKUP(($AJ13-$AI13-$AH13-$AG13-$AF13-$AE13*(1+CH$3))/$AJ13,'Технический лист'!$A:$B,2,1)-VLOOKUP($AO13,'Технический лист'!$A:$B,2,1)),1+(1-$AU13))</f>
        <v/>
      </c>
      <c r="CI13" s="172">
        <f>MIN(IF($AU13=100%,1,1+VLOOKUP(($AJ13-$AI13-$AH13-$AG13-$AF13-$AE13*(1+CI$3))/$AJ13,'Технический лист'!$A:$B,2,1)-VLOOKUP($AO13,'Технический лист'!$A:$B,2,1)),1+(1-$AU13))</f>
        <v/>
      </c>
      <c r="CJ13" s="172">
        <f>MIN(IF($AU13=100%,1,1+VLOOKUP(($AJ13-$AI13-$AH13-$AG13-$AF13-$AE13*(1+CJ$3))/$AJ13,'Технический лист'!$A:$B,2,1)-VLOOKUP($AO13,'Технический лист'!$A:$B,2,1)),1+(1-$AU13))</f>
        <v/>
      </c>
      <c r="CK13" s="172">
        <f>MIN(IF($AU13=100%,1,1+VLOOKUP(($AJ13-$AI13-$AH13-$AG13-$AF13-$AE13*(1+CK$3))/$AJ13,'Технический лист'!$A:$B,2,1)-VLOOKUP($AO13,'Технический лист'!$A:$B,2,1)),1+(1-$AU13))</f>
        <v/>
      </c>
      <c r="CL13" s="172">
        <f>MIN(IF($AU13=100%,1,1+VLOOKUP(($AJ13-$AI13-$AH13-$AG13-$AF13-$AE13*(1+CL$3))/$AJ13,'Технический лист'!$A:$B,2,1)-VLOOKUP($AO13,'Технический лист'!$A:$B,2,1)),1+(1-$AU13))</f>
        <v/>
      </c>
      <c r="CM13" s="172">
        <f>MIN(IF($AU13=100%,1,1+VLOOKUP(($AJ13-$AI13-$AH13-$AG13-$AF13-$AE13*(1+CM$3))/$AJ13,'Технический лист'!$A:$B,2,1)-VLOOKUP($AO13,'Технический лист'!$A:$B,2,1)),1+(1-$AU13))</f>
        <v/>
      </c>
      <c r="CN13" s="172">
        <f>MIN(IF($AU13=100%,1,1+VLOOKUP(($AJ13-$AI13-$AH13-$AG13-$AF13-$AE13*(1+CN$3))/$AJ13,'Технический лист'!$A:$B,2,1)-VLOOKUP($AO13,'Технический лист'!$A:$B,2,1)),1+(1-$AU13))</f>
        <v/>
      </c>
      <c r="CO13" s="172">
        <f>MIN(IF($AU13=100%,1,1+VLOOKUP(($AJ13-$AI13-$AH13-$AG13-$AF13-$AE13*(1+CO$3))/$AJ13,'Технический лист'!$A:$B,2,1)-VLOOKUP($AO13,'Технический лист'!$A:$B,2,1)),1+(1-$AU13))</f>
        <v/>
      </c>
      <c r="CP13" s="172">
        <f>MIN(IF($AU13=100%,1,1+VLOOKUP(($AJ13-$AI13-$AH13-$AG13-$AF13-$AE13*(1+CP$3))/$AJ13,'Технический лист'!$A:$B,2,1)-VLOOKUP($AO13,'Технический лист'!$A:$B,2,1)),1+(1-$AU13))</f>
        <v/>
      </c>
      <c r="CQ13" s="172">
        <f>MIN(IF($AU13=100%,1,1+VLOOKUP(($AJ13-$AI13-$AH13-$AG13-$AF13-$AE13*(1+CQ$3))/$AJ13,'Технический лист'!$A:$B,2,1)-VLOOKUP($AO13,'Технический лист'!$A:$B,2,1)),1+(1-$AU13))</f>
        <v/>
      </c>
      <c r="CR13" s="172">
        <f>MIN(IF($AU13=100%,1,1+VLOOKUP(($AJ13-$AI13-$AH13-$AG13-$AF13-$AE13*(1+CR$3))/$AJ13,'Технический лист'!$A:$B,2,1)-VLOOKUP($AO13,'Технический лист'!$A:$B,2,1)),1+(1-$AU13))</f>
        <v/>
      </c>
      <c r="CS13" s="172">
        <f>MIN(IF($AU13=100%,1,1+VLOOKUP(($AJ13-$AI13-$AH13-$AG13-$AF13-$AE13*(1+CS$3))/$AJ13,'Технический лист'!$A:$B,2,1)-VLOOKUP($AO13,'Технический лист'!$A:$B,2,1)),1+(1-$AU13))</f>
        <v/>
      </c>
      <c r="CT13" s="172">
        <f>MIN(IF($AU13=100%,1,1+VLOOKUP(($AJ13-$AI13-$AH13-$AG13-$AF13-$AE13*(1+CT$3))/$AJ13,'Технический лист'!$A:$B,2,1)-VLOOKUP($AO13,'Технический лист'!$A:$B,2,1)),1+(1-$AU13))</f>
        <v/>
      </c>
      <c r="CU13" s="172">
        <f>MIN(IF($AU13=100%,1,1+VLOOKUP(($AJ13-$AI13-$AH13-$AG13-$AF13-$AE13*(1+CU$3))/$AJ13,'Технический лист'!$A:$B,2,1)-VLOOKUP($AO13,'Технический лист'!$A:$B,2,1)),1+(1-$AU13))</f>
        <v/>
      </c>
      <c r="CV13" s="172">
        <f>MIN(IF($AU13=100%,1,1+VLOOKUP(($AJ13-$AI13-$AH13-$AG13-$AF13-$AE13*(1+CV$3))/$AJ13,'Технический лист'!$A:$B,2,1)-VLOOKUP($AO13,'Технический лист'!$A:$B,2,1)),1+(1-$AU13))</f>
        <v/>
      </c>
      <c r="CW13" s="172">
        <f>MIN(IF($AU13=100%,1,1+VLOOKUP(($AJ13-$AI13-$AH13-$AG13-$AF13-$AE13*(1+CW$3))/$AJ13,'Технический лист'!$A:$B,2,1)-VLOOKUP($AO13,'Технический лист'!$A:$B,2,1)),1+(1-$AU13))</f>
        <v/>
      </c>
      <c r="CX13" s="172">
        <f>MIN(IF($AU13=100%,1,1+VLOOKUP(($AJ13-$AI13-$AH13-$AG13-$AF13-$AE13*(1+CX$3))/$AJ13,'Технический лист'!$A:$B,2,1)-VLOOKUP($AO13,'Технический лист'!$A:$B,2,1)),1+(1-$AU13))</f>
        <v/>
      </c>
      <c r="CY13" s="172">
        <f>MIN(IF($AU13=100%,1,1+VLOOKUP(($AJ13-$AI13-$AH13-$AG13-$AF13-$AE13*(1+CY$3))/$AJ13,'Технический лист'!$A:$B,2,1)-VLOOKUP($AO13,'Технический лист'!$A:$B,2,1)),1+(1-$AU13))</f>
        <v/>
      </c>
      <c r="CZ13" s="172">
        <f>MIN(IF($AU13=100%,1,1+VLOOKUP(($AJ13-$AI13-$AH13-$AG13-$AF13-$AE13*(1+CZ$3))/$AJ13,'Технический лист'!$A:$B,2,1)-VLOOKUP($AO13,'Технический лист'!$A:$B,2,1)),1+(1-$AU13))</f>
        <v/>
      </c>
      <c r="DA13" s="172">
        <f>MIN(IF($AU13=100%,1,1+VLOOKUP(($AJ13-$AI13-$AH13-$AG13-$AF13-$AE13*(1+DA$3))/$AJ13,'Технический лист'!$A:$B,2,1)-VLOOKUP($AO13,'Технический лист'!$A:$B,2,1)),1+(1-$AU13))</f>
        <v/>
      </c>
      <c r="DB13" s="172">
        <f>MIN(IF($AU13=100%,1,1+VLOOKUP(($AJ13-$AI13-$AH13-$AG13-$AF13-$AE13*(1+DB$3))/$AJ13,'Технический лист'!$A:$B,2,1)-VLOOKUP($AO13,'Технический лист'!$A:$B,2,1)),1+(1-$AU13))</f>
        <v/>
      </c>
      <c r="DC13" s="172">
        <f>MIN(IF($AU13=100%,1,1+VLOOKUP(($AJ13-$AI13-$AH13-$AG13-$AF13-$AE13*(1+DC$3))/$AJ13,'Технический лист'!$A:$B,2,1)-VLOOKUP($AO13,'Технический лист'!$A:$B,2,1)),1+(1-$AU13))</f>
        <v/>
      </c>
      <c r="DD13" s="172">
        <f>MIN(IF($AU13=100%,1,1+VLOOKUP(($AJ13-$AI13-$AH13-$AG13-$AF13-$AE13*(1+DD$3))/$AJ13,'Технический лист'!$A:$B,2,1)-VLOOKUP($AO13,'Технический лист'!$A:$B,2,1)),1+(1-$AU13))</f>
        <v/>
      </c>
      <c r="DE13" s="172">
        <f>MIN(IF($AU13=100%,1,1+VLOOKUP(($AJ13-$AI13-$AH13-$AG13-$AF13-$AE13*(1+DE$3))/$AJ13,'Технический лист'!$A:$B,2,1)-VLOOKUP($AO13,'Технический лист'!$A:$B,2,1)),1+(1-$AU13))</f>
        <v/>
      </c>
      <c r="DF13" s="172">
        <f>MIN(IF($AU13=100%,1,1+VLOOKUP(($AJ13-$AI13-$AH13-$AG13-$AF13-$AE13*(1+DF$3))/$AJ13,'Технический лист'!$A:$B,2,1)-VLOOKUP($AO13,'Технический лист'!$A:$B,2,1)),1+(1-$AU13))</f>
        <v/>
      </c>
      <c r="DG13" s="172">
        <f>MIN(IF($AU13=100%,1,1+VLOOKUP(($AJ13-$AI13-$AH13-$AG13-$AF13-$AE13*(1+DG$3))/$AJ13,'Технический лист'!$A:$B,2,1)-VLOOKUP($AO13,'Технический лист'!$A:$B,2,1)),1+(1-$AU13))</f>
        <v/>
      </c>
      <c r="DH13" s="172">
        <f>MIN(IF($AU13=100%,1,1+VLOOKUP(($AJ13-$AI13-$AH13-$AG13-$AF13-$AE13*(1+DH$3))/$AJ13,'Технический лист'!$A:$B,2,1)-VLOOKUP($AO13,'Технический лист'!$A:$B,2,1)),1+(1-$AU13))</f>
        <v/>
      </c>
      <c r="DI13" s="172">
        <f>MIN(IF($AU13=100%,1,1+VLOOKUP(($AJ13-$AI13-$AH13-$AG13-$AF13-$AE13*(1+DI$3))/$AJ13,'Технический лист'!$A:$B,2,1)-VLOOKUP($AO13,'Технический лист'!$A:$B,2,1)),1+(1-$AU13))</f>
        <v/>
      </c>
      <c r="DJ13" s="172">
        <f>MIN(IF($AU13=100%,1,1+VLOOKUP(($AJ13-$AI13-$AH13-$AG13-$AF13-$AE13*(1+DJ$3))/$AJ13,'Технический лист'!$A:$B,2,1)-VLOOKUP($AO13,'Технический лист'!$A:$B,2,1)),1+(1-$AU13))</f>
        <v/>
      </c>
      <c r="DK13" s="172">
        <f>MIN(IF($AU13=100%,1,1+VLOOKUP(($AJ13-$AI13-$AH13-$AG13-$AF13-$AE13*(1+DK$3))/$AJ13,'Технический лист'!$A:$B,2,1)-VLOOKUP($AO13,'Технический лист'!$A:$B,2,1)),1+(1-$AU13))</f>
        <v/>
      </c>
      <c r="DL13" s="172">
        <f>MIN(IF($AU13=100%,1,1+VLOOKUP(($AJ13-$AI13-$AH13-$AG13-$AF13-$AE13*(1+DL$3))/$AJ13,'Технический лист'!$A:$B,2,1)-VLOOKUP($AO13,'Технический лист'!$A:$B,2,1)),1+(1-$AU13))</f>
        <v/>
      </c>
      <c r="DM13" s="172">
        <f>MIN(IF($AU13=100%,1,1+VLOOKUP(($AJ13-$AI13-$AH13-$AG13-$AF13-$AE13*(1+DM$3))/$AJ13,'Технический лист'!$A:$B,2,1)-VLOOKUP($AO13,'Технический лист'!$A:$B,2,1)),1+(1-$AU13))</f>
        <v/>
      </c>
      <c r="DN13" s="172">
        <f>MIN(IF($AU13=100%,1,1+VLOOKUP(($AJ13-$AI13-$AH13-$AG13-$AF13-$AE13*(1+DN$3))/$AJ13,'Технический лист'!$A:$B,2,1)-VLOOKUP($AO13,'Технический лист'!$A:$B,2,1)),1+(1-$AU13))</f>
        <v/>
      </c>
      <c r="DO13" s="172">
        <f>MIN(IF($AU13=100%,1,1+VLOOKUP(($AJ13-$AI13-$AH13-$AG13-$AF13-$AE13*(1+DO$3))/$AJ13,'Технический лист'!$A:$B,2,1)-VLOOKUP($AO13,'Технический лист'!$A:$B,2,1)),1+(1-$AU13))</f>
        <v/>
      </c>
      <c r="DP13" s="172">
        <f>MIN(IF($AU13=100%,1,1+VLOOKUP(($AJ13-$AI13-$AH13-$AG13-$AF13-$AE13*(1+DP$3))/$AJ13,'Технический лист'!$A:$B,2,1)-VLOOKUP($AO13,'Технический лист'!$A:$B,2,1)),1+(1-$AU13))</f>
        <v/>
      </c>
      <c r="DQ13" s="172">
        <f>MIN(IF($AU13=100%,1,1+VLOOKUP(($AJ13-$AI13-$AH13-$AG13-$AF13-$AE13*(1+DQ$3))/$AJ13,'Технический лист'!$A:$B,2,1)-VLOOKUP($AO13,'Технический лист'!$A:$B,2,1)),1+(1-$AU13))</f>
        <v/>
      </c>
      <c r="DR13" s="172">
        <f>MIN(IF($AU13=100%,1,1+VLOOKUP(($AJ13-$AI13-$AH13-$AG13-$AF13-$AE13*(1+DR$3))/$AJ13,'Технический лист'!$A:$B,2,1)-VLOOKUP($AO13,'Технический лист'!$A:$B,2,1)),1+(1-$AU13))</f>
        <v/>
      </c>
      <c r="DS13" s="172">
        <f>MIN(IF($AU13=100%,1,1+VLOOKUP(($AJ13-$AI13-$AH13-$AG13-$AF13-$AE13*(1+DS$3))/$AJ13,'Технический лист'!$A:$B,2,1)-VLOOKUP($AO13,'Технический лист'!$A:$B,2,1)),1+(1-$AU13))</f>
        <v/>
      </c>
      <c r="DT13" s="172">
        <f>MIN(IF($AU13=100%,1,1+VLOOKUP(($AJ13-$AI13-$AH13-$AG13-$AF13-$AE13*(1+DT$3))/$AJ13,'Технический лист'!$A:$B,2,1)-VLOOKUP($AO13,'Технический лист'!$A:$B,2,1)),1+(1-$AU13))</f>
        <v/>
      </c>
      <c r="DU13" s="172">
        <f>MIN(IF($AU13=100%,1,1+VLOOKUP(($AJ13-$AI13-$AH13-$AG13-$AF13-$AE13*(1+DU$3))/$AJ13,'Технический лист'!$A:$B,2,1)-VLOOKUP($AO13,'Технический лист'!$A:$B,2,1)),1+(1-$AU13))</f>
        <v/>
      </c>
      <c r="DV13" s="172">
        <f>MIN(IF($AU13=100%,1,1+VLOOKUP(($AJ13-$AI13-$AH13-$AG13-$AF13-$AE13*(1+DV$3))/$AJ13,'Технический лист'!$A:$B,2,1)-VLOOKUP($AO13,'Технический лист'!$A:$B,2,1)),1+(1-$AU13))</f>
        <v/>
      </c>
      <c r="DW13" s="172">
        <f>MIN(IF($AU13=100%,1,1+VLOOKUP(($AJ13-$AI13-$AH13-$AG13-$AF13-$AE13*(1+DW$3))/$AJ13,'Технический лист'!$A:$B,2,1)-VLOOKUP($AO13,'Технический лист'!$A:$B,2,1)),1+(1-$AU13))</f>
        <v/>
      </c>
      <c r="DX13" s="172">
        <f>MIN(IF($AU13=100%,1,1+VLOOKUP(($AJ13-$AI13-$AH13-$AG13-$AF13-$AE13*(1+DX$3))/$AJ13,'Технический лист'!$A:$B,2,1)-VLOOKUP($AO13,'Технический лист'!$A:$B,2,1)),1+(1-$AU13))</f>
        <v/>
      </c>
      <c r="DY13" s="172">
        <f>MIN(IF($AU13=100%,1,1+VLOOKUP(($AJ13-$AI13-$AH13-$AG13-$AF13-$AE13*(1+DY$3))/$AJ13,'Технический лист'!$A:$B,2,1)-VLOOKUP($AO13,'Технический лист'!$A:$B,2,1)),1+(1-$AU13))</f>
        <v/>
      </c>
      <c r="DZ13" s="172">
        <f>MIN(IF($AU13=100%,1,1+VLOOKUP(($AJ13-$AI13-$AH13-$AG13-$AF13-$AE13*(1+DZ$3))/$AJ13,'Технический лист'!$A:$B,2,1)-VLOOKUP($AO13,'Технический лист'!$A:$B,2,1)),1+(1-$AU13))</f>
        <v/>
      </c>
      <c r="EA13" s="172">
        <f>MIN(IF($AU13=100%,1,1+VLOOKUP(($AJ13-$AI13-$AH13-$AG13-$AF13-$AE13*(1+EA$3))/$AJ13,'Технический лист'!$A:$B,2,1)-VLOOKUP($AO13,'Технический лист'!$A:$B,2,1)),1+(1-$AU13))</f>
        <v/>
      </c>
      <c r="EB13" s="172">
        <f>MIN(IF($AU13=100%,1,1+VLOOKUP(($AJ13-$AI13-$AH13-$AG13-$AF13-$AE13*(1+EB$3))/$AJ13,'Технический лист'!$A:$B,2,1)-VLOOKUP($AO13,'Технический лист'!$A:$B,2,1)),1+(1-$AU13))</f>
        <v/>
      </c>
      <c r="EC13" s="172">
        <f>MIN(IF($AU13=100%,1,1+VLOOKUP(($AJ13-$AI13-$AH13-$AG13-$AF13-$AE13*(1+EC$3))/$AJ13,'Технический лист'!$A:$B,2,1)-VLOOKUP($AO13,'Технический лист'!$A:$B,2,1)),1+(1-$AU13))</f>
        <v/>
      </c>
      <c r="ED13" s="172">
        <f>MIN(IF($AU13=100%,1,1+VLOOKUP(($AJ13-$AI13-$AH13-$AG13-$AF13-$AE13*(1+ED$3))/$AJ13,'Технический лист'!$A:$B,2,1)-VLOOKUP($AO13,'Технический лист'!$A:$B,2,1)),1+(1-$AU13))</f>
        <v/>
      </c>
      <c r="EE13" s="172">
        <f>MIN(IF($AU13=100%,1,1+VLOOKUP(($AJ13-$AI13-$AH13-$AG13-$AF13-$AE13*(1+EE$3))/$AJ13,'Технический лист'!$A:$B,2,1)-VLOOKUP($AO13,'Технический лист'!$A:$B,2,1)),1+(1-$AU13))</f>
        <v/>
      </c>
      <c r="EF13" s="172">
        <f>MIN(IF($AU13=100%,1,1+VLOOKUP(($AJ13-$AI13-$AH13-$AG13-$AF13-$AE13*(1+EF$3))/$AJ13,'Технический лист'!$A:$B,2,1)-VLOOKUP($AO13,'Технический лист'!$A:$B,2,1)),1+(1-$AU13))</f>
        <v/>
      </c>
      <c r="EG13" s="172">
        <f>MIN(IF($AU13=100%,1,1+VLOOKUP(($AJ13-$AI13-$AH13-$AG13-$AF13-$AE13*(1+EG$3))/$AJ13,'Технический лист'!$A:$B,2,1)-VLOOKUP($AO13,'Технический лист'!$A:$B,2,1)),1+(1-$AU13))</f>
        <v/>
      </c>
      <c r="EH13" s="172">
        <f>MIN(IF($AU13=100%,1,1+VLOOKUP(($AJ13-$AI13-$AH13-$AG13-$AF13-$AE13*(1+EH$3))/$AJ13,'Технический лист'!$A:$B,2,1)-VLOOKUP($AO13,'Технический лист'!$A:$B,2,1)),1+(1-$AU13))</f>
        <v/>
      </c>
      <c r="EI13" s="172">
        <f>MIN(IF($AU13=100%,1,1+VLOOKUP(($AJ13-$AI13-$AH13-$AG13-$AF13-$AE13*(1+EI$3))/$AJ13,'Технический лист'!$A:$B,2,1)-VLOOKUP($AO13,'Технический лист'!$A:$B,2,1)),1+(1-$AU13))</f>
        <v/>
      </c>
      <c r="EJ13" s="172">
        <f>MIN(IF($AU13=100%,1,1+VLOOKUP(($AJ13-$AI13-$AH13-$AG13-$AF13-$AE13*(1+EJ$3))/$AJ13,'Технический лист'!$A:$B,2,1)-VLOOKUP($AO13,'Технический лист'!$A:$B,2,1)),1+(1-$AU13))</f>
        <v/>
      </c>
      <c r="EK13" s="172">
        <f>MIN(IF($AU13=100%,1,1+VLOOKUP(($AJ13-$AI13-$AH13-$AG13-$AF13-$AE13*(1+EK$3))/$AJ13,'Технический лист'!$A:$B,2,1)-VLOOKUP($AO13,'Технический лист'!$A:$B,2,1)),1+(1-$AU13))</f>
        <v/>
      </c>
      <c r="EL13" s="172">
        <f>MIN(IF($AU13=100%,1,1+VLOOKUP(($AJ13-$AI13-$AH13-$AG13-$AF13-$AE13*(1+EL$3))/$AJ13,'Технический лист'!$A:$B,2,1)-VLOOKUP($AO13,'Технический лист'!$A:$B,2,1)),1+(1-$AU13))</f>
        <v/>
      </c>
      <c r="EM13" s="172">
        <f>MIN(IF($AU13=100%,1,1+VLOOKUP(($AJ13-$AI13-$AH13-$AG13-$AF13-$AE13*(1+EM$3))/$AJ13,'Технический лист'!$A:$B,2,1)-VLOOKUP($AO13,'Технический лист'!$A:$B,2,1)),1+(1-$AU13))</f>
        <v/>
      </c>
      <c r="EN13" s="172">
        <f>MIN(IF($AU13=100%,1,1+VLOOKUP(($AJ13-$AI13-$AH13-$AG13-$AF13-$AE13*(1+EN$3))/$AJ13,'Технический лист'!$A:$B,2,1)-VLOOKUP($AO13,'Технический лист'!$A:$B,2,1)),1+(1-$AU13))</f>
        <v/>
      </c>
      <c r="EO13" s="172">
        <f>MIN(IF($AU13=100%,1,1+VLOOKUP(($AJ13-$AI13-$AH13-$AG13-$AF13-$AE13*(1+EO$3))/$AJ13,'Технический лист'!$A:$B,2,1)-VLOOKUP($AO13,'Технический лист'!$A:$B,2,1)),1+(1-$AU13))</f>
        <v/>
      </c>
      <c r="EP13" s="172">
        <f>MIN(IF($AU13=100%,1,1+VLOOKUP(($AJ13-$AI13-$AH13-$AG13-$AF13-$AE13*(1+EP$3))/$AJ13,'Технический лист'!$A:$B,2,1)-VLOOKUP($AO13,'Технический лист'!$A:$B,2,1)),1+(1-$AU13))</f>
        <v/>
      </c>
      <c r="EQ13" s="172">
        <f>MIN(IF($AU13=100%,1,1+VLOOKUP(($AJ13-$AI13-$AH13-$AG13-$AF13-$AE13*(1+EQ$3))/$AJ13,'Технический лист'!$A:$B,2,1)-VLOOKUP($AO13,'Технический лист'!$A:$B,2,1)),1+(1-$AU13))</f>
        <v/>
      </c>
      <c r="ER13" s="172">
        <f>MIN(IF($AU13=100%,1,1+VLOOKUP(($AJ13-$AI13-$AH13-$AG13-$AF13-$AE13*(1+ER$3))/$AJ13,'Технический лист'!$A:$B,2,1)-VLOOKUP($AO13,'Технический лист'!$A:$B,2,1)),1+(1-$AU13))</f>
        <v/>
      </c>
      <c r="ES13" s="172">
        <f>MIN(IF($AU13=100%,1,1+VLOOKUP(($AJ13-$AI13-$AH13-$AG13-$AF13-$AE13*(1+ES$3))/$AJ13,'Технический лист'!$A:$B,2,1)-VLOOKUP($AO13,'Технический лист'!$A:$B,2,1)),1+(1-$AU13))</f>
        <v/>
      </c>
      <c r="ET13" s="172">
        <f>MIN(IF($AU13=100%,1,1+VLOOKUP(($AJ13-$AI13-$AH13-$AG13-$AF13-$AE13*(1+ET$3))/$AJ13,'Технический лист'!$A:$B,2,1)-VLOOKUP($AO13,'Технический лист'!$A:$B,2,1)),1+(1-$AU13))</f>
        <v/>
      </c>
      <c r="EU13" s="172">
        <f>MIN(IF($AU13=100%,1,1+VLOOKUP(($AJ13-$AI13-$AH13-$AG13-$AF13-$AE13*(1+EU$3))/$AJ13,'Технический лист'!$A:$B,2,1)-VLOOKUP($AO13,'Технический лист'!$A:$B,2,1)),1+(1-$AU13))</f>
        <v/>
      </c>
      <c r="EV13" s="173" t="n">
        <v>1</v>
      </c>
      <c r="EW13" s="172">
        <f>MIN(1,MAX(VLOOKUP(($AJ13-$AI13-$AH13-$AG13-$AF13-$AE13*(1+EW$3))/$AJ13,'Технический лист'!$A:$B,2,1),(EV13-0.05)))</f>
        <v/>
      </c>
      <c r="EX13" s="172">
        <f>MIN(1,MAX(VLOOKUP(($AJ13-$AI13-$AH13-$AG13-$AF13-$AE13*(1+EX$3))/$AJ13,'Технический лист'!$A:$B,2,1),(EW13-0.05)))</f>
        <v/>
      </c>
      <c r="EY13" s="172">
        <f>MIN(1,MAX(VLOOKUP(($AJ13-$AI13-$AH13-$AG13-$AF13-$AE13*(1+EY$3))/$AJ13,'Технический лист'!$A:$B,2,1),(EX13-0.05)))</f>
        <v/>
      </c>
      <c r="EZ13" s="172">
        <f>MIN(1,MAX(VLOOKUP(($AJ13-$AI13-$AH13-$AG13-$AF13-$AE13*(1+EZ$3))/$AJ13,'Технический лист'!$A:$B,2,1),(EY13-0.05)))</f>
        <v/>
      </c>
      <c r="FA13" s="172">
        <f>MIN(1,MAX(VLOOKUP(($AJ13-$AI13-$AH13-$AG13-$AF13-$AE13*(1+FA$3))/$AJ13,'Технический лист'!$A:$B,2,1),(EZ13-0.05)))</f>
        <v/>
      </c>
      <c r="FB13" s="172">
        <f>MIN(1,MAX(VLOOKUP(($AJ13-$AI13-$AH13-$AG13-$AF13-$AE13*(1+FB$3))/$AJ13,'Технический лист'!$A:$B,2,1),(FA13-0.05)))</f>
        <v/>
      </c>
      <c r="FC13" s="172">
        <f>MIN(1,MAX(VLOOKUP(($AJ13-$AI13-$AH13-$AG13-$AF13-$AE13*(1+FC$3))/$AJ13,'Технический лист'!$A:$B,2,1),(FB13-0.05)))</f>
        <v/>
      </c>
      <c r="FD13" s="172">
        <f>MIN(1,MAX(VLOOKUP(($AJ13-$AI13-$AH13-$AG13-$AF13-$AE13*(1+FD$3))/$AJ13,'Технический лист'!$A:$B,2,1),(FC13-0.05)))</f>
        <v/>
      </c>
      <c r="FE13" s="172">
        <f>MIN(1,MAX(VLOOKUP(($AJ13-$AI13-$AH13-$AG13-$AF13-$AE13*(1+FE$3))/$AJ13,'Технический лист'!$A:$B,2,1),(FD13-0.05)))</f>
        <v/>
      </c>
      <c r="FF13" s="172">
        <f>MIN(1,MAX(VLOOKUP(($AJ13-$AI13-$AH13-$AG13-$AF13-$AE13*(1+FF$3))/$AJ13,'Технический лист'!$A:$B,2,1),(FE13-0.05)))</f>
        <v/>
      </c>
      <c r="FG13" s="172">
        <f>MIN(1,MAX(VLOOKUP(($AJ13-$AI13-$AH13-$AG13-$AF13-$AE13*(1+FG$3))/$AJ13,'Технический лист'!$A:$B,2,1),(FF13-0.05)))</f>
        <v/>
      </c>
      <c r="FH13" s="172">
        <f>MIN(1,MAX(VLOOKUP(($AJ13-$AI13-$AH13-$AG13-$AF13-$AE13*(1+FH$3))/$AJ13,'Технический лист'!$A:$B,2,1),(FG13-0.05)))</f>
        <v/>
      </c>
      <c r="FI13" s="172">
        <f>MIN(1,MAX(VLOOKUP(($AJ13-$AI13-$AH13-$AG13-$AF13-$AE13*(1+FI$3))/$AJ13,'Технический лист'!$A:$B,2,1),(FH13-0.05)))</f>
        <v/>
      </c>
      <c r="FJ13" s="172">
        <f>MIN(1,MAX(VLOOKUP(($AJ13-$AI13-$AH13-$AG13-$AF13-$AE13*(1+FJ$3))/$AJ13,'Технический лист'!$A:$B,2,1),(FI13-0.05)))</f>
        <v/>
      </c>
      <c r="FK13" s="172">
        <f>MIN(1,MAX(VLOOKUP(($AJ13-$AI13-$AH13-$AG13-$AF13-$AE13*(1+FK$3))/$AJ13,'Технический лист'!$A:$B,2,1),(FJ13-0.05)))</f>
        <v/>
      </c>
      <c r="FL13" s="172">
        <f>MIN(1,MAX(VLOOKUP(($AJ13-$AI13-$AH13-$AG13-$AF13-$AE13*(1+FL$3))/$AJ13,'Технический лист'!$A:$B,2,1),(FK13-0.05)))</f>
        <v/>
      </c>
      <c r="FM13" s="172">
        <f>MIN(1,MAX(VLOOKUP(($AJ13-$AI13-$AH13-$AG13-$AF13-$AE13*(1+FM$3))/$AJ13,'Технический лист'!$A:$B,2,1),(FL13-0.05)))</f>
        <v/>
      </c>
      <c r="FN13" s="172">
        <f>MIN(1,MAX(VLOOKUP(($AJ13-$AI13-$AH13-$AG13-$AF13-$AE13*(1+FN$3))/$AJ13,'Технический лист'!$A:$B,2,1),(FM13-0.05)))</f>
        <v/>
      </c>
      <c r="FO13" s="172">
        <f>MIN(1,MAX(VLOOKUP(($AJ13-$AI13-$AH13-$AG13-$AF13-$AE13*(1+FO$3))/$AJ13,'Технический лист'!$A:$B,2,1),(FN13-0.05)))</f>
        <v/>
      </c>
      <c r="FP13" s="172">
        <f>MIN(1,MAX(VLOOKUP(($AJ13-$AI13-$AH13-$AG13-$AF13-$AE13*(1+FP$3))/$AJ13,'Технический лист'!$A:$B,2,1),(FO13-0.05)))</f>
        <v/>
      </c>
      <c r="FQ13" s="172">
        <f>MIN(1,MAX(VLOOKUP(($AJ13-$AI13-$AH13-$AG13-$AF13-$AE13*(1+FQ$3))/$AJ13,'Технический лист'!$A:$B,2,1),(FP13-0.05)))</f>
        <v/>
      </c>
      <c r="FR13" s="172">
        <f>MIN(1,MAX(VLOOKUP(($AJ13-$AI13-$AH13-$AG13-$AF13-$AE13*(1+FR$3))/$AJ13,'Технический лист'!$A:$B,2,1),(FQ13-0.05)))</f>
        <v/>
      </c>
      <c r="FS13" s="172">
        <f>MIN(1,MAX(VLOOKUP(($AJ13-$AI13-$AH13-$AG13-$AF13-$AE13*(1+FS$3))/$AJ13,'Технический лист'!$A:$B,2,1),(FR13-0.05)))</f>
        <v/>
      </c>
      <c r="FT13" s="172">
        <f>MIN(1,MAX(VLOOKUP(($AJ13-$AI13-$AH13-$AG13-$AF13-$AE13*(1+FT$3))/$AJ13,'Технический лист'!$A:$B,2,1),(FS13-0.05)))</f>
        <v/>
      </c>
      <c r="FU13" s="172">
        <f>MIN(1,MAX(VLOOKUP(($AJ13-$AI13-$AH13-$AG13-$AF13-$AE13*(1+FU$3))/$AJ13,'Технический лист'!$A:$B,2,1),(FT13-0.05)))</f>
        <v/>
      </c>
      <c r="FV13" s="172">
        <f>MIN(1,MAX(VLOOKUP(($AJ13-$AI13-$AH13-$AG13-$AF13-$AE13*(1+FV$3))/$AJ13,'Технический лист'!$A:$B,2,1),(FU13-0.05)))</f>
        <v/>
      </c>
      <c r="FW13" s="172">
        <f>MIN(1,MAX(VLOOKUP(($AJ13-$AI13-$AH13-$AG13-$AF13-$AE13*(1+FW$3))/$AJ13,'Технический лист'!$A:$B,2,1),(FV13-0.05)))</f>
        <v/>
      </c>
      <c r="FX13" s="172">
        <f>MIN(1,MAX(VLOOKUP(($AJ13-$AI13-$AH13-$AG13-$AF13-$AE13*(1+FX$3))/$AJ13,'Технический лист'!$A:$B,2,1),(FW13-0.05)))</f>
        <v/>
      </c>
      <c r="FY13" s="172">
        <f>MIN(1,MAX(VLOOKUP(($AJ13-$AI13-$AH13-$AG13-$AF13-$AE13*(1+FY$3))/$AJ13,'Технический лист'!$A:$B,2,1),(FX13-0.05)))</f>
        <v/>
      </c>
      <c r="FZ13" s="172">
        <f>MIN(1,MAX(VLOOKUP(($AJ13-$AI13-$AH13-$AG13-$AF13-$AE13*(1+FZ$3))/$AJ13,'Технический лист'!$A:$B,2,1),(FY13-0.05)))</f>
        <v/>
      </c>
      <c r="GA13" s="172">
        <f>MIN(1,MAX(VLOOKUP(($AJ13-$AI13-$AH13-$AG13-$AF13-$AE13*(1+GA$3))/$AJ13,'Технический лист'!$A:$B,2,1),(FZ13-0.05)))</f>
        <v/>
      </c>
      <c r="GB13" s="172">
        <f>MIN(1,MAX(VLOOKUP(($AJ13-$AI13-$AH13-$AG13-$AF13-$AE13*(1+GB$3))/$AJ13,'Технический лист'!$A:$B,2,1),(GA13-0.05)))</f>
        <v/>
      </c>
      <c r="GC13" s="172">
        <f>MIN(1,MAX(VLOOKUP(($AJ13-$AI13-$AH13-$AG13-$AF13-$AE13*(1+GC$3))/$AJ13,'Технический лист'!$A:$B,2,1),(GB13-0.05)))</f>
        <v/>
      </c>
      <c r="GD13" s="172">
        <f>MIN(1,MAX(VLOOKUP(($AJ13-$AI13-$AH13-$AG13-$AF13-$AE13*(1+GD$3))/$AJ13,'Технический лист'!$A:$B,2,1),(GC13-0.05)))</f>
        <v/>
      </c>
      <c r="GE13" s="172">
        <f>MIN(1,MAX(VLOOKUP(($AJ13-$AI13-$AH13-$AG13-$AF13-$AE13*(1+GE$3))/$AJ13,'Технический лист'!$A:$B,2,1),(GD13-0.05)))</f>
        <v/>
      </c>
      <c r="GF13" s="172">
        <f>MIN(1,MAX(VLOOKUP(($AJ13-$AI13-$AH13-$AG13-$AF13-$AE13*(1+GF$3))/$AJ13,'Технический лист'!$A:$B,2,1),(GE13-0.05)))</f>
        <v/>
      </c>
      <c r="GG13" s="172">
        <f>MIN(1,MAX(VLOOKUP(($AJ13-$AI13-$AH13-$AG13-$AF13-$AE13*(1+GG$3))/$AJ13,'Технический лист'!$A:$B,2,1),(GF13-0.05)))</f>
        <v/>
      </c>
      <c r="GH13" s="172">
        <f>MIN(1,MAX(VLOOKUP(($AJ13-$AI13-$AH13-$AG13-$AF13-$AE13*(1+GH$3))/$AJ13,'Технический лист'!$A:$B,2,1),(GG13-0.05)))</f>
        <v/>
      </c>
      <c r="GI13" s="172">
        <f>MIN(1,MAX(VLOOKUP(($AJ13-$AI13-$AH13-$AG13-$AF13-$AE13*(1+GI$3))/$AJ13,'Технический лист'!$A:$B,2,1),(GH13-0.05)))</f>
        <v/>
      </c>
      <c r="GJ13" s="172">
        <f>MIN(1,MAX(VLOOKUP(($AJ13-$AI13-$AH13-$AG13-$AF13-$AE13*(1+GJ$3))/$AJ13,'Технический лист'!$A:$B,2,1),(GI13-0.05)))</f>
        <v/>
      </c>
      <c r="GK13" s="172">
        <f>MIN(1,MAX(VLOOKUP(($AJ13-$AI13-$AH13-$AG13-$AF13-$AE13*(1+GK$3))/$AJ13,'Технический лист'!$A:$B,2,1),(GJ13-0.05)))</f>
        <v/>
      </c>
      <c r="GL13" s="172">
        <f>MIN(1,MAX(VLOOKUP(($AJ13-$AI13-$AH13-$AG13-$AF13-$AE13*(1+GL$3))/$AJ13,'Технический лист'!$A:$B,2,1),(GK13-0.05)))</f>
        <v/>
      </c>
      <c r="GM13" s="172">
        <f>MIN(1,MAX(VLOOKUP(($AJ13-$AI13-$AH13-$AG13-$AF13-$AE13*(1+GM$3))/$AJ13,'Технический лист'!$A:$B,2,1),(GL13-0.05)))</f>
        <v/>
      </c>
      <c r="GN13" s="172">
        <f>MIN(1,MAX(VLOOKUP(($AJ13-$AI13-$AH13-$AG13-$AF13-$AE13*(1+GN$3))/$AJ13,'Технический лист'!$A:$B,2,1),(GM13-0.05)))</f>
        <v/>
      </c>
      <c r="GO13" s="172">
        <f>MIN(1,MAX(VLOOKUP(($AJ13-$AI13-$AH13-$AG13-$AF13-$AE13*(1+GO$3))/$AJ13,'Технический лист'!$A:$B,2,1),(GN13-0.05)))</f>
        <v/>
      </c>
      <c r="GP13" s="172">
        <f>MIN(1,MAX(VLOOKUP(($AJ13-$AI13-$AH13-$AG13-$AF13-$AE13*(1+GP$3))/$AJ13,'Технический лист'!$A:$B,2,1),(GO13-0.05)))</f>
        <v/>
      </c>
      <c r="GQ13" s="172">
        <f>MIN(1,MAX(VLOOKUP(($AJ13-$AI13-$AH13-$AG13-$AF13-$AE13*(1+GQ$3))/$AJ13,'Технический лист'!$A:$B,2,1),(GP13-0.05)))</f>
        <v/>
      </c>
      <c r="GR13" s="172">
        <f>MIN(1,MAX(VLOOKUP(($AJ13-$AI13-$AH13-$AG13-$AF13-$AE13*(1+GR$3))/$AJ13,'Технический лист'!$A:$B,2,1),(GQ13-0.05)))</f>
        <v/>
      </c>
      <c r="GS13" s="172">
        <f>MIN(1,MAX(VLOOKUP(($AJ13-$AI13-$AH13-$AG13-$AF13-$AE13*(1+GS$3))/$AJ13,'Технический лист'!$A:$B,2,1),(GR13-0.05)))</f>
        <v/>
      </c>
      <c r="GT13" s="172">
        <f>MIN(1,MAX(VLOOKUP(($AJ13-$AI13-$AH13-$AG13-$AF13-$AE13*(1+GT$3))/$AJ13,'Технический лист'!$A:$B,2,1),(GS13-0.05)))</f>
        <v/>
      </c>
      <c r="GU13" s="172">
        <f>MIN(1,MAX(VLOOKUP(($AJ13-$AI13-$AH13-$AG13-$AF13-$AE13*(1+GU$3))/$AJ13,'Технический лист'!$A:$B,2,1),(GT13-0.05)))</f>
        <v/>
      </c>
      <c r="GV13" s="172">
        <f>MIN(1,MAX(VLOOKUP(($AJ13-$AI13-$AH13-$AG13-$AF13-$AE13*(1+GV$3))/$AJ13,'Технический лист'!$A:$B,2,1),(GU13-0.05)))</f>
        <v/>
      </c>
      <c r="GW13" s="172">
        <f>MIN(1,MAX(VLOOKUP(($AJ13-$AI13-$AH13-$AG13-$AF13-$AE13*(1+GW$3))/$AJ13,'Технический лист'!$A:$B,2,1),(GV13-0.05)))</f>
        <v/>
      </c>
      <c r="GX13" s="172">
        <f>MIN(1,MAX(VLOOKUP(($AJ13-$AI13-$AH13-$AG13-$AF13-$AE13*(1+GX$3))/$AJ13,'Технический лист'!$A:$B,2,1),(GW13-0.05)))</f>
        <v/>
      </c>
      <c r="GY13" s="172">
        <f>MIN(1,MAX(VLOOKUP(($AJ13-$AI13-$AH13-$AG13-$AF13-$AE13*(1+GY$3))/$AJ13,'Технический лист'!$A:$B,2,1),(GX13-0.05)))</f>
        <v/>
      </c>
      <c r="GZ13" s="172">
        <f>MIN(1,MAX(VLOOKUP(($AJ13-$AI13-$AH13-$AG13-$AF13-$AE13*(1+GZ$3))/$AJ13,'Технический лист'!$A:$B,2,1),(GY13-0.05)))</f>
        <v/>
      </c>
      <c r="HA13" s="172">
        <f>MIN(1,MAX(VLOOKUP(($AJ13-$AI13-$AH13-$AG13-$AF13-$AE13*(1+HA$3))/$AJ13,'Технический лист'!$A:$B,2,1),(GZ13-0.05)))</f>
        <v/>
      </c>
      <c r="HB13" s="172">
        <f>MIN(1,MAX(VLOOKUP(($AJ13-$AI13-$AH13-$AG13-$AF13-$AE13*(1+HB$3))/$AJ13,'Технический лист'!$A:$B,2,1),(HA13-0.05)))</f>
        <v/>
      </c>
      <c r="HC13" s="172">
        <f>MIN(1,MAX(VLOOKUP(($AJ13-$AI13-$AH13-$AG13-$AF13-$AE13*(1+HC$3))/$AJ13,'Технический лист'!$A:$B,2,1),(HB13-0.05)))</f>
        <v/>
      </c>
      <c r="HD13" s="172">
        <f>MIN(1,MAX(VLOOKUP(($AJ13-$AI13-$AH13-$AG13-$AF13-$AE13*(1+HD$3))/$AJ13,'Технический лист'!$A:$B,2,1),(HC13-0.05)))</f>
        <v/>
      </c>
      <c r="HE13" s="172">
        <f>MIN(1,MAX(VLOOKUP(($AJ13-$AI13-$AH13-$AG13-$AF13-$AE13*(1+HE$3))/$AJ13,'Технический лист'!$A:$B,2,1),(HD13-0.05)))</f>
        <v/>
      </c>
      <c r="HF13" s="172">
        <f>MIN(1,MAX(VLOOKUP(($AJ13-$AI13-$AH13-$AG13-$AF13-$AE13*(1+HF$3))/$AJ13,'Технический лист'!$A:$B,2,1),(HE13-0.05)))</f>
        <v/>
      </c>
      <c r="HG13" s="172">
        <f>MIN(1,MAX(VLOOKUP(($AJ13-$AI13-$AH13-$AG13-$AF13-$AE13*(1+HG$3))/$AJ13,'Технический лист'!$A:$B,2,1),(HF13-0.05)))</f>
        <v/>
      </c>
      <c r="HH13" s="172">
        <f>MIN(1,MAX(VLOOKUP(($AJ13-$AI13-$AH13-$AG13-$AF13-$AE13*(1+HH$3))/$AJ13,'Технический лист'!$A:$B,2,1),(HG13-0.05)))</f>
        <v/>
      </c>
      <c r="HI13" s="172">
        <f>MIN(1,MAX(VLOOKUP(($AJ13-$AI13-$AH13-$AG13-$AF13-$AE13*(1+HI$3))/$AJ13,'Технический лист'!$A:$B,2,1),(HH13-0.05)))</f>
        <v/>
      </c>
      <c r="HJ13" s="172">
        <f>MIN(1,MAX(VLOOKUP(($AJ13-$AI13-$AH13-$AG13-$AF13-$AE13*(1+HJ$3))/$AJ13,'Технический лист'!$A:$B,2,1),(HI13-0.05)))</f>
        <v/>
      </c>
      <c r="HK13" s="172">
        <f>MIN(1,MAX(VLOOKUP(($AJ13-$AI13-$AH13-$AG13-$AF13-$AE13*(1+HK$3))/$AJ13,'Технический лист'!$A:$B,2,1),(HJ13-0.05)))</f>
        <v/>
      </c>
      <c r="HL13" s="172">
        <f>MIN(1,MAX(VLOOKUP(($AJ13-$AI13-$AH13-$AG13-$AF13-$AE13*(1+HL$3))/$AJ13,'Технический лист'!$A:$B,2,1),(HK13-0.05)))</f>
        <v/>
      </c>
      <c r="HM13" s="172">
        <f>MIN(1,MAX(VLOOKUP(($AJ13-$AI13-$AH13-$AG13-$AF13-$AE13*(1+HM$3))/$AJ13,'Технический лист'!$A:$B,2,1),(HL13-0.05)))</f>
        <v/>
      </c>
      <c r="HN13" s="172">
        <f>MIN(1,MAX(VLOOKUP(($AJ13-$AI13-$AH13-$AG13-$AF13-$AE13*(1+HN$3))/$AJ13,'Технический лист'!$A:$B,2,1),(HM13-0.05)))</f>
        <v/>
      </c>
      <c r="HO13" s="172">
        <f>MIN(1,MAX(VLOOKUP(($AJ13-$AI13-$AH13-$AG13-$AF13-$AE13*(1+HO$3))/$AJ13,'Технический лист'!$A:$B,2,1),(HN13-0.05)))</f>
        <v/>
      </c>
      <c r="HP13" s="172">
        <f>MIN(1,MAX(VLOOKUP(($AJ13-$AI13-$AH13-$AG13-$AF13-$AE13*(1+HP$3))/$AJ13,'Технический лист'!$A:$B,2,1),(HO13-0.05)))</f>
        <v/>
      </c>
      <c r="HQ13" s="172">
        <f>MIN(1,MAX(VLOOKUP(($AJ13-$AI13-$AH13-$AG13-$AF13-$AE13*(1+HQ$3))/$AJ13,'Технический лист'!$A:$B,2,1),(HP13-0.05)))</f>
        <v/>
      </c>
      <c r="HR13" s="172">
        <f>MIN(1,MAX(VLOOKUP(($AJ13-$AI13-$AH13-$AG13-$AF13-$AE13*(1+HR$3))/$AJ13,'Технический лист'!$A:$B,2,1),(HQ13-0.05)))</f>
        <v/>
      </c>
      <c r="HS13" s="172">
        <f>MIN(1,MAX(VLOOKUP(($AJ13-$AI13-$AH13-$AG13-$AF13-$AE13*(1+HS$3))/$AJ13,'Технический лист'!$A:$B,2,1),(HR13-0.05)))</f>
        <v/>
      </c>
      <c r="HT13" s="172">
        <f>MIN(1,MAX(VLOOKUP(($AJ13-$AI13-$AH13-$AG13-$AF13-$AE13*(1+HT$3))/$AJ13,'Технический лист'!$A:$B,2,1),(HS13-0.05)))</f>
        <v/>
      </c>
      <c r="HU13" s="172">
        <f>MIN(1,MAX(VLOOKUP(($AJ13-$AI13-$AH13-$AG13-$AF13-$AE13*(1+HU$3))/$AJ13,'Технический лист'!$A:$B,2,1),(HT13-0.05)))</f>
        <v/>
      </c>
      <c r="HV13" s="172">
        <f>MIN(1,MAX(VLOOKUP(($AJ13-$AI13-$AH13-$AG13-$AF13-$AE13*(1+HV$3))/$AJ13,'Технический лист'!$A:$B,2,1),(HU13-0.05)))</f>
        <v/>
      </c>
      <c r="HW13" s="172">
        <f>MIN(1,MAX(VLOOKUP(($AJ13-$AI13-$AH13-$AG13-$AF13-$AE13*(1+HW$3))/$AJ13,'Технический лист'!$A:$B,2,1),(HV13-0.05)))</f>
        <v/>
      </c>
      <c r="HX13" s="172">
        <f>MIN(1,MAX(VLOOKUP(($AJ13-$AI13-$AH13-$AG13-$AF13-$AE13*(1+HX$3))/$AJ13,'Технический лист'!$A:$B,2,1),(HW13-0.05)))</f>
        <v/>
      </c>
      <c r="HY13" s="172">
        <f>MIN(1,MAX(VLOOKUP(($AJ13-$AI13-$AH13-$AG13-$AF13-$AE13*(1+HY$3))/$AJ13,'Технический лист'!$A:$B,2,1),(HX13-0.05)))</f>
        <v/>
      </c>
      <c r="HZ13" s="172">
        <f>MIN(1,MAX(VLOOKUP(($AJ13-$AI13-$AH13-$AG13-$AF13-$AE13*(1+HZ$3))/$AJ13,'Технический лист'!$A:$B,2,1),(HY13-0.05)))</f>
        <v/>
      </c>
      <c r="IA13" s="172">
        <f>MIN(1,MAX(VLOOKUP(($AJ13-$AI13-$AH13-$AG13-$AF13-$AE13*(1+IA$3))/$AJ13,'Технический лист'!$A:$B,2,1),(HZ13-0.05)))</f>
        <v/>
      </c>
      <c r="IB13" s="172">
        <f>MIN(1,MAX(VLOOKUP(($AJ13-$AI13-$AH13-$AG13-$AF13-$AE13*(1+IB$3))/$AJ13,'Технический лист'!$A:$B,2,1),(IA13-0.05)))</f>
        <v/>
      </c>
      <c r="IC13" s="172">
        <f>MIN(1,MAX(VLOOKUP(($AJ13-$AI13-$AH13-$AG13-$AF13-$AE13*(1+IC$3))/$AJ13,'Технический лист'!$A:$B,2,1),(IB13-0.05)))</f>
        <v/>
      </c>
      <c r="ID13" s="172">
        <f>MIN(1,MAX(VLOOKUP(($AJ13-$AI13-$AH13-$AG13-$AF13-$AE13*(1+ID$3))/$AJ13,'Технический лист'!$A:$B,2,1),(IC13-0.05)))</f>
        <v/>
      </c>
      <c r="IE13" s="172">
        <f>MIN(1,MAX(VLOOKUP(($AJ13-$AI13-$AH13-$AG13-$AF13-$AE13*(1+IE$3))/$AJ13,'Технический лист'!$A:$B,2,1),(ID13-0.05)))</f>
        <v/>
      </c>
      <c r="IF13" s="172">
        <f>MIN(1,MAX(VLOOKUP(($AJ13-$AI13-$AH13-$AG13-$AF13-$AE13*(1+IF$3))/$AJ13,'Технический лист'!$A:$B,2,1),(IE13-0.05)))</f>
        <v/>
      </c>
      <c r="IG13" s="172">
        <f>MIN(1,MAX(VLOOKUP(($AJ13-$AI13-$AH13-$AG13-$AF13-$AE13*(1+IG$3))/$AJ13,'Технический лист'!$A:$B,2,1),(IF13-0.05)))</f>
        <v/>
      </c>
      <c r="IH13" s="172">
        <f>MIN(1,MAX(VLOOKUP(($AJ13-$AI13-$AH13-$AG13-$AF13-$AE13*(1+IH$3))/$AJ13,'Технический лист'!$A:$B,2,1),(IG13-0.05)))</f>
        <v/>
      </c>
      <c r="II13" s="172">
        <f>MIN(1,MAX(VLOOKUP(($AJ13-$AI13-$AH13-$AG13-$AF13-$AE13*(1+II$3))/$AJ13,'Технический лист'!$A:$B,2,1),(IH13-0.05)))</f>
        <v/>
      </c>
      <c r="IJ13" s="172">
        <f>MIN(1,MAX(VLOOKUP(($AJ13-$AI13-$AH13-$AG13-$AF13-$AE13*(1+IJ$3))/$AJ13,'Технический лист'!$A:$B,2,1),(II13-0.05)))</f>
        <v/>
      </c>
      <c r="IK13" s="172">
        <f>MIN(1,MAX(VLOOKUP(($AJ13-$AI13-$AH13-$AG13-$AF13-$AE13*(1+IK$3))/$AJ13,'Технический лист'!$A:$B,2,1),(IJ13-0.05)))</f>
        <v/>
      </c>
      <c r="IL13" s="172">
        <f>MIN(1,MAX(VLOOKUP(($AJ13-$AI13-$AH13-$AG13-$AF13-$AE13*(1+IL$3))/$AJ13,'Технический лист'!$A:$B,2,1),(IK13-0.05)))</f>
        <v/>
      </c>
      <c r="IM13" s="172">
        <f>MIN(1,MAX(VLOOKUP(($AJ13-$AI13-$AH13-$AG13-$AF13-$AE13*(1+IM$3))/$AJ13,'Технический лист'!$A:$B,2,1),(IL13-0.05)))</f>
        <v/>
      </c>
      <c r="IN13" s="172">
        <f>MIN(1,MAX(VLOOKUP(($AJ13-$AI13-$AH13-$AG13-$AF13-$AE13*(1+IN$3))/$AJ13,'Технический лист'!$A:$B,2,1),(IM13-0.05)))</f>
        <v/>
      </c>
      <c r="IO13" s="172">
        <f>MIN(1,MAX(VLOOKUP(($AJ13-$AI13-$AH13-$AG13-$AF13-$AE13*(1+IO$3))/$AJ13,'Технический лист'!$A:$B,2,1),(IN13-0.05)))</f>
        <v/>
      </c>
      <c r="IP13" s="172">
        <f>MIN(1,MAX(VLOOKUP(($AJ13-$AI13-$AH13-$AG13-$AF13-$AE13*(1+IP$3))/$AJ13,'Технический лист'!$A:$B,2,1),(IO13-0.05)))</f>
        <v/>
      </c>
      <c r="IQ13" s="172">
        <f>MIN(1,MAX(VLOOKUP(($AJ13-$AI13-$AH13-$AG13-$AF13-$AE13*(1+IQ$3))/$AJ13,'Технический лист'!$A:$B,2,1),(IP13-0.05)))</f>
        <v/>
      </c>
      <c r="IR13" s="172">
        <f>MIN(1,MAX(VLOOKUP(($AJ13-$AI13-$AH13-$AG13-$AF13-$AE13*(1+IR$3))/$AJ13,'Технический лист'!$A:$B,2,1),(IQ13-0.05)))</f>
        <v/>
      </c>
    </row>
    <row r="14" ht="45" customHeight="1" s="123">
      <c r="A14" s="89" t="inlineStr">
        <is>
          <t>ЧМ (сырье)</t>
        </is>
      </c>
      <c r="B14" s="90" t="n">
        <v>2</v>
      </c>
      <c r="C14" s="5" t="inlineStr">
        <is>
          <t>Кокс каменноугольный</t>
        </is>
      </c>
      <c r="D14" s="91" t="n">
        <v>17103</v>
      </c>
      <c r="E14" s="91" t="inlineStr">
        <is>
          <t xml:space="preserve">Кокс доменный фракции свыше 25 мм </t>
        </is>
      </c>
      <c r="F14" s="92" t="inlineStr">
        <is>
          <t>КОКС КАМЕННОУГОЛЬНЫЙ</t>
        </is>
      </c>
      <c r="G14" s="91" t="inlineStr">
        <is>
          <t>ЗСБ</t>
        </is>
      </c>
      <c r="H14" s="91" t="inlineStr">
        <is>
          <t>СВР</t>
        </is>
      </c>
      <c r="I14" s="91" t="inlineStr">
        <is>
          <t>ПРЕДКОМБИНАТ</t>
        </is>
      </c>
      <c r="J14" s="91" t="inlineStr">
        <is>
          <t>СМЫЧКА</t>
        </is>
      </c>
      <c r="K14" s="91" t="n">
        <v>1982</v>
      </c>
      <c r="L14" s="91" t="inlineStr">
        <is>
          <t>Полувагоны</t>
        </is>
      </c>
      <c r="M14" s="91" t="inlineStr">
        <is>
          <t>Внутр. перевозки</t>
        </is>
      </c>
      <c r="N14" s="91" t="inlineStr">
        <is>
          <t>вагонная</t>
        </is>
      </c>
      <c r="O14" s="91" t="inlineStr">
        <is>
          <t xml:space="preserve">Южное </t>
        </is>
      </c>
      <c r="P14" s="89" t="inlineStr">
        <is>
          <t>'000000186683</t>
        </is>
      </c>
      <c r="Q14" s="91" t="inlineStr">
        <is>
          <t>'ПАО "Кокс"</t>
        </is>
      </c>
      <c r="R14" s="91" t="inlineStr">
        <is>
          <t>ООО "УК"ПМХ"</t>
        </is>
      </c>
      <c r="S14" s="87" t="n">
        <v>269089</v>
      </c>
      <c r="T14" s="87" t="n">
        <v>533360184</v>
      </c>
      <c r="U14" s="88" t="n">
        <v>5368</v>
      </c>
      <c r="V14" s="88" t="n">
        <v>0</v>
      </c>
      <c r="W14" s="87" t="n">
        <v>426612557</v>
      </c>
      <c r="X14" s="112" t="n">
        <v>50</v>
      </c>
      <c r="Y14" s="112" t="inlineStr">
        <is>
          <t>групповая</t>
        </is>
      </c>
      <c r="Z14" s="113" t="n">
        <v>9</v>
      </c>
      <c r="AA14" s="113" t="n">
        <v>8</v>
      </c>
      <c r="AB14" s="113" t="n">
        <v>4</v>
      </c>
      <c r="AC14" s="161" t="n">
        <v>1785.7</v>
      </c>
      <c r="AD14" s="161">
        <f>AE14-AC14</f>
        <v/>
      </c>
      <c r="AE14" s="161" t="n">
        <v>2528.84</v>
      </c>
      <c r="AF14" s="162">
        <f>(Z14+AA14+AB14)*'Ставки аренды'!$B$3/X14</f>
        <v/>
      </c>
      <c r="AG14" s="163" t="n">
        <v>0</v>
      </c>
      <c r="AH14" s="164" t="n">
        <v>0</v>
      </c>
      <c r="AI14" s="165">
        <f>0.9*AVERAGE(AJ13,AJ14)</f>
        <v/>
      </c>
      <c r="AJ14" s="166">
        <f>Цены!$D$9</f>
        <v/>
      </c>
      <c r="AK14" s="164">
        <f>AJ14/Цены!$B$1</f>
        <v/>
      </c>
      <c r="AL14" s="164">
        <f>AE14+AF14+AG14</f>
        <v/>
      </c>
      <c r="AM14" s="164">
        <f>AJ14-AL14</f>
        <v/>
      </c>
      <c r="AN14" s="164">
        <f>AI14+AH14+AG14+AF14+AE14</f>
        <v/>
      </c>
      <c r="AO14" s="167">
        <f>(AJ14-AN14)/AJ14</f>
        <v/>
      </c>
      <c r="AP14" s="168">
        <f>AL14/AJ14</f>
        <v/>
      </c>
      <c r="AQ14" s="168">
        <f>AE14/AJ14</f>
        <v/>
      </c>
      <c r="AR14" s="168">
        <f>AE14/AL14</f>
        <v/>
      </c>
      <c r="AS14" s="169" t="n">
        <v>1</v>
      </c>
      <c r="AT14" s="121">
        <f>S14*AS14</f>
        <v/>
      </c>
      <c r="AU14" s="83" t="n">
        <v>0.9</v>
      </c>
      <c r="AV14" s="170">
        <f>(AJ14-(AE14*(1+$IS$2)+AF14+AG14+AH14+AI14))/AJ14</f>
        <v/>
      </c>
      <c r="AW14" s="171">
        <f>(AE14*(1+$IS$2)+AF14+AG14)/AJ14</f>
        <v/>
      </c>
      <c r="AX14" s="171">
        <f>(AE14*(1+$IS$2))/AJ14</f>
        <v/>
      </c>
      <c r="AY14" s="171">
        <f>(AE14*(1+$IS$2))/(AE14*(1+$IS$2)+AF14+AG14)</f>
        <v/>
      </c>
      <c r="AZ14" s="172">
        <f>MIN(IF($AU14=100%,1,1+VLOOKUP(($AJ14-$AI14-$AH14-$AG14-$AF14-$AE14*(1+AZ$3))/$AJ14,'Технический лист'!$A:$B,2,1)-VLOOKUP($AO14,'Технический лист'!$A:$B,2,1)),1+(1-$AU14))</f>
        <v/>
      </c>
      <c r="BA14" s="172">
        <f>MIN(IF($AU14=100%,1,1+VLOOKUP(($AJ14-$AI14-$AH14-$AG14-$AF14-$AE14*(1+BA$3))/$AJ14,'Технический лист'!$A:$B,2,1)-VLOOKUP($AO14,'Технический лист'!$A:$B,2,1)),1+(1-$AU14))</f>
        <v/>
      </c>
      <c r="BB14" s="172">
        <f>MIN(IF($AU14=100%,1,1+VLOOKUP(($AJ14-$AI14-$AH14-$AG14-$AF14-$AE14*(1+BB$3))/$AJ14,'Технический лист'!$A:$B,2,1)-VLOOKUP($AO14,'Технический лист'!$A:$B,2,1)),1+(1-$AU14))</f>
        <v/>
      </c>
      <c r="BC14" s="172">
        <f>MIN(IF($AU14=100%,1,1+VLOOKUP(($AJ14-$AI14-$AH14-$AG14-$AF14-$AE14*(1+BC$3))/$AJ14,'Технический лист'!$A:$B,2,1)-VLOOKUP($AO14,'Технический лист'!$A:$B,2,1)),1+(1-$AU14))</f>
        <v/>
      </c>
      <c r="BD14" s="172">
        <f>MIN(IF($AU14=100%,1,1+VLOOKUP(($AJ14-$AI14-$AH14-$AG14-$AF14-$AE14*(1+BD$3))/$AJ14,'Технический лист'!$A:$B,2,1)-VLOOKUP($AO14,'Технический лист'!$A:$B,2,1)),1+(1-$AU14))</f>
        <v/>
      </c>
      <c r="BE14" s="172">
        <f>MIN(IF($AU14=100%,1,1+VLOOKUP(($AJ14-$AI14-$AH14-$AG14-$AF14-$AE14*(1+BE$3))/$AJ14,'Технический лист'!$A:$B,2,1)-VLOOKUP($AO14,'Технический лист'!$A:$B,2,1)),1+(1-$AU14))</f>
        <v/>
      </c>
      <c r="BF14" s="172">
        <f>MIN(IF($AU14=100%,1,1+VLOOKUP(($AJ14-$AI14-$AH14-$AG14-$AF14-$AE14*(1+BF$3))/$AJ14,'Технический лист'!$A:$B,2,1)-VLOOKUP($AO14,'Технический лист'!$A:$B,2,1)),1+(1-$AU14))</f>
        <v/>
      </c>
      <c r="BG14" s="172">
        <f>MIN(IF($AU14=100%,1,1+VLOOKUP(($AJ14-$AI14-$AH14-$AG14-$AF14-$AE14*(1+BG$3))/$AJ14,'Технический лист'!$A:$B,2,1)-VLOOKUP($AO14,'Технический лист'!$A:$B,2,1)),1+(1-$AU14))</f>
        <v/>
      </c>
      <c r="BH14" s="172">
        <f>MIN(IF($AU14=100%,1,1+VLOOKUP(($AJ14-$AI14-$AH14-$AG14-$AF14-$AE14*(1+BH$3))/$AJ14,'Технический лист'!$A:$B,2,1)-VLOOKUP($AO14,'Технический лист'!$A:$B,2,1)),1+(1-$AU14))</f>
        <v/>
      </c>
      <c r="BI14" s="172">
        <f>MIN(IF($AU14=100%,1,1+VLOOKUP(($AJ14-$AI14-$AH14-$AG14-$AF14-$AE14*(1+BI$3))/$AJ14,'Технический лист'!$A:$B,2,1)-VLOOKUP($AO14,'Технический лист'!$A:$B,2,1)),1+(1-$AU14))</f>
        <v/>
      </c>
      <c r="BJ14" s="172">
        <f>MIN(IF($AU14=100%,1,1+VLOOKUP(($AJ14-$AI14-$AH14-$AG14-$AF14-$AE14*(1+BJ$3))/$AJ14,'Технический лист'!$A:$B,2,1)-VLOOKUP($AO14,'Технический лист'!$A:$B,2,1)),1+(1-$AU14))</f>
        <v/>
      </c>
      <c r="BK14" s="172">
        <f>MIN(IF($AU14=100%,1,1+VLOOKUP(($AJ14-$AI14-$AH14-$AG14-$AF14-$AE14*(1+BK$3))/$AJ14,'Технический лист'!$A:$B,2,1)-VLOOKUP($AO14,'Технический лист'!$A:$B,2,1)),1+(1-$AU14))</f>
        <v/>
      </c>
      <c r="BL14" s="172">
        <f>MIN(IF($AU14=100%,1,1+VLOOKUP(($AJ14-$AI14-$AH14-$AG14-$AF14-$AE14*(1+BL$3))/$AJ14,'Технический лист'!$A:$B,2,1)-VLOOKUP($AO14,'Технический лист'!$A:$B,2,1)),1+(1-$AU14))</f>
        <v/>
      </c>
      <c r="BM14" s="172">
        <f>MIN(IF($AU14=100%,1,1+VLOOKUP(($AJ14-$AI14-$AH14-$AG14-$AF14-$AE14*(1+BM$3))/$AJ14,'Технический лист'!$A:$B,2,1)-VLOOKUP($AO14,'Технический лист'!$A:$B,2,1)),1+(1-$AU14))</f>
        <v/>
      </c>
      <c r="BN14" s="172">
        <f>MIN(IF($AU14=100%,1,1+VLOOKUP(($AJ14-$AI14-$AH14-$AG14-$AF14-$AE14*(1+BN$3))/$AJ14,'Технический лист'!$A:$B,2,1)-VLOOKUP($AO14,'Технический лист'!$A:$B,2,1)),1+(1-$AU14))</f>
        <v/>
      </c>
      <c r="BO14" s="172">
        <f>MIN(IF($AU14=100%,1,1+VLOOKUP(($AJ14-$AI14-$AH14-$AG14-$AF14-$AE14*(1+BO$3))/$AJ14,'Технический лист'!$A:$B,2,1)-VLOOKUP($AO14,'Технический лист'!$A:$B,2,1)),1+(1-$AU14))</f>
        <v/>
      </c>
      <c r="BP14" s="172">
        <f>MIN(IF($AU14=100%,1,1+VLOOKUP(($AJ14-$AI14-$AH14-$AG14-$AF14-$AE14*(1+BP$3))/$AJ14,'Технический лист'!$A:$B,2,1)-VLOOKUP($AO14,'Технический лист'!$A:$B,2,1)),1+(1-$AU14))</f>
        <v/>
      </c>
      <c r="BQ14" s="172">
        <f>MIN(IF($AU14=100%,1,1+VLOOKUP(($AJ14-$AI14-$AH14-$AG14-$AF14-$AE14*(1+BQ$3))/$AJ14,'Технический лист'!$A:$B,2,1)-VLOOKUP($AO14,'Технический лист'!$A:$B,2,1)),1+(1-$AU14))</f>
        <v/>
      </c>
      <c r="BR14" s="172">
        <f>MIN(IF($AU14=100%,1,1+VLOOKUP(($AJ14-$AI14-$AH14-$AG14-$AF14-$AE14*(1+BR$3))/$AJ14,'Технический лист'!$A:$B,2,1)-VLOOKUP($AO14,'Технический лист'!$A:$B,2,1)),1+(1-$AU14))</f>
        <v/>
      </c>
      <c r="BS14" s="172">
        <f>MIN(IF($AU14=100%,1,1+VLOOKUP(($AJ14-$AI14-$AH14-$AG14-$AF14-$AE14*(1+BS$3))/$AJ14,'Технический лист'!$A:$B,2,1)-VLOOKUP($AO14,'Технический лист'!$A:$B,2,1)),1+(1-$AU14))</f>
        <v/>
      </c>
      <c r="BT14" s="172">
        <f>MIN(IF($AU14=100%,1,1+VLOOKUP(($AJ14-$AI14-$AH14-$AG14-$AF14-$AE14*(1+BT$3))/$AJ14,'Технический лист'!$A:$B,2,1)-VLOOKUP($AO14,'Технический лист'!$A:$B,2,1)),1+(1-$AU14))</f>
        <v/>
      </c>
      <c r="BU14" s="172">
        <f>MIN(IF($AU14=100%,1,1+VLOOKUP(($AJ14-$AI14-$AH14-$AG14-$AF14-$AE14*(1+BU$3))/$AJ14,'Технический лист'!$A:$B,2,1)-VLOOKUP($AO14,'Технический лист'!$A:$B,2,1)),1+(1-$AU14))</f>
        <v/>
      </c>
      <c r="BV14" s="172">
        <f>MIN(IF($AU14=100%,1,1+VLOOKUP(($AJ14-$AI14-$AH14-$AG14-$AF14-$AE14*(1+BV$3))/$AJ14,'Технический лист'!$A:$B,2,1)-VLOOKUP($AO14,'Технический лист'!$A:$B,2,1)),1+(1-$AU14))</f>
        <v/>
      </c>
      <c r="BW14" s="172">
        <f>MIN(IF($AU14=100%,1,1+VLOOKUP(($AJ14-$AI14-$AH14-$AG14-$AF14-$AE14*(1+BW$3))/$AJ14,'Технический лист'!$A:$B,2,1)-VLOOKUP($AO14,'Технический лист'!$A:$B,2,1)),1+(1-$AU14))</f>
        <v/>
      </c>
      <c r="BX14" s="172">
        <f>MIN(IF($AU14=100%,1,1+VLOOKUP(($AJ14-$AI14-$AH14-$AG14-$AF14-$AE14*(1+BX$3))/$AJ14,'Технический лист'!$A:$B,2,1)-VLOOKUP($AO14,'Технический лист'!$A:$B,2,1)),1+(1-$AU14))</f>
        <v/>
      </c>
      <c r="BY14" s="172">
        <f>MIN(IF($AU14=100%,1,1+VLOOKUP(($AJ14-$AI14-$AH14-$AG14-$AF14-$AE14*(1+BY$3))/$AJ14,'Технический лист'!$A:$B,2,1)-VLOOKUP($AO14,'Технический лист'!$A:$B,2,1)),1+(1-$AU14))</f>
        <v/>
      </c>
      <c r="BZ14" s="172">
        <f>MIN(IF($AU14=100%,1,1+VLOOKUP(($AJ14-$AI14-$AH14-$AG14-$AF14-$AE14*(1+BZ$3))/$AJ14,'Технический лист'!$A:$B,2,1)-VLOOKUP($AO14,'Технический лист'!$A:$B,2,1)),1+(1-$AU14))</f>
        <v/>
      </c>
      <c r="CA14" s="172">
        <f>MIN(IF($AU14=100%,1,1+VLOOKUP(($AJ14-$AI14-$AH14-$AG14-$AF14-$AE14*(1+CA$3))/$AJ14,'Технический лист'!$A:$B,2,1)-VLOOKUP($AO14,'Технический лист'!$A:$B,2,1)),1+(1-$AU14))</f>
        <v/>
      </c>
      <c r="CB14" s="172">
        <f>MIN(IF($AU14=100%,1,1+VLOOKUP(($AJ14-$AI14-$AH14-$AG14-$AF14-$AE14*(1+CB$3))/$AJ14,'Технический лист'!$A:$B,2,1)-VLOOKUP($AO14,'Технический лист'!$A:$B,2,1)),1+(1-$AU14))</f>
        <v/>
      </c>
      <c r="CC14" s="172">
        <f>MIN(IF($AU14=100%,1,1+VLOOKUP(($AJ14-$AI14-$AH14-$AG14-$AF14-$AE14*(1+CC$3))/$AJ14,'Технический лист'!$A:$B,2,1)-VLOOKUP($AO14,'Технический лист'!$A:$B,2,1)),1+(1-$AU14))</f>
        <v/>
      </c>
      <c r="CD14" s="172">
        <f>MIN(IF($AU14=100%,1,1+VLOOKUP(($AJ14-$AI14-$AH14-$AG14-$AF14-$AE14*(1+CD$3))/$AJ14,'Технический лист'!$A:$B,2,1)-VLOOKUP($AO14,'Технический лист'!$A:$B,2,1)),1+(1-$AU14))</f>
        <v/>
      </c>
      <c r="CE14" s="172">
        <f>MIN(IF($AU14=100%,1,1+VLOOKUP(($AJ14-$AI14-$AH14-$AG14-$AF14-$AE14*(1+CE$3))/$AJ14,'Технический лист'!$A:$B,2,1)-VLOOKUP($AO14,'Технический лист'!$A:$B,2,1)),1+(1-$AU14))</f>
        <v/>
      </c>
      <c r="CF14" s="172">
        <f>MIN(IF($AU14=100%,1,1+VLOOKUP(($AJ14-$AI14-$AH14-$AG14-$AF14-$AE14*(1+CF$3))/$AJ14,'Технический лист'!$A:$B,2,1)-VLOOKUP($AO14,'Технический лист'!$A:$B,2,1)),1+(1-$AU14))</f>
        <v/>
      </c>
      <c r="CG14" s="172">
        <f>MIN(IF($AU14=100%,1,1+VLOOKUP(($AJ14-$AI14-$AH14-$AG14-$AF14-$AE14*(1+CG$3))/$AJ14,'Технический лист'!$A:$B,2,1)-VLOOKUP($AO14,'Технический лист'!$A:$B,2,1)),1+(1-$AU14))</f>
        <v/>
      </c>
      <c r="CH14" s="172">
        <f>MIN(IF($AU14=100%,1,1+VLOOKUP(($AJ14-$AI14-$AH14-$AG14-$AF14-$AE14*(1+CH$3))/$AJ14,'Технический лист'!$A:$B,2,1)-VLOOKUP($AO14,'Технический лист'!$A:$B,2,1)),1+(1-$AU14))</f>
        <v/>
      </c>
      <c r="CI14" s="172">
        <f>MIN(IF($AU14=100%,1,1+VLOOKUP(($AJ14-$AI14-$AH14-$AG14-$AF14-$AE14*(1+CI$3))/$AJ14,'Технический лист'!$A:$B,2,1)-VLOOKUP($AO14,'Технический лист'!$A:$B,2,1)),1+(1-$AU14))</f>
        <v/>
      </c>
      <c r="CJ14" s="172">
        <f>MIN(IF($AU14=100%,1,1+VLOOKUP(($AJ14-$AI14-$AH14-$AG14-$AF14-$AE14*(1+CJ$3))/$AJ14,'Технический лист'!$A:$B,2,1)-VLOOKUP($AO14,'Технический лист'!$A:$B,2,1)),1+(1-$AU14))</f>
        <v/>
      </c>
      <c r="CK14" s="172">
        <f>MIN(IF($AU14=100%,1,1+VLOOKUP(($AJ14-$AI14-$AH14-$AG14-$AF14-$AE14*(1+CK$3))/$AJ14,'Технический лист'!$A:$B,2,1)-VLOOKUP($AO14,'Технический лист'!$A:$B,2,1)),1+(1-$AU14))</f>
        <v/>
      </c>
      <c r="CL14" s="172">
        <f>MIN(IF($AU14=100%,1,1+VLOOKUP(($AJ14-$AI14-$AH14-$AG14-$AF14-$AE14*(1+CL$3))/$AJ14,'Технический лист'!$A:$B,2,1)-VLOOKUP($AO14,'Технический лист'!$A:$B,2,1)),1+(1-$AU14))</f>
        <v/>
      </c>
      <c r="CM14" s="172">
        <f>MIN(IF($AU14=100%,1,1+VLOOKUP(($AJ14-$AI14-$AH14-$AG14-$AF14-$AE14*(1+CM$3))/$AJ14,'Технический лист'!$A:$B,2,1)-VLOOKUP($AO14,'Технический лист'!$A:$B,2,1)),1+(1-$AU14))</f>
        <v/>
      </c>
      <c r="CN14" s="172">
        <f>MIN(IF($AU14=100%,1,1+VLOOKUP(($AJ14-$AI14-$AH14-$AG14-$AF14-$AE14*(1+CN$3))/$AJ14,'Технический лист'!$A:$B,2,1)-VLOOKUP($AO14,'Технический лист'!$A:$B,2,1)),1+(1-$AU14))</f>
        <v/>
      </c>
      <c r="CO14" s="172">
        <f>MIN(IF($AU14=100%,1,1+VLOOKUP(($AJ14-$AI14-$AH14-$AG14-$AF14-$AE14*(1+CO$3))/$AJ14,'Технический лист'!$A:$B,2,1)-VLOOKUP($AO14,'Технический лист'!$A:$B,2,1)),1+(1-$AU14))</f>
        <v/>
      </c>
      <c r="CP14" s="172">
        <f>MIN(IF($AU14=100%,1,1+VLOOKUP(($AJ14-$AI14-$AH14-$AG14-$AF14-$AE14*(1+CP$3))/$AJ14,'Технический лист'!$A:$B,2,1)-VLOOKUP($AO14,'Технический лист'!$A:$B,2,1)),1+(1-$AU14))</f>
        <v/>
      </c>
      <c r="CQ14" s="172">
        <f>MIN(IF($AU14=100%,1,1+VLOOKUP(($AJ14-$AI14-$AH14-$AG14-$AF14-$AE14*(1+CQ$3))/$AJ14,'Технический лист'!$A:$B,2,1)-VLOOKUP($AO14,'Технический лист'!$A:$B,2,1)),1+(1-$AU14))</f>
        <v/>
      </c>
      <c r="CR14" s="172">
        <f>MIN(IF($AU14=100%,1,1+VLOOKUP(($AJ14-$AI14-$AH14-$AG14-$AF14-$AE14*(1+CR$3))/$AJ14,'Технический лист'!$A:$B,2,1)-VLOOKUP($AO14,'Технический лист'!$A:$B,2,1)),1+(1-$AU14))</f>
        <v/>
      </c>
      <c r="CS14" s="172">
        <f>MIN(IF($AU14=100%,1,1+VLOOKUP(($AJ14-$AI14-$AH14-$AG14-$AF14-$AE14*(1+CS$3))/$AJ14,'Технический лист'!$A:$B,2,1)-VLOOKUP($AO14,'Технический лист'!$A:$B,2,1)),1+(1-$AU14))</f>
        <v/>
      </c>
      <c r="CT14" s="172">
        <f>MIN(IF($AU14=100%,1,1+VLOOKUP(($AJ14-$AI14-$AH14-$AG14-$AF14-$AE14*(1+CT$3))/$AJ14,'Технический лист'!$A:$B,2,1)-VLOOKUP($AO14,'Технический лист'!$A:$B,2,1)),1+(1-$AU14))</f>
        <v/>
      </c>
      <c r="CU14" s="172">
        <f>MIN(IF($AU14=100%,1,1+VLOOKUP(($AJ14-$AI14-$AH14-$AG14-$AF14-$AE14*(1+CU$3))/$AJ14,'Технический лист'!$A:$B,2,1)-VLOOKUP($AO14,'Технический лист'!$A:$B,2,1)),1+(1-$AU14))</f>
        <v/>
      </c>
      <c r="CV14" s="172">
        <f>MIN(IF($AU14=100%,1,1+VLOOKUP(($AJ14-$AI14-$AH14-$AG14-$AF14-$AE14*(1+CV$3))/$AJ14,'Технический лист'!$A:$B,2,1)-VLOOKUP($AO14,'Технический лист'!$A:$B,2,1)),1+(1-$AU14))</f>
        <v/>
      </c>
      <c r="CW14" s="172">
        <f>MIN(IF($AU14=100%,1,1+VLOOKUP(($AJ14-$AI14-$AH14-$AG14-$AF14-$AE14*(1+CW$3))/$AJ14,'Технический лист'!$A:$B,2,1)-VLOOKUP($AO14,'Технический лист'!$A:$B,2,1)),1+(1-$AU14))</f>
        <v/>
      </c>
      <c r="CX14" s="172">
        <f>MIN(IF($AU14=100%,1,1+VLOOKUP(($AJ14-$AI14-$AH14-$AG14-$AF14-$AE14*(1+CX$3))/$AJ14,'Технический лист'!$A:$B,2,1)-VLOOKUP($AO14,'Технический лист'!$A:$B,2,1)),1+(1-$AU14))</f>
        <v/>
      </c>
      <c r="CY14" s="172">
        <f>MIN(IF($AU14=100%,1,1+VLOOKUP(($AJ14-$AI14-$AH14-$AG14-$AF14-$AE14*(1+CY$3))/$AJ14,'Технический лист'!$A:$B,2,1)-VLOOKUP($AO14,'Технический лист'!$A:$B,2,1)),1+(1-$AU14))</f>
        <v/>
      </c>
      <c r="CZ14" s="172">
        <f>MIN(IF($AU14=100%,1,1+VLOOKUP(($AJ14-$AI14-$AH14-$AG14-$AF14-$AE14*(1+CZ$3))/$AJ14,'Технический лист'!$A:$B,2,1)-VLOOKUP($AO14,'Технический лист'!$A:$B,2,1)),1+(1-$AU14))</f>
        <v/>
      </c>
      <c r="DA14" s="172">
        <f>MIN(IF($AU14=100%,1,1+VLOOKUP(($AJ14-$AI14-$AH14-$AG14-$AF14-$AE14*(1+DA$3))/$AJ14,'Технический лист'!$A:$B,2,1)-VLOOKUP($AO14,'Технический лист'!$A:$B,2,1)),1+(1-$AU14))</f>
        <v/>
      </c>
      <c r="DB14" s="172">
        <f>MIN(IF($AU14=100%,1,1+VLOOKUP(($AJ14-$AI14-$AH14-$AG14-$AF14-$AE14*(1+DB$3))/$AJ14,'Технический лист'!$A:$B,2,1)-VLOOKUP($AO14,'Технический лист'!$A:$B,2,1)),1+(1-$AU14))</f>
        <v/>
      </c>
      <c r="DC14" s="172">
        <f>MIN(IF($AU14=100%,1,1+VLOOKUP(($AJ14-$AI14-$AH14-$AG14-$AF14-$AE14*(1+DC$3))/$AJ14,'Технический лист'!$A:$B,2,1)-VLOOKUP($AO14,'Технический лист'!$A:$B,2,1)),1+(1-$AU14))</f>
        <v/>
      </c>
      <c r="DD14" s="172">
        <f>MIN(IF($AU14=100%,1,1+VLOOKUP(($AJ14-$AI14-$AH14-$AG14-$AF14-$AE14*(1+DD$3))/$AJ14,'Технический лист'!$A:$B,2,1)-VLOOKUP($AO14,'Технический лист'!$A:$B,2,1)),1+(1-$AU14))</f>
        <v/>
      </c>
      <c r="DE14" s="172">
        <f>MIN(IF($AU14=100%,1,1+VLOOKUP(($AJ14-$AI14-$AH14-$AG14-$AF14-$AE14*(1+DE$3))/$AJ14,'Технический лист'!$A:$B,2,1)-VLOOKUP($AO14,'Технический лист'!$A:$B,2,1)),1+(1-$AU14))</f>
        <v/>
      </c>
      <c r="DF14" s="172">
        <f>MIN(IF($AU14=100%,1,1+VLOOKUP(($AJ14-$AI14-$AH14-$AG14-$AF14-$AE14*(1+DF$3))/$AJ14,'Технический лист'!$A:$B,2,1)-VLOOKUP($AO14,'Технический лист'!$A:$B,2,1)),1+(1-$AU14))</f>
        <v/>
      </c>
      <c r="DG14" s="172">
        <f>MIN(IF($AU14=100%,1,1+VLOOKUP(($AJ14-$AI14-$AH14-$AG14-$AF14-$AE14*(1+DG$3))/$AJ14,'Технический лист'!$A:$B,2,1)-VLOOKUP($AO14,'Технический лист'!$A:$B,2,1)),1+(1-$AU14))</f>
        <v/>
      </c>
      <c r="DH14" s="172">
        <f>MIN(IF($AU14=100%,1,1+VLOOKUP(($AJ14-$AI14-$AH14-$AG14-$AF14-$AE14*(1+DH$3))/$AJ14,'Технический лист'!$A:$B,2,1)-VLOOKUP($AO14,'Технический лист'!$A:$B,2,1)),1+(1-$AU14))</f>
        <v/>
      </c>
      <c r="DI14" s="172">
        <f>MIN(IF($AU14=100%,1,1+VLOOKUP(($AJ14-$AI14-$AH14-$AG14-$AF14-$AE14*(1+DI$3))/$AJ14,'Технический лист'!$A:$B,2,1)-VLOOKUP($AO14,'Технический лист'!$A:$B,2,1)),1+(1-$AU14))</f>
        <v/>
      </c>
      <c r="DJ14" s="172">
        <f>MIN(IF($AU14=100%,1,1+VLOOKUP(($AJ14-$AI14-$AH14-$AG14-$AF14-$AE14*(1+DJ$3))/$AJ14,'Технический лист'!$A:$B,2,1)-VLOOKUP($AO14,'Технический лист'!$A:$B,2,1)),1+(1-$AU14))</f>
        <v/>
      </c>
      <c r="DK14" s="172">
        <f>MIN(IF($AU14=100%,1,1+VLOOKUP(($AJ14-$AI14-$AH14-$AG14-$AF14-$AE14*(1+DK$3))/$AJ14,'Технический лист'!$A:$B,2,1)-VLOOKUP($AO14,'Технический лист'!$A:$B,2,1)),1+(1-$AU14))</f>
        <v/>
      </c>
      <c r="DL14" s="172">
        <f>MIN(IF($AU14=100%,1,1+VLOOKUP(($AJ14-$AI14-$AH14-$AG14-$AF14-$AE14*(1+DL$3))/$AJ14,'Технический лист'!$A:$B,2,1)-VLOOKUP($AO14,'Технический лист'!$A:$B,2,1)),1+(1-$AU14))</f>
        <v/>
      </c>
      <c r="DM14" s="172">
        <f>MIN(IF($AU14=100%,1,1+VLOOKUP(($AJ14-$AI14-$AH14-$AG14-$AF14-$AE14*(1+DM$3))/$AJ14,'Технический лист'!$A:$B,2,1)-VLOOKUP($AO14,'Технический лист'!$A:$B,2,1)),1+(1-$AU14))</f>
        <v/>
      </c>
      <c r="DN14" s="172">
        <f>MIN(IF($AU14=100%,1,1+VLOOKUP(($AJ14-$AI14-$AH14-$AG14-$AF14-$AE14*(1+DN$3))/$AJ14,'Технический лист'!$A:$B,2,1)-VLOOKUP($AO14,'Технический лист'!$A:$B,2,1)),1+(1-$AU14))</f>
        <v/>
      </c>
      <c r="DO14" s="172">
        <f>MIN(IF($AU14=100%,1,1+VLOOKUP(($AJ14-$AI14-$AH14-$AG14-$AF14-$AE14*(1+DO$3))/$AJ14,'Технический лист'!$A:$B,2,1)-VLOOKUP($AO14,'Технический лист'!$A:$B,2,1)),1+(1-$AU14))</f>
        <v/>
      </c>
      <c r="DP14" s="172">
        <f>MIN(IF($AU14=100%,1,1+VLOOKUP(($AJ14-$AI14-$AH14-$AG14-$AF14-$AE14*(1+DP$3))/$AJ14,'Технический лист'!$A:$B,2,1)-VLOOKUP($AO14,'Технический лист'!$A:$B,2,1)),1+(1-$AU14))</f>
        <v/>
      </c>
      <c r="DQ14" s="172">
        <f>MIN(IF($AU14=100%,1,1+VLOOKUP(($AJ14-$AI14-$AH14-$AG14-$AF14-$AE14*(1+DQ$3))/$AJ14,'Технический лист'!$A:$B,2,1)-VLOOKUP($AO14,'Технический лист'!$A:$B,2,1)),1+(1-$AU14))</f>
        <v/>
      </c>
      <c r="DR14" s="172">
        <f>MIN(IF($AU14=100%,1,1+VLOOKUP(($AJ14-$AI14-$AH14-$AG14-$AF14-$AE14*(1+DR$3))/$AJ14,'Технический лист'!$A:$B,2,1)-VLOOKUP($AO14,'Технический лист'!$A:$B,2,1)),1+(1-$AU14))</f>
        <v/>
      </c>
      <c r="DS14" s="172">
        <f>MIN(IF($AU14=100%,1,1+VLOOKUP(($AJ14-$AI14-$AH14-$AG14-$AF14-$AE14*(1+DS$3))/$AJ14,'Технический лист'!$A:$B,2,1)-VLOOKUP($AO14,'Технический лист'!$A:$B,2,1)),1+(1-$AU14))</f>
        <v/>
      </c>
      <c r="DT14" s="172">
        <f>MIN(IF($AU14=100%,1,1+VLOOKUP(($AJ14-$AI14-$AH14-$AG14-$AF14-$AE14*(1+DT$3))/$AJ14,'Технический лист'!$A:$B,2,1)-VLOOKUP($AO14,'Технический лист'!$A:$B,2,1)),1+(1-$AU14))</f>
        <v/>
      </c>
      <c r="DU14" s="172">
        <f>MIN(IF($AU14=100%,1,1+VLOOKUP(($AJ14-$AI14-$AH14-$AG14-$AF14-$AE14*(1+DU$3))/$AJ14,'Технический лист'!$A:$B,2,1)-VLOOKUP($AO14,'Технический лист'!$A:$B,2,1)),1+(1-$AU14))</f>
        <v/>
      </c>
      <c r="DV14" s="172">
        <f>MIN(IF($AU14=100%,1,1+VLOOKUP(($AJ14-$AI14-$AH14-$AG14-$AF14-$AE14*(1+DV$3))/$AJ14,'Технический лист'!$A:$B,2,1)-VLOOKUP($AO14,'Технический лист'!$A:$B,2,1)),1+(1-$AU14))</f>
        <v/>
      </c>
      <c r="DW14" s="172">
        <f>MIN(IF($AU14=100%,1,1+VLOOKUP(($AJ14-$AI14-$AH14-$AG14-$AF14-$AE14*(1+DW$3))/$AJ14,'Технический лист'!$A:$B,2,1)-VLOOKUP($AO14,'Технический лист'!$A:$B,2,1)),1+(1-$AU14))</f>
        <v/>
      </c>
      <c r="DX14" s="172">
        <f>MIN(IF($AU14=100%,1,1+VLOOKUP(($AJ14-$AI14-$AH14-$AG14-$AF14-$AE14*(1+DX$3))/$AJ14,'Технический лист'!$A:$B,2,1)-VLOOKUP($AO14,'Технический лист'!$A:$B,2,1)),1+(1-$AU14))</f>
        <v/>
      </c>
      <c r="DY14" s="172">
        <f>MIN(IF($AU14=100%,1,1+VLOOKUP(($AJ14-$AI14-$AH14-$AG14-$AF14-$AE14*(1+DY$3))/$AJ14,'Технический лист'!$A:$B,2,1)-VLOOKUP($AO14,'Технический лист'!$A:$B,2,1)),1+(1-$AU14))</f>
        <v/>
      </c>
      <c r="DZ14" s="172">
        <f>MIN(IF($AU14=100%,1,1+VLOOKUP(($AJ14-$AI14-$AH14-$AG14-$AF14-$AE14*(1+DZ$3))/$AJ14,'Технический лист'!$A:$B,2,1)-VLOOKUP($AO14,'Технический лист'!$A:$B,2,1)),1+(1-$AU14))</f>
        <v/>
      </c>
      <c r="EA14" s="172">
        <f>MIN(IF($AU14=100%,1,1+VLOOKUP(($AJ14-$AI14-$AH14-$AG14-$AF14-$AE14*(1+EA$3))/$AJ14,'Технический лист'!$A:$B,2,1)-VLOOKUP($AO14,'Технический лист'!$A:$B,2,1)),1+(1-$AU14))</f>
        <v/>
      </c>
      <c r="EB14" s="172">
        <f>MIN(IF($AU14=100%,1,1+VLOOKUP(($AJ14-$AI14-$AH14-$AG14-$AF14-$AE14*(1+EB$3))/$AJ14,'Технический лист'!$A:$B,2,1)-VLOOKUP($AO14,'Технический лист'!$A:$B,2,1)),1+(1-$AU14))</f>
        <v/>
      </c>
      <c r="EC14" s="172">
        <f>MIN(IF($AU14=100%,1,1+VLOOKUP(($AJ14-$AI14-$AH14-$AG14-$AF14-$AE14*(1+EC$3))/$AJ14,'Технический лист'!$A:$B,2,1)-VLOOKUP($AO14,'Технический лист'!$A:$B,2,1)),1+(1-$AU14))</f>
        <v/>
      </c>
      <c r="ED14" s="172">
        <f>MIN(IF($AU14=100%,1,1+VLOOKUP(($AJ14-$AI14-$AH14-$AG14-$AF14-$AE14*(1+ED$3))/$AJ14,'Технический лист'!$A:$B,2,1)-VLOOKUP($AO14,'Технический лист'!$A:$B,2,1)),1+(1-$AU14))</f>
        <v/>
      </c>
      <c r="EE14" s="172">
        <f>MIN(IF($AU14=100%,1,1+VLOOKUP(($AJ14-$AI14-$AH14-$AG14-$AF14-$AE14*(1+EE$3))/$AJ14,'Технический лист'!$A:$B,2,1)-VLOOKUP($AO14,'Технический лист'!$A:$B,2,1)),1+(1-$AU14))</f>
        <v/>
      </c>
      <c r="EF14" s="172">
        <f>MIN(IF($AU14=100%,1,1+VLOOKUP(($AJ14-$AI14-$AH14-$AG14-$AF14-$AE14*(1+EF$3))/$AJ14,'Технический лист'!$A:$B,2,1)-VLOOKUP($AO14,'Технический лист'!$A:$B,2,1)),1+(1-$AU14))</f>
        <v/>
      </c>
      <c r="EG14" s="172">
        <f>MIN(IF($AU14=100%,1,1+VLOOKUP(($AJ14-$AI14-$AH14-$AG14-$AF14-$AE14*(1+EG$3))/$AJ14,'Технический лист'!$A:$B,2,1)-VLOOKUP($AO14,'Технический лист'!$A:$B,2,1)),1+(1-$AU14))</f>
        <v/>
      </c>
      <c r="EH14" s="172">
        <f>MIN(IF($AU14=100%,1,1+VLOOKUP(($AJ14-$AI14-$AH14-$AG14-$AF14-$AE14*(1+EH$3))/$AJ14,'Технический лист'!$A:$B,2,1)-VLOOKUP($AO14,'Технический лист'!$A:$B,2,1)),1+(1-$AU14))</f>
        <v/>
      </c>
      <c r="EI14" s="172">
        <f>MIN(IF($AU14=100%,1,1+VLOOKUP(($AJ14-$AI14-$AH14-$AG14-$AF14-$AE14*(1+EI$3))/$AJ14,'Технический лист'!$A:$B,2,1)-VLOOKUP($AO14,'Технический лист'!$A:$B,2,1)),1+(1-$AU14))</f>
        <v/>
      </c>
      <c r="EJ14" s="172">
        <f>MIN(IF($AU14=100%,1,1+VLOOKUP(($AJ14-$AI14-$AH14-$AG14-$AF14-$AE14*(1+EJ$3))/$AJ14,'Технический лист'!$A:$B,2,1)-VLOOKUP($AO14,'Технический лист'!$A:$B,2,1)),1+(1-$AU14))</f>
        <v/>
      </c>
      <c r="EK14" s="172">
        <f>MIN(IF($AU14=100%,1,1+VLOOKUP(($AJ14-$AI14-$AH14-$AG14-$AF14-$AE14*(1+EK$3))/$AJ14,'Технический лист'!$A:$B,2,1)-VLOOKUP($AO14,'Технический лист'!$A:$B,2,1)),1+(1-$AU14))</f>
        <v/>
      </c>
      <c r="EL14" s="172">
        <f>MIN(IF($AU14=100%,1,1+VLOOKUP(($AJ14-$AI14-$AH14-$AG14-$AF14-$AE14*(1+EL$3))/$AJ14,'Технический лист'!$A:$B,2,1)-VLOOKUP($AO14,'Технический лист'!$A:$B,2,1)),1+(1-$AU14))</f>
        <v/>
      </c>
      <c r="EM14" s="172">
        <f>MIN(IF($AU14=100%,1,1+VLOOKUP(($AJ14-$AI14-$AH14-$AG14-$AF14-$AE14*(1+EM$3))/$AJ14,'Технический лист'!$A:$B,2,1)-VLOOKUP($AO14,'Технический лист'!$A:$B,2,1)),1+(1-$AU14))</f>
        <v/>
      </c>
      <c r="EN14" s="172">
        <f>MIN(IF($AU14=100%,1,1+VLOOKUP(($AJ14-$AI14-$AH14-$AG14-$AF14-$AE14*(1+EN$3))/$AJ14,'Технический лист'!$A:$B,2,1)-VLOOKUP($AO14,'Технический лист'!$A:$B,2,1)),1+(1-$AU14))</f>
        <v/>
      </c>
      <c r="EO14" s="172">
        <f>MIN(IF($AU14=100%,1,1+VLOOKUP(($AJ14-$AI14-$AH14-$AG14-$AF14-$AE14*(1+EO$3))/$AJ14,'Технический лист'!$A:$B,2,1)-VLOOKUP($AO14,'Технический лист'!$A:$B,2,1)),1+(1-$AU14))</f>
        <v/>
      </c>
      <c r="EP14" s="172">
        <f>MIN(IF($AU14=100%,1,1+VLOOKUP(($AJ14-$AI14-$AH14-$AG14-$AF14-$AE14*(1+EP$3))/$AJ14,'Технический лист'!$A:$B,2,1)-VLOOKUP($AO14,'Технический лист'!$A:$B,2,1)),1+(1-$AU14))</f>
        <v/>
      </c>
      <c r="EQ14" s="172">
        <f>MIN(IF($AU14=100%,1,1+VLOOKUP(($AJ14-$AI14-$AH14-$AG14-$AF14-$AE14*(1+EQ$3))/$AJ14,'Технический лист'!$A:$B,2,1)-VLOOKUP($AO14,'Технический лист'!$A:$B,2,1)),1+(1-$AU14))</f>
        <v/>
      </c>
      <c r="ER14" s="172">
        <f>MIN(IF($AU14=100%,1,1+VLOOKUP(($AJ14-$AI14-$AH14-$AG14-$AF14-$AE14*(1+ER$3))/$AJ14,'Технический лист'!$A:$B,2,1)-VLOOKUP($AO14,'Технический лист'!$A:$B,2,1)),1+(1-$AU14))</f>
        <v/>
      </c>
      <c r="ES14" s="172">
        <f>MIN(IF($AU14=100%,1,1+VLOOKUP(($AJ14-$AI14-$AH14-$AG14-$AF14-$AE14*(1+ES$3))/$AJ14,'Технический лист'!$A:$B,2,1)-VLOOKUP($AO14,'Технический лист'!$A:$B,2,1)),1+(1-$AU14))</f>
        <v/>
      </c>
      <c r="ET14" s="172">
        <f>MIN(IF($AU14=100%,1,1+VLOOKUP(($AJ14-$AI14-$AH14-$AG14-$AF14-$AE14*(1+ET$3))/$AJ14,'Технический лист'!$A:$B,2,1)-VLOOKUP($AO14,'Технический лист'!$A:$B,2,1)),1+(1-$AU14))</f>
        <v/>
      </c>
      <c r="EU14" s="172">
        <f>MIN(IF($AU14=100%,1,1+VLOOKUP(($AJ14-$AI14-$AH14-$AG14-$AF14-$AE14*(1+EU$3))/$AJ14,'Технический лист'!$A:$B,2,1)-VLOOKUP($AO14,'Технический лист'!$A:$B,2,1)),1+(1-$AU14))</f>
        <v/>
      </c>
      <c r="EV14" s="173" t="n">
        <v>1</v>
      </c>
      <c r="EW14" s="172">
        <f>MIN(1,MAX(VLOOKUP(($AJ14-$AI14-$AH14-$AG14-$AF14-$AE14*(1+EW$3))/$AJ14,'Технический лист'!$A:$B,2,1),(EV14-0.05)))</f>
        <v/>
      </c>
      <c r="EX14" s="172">
        <f>MIN(1,MAX(VLOOKUP(($AJ14-$AI14-$AH14-$AG14-$AF14-$AE14*(1+EX$3))/$AJ14,'Технический лист'!$A:$B,2,1),(EW14-0.05)))</f>
        <v/>
      </c>
      <c r="EY14" s="172">
        <f>MIN(1,MAX(VLOOKUP(($AJ14-$AI14-$AH14-$AG14-$AF14-$AE14*(1+EY$3))/$AJ14,'Технический лист'!$A:$B,2,1),(EX14-0.05)))</f>
        <v/>
      </c>
      <c r="EZ14" s="172">
        <f>MIN(1,MAX(VLOOKUP(($AJ14-$AI14-$AH14-$AG14-$AF14-$AE14*(1+EZ$3))/$AJ14,'Технический лист'!$A:$B,2,1),(EY14-0.05)))</f>
        <v/>
      </c>
      <c r="FA14" s="172">
        <f>MIN(1,MAX(VLOOKUP(($AJ14-$AI14-$AH14-$AG14-$AF14-$AE14*(1+FA$3))/$AJ14,'Технический лист'!$A:$B,2,1),(EZ14-0.05)))</f>
        <v/>
      </c>
      <c r="FB14" s="172">
        <f>MIN(1,MAX(VLOOKUP(($AJ14-$AI14-$AH14-$AG14-$AF14-$AE14*(1+FB$3))/$AJ14,'Технический лист'!$A:$B,2,1),(FA14-0.05)))</f>
        <v/>
      </c>
      <c r="FC14" s="172">
        <f>MIN(1,MAX(VLOOKUP(($AJ14-$AI14-$AH14-$AG14-$AF14-$AE14*(1+FC$3))/$AJ14,'Технический лист'!$A:$B,2,1),(FB14-0.05)))</f>
        <v/>
      </c>
      <c r="FD14" s="172">
        <f>MIN(1,MAX(VLOOKUP(($AJ14-$AI14-$AH14-$AG14-$AF14-$AE14*(1+FD$3))/$AJ14,'Технический лист'!$A:$B,2,1),(FC14-0.05)))</f>
        <v/>
      </c>
      <c r="FE14" s="172">
        <f>MIN(1,MAX(VLOOKUP(($AJ14-$AI14-$AH14-$AG14-$AF14-$AE14*(1+FE$3))/$AJ14,'Технический лист'!$A:$B,2,1),(FD14-0.05)))</f>
        <v/>
      </c>
      <c r="FF14" s="172">
        <f>MIN(1,MAX(VLOOKUP(($AJ14-$AI14-$AH14-$AG14-$AF14-$AE14*(1+FF$3))/$AJ14,'Технический лист'!$A:$B,2,1),(FE14-0.05)))</f>
        <v/>
      </c>
      <c r="FG14" s="172">
        <f>MIN(1,MAX(VLOOKUP(($AJ14-$AI14-$AH14-$AG14-$AF14-$AE14*(1+FG$3))/$AJ14,'Технический лист'!$A:$B,2,1),(FF14-0.05)))</f>
        <v/>
      </c>
      <c r="FH14" s="172">
        <f>MIN(1,MAX(VLOOKUP(($AJ14-$AI14-$AH14-$AG14-$AF14-$AE14*(1+FH$3))/$AJ14,'Технический лист'!$A:$B,2,1),(FG14-0.05)))</f>
        <v/>
      </c>
      <c r="FI14" s="172">
        <f>MIN(1,MAX(VLOOKUP(($AJ14-$AI14-$AH14-$AG14-$AF14-$AE14*(1+FI$3))/$AJ14,'Технический лист'!$A:$B,2,1),(FH14-0.05)))</f>
        <v/>
      </c>
      <c r="FJ14" s="172">
        <f>MIN(1,MAX(VLOOKUP(($AJ14-$AI14-$AH14-$AG14-$AF14-$AE14*(1+FJ$3))/$AJ14,'Технический лист'!$A:$B,2,1),(FI14-0.05)))</f>
        <v/>
      </c>
      <c r="FK14" s="172">
        <f>MIN(1,MAX(VLOOKUP(($AJ14-$AI14-$AH14-$AG14-$AF14-$AE14*(1+FK$3))/$AJ14,'Технический лист'!$A:$B,2,1),(FJ14-0.05)))</f>
        <v/>
      </c>
      <c r="FL14" s="172">
        <f>MIN(1,MAX(VLOOKUP(($AJ14-$AI14-$AH14-$AG14-$AF14-$AE14*(1+FL$3))/$AJ14,'Технический лист'!$A:$B,2,1),(FK14-0.05)))</f>
        <v/>
      </c>
      <c r="FM14" s="172">
        <f>MIN(1,MAX(VLOOKUP(($AJ14-$AI14-$AH14-$AG14-$AF14-$AE14*(1+FM$3))/$AJ14,'Технический лист'!$A:$B,2,1),(FL14-0.05)))</f>
        <v/>
      </c>
      <c r="FN14" s="172">
        <f>MIN(1,MAX(VLOOKUP(($AJ14-$AI14-$AH14-$AG14-$AF14-$AE14*(1+FN$3))/$AJ14,'Технический лист'!$A:$B,2,1),(FM14-0.05)))</f>
        <v/>
      </c>
      <c r="FO14" s="172">
        <f>MIN(1,MAX(VLOOKUP(($AJ14-$AI14-$AH14-$AG14-$AF14-$AE14*(1+FO$3))/$AJ14,'Технический лист'!$A:$B,2,1),(FN14-0.05)))</f>
        <v/>
      </c>
      <c r="FP14" s="172">
        <f>MIN(1,MAX(VLOOKUP(($AJ14-$AI14-$AH14-$AG14-$AF14-$AE14*(1+FP$3))/$AJ14,'Технический лист'!$A:$B,2,1),(FO14-0.05)))</f>
        <v/>
      </c>
      <c r="FQ14" s="172">
        <f>MIN(1,MAX(VLOOKUP(($AJ14-$AI14-$AH14-$AG14-$AF14-$AE14*(1+FQ$3))/$AJ14,'Технический лист'!$A:$B,2,1),(FP14-0.05)))</f>
        <v/>
      </c>
      <c r="FR14" s="172">
        <f>MIN(1,MAX(VLOOKUP(($AJ14-$AI14-$AH14-$AG14-$AF14-$AE14*(1+FR$3))/$AJ14,'Технический лист'!$A:$B,2,1),(FQ14-0.05)))</f>
        <v/>
      </c>
      <c r="FS14" s="172">
        <f>MIN(1,MAX(VLOOKUP(($AJ14-$AI14-$AH14-$AG14-$AF14-$AE14*(1+FS$3))/$AJ14,'Технический лист'!$A:$B,2,1),(FR14-0.05)))</f>
        <v/>
      </c>
      <c r="FT14" s="172">
        <f>MIN(1,MAX(VLOOKUP(($AJ14-$AI14-$AH14-$AG14-$AF14-$AE14*(1+FT$3))/$AJ14,'Технический лист'!$A:$B,2,1),(FS14-0.05)))</f>
        <v/>
      </c>
      <c r="FU14" s="172">
        <f>MIN(1,MAX(VLOOKUP(($AJ14-$AI14-$AH14-$AG14-$AF14-$AE14*(1+FU$3))/$AJ14,'Технический лист'!$A:$B,2,1),(FT14-0.05)))</f>
        <v/>
      </c>
      <c r="FV14" s="172">
        <f>MIN(1,MAX(VLOOKUP(($AJ14-$AI14-$AH14-$AG14-$AF14-$AE14*(1+FV$3))/$AJ14,'Технический лист'!$A:$B,2,1),(FU14-0.05)))</f>
        <v/>
      </c>
      <c r="FW14" s="172">
        <f>MIN(1,MAX(VLOOKUP(($AJ14-$AI14-$AH14-$AG14-$AF14-$AE14*(1+FW$3))/$AJ14,'Технический лист'!$A:$B,2,1),(FV14-0.05)))</f>
        <v/>
      </c>
      <c r="FX14" s="172">
        <f>MIN(1,MAX(VLOOKUP(($AJ14-$AI14-$AH14-$AG14-$AF14-$AE14*(1+FX$3))/$AJ14,'Технический лист'!$A:$B,2,1),(FW14-0.05)))</f>
        <v/>
      </c>
      <c r="FY14" s="172">
        <f>MIN(1,MAX(VLOOKUP(($AJ14-$AI14-$AH14-$AG14-$AF14-$AE14*(1+FY$3))/$AJ14,'Технический лист'!$A:$B,2,1),(FX14-0.05)))</f>
        <v/>
      </c>
      <c r="FZ14" s="172">
        <f>MIN(1,MAX(VLOOKUP(($AJ14-$AI14-$AH14-$AG14-$AF14-$AE14*(1+FZ$3))/$AJ14,'Технический лист'!$A:$B,2,1),(FY14-0.05)))</f>
        <v/>
      </c>
      <c r="GA14" s="172">
        <f>MIN(1,MAX(VLOOKUP(($AJ14-$AI14-$AH14-$AG14-$AF14-$AE14*(1+GA$3))/$AJ14,'Технический лист'!$A:$B,2,1),(FZ14-0.05)))</f>
        <v/>
      </c>
      <c r="GB14" s="172">
        <f>MIN(1,MAX(VLOOKUP(($AJ14-$AI14-$AH14-$AG14-$AF14-$AE14*(1+GB$3))/$AJ14,'Технический лист'!$A:$B,2,1),(GA14-0.05)))</f>
        <v/>
      </c>
      <c r="GC14" s="172">
        <f>MIN(1,MAX(VLOOKUP(($AJ14-$AI14-$AH14-$AG14-$AF14-$AE14*(1+GC$3))/$AJ14,'Технический лист'!$A:$B,2,1),(GB14-0.05)))</f>
        <v/>
      </c>
      <c r="GD14" s="172">
        <f>MIN(1,MAX(VLOOKUP(($AJ14-$AI14-$AH14-$AG14-$AF14-$AE14*(1+GD$3))/$AJ14,'Технический лист'!$A:$B,2,1),(GC14-0.05)))</f>
        <v/>
      </c>
      <c r="GE14" s="172">
        <f>MIN(1,MAX(VLOOKUP(($AJ14-$AI14-$AH14-$AG14-$AF14-$AE14*(1+GE$3))/$AJ14,'Технический лист'!$A:$B,2,1),(GD14-0.05)))</f>
        <v/>
      </c>
      <c r="GF14" s="172">
        <f>MIN(1,MAX(VLOOKUP(($AJ14-$AI14-$AH14-$AG14-$AF14-$AE14*(1+GF$3))/$AJ14,'Технический лист'!$A:$B,2,1),(GE14-0.05)))</f>
        <v/>
      </c>
      <c r="GG14" s="172">
        <f>MIN(1,MAX(VLOOKUP(($AJ14-$AI14-$AH14-$AG14-$AF14-$AE14*(1+GG$3))/$AJ14,'Технический лист'!$A:$B,2,1),(GF14-0.05)))</f>
        <v/>
      </c>
      <c r="GH14" s="172">
        <f>MIN(1,MAX(VLOOKUP(($AJ14-$AI14-$AH14-$AG14-$AF14-$AE14*(1+GH$3))/$AJ14,'Технический лист'!$A:$B,2,1),(GG14-0.05)))</f>
        <v/>
      </c>
      <c r="GI14" s="172">
        <f>MIN(1,MAX(VLOOKUP(($AJ14-$AI14-$AH14-$AG14-$AF14-$AE14*(1+GI$3))/$AJ14,'Технический лист'!$A:$B,2,1),(GH14-0.05)))</f>
        <v/>
      </c>
      <c r="GJ14" s="172">
        <f>MIN(1,MAX(VLOOKUP(($AJ14-$AI14-$AH14-$AG14-$AF14-$AE14*(1+GJ$3))/$AJ14,'Технический лист'!$A:$B,2,1),(GI14-0.05)))</f>
        <v/>
      </c>
      <c r="GK14" s="172">
        <f>MIN(1,MAX(VLOOKUP(($AJ14-$AI14-$AH14-$AG14-$AF14-$AE14*(1+GK$3))/$AJ14,'Технический лист'!$A:$B,2,1),(GJ14-0.05)))</f>
        <v/>
      </c>
      <c r="GL14" s="172">
        <f>MIN(1,MAX(VLOOKUP(($AJ14-$AI14-$AH14-$AG14-$AF14-$AE14*(1+GL$3))/$AJ14,'Технический лист'!$A:$B,2,1),(GK14-0.05)))</f>
        <v/>
      </c>
      <c r="GM14" s="172">
        <f>MIN(1,MAX(VLOOKUP(($AJ14-$AI14-$AH14-$AG14-$AF14-$AE14*(1+GM$3))/$AJ14,'Технический лист'!$A:$B,2,1),(GL14-0.05)))</f>
        <v/>
      </c>
      <c r="GN14" s="172">
        <f>MIN(1,MAX(VLOOKUP(($AJ14-$AI14-$AH14-$AG14-$AF14-$AE14*(1+GN$3))/$AJ14,'Технический лист'!$A:$B,2,1),(GM14-0.05)))</f>
        <v/>
      </c>
      <c r="GO14" s="172">
        <f>MIN(1,MAX(VLOOKUP(($AJ14-$AI14-$AH14-$AG14-$AF14-$AE14*(1+GO$3))/$AJ14,'Технический лист'!$A:$B,2,1),(GN14-0.05)))</f>
        <v/>
      </c>
      <c r="GP14" s="172">
        <f>MIN(1,MAX(VLOOKUP(($AJ14-$AI14-$AH14-$AG14-$AF14-$AE14*(1+GP$3))/$AJ14,'Технический лист'!$A:$B,2,1),(GO14-0.05)))</f>
        <v/>
      </c>
      <c r="GQ14" s="172">
        <f>MIN(1,MAX(VLOOKUP(($AJ14-$AI14-$AH14-$AG14-$AF14-$AE14*(1+GQ$3))/$AJ14,'Технический лист'!$A:$B,2,1),(GP14-0.05)))</f>
        <v/>
      </c>
      <c r="GR14" s="172">
        <f>MIN(1,MAX(VLOOKUP(($AJ14-$AI14-$AH14-$AG14-$AF14-$AE14*(1+GR$3))/$AJ14,'Технический лист'!$A:$B,2,1),(GQ14-0.05)))</f>
        <v/>
      </c>
      <c r="GS14" s="172">
        <f>MIN(1,MAX(VLOOKUP(($AJ14-$AI14-$AH14-$AG14-$AF14-$AE14*(1+GS$3))/$AJ14,'Технический лист'!$A:$B,2,1),(GR14-0.05)))</f>
        <v/>
      </c>
      <c r="GT14" s="172">
        <f>MIN(1,MAX(VLOOKUP(($AJ14-$AI14-$AH14-$AG14-$AF14-$AE14*(1+GT$3))/$AJ14,'Технический лист'!$A:$B,2,1),(GS14-0.05)))</f>
        <v/>
      </c>
      <c r="GU14" s="172">
        <f>MIN(1,MAX(VLOOKUP(($AJ14-$AI14-$AH14-$AG14-$AF14-$AE14*(1+GU$3))/$AJ14,'Технический лист'!$A:$B,2,1),(GT14-0.05)))</f>
        <v/>
      </c>
      <c r="GV14" s="172">
        <f>MIN(1,MAX(VLOOKUP(($AJ14-$AI14-$AH14-$AG14-$AF14-$AE14*(1+GV$3))/$AJ14,'Технический лист'!$A:$B,2,1),(GU14-0.05)))</f>
        <v/>
      </c>
      <c r="GW14" s="172">
        <f>MIN(1,MAX(VLOOKUP(($AJ14-$AI14-$AH14-$AG14-$AF14-$AE14*(1+GW$3))/$AJ14,'Технический лист'!$A:$B,2,1),(GV14-0.05)))</f>
        <v/>
      </c>
      <c r="GX14" s="172">
        <f>MIN(1,MAX(VLOOKUP(($AJ14-$AI14-$AH14-$AG14-$AF14-$AE14*(1+GX$3))/$AJ14,'Технический лист'!$A:$B,2,1),(GW14-0.05)))</f>
        <v/>
      </c>
      <c r="GY14" s="172">
        <f>MIN(1,MAX(VLOOKUP(($AJ14-$AI14-$AH14-$AG14-$AF14-$AE14*(1+GY$3))/$AJ14,'Технический лист'!$A:$B,2,1),(GX14-0.05)))</f>
        <v/>
      </c>
      <c r="GZ14" s="172">
        <f>MIN(1,MAX(VLOOKUP(($AJ14-$AI14-$AH14-$AG14-$AF14-$AE14*(1+GZ$3))/$AJ14,'Технический лист'!$A:$B,2,1),(GY14-0.05)))</f>
        <v/>
      </c>
      <c r="HA14" s="172">
        <f>MIN(1,MAX(VLOOKUP(($AJ14-$AI14-$AH14-$AG14-$AF14-$AE14*(1+HA$3))/$AJ14,'Технический лист'!$A:$B,2,1),(GZ14-0.05)))</f>
        <v/>
      </c>
      <c r="HB14" s="172">
        <f>MIN(1,MAX(VLOOKUP(($AJ14-$AI14-$AH14-$AG14-$AF14-$AE14*(1+HB$3))/$AJ14,'Технический лист'!$A:$B,2,1),(HA14-0.05)))</f>
        <v/>
      </c>
      <c r="HC14" s="172">
        <f>MIN(1,MAX(VLOOKUP(($AJ14-$AI14-$AH14-$AG14-$AF14-$AE14*(1+HC$3))/$AJ14,'Технический лист'!$A:$B,2,1),(HB14-0.05)))</f>
        <v/>
      </c>
      <c r="HD14" s="172">
        <f>MIN(1,MAX(VLOOKUP(($AJ14-$AI14-$AH14-$AG14-$AF14-$AE14*(1+HD$3))/$AJ14,'Технический лист'!$A:$B,2,1),(HC14-0.05)))</f>
        <v/>
      </c>
      <c r="HE14" s="172">
        <f>MIN(1,MAX(VLOOKUP(($AJ14-$AI14-$AH14-$AG14-$AF14-$AE14*(1+HE$3))/$AJ14,'Технический лист'!$A:$B,2,1),(HD14-0.05)))</f>
        <v/>
      </c>
      <c r="HF14" s="172">
        <f>MIN(1,MAX(VLOOKUP(($AJ14-$AI14-$AH14-$AG14-$AF14-$AE14*(1+HF$3))/$AJ14,'Технический лист'!$A:$B,2,1),(HE14-0.05)))</f>
        <v/>
      </c>
      <c r="HG14" s="172">
        <f>MIN(1,MAX(VLOOKUP(($AJ14-$AI14-$AH14-$AG14-$AF14-$AE14*(1+HG$3))/$AJ14,'Технический лист'!$A:$B,2,1),(HF14-0.05)))</f>
        <v/>
      </c>
      <c r="HH14" s="172">
        <f>MIN(1,MAX(VLOOKUP(($AJ14-$AI14-$AH14-$AG14-$AF14-$AE14*(1+HH$3))/$AJ14,'Технический лист'!$A:$B,2,1),(HG14-0.05)))</f>
        <v/>
      </c>
      <c r="HI14" s="172">
        <f>MIN(1,MAX(VLOOKUP(($AJ14-$AI14-$AH14-$AG14-$AF14-$AE14*(1+HI$3))/$AJ14,'Технический лист'!$A:$B,2,1),(HH14-0.05)))</f>
        <v/>
      </c>
      <c r="HJ14" s="172">
        <f>MIN(1,MAX(VLOOKUP(($AJ14-$AI14-$AH14-$AG14-$AF14-$AE14*(1+HJ$3))/$AJ14,'Технический лист'!$A:$B,2,1),(HI14-0.05)))</f>
        <v/>
      </c>
      <c r="HK14" s="172">
        <f>MIN(1,MAX(VLOOKUP(($AJ14-$AI14-$AH14-$AG14-$AF14-$AE14*(1+HK$3))/$AJ14,'Технический лист'!$A:$B,2,1),(HJ14-0.05)))</f>
        <v/>
      </c>
      <c r="HL14" s="172">
        <f>MIN(1,MAX(VLOOKUP(($AJ14-$AI14-$AH14-$AG14-$AF14-$AE14*(1+HL$3))/$AJ14,'Технический лист'!$A:$B,2,1),(HK14-0.05)))</f>
        <v/>
      </c>
      <c r="HM14" s="172">
        <f>MIN(1,MAX(VLOOKUP(($AJ14-$AI14-$AH14-$AG14-$AF14-$AE14*(1+HM$3))/$AJ14,'Технический лист'!$A:$B,2,1),(HL14-0.05)))</f>
        <v/>
      </c>
      <c r="HN14" s="172">
        <f>MIN(1,MAX(VLOOKUP(($AJ14-$AI14-$AH14-$AG14-$AF14-$AE14*(1+HN$3))/$AJ14,'Технический лист'!$A:$B,2,1),(HM14-0.05)))</f>
        <v/>
      </c>
      <c r="HO14" s="172">
        <f>MIN(1,MAX(VLOOKUP(($AJ14-$AI14-$AH14-$AG14-$AF14-$AE14*(1+HO$3))/$AJ14,'Технический лист'!$A:$B,2,1),(HN14-0.05)))</f>
        <v/>
      </c>
      <c r="HP14" s="172">
        <f>MIN(1,MAX(VLOOKUP(($AJ14-$AI14-$AH14-$AG14-$AF14-$AE14*(1+HP$3))/$AJ14,'Технический лист'!$A:$B,2,1),(HO14-0.05)))</f>
        <v/>
      </c>
      <c r="HQ14" s="172">
        <f>MIN(1,MAX(VLOOKUP(($AJ14-$AI14-$AH14-$AG14-$AF14-$AE14*(1+HQ$3))/$AJ14,'Технический лист'!$A:$B,2,1),(HP14-0.05)))</f>
        <v/>
      </c>
      <c r="HR14" s="172">
        <f>MIN(1,MAX(VLOOKUP(($AJ14-$AI14-$AH14-$AG14-$AF14-$AE14*(1+HR$3))/$AJ14,'Технический лист'!$A:$B,2,1),(HQ14-0.05)))</f>
        <v/>
      </c>
      <c r="HS14" s="172">
        <f>MIN(1,MAX(VLOOKUP(($AJ14-$AI14-$AH14-$AG14-$AF14-$AE14*(1+HS$3))/$AJ14,'Технический лист'!$A:$B,2,1),(HR14-0.05)))</f>
        <v/>
      </c>
      <c r="HT14" s="172">
        <f>MIN(1,MAX(VLOOKUP(($AJ14-$AI14-$AH14-$AG14-$AF14-$AE14*(1+HT$3))/$AJ14,'Технический лист'!$A:$B,2,1),(HS14-0.05)))</f>
        <v/>
      </c>
      <c r="HU14" s="172">
        <f>MIN(1,MAX(VLOOKUP(($AJ14-$AI14-$AH14-$AG14-$AF14-$AE14*(1+HU$3))/$AJ14,'Технический лист'!$A:$B,2,1),(HT14-0.05)))</f>
        <v/>
      </c>
      <c r="HV14" s="172">
        <f>MIN(1,MAX(VLOOKUP(($AJ14-$AI14-$AH14-$AG14-$AF14-$AE14*(1+HV$3))/$AJ14,'Технический лист'!$A:$B,2,1),(HU14-0.05)))</f>
        <v/>
      </c>
      <c r="HW14" s="172">
        <f>MIN(1,MAX(VLOOKUP(($AJ14-$AI14-$AH14-$AG14-$AF14-$AE14*(1+HW$3))/$AJ14,'Технический лист'!$A:$B,2,1),(HV14-0.05)))</f>
        <v/>
      </c>
      <c r="HX14" s="172">
        <f>MIN(1,MAX(VLOOKUP(($AJ14-$AI14-$AH14-$AG14-$AF14-$AE14*(1+HX$3))/$AJ14,'Технический лист'!$A:$B,2,1),(HW14-0.05)))</f>
        <v/>
      </c>
      <c r="HY14" s="172">
        <f>MIN(1,MAX(VLOOKUP(($AJ14-$AI14-$AH14-$AG14-$AF14-$AE14*(1+HY$3))/$AJ14,'Технический лист'!$A:$B,2,1),(HX14-0.05)))</f>
        <v/>
      </c>
      <c r="HZ14" s="172">
        <f>MIN(1,MAX(VLOOKUP(($AJ14-$AI14-$AH14-$AG14-$AF14-$AE14*(1+HZ$3))/$AJ14,'Технический лист'!$A:$B,2,1),(HY14-0.05)))</f>
        <v/>
      </c>
      <c r="IA14" s="172">
        <f>MIN(1,MAX(VLOOKUP(($AJ14-$AI14-$AH14-$AG14-$AF14-$AE14*(1+IA$3))/$AJ14,'Технический лист'!$A:$B,2,1),(HZ14-0.05)))</f>
        <v/>
      </c>
      <c r="IB14" s="172">
        <f>MIN(1,MAX(VLOOKUP(($AJ14-$AI14-$AH14-$AG14-$AF14-$AE14*(1+IB$3))/$AJ14,'Технический лист'!$A:$B,2,1),(IA14-0.05)))</f>
        <v/>
      </c>
      <c r="IC14" s="172">
        <f>MIN(1,MAX(VLOOKUP(($AJ14-$AI14-$AH14-$AG14-$AF14-$AE14*(1+IC$3))/$AJ14,'Технический лист'!$A:$B,2,1),(IB14-0.05)))</f>
        <v/>
      </c>
      <c r="ID14" s="172">
        <f>MIN(1,MAX(VLOOKUP(($AJ14-$AI14-$AH14-$AG14-$AF14-$AE14*(1+ID$3))/$AJ14,'Технический лист'!$A:$B,2,1),(IC14-0.05)))</f>
        <v/>
      </c>
      <c r="IE14" s="172">
        <f>MIN(1,MAX(VLOOKUP(($AJ14-$AI14-$AH14-$AG14-$AF14-$AE14*(1+IE$3))/$AJ14,'Технический лист'!$A:$B,2,1),(ID14-0.05)))</f>
        <v/>
      </c>
      <c r="IF14" s="172">
        <f>MIN(1,MAX(VLOOKUP(($AJ14-$AI14-$AH14-$AG14-$AF14-$AE14*(1+IF$3))/$AJ14,'Технический лист'!$A:$B,2,1),(IE14-0.05)))</f>
        <v/>
      </c>
      <c r="IG14" s="172">
        <f>MIN(1,MAX(VLOOKUP(($AJ14-$AI14-$AH14-$AG14-$AF14-$AE14*(1+IG$3))/$AJ14,'Технический лист'!$A:$B,2,1),(IF14-0.05)))</f>
        <v/>
      </c>
      <c r="IH14" s="172">
        <f>MIN(1,MAX(VLOOKUP(($AJ14-$AI14-$AH14-$AG14-$AF14-$AE14*(1+IH$3))/$AJ14,'Технический лист'!$A:$B,2,1),(IG14-0.05)))</f>
        <v/>
      </c>
      <c r="II14" s="172">
        <f>MIN(1,MAX(VLOOKUP(($AJ14-$AI14-$AH14-$AG14-$AF14-$AE14*(1+II$3))/$AJ14,'Технический лист'!$A:$B,2,1),(IH14-0.05)))</f>
        <v/>
      </c>
      <c r="IJ14" s="172">
        <f>MIN(1,MAX(VLOOKUP(($AJ14-$AI14-$AH14-$AG14-$AF14-$AE14*(1+IJ$3))/$AJ14,'Технический лист'!$A:$B,2,1),(II14-0.05)))</f>
        <v/>
      </c>
      <c r="IK14" s="172">
        <f>MIN(1,MAX(VLOOKUP(($AJ14-$AI14-$AH14-$AG14-$AF14-$AE14*(1+IK$3))/$AJ14,'Технический лист'!$A:$B,2,1),(IJ14-0.05)))</f>
        <v/>
      </c>
      <c r="IL14" s="172">
        <f>MIN(1,MAX(VLOOKUP(($AJ14-$AI14-$AH14-$AG14-$AF14-$AE14*(1+IL$3))/$AJ14,'Технический лист'!$A:$B,2,1),(IK14-0.05)))</f>
        <v/>
      </c>
      <c r="IM14" s="172">
        <f>MIN(1,MAX(VLOOKUP(($AJ14-$AI14-$AH14-$AG14-$AF14-$AE14*(1+IM$3))/$AJ14,'Технический лист'!$A:$B,2,1),(IL14-0.05)))</f>
        <v/>
      </c>
      <c r="IN14" s="172">
        <f>MIN(1,MAX(VLOOKUP(($AJ14-$AI14-$AH14-$AG14-$AF14-$AE14*(1+IN$3))/$AJ14,'Технический лист'!$A:$B,2,1),(IM14-0.05)))</f>
        <v/>
      </c>
      <c r="IO14" s="172">
        <f>MIN(1,MAX(VLOOKUP(($AJ14-$AI14-$AH14-$AG14-$AF14-$AE14*(1+IO$3))/$AJ14,'Технический лист'!$A:$B,2,1),(IN14-0.05)))</f>
        <v/>
      </c>
      <c r="IP14" s="172">
        <f>MIN(1,MAX(VLOOKUP(($AJ14-$AI14-$AH14-$AG14-$AF14-$AE14*(1+IP$3))/$AJ14,'Технический лист'!$A:$B,2,1),(IO14-0.05)))</f>
        <v/>
      </c>
      <c r="IQ14" s="172">
        <f>MIN(1,MAX(VLOOKUP(($AJ14-$AI14-$AH14-$AG14-$AF14-$AE14*(1+IQ$3))/$AJ14,'Технический лист'!$A:$B,2,1),(IP14-0.05)))</f>
        <v/>
      </c>
      <c r="IR14" s="172">
        <f>MIN(1,MAX(VLOOKUP(($AJ14-$AI14-$AH14-$AG14-$AF14-$AE14*(1+IR$3))/$AJ14,'Технический лист'!$A:$B,2,1),(IQ14-0.05)))</f>
        <v/>
      </c>
    </row>
    <row r="15" ht="43.75" customHeight="1" s="123">
      <c r="A15" s="89" t="inlineStr">
        <is>
          <t>ЧМ (сырье)</t>
        </is>
      </c>
      <c r="B15" s="90" t="n">
        <v>2</v>
      </c>
      <c r="C15" s="5" t="inlineStr">
        <is>
          <t>Кокс каменноугольный</t>
        </is>
      </c>
      <c r="D15" s="91" t="n">
        <v>17110</v>
      </c>
      <c r="E15" s="91" t="inlineStr">
        <is>
          <t xml:space="preserve">Кокс, не поименованный в алфавите </t>
        </is>
      </c>
      <c r="F15" s="92" t="inlineStr">
        <is>
          <t>КОКС КАМЕННОУГОЛЬНЫЙ</t>
        </is>
      </c>
      <c r="G15" s="91" t="inlineStr">
        <is>
          <t>МСК</t>
        </is>
      </c>
      <c r="H15" s="91" t="inlineStr">
        <is>
          <t>ПРВ</t>
        </is>
      </c>
      <c r="I15" s="91" t="inlineStr">
        <is>
          <t>ПРИСАДЫ</t>
        </is>
      </c>
      <c r="J15" s="91" t="inlineStr">
        <is>
          <t>ОЗИНКИ-Э-РОС</t>
        </is>
      </c>
      <c r="K15" s="91" t="n">
        <v>1221</v>
      </c>
      <c r="L15" s="91" t="inlineStr">
        <is>
          <t>Полувагоны</t>
        </is>
      </c>
      <c r="M15" s="91" t="inlineStr">
        <is>
          <t>Экспорт</t>
        </is>
      </c>
      <c r="N15" s="91" t="inlineStr">
        <is>
          <t>вагонная</t>
        </is>
      </c>
      <c r="O15" s="91" t="inlineStr">
        <is>
          <t xml:space="preserve">Южное </t>
        </is>
      </c>
      <c r="P15" s="89" t="inlineStr">
        <is>
          <t>'000000186281</t>
        </is>
      </c>
      <c r="Q15" s="91" t="inlineStr">
        <is>
          <t>'ПАО "Тулачермет"</t>
        </is>
      </c>
      <c r="R15" s="91" t="inlineStr">
        <is>
          <t>ООО "УК"ПМХ"</t>
        </is>
      </c>
      <c r="S15" s="87" t="n">
        <v>90345</v>
      </c>
      <c r="T15" s="87" t="n">
        <v>110291447</v>
      </c>
      <c r="U15" s="88" t="n">
        <v>1566</v>
      </c>
      <c r="V15" s="88" t="n">
        <v>0</v>
      </c>
      <c r="W15" s="87" t="n">
        <v>102631838</v>
      </c>
      <c r="X15" s="112" t="n">
        <v>58</v>
      </c>
      <c r="Y15" s="112" t="inlineStr">
        <is>
          <t>групповая</t>
        </is>
      </c>
      <c r="Z15" s="113" t="n">
        <v>7</v>
      </c>
      <c r="AA15" s="113" t="n">
        <v>4</v>
      </c>
      <c r="AB15" s="113" t="n">
        <v>4</v>
      </c>
      <c r="AC15" s="161" t="n">
        <v>1249.38</v>
      </c>
      <c r="AD15" s="161">
        <f>AE15-AC15</f>
        <v/>
      </c>
      <c r="AE15" s="161" t="n">
        <v>1667.24</v>
      </c>
      <c r="AF15" s="162">
        <f>(Z15+AA15+AB15)*'Ставки аренды'!$B$3/X15</f>
        <v/>
      </c>
      <c r="AG15" s="163" t="n">
        <v>0</v>
      </c>
      <c r="AH15" s="164" t="n">
        <v>0</v>
      </c>
      <c r="AI15" s="165">
        <f>0.9*AVERAGE(AJ13,AJ14)</f>
        <v/>
      </c>
      <c r="AJ15" s="166">
        <f>Цены!$C$8*'Курсы валют'!$B$2</f>
        <v/>
      </c>
      <c r="AK15" s="164">
        <f>AJ15/Цены!$B$1</f>
        <v/>
      </c>
      <c r="AL15" s="164">
        <f>AE15+AF15+AG15</f>
        <v/>
      </c>
      <c r="AM15" s="164">
        <f>AJ15-AL15</f>
        <v/>
      </c>
      <c r="AN15" s="164">
        <f>AI15+AH15+AG15+AF15+AE15</f>
        <v/>
      </c>
      <c r="AO15" s="167">
        <f>(AJ15-AN15)/AJ15</f>
        <v/>
      </c>
      <c r="AP15" s="168">
        <f>AL15/AJ15</f>
        <v/>
      </c>
      <c r="AQ15" s="168">
        <f>AE15/AJ15</f>
        <v/>
      </c>
      <c r="AR15" s="168">
        <f>AE15/AL15</f>
        <v/>
      </c>
      <c r="AS15" s="169" t="n">
        <v>1</v>
      </c>
      <c r="AT15" s="121">
        <f>S15*AS15</f>
        <v/>
      </c>
      <c r="AU15" s="83" t="n">
        <v>0.9</v>
      </c>
      <c r="AV15" s="170">
        <f>(AJ15-(AE15*(1+$IS$2)+AF15+AG15+AH15+AI15))/AJ15</f>
        <v/>
      </c>
      <c r="AW15" s="171">
        <f>(AE15*(1+$IS$2)+AF15+AG15)/AJ15</f>
        <v/>
      </c>
      <c r="AX15" s="171">
        <f>(AE15*(1+$IS$2))/AJ15</f>
        <v/>
      </c>
      <c r="AY15" s="171">
        <f>(AE15*(1+$IS$2))/(AE15*(1+$IS$2)+AF15+AG15)</f>
        <v/>
      </c>
      <c r="AZ15" s="172">
        <f>MIN(IF($AU15=100%,1,1+VLOOKUP(($AJ15-$AI15-$AH15-$AG15-$AF15-$AE15*(1+AZ$3))/$AJ15,'Технический лист'!$A:$B,2,1)-VLOOKUP($AO15,'Технический лист'!$A:$B,2,1)),1+(1-$AU15))</f>
        <v/>
      </c>
      <c r="BA15" s="172">
        <f>MIN(IF($AU15=100%,1,1+VLOOKUP(($AJ15-$AI15-$AH15-$AG15-$AF15-$AE15*(1+BA$3))/$AJ15,'Технический лист'!$A:$B,2,1)-VLOOKUP($AO15,'Технический лист'!$A:$B,2,1)),1+(1-$AU15))</f>
        <v/>
      </c>
      <c r="BB15" s="172">
        <f>MIN(IF($AU15=100%,1,1+VLOOKUP(($AJ15-$AI15-$AH15-$AG15-$AF15-$AE15*(1+BB$3))/$AJ15,'Технический лист'!$A:$B,2,1)-VLOOKUP($AO15,'Технический лист'!$A:$B,2,1)),1+(1-$AU15))</f>
        <v/>
      </c>
      <c r="BC15" s="172">
        <f>MIN(IF($AU15=100%,1,1+VLOOKUP(($AJ15-$AI15-$AH15-$AG15-$AF15-$AE15*(1+BC$3))/$AJ15,'Технический лист'!$A:$B,2,1)-VLOOKUP($AO15,'Технический лист'!$A:$B,2,1)),1+(1-$AU15))</f>
        <v/>
      </c>
      <c r="BD15" s="172">
        <f>MIN(IF($AU15=100%,1,1+VLOOKUP(($AJ15-$AI15-$AH15-$AG15-$AF15-$AE15*(1+BD$3))/$AJ15,'Технический лист'!$A:$B,2,1)-VLOOKUP($AO15,'Технический лист'!$A:$B,2,1)),1+(1-$AU15))</f>
        <v/>
      </c>
      <c r="BE15" s="172">
        <f>MIN(IF($AU15=100%,1,1+VLOOKUP(($AJ15-$AI15-$AH15-$AG15-$AF15-$AE15*(1+BE$3))/$AJ15,'Технический лист'!$A:$B,2,1)-VLOOKUP($AO15,'Технический лист'!$A:$B,2,1)),1+(1-$AU15))</f>
        <v/>
      </c>
      <c r="BF15" s="172">
        <f>MIN(IF($AU15=100%,1,1+VLOOKUP(($AJ15-$AI15-$AH15-$AG15-$AF15-$AE15*(1+BF$3))/$AJ15,'Технический лист'!$A:$B,2,1)-VLOOKUP($AO15,'Технический лист'!$A:$B,2,1)),1+(1-$AU15))</f>
        <v/>
      </c>
      <c r="BG15" s="172">
        <f>MIN(IF($AU15=100%,1,1+VLOOKUP(($AJ15-$AI15-$AH15-$AG15-$AF15-$AE15*(1+BG$3))/$AJ15,'Технический лист'!$A:$B,2,1)-VLOOKUP($AO15,'Технический лист'!$A:$B,2,1)),1+(1-$AU15))</f>
        <v/>
      </c>
      <c r="BH15" s="172">
        <f>MIN(IF($AU15=100%,1,1+VLOOKUP(($AJ15-$AI15-$AH15-$AG15-$AF15-$AE15*(1+BH$3))/$AJ15,'Технический лист'!$A:$B,2,1)-VLOOKUP($AO15,'Технический лист'!$A:$B,2,1)),1+(1-$AU15))</f>
        <v/>
      </c>
      <c r="BI15" s="172">
        <f>MIN(IF($AU15=100%,1,1+VLOOKUP(($AJ15-$AI15-$AH15-$AG15-$AF15-$AE15*(1+BI$3))/$AJ15,'Технический лист'!$A:$B,2,1)-VLOOKUP($AO15,'Технический лист'!$A:$B,2,1)),1+(1-$AU15))</f>
        <v/>
      </c>
      <c r="BJ15" s="172">
        <f>MIN(IF($AU15=100%,1,1+VLOOKUP(($AJ15-$AI15-$AH15-$AG15-$AF15-$AE15*(1+BJ$3))/$AJ15,'Технический лист'!$A:$B,2,1)-VLOOKUP($AO15,'Технический лист'!$A:$B,2,1)),1+(1-$AU15))</f>
        <v/>
      </c>
      <c r="BK15" s="172">
        <f>MIN(IF($AU15=100%,1,1+VLOOKUP(($AJ15-$AI15-$AH15-$AG15-$AF15-$AE15*(1+BK$3))/$AJ15,'Технический лист'!$A:$B,2,1)-VLOOKUP($AO15,'Технический лист'!$A:$B,2,1)),1+(1-$AU15))</f>
        <v/>
      </c>
      <c r="BL15" s="172">
        <f>MIN(IF($AU15=100%,1,1+VLOOKUP(($AJ15-$AI15-$AH15-$AG15-$AF15-$AE15*(1+BL$3))/$AJ15,'Технический лист'!$A:$B,2,1)-VLOOKUP($AO15,'Технический лист'!$A:$B,2,1)),1+(1-$AU15))</f>
        <v/>
      </c>
      <c r="BM15" s="172">
        <f>MIN(IF($AU15=100%,1,1+VLOOKUP(($AJ15-$AI15-$AH15-$AG15-$AF15-$AE15*(1+BM$3))/$AJ15,'Технический лист'!$A:$B,2,1)-VLOOKUP($AO15,'Технический лист'!$A:$B,2,1)),1+(1-$AU15))</f>
        <v/>
      </c>
      <c r="BN15" s="172">
        <f>MIN(IF($AU15=100%,1,1+VLOOKUP(($AJ15-$AI15-$AH15-$AG15-$AF15-$AE15*(1+BN$3))/$AJ15,'Технический лист'!$A:$B,2,1)-VLOOKUP($AO15,'Технический лист'!$A:$B,2,1)),1+(1-$AU15))</f>
        <v/>
      </c>
      <c r="BO15" s="172">
        <f>MIN(IF($AU15=100%,1,1+VLOOKUP(($AJ15-$AI15-$AH15-$AG15-$AF15-$AE15*(1+BO$3))/$AJ15,'Технический лист'!$A:$B,2,1)-VLOOKUP($AO15,'Технический лист'!$A:$B,2,1)),1+(1-$AU15))</f>
        <v/>
      </c>
      <c r="BP15" s="172">
        <f>MIN(IF($AU15=100%,1,1+VLOOKUP(($AJ15-$AI15-$AH15-$AG15-$AF15-$AE15*(1+BP$3))/$AJ15,'Технический лист'!$A:$B,2,1)-VLOOKUP($AO15,'Технический лист'!$A:$B,2,1)),1+(1-$AU15))</f>
        <v/>
      </c>
      <c r="BQ15" s="172">
        <f>MIN(IF($AU15=100%,1,1+VLOOKUP(($AJ15-$AI15-$AH15-$AG15-$AF15-$AE15*(1+BQ$3))/$AJ15,'Технический лист'!$A:$B,2,1)-VLOOKUP($AO15,'Технический лист'!$A:$B,2,1)),1+(1-$AU15))</f>
        <v/>
      </c>
      <c r="BR15" s="172">
        <f>MIN(IF($AU15=100%,1,1+VLOOKUP(($AJ15-$AI15-$AH15-$AG15-$AF15-$AE15*(1+BR$3))/$AJ15,'Технический лист'!$A:$B,2,1)-VLOOKUP($AO15,'Технический лист'!$A:$B,2,1)),1+(1-$AU15))</f>
        <v/>
      </c>
      <c r="BS15" s="172">
        <f>MIN(IF($AU15=100%,1,1+VLOOKUP(($AJ15-$AI15-$AH15-$AG15-$AF15-$AE15*(1+BS$3))/$AJ15,'Технический лист'!$A:$B,2,1)-VLOOKUP($AO15,'Технический лист'!$A:$B,2,1)),1+(1-$AU15))</f>
        <v/>
      </c>
      <c r="BT15" s="172">
        <f>MIN(IF($AU15=100%,1,1+VLOOKUP(($AJ15-$AI15-$AH15-$AG15-$AF15-$AE15*(1+BT$3))/$AJ15,'Технический лист'!$A:$B,2,1)-VLOOKUP($AO15,'Технический лист'!$A:$B,2,1)),1+(1-$AU15))</f>
        <v/>
      </c>
      <c r="BU15" s="172">
        <f>MIN(IF($AU15=100%,1,1+VLOOKUP(($AJ15-$AI15-$AH15-$AG15-$AF15-$AE15*(1+BU$3))/$AJ15,'Технический лист'!$A:$B,2,1)-VLOOKUP($AO15,'Технический лист'!$A:$B,2,1)),1+(1-$AU15))</f>
        <v/>
      </c>
      <c r="BV15" s="172">
        <f>MIN(IF($AU15=100%,1,1+VLOOKUP(($AJ15-$AI15-$AH15-$AG15-$AF15-$AE15*(1+BV$3))/$AJ15,'Технический лист'!$A:$B,2,1)-VLOOKUP($AO15,'Технический лист'!$A:$B,2,1)),1+(1-$AU15))</f>
        <v/>
      </c>
      <c r="BW15" s="172">
        <f>MIN(IF($AU15=100%,1,1+VLOOKUP(($AJ15-$AI15-$AH15-$AG15-$AF15-$AE15*(1+BW$3))/$AJ15,'Технический лист'!$A:$B,2,1)-VLOOKUP($AO15,'Технический лист'!$A:$B,2,1)),1+(1-$AU15))</f>
        <v/>
      </c>
      <c r="BX15" s="172">
        <f>MIN(IF($AU15=100%,1,1+VLOOKUP(($AJ15-$AI15-$AH15-$AG15-$AF15-$AE15*(1+BX$3))/$AJ15,'Технический лист'!$A:$B,2,1)-VLOOKUP($AO15,'Технический лист'!$A:$B,2,1)),1+(1-$AU15))</f>
        <v/>
      </c>
      <c r="BY15" s="172">
        <f>MIN(IF($AU15=100%,1,1+VLOOKUP(($AJ15-$AI15-$AH15-$AG15-$AF15-$AE15*(1+BY$3))/$AJ15,'Технический лист'!$A:$B,2,1)-VLOOKUP($AO15,'Технический лист'!$A:$B,2,1)),1+(1-$AU15))</f>
        <v/>
      </c>
      <c r="BZ15" s="172">
        <f>MIN(IF($AU15=100%,1,1+VLOOKUP(($AJ15-$AI15-$AH15-$AG15-$AF15-$AE15*(1+BZ$3))/$AJ15,'Технический лист'!$A:$B,2,1)-VLOOKUP($AO15,'Технический лист'!$A:$B,2,1)),1+(1-$AU15))</f>
        <v/>
      </c>
      <c r="CA15" s="172">
        <f>MIN(IF($AU15=100%,1,1+VLOOKUP(($AJ15-$AI15-$AH15-$AG15-$AF15-$AE15*(1+CA$3))/$AJ15,'Технический лист'!$A:$B,2,1)-VLOOKUP($AO15,'Технический лист'!$A:$B,2,1)),1+(1-$AU15))</f>
        <v/>
      </c>
      <c r="CB15" s="172">
        <f>MIN(IF($AU15=100%,1,1+VLOOKUP(($AJ15-$AI15-$AH15-$AG15-$AF15-$AE15*(1+CB$3))/$AJ15,'Технический лист'!$A:$B,2,1)-VLOOKUP($AO15,'Технический лист'!$A:$B,2,1)),1+(1-$AU15))</f>
        <v/>
      </c>
      <c r="CC15" s="172">
        <f>MIN(IF($AU15=100%,1,1+VLOOKUP(($AJ15-$AI15-$AH15-$AG15-$AF15-$AE15*(1+CC$3))/$AJ15,'Технический лист'!$A:$B,2,1)-VLOOKUP($AO15,'Технический лист'!$A:$B,2,1)),1+(1-$AU15))</f>
        <v/>
      </c>
      <c r="CD15" s="172">
        <f>MIN(IF($AU15=100%,1,1+VLOOKUP(($AJ15-$AI15-$AH15-$AG15-$AF15-$AE15*(1+CD$3))/$AJ15,'Технический лист'!$A:$B,2,1)-VLOOKUP($AO15,'Технический лист'!$A:$B,2,1)),1+(1-$AU15))</f>
        <v/>
      </c>
      <c r="CE15" s="172">
        <f>MIN(IF($AU15=100%,1,1+VLOOKUP(($AJ15-$AI15-$AH15-$AG15-$AF15-$AE15*(1+CE$3))/$AJ15,'Технический лист'!$A:$B,2,1)-VLOOKUP($AO15,'Технический лист'!$A:$B,2,1)),1+(1-$AU15))</f>
        <v/>
      </c>
      <c r="CF15" s="172">
        <f>MIN(IF($AU15=100%,1,1+VLOOKUP(($AJ15-$AI15-$AH15-$AG15-$AF15-$AE15*(1+CF$3))/$AJ15,'Технический лист'!$A:$B,2,1)-VLOOKUP($AO15,'Технический лист'!$A:$B,2,1)),1+(1-$AU15))</f>
        <v/>
      </c>
      <c r="CG15" s="172">
        <f>MIN(IF($AU15=100%,1,1+VLOOKUP(($AJ15-$AI15-$AH15-$AG15-$AF15-$AE15*(1+CG$3))/$AJ15,'Технический лист'!$A:$B,2,1)-VLOOKUP($AO15,'Технический лист'!$A:$B,2,1)),1+(1-$AU15))</f>
        <v/>
      </c>
      <c r="CH15" s="172">
        <f>MIN(IF($AU15=100%,1,1+VLOOKUP(($AJ15-$AI15-$AH15-$AG15-$AF15-$AE15*(1+CH$3))/$AJ15,'Технический лист'!$A:$B,2,1)-VLOOKUP($AO15,'Технический лист'!$A:$B,2,1)),1+(1-$AU15))</f>
        <v/>
      </c>
      <c r="CI15" s="172">
        <f>MIN(IF($AU15=100%,1,1+VLOOKUP(($AJ15-$AI15-$AH15-$AG15-$AF15-$AE15*(1+CI$3))/$AJ15,'Технический лист'!$A:$B,2,1)-VLOOKUP($AO15,'Технический лист'!$A:$B,2,1)),1+(1-$AU15))</f>
        <v/>
      </c>
      <c r="CJ15" s="172">
        <f>MIN(IF($AU15=100%,1,1+VLOOKUP(($AJ15-$AI15-$AH15-$AG15-$AF15-$AE15*(1+CJ$3))/$AJ15,'Технический лист'!$A:$B,2,1)-VLOOKUP($AO15,'Технический лист'!$A:$B,2,1)),1+(1-$AU15))</f>
        <v/>
      </c>
      <c r="CK15" s="172">
        <f>MIN(IF($AU15=100%,1,1+VLOOKUP(($AJ15-$AI15-$AH15-$AG15-$AF15-$AE15*(1+CK$3))/$AJ15,'Технический лист'!$A:$B,2,1)-VLOOKUP($AO15,'Технический лист'!$A:$B,2,1)),1+(1-$AU15))</f>
        <v/>
      </c>
      <c r="CL15" s="172">
        <f>MIN(IF($AU15=100%,1,1+VLOOKUP(($AJ15-$AI15-$AH15-$AG15-$AF15-$AE15*(1+CL$3))/$AJ15,'Технический лист'!$A:$B,2,1)-VLOOKUP($AO15,'Технический лист'!$A:$B,2,1)),1+(1-$AU15))</f>
        <v/>
      </c>
      <c r="CM15" s="172">
        <f>MIN(IF($AU15=100%,1,1+VLOOKUP(($AJ15-$AI15-$AH15-$AG15-$AF15-$AE15*(1+CM$3))/$AJ15,'Технический лист'!$A:$B,2,1)-VLOOKUP($AO15,'Технический лист'!$A:$B,2,1)),1+(1-$AU15))</f>
        <v/>
      </c>
      <c r="CN15" s="172">
        <f>MIN(IF($AU15=100%,1,1+VLOOKUP(($AJ15-$AI15-$AH15-$AG15-$AF15-$AE15*(1+CN$3))/$AJ15,'Технический лист'!$A:$B,2,1)-VLOOKUP($AO15,'Технический лист'!$A:$B,2,1)),1+(1-$AU15))</f>
        <v/>
      </c>
      <c r="CO15" s="172">
        <f>MIN(IF($AU15=100%,1,1+VLOOKUP(($AJ15-$AI15-$AH15-$AG15-$AF15-$AE15*(1+CO$3))/$AJ15,'Технический лист'!$A:$B,2,1)-VLOOKUP($AO15,'Технический лист'!$A:$B,2,1)),1+(1-$AU15))</f>
        <v/>
      </c>
      <c r="CP15" s="172">
        <f>MIN(IF($AU15=100%,1,1+VLOOKUP(($AJ15-$AI15-$AH15-$AG15-$AF15-$AE15*(1+CP$3))/$AJ15,'Технический лист'!$A:$B,2,1)-VLOOKUP($AO15,'Технический лист'!$A:$B,2,1)),1+(1-$AU15))</f>
        <v/>
      </c>
      <c r="CQ15" s="172">
        <f>MIN(IF($AU15=100%,1,1+VLOOKUP(($AJ15-$AI15-$AH15-$AG15-$AF15-$AE15*(1+CQ$3))/$AJ15,'Технический лист'!$A:$B,2,1)-VLOOKUP($AO15,'Технический лист'!$A:$B,2,1)),1+(1-$AU15))</f>
        <v/>
      </c>
      <c r="CR15" s="172">
        <f>MIN(IF($AU15=100%,1,1+VLOOKUP(($AJ15-$AI15-$AH15-$AG15-$AF15-$AE15*(1+CR$3))/$AJ15,'Технический лист'!$A:$B,2,1)-VLOOKUP($AO15,'Технический лист'!$A:$B,2,1)),1+(1-$AU15))</f>
        <v/>
      </c>
      <c r="CS15" s="172">
        <f>MIN(IF($AU15=100%,1,1+VLOOKUP(($AJ15-$AI15-$AH15-$AG15-$AF15-$AE15*(1+CS$3))/$AJ15,'Технический лист'!$A:$B,2,1)-VLOOKUP($AO15,'Технический лист'!$A:$B,2,1)),1+(1-$AU15))</f>
        <v/>
      </c>
      <c r="CT15" s="172">
        <f>MIN(IF($AU15=100%,1,1+VLOOKUP(($AJ15-$AI15-$AH15-$AG15-$AF15-$AE15*(1+CT$3))/$AJ15,'Технический лист'!$A:$B,2,1)-VLOOKUP($AO15,'Технический лист'!$A:$B,2,1)),1+(1-$AU15))</f>
        <v/>
      </c>
      <c r="CU15" s="172">
        <f>MIN(IF($AU15=100%,1,1+VLOOKUP(($AJ15-$AI15-$AH15-$AG15-$AF15-$AE15*(1+CU$3))/$AJ15,'Технический лист'!$A:$B,2,1)-VLOOKUP($AO15,'Технический лист'!$A:$B,2,1)),1+(1-$AU15))</f>
        <v/>
      </c>
      <c r="CV15" s="172">
        <f>MIN(IF($AU15=100%,1,1+VLOOKUP(($AJ15-$AI15-$AH15-$AG15-$AF15-$AE15*(1+CV$3))/$AJ15,'Технический лист'!$A:$B,2,1)-VLOOKUP($AO15,'Технический лист'!$A:$B,2,1)),1+(1-$AU15))</f>
        <v/>
      </c>
      <c r="CW15" s="172">
        <f>MIN(IF($AU15=100%,1,1+VLOOKUP(($AJ15-$AI15-$AH15-$AG15-$AF15-$AE15*(1+CW$3))/$AJ15,'Технический лист'!$A:$B,2,1)-VLOOKUP($AO15,'Технический лист'!$A:$B,2,1)),1+(1-$AU15))</f>
        <v/>
      </c>
      <c r="CX15" s="172">
        <f>MIN(IF($AU15=100%,1,1+VLOOKUP(($AJ15-$AI15-$AH15-$AG15-$AF15-$AE15*(1+CX$3))/$AJ15,'Технический лист'!$A:$B,2,1)-VLOOKUP($AO15,'Технический лист'!$A:$B,2,1)),1+(1-$AU15))</f>
        <v/>
      </c>
      <c r="CY15" s="172">
        <f>MIN(IF($AU15=100%,1,1+VLOOKUP(($AJ15-$AI15-$AH15-$AG15-$AF15-$AE15*(1+CY$3))/$AJ15,'Технический лист'!$A:$B,2,1)-VLOOKUP($AO15,'Технический лист'!$A:$B,2,1)),1+(1-$AU15))</f>
        <v/>
      </c>
      <c r="CZ15" s="172">
        <f>MIN(IF($AU15=100%,1,1+VLOOKUP(($AJ15-$AI15-$AH15-$AG15-$AF15-$AE15*(1+CZ$3))/$AJ15,'Технический лист'!$A:$B,2,1)-VLOOKUP($AO15,'Технический лист'!$A:$B,2,1)),1+(1-$AU15))</f>
        <v/>
      </c>
      <c r="DA15" s="172">
        <f>MIN(IF($AU15=100%,1,1+VLOOKUP(($AJ15-$AI15-$AH15-$AG15-$AF15-$AE15*(1+DA$3))/$AJ15,'Технический лист'!$A:$B,2,1)-VLOOKUP($AO15,'Технический лист'!$A:$B,2,1)),1+(1-$AU15))</f>
        <v/>
      </c>
      <c r="DB15" s="172">
        <f>MIN(IF($AU15=100%,1,1+VLOOKUP(($AJ15-$AI15-$AH15-$AG15-$AF15-$AE15*(1+DB$3))/$AJ15,'Технический лист'!$A:$B,2,1)-VLOOKUP($AO15,'Технический лист'!$A:$B,2,1)),1+(1-$AU15))</f>
        <v/>
      </c>
      <c r="DC15" s="172">
        <f>MIN(IF($AU15=100%,1,1+VLOOKUP(($AJ15-$AI15-$AH15-$AG15-$AF15-$AE15*(1+DC$3))/$AJ15,'Технический лист'!$A:$B,2,1)-VLOOKUP($AO15,'Технический лист'!$A:$B,2,1)),1+(1-$AU15))</f>
        <v/>
      </c>
      <c r="DD15" s="172">
        <f>MIN(IF($AU15=100%,1,1+VLOOKUP(($AJ15-$AI15-$AH15-$AG15-$AF15-$AE15*(1+DD$3))/$AJ15,'Технический лист'!$A:$B,2,1)-VLOOKUP($AO15,'Технический лист'!$A:$B,2,1)),1+(1-$AU15))</f>
        <v/>
      </c>
      <c r="DE15" s="172">
        <f>MIN(IF($AU15=100%,1,1+VLOOKUP(($AJ15-$AI15-$AH15-$AG15-$AF15-$AE15*(1+DE$3))/$AJ15,'Технический лист'!$A:$B,2,1)-VLOOKUP($AO15,'Технический лист'!$A:$B,2,1)),1+(1-$AU15))</f>
        <v/>
      </c>
      <c r="DF15" s="172">
        <f>MIN(IF($AU15=100%,1,1+VLOOKUP(($AJ15-$AI15-$AH15-$AG15-$AF15-$AE15*(1+DF$3))/$AJ15,'Технический лист'!$A:$B,2,1)-VLOOKUP($AO15,'Технический лист'!$A:$B,2,1)),1+(1-$AU15))</f>
        <v/>
      </c>
      <c r="DG15" s="172">
        <f>MIN(IF($AU15=100%,1,1+VLOOKUP(($AJ15-$AI15-$AH15-$AG15-$AF15-$AE15*(1+DG$3))/$AJ15,'Технический лист'!$A:$B,2,1)-VLOOKUP($AO15,'Технический лист'!$A:$B,2,1)),1+(1-$AU15))</f>
        <v/>
      </c>
      <c r="DH15" s="172">
        <f>MIN(IF($AU15=100%,1,1+VLOOKUP(($AJ15-$AI15-$AH15-$AG15-$AF15-$AE15*(1+DH$3))/$AJ15,'Технический лист'!$A:$B,2,1)-VLOOKUP($AO15,'Технический лист'!$A:$B,2,1)),1+(1-$AU15))</f>
        <v/>
      </c>
      <c r="DI15" s="172">
        <f>MIN(IF($AU15=100%,1,1+VLOOKUP(($AJ15-$AI15-$AH15-$AG15-$AF15-$AE15*(1+DI$3))/$AJ15,'Технический лист'!$A:$B,2,1)-VLOOKUP($AO15,'Технический лист'!$A:$B,2,1)),1+(1-$AU15))</f>
        <v/>
      </c>
      <c r="DJ15" s="172">
        <f>MIN(IF($AU15=100%,1,1+VLOOKUP(($AJ15-$AI15-$AH15-$AG15-$AF15-$AE15*(1+DJ$3))/$AJ15,'Технический лист'!$A:$B,2,1)-VLOOKUP($AO15,'Технический лист'!$A:$B,2,1)),1+(1-$AU15))</f>
        <v/>
      </c>
      <c r="DK15" s="172">
        <f>MIN(IF($AU15=100%,1,1+VLOOKUP(($AJ15-$AI15-$AH15-$AG15-$AF15-$AE15*(1+DK$3))/$AJ15,'Технический лист'!$A:$B,2,1)-VLOOKUP($AO15,'Технический лист'!$A:$B,2,1)),1+(1-$AU15))</f>
        <v/>
      </c>
      <c r="DL15" s="172">
        <f>MIN(IF($AU15=100%,1,1+VLOOKUP(($AJ15-$AI15-$AH15-$AG15-$AF15-$AE15*(1+DL$3))/$AJ15,'Технический лист'!$A:$B,2,1)-VLOOKUP($AO15,'Технический лист'!$A:$B,2,1)),1+(1-$AU15))</f>
        <v/>
      </c>
      <c r="DM15" s="172">
        <f>MIN(IF($AU15=100%,1,1+VLOOKUP(($AJ15-$AI15-$AH15-$AG15-$AF15-$AE15*(1+DM$3))/$AJ15,'Технический лист'!$A:$B,2,1)-VLOOKUP($AO15,'Технический лист'!$A:$B,2,1)),1+(1-$AU15))</f>
        <v/>
      </c>
      <c r="DN15" s="172">
        <f>MIN(IF($AU15=100%,1,1+VLOOKUP(($AJ15-$AI15-$AH15-$AG15-$AF15-$AE15*(1+DN$3))/$AJ15,'Технический лист'!$A:$B,2,1)-VLOOKUP($AO15,'Технический лист'!$A:$B,2,1)),1+(1-$AU15))</f>
        <v/>
      </c>
      <c r="DO15" s="172">
        <f>MIN(IF($AU15=100%,1,1+VLOOKUP(($AJ15-$AI15-$AH15-$AG15-$AF15-$AE15*(1+DO$3))/$AJ15,'Технический лист'!$A:$B,2,1)-VLOOKUP($AO15,'Технический лист'!$A:$B,2,1)),1+(1-$AU15))</f>
        <v/>
      </c>
      <c r="DP15" s="172">
        <f>MIN(IF($AU15=100%,1,1+VLOOKUP(($AJ15-$AI15-$AH15-$AG15-$AF15-$AE15*(1+DP$3))/$AJ15,'Технический лист'!$A:$B,2,1)-VLOOKUP($AO15,'Технический лист'!$A:$B,2,1)),1+(1-$AU15))</f>
        <v/>
      </c>
      <c r="DQ15" s="172">
        <f>MIN(IF($AU15=100%,1,1+VLOOKUP(($AJ15-$AI15-$AH15-$AG15-$AF15-$AE15*(1+DQ$3))/$AJ15,'Технический лист'!$A:$B,2,1)-VLOOKUP($AO15,'Технический лист'!$A:$B,2,1)),1+(1-$AU15))</f>
        <v/>
      </c>
      <c r="DR15" s="172">
        <f>MIN(IF($AU15=100%,1,1+VLOOKUP(($AJ15-$AI15-$AH15-$AG15-$AF15-$AE15*(1+DR$3))/$AJ15,'Технический лист'!$A:$B,2,1)-VLOOKUP($AO15,'Технический лист'!$A:$B,2,1)),1+(1-$AU15))</f>
        <v/>
      </c>
      <c r="DS15" s="172">
        <f>MIN(IF($AU15=100%,1,1+VLOOKUP(($AJ15-$AI15-$AH15-$AG15-$AF15-$AE15*(1+DS$3))/$AJ15,'Технический лист'!$A:$B,2,1)-VLOOKUP($AO15,'Технический лист'!$A:$B,2,1)),1+(1-$AU15))</f>
        <v/>
      </c>
      <c r="DT15" s="172">
        <f>MIN(IF($AU15=100%,1,1+VLOOKUP(($AJ15-$AI15-$AH15-$AG15-$AF15-$AE15*(1+DT$3))/$AJ15,'Технический лист'!$A:$B,2,1)-VLOOKUP($AO15,'Технический лист'!$A:$B,2,1)),1+(1-$AU15))</f>
        <v/>
      </c>
      <c r="DU15" s="172">
        <f>MIN(IF($AU15=100%,1,1+VLOOKUP(($AJ15-$AI15-$AH15-$AG15-$AF15-$AE15*(1+DU$3))/$AJ15,'Технический лист'!$A:$B,2,1)-VLOOKUP($AO15,'Технический лист'!$A:$B,2,1)),1+(1-$AU15))</f>
        <v/>
      </c>
      <c r="DV15" s="172">
        <f>MIN(IF($AU15=100%,1,1+VLOOKUP(($AJ15-$AI15-$AH15-$AG15-$AF15-$AE15*(1+DV$3))/$AJ15,'Технический лист'!$A:$B,2,1)-VLOOKUP($AO15,'Технический лист'!$A:$B,2,1)),1+(1-$AU15))</f>
        <v/>
      </c>
      <c r="DW15" s="172">
        <f>MIN(IF($AU15=100%,1,1+VLOOKUP(($AJ15-$AI15-$AH15-$AG15-$AF15-$AE15*(1+DW$3))/$AJ15,'Технический лист'!$A:$B,2,1)-VLOOKUP($AO15,'Технический лист'!$A:$B,2,1)),1+(1-$AU15))</f>
        <v/>
      </c>
      <c r="DX15" s="172">
        <f>MIN(IF($AU15=100%,1,1+VLOOKUP(($AJ15-$AI15-$AH15-$AG15-$AF15-$AE15*(1+DX$3))/$AJ15,'Технический лист'!$A:$B,2,1)-VLOOKUP($AO15,'Технический лист'!$A:$B,2,1)),1+(1-$AU15))</f>
        <v/>
      </c>
      <c r="DY15" s="172">
        <f>MIN(IF($AU15=100%,1,1+VLOOKUP(($AJ15-$AI15-$AH15-$AG15-$AF15-$AE15*(1+DY$3))/$AJ15,'Технический лист'!$A:$B,2,1)-VLOOKUP($AO15,'Технический лист'!$A:$B,2,1)),1+(1-$AU15))</f>
        <v/>
      </c>
      <c r="DZ15" s="172">
        <f>MIN(IF($AU15=100%,1,1+VLOOKUP(($AJ15-$AI15-$AH15-$AG15-$AF15-$AE15*(1+DZ$3))/$AJ15,'Технический лист'!$A:$B,2,1)-VLOOKUP($AO15,'Технический лист'!$A:$B,2,1)),1+(1-$AU15))</f>
        <v/>
      </c>
      <c r="EA15" s="172">
        <f>MIN(IF($AU15=100%,1,1+VLOOKUP(($AJ15-$AI15-$AH15-$AG15-$AF15-$AE15*(1+EA$3))/$AJ15,'Технический лист'!$A:$B,2,1)-VLOOKUP($AO15,'Технический лист'!$A:$B,2,1)),1+(1-$AU15))</f>
        <v/>
      </c>
      <c r="EB15" s="172">
        <f>MIN(IF($AU15=100%,1,1+VLOOKUP(($AJ15-$AI15-$AH15-$AG15-$AF15-$AE15*(1+EB$3))/$AJ15,'Технический лист'!$A:$B,2,1)-VLOOKUP($AO15,'Технический лист'!$A:$B,2,1)),1+(1-$AU15))</f>
        <v/>
      </c>
      <c r="EC15" s="172">
        <f>MIN(IF($AU15=100%,1,1+VLOOKUP(($AJ15-$AI15-$AH15-$AG15-$AF15-$AE15*(1+EC$3))/$AJ15,'Технический лист'!$A:$B,2,1)-VLOOKUP($AO15,'Технический лист'!$A:$B,2,1)),1+(1-$AU15))</f>
        <v/>
      </c>
      <c r="ED15" s="172">
        <f>MIN(IF($AU15=100%,1,1+VLOOKUP(($AJ15-$AI15-$AH15-$AG15-$AF15-$AE15*(1+ED$3))/$AJ15,'Технический лист'!$A:$B,2,1)-VLOOKUP($AO15,'Технический лист'!$A:$B,2,1)),1+(1-$AU15))</f>
        <v/>
      </c>
      <c r="EE15" s="172">
        <f>MIN(IF($AU15=100%,1,1+VLOOKUP(($AJ15-$AI15-$AH15-$AG15-$AF15-$AE15*(1+EE$3))/$AJ15,'Технический лист'!$A:$B,2,1)-VLOOKUP($AO15,'Технический лист'!$A:$B,2,1)),1+(1-$AU15))</f>
        <v/>
      </c>
      <c r="EF15" s="172">
        <f>MIN(IF($AU15=100%,1,1+VLOOKUP(($AJ15-$AI15-$AH15-$AG15-$AF15-$AE15*(1+EF$3))/$AJ15,'Технический лист'!$A:$B,2,1)-VLOOKUP($AO15,'Технический лист'!$A:$B,2,1)),1+(1-$AU15))</f>
        <v/>
      </c>
      <c r="EG15" s="172">
        <f>MIN(IF($AU15=100%,1,1+VLOOKUP(($AJ15-$AI15-$AH15-$AG15-$AF15-$AE15*(1+EG$3))/$AJ15,'Технический лист'!$A:$B,2,1)-VLOOKUP($AO15,'Технический лист'!$A:$B,2,1)),1+(1-$AU15))</f>
        <v/>
      </c>
      <c r="EH15" s="172">
        <f>MIN(IF($AU15=100%,1,1+VLOOKUP(($AJ15-$AI15-$AH15-$AG15-$AF15-$AE15*(1+EH$3))/$AJ15,'Технический лист'!$A:$B,2,1)-VLOOKUP($AO15,'Технический лист'!$A:$B,2,1)),1+(1-$AU15))</f>
        <v/>
      </c>
      <c r="EI15" s="172">
        <f>MIN(IF($AU15=100%,1,1+VLOOKUP(($AJ15-$AI15-$AH15-$AG15-$AF15-$AE15*(1+EI$3))/$AJ15,'Технический лист'!$A:$B,2,1)-VLOOKUP($AO15,'Технический лист'!$A:$B,2,1)),1+(1-$AU15))</f>
        <v/>
      </c>
      <c r="EJ15" s="172">
        <f>MIN(IF($AU15=100%,1,1+VLOOKUP(($AJ15-$AI15-$AH15-$AG15-$AF15-$AE15*(1+EJ$3))/$AJ15,'Технический лист'!$A:$B,2,1)-VLOOKUP($AO15,'Технический лист'!$A:$B,2,1)),1+(1-$AU15))</f>
        <v/>
      </c>
      <c r="EK15" s="172">
        <f>MIN(IF($AU15=100%,1,1+VLOOKUP(($AJ15-$AI15-$AH15-$AG15-$AF15-$AE15*(1+EK$3))/$AJ15,'Технический лист'!$A:$B,2,1)-VLOOKUP($AO15,'Технический лист'!$A:$B,2,1)),1+(1-$AU15))</f>
        <v/>
      </c>
      <c r="EL15" s="172">
        <f>MIN(IF($AU15=100%,1,1+VLOOKUP(($AJ15-$AI15-$AH15-$AG15-$AF15-$AE15*(1+EL$3))/$AJ15,'Технический лист'!$A:$B,2,1)-VLOOKUP($AO15,'Технический лист'!$A:$B,2,1)),1+(1-$AU15))</f>
        <v/>
      </c>
      <c r="EM15" s="172">
        <f>MIN(IF($AU15=100%,1,1+VLOOKUP(($AJ15-$AI15-$AH15-$AG15-$AF15-$AE15*(1+EM$3))/$AJ15,'Технический лист'!$A:$B,2,1)-VLOOKUP($AO15,'Технический лист'!$A:$B,2,1)),1+(1-$AU15))</f>
        <v/>
      </c>
      <c r="EN15" s="172">
        <f>MIN(IF($AU15=100%,1,1+VLOOKUP(($AJ15-$AI15-$AH15-$AG15-$AF15-$AE15*(1+EN$3))/$AJ15,'Технический лист'!$A:$B,2,1)-VLOOKUP($AO15,'Технический лист'!$A:$B,2,1)),1+(1-$AU15))</f>
        <v/>
      </c>
      <c r="EO15" s="172">
        <f>MIN(IF($AU15=100%,1,1+VLOOKUP(($AJ15-$AI15-$AH15-$AG15-$AF15-$AE15*(1+EO$3))/$AJ15,'Технический лист'!$A:$B,2,1)-VLOOKUP($AO15,'Технический лист'!$A:$B,2,1)),1+(1-$AU15))</f>
        <v/>
      </c>
      <c r="EP15" s="172">
        <f>MIN(IF($AU15=100%,1,1+VLOOKUP(($AJ15-$AI15-$AH15-$AG15-$AF15-$AE15*(1+EP$3))/$AJ15,'Технический лист'!$A:$B,2,1)-VLOOKUP($AO15,'Технический лист'!$A:$B,2,1)),1+(1-$AU15))</f>
        <v/>
      </c>
      <c r="EQ15" s="172">
        <f>MIN(IF($AU15=100%,1,1+VLOOKUP(($AJ15-$AI15-$AH15-$AG15-$AF15-$AE15*(1+EQ$3))/$AJ15,'Технический лист'!$A:$B,2,1)-VLOOKUP($AO15,'Технический лист'!$A:$B,2,1)),1+(1-$AU15))</f>
        <v/>
      </c>
      <c r="ER15" s="172">
        <f>MIN(IF($AU15=100%,1,1+VLOOKUP(($AJ15-$AI15-$AH15-$AG15-$AF15-$AE15*(1+ER$3))/$AJ15,'Технический лист'!$A:$B,2,1)-VLOOKUP($AO15,'Технический лист'!$A:$B,2,1)),1+(1-$AU15))</f>
        <v/>
      </c>
      <c r="ES15" s="172">
        <f>MIN(IF($AU15=100%,1,1+VLOOKUP(($AJ15-$AI15-$AH15-$AG15-$AF15-$AE15*(1+ES$3))/$AJ15,'Технический лист'!$A:$B,2,1)-VLOOKUP($AO15,'Технический лист'!$A:$B,2,1)),1+(1-$AU15))</f>
        <v/>
      </c>
      <c r="ET15" s="172">
        <f>MIN(IF($AU15=100%,1,1+VLOOKUP(($AJ15-$AI15-$AH15-$AG15-$AF15-$AE15*(1+ET$3))/$AJ15,'Технический лист'!$A:$B,2,1)-VLOOKUP($AO15,'Технический лист'!$A:$B,2,1)),1+(1-$AU15))</f>
        <v/>
      </c>
      <c r="EU15" s="172">
        <f>MIN(IF($AU15=100%,1,1+VLOOKUP(($AJ15-$AI15-$AH15-$AG15-$AF15-$AE15*(1+EU$3))/$AJ15,'Технический лист'!$A:$B,2,1)-VLOOKUP($AO15,'Технический лист'!$A:$B,2,1)),1+(1-$AU15))</f>
        <v/>
      </c>
      <c r="EV15" s="173" t="n">
        <v>1</v>
      </c>
      <c r="EW15" s="172">
        <f>MIN(1,MAX(VLOOKUP(($AJ15-$AI15-$AH15-$AG15-$AF15-$AE15*(1+EW$3))/$AJ15,'Технический лист'!$A:$B,2,1),(EV15-0.05)))</f>
        <v/>
      </c>
      <c r="EX15" s="172">
        <f>MIN(1,MAX(VLOOKUP(($AJ15-$AI15-$AH15-$AG15-$AF15-$AE15*(1+EX$3))/$AJ15,'Технический лист'!$A:$B,2,1),(EW15-0.05)))</f>
        <v/>
      </c>
      <c r="EY15" s="172">
        <f>MIN(1,MAX(VLOOKUP(($AJ15-$AI15-$AH15-$AG15-$AF15-$AE15*(1+EY$3))/$AJ15,'Технический лист'!$A:$B,2,1),(EX15-0.05)))</f>
        <v/>
      </c>
      <c r="EZ15" s="172">
        <f>MIN(1,MAX(VLOOKUP(($AJ15-$AI15-$AH15-$AG15-$AF15-$AE15*(1+EZ$3))/$AJ15,'Технический лист'!$A:$B,2,1),(EY15-0.05)))</f>
        <v/>
      </c>
      <c r="FA15" s="172">
        <f>MIN(1,MAX(VLOOKUP(($AJ15-$AI15-$AH15-$AG15-$AF15-$AE15*(1+FA$3))/$AJ15,'Технический лист'!$A:$B,2,1),(EZ15-0.05)))</f>
        <v/>
      </c>
      <c r="FB15" s="172">
        <f>MIN(1,MAX(VLOOKUP(($AJ15-$AI15-$AH15-$AG15-$AF15-$AE15*(1+FB$3))/$AJ15,'Технический лист'!$A:$B,2,1),(FA15-0.05)))</f>
        <v/>
      </c>
      <c r="FC15" s="172">
        <f>MIN(1,MAX(VLOOKUP(($AJ15-$AI15-$AH15-$AG15-$AF15-$AE15*(1+FC$3))/$AJ15,'Технический лист'!$A:$B,2,1),(FB15-0.05)))</f>
        <v/>
      </c>
      <c r="FD15" s="172">
        <f>MIN(1,MAX(VLOOKUP(($AJ15-$AI15-$AH15-$AG15-$AF15-$AE15*(1+FD$3))/$AJ15,'Технический лист'!$A:$B,2,1),(FC15-0.05)))</f>
        <v/>
      </c>
      <c r="FE15" s="172">
        <f>MIN(1,MAX(VLOOKUP(($AJ15-$AI15-$AH15-$AG15-$AF15-$AE15*(1+FE$3))/$AJ15,'Технический лист'!$A:$B,2,1),(FD15-0.05)))</f>
        <v/>
      </c>
      <c r="FF15" s="172">
        <f>MIN(1,MAX(VLOOKUP(($AJ15-$AI15-$AH15-$AG15-$AF15-$AE15*(1+FF$3))/$AJ15,'Технический лист'!$A:$B,2,1),(FE15-0.05)))</f>
        <v/>
      </c>
      <c r="FG15" s="172">
        <f>MIN(1,MAX(VLOOKUP(($AJ15-$AI15-$AH15-$AG15-$AF15-$AE15*(1+FG$3))/$AJ15,'Технический лист'!$A:$B,2,1),(FF15-0.05)))</f>
        <v/>
      </c>
      <c r="FH15" s="172">
        <f>MIN(1,MAX(VLOOKUP(($AJ15-$AI15-$AH15-$AG15-$AF15-$AE15*(1+FH$3))/$AJ15,'Технический лист'!$A:$B,2,1),(FG15-0.05)))</f>
        <v/>
      </c>
      <c r="FI15" s="172">
        <f>MIN(1,MAX(VLOOKUP(($AJ15-$AI15-$AH15-$AG15-$AF15-$AE15*(1+FI$3))/$AJ15,'Технический лист'!$A:$B,2,1),(FH15-0.05)))</f>
        <v/>
      </c>
      <c r="FJ15" s="172">
        <f>MIN(1,MAX(VLOOKUP(($AJ15-$AI15-$AH15-$AG15-$AF15-$AE15*(1+FJ$3))/$AJ15,'Технический лист'!$A:$B,2,1),(FI15-0.05)))</f>
        <v/>
      </c>
      <c r="FK15" s="172">
        <f>MIN(1,MAX(VLOOKUP(($AJ15-$AI15-$AH15-$AG15-$AF15-$AE15*(1+FK$3))/$AJ15,'Технический лист'!$A:$B,2,1),(FJ15-0.05)))</f>
        <v/>
      </c>
      <c r="FL15" s="172">
        <f>MIN(1,MAX(VLOOKUP(($AJ15-$AI15-$AH15-$AG15-$AF15-$AE15*(1+FL$3))/$AJ15,'Технический лист'!$A:$B,2,1),(FK15-0.05)))</f>
        <v/>
      </c>
      <c r="FM15" s="172">
        <f>MIN(1,MAX(VLOOKUP(($AJ15-$AI15-$AH15-$AG15-$AF15-$AE15*(1+FM$3))/$AJ15,'Технический лист'!$A:$B,2,1),(FL15-0.05)))</f>
        <v/>
      </c>
      <c r="FN15" s="172">
        <f>MIN(1,MAX(VLOOKUP(($AJ15-$AI15-$AH15-$AG15-$AF15-$AE15*(1+FN$3))/$AJ15,'Технический лист'!$A:$B,2,1),(FM15-0.05)))</f>
        <v/>
      </c>
      <c r="FO15" s="172">
        <f>MIN(1,MAX(VLOOKUP(($AJ15-$AI15-$AH15-$AG15-$AF15-$AE15*(1+FO$3))/$AJ15,'Технический лист'!$A:$B,2,1),(FN15-0.05)))</f>
        <v/>
      </c>
      <c r="FP15" s="172">
        <f>MIN(1,MAX(VLOOKUP(($AJ15-$AI15-$AH15-$AG15-$AF15-$AE15*(1+FP$3))/$AJ15,'Технический лист'!$A:$B,2,1),(FO15-0.05)))</f>
        <v/>
      </c>
      <c r="FQ15" s="172">
        <f>MIN(1,MAX(VLOOKUP(($AJ15-$AI15-$AH15-$AG15-$AF15-$AE15*(1+FQ$3))/$AJ15,'Технический лист'!$A:$B,2,1),(FP15-0.05)))</f>
        <v/>
      </c>
      <c r="FR15" s="172">
        <f>MIN(1,MAX(VLOOKUP(($AJ15-$AI15-$AH15-$AG15-$AF15-$AE15*(1+FR$3))/$AJ15,'Технический лист'!$A:$B,2,1),(FQ15-0.05)))</f>
        <v/>
      </c>
      <c r="FS15" s="172">
        <f>MIN(1,MAX(VLOOKUP(($AJ15-$AI15-$AH15-$AG15-$AF15-$AE15*(1+FS$3))/$AJ15,'Технический лист'!$A:$B,2,1),(FR15-0.05)))</f>
        <v/>
      </c>
      <c r="FT15" s="172">
        <f>MIN(1,MAX(VLOOKUP(($AJ15-$AI15-$AH15-$AG15-$AF15-$AE15*(1+FT$3))/$AJ15,'Технический лист'!$A:$B,2,1),(FS15-0.05)))</f>
        <v/>
      </c>
      <c r="FU15" s="172">
        <f>MIN(1,MAX(VLOOKUP(($AJ15-$AI15-$AH15-$AG15-$AF15-$AE15*(1+FU$3))/$AJ15,'Технический лист'!$A:$B,2,1),(FT15-0.05)))</f>
        <v/>
      </c>
      <c r="FV15" s="172">
        <f>MIN(1,MAX(VLOOKUP(($AJ15-$AI15-$AH15-$AG15-$AF15-$AE15*(1+FV$3))/$AJ15,'Технический лист'!$A:$B,2,1),(FU15-0.05)))</f>
        <v/>
      </c>
      <c r="FW15" s="172">
        <f>MIN(1,MAX(VLOOKUP(($AJ15-$AI15-$AH15-$AG15-$AF15-$AE15*(1+FW$3))/$AJ15,'Технический лист'!$A:$B,2,1),(FV15-0.05)))</f>
        <v/>
      </c>
      <c r="FX15" s="172">
        <f>MIN(1,MAX(VLOOKUP(($AJ15-$AI15-$AH15-$AG15-$AF15-$AE15*(1+FX$3))/$AJ15,'Технический лист'!$A:$B,2,1),(FW15-0.05)))</f>
        <v/>
      </c>
      <c r="FY15" s="172">
        <f>MIN(1,MAX(VLOOKUP(($AJ15-$AI15-$AH15-$AG15-$AF15-$AE15*(1+FY$3))/$AJ15,'Технический лист'!$A:$B,2,1),(FX15-0.05)))</f>
        <v/>
      </c>
      <c r="FZ15" s="172">
        <f>MIN(1,MAX(VLOOKUP(($AJ15-$AI15-$AH15-$AG15-$AF15-$AE15*(1+FZ$3))/$AJ15,'Технический лист'!$A:$B,2,1),(FY15-0.05)))</f>
        <v/>
      </c>
      <c r="GA15" s="172">
        <f>MIN(1,MAX(VLOOKUP(($AJ15-$AI15-$AH15-$AG15-$AF15-$AE15*(1+GA$3))/$AJ15,'Технический лист'!$A:$B,2,1),(FZ15-0.05)))</f>
        <v/>
      </c>
      <c r="GB15" s="172">
        <f>MIN(1,MAX(VLOOKUP(($AJ15-$AI15-$AH15-$AG15-$AF15-$AE15*(1+GB$3))/$AJ15,'Технический лист'!$A:$B,2,1),(GA15-0.05)))</f>
        <v/>
      </c>
      <c r="GC15" s="172">
        <f>MIN(1,MAX(VLOOKUP(($AJ15-$AI15-$AH15-$AG15-$AF15-$AE15*(1+GC$3))/$AJ15,'Технический лист'!$A:$B,2,1),(GB15-0.05)))</f>
        <v/>
      </c>
      <c r="GD15" s="172">
        <f>MIN(1,MAX(VLOOKUP(($AJ15-$AI15-$AH15-$AG15-$AF15-$AE15*(1+GD$3))/$AJ15,'Технический лист'!$A:$B,2,1),(GC15-0.05)))</f>
        <v/>
      </c>
      <c r="GE15" s="172">
        <f>MIN(1,MAX(VLOOKUP(($AJ15-$AI15-$AH15-$AG15-$AF15-$AE15*(1+GE$3))/$AJ15,'Технический лист'!$A:$B,2,1),(GD15-0.05)))</f>
        <v/>
      </c>
      <c r="GF15" s="172">
        <f>MIN(1,MAX(VLOOKUP(($AJ15-$AI15-$AH15-$AG15-$AF15-$AE15*(1+GF$3))/$AJ15,'Технический лист'!$A:$B,2,1),(GE15-0.05)))</f>
        <v/>
      </c>
      <c r="GG15" s="172">
        <f>MIN(1,MAX(VLOOKUP(($AJ15-$AI15-$AH15-$AG15-$AF15-$AE15*(1+GG$3))/$AJ15,'Технический лист'!$A:$B,2,1),(GF15-0.05)))</f>
        <v/>
      </c>
      <c r="GH15" s="172">
        <f>MIN(1,MAX(VLOOKUP(($AJ15-$AI15-$AH15-$AG15-$AF15-$AE15*(1+GH$3))/$AJ15,'Технический лист'!$A:$B,2,1),(GG15-0.05)))</f>
        <v/>
      </c>
      <c r="GI15" s="172">
        <f>MIN(1,MAX(VLOOKUP(($AJ15-$AI15-$AH15-$AG15-$AF15-$AE15*(1+GI$3))/$AJ15,'Технический лист'!$A:$B,2,1),(GH15-0.05)))</f>
        <v/>
      </c>
      <c r="GJ15" s="172">
        <f>MIN(1,MAX(VLOOKUP(($AJ15-$AI15-$AH15-$AG15-$AF15-$AE15*(1+GJ$3))/$AJ15,'Технический лист'!$A:$B,2,1),(GI15-0.05)))</f>
        <v/>
      </c>
      <c r="GK15" s="172">
        <f>MIN(1,MAX(VLOOKUP(($AJ15-$AI15-$AH15-$AG15-$AF15-$AE15*(1+GK$3))/$AJ15,'Технический лист'!$A:$B,2,1),(GJ15-0.05)))</f>
        <v/>
      </c>
      <c r="GL15" s="172">
        <f>MIN(1,MAX(VLOOKUP(($AJ15-$AI15-$AH15-$AG15-$AF15-$AE15*(1+GL$3))/$AJ15,'Технический лист'!$A:$B,2,1),(GK15-0.05)))</f>
        <v/>
      </c>
      <c r="GM15" s="172">
        <f>MIN(1,MAX(VLOOKUP(($AJ15-$AI15-$AH15-$AG15-$AF15-$AE15*(1+GM$3))/$AJ15,'Технический лист'!$A:$B,2,1),(GL15-0.05)))</f>
        <v/>
      </c>
      <c r="GN15" s="172">
        <f>MIN(1,MAX(VLOOKUP(($AJ15-$AI15-$AH15-$AG15-$AF15-$AE15*(1+GN$3))/$AJ15,'Технический лист'!$A:$B,2,1),(GM15-0.05)))</f>
        <v/>
      </c>
      <c r="GO15" s="172">
        <f>MIN(1,MAX(VLOOKUP(($AJ15-$AI15-$AH15-$AG15-$AF15-$AE15*(1+GO$3))/$AJ15,'Технический лист'!$A:$B,2,1),(GN15-0.05)))</f>
        <v/>
      </c>
      <c r="GP15" s="172">
        <f>MIN(1,MAX(VLOOKUP(($AJ15-$AI15-$AH15-$AG15-$AF15-$AE15*(1+GP$3))/$AJ15,'Технический лист'!$A:$B,2,1),(GO15-0.05)))</f>
        <v/>
      </c>
      <c r="GQ15" s="172">
        <f>MIN(1,MAX(VLOOKUP(($AJ15-$AI15-$AH15-$AG15-$AF15-$AE15*(1+GQ$3))/$AJ15,'Технический лист'!$A:$B,2,1),(GP15-0.05)))</f>
        <v/>
      </c>
      <c r="GR15" s="172">
        <f>MIN(1,MAX(VLOOKUP(($AJ15-$AI15-$AH15-$AG15-$AF15-$AE15*(1+GR$3))/$AJ15,'Технический лист'!$A:$B,2,1),(GQ15-0.05)))</f>
        <v/>
      </c>
      <c r="GS15" s="172">
        <f>MIN(1,MAX(VLOOKUP(($AJ15-$AI15-$AH15-$AG15-$AF15-$AE15*(1+GS$3))/$AJ15,'Технический лист'!$A:$B,2,1),(GR15-0.05)))</f>
        <v/>
      </c>
      <c r="GT15" s="172">
        <f>MIN(1,MAX(VLOOKUP(($AJ15-$AI15-$AH15-$AG15-$AF15-$AE15*(1+GT$3))/$AJ15,'Технический лист'!$A:$B,2,1),(GS15-0.05)))</f>
        <v/>
      </c>
      <c r="GU15" s="172">
        <f>MIN(1,MAX(VLOOKUP(($AJ15-$AI15-$AH15-$AG15-$AF15-$AE15*(1+GU$3))/$AJ15,'Технический лист'!$A:$B,2,1),(GT15-0.05)))</f>
        <v/>
      </c>
      <c r="GV15" s="172">
        <f>MIN(1,MAX(VLOOKUP(($AJ15-$AI15-$AH15-$AG15-$AF15-$AE15*(1+GV$3))/$AJ15,'Технический лист'!$A:$B,2,1),(GU15-0.05)))</f>
        <v/>
      </c>
      <c r="GW15" s="172">
        <f>MIN(1,MAX(VLOOKUP(($AJ15-$AI15-$AH15-$AG15-$AF15-$AE15*(1+GW$3))/$AJ15,'Технический лист'!$A:$B,2,1),(GV15-0.05)))</f>
        <v/>
      </c>
      <c r="GX15" s="172">
        <f>MIN(1,MAX(VLOOKUP(($AJ15-$AI15-$AH15-$AG15-$AF15-$AE15*(1+GX$3))/$AJ15,'Технический лист'!$A:$B,2,1),(GW15-0.05)))</f>
        <v/>
      </c>
      <c r="GY15" s="172">
        <f>MIN(1,MAX(VLOOKUP(($AJ15-$AI15-$AH15-$AG15-$AF15-$AE15*(1+GY$3))/$AJ15,'Технический лист'!$A:$B,2,1),(GX15-0.05)))</f>
        <v/>
      </c>
      <c r="GZ15" s="172">
        <f>MIN(1,MAX(VLOOKUP(($AJ15-$AI15-$AH15-$AG15-$AF15-$AE15*(1+GZ$3))/$AJ15,'Технический лист'!$A:$B,2,1),(GY15-0.05)))</f>
        <v/>
      </c>
      <c r="HA15" s="172">
        <f>MIN(1,MAX(VLOOKUP(($AJ15-$AI15-$AH15-$AG15-$AF15-$AE15*(1+HA$3))/$AJ15,'Технический лист'!$A:$B,2,1),(GZ15-0.05)))</f>
        <v/>
      </c>
      <c r="HB15" s="172">
        <f>MIN(1,MAX(VLOOKUP(($AJ15-$AI15-$AH15-$AG15-$AF15-$AE15*(1+HB$3))/$AJ15,'Технический лист'!$A:$B,2,1),(HA15-0.05)))</f>
        <v/>
      </c>
      <c r="HC15" s="172">
        <f>MIN(1,MAX(VLOOKUP(($AJ15-$AI15-$AH15-$AG15-$AF15-$AE15*(1+HC$3))/$AJ15,'Технический лист'!$A:$B,2,1),(HB15-0.05)))</f>
        <v/>
      </c>
      <c r="HD15" s="172">
        <f>MIN(1,MAX(VLOOKUP(($AJ15-$AI15-$AH15-$AG15-$AF15-$AE15*(1+HD$3))/$AJ15,'Технический лист'!$A:$B,2,1),(HC15-0.05)))</f>
        <v/>
      </c>
      <c r="HE15" s="172">
        <f>MIN(1,MAX(VLOOKUP(($AJ15-$AI15-$AH15-$AG15-$AF15-$AE15*(1+HE$3))/$AJ15,'Технический лист'!$A:$B,2,1),(HD15-0.05)))</f>
        <v/>
      </c>
      <c r="HF15" s="172">
        <f>MIN(1,MAX(VLOOKUP(($AJ15-$AI15-$AH15-$AG15-$AF15-$AE15*(1+HF$3))/$AJ15,'Технический лист'!$A:$B,2,1),(HE15-0.05)))</f>
        <v/>
      </c>
      <c r="HG15" s="172">
        <f>MIN(1,MAX(VLOOKUP(($AJ15-$AI15-$AH15-$AG15-$AF15-$AE15*(1+HG$3))/$AJ15,'Технический лист'!$A:$B,2,1),(HF15-0.05)))</f>
        <v/>
      </c>
      <c r="HH15" s="172">
        <f>MIN(1,MAX(VLOOKUP(($AJ15-$AI15-$AH15-$AG15-$AF15-$AE15*(1+HH$3))/$AJ15,'Технический лист'!$A:$B,2,1),(HG15-0.05)))</f>
        <v/>
      </c>
      <c r="HI15" s="172">
        <f>MIN(1,MAX(VLOOKUP(($AJ15-$AI15-$AH15-$AG15-$AF15-$AE15*(1+HI$3))/$AJ15,'Технический лист'!$A:$B,2,1),(HH15-0.05)))</f>
        <v/>
      </c>
      <c r="HJ15" s="172">
        <f>MIN(1,MAX(VLOOKUP(($AJ15-$AI15-$AH15-$AG15-$AF15-$AE15*(1+HJ$3))/$AJ15,'Технический лист'!$A:$B,2,1),(HI15-0.05)))</f>
        <v/>
      </c>
      <c r="HK15" s="172">
        <f>MIN(1,MAX(VLOOKUP(($AJ15-$AI15-$AH15-$AG15-$AF15-$AE15*(1+HK$3))/$AJ15,'Технический лист'!$A:$B,2,1),(HJ15-0.05)))</f>
        <v/>
      </c>
      <c r="HL15" s="172">
        <f>MIN(1,MAX(VLOOKUP(($AJ15-$AI15-$AH15-$AG15-$AF15-$AE15*(1+HL$3))/$AJ15,'Технический лист'!$A:$B,2,1),(HK15-0.05)))</f>
        <v/>
      </c>
      <c r="HM15" s="172">
        <f>MIN(1,MAX(VLOOKUP(($AJ15-$AI15-$AH15-$AG15-$AF15-$AE15*(1+HM$3))/$AJ15,'Технический лист'!$A:$B,2,1),(HL15-0.05)))</f>
        <v/>
      </c>
      <c r="HN15" s="172">
        <f>MIN(1,MAX(VLOOKUP(($AJ15-$AI15-$AH15-$AG15-$AF15-$AE15*(1+HN$3))/$AJ15,'Технический лист'!$A:$B,2,1),(HM15-0.05)))</f>
        <v/>
      </c>
      <c r="HO15" s="172">
        <f>MIN(1,MAX(VLOOKUP(($AJ15-$AI15-$AH15-$AG15-$AF15-$AE15*(1+HO$3))/$AJ15,'Технический лист'!$A:$B,2,1),(HN15-0.05)))</f>
        <v/>
      </c>
      <c r="HP15" s="172">
        <f>MIN(1,MAX(VLOOKUP(($AJ15-$AI15-$AH15-$AG15-$AF15-$AE15*(1+HP$3))/$AJ15,'Технический лист'!$A:$B,2,1),(HO15-0.05)))</f>
        <v/>
      </c>
      <c r="HQ15" s="172">
        <f>MIN(1,MAX(VLOOKUP(($AJ15-$AI15-$AH15-$AG15-$AF15-$AE15*(1+HQ$3))/$AJ15,'Технический лист'!$A:$B,2,1),(HP15-0.05)))</f>
        <v/>
      </c>
      <c r="HR15" s="172">
        <f>MIN(1,MAX(VLOOKUP(($AJ15-$AI15-$AH15-$AG15-$AF15-$AE15*(1+HR$3))/$AJ15,'Технический лист'!$A:$B,2,1),(HQ15-0.05)))</f>
        <v/>
      </c>
      <c r="HS15" s="172">
        <f>MIN(1,MAX(VLOOKUP(($AJ15-$AI15-$AH15-$AG15-$AF15-$AE15*(1+HS$3))/$AJ15,'Технический лист'!$A:$B,2,1),(HR15-0.05)))</f>
        <v/>
      </c>
      <c r="HT15" s="172">
        <f>MIN(1,MAX(VLOOKUP(($AJ15-$AI15-$AH15-$AG15-$AF15-$AE15*(1+HT$3))/$AJ15,'Технический лист'!$A:$B,2,1),(HS15-0.05)))</f>
        <v/>
      </c>
      <c r="HU15" s="172">
        <f>MIN(1,MAX(VLOOKUP(($AJ15-$AI15-$AH15-$AG15-$AF15-$AE15*(1+HU$3))/$AJ15,'Технический лист'!$A:$B,2,1),(HT15-0.05)))</f>
        <v/>
      </c>
      <c r="HV15" s="172">
        <f>MIN(1,MAX(VLOOKUP(($AJ15-$AI15-$AH15-$AG15-$AF15-$AE15*(1+HV$3))/$AJ15,'Технический лист'!$A:$B,2,1),(HU15-0.05)))</f>
        <v/>
      </c>
      <c r="HW15" s="172">
        <f>MIN(1,MAX(VLOOKUP(($AJ15-$AI15-$AH15-$AG15-$AF15-$AE15*(1+HW$3))/$AJ15,'Технический лист'!$A:$B,2,1),(HV15-0.05)))</f>
        <v/>
      </c>
      <c r="HX15" s="172">
        <f>MIN(1,MAX(VLOOKUP(($AJ15-$AI15-$AH15-$AG15-$AF15-$AE15*(1+HX$3))/$AJ15,'Технический лист'!$A:$B,2,1),(HW15-0.05)))</f>
        <v/>
      </c>
      <c r="HY15" s="172">
        <f>MIN(1,MAX(VLOOKUP(($AJ15-$AI15-$AH15-$AG15-$AF15-$AE15*(1+HY$3))/$AJ15,'Технический лист'!$A:$B,2,1),(HX15-0.05)))</f>
        <v/>
      </c>
      <c r="HZ15" s="172">
        <f>MIN(1,MAX(VLOOKUP(($AJ15-$AI15-$AH15-$AG15-$AF15-$AE15*(1+HZ$3))/$AJ15,'Технический лист'!$A:$B,2,1),(HY15-0.05)))</f>
        <v/>
      </c>
      <c r="IA15" s="172">
        <f>MIN(1,MAX(VLOOKUP(($AJ15-$AI15-$AH15-$AG15-$AF15-$AE15*(1+IA$3))/$AJ15,'Технический лист'!$A:$B,2,1),(HZ15-0.05)))</f>
        <v/>
      </c>
      <c r="IB15" s="172">
        <f>MIN(1,MAX(VLOOKUP(($AJ15-$AI15-$AH15-$AG15-$AF15-$AE15*(1+IB$3))/$AJ15,'Технический лист'!$A:$B,2,1),(IA15-0.05)))</f>
        <v/>
      </c>
      <c r="IC15" s="172">
        <f>MIN(1,MAX(VLOOKUP(($AJ15-$AI15-$AH15-$AG15-$AF15-$AE15*(1+IC$3))/$AJ15,'Технический лист'!$A:$B,2,1),(IB15-0.05)))</f>
        <v/>
      </c>
      <c r="ID15" s="172">
        <f>MIN(1,MAX(VLOOKUP(($AJ15-$AI15-$AH15-$AG15-$AF15-$AE15*(1+ID$3))/$AJ15,'Технический лист'!$A:$B,2,1),(IC15-0.05)))</f>
        <v/>
      </c>
      <c r="IE15" s="172">
        <f>MIN(1,MAX(VLOOKUP(($AJ15-$AI15-$AH15-$AG15-$AF15-$AE15*(1+IE$3))/$AJ15,'Технический лист'!$A:$B,2,1),(ID15-0.05)))</f>
        <v/>
      </c>
      <c r="IF15" s="172">
        <f>MIN(1,MAX(VLOOKUP(($AJ15-$AI15-$AH15-$AG15-$AF15-$AE15*(1+IF$3))/$AJ15,'Технический лист'!$A:$B,2,1),(IE15-0.05)))</f>
        <v/>
      </c>
      <c r="IG15" s="172">
        <f>MIN(1,MAX(VLOOKUP(($AJ15-$AI15-$AH15-$AG15-$AF15-$AE15*(1+IG$3))/$AJ15,'Технический лист'!$A:$B,2,1),(IF15-0.05)))</f>
        <v/>
      </c>
      <c r="IH15" s="172">
        <f>MIN(1,MAX(VLOOKUP(($AJ15-$AI15-$AH15-$AG15-$AF15-$AE15*(1+IH$3))/$AJ15,'Технический лист'!$A:$B,2,1),(IG15-0.05)))</f>
        <v/>
      </c>
      <c r="II15" s="172">
        <f>MIN(1,MAX(VLOOKUP(($AJ15-$AI15-$AH15-$AG15-$AF15-$AE15*(1+II$3))/$AJ15,'Технический лист'!$A:$B,2,1),(IH15-0.05)))</f>
        <v/>
      </c>
      <c r="IJ15" s="172">
        <f>MIN(1,MAX(VLOOKUP(($AJ15-$AI15-$AH15-$AG15-$AF15-$AE15*(1+IJ$3))/$AJ15,'Технический лист'!$A:$B,2,1),(II15-0.05)))</f>
        <v/>
      </c>
      <c r="IK15" s="172">
        <f>MIN(1,MAX(VLOOKUP(($AJ15-$AI15-$AH15-$AG15-$AF15-$AE15*(1+IK$3))/$AJ15,'Технический лист'!$A:$B,2,1),(IJ15-0.05)))</f>
        <v/>
      </c>
      <c r="IL15" s="172">
        <f>MIN(1,MAX(VLOOKUP(($AJ15-$AI15-$AH15-$AG15-$AF15-$AE15*(1+IL$3))/$AJ15,'Технический лист'!$A:$B,2,1),(IK15-0.05)))</f>
        <v/>
      </c>
      <c r="IM15" s="172">
        <f>MIN(1,MAX(VLOOKUP(($AJ15-$AI15-$AH15-$AG15-$AF15-$AE15*(1+IM$3))/$AJ15,'Технический лист'!$A:$B,2,1),(IL15-0.05)))</f>
        <v/>
      </c>
      <c r="IN15" s="172">
        <f>MIN(1,MAX(VLOOKUP(($AJ15-$AI15-$AH15-$AG15-$AF15-$AE15*(1+IN$3))/$AJ15,'Технический лист'!$A:$B,2,1),(IM15-0.05)))</f>
        <v/>
      </c>
      <c r="IO15" s="172">
        <f>MIN(1,MAX(VLOOKUP(($AJ15-$AI15-$AH15-$AG15-$AF15-$AE15*(1+IO$3))/$AJ15,'Технический лист'!$A:$B,2,1),(IN15-0.05)))</f>
        <v/>
      </c>
      <c r="IP15" s="172">
        <f>MIN(1,MAX(VLOOKUP(($AJ15-$AI15-$AH15-$AG15-$AF15-$AE15*(1+IP$3))/$AJ15,'Технический лист'!$A:$B,2,1),(IO15-0.05)))</f>
        <v/>
      </c>
      <c r="IQ15" s="172">
        <f>MIN(1,MAX(VLOOKUP(($AJ15-$AI15-$AH15-$AG15-$AF15-$AE15*(1+IQ$3))/$AJ15,'Технический лист'!$A:$B,2,1),(IP15-0.05)))</f>
        <v/>
      </c>
      <c r="IR15" s="172">
        <f>MIN(1,MAX(VLOOKUP(($AJ15-$AI15-$AH15-$AG15-$AF15-$AE15*(1+IR$3))/$AJ15,'Технический лист'!$A:$B,2,1),(IQ15-0.05)))</f>
        <v/>
      </c>
    </row>
    <row r="16" ht="45" customHeight="1" s="123">
      <c r="A16" s="89" t="inlineStr">
        <is>
          <t>ЧМ (сырье)</t>
        </is>
      </c>
      <c r="B16" s="90" t="n">
        <v>2</v>
      </c>
      <c r="C16" s="5" t="inlineStr">
        <is>
          <t>Кокс каменноугольный</t>
        </is>
      </c>
      <c r="D16" s="91" t="n">
        <v>17111</v>
      </c>
      <c r="E16" s="91" t="inlineStr">
        <is>
          <t xml:space="preserve">Кокс электродный </t>
        </is>
      </c>
      <c r="F16" s="92" t="inlineStr">
        <is>
          <t>КОКС КАМЕННОУГОЛЬНЫЙ</t>
        </is>
      </c>
      <c r="G16" s="91" t="inlineStr">
        <is>
          <t>ЗСБ</t>
        </is>
      </c>
      <c r="H16" s="91" t="inlineStr">
        <is>
          <t>КРС</t>
        </is>
      </c>
      <c r="I16" s="91" t="inlineStr">
        <is>
          <t>ПРЕДКОМБИНАТ</t>
        </is>
      </c>
      <c r="J16" s="91" t="inlineStr">
        <is>
          <t>ЛЕСОСИБ-ПЕР</t>
        </is>
      </c>
      <c r="K16" s="91" t="n">
        <v>697</v>
      </c>
      <c r="L16" s="91" t="inlineStr">
        <is>
          <t>Полувагоны</t>
        </is>
      </c>
      <c r="M16" s="91" t="inlineStr">
        <is>
          <t>Внутр. перевозки</t>
        </is>
      </c>
      <c r="N16" s="91" t="inlineStr">
        <is>
          <t>вагонная</t>
        </is>
      </c>
      <c r="O16" s="91" t="inlineStr">
        <is>
          <t xml:space="preserve">Восточное </t>
        </is>
      </c>
      <c r="P16" s="89" t="inlineStr">
        <is>
          <t>'000000186683</t>
        </is>
      </c>
      <c r="Q16" s="91" t="inlineStr">
        <is>
          <t>'ПАО "Кокс"</t>
        </is>
      </c>
      <c r="R16" s="91" t="inlineStr">
        <is>
          <t>ООО "УК"ПМХ"</t>
        </is>
      </c>
      <c r="S16" s="87" t="n">
        <v>21520</v>
      </c>
      <c r="T16" s="87" t="n">
        <v>14999320</v>
      </c>
      <c r="U16" s="88" t="n">
        <v>432</v>
      </c>
      <c r="V16" s="88" t="n">
        <v>0</v>
      </c>
      <c r="W16" s="87" t="n">
        <v>17973782</v>
      </c>
      <c r="X16" s="112" t="n">
        <v>50</v>
      </c>
      <c r="Y16" s="112" t="inlineStr">
        <is>
          <t>групповая</t>
        </is>
      </c>
      <c r="Z16" s="113" t="n">
        <v>6</v>
      </c>
      <c r="AA16" s="113" t="n">
        <v>6</v>
      </c>
      <c r="AB16" s="113" t="n">
        <v>4</v>
      </c>
      <c r="AC16" s="161" t="n">
        <v>903.98</v>
      </c>
      <c r="AD16" s="161">
        <f>AE16-AC16</f>
        <v/>
      </c>
      <c r="AE16" s="161" t="n">
        <v>1203.9</v>
      </c>
      <c r="AF16" s="162">
        <f>(Z16+AA16+AB16)*'Ставки аренды'!$B$3/X16</f>
        <v/>
      </c>
      <c r="AG16" s="163" t="n">
        <v>0</v>
      </c>
      <c r="AH16" s="164" t="n">
        <v>0</v>
      </c>
      <c r="AI16" s="165">
        <f>0.9*AVERAGE(AJ13,AJ14)</f>
        <v/>
      </c>
      <c r="AJ16" s="166">
        <f>Цены!$D$9</f>
        <v/>
      </c>
      <c r="AK16" s="164">
        <f>AJ16/Цены!$B$1</f>
        <v/>
      </c>
      <c r="AL16" s="164">
        <f>AE16+AF16+AG16</f>
        <v/>
      </c>
      <c r="AM16" s="164">
        <f>AJ16-AL16</f>
        <v/>
      </c>
      <c r="AN16" s="164">
        <f>AI16+AH16+AG16+AF16+AE16</f>
        <v/>
      </c>
      <c r="AO16" s="167">
        <f>(AJ16-AN16)/AJ16</f>
        <v/>
      </c>
      <c r="AP16" s="168">
        <f>AL16/AJ16</f>
        <v/>
      </c>
      <c r="AQ16" s="168">
        <f>AE16/AJ16</f>
        <v/>
      </c>
      <c r="AR16" s="168">
        <f>AE16/AL16</f>
        <v/>
      </c>
      <c r="AS16" s="169" t="n">
        <v>1</v>
      </c>
      <c r="AT16" s="121">
        <f>S16*AS16</f>
        <v/>
      </c>
      <c r="AU16" s="83" t="n">
        <v>0.9</v>
      </c>
      <c r="AV16" s="170">
        <f>(AJ16-(AE16*(1+$IS$2)+AF16+AG16+AH16+AI16))/AJ16</f>
        <v/>
      </c>
      <c r="AW16" s="171">
        <f>(AE16*(1+$IS$2)+AF16+AG16)/AJ16</f>
        <v/>
      </c>
      <c r="AX16" s="171">
        <f>(AE16*(1+$IS$2))/AJ16</f>
        <v/>
      </c>
      <c r="AY16" s="171">
        <f>(AE16*(1+$IS$2))/(AE16*(1+$IS$2)+AF16+AG16)</f>
        <v/>
      </c>
      <c r="AZ16" s="172">
        <f>MIN(IF($AU16=100%,1,1+VLOOKUP(($AJ16-$AI16-$AH16-$AG16-$AF16-$AE16*(1+AZ$3))/$AJ16,'Технический лист'!$A:$B,2,1)-VLOOKUP($AO16,'Технический лист'!$A:$B,2,1)),1+(1-$AU16))</f>
        <v/>
      </c>
      <c r="BA16" s="172">
        <f>MIN(IF($AU16=100%,1,1+VLOOKUP(($AJ16-$AI16-$AH16-$AG16-$AF16-$AE16*(1+BA$3))/$AJ16,'Технический лист'!$A:$B,2,1)-VLOOKUP($AO16,'Технический лист'!$A:$B,2,1)),1+(1-$AU16))</f>
        <v/>
      </c>
      <c r="BB16" s="172">
        <f>MIN(IF($AU16=100%,1,1+VLOOKUP(($AJ16-$AI16-$AH16-$AG16-$AF16-$AE16*(1+BB$3))/$AJ16,'Технический лист'!$A:$B,2,1)-VLOOKUP($AO16,'Технический лист'!$A:$B,2,1)),1+(1-$AU16))</f>
        <v/>
      </c>
      <c r="BC16" s="172">
        <f>MIN(IF($AU16=100%,1,1+VLOOKUP(($AJ16-$AI16-$AH16-$AG16-$AF16-$AE16*(1+BC$3))/$AJ16,'Технический лист'!$A:$B,2,1)-VLOOKUP($AO16,'Технический лист'!$A:$B,2,1)),1+(1-$AU16))</f>
        <v/>
      </c>
      <c r="BD16" s="172">
        <f>MIN(IF($AU16=100%,1,1+VLOOKUP(($AJ16-$AI16-$AH16-$AG16-$AF16-$AE16*(1+BD$3))/$AJ16,'Технический лист'!$A:$B,2,1)-VLOOKUP($AO16,'Технический лист'!$A:$B,2,1)),1+(1-$AU16))</f>
        <v/>
      </c>
      <c r="BE16" s="172">
        <f>MIN(IF($AU16=100%,1,1+VLOOKUP(($AJ16-$AI16-$AH16-$AG16-$AF16-$AE16*(1+BE$3))/$AJ16,'Технический лист'!$A:$B,2,1)-VLOOKUP($AO16,'Технический лист'!$A:$B,2,1)),1+(1-$AU16))</f>
        <v/>
      </c>
      <c r="BF16" s="172">
        <f>MIN(IF($AU16=100%,1,1+VLOOKUP(($AJ16-$AI16-$AH16-$AG16-$AF16-$AE16*(1+BF$3))/$AJ16,'Технический лист'!$A:$B,2,1)-VLOOKUP($AO16,'Технический лист'!$A:$B,2,1)),1+(1-$AU16))</f>
        <v/>
      </c>
      <c r="BG16" s="172">
        <f>MIN(IF($AU16=100%,1,1+VLOOKUP(($AJ16-$AI16-$AH16-$AG16-$AF16-$AE16*(1+BG$3))/$AJ16,'Технический лист'!$A:$B,2,1)-VLOOKUP($AO16,'Технический лист'!$A:$B,2,1)),1+(1-$AU16))</f>
        <v/>
      </c>
      <c r="BH16" s="172">
        <f>MIN(IF($AU16=100%,1,1+VLOOKUP(($AJ16-$AI16-$AH16-$AG16-$AF16-$AE16*(1+BH$3))/$AJ16,'Технический лист'!$A:$B,2,1)-VLOOKUP($AO16,'Технический лист'!$A:$B,2,1)),1+(1-$AU16))</f>
        <v/>
      </c>
      <c r="BI16" s="172">
        <f>MIN(IF($AU16=100%,1,1+VLOOKUP(($AJ16-$AI16-$AH16-$AG16-$AF16-$AE16*(1+BI$3))/$AJ16,'Технический лист'!$A:$B,2,1)-VLOOKUP($AO16,'Технический лист'!$A:$B,2,1)),1+(1-$AU16))</f>
        <v/>
      </c>
      <c r="BJ16" s="172">
        <f>MIN(IF($AU16=100%,1,1+VLOOKUP(($AJ16-$AI16-$AH16-$AG16-$AF16-$AE16*(1+BJ$3))/$AJ16,'Технический лист'!$A:$B,2,1)-VLOOKUP($AO16,'Технический лист'!$A:$B,2,1)),1+(1-$AU16))</f>
        <v/>
      </c>
      <c r="BK16" s="172">
        <f>MIN(IF($AU16=100%,1,1+VLOOKUP(($AJ16-$AI16-$AH16-$AG16-$AF16-$AE16*(1+BK$3))/$AJ16,'Технический лист'!$A:$B,2,1)-VLOOKUP($AO16,'Технический лист'!$A:$B,2,1)),1+(1-$AU16))</f>
        <v/>
      </c>
      <c r="BL16" s="172">
        <f>MIN(IF($AU16=100%,1,1+VLOOKUP(($AJ16-$AI16-$AH16-$AG16-$AF16-$AE16*(1+BL$3))/$AJ16,'Технический лист'!$A:$B,2,1)-VLOOKUP($AO16,'Технический лист'!$A:$B,2,1)),1+(1-$AU16))</f>
        <v/>
      </c>
      <c r="BM16" s="172">
        <f>MIN(IF($AU16=100%,1,1+VLOOKUP(($AJ16-$AI16-$AH16-$AG16-$AF16-$AE16*(1+BM$3))/$AJ16,'Технический лист'!$A:$B,2,1)-VLOOKUP($AO16,'Технический лист'!$A:$B,2,1)),1+(1-$AU16))</f>
        <v/>
      </c>
      <c r="BN16" s="172">
        <f>MIN(IF($AU16=100%,1,1+VLOOKUP(($AJ16-$AI16-$AH16-$AG16-$AF16-$AE16*(1+BN$3))/$AJ16,'Технический лист'!$A:$B,2,1)-VLOOKUP($AO16,'Технический лист'!$A:$B,2,1)),1+(1-$AU16))</f>
        <v/>
      </c>
      <c r="BO16" s="172">
        <f>MIN(IF($AU16=100%,1,1+VLOOKUP(($AJ16-$AI16-$AH16-$AG16-$AF16-$AE16*(1+BO$3))/$AJ16,'Технический лист'!$A:$B,2,1)-VLOOKUP($AO16,'Технический лист'!$A:$B,2,1)),1+(1-$AU16))</f>
        <v/>
      </c>
      <c r="BP16" s="172">
        <f>MIN(IF($AU16=100%,1,1+VLOOKUP(($AJ16-$AI16-$AH16-$AG16-$AF16-$AE16*(1+BP$3))/$AJ16,'Технический лист'!$A:$B,2,1)-VLOOKUP($AO16,'Технический лист'!$A:$B,2,1)),1+(1-$AU16))</f>
        <v/>
      </c>
      <c r="BQ16" s="172">
        <f>MIN(IF($AU16=100%,1,1+VLOOKUP(($AJ16-$AI16-$AH16-$AG16-$AF16-$AE16*(1+BQ$3))/$AJ16,'Технический лист'!$A:$B,2,1)-VLOOKUP($AO16,'Технический лист'!$A:$B,2,1)),1+(1-$AU16))</f>
        <v/>
      </c>
      <c r="BR16" s="172">
        <f>MIN(IF($AU16=100%,1,1+VLOOKUP(($AJ16-$AI16-$AH16-$AG16-$AF16-$AE16*(1+BR$3))/$AJ16,'Технический лист'!$A:$B,2,1)-VLOOKUP($AO16,'Технический лист'!$A:$B,2,1)),1+(1-$AU16))</f>
        <v/>
      </c>
      <c r="BS16" s="172">
        <f>MIN(IF($AU16=100%,1,1+VLOOKUP(($AJ16-$AI16-$AH16-$AG16-$AF16-$AE16*(1+BS$3))/$AJ16,'Технический лист'!$A:$B,2,1)-VLOOKUP($AO16,'Технический лист'!$A:$B,2,1)),1+(1-$AU16))</f>
        <v/>
      </c>
      <c r="BT16" s="172">
        <f>MIN(IF($AU16=100%,1,1+VLOOKUP(($AJ16-$AI16-$AH16-$AG16-$AF16-$AE16*(1+BT$3))/$AJ16,'Технический лист'!$A:$B,2,1)-VLOOKUP($AO16,'Технический лист'!$A:$B,2,1)),1+(1-$AU16))</f>
        <v/>
      </c>
      <c r="BU16" s="172">
        <f>MIN(IF($AU16=100%,1,1+VLOOKUP(($AJ16-$AI16-$AH16-$AG16-$AF16-$AE16*(1+BU$3))/$AJ16,'Технический лист'!$A:$B,2,1)-VLOOKUP($AO16,'Технический лист'!$A:$B,2,1)),1+(1-$AU16))</f>
        <v/>
      </c>
      <c r="BV16" s="172">
        <f>MIN(IF($AU16=100%,1,1+VLOOKUP(($AJ16-$AI16-$AH16-$AG16-$AF16-$AE16*(1+BV$3))/$AJ16,'Технический лист'!$A:$B,2,1)-VLOOKUP($AO16,'Технический лист'!$A:$B,2,1)),1+(1-$AU16))</f>
        <v/>
      </c>
      <c r="BW16" s="172">
        <f>MIN(IF($AU16=100%,1,1+VLOOKUP(($AJ16-$AI16-$AH16-$AG16-$AF16-$AE16*(1+BW$3))/$AJ16,'Технический лист'!$A:$B,2,1)-VLOOKUP($AO16,'Технический лист'!$A:$B,2,1)),1+(1-$AU16))</f>
        <v/>
      </c>
      <c r="BX16" s="172">
        <f>MIN(IF($AU16=100%,1,1+VLOOKUP(($AJ16-$AI16-$AH16-$AG16-$AF16-$AE16*(1+BX$3))/$AJ16,'Технический лист'!$A:$B,2,1)-VLOOKUP($AO16,'Технический лист'!$A:$B,2,1)),1+(1-$AU16))</f>
        <v/>
      </c>
      <c r="BY16" s="172">
        <f>MIN(IF($AU16=100%,1,1+VLOOKUP(($AJ16-$AI16-$AH16-$AG16-$AF16-$AE16*(1+BY$3))/$AJ16,'Технический лист'!$A:$B,2,1)-VLOOKUP($AO16,'Технический лист'!$A:$B,2,1)),1+(1-$AU16))</f>
        <v/>
      </c>
      <c r="BZ16" s="172">
        <f>MIN(IF($AU16=100%,1,1+VLOOKUP(($AJ16-$AI16-$AH16-$AG16-$AF16-$AE16*(1+BZ$3))/$AJ16,'Технический лист'!$A:$B,2,1)-VLOOKUP($AO16,'Технический лист'!$A:$B,2,1)),1+(1-$AU16))</f>
        <v/>
      </c>
      <c r="CA16" s="172">
        <f>MIN(IF($AU16=100%,1,1+VLOOKUP(($AJ16-$AI16-$AH16-$AG16-$AF16-$AE16*(1+CA$3))/$AJ16,'Технический лист'!$A:$B,2,1)-VLOOKUP($AO16,'Технический лист'!$A:$B,2,1)),1+(1-$AU16))</f>
        <v/>
      </c>
      <c r="CB16" s="172">
        <f>MIN(IF($AU16=100%,1,1+VLOOKUP(($AJ16-$AI16-$AH16-$AG16-$AF16-$AE16*(1+CB$3))/$AJ16,'Технический лист'!$A:$B,2,1)-VLOOKUP($AO16,'Технический лист'!$A:$B,2,1)),1+(1-$AU16))</f>
        <v/>
      </c>
      <c r="CC16" s="172">
        <f>MIN(IF($AU16=100%,1,1+VLOOKUP(($AJ16-$AI16-$AH16-$AG16-$AF16-$AE16*(1+CC$3))/$AJ16,'Технический лист'!$A:$B,2,1)-VLOOKUP($AO16,'Технический лист'!$A:$B,2,1)),1+(1-$AU16))</f>
        <v/>
      </c>
      <c r="CD16" s="172">
        <f>MIN(IF($AU16=100%,1,1+VLOOKUP(($AJ16-$AI16-$AH16-$AG16-$AF16-$AE16*(1+CD$3))/$AJ16,'Технический лист'!$A:$B,2,1)-VLOOKUP($AO16,'Технический лист'!$A:$B,2,1)),1+(1-$AU16))</f>
        <v/>
      </c>
      <c r="CE16" s="172">
        <f>MIN(IF($AU16=100%,1,1+VLOOKUP(($AJ16-$AI16-$AH16-$AG16-$AF16-$AE16*(1+CE$3))/$AJ16,'Технический лист'!$A:$B,2,1)-VLOOKUP($AO16,'Технический лист'!$A:$B,2,1)),1+(1-$AU16))</f>
        <v/>
      </c>
      <c r="CF16" s="172">
        <f>MIN(IF($AU16=100%,1,1+VLOOKUP(($AJ16-$AI16-$AH16-$AG16-$AF16-$AE16*(1+CF$3))/$AJ16,'Технический лист'!$A:$B,2,1)-VLOOKUP($AO16,'Технический лист'!$A:$B,2,1)),1+(1-$AU16))</f>
        <v/>
      </c>
      <c r="CG16" s="172">
        <f>MIN(IF($AU16=100%,1,1+VLOOKUP(($AJ16-$AI16-$AH16-$AG16-$AF16-$AE16*(1+CG$3))/$AJ16,'Технический лист'!$A:$B,2,1)-VLOOKUP($AO16,'Технический лист'!$A:$B,2,1)),1+(1-$AU16))</f>
        <v/>
      </c>
      <c r="CH16" s="172">
        <f>MIN(IF($AU16=100%,1,1+VLOOKUP(($AJ16-$AI16-$AH16-$AG16-$AF16-$AE16*(1+CH$3))/$AJ16,'Технический лист'!$A:$B,2,1)-VLOOKUP($AO16,'Технический лист'!$A:$B,2,1)),1+(1-$AU16))</f>
        <v/>
      </c>
      <c r="CI16" s="172">
        <f>MIN(IF($AU16=100%,1,1+VLOOKUP(($AJ16-$AI16-$AH16-$AG16-$AF16-$AE16*(1+CI$3))/$AJ16,'Технический лист'!$A:$B,2,1)-VLOOKUP($AO16,'Технический лист'!$A:$B,2,1)),1+(1-$AU16))</f>
        <v/>
      </c>
      <c r="CJ16" s="172">
        <f>MIN(IF($AU16=100%,1,1+VLOOKUP(($AJ16-$AI16-$AH16-$AG16-$AF16-$AE16*(1+CJ$3))/$AJ16,'Технический лист'!$A:$B,2,1)-VLOOKUP($AO16,'Технический лист'!$A:$B,2,1)),1+(1-$AU16))</f>
        <v/>
      </c>
      <c r="CK16" s="172">
        <f>MIN(IF($AU16=100%,1,1+VLOOKUP(($AJ16-$AI16-$AH16-$AG16-$AF16-$AE16*(1+CK$3))/$AJ16,'Технический лист'!$A:$B,2,1)-VLOOKUP($AO16,'Технический лист'!$A:$B,2,1)),1+(1-$AU16))</f>
        <v/>
      </c>
      <c r="CL16" s="172">
        <f>MIN(IF($AU16=100%,1,1+VLOOKUP(($AJ16-$AI16-$AH16-$AG16-$AF16-$AE16*(1+CL$3))/$AJ16,'Технический лист'!$A:$B,2,1)-VLOOKUP($AO16,'Технический лист'!$A:$B,2,1)),1+(1-$AU16))</f>
        <v/>
      </c>
      <c r="CM16" s="172">
        <f>MIN(IF($AU16=100%,1,1+VLOOKUP(($AJ16-$AI16-$AH16-$AG16-$AF16-$AE16*(1+CM$3))/$AJ16,'Технический лист'!$A:$B,2,1)-VLOOKUP($AO16,'Технический лист'!$A:$B,2,1)),1+(1-$AU16))</f>
        <v/>
      </c>
      <c r="CN16" s="172">
        <f>MIN(IF($AU16=100%,1,1+VLOOKUP(($AJ16-$AI16-$AH16-$AG16-$AF16-$AE16*(1+CN$3))/$AJ16,'Технический лист'!$A:$B,2,1)-VLOOKUP($AO16,'Технический лист'!$A:$B,2,1)),1+(1-$AU16))</f>
        <v/>
      </c>
      <c r="CO16" s="172">
        <f>MIN(IF($AU16=100%,1,1+VLOOKUP(($AJ16-$AI16-$AH16-$AG16-$AF16-$AE16*(1+CO$3))/$AJ16,'Технический лист'!$A:$B,2,1)-VLOOKUP($AO16,'Технический лист'!$A:$B,2,1)),1+(1-$AU16))</f>
        <v/>
      </c>
      <c r="CP16" s="172">
        <f>MIN(IF($AU16=100%,1,1+VLOOKUP(($AJ16-$AI16-$AH16-$AG16-$AF16-$AE16*(1+CP$3))/$AJ16,'Технический лист'!$A:$B,2,1)-VLOOKUP($AO16,'Технический лист'!$A:$B,2,1)),1+(1-$AU16))</f>
        <v/>
      </c>
      <c r="CQ16" s="172">
        <f>MIN(IF($AU16=100%,1,1+VLOOKUP(($AJ16-$AI16-$AH16-$AG16-$AF16-$AE16*(1+CQ$3))/$AJ16,'Технический лист'!$A:$B,2,1)-VLOOKUP($AO16,'Технический лист'!$A:$B,2,1)),1+(1-$AU16))</f>
        <v/>
      </c>
      <c r="CR16" s="172">
        <f>MIN(IF($AU16=100%,1,1+VLOOKUP(($AJ16-$AI16-$AH16-$AG16-$AF16-$AE16*(1+CR$3))/$AJ16,'Технический лист'!$A:$B,2,1)-VLOOKUP($AO16,'Технический лист'!$A:$B,2,1)),1+(1-$AU16))</f>
        <v/>
      </c>
      <c r="CS16" s="172">
        <f>MIN(IF($AU16=100%,1,1+VLOOKUP(($AJ16-$AI16-$AH16-$AG16-$AF16-$AE16*(1+CS$3))/$AJ16,'Технический лист'!$A:$B,2,1)-VLOOKUP($AO16,'Технический лист'!$A:$B,2,1)),1+(1-$AU16))</f>
        <v/>
      </c>
      <c r="CT16" s="172">
        <f>MIN(IF($AU16=100%,1,1+VLOOKUP(($AJ16-$AI16-$AH16-$AG16-$AF16-$AE16*(1+CT$3))/$AJ16,'Технический лист'!$A:$B,2,1)-VLOOKUP($AO16,'Технический лист'!$A:$B,2,1)),1+(1-$AU16))</f>
        <v/>
      </c>
      <c r="CU16" s="172">
        <f>MIN(IF($AU16=100%,1,1+VLOOKUP(($AJ16-$AI16-$AH16-$AG16-$AF16-$AE16*(1+CU$3))/$AJ16,'Технический лист'!$A:$B,2,1)-VLOOKUP($AO16,'Технический лист'!$A:$B,2,1)),1+(1-$AU16))</f>
        <v/>
      </c>
      <c r="CV16" s="172">
        <f>MIN(IF($AU16=100%,1,1+VLOOKUP(($AJ16-$AI16-$AH16-$AG16-$AF16-$AE16*(1+CV$3))/$AJ16,'Технический лист'!$A:$B,2,1)-VLOOKUP($AO16,'Технический лист'!$A:$B,2,1)),1+(1-$AU16))</f>
        <v/>
      </c>
      <c r="CW16" s="172">
        <f>MIN(IF($AU16=100%,1,1+VLOOKUP(($AJ16-$AI16-$AH16-$AG16-$AF16-$AE16*(1+CW$3))/$AJ16,'Технический лист'!$A:$B,2,1)-VLOOKUP($AO16,'Технический лист'!$A:$B,2,1)),1+(1-$AU16))</f>
        <v/>
      </c>
      <c r="CX16" s="172">
        <f>MIN(IF($AU16=100%,1,1+VLOOKUP(($AJ16-$AI16-$AH16-$AG16-$AF16-$AE16*(1+CX$3))/$AJ16,'Технический лист'!$A:$B,2,1)-VLOOKUP($AO16,'Технический лист'!$A:$B,2,1)),1+(1-$AU16))</f>
        <v/>
      </c>
      <c r="CY16" s="172">
        <f>MIN(IF($AU16=100%,1,1+VLOOKUP(($AJ16-$AI16-$AH16-$AG16-$AF16-$AE16*(1+CY$3))/$AJ16,'Технический лист'!$A:$B,2,1)-VLOOKUP($AO16,'Технический лист'!$A:$B,2,1)),1+(1-$AU16))</f>
        <v/>
      </c>
      <c r="CZ16" s="172">
        <f>MIN(IF($AU16=100%,1,1+VLOOKUP(($AJ16-$AI16-$AH16-$AG16-$AF16-$AE16*(1+CZ$3))/$AJ16,'Технический лист'!$A:$B,2,1)-VLOOKUP($AO16,'Технический лист'!$A:$B,2,1)),1+(1-$AU16))</f>
        <v/>
      </c>
      <c r="DA16" s="172">
        <f>MIN(IF($AU16=100%,1,1+VLOOKUP(($AJ16-$AI16-$AH16-$AG16-$AF16-$AE16*(1+DA$3))/$AJ16,'Технический лист'!$A:$B,2,1)-VLOOKUP($AO16,'Технический лист'!$A:$B,2,1)),1+(1-$AU16))</f>
        <v/>
      </c>
      <c r="DB16" s="172">
        <f>MIN(IF($AU16=100%,1,1+VLOOKUP(($AJ16-$AI16-$AH16-$AG16-$AF16-$AE16*(1+DB$3))/$AJ16,'Технический лист'!$A:$B,2,1)-VLOOKUP($AO16,'Технический лист'!$A:$B,2,1)),1+(1-$AU16))</f>
        <v/>
      </c>
      <c r="DC16" s="172">
        <f>MIN(IF($AU16=100%,1,1+VLOOKUP(($AJ16-$AI16-$AH16-$AG16-$AF16-$AE16*(1+DC$3))/$AJ16,'Технический лист'!$A:$B,2,1)-VLOOKUP($AO16,'Технический лист'!$A:$B,2,1)),1+(1-$AU16))</f>
        <v/>
      </c>
      <c r="DD16" s="172">
        <f>MIN(IF($AU16=100%,1,1+VLOOKUP(($AJ16-$AI16-$AH16-$AG16-$AF16-$AE16*(1+DD$3))/$AJ16,'Технический лист'!$A:$B,2,1)-VLOOKUP($AO16,'Технический лист'!$A:$B,2,1)),1+(1-$AU16))</f>
        <v/>
      </c>
      <c r="DE16" s="172">
        <f>MIN(IF($AU16=100%,1,1+VLOOKUP(($AJ16-$AI16-$AH16-$AG16-$AF16-$AE16*(1+DE$3))/$AJ16,'Технический лист'!$A:$B,2,1)-VLOOKUP($AO16,'Технический лист'!$A:$B,2,1)),1+(1-$AU16))</f>
        <v/>
      </c>
      <c r="DF16" s="172">
        <f>MIN(IF($AU16=100%,1,1+VLOOKUP(($AJ16-$AI16-$AH16-$AG16-$AF16-$AE16*(1+DF$3))/$AJ16,'Технический лист'!$A:$B,2,1)-VLOOKUP($AO16,'Технический лист'!$A:$B,2,1)),1+(1-$AU16))</f>
        <v/>
      </c>
      <c r="DG16" s="172">
        <f>MIN(IF($AU16=100%,1,1+VLOOKUP(($AJ16-$AI16-$AH16-$AG16-$AF16-$AE16*(1+DG$3))/$AJ16,'Технический лист'!$A:$B,2,1)-VLOOKUP($AO16,'Технический лист'!$A:$B,2,1)),1+(1-$AU16))</f>
        <v/>
      </c>
      <c r="DH16" s="172">
        <f>MIN(IF($AU16=100%,1,1+VLOOKUP(($AJ16-$AI16-$AH16-$AG16-$AF16-$AE16*(1+DH$3))/$AJ16,'Технический лист'!$A:$B,2,1)-VLOOKUP($AO16,'Технический лист'!$A:$B,2,1)),1+(1-$AU16))</f>
        <v/>
      </c>
      <c r="DI16" s="172">
        <f>MIN(IF($AU16=100%,1,1+VLOOKUP(($AJ16-$AI16-$AH16-$AG16-$AF16-$AE16*(1+DI$3))/$AJ16,'Технический лист'!$A:$B,2,1)-VLOOKUP($AO16,'Технический лист'!$A:$B,2,1)),1+(1-$AU16))</f>
        <v/>
      </c>
      <c r="DJ16" s="172">
        <f>MIN(IF($AU16=100%,1,1+VLOOKUP(($AJ16-$AI16-$AH16-$AG16-$AF16-$AE16*(1+DJ$3))/$AJ16,'Технический лист'!$A:$B,2,1)-VLOOKUP($AO16,'Технический лист'!$A:$B,2,1)),1+(1-$AU16))</f>
        <v/>
      </c>
      <c r="DK16" s="172">
        <f>MIN(IF($AU16=100%,1,1+VLOOKUP(($AJ16-$AI16-$AH16-$AG16-$AF16-$AE16*(1+DK$3))/$AJ16,'Технический лист'!$A:$B,2,1)-VLOOKUP($AO16,'Технический лист'!$A:$B,2,1)),1+(1-$AU16))</f>
        <v/>
      </c>
      <c r="DL16" s="172">
        <f>MIN(IF($AU16=100%,1,1+VLOOKUP(($AJ16-$AI16-$AH16-$AG16-$AF16-$AE16*(1+DL$3))/$AJ16,'Технический лист'!$A:$B,2,1)-VLOOKUP($AO16,'Технический лист'!$A:$B,2,1)),1+(1-$AU16))</f>
        <v/>
      </c>
      <c r="DM16" s="172">
        <f>MIN(IF($AU16=100%,1,1+VLOOKUP(($AJ16-$AI16-$AH16-$AG16-$AF16-$AE16*(1+DM$3))/$AJ16,'Технический лист'!$A:$B,2,1)-VLOOKUP($AO16,'Технический лист'!$A:$B,2,1)),1+(1-$AU16))</f>
        <v/>
      </c>
      <c r="DN16" s="172">
        <f>MIN(IF($AU16=100%,1,1+VLOOKUP(($AJ16-$AI16-$AH16-$AG16-$AF16-$AE16*(1+DN$3))/$AJ16,'Технический лист'!$A:$B,2,1)-VLOOKUP($AO16,'Технический лист'!$A:$B,2,1)),1+(1-$AU16))</f>
        <v/>
      </c>
      <c r="DO16" s="172">
        <f>MIN(IF($AU16=100%,1,1+VLOOKUP(($AJ16-$AI16-$AH16-$AG16-$AF16-$AE16*(1+DO$3))/$AJ16,'Технический лист'!$A:$B,2,1)-VLOOKUP($AO16,'Технический лист'!$A:$B,2,1)),1+(1-$AU16))</f>
        <v/>
      </c>
      <c r="DP16" s="172">
        <f>MIN(IF($AU16=100%,1,1+VLOOKUP(($AJ16-$AI16-$AH16-$AG16-$AF16-$AE16*(1+DP$3))/$AJ16,'Технический лист'!$A:$B,2,1)-VLOOKUP($AO16,'Технический лист'!$A:$B,2,1)),1+(1-$AU16))</f>
        <v/>
      </c>
      <c r="DQ16" s="172">
        <f>MIN(IF($AU16=100%,1,1+VLOOKUP(($AJ16-$AI16-$AH16-$AG16-$AF16-$AE16*(1+DQ$3))/$AJ16,'Технический лист'!$A:$B,2,1)-VLOOKUP($AO16,'Технический лист'!$A:$B,2,1)),1+(1-$AU16))</f>
        <v/>
      </c>
      <c r="DR16" s="172">
        <f>MIN(IF($AU16=100%,1,1+VLOOKUP(($AJ16-$AI16-$AH16-$AG16-$AF16-$AE16*(1+DR$3))/$AJ16,'Технический лист'!$A:$B,2,1)-VLOOKUP($AO16,'Технический лист'!$A:$B,2,1)),1+(1-$AU16))</f>
        <v/>
      </c>
      <c r="DS16" s="172">
        <f>MIN(IF($AU16=100%,1,1+VLOOKUP(($AJ16-$AI16-$AH16-$AG16-$AF16-$AE16*(1+DS$3))/$AJ16,'Технический лист'!$A:$B,2,1)-VLOOKUP($AO16,'Технический лист'!$A:$B,2,1)),1+(1-$AU16))</f>
        <v/>
      </c>
      <c r="DT16" s="172">
        <f>MIN(IF($AU16=100%,1,1+VLOOKUP(($AJ16-$AI16-$AH16-$AG16-$AF16-$AE16*(1+DT$3))/$AJ16,'Технический лист'!$A:$B,2,1)-VLOOKUP($AO16,'Технический лист'!$A:$B,2,1)),1+(1-$AU16))</f>
        <v/>
      </c>
      <c r="DU16" s="172">
        <f>MIN(IF($AU16=100%,1,1+VLOOKUP(($AJ16-$AI16-$AH16-$AG16-$AF16-$AE16*(1+DU$3))/$AJ16,'Технический лист'!$A:$B,2,1)-VLOOKUP($AO16,'Технический лист'!$A:$B,2,1)),1+(1-$AU16))</f>
        <v/>
      </c>
      <c r="DV16" s="172">
        <f>MIN(IF($AU16=100%,1,1+VLOOKUP(($AJ16-$AI16-$AH16-$AG16-$AF16-$AE16*(1+DV$3))/$AJ16,'Технический лист'!$A:$B,2,1)-VLOOKUP($AO16,'Технический лист'!$A:$B,2,1)),1+(1-$AU16))</f>
        <v/>
      </c>
      <c r="DW16" s="172">
        <f>MIN(IF($AU16=100%,1,1+VLOOKUP(($AJ16-$AI16-$AH16-$AG16-$AF16-$AE16*(1+DW$3))/$AJ16,'Технический лист'!$A:$B,2,1)-VLOOKUP($AO16,'Технический лист'!$A:$B,2,1)),1+(1-$AU16))</f>
        <v/>
      </c>
      <c r="DX16" s="172">
        <f>MIN(IF($AU16=100%,1,1+VLOOKUP(($AJ16-$AI16-$AH16-$AG16-$AF16-$AE16*(1+DX$3))/$AJ16,'Технический лист'!$A:$B,2,1)-VLOOKUP($AO16,'Технический лист'!$A:$B,2,1)),1+(1-$AU16))</f>
        <v/>
      </c>
      <c r="DY16" s="172">
        <f>MIN(IF($AU16=100%,1,1+VLOOKUP(($AJ16-$AI16-$AH16-$AG16-$AF16-$AE16*(1+DY$3))/$AJ16,'Технический лист'!$A:$B,2,1)-VLOOKUP($AO16,'Технический лист'!$A:$B,2,1)),1+(1-$AU16))</f>
        <v/>
      </c>
      <c r="DZ16" s="172">
        <f>MIN(IF($AU16=100%,1,1+VLOOKUP(($AJ16-$AI16-$AH16-$AG16-$AF16-$AE16*(1+DZ$3))/$AJ16,'Технический лист'!$A:$B,2,1)-VLOOKUP($AO16,'Технический лист'!$A:$B,2,1)),1+(1-$AU16))</f>
        <v/>
      </c>
      <c r="EA16" s="172">
        <f>MIN(IF($AU16=100%,1,1+VLOOKUP(($AJ16-$AI16-$AH16-$AG16-$AF16-$AE16*(1+EA$3))/$AJ16,'Технический лист'!$A:$B,2,1)-VLOOKUP($AO16,'Технический лист'!$A:$B,2,1)),1+(1-$AU16))</f>
        <v/>
      </c>
      <c r="EB16" s="172">
        <f>MIN(IF($AU16=100%,1,1+VLOOKUP(($AJ16-$AI16-$AH16-$AG16-$AF16-$AE16*(1+EB$3))/$AJ16,'Технический лист'!$A:$B,2,1)-VLOOKUP($AO16,'Технический лист'!$A:$B,2,1)),1+(1-$AU16))</f>
        <v/>
      </c>
      <c r="EC16" s="172">
        <f>MIN(IF($AU16=100%,1,1+VLOOKUP(($AJ16-$AI16-$AH16-$AG16-$AF16-$AE16*(1+EC$3))/$AJ16,'Технический лист'!$A:$B,2,1)-VLOOKUP($AO16,'Технический лист'!$A:$B,2,1)),1+(1-$AU16))</f>
        <v/>
      </c>
      <c r="ED16" s="172">
        <f>MIN(IF($AU16=100%,1,1+VLOOKUP(($AJ16-$AI16-$AH16-$AG16-$AF16-$AE16*(1+ED$3))/$AJ16,'Технический лист'!$A:$B,2,1)-VLOOKUP($AO16,'Технический лист'!$A:$B,2,1)),1+(1-$AU16))</f>
        <v/>
      </c>
      <c r="EE16" s="172">
        <f>MIN(IF($AU16=100%,1,1+VLOOKUP(($AJ16-$AI16-$AH16-$AG16-$AF16-$AE16*(1+EE$3))/$AJ16,'Технический лист'!$A:$B,2,1)-VLOOKUP($AO16,'Технический лист'!$A:$B,2,1)),1+(1-$AU16))</f>
        <v/>
      </c>
      <c r="EF16" s="172">
        <f>MIN(IF($AU16=100%,1,1+VLOOKUP(($AJ16-$AI16-$AH16-$AG16-$AF16-$AE16*(1+EF$3))/$AJ16,'Технический лист'!$A:$B,2,1)-VLOOKUP($AO16,'Технический лист'!$A:$B,2,1)),1+(1-$AU16))</f>
        <v/>
      </c>
      <c r="EG16" s="172">
        <f>MIN(IF($AU16=100%,1,1+VLOOKUP(($AJ16-$AI16-$AH16-$AG16-$AF16-$AE16*(1+EG$3))/$AJ16,'Технический лист'!$A:$B,2,1)-VLOOKUP($AO16,'Технический лист'!$A:$B,2,1)),1+(1-$AU16))</f>
        <v/>
      </c>
      <c r="EH16" s="172">
        <f>MIN(IF($AU16=100%,1,1+VLOOKUP(($AJ16-$AI16-$AH16-$AG16-$AF16-$AE16*(1+EH$3))/$AJ16,'Технический лист'!$A:$B,2,1)-VLOOKUP($AO16,'Технический лист'!$A:$B,2,1)),1+(1-$AU16))</f>
        <v/>
      </c>
      <c r="EI16" s="172">
        <f>MIN(IF($AU16=100%,1,1+VLOOKUP(($AJ16-$AI16-$AH16-$AG16-$AF16-$AE16*(1+EI$3))/$AJ16,'Технический лист'!$A:$B,2,1)-VLOOKUP($AO16,'Технический лист'!$A:$B,2,1)),1+(1-$AU16))</f>
        <v/>
      </c>
      <c r="EJ16" s="172">
        <f>MIN(IF($AU16=100%,1,1+VLOOKUP(($AJ16-$AI16-$AH16-$AG16-$AF16-$AE16*(1+EJ$3))/$AJ16,'Технический лист'!$A:$B,2,1)-VLOOKUP($AO16,'Технический лист'!$A:$B,2,1)),1+(1-$AU16))</f>
        <v/>
      </c>
      <c r="EK16" s="172">
        <f>MIN(IF($AU16=100%,1,1+VLOOKUP(($AJ16-$AI16-$AH16-$AG16-$AF16-$AE16*(1+EK$3))/$AJ16,'Технический лист'!$A:$B,2,1)-VLOOKUP($AO16,'Технический лист'!$A:$B,2,1)),1+(1-$AU16))</f>
        <v/>
      </c>
      <c r="EL16" s="172">
        <f>MIN(IF($AU16=100%,1,1+VLOOKUP(($AJ16-$AI16-$AH16-$AG16-$AF16-$AE16*(1+EL$3))/$AJ16,'Технический лист'!$A:$B,2,1)-VLOOKUP($AO16,'Технический лист'!$A:$B,2,1)),1+(1-$AU16))</f>
        <v/>
      </c>
      <c r="EM16" s="172">
        <f>MIN(IF($AU16=100%,1,1+VLOOKUP(($AJ16-$AI16-$AH16-$AG16-$AF16-$AE16*(1+EM$3))/$AJ16,'Технический лист'!$A:$B,2,1)-VLOOKUP($AO16,'Технический лист'!$A:$B,2,1)),1+(1-$AU16))</f>
        <v/>
      </c>
      <c r="EN16" s="172">
        <f>MIN(IF($AU16=100%,1,1+VLOOKUP(($AJ16-$AI16-$AH16-$AG16-$AF16-$AE16*(1+EN$3))/$AJ16,'Технический лист'!$A:$B,2,1)-VLOOKUP($AO16,'Технический лист'!$A:$B,2,1)),1+(1-$AU16))</f>
        <v/>
      </c>
      <c r="EO16" s="172">
        <f>MIN(IF($AU16=100%,1,1+VLOOKUP(($AJ16-$AI16-$AH16-$AG16-$AF16-$AE16*(1+EO$3))/$AJ16,'Технический лист'!$A:$B,2,1)-VLOOKUP($AO16,'Технический лист'!$A:$B,2,1)),1+(1-$AU16))</f>
        <v/>
      </c>
      <c r="EP16" s="172">
        <f>MIN(IF($AU16=100%,1,1+VLOOKUP(($AJ16-$AI16-$AH16-$AG16-$AF16-$AE16*(1+EP$3))/$AJ16,'Технический лист'!$A:$B,2,1)-VLOOKUP($AO16,'Технический лист'!$A:$B,2,1)),1+(1-$AU16))</f>
        <v/>
      </c>
      <c r="EQ16" s="172">
        <f>MIN(IF($AU16=100%,1,1+VLOOKUP(($AJ16-$AI16-$AH16-$AG16-$AF16-$AE16*(1+EQ$3))/$AJ16,'Технический лист'!$A:$B,2,1)-VLOOKUP($AO16,'Технический лист'!$A:$B,2,1)),1+(1-$AU16))</f>
        <v/>
      </c>
      <c r="ER16" s="172">
        <f>MIN(IF($AU16=100%,1,1+VLOOKUP(($AJ16-$AI16-$AH16-$AG16-$AF16-$AE16*(1+ER$3))/$AJ16,'Технический лист'!$A:$B,2,1)-VLOOKUP($AO16,'Технический лист'!$A:$B,2,1)),1+(1-$AU16))</f>
        <v/>
      </c>
      <c r="ES16" s="172">
        <f>MIN(IF($AU16=100%,1,1+VLOOKUP(($AJ16-$AI16-$AH16-$AG16-$AF16-$AE16*(1+ES$3))/$AJ16,'Технический лист'!$A:$B,2,1)-VLOOKUP($AO16,'Технический лист'!$A:$B,2,1)),1+(1-$AU16))</f>
        <v/>
      </c>
      <c r="ET16" s="172">
        <f>MIN(IF($AU16=100%,1,1+VLOOKUP(($AJ16-$AI16-$AH16-$AG16-$AF16-$AE16*(1+ET$3))/$AJ16,'Технический лист'!$A:$B,2,1)-VLOOKUP($AO16,'Технический лист'!$A:$B,2,1)),1+(1-$AU16))</f>
        <v/>
      </c>
      <c r="EU16" s="172">
        <f>MIN(IF($AU16=100%,1,1+VLOOKUP(($AJ16-$AI16-$AH16-$AG16-$AF16-$AE16*(1+EU$3))/$AJ16,'Технический лист'!$A:$B,2,1)-VLOOKUP($AO16,'Технический лист'!$A:$B,2,1)),1+(1-$AU16))</f>
        <v/>
      </c>
      <c r="EV16" s="173" t="n">
        <v>1</v>
      </c>
      <c r="EW16" s="172">
        <f>MIN(1,MAX(VLOOKUP(($AJ16-$AI16-$AH16-$AG16-$AF16-$AE16*(1+EW$3))/$AJ16,'Технический лист'!$A:$B,2,1),(EV16-0.05)))</f>
        <v/>
      </c>
      <c r="EX16" s="172">
        <f>MIN(1,MAX(VLOOKUP(($AJ16-$AI16-$AH16-$AG16-$AF16-$AE16*(1+EX$3))/$AJ16,'Технический лист'!$A:$B,2,1),(EW16-0.05)))</f>
        <v/>
      </c>
      <c r="EY16" s="172">
        <f>MIN(1,MAX(VLOOKUP(($AJ16-$AI16-$AH16-$AG16-$AF16-$AE16*(1+EY$3))/$AJ16,'Технический лист'!$A:$B,2,1),(EX16-0.05)))</f>
        <v/>
      </c>
      <c r="EZ16" s="172">
        <f>MIN(1,MAX(VLOOKUP(($AJ16-$AI16-$AH16-$AG16-$AF16-$AE16*(1+EZ$3))/$AJ16,'Технический лист'!$A:$B,2,1),(EY16-0.05)))</f>
        <v/>
      </c>
      <c r="FA16" s="172">
        <f>MIN(1,MAX(VLOOKUP(($AJ16-$AI16-$AH16-$AG16-$AF16-$AE16*(1+FA$3))/$AJ16,'Технический лист'!$A:$B,2,1),(EZ16-0.05)))</f>
        <v/>
      </c>
      <c r="FB16" s="172">
        <f>MIN(1,MAX(VLOOKUP(($AJ16-$AI16-$AH16-$AG16-$AF16-$AE16*(1+FB$3))/$AJ16,'Технический лист'!$A:$B,2,1),(FA16-0.05)))</f>
        <v/>
      </c>
      <c r="FC16" s="172">
        <f>MIN(1,MAX(VLOOKUP(($AJ16-$AI16-$AH16-$AG16-$AF16-$AE16*(1+FC$3))/$AJ16,'Технический лист'!$A:$B,2,1),(FB16-0.05)))</f>
        <v/>
      </c>
      <c r="FD16" s="172">
        <f>MIN(1,MAX(VLOOKUP(($AJ16-$AI16-$AH16-$AG16-$AF16-$AE16*(1+FD$3))/$AJ16,'Технический лист'!$A:$B,2,1),(FC16-0.05)))</f>
        <v/>
      </c>
      <c r="FE16" s="172">
        <f>MIN(1,MAX(VLOOKUP(($AJ16-$AI16-$AH16-$AG16-$AF16-$AE16*(1+FE$3))/$AJ16,'Технический лист'!$A:$B,2,1),(FD16-0.05)))</f>
        <v/>
      </c>
      <c r="FF16" s="172">
        <f>MIN(1,MAX(VLOOKUP(($AJ16-$AI16-$AH16-$AG16-$AF16-$AE16*(1+FF$3))/$AJ16,'Технический лист'!$A:$B,2,1),(FE16-0.05)))</f>
        <v/>
      </c>
      <c r="FG16" s="172">
        <f>MIN(1,MAX(VLOOKUP(($AJ16-$AI16-$AH16-$AG16-$AF16-$AE16*(1+FG$3))/$AJ16,'Технический лист'!$A:$B,2,1),(FF16-0.05)))</f>
        <v/>
      </c>
      <c r="FH16" s="172">
        <f>MIN(1,MAX(VLOOKUP(($AJ16-$AI16-$AH16-$AG16-$AF16-$AE16*(1+FH$3))/$AJ16,'Технический лист'!$A:$B,2,1),(FG16-0.05)))</f>
        <v/>
      </c>
      <c r="FI16" s="172">
        <f>MIN(1,MAX(VLOOKUP(($AJ16-$AI16-$AH16-$AG16-$AF16-$AE16*(1+FI$3))/$AJ16,'Технический лист'!$A:$B,2,1),(FH16-0.05)))</f>
        <v/>
      </c>
      <c r="FJ16" s="172">
        <f>MIN(1,MAX(VLOOKUP(($AJ16-$AI16-$AH16-$AG16-$AF16-$AE16*(1+FJ$3))/$AJ16,'Технический лист'!$A:$B,2,1),(FI16-0.05)))</f>
        <v/>
      </c>
      <c r="FK16" s="172">
        <f>MIN(1,MAX(VLOOKUP(($AJ16-$AI16-$AH16-$AG16-$AF16-$AE16*(1+FK$3))/$AJ16,'Технический лист'!$A:$B,2,1),(FJ16-0.05)))</f>
        <v/>
      </c>
      <c r="FL16" s="172">
        <f>MIN(1,MAX(VLOOKUP(($AJ16-$AI16-$AH16-$AG16-$AF16-$AE16*(1+FL$3))/$AJ16,'Технический лист'!$A:$B,2,1),(FK16-0.05)))</f>
        <v/>
      </c>
      <c r="FM16" s="172">
        <f>MIN(1,MAX(VLOOKUP(($AJ16-$AI16-$AH16-$AG16-$AF16-$AE16*(1+FM$3))/$AJ16,'Технический лист'!$A:$B,2,1),(FL16-0.05)))</f>
        <v/>
      </c>
      <c r="FN16" s="172">
        <f>MIN(1,MAX(VLOOKUP(($AJ16-$AI16-$AH16-$AG16-$AF16-$AE16*(1+FN$3))/$AJ16,'Технический лист'!$A:$B,2,1),(FM16-0.05)))</f>
        <v/>
      </c>
      <c r="FO16" s="172">
        <f>MIN(1,MAX(VLOOKUP(($AJ16-$AI16-$AH16-$AG16-$AF16-$AE16*(1+FO$3))/$AJ16,'Технический лист'!$A:$B,2,1),(FN16-0.05)))</f>
        <v/>
      </c>
      <c r="FP16" s="172">
        <f>MIN(1,MAX(VLOOKUP(($AJ16-$AI16-$AH16-$AG16-$AF16-$AE16*(1+FP$3))/$AJ16,'Технический лист'!$A:$B,2,1),(FO16-0.05)))</f>
        <v/>
      </c>
      <c r="FQ16" s="172">
        <f>MIN(1,MAX(VLOOKUP(($AJ16-$AI16-$AH16-$AG16-$AF16-$AE16*(1+FQ$3))/$AJ16,'Технический лист'!$A:$B,2,1),(FP16-0.05)))</f>
        <v/>
      </c>
      <c r="FR16" s="172">
        <f>MIN(1,MAX(VLOOKUP(($AJ16-$AI16-$AH16-$AG16-$AF16-$AE16*(1+FR$3))/$AJ16,'Технический лист'!$A:$B,2,1),(FQ16-0.05)))</f>
        <v/>
      </c>
      <c r="FS16" s="172">
        <f>MIN(1,MAX(VLOOKUP(($AJ16-$AI16-$AH16-$AG16-$AF16-$AE16*(1+FS$3))/$AJ16,'Технический лист'!$A:$B,2,1),(FR16-0.05)))</f>
        <v/>
      </c>
      <c r="FT16" s="172">
        <f>MIN(1,MAX(VLOOKUP(($AJ16-$AI16-$AH16-$AG16-$AF16-$AE16*(1+FT$3))/$AJ16,'Технический лист'!$A:$B,2,1),(FS16-0.05)))</f>
        <v/>
      </c>
      <c r="FU16" s="172">
        <f>MIN(1,MAX(VLOOKUP(($AJ16-$AI16-$AH16-$AG16-$AF16-$AE16*(1+FU$3))/$AJ16,'Технический лист'!$A:$B,2,1),(FT16-0.05)))</f>
        <v/>
      </c>
      <c r="FV16" s="172">
        <f>MIN(1,MAX(VLOOKUP(($AJ16-$AI16-$AH16-$AG16-$AF16-$AE16*(1+FV$3))/$AJ16,'Технический лист'!$A:$B,2,1),(FU16-0.05)))</f>
        <v/>
      </c>
      <c r="FW16" s="172">
        <f>MIN(1,MAX(VLOOKUP(($AJ16-$AI16-$AH16-$AG16-$AF16-$AE16*(1+FW$3))/$AJ16,'Технический лист'!$A:$B,2,1),(FV16-0.05)))</f>
        <v/>
      </c>
      <c r="FX16" s="172">
        <f>MIN(1,MAX(VLOOKUP(($AJ16-$AI16-$AH16-$AG16-$AF16-$AE16*(1+FX$3))/$AJ16,'Технический лист'!$A:$B,2,1),(FW16-0.05)))</f>
        <v/>
      </c>
      <c r="FY16" s="172">
        <f>MIN(1,MAX(VLOOKUP(($AJ16-$AI16-$AH16-$AG16-$AF16-$AE16*(1+FY$3))/$AJ16,'Технический лист'!$A:$B,2,1),(FX16-0.05)))</f>
        <v/>
      </c>
      <c r="FZ16" s="172">
        <f>MIN(1,MAX(VLOOKUP(($AJ16-$AI16-$AH16-$AG16-$AF16-$AE16*(1+FZ$3))/$AJ16,'Технический лист'!$A:$B,2,1),(FY16-0.05)))</f>
        <v/>
      </c>
      <c r="GA16" s="172">
        <f>MIN(1,MAX(VLOOKUP(($AJ16-$AI16-$AH16-$AG16-$AF16-$AE16*(1+GA$3))/$AJ16,'Технический лист'!$A:$B,2,1),(FZ16-0.05)))</f>
        <v/>
      </c>
      <c r="GB16" s="172">
        <f>MIN(1,MAX(VLOOKUP(($AJ16-$AI16-$AH16-$AG16-$AF16-$AE16*(1+GB$3))/$AJ16,'Технический лист'!$A:$B,2,1),(GA16-0.05)))</f>
        <v/>
      </c>
      <c r="GC16" s="172">
        <f>MIN(1,MAX(VLOOKUP(($AJ16-$AI16-$AH16-$AG16-$AF16-$AE16*(1+GC$3))/$AJ16,'Технический лист'!$A:$B,2,1),(GB16-0.05)))</f>
        <v/>
      </c>
      <c r="GD16" s="172">
        <f>MIN(1,MAX(VLOOKUP(($AJ16-$AI16-$AH16-$AG16-$AF16-$AE16*(1+GD$3))/$AJ16,'Технический лист'!$A:$B,2,1),(GC16-0.05)))</f>
        <v/>
      </c>
      <c r="GE16" s="172">
        <f>MIN(1,MAX(VLOOKUP(($AJ16-$AI16-$AH16-$AG16-$AF16-$AE16*(1+GE$3))/$AJ16,'Технический лист'!$A:$B,2,1),(GD16-0.05)))</f>
        <v/>
      </c>
      <c r="GF16" s="172">
        <f>MIN(1,MAX(VLOOKUP(($AJ16-$AI16-$AH16-$AG16-$AF16-$AE16*(1+GF$3))/$AJ16,'Технический лист'!$A:$B,2,1),(GE16-0.05)))</f>
        <v/>
      </c>
      <c r="GG16" s="172">
        <f>MIN(1,MAX(VLOOKUP(($AJ16-$AI16-$AH16-$AG16-$AF16-$AE16*(1+GG$3))/$AJ16,'Технический лист'!$A:$B,2,1),(GF16-0.05)))</f>
        <v/>
      </c>
      <c r="GH16" s="172">
        <f>MIN(1,MAX(VLOOKUP(($AJ16-$AI16-$AH16-$AG16-$AF16-$AE16*(1+GH$3))/$AJ16,'Технический лист'!$A:$B,2,1),(GG16-0.05)))</f>
        <v/>
      </c>
      <c r="GI16" s="172">
        <f>MIN(1,MAX(VLOOKUP(($AJ16-$AI16-$AH16-$AG16-$AF16-$AE16*(1+GI$3))/$AJ16,'Технический лист'!$A:$B,2,1),(GH16-0.05)))</f>
        <v/>
      </c>
      <c r="GJ16" s="172">
        <f>MIN(1,MAX(VLOOKUP(($AJ16-$AI16-$AH16-$AG16-$AF16-$AE16*(1+GJ$3))/$AJ16,'Технический лист'!$A:$B,2,1),(GI16-0.05)))</f>
        <v/>
      </c>
      <c r="GK16" s="172">
        <f>MIN(1,MAX(VLOOKUP(($AJ16-$AI16-$AH16-$AG16-$AF16-$AE16*(1+GK$3))/$AJ16,'Технический лист'!$A:$B,2,1),(GJ16-0.05)))</f>
        <v/>
      </c>
      <c r="GL16" s="172">
        <f>MIN(1,MAX(VLOOKUP(($AJ16-$AI16-$AH16-$AG16-$AF16-$AE16*(1+GL$3))/$AJ16,'Технический лист'!$A:$B,2,1),(GK16-0.05)))</f>
        <v/>
      </c>
      <c r="GM16" s="172">
        <f>MIN(1,MAX(VLOOKUP(($AJ16-$AI16-$AH16-$AG16-$AF16-$AE16*(1+GM$3))/$AJ16,'Технический лист'!$A:$B,2,1),(GL16-0.05)))</f>
        <v/>
      </c>
      <c r="GN16" s="172">
        <f>MIN(1,MAX(VLOOKUP(($AJ16-$AI16-$AH16-$AG16-$AF16-$AE16*(1+GN$3))/$AJ16,'Технический лист'!$A:$B,2,1),(GM16-0.05)))</f>
        <v/>
      </c>
      <c r="GO16" s="172">
        <f>MIN(1,MAX(VLOOKUP(($AJ16-$AI16-$AH16-$AG16-$AF16-$AE16*(1+GO$3))/$AJ16,'Технический лист'!$A:$B,2,1),(GN16-0.05)))</f>
        <v/>
      </c>
      <c r="GP16" s="172">
        <f>MIN(1,MAX(VLOOKUP(($AJ16-$AI16-$AH16-$AG16-$AF16-$AE16*(1+GP$3))/$AJ16,'Технический лист'!$A:$B,2,1),(GO16-0.05)))</f>
        <v/>
      </c>
      <c r="GQ16" s="172">
        <f>MIN(1,MAX(VLOOKUP(($AJ16-$AI16-$AH16-$AG16-$AF16-$AE16*(1+GQ$3))/$AJ16,'Технический лист'!$A:$B,2,1),(GP16-0.05)))</f>
        <v/>
      </c>
      <c r="GR16" s="172">
        <f>MIN(1,MAX(VLOOKUP(($AJ16-$AI16-$AH16-$AG16-$AF16-$AE16*(1+GR$3))/$AJ16,'Технический лист'!$A:$B,2,1),(GQ16-0.05)))</f>
        <v/>
      </c>
      <c r="GS16" s="172">
        <f>MIN(1,MAX(VLOOKUP(($AJ16-$AI16-$AH16-$AG16-$AF16-$AE16*(1+GS$3))/$AJ16,'Технический лист'!$A:$B,2,1),(GR16-0.05)))</f>
        <v/>
      </c>
      <c r="GT16" s="172">
        <f>MIN(1,MAX(VLOOKUP(($AJ16-$AI16-$AH16-$AG16-$AF16-$AE16*(1+GT$3))/$AJ16,'Технический лист'!$A:$B,2,1),(GS16-0.05)))</f>
        <v/>
      </c>
      <c r="GU16" s="172">
        <f>MIN(1,MAX(VLOOKUP(($AJ16-$AI16-$AH16-$AG16-$AF16-$AE16*(1+GU$3))/$AJ16,'Технический лист'!$A:$B,2,1),(GT16-0.05)))</f>
        <v/>
      </c>
      <c r="GV16" s="172">
        <f>MIN(1,MAX(VLOOKUP(($AJ16-$AI16-$AH16-$AG16-$AF16-$AE16*(1+GV$3))/$AJ16,'Технический лист'!$A:$B,2,1),(GU16-0.05)))</f>
        <v/>
      </c>
      <c r="GW16" s="172">
        <f>MIN(1,MAX(VLOOKUP(($AJ16-$AI16-$AH16-$AG16-$AF16-$AE16*(1+GW$3))/$AJ16,'Технический лист'!$A:$B,2,1),(GV16-0.05)))</f>
        <v/>
      </c>
      <c r="GX16" s="172">
        <f>MIN(1,MAX(VLOOKUP(($AJ16-$AI16-$AH16-$AG16-$AF16-$AE16*(1+GX$3))/$AJ16,'Технический лист'!$A:$B,2,1),(GW16-0.05)))</f>
        <v/>
      </c>
      <c r="GY16" s="172">
        <f>MIN(1,MAX(VLOOKUP(($AJ16-$AI16-$AH16-$AG16-$AF16-$AE16*(1+GY$3))/$AJ16,'Технический лист'!$A:$B,2,1),(GX16-0.05)))</f>
        <v/>
      </c>
      <c r="GZ16" s="172">
        <f>MIN(1,MAX(VLOOKUP(($AJ16-$AI16-$AH16-$AG16-$AF16-$AE16*(1+GZ$3))/$AJ16,'Технический лист'!$A:$B,2,1),(GY16-0.05)))</f>
        <v/>
      </c>
      <c r="HA16" s="172">
        <f>MIN(1,MAX(VLOOKUP(($AJ16-$AI16-$AH16-$AG16-$AF16-$AE16*(1+HA$3))/$AJ16,'Технический лист'!$A:$B,2,1),(GZ16-0.05)))</f>
        <v/>
      </c>
      <c r="HB16" s="172">
        <f>MIN(1,MAX(VLOOKUP(($AJ16-$AI16-$AH16-$AG16-$AF16-$AE16*(1+HB$3))/$AJ16,'Технический лист'!$A:$B,2,1),(HA16-0.05)))</f>
        <v/>
      </c>
      <c r="HC16" s="172">
        <f>MIN(1,MAX(VLOOKUP(($AJ16-$AI16-$AH16-$AG16-$AF16-$AE16*(1+HC$3))/$AJ16,'Технический лист'!$A:$B,2,1),(HB16-0.05)))</f>
        <v/>
      </c>
      <c r="HD16" s="172">
        <f>MIN(1,MAX(VLOOKUP(($AJ16-$AI16-$AH16-$AG16-$AF16-$AE16*(1+HD$3))/$AJ16,'Технический лист'!$A:$B,2,1),(HC16-0.05)))</f>
        <v/>
      </c>
      <c r="HE16" s="172">
        <f>MIN(1,MAX(VLOOKUP(($AJ16-$AI16-$AH16-$AG16-$AF16-$AE16*(1+HE$3))/$AJ16,'Технический лист'!$A:$B,2,1),(HD16-0.05)))</f>
        <v/>
      </c>
      <c r="HF16" s="172">
        <f>MIN(1,MAX(VLOOKUP(($AJ16-$AI16-$AH16-$AG16-$AF16-$AE16*(1+HF$3))/$AJ16,'Технический лист'!$A:$B,2,1),(HE16-0.05)))</f>
        <v/>
      </c>
      <c r="HG16" s="172">
        <f>MIN(1,MAX(VLOOKUP(($AJ16-$AI16-$AH16-$AG16-$AF16-$AE16*(1+HG$3))/$AJ16,'Технический лист'!$A:$B,2,1),(HF16-0.05)))</f>
        <v/>
      </c>
      <c r="HH16" s="172">
        <f>MIN(1,MAX(VLOOKUP(($AJ16-$AI16-$AH16-$AG16-$AF16-$AE16*(1+HH$3))/$AJ16,'Технический лист'!$A:$B,2,1),(HG16-0.05)))</f>
        <v/>
      </c>
      <c r="HI16" s="172">
        <f>MIN(1,MAX(VLOOKUP(($AJ16-$AI16-$AH16-$AG16-$AF16-$AE16*(1+HI$3))/$AJ16,'Технический лист'!$A:$B,2,1),(HH16-0.05)))</f>
        <v/>
      </c>
      <c r="HJ16" s="172">
        <f>MIN(1,MAX(VLOOKUP(($AJ16-$AI16-$AH16-$AG16-$AF16-$AE16*(1+HJ$3))/$AJ16,'Технический лист'!$A:$B,2,1),(HI16-0.05)))</f>
        <v/>
      </c>
      <c r="HK16" s="172">
        <f>MIN(1,MAX(VLOOKUP(($AJ16-$AI16-$AH16-$AG16-$AF16-$AE16*(1+HK$3))/$AJ16,'Технический лист'!$A:$B,2,1),(HJ16-0.05)))</f>
        <v/>
      </c>
      <c r="HL16" s="172">
        <f>MIN(1,MAX(VLOOKUP(($AJ16-$AI16-$AH16-$AG16-$AF16-$AE16*(1+HL$3))/$AJ16,'Технический лист'!$A:$B,2,1),(HK16-0.05)))</f>
        <v/>
      </c>
      <c r="HM16" s="172">
        <f>MIN(1,MAX(VLOOKUP(($AJ16-$AI16-$AH16-$AG16-$AF16-$AE16*(1+HM$3))/$AJ16,'Технический лист'!$A:$B,2,1),(HL16-0.05)))</f>
        <v/>
      </c>
      <c r="HN16" s="172">
        <f>MIN(1,MAX(VLOOKUP(($AJ16-$AI16-$AH16-$AG16-$AF16-$AE16*(1+HN$3))/$AJ16,'Технический лист'!$A:$B,2,1),(HM16-0.05)))</f>
        <v/>
      </c>
      <c r="HO16" s="172">
        <f>MIN(1,MAX(VLOOKUP(($AJ16-$AI16-$AH16-$AG16-$AF16-$AE16*(1+HO$3))/$AJ16,'Технический лист'!$A:$B,2,1),(HN16-0.05)))</f>
        <v/>
      </c>
      <c r="HP16" s="172">
        <f>MIN(1,MAX(VLOOKUP(($AJ16-$AI16-$AH16-$AG16-$AF16-$AE16*(1+HP$3))/$AJ16,'Технический лист'!$A:$B,2,1),(HO16-0.05)))</f>
        <v/>
      </c>
      <c r="HQ16" s="172">
        <f>MIN(1,MAX(VLOOKUP(($AJ16-$AI16-$AH16-$AG16-$AF16-$AE16*(1+HQ$3))/$AJ16,'Технический лист'!$A:$B,2,1),(HP16-0.05)))</f>
        <v/>
      </c>
      <c r="HR16" s="172">
        <f>MIN(1,MAX(VLOOKUP(($AJ16-$AI16-$AH16-$AG16-$AF16-$AE16*(1+HR$3))/$AJ16,'Технический лист'!$A:$B,2,1),(HQ16-0.05)))</f>
        <v/>
      </c>
      <c r="HS16" s="172">
        <f>MIN(1,MAX(VLOOKUP(($AJ16-$AI16-$AH16-$AG16-$AF16-$AE16*(1+HS$3))/$AJ16,'Технический лист'!$A:$B,2,1),(HR16-0.05)))</f>
        <v/>
      </c>
      <c r="HT16" s="172">
        <f>MIN(1,MAX(VLOOKUP(($AJ16-$AI16-$AH16-$AG16-$AF16-$AE16*(1+HT$3))/$AJ16,'Технический лист'!$A:$B,2,1),(HS16-0.05)))</f>
        <v/>
      </c>
      <c r="HU16" s="172">
        <f>MIN(1,MAX(VLOOKUP(($AJ16-$AI16-$AH16-$AG16-$AF16-$AE16*(1+HU$3))/$AJ16,'Технический лист'!$A:$B,2,1),(HT16-0.05)))</f>
        <v/>
      </c>
      <c r="HV16" s="172">
        <f>MIN(1,MAX(VLOOKUP(($AJ16-$AI16-$AH16-$AG16-$AF16-$AE16*(1+HV$3))/$AJ16,'Технический лист'!$A:$B,2,1),(HU16-0.05)))</f>
        <v/>
      </c>
      <c r="HW16" s="172">
        <f>MIN(1,MAX(VLOOKUP(($AJ16-$AI16-$AH16-$AG16-$AF16-$AE16*(1+HW$3))/$AJ16,'Технический лист'!$A:$B,2,1),(HV16-0.05)))</f>
        <v/>
      </c>
      <c r="HX16" s="172">
        <f>MIN(1,MAX(VLOOKUP(($AJ16-$AI16-$AH16-$AG16-$AF16-$AE16*(1+HX$3))/$AJ16,'Технический лист'!$A:$B,2,1),(HW16-0.05)))</f>
        <v/>
      </c>
      <c r="HY16" s="172">
        <f>MIN(1,MAX(VLOOKUP(($AJ16-$AI16-$AH16-$AG16-$AF16-$AE16*(1+HY$3))/$AJ16,'Технический лист'!$A:$B,2,1),(HX16-0.05)))</f>
        <v/>
      </c>
      <c r="HZ16" s="172">
        <f>MIN(1,MAX(VLOOKUP(($AJ16-$AI16-$AH16-$AG16-$AF16-$AE16*(1+HZ$3))/$AJ16,'Технический лист'!$A:$B,2,1),(HY16-0.05)))</f>
        <v/>
      </c>
      <c r="IA16" s="172">
        <f>MIN(1,MAX(VLOOKUP(($AJ16-$AI16-$AH16-$AG16-$AF16-$AE16*(1+IA$3))/$AJ16,'Технический лист'!$A:$B,2,1),(HZ16-0.05)))</f>
        <v/>
      </c>
      <c r="IB16" s="172">
        <f>MIN(1,MAX(VLOOKUP(($AJ16-$AI16-$AH16-$AG16-$AF16-$AE16*(1+IB$3))/$AJ16,'Технический лист'!$A:$B,2,1),(IA16-0.05)))</f>
        <v/>
      </c>
      <c r="IC16" s="172">
        <f>MIN(1,MAX(VLOOKUP(($AJ16-$AI16-$AH16-$AG16-$AF16-$AE16*(1+IC$3))/$AJ16,'Технический лист'!$A:$B,2,1),(IB16-0.05)))</f>
        <v/>
      </c>
      <c r="ID16" s="172">
        <f>MIN(1,MAX(VLOOKUP(($AJ16-$AI16-$AH16-$AG16-$AF16-$AE16*(1+ID$3))/$AJ16,'Технический лист'!$A:$B,2,1),(IC16-0.05)))</f>
        <v/>
      </c>
      <c r="IE16" s="172">
        <f>MIN(1,MAX(VLOOKUP(($AJ16-$AI16-$AH16-$AG16-$AF16-$AE16*(1+IE$3))/$AJ16,'Технический лист'!$A:$B,2,1),(ID16-0.05)))</f>
        <v/>
      </c>
      <c r="IF16" s="172">
        <f>MIN(1,MAX(VLOOKUP(($AJ16-$AI16-$AH16-$AG16-$AF16-$AE16*(1+IF$3))/$AJ16,'Технический лист'!$A:$B,2,1),(IE16-0.05)))</f>
        <v/>
      </c>
      <c r="IG16" s="172">
        <f>MIN(1,MAX(VLOOKUP(($AJ16-$AI16-$AH16-$AG16-$AF16-$AE16*(1+IG$3))/$AJ16,'Технический лист'!$A:$B,2,1),(IF16-0.05)))</f>
        <v/>
      </c>
      <c r="IH16" s="172">
        <f>MIN(1,MAX(VLOOKUP(($AJ16-$AI16-$AH16-$AG16-$AF16-$AE16*(1+IH$3))/$AJ16,'Технический лист'!$A:$B,2,1),(IG16-0.05)))</f>
        <v/>
      </c>
      <c r="II16" s="172">
        <f>MIN(1,MAX(VLOOKUP(($AJ16-$AI16-$AH16-$AG16-$AF16-$AE16*(1+II$3))/$AJ16,'Технический лист'!$A:$B,2,1),(IH16-0.05)))</f>
        <v/>
      </c>
      <c r="IJ16" s="172">
        <f>MIN(1,MAX(VLOOKUP(($AJ16-$AI16-$AH16-$AG16-$AF16-$AE16*(1+IJ$3))/$AJ16,'Технический лист'!$A:$B,2,1),(II16-0.05)))</f>
        <v/>
      </c>
      <c r="IK16" s="172">
        <f>MIN(1,MAX(VLOOKUP(($AJ16-$AI16-$AH16-$AG16-$AF16-$AE16*(1+IK$3))/$AJ16,'Технический лист'!$A:$B,2,1),(IJ16-0.05)))</f>
        <v/>
      </c>
      <c r="IL16" s="172">
        <f>MIN(1,MAX(VLOOKUP(($AJ16-$AI16-$AH16-$AG16-$AF16-$AE16*(1+IL$3))/$AJ16,'Технический лист'!$A:$B,2,1),(IK16-0.05)))</f>
        <v/>
      </c>
      <c r="IM16" s="172">
        <f>MIN(1,MAX(VLOOKUP(($AJ16-$AI16-$AH16-$AG16-$AF16-$AE16*(1+IM$3))/$AJ16,'Технический лист'!$A:$B,2,1),(IL16-0.05)))</f>
        <v/>
      </c>
      <c r="IN16" s="172">
        <f>MIN(1,MAX(VLOOKUP(($AJ16-$AI16-$AH16-$AG16-$AF16-$AE16*(1+IN$3))/$AJ16,'Технический лист'!$A:$B,2,1),(IM16-0.05)))</f>
        <v/>
      </c>
      <c r="IO16" s="172">
        <f>MIN(1,MAX(VLOOKUP(($AJ16-$AI16-$AH16-$AG16-$AF16-$AE16*(1+IO$3))/$AJ16,'Технический лист'!$A:$B,2,1),(IN16-0.05)))</f>
        <v/>
      </c>
      <c r="IP16" s="172">
        <f>MIN(1,MAX(VLOOKUP(($AJ16-$AI16-$AH16-$AG16-$AF16-$AE16*(1+IP$3))/$AJ16,'Технический лист'!$A:$B,2,1),(IO16-0.05)))</f>
        <v/>
      </c>
      <c r="IQ16" s="172">
        <f>MIN(1,MAX(VLOOKUP(($AJ16-$AI16-$AH16-$AG16-$AF16-$AE16*(1+IQ$3))/$AJ16,'Технический лист'!$A:$B,2,1),(IP16-0.05)))</f>
        <v/>
      </c>
      <c r="IR16" s="172">
        <f>MIN(1,MAX(VLOOKUP(($AJ16-$AI16-$AH16-$AG16-$AF16-$AE16*(1+IR$3))/$AJ16,'Технический лист'!$A:$B,2,1),(IQ16-0.05)))</f>
        <v/>
      </c>
    </row>
    <row r="17" ht="43.75" customHeight="1" s="123">
      <c r="A17" s="89" t="inlineStr">
        <is>
          <t>ЧМ (сырье)</t>
        </is>
      </c>
      <c r="B17" s="90" t="n">
        <v>2</v>
      </c>
      <c r="C17" s="5" t="inlineStr">
        <is>
          <t>Кокс каменноугольный</t>
        </is>
      </c>
      <c r="D17" s="91" t="n">
        <v>17110</v>
      </c>
      <c r="E17" s="91" t="inlineStr">
        <is>
          <t xml:space="preserve">Кокс, не поименованный в алфавите </t>
        </is>
      </c>
      <c r="F17" s="92" t="inlineStr">
        <is>
          <t>КОКС КАМЕННОУГОЛЬНЫЙ</t>
        </is>
      </c>
      <c r="G17" s="91" t="inlineStr">
        <is>
          <t>ЗСБ</t>
        </is>
      </c>
      <c r="H17" s="91" t="inlineStr">
        <is>
          <t>ДВС</t>
        </is>
      </c>
      <c r="I17" s="91" t="inlineStr">
        <is>
          <t>ПРЕДКОМБИНАТ</t>
        </is>
      </c>
      <c r="J17" s="91" t="inlineStr">
        <is>
          <t>ГРОДЕК/КИТАЙ</t>
        </is>
      </c>
      <c r="K17" s="91" t="n">
        <v>5788</v>
      </c>
      <c r="L17" s="91" t="inlineStr">
        <is>
          <t>Полувагоны</t>
        </is>
      </c>
      <c r="M17" s="91" t="inlineStr">
        <is>
          <t>Экспорт</t>
        </is>
      </c>
      <c r="N17" s="91" t="inlineStr">
        <is>
          <t>вагонная</t>
        </is>
      </c>
      <c r="O17" s="91" t="inlineStr">
        <is>
          <t xml:space="preserve">Восточное </t>
        </is>
      </c>
      <c r="P17" s="89" t="inlineStr">
        <is>
          <t>'000000186683</t>
        </is>
      </c>
      <c r="Q17" s="91" t="inlineStr">
        <is>
          <t>'ПАО "Кокс"</t>
        </is>
      </c>
      <c r="R17" s="91" t="inlineStr">
        <is>
          <t>ООО "УК"ПМХ"</t>
        </is>
      </c>
      <c r="S17" s="87" t="n">
        <v>10601</v>
      </c>
      <c r="T17" s="87" t="n">
        <v>61359168</v>
      </c>
      <c r="U17" s="88" t="n">
        <v>178</v>
      </c>
      <c r="V17" s="88" t="n">
        <v>0</v>
      </c>
      <c r="W17" s="87" t="n">
        <v>31981756</v>
      </c>
      <c r="X17" s="112" t="n">
        <v>60</v>
      </c>
      <c r="Y17" s="112" t="inlineStr">
        <is>
          <t>повагонная</t>
        </is>
      </c>
      <c r="Z17" s="113" t="n">
        <v>17</v>
      </c>
      <c r="AA17" s="113" t="n">
        <v>14</v>
      </c>
      <c r="AB17" s="113" t="n">
        <v>4</v>
      </c>
      <c r="AC17" s="161" t="n">
        <v>333.78</v>
      </c>
      <c r="AD17" s="161">
        <f>AE17-AC17</f>
        <v/>
      </c>
      <c r="AE17" s="161" t="n">
        <v>4793.08</v>
      </c>
      <c r="AF17" s="162">
        <f>(Z17+AA17+AB17)*'Ставки аренды'!$B$3/X17</f>
        <v/>
      </c>
      <c r="AG17" s="163" t="n">
        <v>0</v>
      </c>
      <c r="AH17" s="164" t="n">
        <v>0</v>
      </c>
      <c r="AI17" s="165">
        <f>0.9*AVERAGE(AJ13,AJ14)</f>
        <v/>
      </c>
      <c r="AJ17" s="166">
        <f>Цены!$C$8*'Курсы валют'!$B$2</f>
        <v/>
      </c>
      <c r="AK17" s="164">
        <f>AJ17/Цены!$B$1</f>
        <v/>
      </c>
      <c r="AL17" s="164">
        <f>AE17+AF17+AG17</f>
        <v/>
      </c>
      <c r="AM17" s="164">
        <f>AJ17-AL17</f>
        <v/>
      </c>
      <c r="AN17" s="164">
        <f>AI17+AH17+AG17+AF17+AE17</f>
        <v/>
      </c>
      <c r="AO17" s="167">
        <f>(AJ17-AN17)/AJ17</f>
        <v/>
      </c>
      <c r="AP17" s="168">
        <f>AL17/AJ17</f>
        <v/>
      </c>
      <c r="AQ17" s="168">
        <f>AE17/AJ17</f>
        <v/>
      </c>
      <c r="AR17" s="168">
        <f>AE17/AL17</f>
        <v/>
      </c>
      <c r="AS17" s="169" t="n">
        <v>1</v>
      </c>
      <c r="AT17" s="121">
        <f>S17*AS17</f>
        <v/>
      </c>
      <c r="AU17" s="83" t="n">
        <v>0.9</v>
      </c>
      <c r="AV17" s="170">
        <f>(AJ17-(AE17*(1+$IS$2)+AF17+AG17+AH17+AI17))/AJ17</f>
        <v/>
      </c>
      <c r="AW17" s="171">
        <f>(AE17*(1+$IS$2)+AF17+AG17)/AJ17</f>
        <v/>
      </c>
      <c r="AX17" s="171">
        <f>(AE17*(1+$IS$2))/AJ17</f>
        <v/>
      </c>
      <c r="AY17" s="171">
        <f>(AE17*(1+$IS$2))/(AE17*(1+$IS$2)+AF17+AG17)</f>
        <v/>
      </c>
      <c r="AZ17" s="172">
        <f>MIN(IF($AU17=100%,1,1+VLOOKUP(($AJ17-$AI17-$AH17-$AG17-$AF17-$AE17*(1+AZ$3))/$AJ17,'Технический лист'!$A:$B,2,1)-VLOOKUP($AO17,'Технический лист'!$A:$B,2,1)),1+(1-$AU17))</f>
        <v/>
      </c>
      <c r="BA17" s="172">
        <f>MIN(IF($AU17=100%,1,1+VLOOKUP(($AJ17-$AI17-$AH17-$AG17-$AF17-$AE17*(1+BA$3))/$AJ17,'Технический лист'!$A:$B,2,1)-VLOOKUP($AO17,'Технический лист'!$A:$B,2,1)),1+(1-$AU17))</f>
        <v/>
      </c>
      <c r="BB17" s="172">
        <f>MIN(IF($AU17=100%,1,1+VLOOKUP(($AJ17-$AI17-$AH17-$AG17-$AF17-$AE17*(1+BB$3))/$AJ17,'Технический лист'!$A:$B,2,1)-VLOOKUP($AO17,'Технический лист'!$A:$B,2,1)),1+(1-$AU17))</f>
        <v/>
      </c>
      <c r="BC17" s="172">
        <f>MIN(IF($AU17=100%,1,1+VLOOKUP(($AJ17-$AI17-$AH17-$AG17-$AF17-$AE17*(1+BC$3))/$AJ17,'Технический лист'!$A:$B,2,1)-VLOOKUP($AO17,'Технический лист'!$A:$B,2,1)),1+(1-$AU17))</f>
        <v/>
      </c>
      <c r="BD17" s="172">
        <f>MIN(IF($AU17=100%,1,1+VLOOKUP(($AJ17-$AI17-$AH17-$AG17-$AF17-$AE17*(1+BD$3))/$AJ17,'Технический лист'!$A:$B,2,1)-VLOOKUP($AO17,'Технический лист'!$A:$B,2,1)),1+(1-$AU17))</f>
        <v/>
      </c>
      <c r="BE17" s="172">
        <f>MIN(IF($AU17=100%,1,1+VLOOKUP(($AJ17-$AI17-$AH17-$AG17-$AF17-$AE17*(1+BE$3))/$AJ17,'Технический лист'!$A:$B,2,1)-VLOOKUP($AO17,'Технический лист'!$A:$B,2,1)),1+(1-$AU17))</f>
        <v/>
      </c>
      <c r="BF17" s="172">
        <f>MIN(IF($AU17=100%,1,1+VLOOKUP(($AJ17-$AI17-$AH17-$AG17-$AF17-$AE17*(1+BF$3))/$AJ17,'Технический лист'!$A:$B,2,1)-VLOOKUP($AO17,'Технический лист'!$A:$B,2,1)),1+(1-$AU17))</f>
        <v/>
      </c>
      <c r="BG17" s="172">
        <f>MIN(IF($AU17=100%,1,1+VLOOKUP(($AJ17-$AI17-$AH17-$AG17-$AF17-$AE17*(1+BG$3))/$AJ17,'Технический лист'!$A:$B,2,1)-VLOOKUP($AO17,'Технический лист'!$A:$B,2,1)),1+(1-$AU17))</f>
        <v/>
      </c>
      <c r="BH17" s="172">
        <f>MIN(IF($AU17=100%,1,1+VLOOKUP(($AJ17-$AI17-$AH17-$AG17-$AF17-$AE17*(1+BH$3))/$AJ17,'Технический лист'!$A:$B,2,1)-VLOOKUP($AO17,'Технический лист'!$A:$B,2,1)),1+(1-$AU17))</f>
        <v/>
      </c>
      <c r="BI17" s="172">
        <f>MIN(IF($AU17=100%,1,1+VLOOKUP(($AJ17-$AI17-$AH17-$AG17-$AF17-$AE17*(1+BI$3))/$AJ17,'Технический лист'!$A:$B,2,1)-VLOOKUP($AO17,'Технический лист'!$A:$B,2,1)),1+(1-$AU17))</f>
        <v/>
      </c>
      <c r="BJ17" s="172">
        <f>MIN(IF($AU17=100%,1,1+VLOOKUP(($AJ17-$AI17-$AH17-$AG17-$AF17-$AE17*(1+BJ$3))/$AJ17,'Технический лист'!$A:$B,2,1)-VLOOKUP($AO17,'Технический лист'!$A:$B,2,1)),1+(1-$AU17))</f>
        <v/>
      </c>
      <c r="BK17" s="172">
        <f>MIN(IF($AU17=100%,1,1+VLOOKUP(($AJ17-$AI17-$AH17-$AG17-$AF17-$AE17*(1+BK$3))/$AJ17,'Технический лист'!$A:$B,2,1)-VLOOKUP($AO17,'Технический лист'!$A:$B,2,1)),1+(1-$AU17))</f>
        <v/>
      </c>
      <c r="BL17" s="172">
        <f>MIN(IF($AU17=100%,1,1+VLOOKUP(($AJ17-$AI17-$AH17-$AG17-$AF17-$AE17*(1+BL$3))/$AJ17,'Технический лист'!$A:$B,2,1)-VLOOKUP($AO17,'Технический лист'!$A:$B,2,1)),1+(1-$AU17))</f>
        <v/>
      </c>
      <c r="BM17" s="172">
        <f>MIN(IF($AU17=100%,1,1+VLOOKUP(($AJ17-$AI17-$AH17-$AG17-$AF17-$AE17*(1+BM$3))/$AJ17,'Технический лист'!$A:$B,2,1)-VLOOKUP($AO17,'Технический лист'!$A:$B,2,1)),1+(1-$AU17))</f>
        <v/>
      </c>
      <c r="BN17" s="172">
        <f>MIN(IF($AU17=100%,1,1+VLOOKUP(($AJ17-$AI17-$AH17-$AG17-$AF17-$AE17*(1+BN$3))/$AJ17,'Технический лист'!$A:$B,2,1)-VLOOKUP($AO17,'Технический лист'!$A:$B,2,1)),1+(1-$AU17))</f>
        <v/>
      </c>
      <c r="BO17" s="172">
        <f>MIN(IF($AU17=100%,1,1+VLOOKUP(($AJ17-$AI17-$AH17-$AG17-$AF17-$AE17*(1+BO$3))/$AJ17,'Технический лист'!$A:$B,2,1)-VLOOKUP($AO17,'Технический лист'!$A:$B,2,1)),1+(1-$AU17))</f>
        <v/>
      </c>
      <c r="BP17" s="172">
        <f>MIN(IF($AU17=100%,1,1+VLOOKUP(($AJ17-$AI17-$AH17-$AG17-$AF17-$AE17*(1+BP$3))/$AJ17,'Технический лист'!$A:$B,2,1)-VLOOKUP($AO17,'Технический лист'!$A:$B,2,1)),1+(1-$AU17))</f>
        <v/>
      </c>
      <c r="BQ17" s="172">
        <f>MIN(IF($AU17=100%,1,1+VLOOKUP(($AJ17-$AI17-$AH17-$AG17-$AF17-$AE17*(1+BQ$3))/$AJ17,'Технический лист'!$A:$B,2,1)-VLOOKUP($AO17,'Технический лист'!$A:$B,2,1)),1+(1-$AU17))</f>
        <v/>
      </c>
      <c r="BR17" s="172">
        <f>MIN(IF($AU17=100%,1,1+VLOOKUP(($AJ17-$AI17-$AH17-$AG17-$AF17-$AE17*(1+BR$3))/$AJ17,'Технический лист'!$A:$B,2,1)-VLOOKUP($AO17,'Технический лист'!$A:$B,2,1)),1+(1-$AU17))</f>
        <v/>
      </c>
      <c r="BS17" s="172">
        <f>MIN(IF($AU17=100%,1,1+VLOOKUP(($AJ17-$AI17-$AH17-$AG17-$AF17-$AE17*(1+BS$3))/$AJ17,'Технический лист'!$A:$B,2,1)-VLOOKUP($AO17,'Технический лист'!$A:$B,2,1)),1+(1-$AU17))</f>
        <v/>
      </c>
      <c r="BT17" s="172">
        <f>MIN(IF($AU17=100%,1,1+VLOOKUP(($AJ17-$AI17-$AH17-$AG17-$AF17-$AE17*(1+BT$3))/$AJ17,'Технический лист'!$A:$B,2,1)-VLOOKUP($AO17,'Технический лист'!$A:$B,2,1)),1+(1-$AU17))</f>
        <v/>
      </c>
      <c r="BU17" s="172">
        <f>MIN(IF($AU17=100%,1,1+VLOOKUP(($AJ17-$AI17-$AH17-$AG17-$AF17-$AE17*(1+BU$3))/$AJ17,'Технический лист'!$A:$B,2,1)-VLOOKUP($AO17,'Технический лист'!$A:$B,2,1)),1+(1-$AU17))</f>
        <v/>
      </c>
      <c r="BV17" s="172">
        <f>MIN(IF($AU17=100%,1,1+VLOOKUP(($AJ17-$AI17-$AH17-$AG17-$AF17-$AE17*(1+BV$3))/$AJ17,'Технический лист'!$A:$B,2,1)-VLOOKUP($AO17,'Технический лист'!$A:$B,2,1)),1+(1-$AU17))</f>
        <v/>
      </c>
      <c r="BW17" s="172">
        <f>MIN(IF($AU17=100%,1,1+VLOOKUP(($AJ17-$AI17-$AH17-$AG17-$AF17-$AE17*(1+BW$3))/$AJ17,'Технический лист'!$A:$B,2,1)-VLOOKUP($AO17,'Технический лист'!$A:$B,2,1)),1+(1-$AU17))</f>
        <v/>
      </c>
      <c r="BX17" s="172">
        <f>MIN(IF($AU17=100%,1,1+VLOOKUP(($AJ17-$AI17-$AH17-$AG17-$AF17-$AE17*(1+BX$3))/$AJ17,'Технический лист'!$A:$B,2,1)-VLOOKUP($AO17,'Технический лист'!$A:$B,2,1)),1+(1-$AU17))</f>
        <v/>
      </c>
      <c r="BY17" s="172">
        <f>MIN(IF($AU17=100%,1,1+VLOOKUP(($AJ17-$AI17-$AH17-$AG17-$AF17-$AE17*(1+BY$3))/$AJ17,'Технический лист'!$A:$B,2,1)-VLOOKUP($AO17,'Технический лист'!$A:$B,2,1)),1+(1-$AU17))</f>
        <v/>
      </c>
      <c r="BZ17" s="172">
        <f>MIN(IF($AU17=100%,1,1+VLOOKUP(($AJ17-$AI17-$AH17-$AG17-$AF17-$AE17*(1+BZ$3))/$AJ17,'Технический лист'!$A:$B,2,1)-VLOOKUP($AO17,'Технический лист'!$A:$B,2,1)),1+(1-$AU17))</f>
        <v/>
      </c>
      <c r="CA17" s="172">
        <f>MIN(IF($AU17=100%,1,1+VLOOKUP(($AJ17-$AI17-$AH17-$AG17-$AF17-$AE17*(1+CA$3))/$AJ17,'Технический лист'!$A:$B,2,1)-VLOOKUP($AO17,'Технический лист'!$A:$B,2,1)),1+(1-$AU17))</f>
        <v/>
      </c>
      <c r="CB17" s="172">
        <f>MIN(IF($AU17=100%,1,1+VLOOKUP(($AJ17-$AI17-$AH17-$AG17-$AF17-$AE17*(1+CB$3))/$AJ17,'Технический лист'!$A:$B,2,1)-VLOOKUP($AO17,'Технический лист'!$A:$B,2,1)),1+(1-$AU17))</f>
        <v/>
      </c>
      <c r="CC17" s="172">
        <f>MIN(IF($AU17=100%,1,1+VLOOKUP(($AJ17-$AI17-$AH17-$AG17-$AF17-$AE17*(1+CC$3))/$AJ17,'Технический лист'!$A:$B,2,1)-VLOOKUP($AO17,'Технический лист'!$A:$B,2,1)),1+(1-$AU17))</f>
        <v/>
      </c>
      <c r="CD17" s="172">
        <f>MIN(IF($AU17=100%,1,1+VLOOKUP(($AJ17-$AI17-$AH17-$AG17-$AF17-$AE17*(1+CD$3))/$AJ17,'Технический лист'!$A:$B,2,1)-VLOOKUP($AO17,'Технический лист'!$A:$B,2,1)),1+(1-$AU17))</f>
        <v/>
      </c>
      <c r="CE17" s="172">
        <f>MIN(IF($AU17=100%,1,1+VLOOKUP(($AJ17-$AI17-$AH17-$AG17-$AF17-$AE17*(1+CE$3))/$AJ17,'Технический лист'!$A:$B,2,1)-VLOOKUP($AO17,'Технический лист'!$A:$B,2,1)),1+(1-$AU17))</f>
        <v/>
      </c>
      <c r="CF17" s="172">
        <f>MIN(IF($AU17=100%,1,1+VLOOKUP(($AJ17-$AI17-$AH17-$AG17-$AF17-$AE17*(1+CF$3))/$AJ17,'Технический лист'!$A:$B,2,1)-VLOOKUP($AO17,'Технический лист'!$A:$B,2,1)),1+(1-$AU17))</f>
        <v/>
      </c>
      <c r="CG17" s="172">
        <f>MIN(IF($AU17=100%,1,1+VLOOKUP(($AJ17-$AI17-$AH17-$AG17-$AF17-$AE17*(1+CG$3))/$AJ17,'Технический лист'!$A:$B,2,1)-VLOOKUP($AO17,'Технический лист'!$A:$B,2,1)),1+(1-$AU17))</f>
        <v/>
      </c>
      <c r="CH17" s="172">
        <f>MIN(IF($AU17=100%,1,1+VLOOKUP(($AJ17-$AI17-$AH17-$AG17-$AF17-$AE17*(1+CH$3))/$AJ17,'Технический лист'!$A:$B,2,1)-VLOOKUP($AO17,'Технический лист'!$A:$B,2,1)),1+(1-$AU17))</f>
        <v/>
      </c>
      <c r="CI17" s="172">
        <f>MIN(IF($AU17=100%,1,1+VLOOKUP(($AJ17-$AI17-$AH17-$AG17-$AF17-$AE17*(1+CI$3))/$AJ17,'Технический лист'!$A:$B,2,1)-VLOOKUP($AO17,'Технический лист'!$A:$B,2,1)),1+(1-$AU17))</f>
        <v/>
      </c>
      <c r="CJ17" s="172">
        <f>MIN(IF($AU17=100%,1,1+VLOOKUP(($AJ17-$AI17-$AH17-$AG17-$AF17-$AE17*(1+CJ$3))/$AJ17,'Технический лист'!$A:$B,2,1)-VLOOKUP($AO17,'Технический лист'!$A:$B,2,1)),1+(1-$AU17))</f>
        <v/>
      </c>
      <c r="CK17" s="172">
        <f>MIN(IF($AU17=100%,1,1+VLOOKUP(($AJ17-$AI17-$AH17-$AG17-$AF17-$AE17*(1+CK$3))/$AJ17,'Технический лист'!$A:$B,2,1)-VLOOKUP($AO17,'Технический лист'!$A:$B,2,1)),1+(1-$AU17))</f>
        <v/>
      </c>
      <c r="CL17" s="172">
        <f>MIN(IF($AU17=100%,1,1+VLOOKUP(($AJ17-$AI17-$AH17-$AG17-$AF17-$AE17*(1+CL$3))/$AJ17,'Технический лист'!$A:$B,2,1)-VLOOKUP($AO17,'Технический лист'!$A:$B,2,1)),1+(1-$AU17))</f>
        <v/>
      </c>
      <c r="CM17" s="172">
        <f>MIN(IF($AU17=100%,1,1+VLOOKUP(($AJ17-$AI17-$AH17-$AG17-$AF17-$AE17*(1+CM$3))/$AJ17,'Технический лист'!$A:$B,2,1)-VLOOKUP($AO17,'Технический лист'!$A:$B,2,1)),1+(1-$AU17))</f>
        <v/>
      </c>
      <c r="CN17" s="172">
        <f>MIN(IF($AU17=100%,1,1+VLOOKUP(($AJ17-$AI17-$AH17-$AG17-$AF17-$AE17*(1+CN$3))/$AJ17,'Технический лист'!$A:$B,2,1)-VLOOKUP($AO17,'Технический лист'!$A:$B,2,1)),1+(1-$AU17))</f>
        <v/>
      </c>
      <c r="CO17" s="172">
        <f>MIN(IF($AU17=100%,1,1+VLOOKUP(($AJ17-$AI17-$AH17-$AG17-$AF17-$AE17*(1+CO$3))/$AJ17,'Технический лист'!$A:$B,2,1)-VLOOKUP($AO17,'Технический лист'!$A:$B,2,1)),1+(1-$AU17))</f>
        <v/>
      </c>
      <c r="CP17" s="172">
        <f>MIN(IF($AU17=100%,1,1+VLOOKUP(($AJ17-$AI17-$AH17-$AG17-$AF17-$AE17*(1+CP$3))/$AJ17,'Технический лист'!$A:$B,2,1)-VLOOKUP($AO17,'Технический лист'!$A:$B,2,1)),1+(1-$AU17))</f>
        <v/>
      </c>
      <c r="CQ17" s="172">
        <f>MIN(IF($AU17=100%,1,1+VLOOKUP(($AJ17-$AI17-$AH17-$AG17-$AF17-$AE17*(1+CQ$3))/$AJ17,'Технический лист'!$A:$B,2,1)-VLOOKUP($AO17,'Технический лист'!$A:$B,2,1)),1+(1-$AU17))</f>
        <v/>
      </c>
      <c r="CR17" s="172">
        <f>MIN(IF($AU17=100%,1,1+VLOOKUP(($AJ17-$AI17-$AH17-$AG17-$AF17-$AE17*(1+CR$3))/$AJ17,'Технический лист'!$A:$B,2,1)-VLOOKUP($AO17,'Технический лист'!$A:$B,2,1)),1+(1-$AU17))</f>
        <v/>
      </c>
      <c r="CS17" s="172">
        <f>MIN(IF($AU17=100%,1,1+VLOOKUP(($AJ17-$AI17-$AH17-$AG17-$AF17-$AE17*(1+CS$3))/$AJ17,'Технический лист'!$A:$B,2,1)-VLOOKUP($AO17,'Технический лист'!$A:$B,2,1)),1+(1-$AU17))</f>
        <v/>
      </c>
      <c r="CT17" s="172">
        <f>MIN(IF($AU17=100%,1,1+VLOOKUP(($AJ17-$AI17-$AH17-$AG17-$AF17-$AE17*(1+CT$3))/$AJ17,'Технический лист'!$A:$B,2,1)-VLOOKUP($AO17,'Технический лист'!$A:$B,2,1)),1+(1-$AU17))</f>
        <v/>
      </c>
      <c r="CU17" s="172">
        <f>MIN(IF($AU17=100%,1,1+VLOOKUP(($AJ17-$AI17-$AH17-$AG17-$AF17-$AE17*(1+CU$3))/$AJ17,'Технический лист'!$A:$B,2,1)-VLOOKUP($AO17,'Технический лист'!$A:$B,2,1)),1+(1-$AU17))</f>
        <v/>
      </c>
      <c r="CV17" s="172">
        <f>MIN(IF($AU17=100%,1,1+VLOOKUP(($AJ17-$AI17-$AH17-$AG17-$AF17-$AE17*(1+CV$3))/$AJ17,'Технический лист'!$A:$B,2,1)-VLOOKUP($AO17,'Технический лист'!$A:$B,2,1)),1+(1-$AU17))</f>
        <v/>
      </c>
      <c r="CW17" s="172">
        <f>MIN(IF($AU17=100%,1,1+VLOOKUP(($AJ17-$AI17-$AH17-$AG17-$AF17-$AE17*(1+CW$3))/$AJ17,'Технический лист'!$A:$B,2,1)-VLOOKUP($AO17,'Технический лист'!$A:$B,2,1)),1+(1-$AU17))</f>
        <v/>
      </c>
      <c r="CX17" s="172">
        <f>MIN(IF($AU17=100%,1,1+VLOOKUP(($AJ17-$AI17-$AH17-$AG17-$AF17-$AE17*(1+CX$3))/$AJ17,'Технический лист'!$A:$B,2,1)-VLOOKUP($AO17,'Технический лист'!$A:$B,2,1)),1+(1-$AU17))</f>
        <v/>
      </c>
      <c r="CY17" s="172">
        <f>MIN(IF($AU17=100%,1,1+VLOOKUP(($AJ17-$AI17-$AH17-$AG17-$AF17-$AE17*(1+CY$3))/$AJ17,'Технический лист'!$A:$B,2,1)-VLOOKUP($AO17,'Технический лист'!$A:$B,2,1)),1+(1-$AU17))</f>
        <v/>
      </c>
      <c r="CZ17" s="172">
        <f>MIN(IF($AU17=100%,1,1+VLOOKUP(($AJ17-$AI17-$AH17-$AG17-$AF17-$AE17*(1+CZ$3))/$AJ17,'Технический лист'!$A:$B,2,1)-VLOOKUP($AO17,'Технический лист'!$A:$B,2,1)),1+(1-$AU17))</f>
        <v/>
      </c>
      <c r="DA17" s="172">
        <f>MIN(IF($AU17=100%,1,1+VLOOKUP(($AJ17-$AI17-$AH17-$AG17-$AF17-$AE17*(1+DA$3))/$AJ17,'Технический лист'!$A:$B,2,1)-VLOOKUP($AO17,'Технический лист'!$A:$B,2,1)),1+(1-$AU17))</f>
        <v/>
      </c>
      <c r="DB17" s="172">
        <f>MIN(IF($AU17=100%,1,1+VLOOKUP(($AJ17-$AI17-$AH17-$AG17-$AF17-$AE17*(1+DB$3))/$AJ17,'Технический лист'!$A:$B,2,1)-VLOOKUP($AO17,'Технический лист'!$A:$B,2,1)),1+(1-$AU17))</f>
        <v/>
      </c>
      <c r="DC17" s="172">
        <f>MIN(IF($AU17=100%,1,1+VLOOKUP(($AJ17-$AI17-$AH17-$AG17-$AF17-$AE17*(1+DC$3))/$AJ17,'Технический лист'!$A:$B,2,1)-VLOOKUP($AO17,'Технический лист'!$A:$B,2,1)),1+(1-$AU17))</f>
        <v/>
      </c>
      <c r="DD17" s="172">
        <f>MIN(IF($AU17=100%,1,1+VLOOKUP(($AJ17-$AI17-$AH17-$AG17-$AF17-$AE17*(1+DD$3))/$AJ17,'Технический лист'!$A:$B,2,1)-VLOOKUP($AO17,'Технический лист'!$A:$B,2,1)),1+(1-$AU17))</f>
        <v/>
      </c>
      <c r="DE17" s="172">
        <f>MIN(IF($AU17=100%,1,1+VLOOKUP(($AJ17-$AI17-$AH17-$AG17-$AF17-$AE17*(1+DE$3))/$AJ17,'Технический лист'!$A:$B,2,1)-VLOOKUP($AO17,'Технический лист'!$A:$B,2,1)),1+(1-$AU17))</f>
        <v/>
      </c>
      <c r="DF17" s="172">
        <f>MIN(IF($AU17=100%,1,1+VLOOKUP(($AJ17-$AI17-$AH17-$AG17-$AF17-$AE17*(1+DF$3))/$AJ17,'Технический лист'!$A:$B,2,1)-VLOOKUP($AO17,'Технический лист'!$A:$B,2,1)),1+(1-$AU17))</f>
        <v/>
      </c>
      <c r="DG17" s="172">
        <f>MIN(IF($AU17=100%,1,1+VLOOKUP(($AJ17-$AI17-$AH17-$AG17-$AF17-$AE17*(1+DG$3))/$AJ17,'Технический лист'!$A:$B,2,1)-VLOOKUP($AO17,'Технический лист'!$A:$B,2,1)),1+(1-$AU17))</f>
        <v/>
      </c>
      <c r="DH17" s="172">
        <f>MIN(IF($AU17=100%,1,1+VLOOKUP(($AJ17-$AI17-$AH17-$AG17-$AF17-$AE17*(1+DH$3))/$AJ17,'Технический лист'!$A:$B,2,1)-VLOOKUP($AO17,'Технический лист'!$A:$B,2,1)),1+(1-$AU17))</f>
        <v/>
      </c>
      <c r="DI17" s="172">
        <f>MIN(IF($AU17=100%,1,1+VLOOKUP(($AJ17-$AI17-$AH17-$AG17-$AF17-$AE17*(1+DI$3))/$AJ17,'Технический лист'!$A:$B,2,1)-VLOOKUP($AO17,'Технический лист'!$A:$B,2,1)),1+(1-$AU17))</f>
        <v/>
      </c>
      <c r="DJ17" s="172">
        <f>MIN(IF($AU17=100%,1,1+VLOOKUP(($AJ17-$AI17-$AH17-$AG17-$AF17-$AE17*(1+DJ$3))/$AJ17,'Технический лист'!$A:$B,2,1)-VLOOKUP($AO17,'Технический лист'!$A:$B,2,1)),1+(1-$AU17))</f>
        <v/>
      </c>
      <c r="DK17" s="172">
        <f>MIN(IF($AU17=100%,1,1+VLOOKUP(($AJ17-$AI17-$AH17-$AG17-$AF17-$AE17*(1+DK$3))/$AJ17,'Технический лист'!$A:$B,2,1)-VLOOKUP($AO17,'Технический лист'!$A:$B,2,1)),1+(1-$AU17))</f>
        <v/>
      </c>
      <c r="DL17" s="172">
        <f>MIN(IF($AU17=100%,1,1+VLOOKUP(($AJ17-$AI17-$AH17-$AG17-$AF17-$AE17*(1+DL$3))/$AJ17,'Технический лист'!$A:$B,2,1)-VLOOKUP($AO17,'Технический лист'!$A:$B,2,1)),1+(1-$AU17))</f>
        <v/>
      </c>
      <c r="DM17" s="172">
        <f>MIN(IF($AU17=100%,1,1+VLOOKUP(($AJ17-$AI17-$AH17-$AG17-$AF17-$AE17*(1+DM$3))/$AJ17,'Технический лист'!$A:$B,2,1)-VLOOKUP($AO17,'Технический лист'!$A:$B,2,1)),1+(1-$AU17))</f>
        <v/>
      </c>
      <c r="DN17" s="172">
        <f>MIN(IF($AU17=100%,1,1+VLOOKUP(($AJ17-$AI17-$AH17-$AG17-$AF17-$AE17*(1+DN$3))/$AJ17,'Технический лист'!$A:$B,2,1)-VLOOKUP($AO17,'Технический лист'!$A:$B,2,1)),1+(1-$AU17))</f>
        <v/>
      </c>
      <c r="DO17" s="172">
        <f>MIN(IF($AU17=100%,1,1+VLOOKUP(($AJ17-$AI17-$AH17-$AG17-$AF17-$AE17*(1+DO$3))/$AJ17,'Технический лист'!$A:$B,2,1)-VLOOKUP($AO17,'Технический лист'!$A:$B,2,1)),1+(1-$AU17))</f>
        <v/>
      </c>
      <c r="DP17" s="172">
        <f>MIN(IF($AU17=100%,1,1+VLOOKUP(($AJ17-$AI17-$AH17-$AG17-$AF17-$AE17*(1+DP$3))/$AJ17,'Технический лист'!$A:$B,2,1)-VLOOKUP($AO17,'Технический лист'!$A:$B,2,1)),1+(1-$AU17))</f>
        <v/>
      </c>
      <c r="DQ17" s="172">
        <f>MIN(IF($AU17=100%,1,1+VLOOKUP(($AJ17-$AI17-$AH17-$AG17-$AF17-$AE17*(1+DQ$3))/$AJ17,'Технический лист'!$A:$B,2,1)-VLOOKUP($AO17,'Технический лист'!$A:$B,2,1)),1+(1-$AU17))</f>
        <v/>
      </c>
      <c r="DR17" s="172">
        <f>MIN(IF($AU17=100%,1,1+VLOOKUP(($AJ17-$AI17-$AH17-$AG17-$AF17-$AE17*(1+DR$3))/$AJ17,'Технический лист'!$A:$B,2,1)-VLOOKUP($AO17,'Технический лист'!$A:$B,2,1)),1+(1-$AU17))</f>
        <v/>
      </c>
      <c r="DS17" s="172">
        <f>MIN(IF($AU17=100%,1,1+VLOOKUP(($AJ17-$AI17-$AH17-$AG17-$AF17-$AE17*(1+DS$3))/$AJ17,'Технический лист'!$A:$B,2,1)-VLOOKUP($AO17,'Технический лист'!$A:$B,2,1)),1+(1-$AU17))</f>
        <v/>
      </c>
      <c r="DT17" s="172">
        <f>MIN(IF($AU17=100%,1,1+VLOOKUP(($AJ17-$AI17-$AH17-$AG17-$AF17-$AE17*(1+DT$3))/$AJ17,'Технический лист'!$A:$B,2,1)-VLOOKUP($AO17,'Технический лист'!$A:$B,2,1)),1+(1-$AU17))</f>
        <v/>
      </c>
      <c r="DU17" s="172">
        <f>MIN(IF($AU17=100%,1,1+VLOOKUP(($AJ17-$AI17-$AH17-$AG17-$AF17-$AE17*(1+DU$3))/$AJ17,'Технический лист'!$A:$B,2,1)-VLOOKUP($AO17,'Технический лист'!$A:$B,2,1)),1+(1-$AU17))</f>
        <v/>
      </c>
      <c r="DV17" s="172">
        <f>MIN(IF($AU17=100%,1,1+VLOOKUP(($AJ17-$AI17-$AH17-$AG17-$AF17-$AE17*(1+DV$3))/$AJ17,'Технический лист'!$A:$B,2,1)-VLOOKUP($AO17,'Технический лист'!$A:$B,2,1)),1+(1-$AU17))</f>
        <v/>
      </c>
      <c r="DW17" s="172">
        <f>MIN(IF($AU17=100%,1,1+VLOOKUP(($AJ17-$AI17-$AH17-$AG17-$AF17-$AE17*(1+DW$3))/$AJ17,'Технический лист'!$A:$B,2,1)-VLOOKUP($AO17,'Технический лист'!$A:$B,2,1)),1+(1-$AU17))</f>
        <v/>
      </c>
      <c r="DX17" s="172">
        <f>MIN(IF($AU17=100%,1,1+VLOOKUP(($AJ17-$AI17-$AH17-$AG17-$AF17-$AE17*(1+DX$3))/$AJ17,'Технический лист'!$A:$B,2,1)-VLOOKUP($AO17,'Технический лист'!$A:$B,2,1)),1+(1-$AU17))</f>
        <v/>
      </c>
      <c r="DY17" s="172">
        <f>MIN(IF($AU17=100%,1,1+VLOOKUP(($AJ17-$AI17-$AH17-$AG17-$AF17-$AE17*(1+DY$3))/$AJ17,'Технический лист'!$A:$B,2,1)-VLOOKUP($AO17,'Технический лист'!$A:$B,2,1)),1+(1-$AU17))</f>
        <v/>
      </c>
      <c r="DZ17" s="172">
        <f>MIN(IF($AU17=100%,1,1+VLOOKUP(($AJ17-$AI17-$AH17-$AG17-$AF17-$AE17*(1+DZ$3))/$AJ17,'Технический лист'!$A:$B,2,1)-VLOOKUP($AO17,'Технический лист'!$A:$B,2,1)),1+(1-$AU17))</f>
        <v/>
      </c>
      <c r="EA17" s="172">
        <f>MIN(IF($AU17=100%,1,1+VLOOKUP(($AJ17-$AI17-$AH17-$AG17-$AF17-$AE17*(1+EA$3))/$AJ17,'Технический лист'!$A:$B,2,1)-VLOOKUP($AO17,'Технический лист'!$A:$B,2,1)),1+(1-$AU17))</f>
        <v/>
      </c>
      <c r="EB17" s="172">
        <f>MIN(IF($AU17=100%,1,1+VLOOKUP(($AJ17-$AI17-$AH17-$AG17-$AF17-$AE17*(1+EB$3))/$AJ17,'Технический лист'!$A:$B,2,1)-VLOOKUP($AO17,'Технический лист'!$A:$B,2,1)),1+(1-$AU17))</f>
        <v/>
      </c>
      <c r="EC17" s="172">
        <f>MIN(IF($AU17=100%,1,1+VLOOKUP(($AJ17-$AI17-$AH17-$AG17-$AF17-$AE17*(1+EC$3))/$AJ17,'Технический лист'!$A:$B,2,1)-VLOOKUP($AO17,'Технический лист'!$A:$B,2,1)),1+(1-$AU17))</f>
        <v/>
      </c>
      <c r="ED17" s="172">
        <f>MIN(IF($AU17=100%,1,1+VLOOKUP(($AJ17-$AI17-$AH17-$AG17-$AF17-$AE17*(1+ED$3))/$AJ17,'Технический лист'!$A:$B,2,1)-VLOOKUP($AO17,'Технический лист'!$A:$B,2,1)),1+(1-$AU17))</f>
        <v/>
      </c>
      <c r="EE17" s="172">
        <f>MIN(IF($AU17=100%,1,1+VLOOKUP(($AJ17-$AI17-$AH17-$AG17-$AF17-$AE17*(1+EE$3))/$AJ17,'Технический лист'!$A:$B,2,1)-VLOOKUP($AO17,'Технический лист'!$A:$B,2,1)),1+(1-$AU17))</f>
        <v/>
      </c>
      <c r="EF17" s="172">
        <f>MIN(IF($AU17=100%,1,1+VLOOKUP(($AJ17-$AI17-$AH17-$AG17-$AF17-$AE17*(1+EF$3))/$AJ17,'Технический лист'!$A:$B,2,1)-VLOOKUP($AO17,'Технический лист'!$A:$B,2,1)),1+(1-$AU17))</f>
        <v/>
      </c>
      <c r="EG17" s="172">
        <f>MIN(IF($AU17=100%,1,1+VLOOKUP(($AJ17-$AI17-$AH17-$AG17-$AF17-$AE17*(1+EG$3))/$AJ17,'Технический лист'!$A:$B,2,1)-VLOOKUP($AO17,'Технический лист'!$A:$B,2,1)),1+(1-$AU17))</f>
        <v/>
      </c>
      <c r="EH17" s="172">
        <f>MIN(IF($AU17=100%,1,1+VLOOKUP(($AJ17-$AI17-$AH17-$AG17-$AF17-$AE17*(1+EH$3))/$AJ17,'Технический лист'!$A:$B,2,1)-VLOOKUP($AO17,'Технический лист'!$A:$B,2,1)),1+(1-$AU17))</f>
        <v/>
      </c>
      <c r="EI17" s="172">
        <f>MIN(IF($AU17=100%,1,1+VLOOKUP(($AJ17-$AI17-$AH17-$AG17-$AF17-$AE17*(1+EI$3))/$AJ17,'Технический лист'!$A:$B,2,1)-VLOOKUP($AO17,'Технический лист'!$A:$B,2,1)),1+(1-$AU17))</f>
        <v/>
      </c>
      <c r="EJ17" s="172">
        <f>MIN(IF($AU17=100%,1,1+VLOOKUP(($AJ17-$AI17-$AH17-$AG17-$AF17-$AE17*(1+EJ$3))/$AJ17,'Технический лист'!$A:$B,2,1)-VLOOKUP($AO17,'Технический лист'!$A:$B,2,1)),1+(1-$AU17))</f>
        <v/>
      </c>
      <c r="EK17" s="172">
        <f>MIN(IF($AU17=100%,1,1+VLOOKUP(($AJ17-$AI17-$AH17-$AG17-$AF17-$AE17*(1+EK$3))/$AJ17,'Технический лист'!$A:$B,2,1)-VLOOKUP($AO17,'Технический лист'!$A:$B,2,1)),1+(1-$AU17))</f>
        <v/>
      </c>
      <c r="EL17" s="172">
        <f>MIN(IF($AU17=100%,1,1+VLOOKUP(($AJ17-$AI17-$AH17-$AG17-$AF17-$AE17*(1+EL$3))/$AJ17,'Технический лист'!$A:$B,2,1)-VLOOKUP($AO17,'Технический лист'!$A:$B,2,1)),1+(1-$AU17))</f>
        <v/>
      </c>
      <c r="EM17" s="172">
        <f>MIN(IF($AU17=100%,1,1+VLOOKUP(($AJ17-$AI17-$AH17-$AG17-$AF17-$AE17*(1+EM$3))/$AJ17,'Технический лист'!$A:$B,2,1)-VLOOKUP($AO17,'Технический лист'!$A:$B,2,1)),1+(1-$AU17))</f>
        <v/>
      </c>
      <c r="EN17" s="172">
        <f>MIN(IF($AU17=100%,1,1+VLOOKUP(($AJ17-$AI17-$AH17-$AG17-$AF17-$AE17*(1+EN$3))/$AJ17,'Технический лист'!$A:$B,2,1)-VLOOKUP($AO17,'Технический лист'!$A:$B,2,1)),1+(1-$AU17))</f>
        <v/>
      </c>
      <c r="EO17" s="172">
        <f>MIN(IF($AU17=100%,1,1+VLOOKUP(($AJ17-$AI17-$AH17-$AG17-$AF17-$AE17*(1+EO$3))/$AJ17,'Технический лист'!$A:$B,2,1)-VLOOKUP($AO17,'Технический лист'!$A:$B,2,1)),1+(1-$AU17))</f>
        <v/>
      </c>
      <c r="EP17" s="172">
        <f>MIN(IF($AU17=100%,1,1+VLOOKUP(($AJ17-$AI17-$AH17-$AG17-$AF17-$AE17*(1+EP$3))/$AJ17,'Технический лист'!$A:$B,2,1)-VLOOKUP($AO17,'Технический лист'!$A:$B,2,1)),1+(1-$AU17))</f>
        <v/>
      </c>
      <c r="EQ17" s="172">
        <f>MIN(IF($AU17=100%,1,1+VLOOKUP(($AJ17-$AI17-$AH17-$AG17-$AF17-$AE17*(1+EQ$3))/$AJ17,'Технический лист'!$A:$B,2,1)-VLOOKUP($AO17,'Технический лист'!$A:$B,2,1)),1+(1-$AU17))</f>
        <v/>
      </c>
      <c r="ER17" s="172">
        <f>MIN(IF($AU17=100%,1,1+VLOOKUP(($AJ17-$AI17-$AH17-$AG17-$AF17-$AE17*(1+ER$3))/$AJ17,'Технический лист'!$A:$B,2,1)-VLOOKUP($AO17,'Технический лист'!$A:$B,2,1)),1+(1-$AU17))</f>
        <v/>
      </c>
      <c r="ES17" s="172">
        <f>MIN(IF($AU17=100%,1,1+VLOOKUP(($AJ17-$AI17-$AH17-$AG17-$AF17-$AE17*(1+ES$3))/$AJ17,'Технический лист'!$A:$B,2,1)-VLOOKUP($AO17,'Технический лист'!$A:$B,2,1)),1+(1-$AU17))</f>
        <v/>
      </c>
      <c r="ET17" s="172">
        <f>MIN(IF($AU17=100%,1,1+VLOOKUP(($AJ17-$AI17-$AH17-$AG17-$AF17-$AE17*(1+ET$3))/$AJ17,'Технический лист'!$A:$B,2,1)-VLOOKUP($AO17,'Технический лист'!$A:$B,2,1)),1+(1-$AU17))</f>
        <v/>
      </c>
      <c r="EU17" s="172">
        <f>MIN(IF($AU17=100%,1,1+VLOOKUP(($AJ17-$AI17-$AH17-$AG17-$AF17-$AE17*(1+EU$3))/$AJ17,'Технический лист'!$A:$B,2,1)-VLOOKUP($AO17,'Технический лист'!$A:$B,2,1)),1+(1-$AU17))</f>
        <v/>
      </c>
      <c r="EV17" s="173" t="n">
        <v>1</v>
      </c>
      <c r="EW17" s="172">
        <f>MIN(1,MAX(VLOOKUP(($AJ17-$AI17-$AH17-$AG17-$AF17-$AE17*(1+EW$3))/$AJ17,'Технический лист'!$A:$B,2,1),(EV17-0.05)))</f>
        <v/>
      </c>
      <c r="EX17" s="172">
        <f>MIN(1,MAX(VLOOKUP(($AJ17-$AI17-$AH17-$AG17-$AF17-$AE17*(1+EX$3))/$AJ17,'Технический лист'!$A:$B,2,1),(EW17-0.05)))</f>
        <v/>
      </c>
      <c r="EY17" s="172">
        <f>MIN(1,MAX(VLOOKUP(($AJ17-$AI17-$AH17-$AG17-$AF17-$AE17*(1+EY$3))/$AJ17,'Технический лист'!$A:$B,2,1),(EX17-0.05)))</f>
        <v/>
      </c>
      <c r="EZ17" s="172">
        <f>MIN(1,MAX(VLOOKUP(($AJ17-$AI17-$AH17-$AG17-$AF17-$AE17*(1+EZ$3))/$AJ17,'Технический лист'!$A:$B,2,1),(EY17-0.05)))</f>
        <v/>
      </c>
      <c r="FA17" s="172">
        <f>MIN(1,MAX(VLOOKUP(($AJ17-$AI17-$AH17-$AG17-$AF17-$AE17*(1+FA$3))/$AJ17,'Технический лист'!$A:$B,2,1),(EZ17-0.05)))</f>
        <v/>
      </c>
      <c r="FB17" s="172">
        <f>MIN(1,MAX(VLOOKUP(($AJ17-$AI17-$AH17-$AG17-$AF17-$AE17*(1+FB$3))/$AJ17,'Технический лист'!$A:$B,2,1),(FA17-0.05)))</f>
        <v/>
      </c>
      <c r="FC17" s="172">
        <f>MIN(1,MAX(VLOOKUP(($AJ17-$AI17-$AH17-$AG17-$AF17-$AE17*(1+FC$3))/$AJ17,'Технический лист'!$A:$B,2,1),(FB17-0.05)))</f>
        <v/>
      </c>
      <c r="FD17" s="172">
        <f>MIN(1,MAX(VLOOKUP(($AJ17-$AI17-$AH17-$AG17-$AF17-$AE17*(1+FD$3))/$AJ17,'Технический лист'!$A:$B,2,1),(FC17-0.05)))</f>
        <v/>
      </c>
      <c r="FE17" s="172">
        <f>MIN(1,MAX(VLOOKUP(($AJ17-$AI17-$AH17-$AG17-$AF17-$AE17*(1+FE$3))/$AJ17,'Технический лист'!$A:$B,2,1),(FD17-0.05)))</f>
        <v/>
      </c>
      <c r="FF17" s="172">
        <f>MIN(1,MAX(VLOOKUP(($AJ17-$AI17-$AH17-$AG17-$AF17-$AE17*(1+FF$3))/$AJ17,'Технический лист'!$A:$B,2,1),(FE17-0.05)))</f>
        <v/>
      </c>
      <c r="FG17" s="172">
        <f>MIN(1,MAX(VLOOKUP(($AJ17-$AI17-$AH17-$AG17-$AF17-$AE17*(1+FG$3))/$AJ17,'Технический лист'!$A:$B,2,1),(FF17-0.05)))</f>
        <v/>
      </c>
      <c r="FH17" s="172">
        <f>MIN(1,MAX(VLOOKUP(($AJ17-$AI17-$AH17-$AG17-$AF17-$AE17*(1+FH$3))/$AJ17,'Технический лист'!$A:$B,2,1),(FG17-0.05)))</f>
        <v/>
      </c>
      <c r="FI17" s="172">
        <f>MIN(1,MAX(VLOOKUP(($AJ17-$AI17-$AH17-$AG17-$AF17-$AE17*(1+FI$3))/$AJ17,'Технический лист'!$A:$B,2,1),(FH17-0.05)))</f>
        <v/>
      </c>
      <c r="FJ17" s="172">
        <f>MIN(1,MAX(VLOOKUP(($AJ17-$AI17-$AH17-$AG17-$AF17-$AE17*(1+FJ$3))/$AJ17,'Технический лист'!$A:$B,2,1),(FI17-0.05)))</f>
        <v/>
      </c>
      <c r="FK17" s="172">
        <f>MIN(1,MAX(VLOOKUP(($AJ17-$AI17-$AH17-$AG17-$AF17-$AE17*(1+FK$3))/$AJ17,'Технический лист'!$A:$B,2,1),(FJ17-0.05)))</f>
        <v/>
      </c>
      <c r="FL17" s="172">
        <f>MIN(1,MAX(VLOOKUP(($AJ17-$AI17-$AH17-$AG17-$AF17-$AE17*(1+FL$3))/$AJ17,'Технический лист'!$A:$B,2,1),(FK17-0.05)))</f>
        <v/>
      </c>
      <c r="FM17" s="172">
        <f>MIN(1,MAX(VLOOKUP(($AJ17-$AI17-$AH17-$AG17-$AF17-$AE17*(1+FM$3))/$AJ17,'Технический лист'!$A:$B,2,1),(FL17-0.05)))</f>
        <v/>
      </c>
      <c r="FN17" s="172">
        <f>MIN(1,MAX(VLOOKUP(($AJ17-$AI17-$AH17-$AG17-$AF17-$AE17*(1+FN$3))/$AJ17,'Технический лист'!$A:$B,2,1),(FM17-0.05)))</f>
        <v/>
      </c>
      <c r="FO17" s="172">
        <f>MIN(1,MAX(VLOOKUP(($AJ17-$AI17-$AH17-$AG17-$AF17-$AE17*(1+FO$3))/$AJ17,'Технический лист'!$A:$B,2,1),(FN17-0.05)))</f>
        <v/>
      </c>
      <c r="FP17" s="172">
        <f>MIN(1,MAX(VLOOKUP(($AJ17-$AI17-$AH17-$AG17-$AF17-$AE17*(1+FP$3))/$AJ17,'Технический лист'!$A:$B,2,1),(FO17-0.05)))</f>
        <v/>
      </c>
      <c r="FQ17" s="172">
        <f>MIN(1,MAX(VLOOKUP(($AJ17-$AI17-$AH17-$AG17-$AF17-$AE17*(1+FQ$3))/$AJ17,'Технический лист'!$A:$B,2,1),(FP17-0.05)))</f>
        <v/>
      </c>
      <c r="FR17" s="172">
        <f>MIN(1,MAX(VLOOKUP(($AJ17-$AI17-$AH17-$AG17-$AF17-$AE17*(1+FR$3))/$AJ17,'Технический лист'!$A:$B,2,1),(FQ17-0.05)))</f>
        <v/>
      </c>
      <c r="FS17" s="172">
        <f>MIN(1,MAX(VLOOKUP(($AJ17-$AI17-$AH17-$AG17-$AF17-$AE17*(1+FS$3))/$AJ17,'Технический лист'!$A:$B,2,1),(FR17-0.05)))</f>
        <v/>
      </c>
      <c r="FT17" s="172">
        <f>MIN(1,MAX(VLOOKUP(($AJ17-$AI17-$AH17-$AG17-$AF17-$AE17*(1+FT$3))/$AJ17,'Технический лист'!$A:$B,2,1),(FS17-0.05)))</f>
        <v/>
      </c>
      <c r="FU17" s="172">
        <f>MIN(1,MAX(VLOOKUP(($AJ17-$AI17-$AH17-$AG17-$AF17-$AE17*(1+FU$3))/$AJ17,'Технический лист'!$A:$B,2,1),(FT17-0.05)))</f>
        <v/>
      </c>
      <c r="FV17" s="172">
        <f>MIN(1,MAX(VLOOKUP(($AJ17-$AI17-$AH17-$AG17-$AF17-$AE17*(1+FV$3))/$AJ17,'Технический лист'!$A:$B,2,1),(FU17-0.05)))</f>
        <v/>
      </c>
      <c r="FW17" s="172">
        <f>MIN(1,MAX(VLOOKUP(($AJ17-$AI17-$AH17-$AG17-$AF17-$AE17*(1+FW$3))/$AJ17,'Технический лист'!$A:$B,2,1),(FV17-0.05)))</f>
        <v/>
      </c>
      <c r="FX17" s="172">
        <f>MIN(1,MAX(VLOOKUP(($AJ17-$AI17-$AH17-$AG17-$AF17-$AE17*(1+FX$3))/$AJ17,'Технический лист'!$A:$B,2,1),(FW17-0.05)))</f>
        <v/>
      </c>
      <c r="FY17" s="172">
        <f>MIN(1,MAX(VLOOKUP(($AJ17-$AI17-$AH17-$AG17-$AF17-$AE17*(1+FY$3))/$AJ17,'Технический лист'!$A:$B,2,1),(FX17-0.05)))</f>
        <v/>
      </c>
      <c r="FZ17" s="172">
        <f>MIN(1,MAX(VLOOKUP(($AJ17-$AI17-$AH17-$AG17-$AF17-$AE17*(1+FZ$3))/$AJ17,'Технический лист'!$A:$B,2,1),(FY17-0.05)))</f>
        <v/>
      </c>
      <c r="GA17" s="172">
        <f>MIN(1,MAX(VLOOKUP(($AJ17-$AI17-$AH17-$AG17-$AF17-$AE17*(1+GA$3))/$AJ17,'Технический лист'!$A:$B,2,1),(FZ17-0.05)))</f>
        <v/>
      </c>
      <c r="GB17" s="172">
        <f>MIN(1,MAX(VLOOKUP(($AJ17-$AI17-$AH17-$AG17-$AF17-$AE17*(1+GB$3))/$AJ17,'Технический лист'!$A:$B,2,1),(GA17-0.05)))</f>
        <v/>
      </c>
      <c r="GC17" s="172">
        <f>MIN(1,MAX(VLOOKUP(($AJ17-$AI17-$AH17-$AG17-$AF17-$AE17*(1+GC$3))/$AJ17,'Технический лист'!$A:$B,2,1),(GB17-0.05)))</f>
        <v/>
      </c>
      <c r="GD17" s="172">
        <f>MIN(1,MAX(VLOOKUP(($AJ17-$AI17-$AH17-$AG17-$AF17-$AE17*(1+GD$3))/$AJ17,'Технический лист'!$A:$B,2,1),(GC17-0.05)))</f>
        <v/>
      </c>
      <c r="GE17" s="172">
        <f>MIN(1,MAX(VLOOKUP(($AJ17-$AI17-$AH17-$AG17-$AF17-$AE17*(1+GE$3))/$AJ17,'Технический лист'!$A:$B,2,1),(GD17-0.05)))</f>
        <v/>
      </c>
      <c r="GF17" s="172">
        <f>MIN(1,MAX(VLOOKUP(($AJ17-$AI17-$AH17-$AG17-$AF17-$AE17*(1+GF$3))/$AJ17,'Технический лист'!$A:$B,2,1),(GE17-0.05)))</f>
        <v/>
      </c>
      <c r="GG17" s="172">
        <f>MIN(1,MAX(VLOOKUP(($AJ17-$AI17-$AH17-$AG17-$AF17-$AE17*(1+GG$3))/$AJ17,'Технический лист'!$A:$B,2,1),(GF17-0.05)))</f>
        <v/>
      </c>
      <c r="GH17" s="172">
        <f>MIN(1,MAX(VLOOKUP(($AJ17-$AI17-$AH17-$AG17-$AF17-$AE17*(1+GH$3))/$AJ17,'Технический лист'!$A:$B,2,1),(GG17-0.05)))</f>
        <v/>
      </c>
      <c r="GI17" s="172">
        <f>MIN(1,MAX(VLOOKUP(($AJ17-$AI17-$AH17-$AG17-$AF17-$AE17*(1+GI$3))/$AJ17,'Технический лист'!$A:$B,2,1),(GH17-0.05)))</f>
        <v/>
      </c>
      <c r="GJ17" s="172">
        <f>MIN(1,MAX(VLOOKUP(($AJ17-$AI17-$AH17-$AG17-$AF17-$AE17*(1+GJ$3))/$AJ17,'Технический лист'!$A:$B,2,1),(GI17-0.05)))</f>
        <v/>
      </c>
      <c r="GK17" s="172">
        <f>MIN(1,MAX(VLOOKUP(($AJ17-$AI17-$AH17-$AG17-$AF17-$AE17*(1+GK$3))/$AJ17,'Технический лист'!$A:$B,2,1),(GJ17-0.05)))</f>
        <v/>
      </c>
      <c r="GL17" s="172">
        <f>MIN(1,MAX(VLOOKUP(($AJ17-$AI17-$AH17-$AG17-$AF17-$AE17*(1+GL$3))/$AJ17,'Технический лист'!$A:$B,2,1),(GK17-0.05)))</f>
        <v/>
      </c>
      <c r="GM17" s="172">
        <f>MIN(1,MAX(VLOOKUP(($AJ17-$AI17-$AH17-$AG17-$AF17-$AE17*(1+GM$3))/$AJ17,'Технический лист'!$A:$B,2,1),(GL17-0.05)))</f>
        <v/>
      </c>
      <c r="GN17" s="172">
        <f>MIN(1,MAX(VLOOKUP(($AJ17-$AI17-$AH17-$AG17-$AF17-$AE17*(1+GN$3))/$AJ17,'Технический лист'!$A:$B,2,1),(GM17-0.05)))</f>
        <v/>
      </c>
      <c r="GO17" s="172">
        <f>MIN(1,MAX(VLOOKUP(($AJ17-$AI17-$AH17-$AG17-$AF17-$AE17*(1+GO$3))/$AJ17,'Технический лист'!$A:$B,2,1),(GN17-0.05)))</f>
        <v/>
      </c>
      <c r="GP17" s="172">
        <f>MIN(1,MAX(VLOOKUP(($AJ17-$AI17-$AH17-$AG17-$AF17-$AE17*(1+GP$3))/$AJ17,'Технический лист'!$A:$B,2,1),(GO17-0.05)))</f>
        <v/>
      </c>
      <c r="GQ17" s="172">
        <f>MIN(1,MAX(VLOOKUP(($AJ17-$AI17-$AH17-$AG17-$AF17-$AE17*(1+GQ$3))/$AJ17,'Технический лист'!$A:$B,2,1),(GP17-0.05)))</f>
        <v/>
      </c>
      <c r="GR17" s="172">
        <f>MIN(1,MAX(VLOOKUP(($AJ17-$AI17-$AH17-$AG17-$AF17-$AE17*(1+GR$3))/$AJ17,'Технический лист'!$A:$B,2,1),(GQ17-0.05)))</f>
        <v/>
      </c>
      <c r="GS17" s="172">
        <f>MIN(1,MAX(VLOOKUP(($AJ17-$AI17-$AH17-$AG17-$AF17-$AE17*(1+GS$3))/$AJ17,'Технический лист'!$A:$B,2,1),(GR17-0.05)))</f>
        <v/>
      </c>
      <c r="GT17" s="172">
        <f>MIN(1,MAX(VLOOKUP(($AJ17-$AI17-$AH17-$AG17-$AF17-$AE17*(1+GT$3))/$AJ17,'Технический лист'!$A:$B,2,1),(GS17-0.05)))</f>
        <v/>
      </c>
      <c r="GU17" s="172">
        <f>MIN(1,MAX(VLOOKUP(($AJ17-$AI17-$AH17-$AG17-$AF17-$AE17*(1+GU$3))/$AJ17,'Технический лист'!$A:$B,2,1),(GT17-0.05)))</f>
        <v/>
      </c>
      <c r="GV17" s="172">
        <f>MIN(1,MAX(VLOOKUP(($AJ17-$AI17-$AH17-$AG17-$AF17-$AE17*(1+GV$3))/$AJ17,'Технический лист'!$A:$B,2,1),(GU17-0.05)))</f>
        <v/>
      </c>
      <c r="GW17" s="172">
        <f>MIN(1,MAX(VLOOKUP(($AJ17-$AI17-$AH17-$AG17-$AF17-$AE17*(1+GW$3))/$AJ17,'Технический лист'!$A:$B,2,1),(GV17-0.05)))</f>
        <v/>
      </c>
      <c r="GX17" s="172">
        <f>MIN(1,MAX(VLOOKUP(($AJ17-$AI17-$AH17-$AG17-$AF17-$AE17*(1+GX$3))/$AJ17,'Технический лист'!$A:$B,2,1),(GW17-0.05)))</f>
        <v/>
      </c>
      <c r="GY17" s="172">
        <f>MIN(1,MAX(VLOOKUP(($AJ17-$AI17-$AH17-$AG17-$AF17-$AE17*(1+GY$3))/$AJ17,'Технический лист'!$A:$B,2,1),(GX17-0.05)))</f>
        <v/>
      </c>
      <c r="GZ17" s="172">
        <f>MIN(1,MAX(VLOOKUP(($AJ17-$AI17-$AH17-$AG17-$AF17-$AE17*(1+GZ$3))/$AJ17,'Технический лист'!$A:$B,2,1),(GY17-0.05)))</f>
        <v/>
      </c>
      <c r="HA17" s="172">
        <f>MIN(1,MAX(VLOOKUP(($AJ17-$AI17-$AH17-$AG17-$AF17-$AE17*(1+HA$3))/$AJ17,'Технический лист'!$A:$B,2,1),(GZ17-0.05)))</f>
        <v/>
      </c>
      <c r="HB17" s="172">
        <f>MIN(1,MAX(VLOOKUP(($AJ17-$AI17-$AH17-$AG17-$AF17-$AE17*(1+HB$3))/$AJ17,'Технический лист'!$A:$B,2,1),(HA17-0.05)))</f>
        <v/>
      </c>
      <c r="HC17" s="172">
        <f>MIN(1,MAX(VLOOKUP(($AJ17-$AI17-$AH17-$AG17-$AF17-$AE17*(1+HC$3))/$AJ17,'Технический лист'!$A:$B,2,1),(HB17-0.05)))</f>
        <v/>
      </c>
      <c r="HD17" s="172">
        <f>MIN(1,MAX(VLOOKUP(($AJ17-$AI17-$AH17-$AG17-$AF17-$AE17*(1+HD$3))/$AJ17,'Технический лист'!$A:$B,2,1),(HC17-0.05)))</f>
        <v/>
      </c>
      <c r="HE17" s="172">
        <f>MIN(1,MAX(VLOOKUP(($AJ17-$AI17-$AH17-$AG17-$AF17-$AE17*(1+HE$3))/$AJ17,'Технический лист'!$A:$B,2,1),(HD17-0.05)))</f>
        <v/>
      </c>
      <c r="HF17" s="172">
        <f>MIN(1,MAX(VLOOKUP(($AJ17-$AI17-$AH17-$AG17-$AF17-$AE17*(1+HF$3))/$AJ17,'Технический лист'!$A:$B,2,1),(HE17-0.05)))</f>
        <v/>
      </c>
      <c r="HG17" s="172">
        <f>MIN(1,MAX(VLOOKUP(($AJ17-$AI17-$AH17-$AG17-$AF17-$AE17*(1+HG$3))/$AJ17,'Технический лист'!$A:$B,2,1),(HF17-0.05)))</f>
        <v/>
      </c>
      <c r="HH17" s="172">
        <f>MIN(1,MAX(VLOOKUP(($AJ17-$AI17-$AH17-$AG17-$AF17-$AE17*(1+HH$3))/$AJ17,'Технический лист'!$A:$B,2,1),(HG17-0.05)))</f>
        <v/>
      </c>
      <c r="HI17" s="172">
        <f>MIN(1,MAX(VLOOKUP(($AJ17-$AI17-$AH17-$AG17-$AF17-$AE17*(1+HI$3))/$AJ17,'Технический лист'!$A:$B,2,1),(HH17-0.05)))</f>
        <v/>
      </c>
      <c r="HJ17" s="172">
        <f>MIN(1,MAX(VLOOKUP(($AJ17-$AI17-$AH17-$AG17-$AF17-$AE17*(1+HJ$3))/$AJ17,'Технический лист'!$A:$B,2,1),(HI17-0.05)))</f>
        <v/>
      </c>
      <c r="HK17" s="172">
        <f>MIN(1,MAX(VLOOKUP(($AJ17-$AI17-$AH17-$AG17-$AF17-$AE17*(1+HK$3))/$AJ17,'Технический лист'!$A:$B,2,1),(HJ17-0.05)))</f>
        <v/>
      </c>
      <c r="HL17" s="172">
        <f>MIN(1,MAX(VLOOKUP(($AJ17-$AI17-$AH17-$AG17-$AF17-$AE17*(1+HL$3))/$AJ17,'Технический лист'!$A:$B,2,1),(HK17-0.05)))</f>
        <v/>
      </c>
      <c r="HM17" s="172">
        <f>MIN(1,MAX(VLOOKUP(($AJ17-$AI17-$AH17-$AG17-$AF17-$AE17*(1+HM$3))/$AJ17,'Технический лист'!$A:$B,2,1),(HL17-0.05)))</f>
        <v/>
      </c>
      <c r="HN17" s="172">
        <f>MIN(1,MAX(VLOOKUP(($AJ17-$AI17-$AH17-$AG17-$AF17-$AE17*(1+HN$3))/$AJ17,'Технический лист'!$A:$B,2,1),(HM17-0.05)))</f>
        <v/>
      </c>
      <c r="HO17" s="172">
        <f>MIN(1,MAX(VLOOKUP(($AJ17-$AI17-$AH17-$AG17-$AF17-$AE17*(1+HO$3))/$AJ17,'Технический лист'!$A:$B,2,1),(HN17-0.05)))</f>
        <v/>
      </c>
      <c r="HP17" s="172">
        <f>MIN(1,MAX(VLOOKUP(($AJ17-$AI17-$AH17-$AG17-$AF17-$AE17*(1+HP$3))/$AJ17,'Технический лист'!$A:$B,2,1),(HO17-0.05)))</f>
        <v/>
      </c>
      <c r="HQ17" s="172">
        <f>MIN(1,MAX(VLOOKUP(($AJ17-$AI17-$AH17-$AG17-$AF17-$AE17*(1+HQ$3))/$AJ17,'Технический лист'!$A:$B,2,1),(HP17-0.05)))</f>
        <v/>
      </c>
      <c r="HR17" s="172">
        <f>MIN(1,MAX(VLOOKUP(($AJ17-$AI17-$AH17-$AG17-$AF17-$AE17*(1+HR$3))/$AJ17,'Технический лист'!$A:$B,2,1),(HQ17-0.05)))</f>
        <v/>
      </c>
      <c r="HS17" s="172">
        <f>MIN(1,MAX(VLOOKUP(($AJ17-$AI17-$AH17-$AG17-$AF17-$AE17*(1+HS$3))/$AJ17,'Технический лист'!$A:$B,2,1),(HR17-0.05)))</f>
        <v/>
      </c>
      <c r="HT17" s="172">
        <f>MIN(1,MAX(VLOOKUP(($AJ17-$AI17-$AH17-$AG17-$AF17-$AE17*(1+HT$3))/$AJ17,'Технический лист'!$A:$B,2,1),(HS17-0.05)))</f>
        <v/>
      </c>
      <c r="HU17" s="172">
        <f>MIN(1,MAX(VLOOKUP(($AJ17-$AI17-$AH17-$AG17-$AF17-$AE17*(1+HU$3))/$AJ17,'Технический лист'!$A:$B,2,1),(HT17-0.05)))</f>
        <v/>
      </c>
      <c r="HV17" s="172">
        <f>MIN(1,MAX(VLOOKUP(($AJ17-$AI17-$AH17-$AG17-$AF17-$AE17*(1+HV$3))/$AJ17,'Технический лист'!$A:$B,2,1),(HU17-0.05)))</f>
        <v/>
      </c>
      <c r="HW17" s="172">
        <f>MIN(1,MAX(VLOOKUP(($AJ17-$AI17-$AH17-$AG17-$AF17-$AE17*(1+HW$3))/$AJ17,'Технический лист'!$A:$B,2,1),(HV17-0.05)))</f>
        <v/>
      </c>
      <c r="HX17" s="172">
        <f>MIN(1,MAX(VLOOKUP(($AJ17-$AI17-$AH17-$AG17-$AF17-$AE17*(1+HX$3))/$AJ17,'Технический лист'!$A:$B,2,1),(HW17-0.05)))</f>
        <v/>
      </c>
      <c r="HY17" s="172">
        <f>MIN(1,MAX(VLOOKUP(($AJ17-$AI17-$AH17-$AG17-$AF17-$AE17*(1+HY$3))/$AJ17,'Технический лист'!$A:$B,2,1),(HX17-0.05)))</f>
        <v/>
      </c>
      <c r="HZ17" s="172">
        <f>MIN(1,MAX(VLOOKUP(($AJ17-$AI17-$AH17-$AG17-$AF17-$AE17*(1+HZ$3))/$AJ17,'Технический лист'!$A:$B,2,1),(HY17-0.05)))</f>
        <v/>
      </c>
      <c r="IA17" s="172">
        <f>MIN(1,MAX(VLOOKUP(($AJ17-$AI17-$AH17-$AG17-$AF17-$AE17*(1+IA$3))/$AJ17,'Технический лист'!$A:$B,2,1),(HZ17-0.05)))</f>
        <v/>
      </c>
      <c r="IB17" s="172">
        <f>MIN(1,MAX(VLOOKUP(($AJ17-$AI17-$AH17-$AG17-$AF17-$AE17*(1+IB$3))/$AJ17,'Технический лист'!$A:$B,2,1),(IA17-0.05)))</f>
        <v/>
      </c>
      <c r="IC17" s="172">
        <f>MIN(1,MAX(VLOOKUP(($AJ17-$AI17-$AH17-$AG17-$AF17-$AE17*(1+IC$3))/$AJ17,'Технический лист'!$A:$B,2,1),(IB17-0.05)))</f>
        <v/>
      </c>
      <c r="ID17" s="172">
        <f>MIN(1,MAX(VLOOKUP(($AJ17-$AI17-$AH17-$AG17-$AF17-$AE17*(1+ID$3))/$AJ17,'Технический лист'!$A:$B,2,1),(IC17-0.05)))</f>
        <v/>
      </c>
      <c r="IE17" s="172">
        <f>MIN(1,MAX(VLOOKUP(($AJ17-$AI17-$AH17-$AG17-$AF17-$AE17*(1+IE$3))/$AJ17,'Технический лист'!$A:$B,2,1),(ID17-0.05)))</f>
        <v/>
      </c>
      <c r="IF17" s="172">
        <f>MIN(1,MAX(VLOOKUP(($AJ17-$AI17-$AH17-$AG17-$AF17-$AE17*(1+IF$3))/$AJ17,'Технический лист'!$A:$B,2,1),(IE17-0.05)))</f>
        <v/>
      </c>
      <c r="IG17" s="172">
        <f>MIN(1,MAX(VLOOKUP(($AJ17-$AI17-$AH17-$AG17-$AF17-$AE17*(1+IG$3))/$AJ17,'Технический лист'!$A:$B,2,1),(IF17-0.05)))</f>
        <v/>
      </c>
      <c r="IH17" s="172">
        <f>MIN(1,MAX(VLOOKUP(($AJ17-$AI17-$AH17-$AG17-$AF17-$AE17*(1+IH$3))/$AJ17,'Технический лист'!$A:$B,2,1),(IG17-0.05)))</f>
        <v/>
      </c>
      <c r="II17" s="172">
        <f>MIN(1,MAX(VLOOKUP(($AJ17-$AI17-$AH17-$AG17-$AF17-$AE17*(1+II$3))/$AJ17,'Технический лист'!$A:$B,2,1),(IH17-0.05)))</f>
        <v/>
      </c>
      <c r="IJ17" s="172">
        <f>MIN(1,MAX(VLOOKUP(($AJ17-$AI17-$AH17-$AG17-$AF17-$AE17*(1+IJ$3))/$AJ17,'Технический лист'!$A:$B,2,1),(II17-0.05)))</f>
        <v/>
      </c>
      <c r="IK17" s="172">
        <f>MIN(1,MAX(VLOOKUP(($AJ17-$AI17-$AH17-$AG17-$AF17-$AE17*(1+IK$3))/$AJ17,'Технический лист'!$A:$B,2,1),(IJ17-0.05)))</f>
        <v/>
      </c>
      <c r="IL17" s="172">
        <f>MIN(1,MAX(VLOOKUP(($AJ17-$AI17-$AH17-$AG17-$AF17-$AE17*(1+IL$3))/$AJ17,'Технический лист'!$A:$B,2,1),(IK17-0.05)))</f>
        <v/>
      </c>
      <c r="IM17" s="172">
        <f>MIN(1,MAX(VLOOKUP(($AJ17-$AI17-$AH17-$AG17-$AF17-$AE17*(1+IM$3))/$AJ17,'Технический лист'!$A:$B,2,1),(IL17-0.05)))</f>
        <v/>
      </c>
      <c r="IN17" s="172">
        <f>MIN(1,MAX(VLOOKUP(($AJ17-$AI17-$AH17-$AG17-$AF17-$AE17*(1+IN$3))/$AJ17,'Технический лист'!$A:$B,2,1),(IM17-0.05)))</f>
        <v/>
      </c>
      <c r="IO17" s="172">
        <f>MIN(1,MAX(VLOOKUP(($AJ17-$AI17-$AH17-$AG17-$AF17-$AE17*(1+IO$3))/$AJ17,'Технический лист'!$A:$B,2,1),(IN17-0.05)))</f>
        <v/>
      </c>
      <c r="IP17" s="172">
        <f>MIN(1,MAX(VLOOKUP(($AJ17-$AI17-$AH17-$AG17-$AF17-$AE17*(1+IP$3))/$AJ17,'Технический лист'!$A:$B,2,1),(IO17-0.05)))</f>
        <v/>
      </c>
      <c r="IQ17" s="172">
        <f>MIN(1,MAX(VLOOKUP(($AJ17-$AI17-$AH17-$AG17-$AF17-$AE17*(1+IQ$3))/$AJ17,'Технический лист'!$A:$B,2,1),(IP17-0.05)))</f>
        <v/>
      </c>
      <c r="IR17" s="172">
        <f>MIN(1,MAX(VLOOKUP(($AJ17-$AI17-$AH17-$AG17-$AF17-$AE17*(1+IR$3))/$AJ17,'Технический лист'!$A:$B,2,1),(IQ17-0.05)))</f>
        <v/>
      </c>
    </row>
    <row r="18" ht="45" customHeight="1" s="123">
      <c r="A18" s="89" t="inlineStr">
        <is>
          <t>ЧМ (сырье)</t>
        </is>
      </c>
      <c r="B18" s="90" t="n">
        <v>2</v>
      </c>
      <c r="C18" s="5" t="inlineStr">
        <is>
          <t>Кокс каменноугольный</t>
        </is>
      </c>
      <c r="D18" s="91" t="n">
        <v>17103</v>
      </c>
      <c r="E18" s="91" t="inlineStr">
        <is>
          <t xml:space="preserve">Кокс доменный фракции свыше 25 мм </t>
        </is>
      </c>
      <c r="F18" s="92" t="inlineStr">
        <is>
          <t>КОКС КАМЕННОУГОЛЬНЫЙ</t>
        </is>
      </c>
      <c r="G18" s="91" t="inlineStr">
        <is>
          <t>ЗСБ</t>
        </is>
      </c>
      <c r="H18" s="91" t="inlineStr">
        <is>
          <t>МСК</t>
        </is>
      </c>
      <c r="I18" s="91" t="inlineStr">
        <is>
          <t>ПРЕДКОМБИНАТ</t>
        </is>
      </c>
      <c r="J18" s="91" t="inlineStr">
        <is>
          <t>ПРИСАДЫ</t>
        </is>
      </c>
      <c r="K18" s="91" t="n">
        <v>3714</v>
      </c>
      <c r="L18" s="91" t="inlineStr">
        <is>
          <t>Полувагоны</t>
        </is>
      </c>
      <c r="M18" s="91" t="inlineStr">
        <is>
          <t>Внутр. перевозки</t>
        </is>
      </c>
      <c r="N18" s="91" t="inlineStr">
        <is>
          <t>вагонная</t>
        </is>
      </c>
      <c r="O18" s="91" t="inlineStr">
        <is>
          <t xml:space="preserve">Северо-Западное </t>
        </is>
      </c>
      <c r="P18" s="89" t="inlineStr">
        <is>
          <t>'000000186683</t>
        </is>
      </c>
      <c r="Q18" s="91" t="inlineStr">
        <is>
          <t>'ПАО "Кокс"</t>
        </is>
      </c>
      <c r="R18" s="91" t="inlineStr">
        <is>
          <t>ООО "УК"ПМХ"</t>
        </is>
      </c>
      <c r="S18" s="87" t="n">
        <v>1059539</v>
      </c>
      <c r="T18" s="87" t="n">
        <v>3935328101</v>
      </c>
      <c r="U18" s="88" t="n">
        <v>22624</v>
      </c>
      <c r="V18" s="88" t="n">
        <v>0</v>
      </c>
      <c r="W18" s="87" t="n">
        <v>2444061086</v>
      </c>
      <c r="X18" s="112" t="n">
        <v>47</v>
      </c>
      <c r="Y18" s="112" t="inlineStr">
        <is>
          <t>маршрутная</t>
        </is>
      </c>
      <c r="Z18" s="113" t="n">
        <v>9</v>
      </c>
      <c r="AA18" s="113" t="n">
        <v>10</v>
      </c>
      <c r="AB18" s="113" t="n">
        <v>4</v>
      </c>
      <c r="AC18" s="161" t="n">
        <v>2557.79</v>
      </c>
      <c r="AD18" s="161">
        <f>AE18-AC18</f>
        <v/>
      </c>
      <c r="AE18" s="161" t="n">
        <v>3801.55</v>
      </c>
      <c r="AF18" s="162">
        <f>(Z18+AA18+AB18)*'Ставки аренды'!$B$3/X18</f>
        <v/>
      </c>
      <c r="AG18" s="163" t="n">
        <v>0</v>
      </c>
      <c r="AH18" s="164" t="n">
        <v>0</v>
      </c>
      <c r="AI18" s="165">
        <f>0.9*AVERAGE(AJ13,AJ14)</f>
        <v/>
      </c>
      <c r="AJ18" s="166">
        <f>Цены!$D$9</f>
        <v/>
      </c>
      <c r="AK18" s="164">
        <f>AJ18/Цены!$B$1</f>
        <v/>
      </c>
      <c r="AL18" s="164">
        <f>AE18+AF18+AG18</f>
        <v/>
      </c>
      <c r="AM18" s="164">
        <f>AJ18-AL18</f>
        <v/>
      </c>
      <c r="AN18" s="164">
        <f>AI18+AH18+AG18+AF18+AE18</f>
        <v/>
      </c>
      <c r="AO18" s="167">
        <f>(AJ18-AN18)/AJ18</f>
        <v/>
      </c>
      <c r="AP18" s="168">
        <f>AL18/AJ18</f>
        <v/>
      </c>
      <c r="AQ18" s="168">
        <f>AE18/AJ18</f>
        <v/>
      </c>
      <c r="AR18" s="168">
        <f>AE18/AL18</f>
        <v/>
      </c>
      <c r="AS18" s="169" t="n">
        <v>1</v>
      </c>
      <c r="AT18" s="121">
        <f>S18*AS18</f>
        <v/>
      </c>
      <c r="AU18" s="83" t="inlineStr">
        <is>
          <t>Внутренняя логистика</t>
        </is>
      </c>
      <c r="AV18" s="170">
        <f>(AJ18-(AE18*(1+$IS$2)+AF18+AG18+AH18+AI18))/AJ18</f>
        <v/>
      </c>
      <c r="AW18" s="171">
        <f>(AE18*(1+$IS$2)+AF18+AG18)/AJ18</f>
        <v/>
      </c>
      <c r="AX18" s="171">
        <f>(AE18*(1+$IS$2))/AJ18</f>
        <v/>
      </c>
      <c r="AY18" s="171">
        <f>(AE18*(1+$IS$2))/(AE18*(1+$IS$2)+AF18+AG18)</f>
        <v/>
      </c>
      <c r="AZ18" s="172" t="n">
        <v>1</v>
      </c>
      <c r="BA18" s="172" t="n">
        <v>1</v>
      </c>
      <c r="BB18" s="172" t="n">
        <v>1</v>
      </c>
      <c r="BC18" s="172" t="n">
        <v>1</v>
      </c>
      <c r="BD18" s="172" t="n">
        <v>1</v>
      </c>
      <c r="BE18" s="172" t="n">
        <v>1</v>
      </c>
      <c r="BF18" s="172" t="n">
        <v>1</v>
      </c>
      <c r="BG18" s="172" t="n">
        <v>1</v>
      </c>
      <c r="BH18" s="172" t="n">
        <v>1</v>
      </c>
      <c r="BI18" s="172" t="n">
        <v>1</v>
      </c>
      <c r="BJ18" s="172" t="n">
        <v>1</v>
      </c>
      <c r="BK18" s="172" t="n">
        <v>1</v>
      </c>
      <c r="BL18" s="172" t="n">
        <v>1</v>
      </c>
      <c r="BM18" s="172" t="n">
        <v>1</v>
      </c>
      <c r="BN18" s="172" t="n">
        <v>1</v>
      </c>
      <c r="BO18" s="172" t="n">
        <v>1</v>
      </c>
      <c r="BP18" s="172" t="n">
        <v>1</v>
      </c>
      <c r="BQ18" s="172" t="n">
        <v>1</v>
      </c>
      <c r="BR18" s="172" t="n">
        <v>1</v>
      </c>
      <c r="BS18" s="172" t="n">
        <v>1</v>
      </c>
      <c r="BT18" s="172" t="n">
        <v>1</v>
      </c>
      <c r="BU18" s="172" t="n">
        <v>1</v>
      </c>
      <c r="BV18" s="172" t="n">
        <v>1</v>
      </c>
      <c r="BW18" s="172" t="n">
        <v>1</v>
      </c>
      <c r="BX18" s="172" t="n">
        <v>1</v>
      </c>
      <c r="BY18" s="172" t="n">
        <v>1</v>
      </c>
      <c r="BZ18" s="172" t="n">
        <v>1</v>
      </c>
      <c r="CA18" s="172" t="n">
        <v>1</v>
      </c>
      <c r="CB18" s="172" t="n">
        <v>1</v>
      </c>
      <c r="CC18" s="172" t="n">
        <v>1</v>
      </c>
      <c r="CD18" s="172" t="n">
        <v>1</v>
      </c>
      <c r="CE18" s="172" t="n">
        <v>1</v>
      </c>
      <c r="CF18" s="172" t="n">
        <v>1</v>
      </c>
      <c r="CG18" s="172" t="n">
        <v>1</v>
      </c>
      <c r="CH18" s="172" t="n">
        <v>1</v>
      </c>
      <c r="CI18" s="172" t="n">
        <v>1</v>
      </c>
      <c r="CJ18" s="172" t="n">
        <v>1</v>
      </c>
      <c r="CK18" s="172" t="n">
        <v>1</v>
      </c>
      <c r="CL18" s="172" t="n">
        <v>1</v>
      </c>
      <c r="CM18" s="172" t="n">
        <v>1</v>
      </c>
      <c r="CN18" s="172" t="n">
        <v>1</v>
      </c>
      <c r="CO18" s="172" t="n">
        <v>1</v>
      </c>
      <c r="CP18" s="172" t="n">
        <v>1</v>
      </c>
      <c r="CQ18" s="172" t="n">
        <v>1</v>
      </c>
      <c r="CR18" s="172" t="n">
        <v>1</v>
      </c>
      <c r="CS18" s="172" t="n">
        <v>1</v>
      </c>
      <c r="CT18" s="172" t="n">
        <v>1</v>
      </c>
      <c r="CU18" s="172" t="n">
        <v>1</v>
      </c>
      <c r="CV18" s="172" t="n">
        <v>1</v>
      </c>
      <c r="CW18" s="172" t="n">
        <v>1</v>
      </c>
      <c r="CX18" s="172" t="n">
        <v>1</v>
      </c>
      <c r="CY18" s="172" t="n">
        <v>1</v>
      </c>
      <c r="CZ18" s="172" t="n">
        <v>1</v>
      </c>
      <c r="DA18" s="172" t="n">
        <v>1</v>
      </c>
      <c r="DB18" s="172" t="n">
        <v>1</v>
      </c>
      <c r="DC18" s="172" t="n">
        <v>1</v>
      </c>
      <c r="DD18" s="172" t="n">
        <v>1</v>
      </c>
      <c r="DE18" s="172" t="n">
        <v>1</v>
      </c>
      <c r="DF18" s="172" t="n">
        <v>1</v>
      </c>
      <c r="DG18" s="172" t="n">
        <v>1</v>
      </c>
      <c r="DH18" s="172" t="n">
        <v>1</v>
      </c>
      <c r="DI18" s="172" t="n">
        <v>1</v>
      </c>
      <c r="DJ18" s="172" t="n">
        <v>1</v>
      </c>
      <c r="DK18" s="172" t="n">
        <v>1</v>
      </c>
      <c r="DL18" s="172" t="n">
        <v>1</v>
      </c>
      <c r="DM18" s="172" t="n">
        <v>1</v>
      </c>
      <c r="DN18" s="172" t="n">
        <v>1</v>
      </c>
      <c r="DO18" s="172" t="n">
        <v>1</v>
      </c>
      <c r="DP18" s="172" t="n">
        <v>1</v>
      </c>
      <c r="DQ18" s="172" t="n">
        <v>1</v>
      </c>
      <c r="DR18" s="172" t="n">
        <v>1</v>
      </c>
      <c r="DS18" s="172" t="n">
        <v>1</v>
      </c>
      <c r="DT18" s="172" t="n">
        <v>1</v>
      </c>
      <c r="DU18" s="172" t="n">
        <v>1</v>
      </c>
      <c r="DV18" s="172" t="n">
        <v>1</v>
      </c>
      <c r="DW18" s="172" t="n">
        <v>1</v>
      </c>
      <c r="DX18" s="172" t="n">
        <v>1</v>
      </c>
      <c r="DY18" s="172" t="n">
        <v>1</v>
      </c>
      <c r="DZ18" s="172" t="n">
        <v>1</v>
      </c>
      <c r="EA18" s="172" t="n">
        <v>1</v>
      </c>
      <c r="EB18" s="172" t="n">
        <v>1</v>
      </c>
      <c r="EC18" s="172" t="n">
        <v>1</v>
      </c>
      <c r="ED18" s="172" t="n">
        <v>1</v>
      </c>
      <c r="EE18" s="172" t="n">
        <v>1</v>
      </c>
      <c r="EF18" s="172" t="n">
        <v>1</v>
      </c>
      <c r="EG18" s="172" t="n">
        <v>1</v>
      </c>
      <c r="EH18" s="172" t="n">
        <v>1</v>
      </c>
      <c r="EI18" s="172" t="n">
        <v>1</v>
      </c>
      <c r="EJ18" s="172" t="n">
        <v>1</v>
      </c>
      <c r="EK18" s="172" t="n">
        <v>1</v>
      </c>
      <c r="EL18" s="172" t="n">
        <v>1</v>
      </c>
      <c r="EM18" s="172" t="n">
        <v>1</v>
      </c>
      <c r="EN18" s="172" t="n">
        <v>1</v>
      </c>
      <c r="EO18" s="172" t="n">
        <v>1</v>
      </c>
      <c r="EP18" s="172" t="n">
        <v>1</v>
      </c>
      <c r="EQ18" s="172" t="n">
        <v>1</v>
      </c>
      <c r="ER18" s="172" t="n">
        <v>1</v>
      </c>
      <c r="ES18" s="172" t="n">
        <v>1</v>
      </c>
      <c r="ET18" s="172" t="n">
        <v>1</v>
      </c>
      <c r="EU18" s="172" t="n">
        <v>1</v>
      </c>
      <c r="EV18" s="173" t="n">
        <v>1</v>
      </c>
      <c r="EW18" s="172" t="n">
        <v>1</v>
      </c>
      <c r="EX18" s="172" t="n">
        <v>1</v>
      </c>
      <c r="EY18" s="172" t="n">
        <v>1</v>
      </c>
      <c r="EZ18" s="172" t="n">
        <v>1</v>
      </c>
      <c r="FA18" s="172" t="n">
        <v>1</v>
      </c>
      <c r="FB18" s="172" t="n">
        <v>1</v>
      </c>
      <c r="FC18" s="172" t="n">
        <v>1</v>
      </c>
      <c r="FD18" s="172" t="n">
        <v>1</v>
      </c>
      <c r="FE18" s="172" t="n">
        <v>1</v>
      </c>
      <c r="FF18" s="172" t="n">
        <v>1</v>
      </c>
      <c r="FG18" s="172" t="n">
        <v>1</v>
      </c>
      <c r="FH18" s="172" t="n">
        <v>1</v>
      </c>
      <c r="FI18" s="172" t="n">
        <v>1</v>
      </c>
      <c r="FJ18" s="172" t="n">
        <v>1</v>
      </c>
      <c r="FK18" s="172" t="n">
        <v>1</v>
      </c>
      <c r="FL18" s="172" t="n">
        <v>1</v>
      </c>
      <c r="FM18" s="172" t="n">
        <v>1</v>
      </c>
      <c r="FN18" s="172" t="n">
        <v>1</v>
      </c>
      <c r="FO18" s="172" t="n">
        <v>1</v>
      </c>
      <c r="FP18" s="172" t="n">
        <v>1</v>
      </c>
      <c r="FQ18" s="172" t="n">
        <v>1</v>
      </c>
      <c r="FR18" s="172" t="n">
        <v>1</v>
      </c>
      <c r="FS18" s="172" t="n">
        <v>1</v>
      </c>
      <c r="FT18" s="172" t="n">
        <v>1</v>
      </c>
      <c r="FU18" s="172" t="n">
        <v>1</v>
      </c>
      <c r="FV18" s="172" t="n">
        <v>1</v>
      </c>
      <c r="FW18" s="172" t="n">
        <v>1</v>
      </c>
      <c r="FX18" s="172" t="n">
        <v>1</v>
      </c>
      <c r="FY18" s="172" t="n">
        <v>1</v>
      </c>
      <c r="FZ18" s="172" t="n">
        <v>1</v>
      </c>
      <c r="GA18" s="172" t="n">
        <v>1</v>
      </c>
      <c r="GB18" s="172" t="n">
        <v>1</v>
      </c>
      <c r="GC18" s="172" t="n">
        <v>1</v>
      </c>
      <c r="GD18" s="172" t="n">
        <v>1</v>
      </c>
      <c r="GE18" s="172" t="n">
        <v>1</v>
      </c>
      <c r="GF18" s="172" t="n">
        <v>1</v>
      </c>
      <c r="GG18" s="172" t="n">
        <v>1</v>
      </c>
      <c r="GH18" s="172" t="n">
        <v>1</v>
      </c>
      <c r="GI18" s="172" t="n">
        <v>1</v>
      </c>
      <c r="GJ18" s="172" t="n">
        <v>1</v>
      </c>
      <c r="GK18" s="172" t="n">
        <v>1</v>
      </c>
      <c r="GL18" s="172" t="n">
        <v>1</v>
      </c>
      <c r="GM18" s="172" t="n">
        <v>1</v>
      </c>
      <c r="GN18" s="172" t="n">
        <v>1</v>
      </c>
      <c r="GO18" s="172" t="n">
        <v>1</v>
      </c>
      <c r="GP18" s="172" t="n">
        <v>1</v>
      </c>
      <c r="GQ18" s="172" t="n">
        <v>1</v>
      </c>
      <c r="GR18" s="172" t="n">
        <v>1</v>
      </c>
      <c r="GS18" s="172" t="n">
        <v>1</v>
      </c>
      <c r="GT18" s="172" t="n">
        <v>1</v>
      </c>
      <c r="GU18" s="172" t="n">
        <v>1</v>
      </c>
      <c r="GV18" s="172" t="n">
        <v>1</v>
      </c>
      <c r="GW18" s="172" t="n">
        <v>1</v>
      </c>
      <c r="GX18" s="172" t="n">
        <v>1</v>
      </c>
      <c r="GY18" s="172" t="n">
        <v>1</v>
      </c>
      <c r="GZ18" s="172" t="n">
        <v>1</v>
      </c>
      <c r="HA18" s="172" t="n">
        <v>1</v>
      </c>
      <c r="HB18" s="172" t="n">
        <v>1</v>
      </c>
      <c r="HC18" s="172" t="n">
        <v>1</v>
      </c>
      <c r="HD18" s="172" t="n">
        <v>1</v>
      </c>
      <c r="HE18" s="172" t="n">
        <v>1</v>
      </c>
      <c r="HF18" s="172" t="n">
        <v>1</v>
      </c>
      <c r="HG18" s="172" t="n">
        <v>1</v>
      </c>
      <c r="HH18" s="172" t="n">
        <v>1</v>
      </c>
      <c r="HI18" s="172" t="n">
        <v>1</v>
      </c>
      <c r="HJ18" s="172" t="n">
        <v>1</v>
      </c>
      <c r="HK18" s="172" t="n">
        <v>1</v>
      </c>
      <c r="HL18" s="172" t="n">
        <v>1</v>
      </c>
      <c r="HM18" s="172" t="n">
        <v>1</v>
      </c>
      <c r="HN18" s="172" t="n">
        <v>1</v>
      </c>
      <c r="HO18" s="172" t="n">
        <v>1</v>
      </c>
      <c r="HP18" s="172" t="n">
        <v>1</v>
      </c>
      <c r="HQ18" s="172" t="n">
        <v>1</v>
      </c>
      <c r="HR18" s="172" t="n">
        <v>1</v>
      </c>
      <c r="HS18" s="172" t="n">
        <v>1</v>
      </c>
      <c r="HT18" s="172" t="n">
        <v>1</v>
      </c>
      <c r="HU18" s="172" t="n">
        <v>1</v>
      </c>
      <c r="HV18" s="172" t="n">
        <v>1</v>
      </c>
      <c r="HW18" s="172" t="n">
        <v>1</v>
      </c>
      <c r="HX18" s="172" t="n">
        <v>1</v>
      </c>
      <c r="HY18" s="172" t="n">
        <v>1</v>
      </c>
      <c r="HZ18" s="172" t="n">
        <v>1</v>
      </c>
      <c r="IA18" s="172" t="n">
        <v>1</v>
      </c>
      <c r="IB18" s="172" t="n">
        <v>1</v>
      </c>
      <c r="IC18" s="172" t="n">
        <v>1</v>
      </c>
      <c r="ID18" s="172" t="n">
        <v>1</v>
      </c>
      <c r="IE18" s="172" t="n">
        <v>1</v>
      </c>
      <c r="IF18" s="172" t="n">
        <v>1</v>
      </c>
      <c r="IG18" s="172" t="n">
        <v>1</v>
      </c>
      <c r="IH18" s="172" t="n">
        <v>1</v>
      </c>
      <c r="II18" s="172" t="n">
        <v>1</v>
      </c>
      <c r="IJ18" s="172" t="n">
        <v>1</v>
      </c>
      <c r="IK18" s="172" t="n">
        <v>1</v>
      </c>
      <c r="IL18" s="172" t="n">
        <v>1</v>
      </c>
      <c r="IM18" s="172" t="n">
        <v>1</v>
      </c>
      <c r="IN18" s="172" t="n">
        <v>1</v>
      </c>
      <c r="IO18" s="172" t="n">
        <v>1</v>
      </c>
      <c r="IP18" s="172" t="n">
        <v>1</v>
      </c>
      <c r="IQ18" s="172" t="n">
        <v>1</v>
      </c>
      <c r="IR18" s="172" t="n">
        <v>1</v>
      </c>
    </row>
    <row r="19" ht="45" customHeight="1" s="123">
      <c r="A19" s="89" t="inlineStr">
        <is>
          <t>ЧМ (сырье)</t>
        </is>
      </c>
      <c r="B19" s="90" t="n">
        <v>2</v>
      </c>
      <c r="C19" s="5" t="inlineStr">
        <is>
          <t>Кокс каменноугольный</t>
        </is>
      </c>
      <c r="D19" s="91" t="n">
        <v>17107</v>
      </c>
      <c r="E19" s="91" t="inlineStr">
        <is>
          <t xml:space="preserve">Кокс литейный КЛ-2 </t>
        </is>
      </c>
      <c r="F19" s="92" t="inlineStr">
        <is>
          <t>КОКС КАМЕННОУГОЛЬНЫЙ</t>
        </is>
      </c>
      <c r="G19" s="91" t="inlineStr">
        <is>
          <t>СВР</t>
        </is>
      </c>
      <c r="H19" s="91" t="inlineStr">
        <is>
          <t>ЗСБ</t>
        </is>
      </c>
      <c r="I19" s="91" t="inlineStr">
        <is>
          <t>ОСЕНЦЫ</t>
        </is>
      </c>
      <c r="J19" s="91" t="inlineStr">
        <is>
          <t>ЛИНЕВО</t>
        </is>
      </c>
      <c r="K19" s="91" t="n">
        <v>1982</v>
      </c>
      <c r="L19" s="91" t="inlineStr">
        <is>
          <t>Полувагоны</t>
        </is>
      </c>
      <c r="M19" s="91" t="inlineStr">
        <is>
          <t>Внутр. перевозки</t>
        </is>
      </c>
      <c r="N19" s="91" t="inlineStr">
        <is>
          <t>вагонная</t>
        </is>
      </c>
      <c r="O19" s="91" t="inlineStr">
        <is>
          <t xml:space="preserve">Южное </t>
        </is>
      </c>
      <c r="P19" s="89" t="inlineStr">
        <is>
          <t>'000000148636</t>
        </is>
      </c>
      <c r="Q19" s="91" t="inlineStr">
        <is>
          <t>'ООО "ЛУКОЙЛ-Пермнефтеоргсинтез"</t>
        </is>
      </c>
      <c r="R19" s="91" t="inlineStr">
        <is>
          <t>ПАО "Лукойл"</t>
        </is>
      </c>
      <c r="S19" s="87" t="n">
        <v>148088</v>
      </c>
      <c r="T19" s="87" t="n">
        <v>293544886</v>
      </c>
      <c r="U19" s="88" t="n">
        <v>2260</v>
      </c>
      <c r="V19" s="88" t="n">
        <v>0</v>
      </c>
      <c r="W19" s="87" t="n">
        <v>196826263</v>
      </c>
      <c r="X19" s="112" t="n">
        <v>66</v>
      </c>
      <c r="Y19" s="112" t="inlineStr">
        <is>
          <t>групповая</t>
        </is>
      </c>
      <c r="Z19" s="113" t="n">
        <v>9</v>
      </c>
      <c r="AA19" s="113" t="n">
        <v>7</v>
      </c>
      <c r="AB19" s="113" t="n">
        <v>4</v>
      </c>
      <c r="AC19" s="161" t="n">
        <v>1445.06</v>
      </c>
      <c r="AD19" s="161">
        <f>AE19-AC19</f>
        <v/>
      </c>
      <c r="AE19" s="161" t="n">
        <v>2008.05</v>
      </c>
      <c r="AF19" s="162">
        <f>(Z19+AA19+AB19)*'Ставки аренды'!$B$3/X19</f>
        <v/>
      </c>
      <c r="AG19" s="163" t="n">
        <v>0</v>
      </c>
      <c r="AH19" s="164" t="n">
        <v>0</v>
      </c>
      <c r="AI19" s="165">
        <f>39785847/79866389*AVERAGE(AJ19,AJ20)</f>
        <v/>
      </c>
      <c r="AJ19" s="166">
        <f>Цены!$D$9</f>
        <v/>
      </c>
      <c r="AK19" s="164">
        <f>AJ19/Цены!$B$1</f>
        <v/>
      </c>
      <c r="AL19" s="164">
        <f>AE19+AF19+AG19</f>
        <v/>
      </c>
      <c r="AM19" s="164">
        <f>AJ19-AL19</f>
        <v/>
      </c>
      <c r="AN19" s="164">
        <f>AI19+AH19+AG19+AF19+AE19</f>
        <v/>
      </c>
      <c r="AO19" s="167">
        <f>(AJ19-AN19)/AJ19</f>
        <v/>
      </c>
      <c r="AP19" s="168">
        <f>AL19/AJ19</f>
        <v/>
      </c>
      <c r="AQ19" s="168">
        <f>AE19/AJ19</f>
        <v/>
      </c>
      <c r="AR19" s="168">
        <f>AE19/AL19</f>
        <v/>
      </c>
      <c r="AS19" s="169" t="n">
        <v>1</v>
      </c>
      <c r="AT19" s="121">
        <f>S19*AS19</f>
        <v/>
      </c>
      <c r="AU19" s="83" t="n">
        <v>0.95</v>
      </c>
      <c r="AV19" s="170">
        <f>(AJ19-(AE19*(1+$IS$2)+AF19+AG19+AH19+AI19))/AJ19</f>
        <v/>
      </c>
      <c r="AW19" s="171">
        <f>(AE19*(1+$IS$2)+AF19+AG19)/AJ19</f>
        <v/>
      </c>
      <c r="AX19" s="171">
        <f>(AE19*(1+$IS$2))/AJ19</f>
        <v/>
      </c>
      <c r="AY19" s="171">
        <f>(AE19*(1+$IS$2))/(AE19*(1+$IS$2)+AF19+AG19)</f>
        <v/>
      </c>
      <c r="AZ19" s="172">
        <f>MIN(IF($AU19=100%,1,1+VLOOKUP(($AJ19-$AI19-$AH19-$AG19-$AF19-$AE19*(1+AZ$3))/$AJ19,'Технический лист'!$A:$B,2,1)-VLOOKUP($AO19,'Технический лист'!$A:$B,2,1)),1+(1-$AU19))</f>
        <v/>
      </c>
      <c r="BA19" s="172">
        <f>MIN(IF($AU19=100%,1,1+VLOOKUP(($AJ19-$AI19-$AH19-$AG19-$AF19-$AE19*(1+BA$3))/$AJ19,'Технический лист'!$A:$B,2,1)-VLOOKUP($AO19,'Технический лист'!$A:$B,2,1)),1+(1-$AU19))</f>
        <v/>
      </c>
      <c r="BB19" s="172">
        <f>MIN(IF($AU19=100%,1,1+VLOOKUP(($AJ19-$AI19-$AH19-$AG19-$AF19-$AE19*(1+BB$3))/$AJ19,'Технический лист'!$A:$B,2,1)-VLOOKUP($AO19,'Технический лист'!$A:$B,2,1)),1+(1-$AU19))</f>
        <v/>
      </c>
      <c r="BC19" s="172">
        <f>MIN(IF($AU19=100%,1,1+VLOOKUP(($AJ19-$AI19-$AH19-$AG19-$AF19-$AE19*(1+BC$3))/$AJ19,'Технический лист'!$A:$B,2,1)-VLOOKUP($AO19,'Технический лист'!$A:$B,2,1)),1+(1-$AU19))</f>
        <v/>
      </c>
      <c r="BD19" s="172">
        <f>MIN(IF($AU19=100%,1,1+VLOOKUP(($AJ19-$AI19-$AH19-$AG19-$AF19-$AE19*(1+BD$3))/$AJ19,'Технический лист'!$A:$B,2,1)-VLOOKUP($AO19,'Технический лист'!$A:$B,2,1)),1+(1-$AU19))</f>
        <v/>
      </c>
      <c r="BE19" s="172">
        <f>MIN(IF($AU19=100%,1,1+VLOOKUP(($AJ19-$AI19-$AH19-$AG19-$AF19-$AE19*(1+BE$3))/$AJ19,'Технический лист'!$A:$B,2,1)-VLOOKUP($AO19,'Технический лист'!$A:$B,2,1)),1+(1-$AU19))</f>
        <v/>
      </c>
      <c r="BF19" s="172">
        <f>MIN(IF($AU19=100%,1,1+VLOOKUP(($AJ19-$AI19-$AH19-$AG19-$AF19-$AE19*(1+BF$3))/$AJ19,'Технический лист'!$A:$B,2,1)-VLOOKUP($AO19,'Технический лист'!$A:$B,2,1)),1+(1-$AU19))</f>
        <v/>
      </c>
      <c r="BG19" s="172">
        <f>MIN(IF($AU19=100%,1,1+VLOOKUP(($AJ19-$AI19-$AH19-$AG19-$AF19-$AE19*(1+BG$3))/$AJ19,'Технический лист'!$A:$B,2,1)-VLOOKUP($AO19,'Технический лист'!$A:$B,2,1)),1+(1-$AU19))</f>
        <v/>
      </c>
      <c r="BH19" s="172">
        <f>MIN(IF($AU19=100%,1,1+VLOOKUP(($AJ19-$AI19-$AH19-$AG19-$AF19-$AE19*(1+BH$3))/$AJ19,'Технический лист'!$A:$B,2,1)-VLOOKUP($AO19,'Технический лист'!$A:$B,2,1)),1+(1-$AU19))</f>
        <v/>
      </c>
      <c r="BI19" s="172">
        <f>MIN(IF($AU19=100%,1,1+VLOOKUP(($AJ19-$AI19-$AH19-$AG19-$AF19-$AE19*(1+BI$3))/$AJ19,'Технический лист'!$A:$B,2,1)-VLOOKUP($AO19,'Технический лист'!$A:$B,2,1)),1+(1-$AU19))</f>
        <v/>
      </c>
      <c r="BJ19" s="172">
        <f>MIN(IF($AU19=100%,1,1+VLOOKUP(($AJ19-$AI19-$AH19-$AG19-$AF19-$AE19*(1+BJ$3))/$AJ19,'Технический лист'!$A:$B,2,1)-VLOOKUP($AO19,'Технический лист'!$A:$B,2,1)),1+(1-$AU19))</f>
        <v/>
      </c>
      <c r="BK19" s="172">
        <f>MIN(IF($AU19=100%,1,1+VLOOKUP(($AJ19-$AI19-$AH19-$AG19-$AF19-$AE19*(1+BK$3))/$AJ19,'Технический лист'!$A:$B,2,1)-VLOOKUP($AO19,'Технический лист'!$A:$B,2,1)),1+(1-$AU19))</f>
        <v/>
      </c>
      <c r="BL19" s="172">
        <f>MIN(IF($AU19=100%,1,1+VLOOKUP(($AJ19-$AI19-$AH19-$AG19-$AF19-$AE19*(1+BL$3))/$AJ19,'Технический лист'!$A:$B,2,1)-VLOOKUP($AO19,'Технический лист'!$A:$B,2,1)),1+(1-$AU19))</f>
        <v/>
      </c>
      <c r="BM19" s="172">
        <f>MIN(IF($AU19=100%,1,1+VLOOKUP(($AJ19-$AI19-$AH19-$AG19-$AF19-$AE19*(1+BM$3))/$AJ19,'Технический лист'!$A:$B,2,1)-VLOOKUP($AO19,'Технический лист'!$A:$B,2,1)),1+(1-$AU19))</f>
        <v/>
      </c>
      <c r="BN19" s="172">
        <f>MIN(IF($AU19=100%,1,1+VLOOKUP(($AJ19-$AI19-$AH19-$AG19-$AF19-$AE19*(1+BN$3))/$AJ19,'Технический лист'!$A:$B,2,1)-VLOOKUP($AO19,'Технический лист'!$A:$B,2,1)),1+(1-$AU19))</f>
        <v/>
      </c>
      <c r="BO19" s="172">
        <f>MIN(IF($AU19=100%,1,1+VLOOKUP(($AJ19-$AI19-$AH19-$AG19-$AF19-$AE19*(1+BO$3))/$AJ19,'Технический лист'!$A:$B,2,1)-VLOOKUP($AO19,'Технический лист'!$A:$B,2,1)),1+(1-$AU19))</f>
        <v/>
      </c>
      <c r="BP19" s="172">
        <f>MIN(IF($AU19=100%,1,1+VLOOKUP(($AJ19-$AI19-$AH19-$AG19-$AF19-$AE19*(1+BP$3))/$AJ19,'Технический лист'!$A:$B,2,1)-VLOOKUP($AO19,'Технический лист'!$A:$B,2,1)),1+(1-$AU19))</f>
        <v/>
      </c>
      <c r="BQ19" s="172">
        <f>MIN(IF($AU19=100%,1,1+VLOOKUP(($AJ19-$AI19-$AH19-$AG19-$AF19-$AE19*(1+BQ$3))/$AJ19,'Технический лист'!$A:$B,2,1)-VLOOKUP($AO19,'Технический лист'!$A:$B,2,1)),1+(1-$AU19))</f>
        <v/>
      </c>
      <c r="BR19" s="172">
        <f>MIN(IF($AU19=100%,1,1+VLOOKUP(($AJ19-$AI19-$AH19-$AG19-$AF19-$AE19*(1+BR$3))/$AJ19,'Технический лист'!$A:$B,2,1)-VLOOKUP($AO19,'Технический лист'!$A:$B,2,1)),1+(1-$AU19))</f>
        <v/>
      </c>
      <c r="BS19" s="172">
        <f>MIN(IF($AU19=100%,1,1+VLOOKUP(($AJ19-$AI19-$AH19-$AG19-$AF19-$AE19*(1+BS$3))/$AJ19,'Технический лист'!$A:$B,2,1)-VLOOKUP($AO19,'Технический лист'!$A:$B,2,1)),1+(1-$AU19))</f>
        <v/>
      </c>
      <c r="BT19" s="172">
        <f>MIN(IF($AU19=100%,1,1+VLOOKUP(($AJ19-$AI19-$AH19-$AG19-$AF19-$AE19*(1+BT$3))/$AJ19,'Технический лист'!$A:$B,2,1)-VLOOKUP($AO19,'Технический лист'!$A:$B,2,1)),1+(1-$AU19))</f>
        <v/>
      </c>
      <c r="BU19" s="172">
        <f>MIN(IF($AU19=100%,1,1+VLOOKUP(($AJ19-$AI19-$AH19-$AG19-$AF19-$AE19*(1+BU$3))/$AJ19,'Технический лист'!$A:$B,2,1)-VLOOKUP($AO19,'Технический лист'!$A:$B,2,1)),1+(1-$AU19))</f>
        <v/>
      </c>
      <c r="BV19" s="172">
        <f>MIN(IF($AU19=100%,1,1+VLOOKUP(($AJ19-$AI19-$AH19-$AG19-$AF19-$AE19*(1+BV$3))/$AJ19,'Технический лист'!$A:$B,2,1)-VLOOKUP($AO19,'Технический лист'!$A:$B,2,1)),1+(1-$AU19))</f>
        <v/>
      </c>
      <c r="BW19" s="172">
        <f>MIN(IF($AU19=100%,1,1+VLOOKUP(($AJ19-$AI19-$AH19-$AG19-$AF19-$AE19*(1+BW$3))/$AJ19,'Технический лист'!$A:$B,2,1)-VLOOKUP($AO19,'Технический лист'!$A:$B,2,1)),1+(1-$AU19))</f>
        <v/>
      </c>
      <c r="BX19" s="172">
        <f>MIN(IF($AU19=100%,1,1+VLOOKUP(($AJ19-$AI19-$AH19-$AG19-$AF19-$AE19*(1+BX$3))/$AJ19,'Технический лист'!$A:$B,2,1)-VLOOKUP($AO19,'Технический лист'!$A:$B,2,1)),1+(1-$AU19))</f>
        <v/>
      </c>
      <c r="BY19" s="172">
        <f>MIN(IF($AU19=100%,1,1+VLOOKUP(($AJ19-$AI19-$AH19-$AG19-$AF19-$AE19*(1+BY$3))/$AJ19,'Технический лист'!$A:$B,2,1)-VLOOKUP($AO19,'Технический лист'!$A:$B,2,1)),1+(1-$AU19))</f>
        <v/>
      </c>
      <c r="BZ19" s="172">
        <f>MIN(IF($AU19=100%,1,1+VLOOKUP(($AJ19-$AI19-$AH19-$AG19-$AF19-$AE19*(1+BZ$3))/$AJ19,'Технический лист'!$A:$B,2,1)-VLOOKUP($AO19,'Технический лист'!$A:$B,2,1)),1+(1-$AU19))</f>
        <v/>
      </c>
      <c r="CA19" s="172">
        <f>MIN(IF($AU19=100%,1,1+VLOOKUP(($AJ19-$AI19-$AH19-$AG19-$AF19-$AE19*(1+CA$3))/$AJ19,'Технический лист'!$A:$B,2,1)-VLOOKUP($AO19,'Технический лист'!$A:$B,2,1)),1+(1-$AU19))</f>
        <v/>
      </c>
      <c r="CB19" s="172">
        <f>MIN(IF($AU19=100%,1,1+VLOOKUP(($AJ19-$AI19-$AH19-$AG19-$AF19-$AE19*(1+CB$3))/$AJ19,'Технический лист'!$A:$B,2,1)-VLOOKUP($AO19,'Технический лист'!$A:$B,2,1)),1+(1-$AU19))</f>
        <v/>
      </c>
      <c r="CC19" s="172">
        <f>MIN(IF($AU19=100%,1,1+VLOOKUP(($AJ19-$AI19-$AH19-$AG19-$AF19-$AE19*(1+CC$3))/$AJ19,'Технический лист'!$A:$B,2,1)-VLOOKUP($AO19,'Технический лист'!$A:$B,2,1)),1+(1-$AU19))</f>
        <v/>
      </c>
      <c r="CD19" s="172">
        <f>MIN(IF($AU19=100%,1,1+VLOOKUP(($AJ19-$AI19-$AH19-$AG19-$AF19-$AE19*(1+CD$3))/$AJ19,'Технический лист'!$A:$B,2,1)-VLOOKUP($AO19,'Технический лист'!$A:$B,2,1)),1+(1-$AU19))</f>
        <v/>
      </c>
      <c r="CE19" s="172">
        <f>MIN(IF($AU19=100%,1,1+VLOOKUP(($AJ19-$AI19-$AH19-$AG19-$AF19-$AE19*(1+CE$3))/$AJ19,'Технический лист'!$A:$B,2,1)-VLOOKUP($AO19,'Технический лист'!$A:$B,2,1)),1+(1-$AU19))</f>
        <v/>
      </c>
      <c r="CF19" s="172">
        <f>MIN(IF($AU19=100%,1,1+VLOOKUP(($AJ19-$AI19-$AH19-$AG19-$AF19-$AE19*(1+CF$3))/$AJ19,'Технический лист'!$A:$B,2,1)-VLOOKUP($AO19,'Технический лист'!$A:$B,2,1)),1+(1-$AU19))</f>
        <v/>
      </c>
      <c r="CG19" s="172">
        <f>MIN(IF($AU19=100%,1,1+VLOOKUP(($AJ19-$AI19-$AH19-$AG19-$AF19-$AE19*(1+CG$3))/$AJ19,'Технический лист'!$A:$B,2,1)-VLOOKUP($AO19,'Технический лист'!$A:$B,2,1)),1+(1-$AU19))</f>
        <v/>
      </c>
      <c r="CH19" s="172">
        <f>MIN(IF($AU19=100%,1,1+VLOOKUP(($AJ19-$AI19-$AH19-$AG19-$AF19-$AE19*(1+CH$3))/$AJ19,'Технический лист'!$A:$B,2,1)-VLOOKUP($AO19,'Технический лист'!$A:$B,2,1)),1+(1-$AU19))</f>
        <v/>
      </c>
      <c r="CI19" s="172">
        <f>MIN(IF($AU19=100%,1,1+VLOOKUP(($AJ19-$AI19-$AH19-$AG19-$AF19-$AE19*(1+CI$3))/$AJ19,'Технический лист'!$A:$B,2,1)-VLOOKUP($AO19,'Технический лист'!$A:$B,2,1)),1+(1-$AU19))</f>
        <v/>
      </c>
      <c r="CJ19" s="172">
        <f>MIN(IF($AU19=100%,1,1+VLOOKUP(($AJ19-$AI19-$AH19-$AG19-$AF19-$AE19*(1+CJ$3))/$AJ19,'Технический лист'!$A:$B,2,1)-VLOOKUP($AO19,'Технический лист'!$A:$B,2,1)),1+(1-$AU19))</f>
        <v/>
      </c>
      <c r="CK19" s="172">
        <f>MIN(IF($AU19=100%,1,1+VLOOKUP(($AJ19-$AI19-$AH19-$AG19-$AF19-$AE19*(1+CK$3))/$AJ19,'Технический лист'!$A:$B,2,1)-VLOOKUP($AO19,'Технический лист'!$A:$B,2,1)),1+(1-$AU19))</f>
        <v/>
      </c>
      <c r="CL19" s="172">
        <f>MIN(IF($AU19=100%,1,1+VLOOKUP(($AJ19-$AI19-$AH19-$AG19-$AF19-$AE19*(1+CL$3))/$AJ19,'Технический лист'!$A:$B,2,1)-VLOOKUP($AO19,'Технический лист'!$A:$B,2,1)),1+(1-$AU19))</f>
        <v/>
      </c>
      <c r="CM19" s="172">
        <f>MIN(IF($AU19=100%,1,1+VLOOKUP(($AJ19-$AI19-$AH19-$AG19-$AF19-$AE19*(1+CM$3))/$AJ19,'Технический лист'!$A:$B,2,1)-VLOOKUP($AO19,'Технический лист'!$A:$B,2,1)),1+(1-$AU19))</f>
        <v/>
      </c>
      <c r="CN19" s="172">
        <f>MIN(IF($AU19=100%,1,1+VLOOKUP(($AJ19-$AI19-$AH19-$AG19-$AF19-$AE19*(1+CN$3))/$AJ19,'Технический лист'!$A:$B,2,1)-VLOOKUP($AO19,'Технический лист'!$A:$B,2,1)),1+(1-$AU19))</f>
        <v/>
      </c>
      <c r="CO19" s="172">
        <f>MIN(IF($AU19=100%,1,1+VLOOKUP(($AJ19-$AI19-$AH19-$AG19-$AF19-$AE19*(1+CO$3))/$AJ19,'Технический лист'!$A:$B,2,1)-VLOOKUP($AO19,'Технический лист'!$A:$B,2,1)),1+(1-$AU19))</f>
        <v/>
      </c>
      <c r="CP19" s="172">
        <f>MIN(IF($AU19=100%,1,1+VLOOKUP(($AJ19-$AI19-$AH19-$AG19-$AF19-$AE19*(1+CP$3))/$AJ19,'Технический лист'!$A:$B,2,1)-VLOOKUP($AO19,'Технический лист'!$A:$B,2,1)),1+(1-$AU19))</f>
        <v/>
      </c>
      <c r="CQ19" s="172">
        <f>MIN(IF($AU19=100%,1,1+VLOOKUP(($AJ19-$AI19-$AH19-$AG19-$AF19-$AE19*(1+CQ$3))/$AJ19,'Технический лист'!$A:$B,2,1)-VLOOKUP($AO19,'Технический лист'!$A:$B,2,1)),1+(1-$AU19))</f>
        <v/>
      </c>
      <c r="CR19" s="172">
        <f>MIN(IF($AU19=100%,1,1+VLOOKUP(($AJ19-$AI19-$AH19-$AG19-$AF19-$AE19*(1+CR$3))/$AJ19,'Технический лист'!$A:$B,2,1)-VLOOKUP($AO19,'Технический лист'!$A:$B,2,1)),1+(1-$AU19))</f>
        <v/>
      </c>
      <c r="CS19" s="172">
        <f>MIN(IF($AU19=100%,1,1+VLOOKUP(($AJ19-$AI19-$AH19-$AG19-$AF19-$AE19*(1+CS$3))/$AJ19,'Технический лист'!$A:$B,2,1)-VLOOKUP($AO19,'Технический лист'!$A:$B,2,1)),1+(1-$AU19))</f>
        <v/>
      </c>
      <c r="CT19" s="172">
        <f>MIN(IF($AU19=100%,1,1+VLOOKUP(($AJ19-$AI19-$AH19-$AG19-$AF19-$AE19*(1+CT$3))/$AJ19,'Технический лист'!$A:$B,2,1)-VLOOKUP($AO19,'Технический лист'!$A:$B,2,1)),1+(1-$AU19))</f>
        <v/>
      </c>
      <c r="CU19" s="172">
        <f>MIN(IF($AU19=100%,1,1+VLOOKUP(($AJ19-$AI19-$AH19-$AG19-$AF19-$AE19*(1+CU$3))/$AJ19,'Технический лист'!$A:$B,2,1)-VLOOKUP($AO19,'Технический лист'!$A:$B,2,1)),1+(1-$AU19))</f>
        <v/>
      </c>
      <c r="CV19" s="172">
        <f>MIN(IF($AU19=100%,1,1+VLOOKUP(($AJ19-$AI19-$AH19-$AG19-$AF19-$AE19*(1+CV$3))/$AJ19,'Технический лист'!$A:$B,2,1)-VLOOKUP($AO19,'Технический лист'!$A:$B,2,1)),1+(1-$AU19))</f>
        <v/>
      </c>
      <c r="CW19" s="172">
        <f>MIN(IF($AU19=100%,1,1+VLOOKUP(($AJ19-$AI19-$AH19-$AG19-$AF19-$AE19*(1+CW$3))/$AJ19,'Технический лист'!$A:$B,2,1)-VLOOKUP($AO19,'Технический лист'!$A:$B,2,1)),1+(1-$AU19))</f>
        <v/>
      </c>
      <c r="CX19" s="172">
        <f>MIN(IF($AU19=100%,1,1+VLOOKUP(($AJ19-$AI19-$AH19-$AG19-$AF19-$AE19*(1+CX$3))/$AJ19,'Технический лист'!$A:$B,2,1)-VLOOKUP($AO19,'Технический лист'!$A:$B,2,1)),1+(1-$AU19))</f>
        <v/>
      </c>
      <c r="CY19" s="172">
        <f>MIN(IF($AU19=100%,1,1+VLOOKUP(($AJ19-$AI19-$AH19-$AG19-$AF19-$AE19*(1+CY$3))/$AJ19,'Технический лист'!$A:$B,2,1)-VLOOKUP($AO19,'Технический лист'!$A:$B,2,1)),1+(1-$AU19))</f>
        <v/>
      </c>
      <c r="CZ19" s="172">
        <f>MIN(IF($AU19=100%,1,1+VLOOKUP(($AJ19-$AI19-$AH19-$AG19-$AF19-$AE19*(1+CZ$3))/$AJ19,'Технический лист'!$A:$B,2,1)-VLOOKUP($AO19,'Технический лист'!$A:$B,2,1)),1+(1-$AU19))</f>
        <v/>
      </c>
      <c r="DA19" s="172">
        <f>MIN(IF($AU19=100%,1,1+VLOOKUP(($AJ19-$AI19-$AH19-$AG19-$AF19-$AE19*(1+DA$3))/$AJ19,'Технический лист'!$A:$B,2,1)-VLOOKUP($AO19,'Технический лист'!$A:$B,2,1)),1+(1-$AU19))</f>
        <v/>
      </c>
      <c r="DB19" s="172">
        <f>MIN(IF($AU19=100%,1,1+VLOOKUP(($AJ19-$AI19-$AH19-$AG19-$AF19-$AE19*(1+DB$3))/$AJ19,'Технический лист'!$A:$B,2,1)-VLOOKUP($AO19,'Технический лист'!$A:$B,2,1)),1+(1-$AU19))</f>
        <v/>
      </c>
      <c r="DC19" s="172">
        <f>MIN(IF($AU19=100%,1,1+VLOOKUP(($AJ19-$AI19-$AH19-$AG19-$AF19-$AE19*(1+DC$3))/$AJ19,'Технический лист'!$A:$B,2,1)-VLOOKUP($AO19,'Технический лист'!$A:$B,2,1)),1+(1-$AU19))</f>
        <v/>
      </c>
      <c r="DD19" s="172">
        <f>MIN(IF($AU19=100%,1,1+VLOOKUP(($AJ19-$AI19-$AH19-$AG19-$AF19-$AE19*(1+DD$3))/$AJ19,'Технический лист'!$A:$B,2,1)-VLOOKUP($AO19,'Технический лист'!$A:$B,2,1)),1+(1-$AU19))</f>
        <v/>
      </c>
      <c r="DE19" s="172">
        <f>MIN(IF($AU19=100%,1,1+VLOOKUP(($AJ19-$AI19-$AH19-$AG19-$AF19-$AE19*(1+DE$3))/$AJ19,'Технический лист'!$A:$B,2,1)-VLOOKUP($AO19,'Технический лист'!$A:$B,2,1)),1+(1-$AU19))</f>
        <v/>
      </c>
      <c r="DF19" s="172">
        <f>MIN(IF($AU19=100%,1,1+VLOOKUP(($AJ19-$AI19-$AH19-$AG19-$AF19-$AE19*(1+DF$3))/$AJ19,'Технический лист'!$A:$B,2,1)-VLOOKUP($AO19,'Технический лист'!$A:$B,2,1)),1+(1-$AU19))</f>
        <v/>
      </c>
      <c r="DG19" s="172">
        <f>MIN(IF($AU19=100%,1,1+VLOOKUP(($AJ19-$AI19-$AH19-$AG19-$AF19-$AE19*(1+DG$3))/$AJ19,'Технический лист'!$A:$B,2,1)-VLOOKUP($AO19,'Технический лист'!$A:$B,2,1)),1+(1-$AU19))</f>
        <v/>
      </c>
      <c r="DH19" s="172">
        <f>MIN(IF($AU19=100%,1,1+VLOOKUP(($AJ19-$AI19-$AH19-$AG19-$AF19-$AE19*(1+DH$3))/$AJ19,'Технический лист'!$A:$B,2,1)-VLOOKUP($AO19,'Технический лист'!$A:$B,2,1)),1+(1-$AU19))</f>
        <v/>
      </c>
      <c r="DI19" s="172">
        <f>MIN(IF($AU19=100%,1,1+VLOOKUP(($AJ19-$AI19-$AH19-$AG19-$AF19-$AE19*(1+DI$3))/$AJ19,'Технический лист'!$A:$B,2,1)-VLOOKUP($AO19,'Технический лист'!$A:$B,2,1)),1+(1-$AU19))</f>
        <v/>
      </c>
      <c r="DJ19" s="172">
        <f>MIN(IF($AU19=100%,1,1+VLOOKUP(($AJ19-$AI19-$AH19-$AG19-$AF19-$AE19*(1+DJ$3))/$AJ19,'Технический лист'!$A:$B,2,1)-VLOOKUP($AO19,'Технический лист'!$A:$B,2,1)),1+(1-$AU19))</f>
        <v/>
      </c>
      <c r="DK19" s="172">
        <f>MIN(IF($AU19=100%,1,1+VLOOKUP(($AJ19-$AI19-$AH19-$AG19-$AF19-$AE19*(1+DK$3))/$AJ19,'Технический лист'!$A:$B,2,1)-VLOOKUP($AO19,'Технический лист'!$A:$B,2,1)),1+(1-$AU19))</f>
        <v/>
      </c>
      <c r="DL19" s="172">
        <f>MIN(IF($AU19=100%,1,1+VLOOKUP(($AJ19-$AI19-$AH19-$AG19-$AF19-$AE19*(1+DL$3))/$AJ19,'Технический лист'!$A:$B,2,1)-VLOOKUP($AO19,'Технический лист'!$A:$B,2,1)),1+(1-$AU19))</f>
        <v/>
      </c>
      <c r="DM19" s="172">
        <f>MIN(IF($AU19=100%,1,1+VLOOKUP(($AJ19-$AI19-$AH19-$AG19-$AF19-$AE19*(1+DM$3))/$AJ19,'Технический лист'!$A:$B,2,1)-VLOOKUP($AO19,'Технический лист'!$A:$B,2,1)),1+(1-$AU19))</f>
        <v/>
      </c>
      <c r="DN19" s="172">
        <f>MIN(IF($AU19=100%,1,1+VLOOKUP(($AJ19-$AI19-$AH19-$AG19-$AF19-$AE19*(1+DN$3))/$AJ19,'Технический лист'!$A:$B,2,1)-VLOOKUP($AO19,'Технический лист'!$A:$B,2,1)),1+(1-$AU19))</f>
        <v/>
      </c>
      <c r="DO19" s="172">
        <f>MIN(IF($AU19=100%,1,1+VLOOKUP(($AJ19-$AI19-$AH19-$AG19-$AF19-$AE19*(1+DO$3))/$AJ19,'Технический лист'!$A:$B,2,1)-VLOOKUP($AO19,'Технический лист'!$A:$B,2,1)),1+(1-$AU19))</f>
        <v/>
      </c>
      <c r="DP19" s="172">
        <f>MIN(IF($AU19=100%,1,1+VLOOKUP(($AJ19-$AI19-$AH19-$AG19-$AF19-$AE19*(1+DP$3))/$AJ19,'Технический лист'!$A:$B,2,1)-VLOOKUP($AO19,'Технический лист'!$A:$B,2,1)),1+(1-$AU19))</f>
        <v/>
      </c>
      <c r="DQ19" s="172">
        <f>MIN(IF($AU19=100%,1,1+VLOOKUP(($AJ19-$AI19-$AH19-$AG19-$AF19-$AE19*(1+DQ$3))/$AJ19,'Технический лист'!$A:$B,2,1)-VLOOKUP($AO19,'Технический лист'!$A:$B,2,1)),1+(1-$AU19))</f>
        <v/>
      </c>
      <c r="DR19" s="172">
        <f>MIN(IF($AU19=100%,1,1+VLOOKUP(($AJ19-$AI19-$AH19-$AG19-$AF19-$AE19*(1+DR$3))/$AJ19,'Технический лист'!$A:$B,2,1)-VLOOKUP($AO19,'Технический лист'!$A:$B,2,1)),1+(1-$AU19))</f>
        <v/>
      </c>
      <c r="DS19" s="172">
        <f>MIN(IF($AU19=100%,1,1+VLOOKUP(($AJ19-$AI19-$AH19-$AG19-$AF19-$AE19*(1+DS$3))/$AJ19,'Технический лист'!$A:$B,2,1)-VLOOKUP($AO19,'Технический лист'!$A:$B,2,1)),1+(1-$AU19))</f>
        <v/>
      </c>
      <c r="DT19" s="172">
        <f>MIN(IF($AU19=100%,1,1+VLOOKUP(($AJ19-$AI19-$AH19-$AG19-$AF19-$AE19*(1+DT$3))/$AJ19,'Технический лист'!$A:$B,2,1)-VLOOKUP($AO19,'Технический лист'!$A:$B,2,1)),1+(1-$AU19))</f>
        <v/>
      </c>
      <c r="DU19" s="172">
        <f>MIN(IF($AU19=100%,1,1+VLOOKUP(($AJ19-$AI19-$AH19-$AG19-$AF19-$AE19*(1+DU$3))/$AJ19,'Технический лист'!$A:$B,2,1)-VLOOKUP($AO19,'Технический лист'!$A:$B,2,1)),1+(1-$AU19))</f>
        <v/>
      </c>
      <c r="DV19" s="172">
        <f>MIN(IF($AU19=100%,1,1+VLOOKUP(($AJ19-$AI19-$AH19-$AG19-$AF19-$AE19*(1+DV$3))/$AJ19,'Технический лист'!$A:$B,2,1)-VLOOKUP($AO19,'Технический лист'!$A:$B,2,1)),1+(1-$AU19))</f>
        <v/>
      </c>
      <c r="DW19" s="172">
        <f>MIN(IF($AU19=100%,1,1+VLOOKUP(($AJ19-$AI19-$AH19-$AG19-$AF19-$AE19*(1+DW$3))/$AJ19,'Технический лист'!$A:$B,2,1)-VLOOKUP($AO19,'Технический лист'!$A:$B,2,1)),1+(1-$AU19))</f>
        <v/>
      </c>
      <c r="DX19" s="172">
        <f>MIN(IF($AU19=100%,1,1+VLOOKUP(($AJ19-$AI19-$AH19-$AG19-$AF19-$AE19*(1+DX$3))/$AJ19,'Технический лист'!$A:$B,2,1)-VLOOKUP($AO19,'Технический лист'!$A:$B,2,1)),1+(1-$AU19))</f>
        <v/>
      </c>
      <c r="DY19" s="172">
        <f>MIN(IF($AU19=100%,1,1+VLOOKUP(($AJ19-$AI19-$AH19-$AG19-$AF19-$AE19*(1+DY$3))/$AJ19,'Технический лист'!$A:$B,2,1)-VLOOKUP($AO19,'Технический лист'!$A:$B,2,1)),1+(1-$AU19))</f>
        <v/>
      </c>
      <c r="DZ19" s="172">
        <f>MIN(IF($AU19=100%,1,1+VLOOKUP(($AJ19-$AI19-$AH19-$AG19-$AF19-$AE19*(1+DZ$3))/$AJ19,'Технический лист'!$A:$B,2,1)-VLOOKUP($AO19,'Технический лист'!$A:$B,2,1)),1+(1-$AU19))</f>
        <v/>
      </c>
      <c r="EA19" s="172">
        <f>MIN(IF($AU19=100%,1,1+VLOOKUP(($AJ19-$AI19-$AH19-$AG19-$AF19-$AE19*(1+EA$3))/$AJ19,'Технический лист'!$A:$B,2,1)-VLOOKUP($AO19,'Технический лист'!$A:$B,2,1)),1+(1-$AU19))</f>
        <v/>
      </c>
      <c r="EB19" s="172">
        <f>MIN(IF($AU19=100%,1,1+VLOOKUP(($AJ19-$AI19-$AH19-$AG19-$AF19-$AE19*(1+EB$3))/$AJ19,'Технический лист'!$A:$B,2,1)-VLOOKUP($AO19,'Технический лист'!$A:$B,2,1)),1+(1-$AU19))</f>
        <v/>
      </c>
      <c r="EC19" s="172">
        <f>MIN(IF($AU19=100%,1,1+VLOOKUP(($AJ19-$AI19-$AH19-$AG19-$AF19-$AE19*(1+EC$3))/$AJ19,'Технический лист'!$A:$B,2,1)-VLOOKUP($AO19,'Технический лист'!$A:$B,2,1)),1+(1-$AU19))</f>
        <v/>
      </c>
      <c r="ED19" s="172">
        <f>MIN(IF($AU19=100%,1,1+VLOOKUP(($AJ19-$AI19-$AH19-$AG19-$AF19-$AE19*(1+ED$3))/$AJ19,'Технический лист'!$A:$B,2,1)-VLOOKUP($AO19,'Технический лист'!$A:$B,2,1)),1+(1-$AU19))</f>
        <v/>
      </c>
      <c r="EE19" s="172">
        <f>MIN(IF($AU19=100%,1,1+VLOOKUP(($AJ19-$AI19-$AH19-$AG19-$AF19-$AE19*(1+EE$3))/$AJ19,'Технический лист'!$A:$B,2,1)-VLOOKUP($AO19,'Технический лист'!$A:$B,2,1)),1+(1-$AU19))</f>
        <v/>
      </c>
      <c r="EF19" s="172">
        <f>MIN(IF($AU19=100%,1,1+VLOOKUP(($AJ19-$AI19-$AH19-$AG19-$AF19-$AE19*(1+EF$3))/$AJ19,'Технический лист'!$A:$B,2,1)-VLOOKUP($AO19,'Технический лист'!$A:$B,2,1)),1+(1-$AU19))</f>
        <v/>
      </c>
      <c r="EG19" s="172">
        <f>MIN(IF($AU19=100%,1,1+VLOOKUP(($AJ19-$AI19-$AH19-$AG19-$AF19-$AE19*(1+EG$3))/$AJ19,'Технический лист'!$A:$B,2,1)-VLOOKUP($AO19,'Технический лист'!$A:$B,2,1)),1+(1-$AU19))</f>
        <v/>
      </c>
      <c r="EH19" s="172">
        <f>MIN(IF($AU19=100%,1,1+VLOOKUP(($AJ19-$AI19-$AH19-$AG19-$AF19-$AE19*(1+EH$3))/$AJ19,'Технический лист'!$A:$B,2,1)-VLOOKUP($AO19,'Технический лист'!$A:$B,2,1)),1+(1-$AU19))</f>
        <v/>
      </c>
      <c r="EI19" s="172">
        <f>MIN(IF($AU19=100%,1,1+VLOOKUP(($AJ19-$AI19-$AH19-$AG19-$AF19-$AE19*(1+EI$3))/$AJ19,'Технический лист'!$A:$B,2,1)-VLOOKUP($AO19,'Технический лист'!$A:$B,2,1)),1+(1-$AU19))</f>
        <v/>
      </c>
      <c r="EJ19" s="172">
        <f>MIN(IF($AU19=100%,1,1+VLOOKUP(($AJ19-$AI19-$AH19-$AG19-$AF19-$AE19*(1+EJ$3))/$AJ19,'Технический лист'!$A:$B,2,1)-VLOOKUP($AO19,'Технический лист'!$A:$B,2,1)),1+(1-$AU19))</f>
        <v/>
      </c>
      <c r="EK19" s="172">
        <f>MIN(IF($AU19=100%,1,1+VLOOKUP(($AJ19-$AI19-$AH19-$AG19-$AF19-$AE19*(1+EK$3))/$AJ19,'Технический лист'!$A:$B,2,1)-VLOOKUP($AO19,'Технический лист'!$A:$B,2,1)),1+(1-$AU19))</f>
        <v/>
      </c>
      <c r="EL19" s="172">
        <f>MIN(IF($AU19=100%,1,1+VLOOKUP(($AJ19-$AI19-$AH19-$AG19-$AF19-$AE19*(1+EL$3))/$AJ19,'Технический лист'!$A:$B,2,1)-VLOOKUP($AO19,'Технический лист'!$A:$B,2,1)),1+(1-$AU19))</f>
        <v/>
      </c>
      <c r="EM19" s="172">
        <f>MIN(IF($AU19=100%,1,1+VLOOKUP(($AJ19-$AI19-$AH19-$AG19-$AF19-$AE19*(1+EM$3))/$AJ19,'Технический лист'!$A:$B,2,1)-VLOOKUP($AO19,'Технический лист'!$A:$B,2,1)),1+(1-$AU19))</f>
        <v/>
      </c>
      <c r="EN19" s="172">
        <f>MIN(IF($AU19=100%,1,1+VLOOKUP(($AJ19-$AI19-$AH19-$AG19-$AF19-$AE19*(1+EN$3))/$AJ19,'Технический лист'!$A:$B,2,1)-VLOOKUP($AO19,'Технический лист'!$A:$B,2,1)),1+(1-$AU19))</f>
        <v/>
      </c>
      <c r="EO19" s="172">
        <f>MIN(IF($AU19=100%,1,1+VLOOKUP(($AJ19-$AI19-$AH19-$AG19-$AF19-$AE19*(1+EO$3))/$AJ19,'Технический лист'!$A:$B,2,1)-VLOOKUP($AO19,'Технический лист'!$A:$B,2,1)),1+(1-$AU19))</f>
        <v/>
      </c>
      <c r="EP19" s="172">
        <f>MIN(IF($AU19=100%,1,1+VLOOKUP(($AJ19-$AI19-$AH19-$AG19-$AF19-$AE19*(1+EP$3))/$AJ19,'Технический лист'!$A:$B,2,1)-VLOOKUP($AO19,'Технический лист'!$A:$B,2,1)),1+(1-$AU19))</f>
        <v/>
      </c>
      <c r="EQ19" s="172">
        <f>MIN(IF($AU19=100%,1,1+VLOOKUP(($AJ19-$AI19-$AH19-$AG19-$AF19-$AE19*(1+EQ$3))/$AJ19,'Технический лист'!$A:$B,2,1)-VLOOKUP($AO19,'Технический лист'!$A:$B,2,1)),1+(1-$AU19))</f>
        <v/>
      </c>
      <c r="ER19" s="172">
        <f>MIN(IF($AU19=100%,1,1+VLOOKUP(($AJ19-$AI19-$AH19-$AG19-$AF19-$AE19*(1+ER$3))/$AJ19,'Технический лист'!$A:$B,2,1)-VLOOKUP($AO19,'Технический лист'!$A:$B,2,1)),1+(1-$AU19))</f>
        <v/>
      </c>
      <c r="ES19" s="172">
        <f>MIN(IF($AU19=100%,1,1+VLOOKUP(($AJ19-$AI19-$AH19-$AG19-$AF19-$AE19*(1+ES$3))/$AJ19,'Технический лист'!$A:$B,2,1)-VLOOKUP($AO19,'Технический лист'!$A:$B,2,1)),1+(1-$AU19))</f>
        <v/>
      </c>
      <c r="ET19" s="172">
        <f>MIN(IF($AU19=100%,1,1+VLOOKUP(($AJ19-$AI19-$AH19-$AG19-$AF19-$AE19*(1+ET$3))/$AJ19,'Технический лист'!$A:$B,2,1)-VLOOKUP($AO19,'Технический лист'!$A:$B,2,1)),1+(1-$AU19))</f>
        <v/>
      </c>
      <c r="EU19" s="172">
        <f>MIN(IF($AU19=100%,1,1+VLOOKUP(($AJ19-$AI19-$AH19-$AG19-$AF19-$AE19*(1+EU$3))/$AJ19,'Технический лист'!$A:$B,2,1)-VLOOKUP($AO19,'Технический лист'!$A:$B,2,1)),1+(1-$AU19))</f>
        <v/>
      </c>
      <c r="EV19" s="173" t="n">
        <v>1</v>
      </c>
      <c r="EW19" s="172">
        <f>MIN(1,MAX(VLOOKUP(($AJ19-$AI19-$AH19-$AG19-$AF19-$AE19*(1+EW$3))/$AJ19,'Технический лист'!$A:$B,2,1),(EV19-0.05)))</f>
        <v/>
      </c>
      <c r="EX19" s="172">
        <f>MIN(1,MAX(VLOOKUP(($AJ19-$AI19-$AH19-$AG19-$AF19-$AE19*(1+EX$3))/$AJ19,'Технический лист'!$A:$B,2,1),(EW19-0.05)))</f>
        <v/>
      </c>
      <c r="EY19" s="172">
        <f>MIN(1,MAX(VLOOKUP(($AJ19-$AI19-$AH19-$AG19-$AF19-$AE19*(1+EY$3))/$AJ19,'Технический лист'!$A:$B,2,1),(EX19-0.05)))</f>
        <v/>
      </c>
      <c r="EZ19" s="172">
        <f>MIN(1,MAX(VLOOKUP(($AJ19-$AI19-$AH19-$AG19-$AF19-$AE19*(1+EZ$3))/$AJ19,'Технический лист'!$A:$B,2,1),(EY19-0.05)))</f>
        <v/>
      </c>
      <c r="FA19" s="172">
        <f>MIN(1,MAX(VLOOKUP(($AJ19-$AI19-$AH19-$AG19-$AF19-$AE19*(1+FA$3))/$AJ19,'Технический лист'!$A:$B,2,1),(EZ19-0.05)))</f>
        <v/>
      </c>
      <c r="FB19" s="172">
        <f>MIN(1,MAX(VLOOKUP(($AJ19-$AI19-$AH19-$AG19-$AF19-$AE19*(1+FB$3))/$AJ19,'Технический лист'!$A:$B,2,1),(FA19-0.05)))</f>
        <v/>
      </c>
      <c r="FC19" s="172">
        <f>MIN(1,MAX(VLOOKUP(($AJ19-$AI19-$AH19-$AG19-$AF19-$AE19*(1+FC$3))/$AJ19,'Технический лист'!$A:$B,2,1),(FB19-0.05)))</f>
        <v/>
      </c>
      <c r="FD19" s="172">
        <f>MIN(1,MAX(VLOOKUP(($AJ19-$AI19-$AH19-$AG19-$AF19-$AE19*(1+FD$3))/$AJ19,'Технический лист'!$A:$B,2,1),(FC19-0.05)))</f>
        <v/>
      </c>
      <c r="FE19" s="172">
        <f>MIN(1,MAX(VLOOKUP(($AJ19-$AI19-$AH19-$AG19-$AF19-$AE19*(1+FE$3))/$AJ19,'Технический лист'!$A:$B,2,1),(FD19-0.05)))</f>
        <v/>
      </c>
      <c r="FF19" s="172">
        <f>MIN(1,MAX(VLOOKUP(($AJ19-$AI19-$AH19-$AG19-$AF19-$AE19*(1+FF$3))/$AJ19,'Технический лист'!$A:$B,2,1),(FE19-0.05)))</f>
        <v/>
      </c>
      <c r="FG19" s="172">
        <f>MIN(1,MAX(VLOOKUP(($AJ19-$AI19-$AH19-$AG19-$AF19-$AE19*(1+FG$3))/$AJ19,'Технический лист'!$A:$B,2,1),(FF19-0.05)))</f>
        <v/>
      </c>
      <c r="FH19" s="172">
        <f>MIN(1,MAX(VLOOKUP(($AJ19-$AI19-$AH19-$AG19-$AF19-$AE19*(1+FH$3))/$AJ19,'Технический лист'!$A:$B,2,1),(FG19-0.05)))</f>
        <v/>
      </c>
      <c r="FI19" s="172">
        <f>MIN(1,MAX(VLOOKUP(($AJ19-$AI19-$AH19-$AG19-$AF19-$AE19*(1+FI$3))/$AJ19,'Технический лист'!$A:$B,2,1),(FH19-0.05)))</f>
        <v/>
      </c>
      <c r="FJ19" s="172">
        <f>MIN(1,MAX(VLOOKUP(($AJ19-$AI19-$AH19-$AG19-$AF19-$AE19*(1+FJ$3))/$AJ19,'Технический лист'!$A:$B,2,1),(FI19-0.05)))</f>
        <v/>
      </c>
      <c r="FK19" s="172">
        <f>MIN(1,MAX(VLOOKUP(($AJ19-$AI19-$AH19-$AG19-$AF19-$AE19*(1+FK$3))/$AJ19,'Технический лист'!$A:$B,2,1),(FJ19-0.05)))</f>
        <v/>
      </c>
      <c r="FL19" s="172">
        <f>MIN(1,MAX(VLOOKUP(($AJ19-$AI19-$AH19-$AG19-$AF19-$AE19*(1+FL$3))/$AJ19,'Технический лист'!$A:$B,2,1),(FK19-0.05)))</f>
        <v/>
      </c>
      <c r="FM19" s="172">
        <f>MIN(1,MAX(VLOOKUP(($AJ19-$AI19-$AH19-$AG19-$AF19-$AE19*(1+FM$3))/$AJ19,'Технический лист'!$A:$B,2,1),(FL19-0.05)))</f>
        <v/>
      </c>
      <c r="FN19" s="172">
        <f>MIN(1,MAX(VLOOKUP(($AJ19-$AI19-$AH19-$AG19-$AF19-$AE19*(1+FN$3))/$AJ19,'Технический лист'!$A:$B,2,1),(FM19-0.05)))</f>
        <v/>
      </c>
      <c r="FO19" s="172">
        <f>MIN(1,MAX(VLOOKUP(($AJ19-$AI19-$AH19-$AG19-$AF19-$AE19*(1+FO$3))/$AJ19,'Технический лист'!$A:$B,2,1),(FN19-0.05)))</f>
        <v/>
      </c>
      <c r="FP19" s="172">
        <f>MIN(1,MAX(VLOOKUP(($AJ19-$AI19-$AH19-$AG19-$AF19-$AE19*(1+FP$3))/$AJ19,'Технический лист'!$A:$B,2,1),(FO19-0.05)))</f>
        <v/>
      </c>
      <c r="FQ19" s="172">
        <f>MIN(1,MAX(VLOOKUP(($AJ19-$AI19-$AH19-$AG19-$AF19-$AE19*(1+FQ$3))/$AJ19,'Технический лист'!$A:$B,2,1),(FP19-0.05)))</f>
        <v/>
      </c>
      <c r="FR19" s="172">
        <f>MIN(1,MAX(VLOOKUP(($AJ19-$AI19-$AH19-$AG19-$AF19-$AE19*(1+FR$3))/$AJ19,'Технический лист'!$A:$B,2,1),(FQ19-0.05)))</f>
        <v/>
      </c>
      <c r="FS19" s="172">
        <f>MIN(1,MAX(VLOOKUP(($AJ19-$AI19-$AH19-$AG19-$AF19-$AE19*(1+FS$3))/$AJ19,'Технический лист'!$A:$B,2,1),(FR19-0.05)))</f>
        <v/>
      </c>
      <c r="FT19" s="172">
        <f>MIN(1,MAX(VLOOKUP(($AJ19-$AI19-$AH19-$AG19-$AF19-$AE19*(1+FT$3))/$AJ19,'Технический лист'!$A:$B,2,1),(FS19-0.05)))</f>
        <v/>
      </c>
      <c r="FU19" s="172">
        <f>MIN(1,MAX(VLOOKUP(($AJ19-$AI19-$AH19-$AG19-$AF19-$AE19*(1+FU$3))/$AJ19,'Технический лист'!$A:$B,2,1),(FT19-0.05)))</f>
        <v/>
      </c>
      <c r="FV19" s="172">
        <f>MIN(1,MAX(VLOOKUP(($AJ19-$AI19-$AH19-$AG19-$AF19-$AE19*(1+FV$3))/$AJ19,'Технический лист'!$A:$B,2,1),(FU19-0.05)))</f>
        <v/>
      </c>
      <c r="FW19" s="172">
        <f>MIN(1,MAX(VLOOKUP(($AJ19-$AI19-$AH19-$AG19-$AF19-$AE19*(1+FW$3))/$AJ19,'Технический лист'!$A:$B,2,1),(FV19-0.05)))</f>
        <v/>
      </c>
      <c r="FX19" s="172">
        <f>MIN(1,MAX(VLOOKUP(($AJ19-$AI19-$AH19-$AG19-$AF19-$AE19*(1+FX$3))/$AJ19,'Технический лист'!$A:$B,2,1),(FW19-0.05)))</f>
        <v/>
      </c>
      <c r="FY19" s="172">
        <f>MIN(1,MAX(VLOOKUP(($AJ19-$AI19-$AH19-$AG19-$AF19-$AE19*(1+FY$3))/$AJ19,'Технический лист'!$A:$B,2,1),(FX19-0.05)))</f>
        <v/>
      </c>
      <c r="FZ19" s="172">
        <f>MIN(1,MAX(VLOOKUP(($AJ19-$AI19-$AH19-$AG19-$AF19-$AE19*(1+FZ$3))/$AJ19,'Технический лист'!$A:$B,2,1),(FY19-0.05)))</f>
        <v/>
      </c>
      <c r="GA19" s="172">
        <f>MIN(1,MAX(VLOOKUP(($AJ19-$AI19-$AH19-$AG19-$AF19-$AE19*(1+GA$3))/$AJ19,'Технический лист'!$A:$B,2,1),(FZ19-0.05)))</f>
        <v/>
      </c>
      <c r="GB19" s="172">
        <f>MIN(1,MAX(VLOOKUP(($AJ19-$AI19-$AH19-$AG19-$AF19-$AE19*(1+GB$3))/$AJ19,'Технический лист'!$A:$B,2,1),(GA19-0.05)))</f>
        <v/>
      </c>
      <c r="GC19" s="172">
        <f>MIN(1,MAX(VLOOKUP(($AJ19-$AI19-$AH19-$AG19-$AF19-$AE19*(1+GC$3))/$AJ19,'Технический лист'!$A:$B,2,1),(GB19-0.05)))</f>
        <v/>
      </c>
      <c r="GD19" s="172">
        <f>MIN(1,MAX(VLOOKUP(($AJ19-$AI19-$AH19-$AG19-$AF19-$AE19*(1+GD$3))/$AJ19,'Технический лист'!$A:$B,2,1),(GC19-0.05)))</f>
        <v/>
      </c>
      <c r="GE19" s="172">
        <f>MIN(1,MAX(VLOOKUP(($AJ19-$AI19-$AH19-$AG19-$AF19-$AE19*(1+GE$3))/$AJ19,'Технический лист'!$A:$B,2,1),(GD19-0.05)))</f>
        <v/>
      </c>
      <c r="GF19" s="172">
        <f>MIN(1,MAX(VLOOKUP(($AJ19-$AI19-$AH19-$AG19-$AF19-$AE19*(1+GF$3))/$AJ19,'Технический лист'!$A:$B,2,1),(GE19-0.05)))</f>
        <v/>
      </c>
      <c r="GG19" s="172">
        <f>MIN(1,MAX(VLOOKUP(($AJ19-$AI19-$AH19-$AG19-$AF19-$AE19*(1+GG$3))/$AJ19,'Технический лист'!$A:$B,2,1),(GF19-0.05)))</f>
        <v/>
      </c>
      <c r="GH19" s="172">
        <f>MIN(1,MAX(VLOOKUP(($AJ19-$AI19-$AH19-$AG19-$AF19-$AE19*(1+GH$3))/$AJ19,'Технический лист'!$A:$B,2,1),(GG19-0.05)))</f>
        <v/>
      </c>
      <c r="GI19" s="172">
        <f>MIN(1,MAX(VLOOKUP(($AJ19-$AI19-$AH19-$AG19-$AF19-$AE19*(1+GI$3))/$AJ19,'Технический лист'!$A:$B,2,1),(GH19-0.05)))</f>
        <v/>
      </c>
      <c r="GJ19" s="172">
        <f>MIN(1,MAX(VLOOKUP(($AJ19-$AI19-$AH19-$AG19-$AF19-$AE19*(1+GJ$3))/$AJ19,'Технический лист'!$A:$B,2,1),(GI19-0.05)))</f>
        <v/>
      </c>
      <c r="GK19" s="172">
        <f>MIN(1,MAX(VLOOKUP(($AJ19-$AI19-$AH19-$AG19-$AF19-$AE19*(1+GK$3))/$AJ19,'Технический лист'!$A:$B,2,1),(GJ19-0.05)))</f>
        <v/>
      </c>
      <c r="GL19" s="172">
        <f>MIN(1,MAX(VLOOKUP(($AJ19-$AI19-$AH19-$AG19-$AF19-$AE19*(1+GL$3))/$AJ19,'Технический лист'!$A:$B,2,1),(GK19-0.05)))</f>
        <v/>
      </c>
      <c r="GM19" s="172">
        <f>MIN(1,MAX(VLOOKUP(($AJ19-$AI19-$AH19-$AG19-$AF19-$AE19*(1+GM$3))/$AJ19,'Технический лист'!$A:$B,2,1),(GL19-0.05)))</f>
        <v/>
      </c>
      <c r="GN19" s="172">
        <f>MIN(1,MAX(VLOOKUP(($AJ19-$AI19-$AH19-$AG19-$AF19-$AE19*(1+GN$3))/$AJ19,'Технический лист'!$A:$B,2,1),(GM19-0.05)))</f>
        <v/>
      </c>
      <c r="GO19" s="172">
        <f>MIN(1,MAX(VLOOKUP(($AJ19-$AI19-$AH19-$AG19-$AF19-$AE19*(1+GO$3))/$AJ19,'Технический лист'!$A:$B,2,1),(GN19-0.05)))</f>
        <v/>
      </c>
      <c r="GP19" s="172">
        <f>MIN(1,MAX(VLOOKUP(($AJ19-$AI19-$AH19-$AG19-$AF19-$AE19*(1+GP$3))/$AJ19,'Технический лист'!$A:$B,2,1),(GO19-0.05)))</f>
        <v/>
      </c>
      <c r="GQ19" s="172">
        <f>MIN(1,MAX(VLOOKUP(($AJ19-$AI19-$AH19-$AG19-$AF19-$AE19*(1+GQ$3))/$AJ19,'Технический лист'!$A:$B,2,1),(GP19-0.05)))</f>
        <v/>
      </c>
      <c r="GR19" s="172">
        <f>MIN(1,MAX(VLOOKUP(($AJ19-$AI19-$AH19-$AG19-$AF19-$AE19*(1+GR$3))/$AJ19,'Технический лист'!$A:$B,2,1),(GQ19-0.05)))</f>
        <v/>
      </c>
      <c r="GS19" s="172">
        <f>MIN(1,MAX(VLOOKUP(($AJ19-$AI19-$AH19-$AG19-$AF19-$AE19*(1+GS$3))/$AJ19,'Технический лист'!$A:$B,2,1),(GR19-0.05)))</f>
        <v/>
      </c>
      <c r="GT19" s="172">
        <f>MIN(1,MAX(VLOOKUP(($AJ19-$AI19-$AH19-$AG19-$AF19-$AE19*(1+GT$3))/$AJ19,'Технический лист'!$A:$B,2,1),(GS19-0.05)))</f>
        <v/>
      </c>
      <c r="GU19" s="172">
        <f>MIN(1,MAX(VLOOKUP(($AJ19-$AI19-$AH19-$AG19-$AF19-$AE19*(1+GU$3))/$AJ19,'Технический лист'!$A:$B,2,1),(GT19-0.05)))</f>
        <v/>
      </c>
      <c r="GV19" s="172">
        <f>MIN(1,MAX(VLOOKUP(($AJ19-$AI19-$AH19-$AG19-$AF19-$AE19*(1+GV$3))/$AJ19,'Технический лист'!$A:$B,2,1),(GU19-0.05)))</f>
        <v/>
      </c>
      <c r="GW19" s="172">
        <f>MIN(1,MAX(VLOOKUP(($AJ19-$AI19-$AH19-$AG19-$AF19-$AE19*(1+GW$3))/$AJ19,'Технический лист'!$A:$B,2,1),(GV19-0.05)))</f>
        <v/>
      </c>
      <c r="GX19" s="172">
        <f>MIN(1,MAX(VLOOKUP(($AJ19-$AI19-$AH19-$AG19-$AF19-$AE19*(1+GX$3))/$AJ19,'Технический лист'!$A:$B,2,1),(GW19-0.05)))</f>
        <v/>
      </c>
      <c r="GY19" s="172">
        <f>MIN(1,MAX(VLOOKUP(($AJ19-$AI19-$AH19-$AG19-$AF19-$AE19*(1+GY$3))/$AJ19,'Технический лист'!$A:$B,2,1),(GX19-0.05)))</f>
        <v/>
      </c>
      <c r="GZ19" s="172">
        <f>MIN(1,MAX(VLOOKUP(($AJ19-$AI19-$AH19-$AG19-$AF19-$AE19*(1+GZ$3))/$AJ19,'Технический лист'!$A:$B,2,1),(GY19-0.05)))</f>
        <v/>
      </c>
      <c r="HA19" s="172">
        <f>MIN(1,MAX(VLOOKUP(($AJ19-$AI19-$AH19-$AG19-$AF19-$AE19*(1+HA$3))/$AJ19,'Технический лист'!$A:$B,2,1),(GZ19-0.05)))</f>
        <v/>
      </c>
      <c r="HB19" s="172">
        <f>MIN(1,MAX(VLOOKUP(($AJ19-$AI19-$AH19-$AG19-$AF19-$AE19*(1+HB$3))/$AJ19,'Технический лист'!$A:$B,2,1),(HA19-0.05)))</f>
        <v/>
      </c>
      <c r="HC19" s="172">
        <f>MIN(1,MAX(VLOOKUP(($AJ19-$AI19-$AH19-$AG19-$AF19-$AE19*(1+HC$3))/$AJ19,'Технический лист'!$A:$B,2,1),(HB19-0.05)))</f>
        <v/>
      </c>
      <c r="HD19" s="172">
        <f>MIN(1,MAX(VLOOKUP(($AJ19-$AI19-$AH19-$AG19-$AF19-$AE19*(1+HD$3))/$AJ19,'Технический лист'!$A:$B,2,1),(HC19-0.05)))</f>
        <v/>
      </c>
      <c r="HE19" s="172">
        <f>MIN(1,MAX(VLOOKUP(($AJ19-$AI19-$AH19-$AG19-$AF19-$AE19*(1+HE$3))/$AJ19,'Технический лист'!$A:$B,2,1),(HD19-0.05)))</f>
        <v/>
      </c>
      <c r="HF19" s="172">
        <f>MIN(1,MAX(VLOOKUP(($AJ19-$AI19-$AH19-$AG19-$AF19-$AE19*(1+HF$3))/$AJ19,'Технический лист'!$A:$B,2,1),(HE19-0.05)))</f>
        <v/>
      </c>
      <c r="HG19" s="172">
        <f>MIN(1,MAX(VLOOKUP(($AJ19-$AI19-$AH19-$AG19-$AF19-$AE19*(1+HG$3))/$AJ19,'Технический лист'!$A:$B,2,1),(HF19-0.05)))</f>
        <v/>
      </c>
      <c r="HH19" s="172">
        <f>MIN(1,MAX(VLOOKUP(($AJ19-$AI19-$AH19-$AG19-$AF19-$AE19*(1+HH$3))/$AJ19,'Технический лист'!$A:$B,2,1),(HG19-0.05)))</f>
        <v/>
      </c>
      <c r="HI19" s="172">
        <f>MIN(1,MAX(VLOOKUP(($AJ19-$AI19-$AH19-$AG19-$AF19-$AE19*(1+HI$3))/$AJ19,'Технический лист'!$A:$B,2,1),(HH19-0.05)))</f>
        <v/>
      </c>
      <c r="HJ19" s="172">
        <f>MIN(1,MAX(VLOOKUP(($AJ19-$AI19-$AH19-$AG19-$AF19-$AE19*(1+HJ$3))/$AJ19,'Технический лист'!$A:$B,2,1),(HI19-0.05)))</f>
        <v/>
      </c>
      <c r="HK19" s="172">
        <f>MIN(1,MAX(VLOOKUP(($AJ19-$AI19-$AH19-$AG19-$AF19-$AE19*(1+HK$3))/$AJ19,'Технический лист'!$A:$B,2,1),(HJ19-0.05)))</f>
        <v/>
      </c>
      <c r="HL19" s="172">
        <f>MIN(1,MAX(VLOOKUP(($AJ19-$AI19-$AH19-$AG19-$AF19-$AE19*(1+HL$3))/$AJ19,'Технический лист'!$A:$B,2,1),(HK19-0.05)))</f>
        <v/>
      </c>
      <c r="HM19" s="172">
        <f>MIN(1,MAX(VLOOKUP(($AJ19-$AI19-$AH19-$AG19-$AF19-$AE19*(1+HM$3))/$AJ19,'Технический лист'!$A:$B,2,1),(HL19-0.05)))</f>
        <v/>
      </c>
      <c r="HN19" s="172">
        <f>MIN(1,MAX(VLOOKUP(($AJ19-$AI19-$AH19-$AG19-$AF19-$AE19*(1+HN$3))/$AJ19,'Технический лист'!$A:$B,2,1),(HM19-0.05)))</f>
        <v/>
      </c>
      <c r="HO19" s="172">
        <f>MIN(1,MAX(VLOOKUP(($AJ19-$AI19-$AH19-$AG19-$AF19-$AE19*(1+HO$3))/$AJ19,'Технический лист'!$A:$B,2,1),(HN19-0.05)))</f>
        <v/>
      </c>
      <c r="HP19" s="172">
        <f>MIN(1,MAX(VLOOKUP(($AJ19-$AI19-$AH19-$AG19-$AF19-$AE19*(1+HP$3))/$AJ19,'Технический лист'!$A:$B,2,1),(HO19-0.05)))</f>
        <v/>
      </c>
      <c r="HQ19" s="172">
        <f>MIN(1,MAX(VLOOKUP(($AJ19-$AI19-$AH19-$AG19-$AF19-$AE19*(1+HQ$3))/$AJ19,'Технический лист'!$A:$B,2,1),(HP19-0.05)))</f>
        <v/>
      </c>
      <c r="HR19" s="172">
        <f>MIN(1,MAX(VLOOKUP(($AJ19-$AI19-$AH19-$AG19-$AF19-$AE19*(1+HR$3))/$AJ19,'Технический лист'!$A:$B,2,1),(HQ19-0.05)))</f>
        <v/>
      </c>
      <c r="HS19" s="172">
        <f>MIN(1,MAX(VLOOKUP(($AJ19-$AI19-$AH19-$AG19-$AF19-$AE19*(1+HS$3))/$AJ19,'Технический лист'!$A:$B,2,1),(HR19-0.05)))</f>
        <v/>
      </c>
      <c r="HT19" s="172">
        <f>MIN(1,MAX(VLOOKUP(($AJ19-$AI19-$AH19-$AG19-$AF19-$AE19*(1+HT$3))/$AJ19,'Технический лист'!$A:$B,2,1),(HS19-0.05)))</f>
        <v/>
      </c>
      <c r="HU19" s="172">
        <f>MIN(1,MAX(VLOOKUP(($AJ19-$AI19-$AH19-$AG19-$AF19-$AE19*(1+HU$3))/$AJ19,'Технический лист'!$A:$B,2,1),(HT19-0.05)))</f>
        <v/>
      </c>
      <c r="HV19" s="172">
        <f>MIN(1,MAX(VLOOKUP(($AJ19-$AI19-$AH19-$AG19-$AF19-$AE19*(1+HV$3))/$AJ19,'Технический лист'!$A:$B,2,1),(HU19-0.05)))</f>
        <v/>
      </c>
      <c r="HW19" s="172">
        <f>MIN(1,MAX(VLOOKUP(($AJ19-$AI19-$AH19-$AG19-$AF19-$AE19*(1+HW$3))/$AJ19,'Технический лист'!$A:$B,2,1),(HV19-0.05)))</f>
        <v/>
      </c>
      <c r="HX19" s="172">
        <f>MIN(1,MAX(VLOOKUP(($AJ19-$AI19-$AH19-$AG19-$AF19-$AE19*(1+HX$3))/$AJ19,'Технический лист'!$A:$B,2,1),(HW19-0.05)))</f>
        <v/>
      </c>
      <c r="HY19" s="172">
        <f>MIN(1,MAX(VLOOKUP(($AJ19-$AI19-$AH19-$AG19-$AF19-$AE19*(1+HY$3))/$AJ19,'Технический лист'!$A:$B,2,1),(HX19-0.05)))</f>
        <v/>
      </c>
      <c r="HZ19" s="172">
        <f>MIN(1,MAX(VLOOKUP(($AJ19-$AI19-$AH19-$AG19-$AF19-$AE19*(1+HZ$3))/$AJ19,'Технический лист'!$A:$B,2,1),(HY19-0.05)))</f>
        <v/>
      </c>
      <c r="IA19" s="172">
        <f>MIN(1,MAX(VLOOKUP(($AJ19-$AI19-$AH19-$AG19-$AF19-$AE19*(1+IA$3))/$AJ19,'Технический лист'!$A:$B,2,1),(HZ19-0.05)))</f>
        <v/>
      </c>
      <c r="IB19" s="172">
        <f>MIN(1,MAX(VLOOKUP(($AJ19-$AI19-$AH19-$AG19-$AF19-$AE19*(1+IB$3))/$AJ19,'Технический лист'!$A:$B,2,1),(IA19-0.05)))</f>
        <v/>
      </c>
      <c r="IC19" s="172">
        <f>MIN(1,MAX(VLOOKUP(($AJ19-$AI19-$AH19-$AG19-$AF19-$AE19*(1+IC$3))/$AJ19,'Технический лист'!$A:$B,2,1),(IB19-0.05)))</f>
        <v/>
      </c>
      <c r="ID19" s="172">
        <f>MIN(1,MAX(VLOOKUP(($AJ19-$AI19-$AH19-$AG19-$AF19-$AE19*(1+ID$3))/$AJ19,'Технический лист'!$A:$B,2,1),(IC19-0.05)))</f>
        <v/>
      </c>
      <c r="IE19" s="172">
        <f>MIN(1,MAX(VLOOKUP(($AJ19-$AI19-$AH19-$AG19-$AF19-$AE19*(1+IE$3))/$AJ19,'Технический лист'!$A:$B,2,1),(ID19-0.05)))</f>
        <v/>
      </c>
      <c r="IF19" s="172">
        <f>MIN(1,MAX(VLOOKUP(($AJ19-$AI19-$AH19-$AG19-$AF19-$AE19*(1+IF$3))/$AJ19,'Технический лист'!$A:$B,2,1),(IE19-0.05)))</f>
        <v/>
      </c>
      <c r="IG19" s="172">
        <f>MIN(1,MAX(VLOOKUP(($AJ19-$AI19-$AH19-$AG19-$AF19-$AE19*(1+IG$3))/$AJ19,'Технический лист'!$A:$B,2,1),(IF19-0.05)))</f>
        <v/>
      </c>
      <c r="IH19" s="172">
        <f>MIN(1,MAX(VLOOKUP(($AJ19-$AI19-$AH19-$AG19-$AF19-$AE19*(1+IH$3))/$AJ19,'Технический лист'!$A:$B,2,1),(IG19-0.05)))</f>
        <v/>
      </c>
      <c r="II19" s="172">
        <f>MIN(1,MAX(VLOOKUP(($AJ19-$AI19-$AH19-$AG19-$AF19-$AE19*(1+II$3))/$AJ19,'Технический лист'!$A:$B,2,1),(IH19-0.05)))</f>
        <v/>
      </c>
      <c r="IJ19" s="172">
        <f>MIN(1,MAX(VLOOKUP(($AJ19-$AI19-$AH19-$AG19-$AF19-$AE19*(1+IJ$3))/$AJ19,'Технический лист'!$A:$B,2,1),(II19-0.05)))</f>
        <v/>
      </c>
      <c r="IK19" s="172">
        <f>MIN(1,MAX(VLOOKUP(($AJ19-$AI19-$AH19-$AG19-$AF19-$AE19*(1+IK$3))/$AJ19,'Технический лист'!$A:$B,2,1),(IJ19-0.05)))</f>
        <v/>
      </c>
      <c r="IL19" s="172">
        <f>MIN(1,MAX(VLOOKUP(($AJ19-$AI19-$AH19-$AG19-$AF19-$AE19*(1+IL$3))/$AJ19,'Технический лист'!$A:$B,2,1),(IK19-0.05)))</f>
        <v/>
      </c>
      <c r="IM19" s="172">
        <f>MIN(1,MAX(VLOOKUP(($AJ19-$AI19-$AH19-$AG19-$AF19-$AE19*(1+IM$3))/$AJ19,'Технический лист'!$A:$B,2,1),(IL19-0.05)))</f>
        <v/>
      </c>
      <c r="IN19" s="172">
        <f>MIN(1,MAX(VLOOKUP(($AJ19-$AI19-$AH19-$AG19-$AF19-$AE19*(1+IN$3))/$AJ19,'Технический лист'!$A:$B,2,1),(IM19-0.05)))</f>
        <v/>
      </c>
      <c r="IO19" s="172">
        <f>MIN(1,MAX(VLOOKUP(($AJ19-$AI19-$AH19-$AG19-$AF19-$AE19*(1+IO$3))/$AJ19,'Технический лист'!$A:$B,2,1),(IN19-0.05)))</f>
        <v/>
      </c>
      <c r="IP19" s="172">
        <f>MIN(1,MAX(VLOOKUP(($AJ19-$AI19-$AH19-$AG19-$AF19-$AE19*(1+IP$3))/$AJ19,'Технический лист'!$A:$B,2,1),(IO19-0.05)))</f>
        <v/>
      </c>
      <c r="IQ19" s="172">
        <f>MIN(1,MAX(VLOOKUP(($AJ19-$AI19-$AH19-$AG19-$AF19-$AE19*(1+IQ$3))/$AJ19,'Технический лист'!$A:$B,2,1),(IP19-0.05)))</f>
        <v/>
      </c>
      <c r="IR19" s="172">
        <f>MIN(1,MAX(VLOOKUP(($AJ19-$AI19-$AH19-$AG19-$AF19-$AE19*(1+IR$3))/$AJ19,'Технический лист'!$A:$B,2,1),(IQ19-0.05)))</f>
        <v/>
      </c>
    </row>
    <row r="20" ht="29.15" customHeight="1" s="123">
      <c r="A20" s="89" t="inlineStr">
        <is>
          <t>ЧМ (сырье)</t>
        </is>
      </c>
      <c r="B20" s="90" t="n">
        <v>2</v>
      </c>
      <c r="C20" s="5" t="inlineStr">
        <is>
          <t>Кокс каменноугольный</t>
        </is>
      </c>
      <c r="D20" s="91" t="n">
        <v>17107</v>
      </c>
      <c r="E20" s="91" t="inlineStr">
        <is>
          <t xml:space="preserve">Кокс литейный КЛ-2 </t>
        </is>
      </c>
      <c r="F20" s="92" t="inlineStr">
        <is>
          <t>КОКС КАМЕННОУГОЛЬНЫЙ</t>
        </is>
      </c>
      <c r="G20" s="91" t="inlineStr">
        <is>
          <t>ГОР</t>
        </is>
      </c>
      <c r="H20" s="91" t="inlineStr">
        <is>
          <t>СКВ</t>
        </is>
      </c>
      <c r="I20" s="91" t="inlineStr">
        <is>
          <t>ЗЕЛЕЦИНО</t>
        </is>
      </c>
      <c r="J20" s="91" t="inlineStr">
        <is>
          <t>ТУАПСЕ-СОР-Э</t>
        </is>
      </c>
      <c r="K20" s="91" t="n">
        <v>2311</v>
      </c>
      <c r="L20" s="91" t="inlineStr">
        <is>
          <t>Полувагоны</t>
        </is>
      </c>
      <c r="M20" s="91" t="inlineStr">
        <is>
          <t>Экспорт</t>
        </is>
      </c>
      <c r="N20" s="91" t="inlineStr">
        <is>
          <t>вагонная</t>
        </is>
      </c>
      <c r="O20" s="91" t="inlineStr">
        <is>
          <t xml:space="preserve">Южное </t>
        </is>
      </c>
      <c r="P20" s="89" t="inlineStr">
        <is>
          <t>'000005747181</t>
        </is>
      </c>
      <c r="Q20" s="91" t="inlineStr">
        <is>
          <t>'ООО "ЛУКОЙЛ-Нижегороднефтеоргсинтез"</t>
        </is>
      </c>
      <c r="R20" s="91" t="inlineStr">
        <is>
          <t>ПАО "Лукойл"</t>
        </is>
      </c>
      <c r="S20" s="87" t="n">
        <v>56167</v>
      </c>
      <c r="T20" s="87" t="n">
        <v>129801242</v>
      </c>
      <c r="U20" s="88" t="n">
        <v>871</v>
      </c>
      <c r="V20" s="88" t="n">
        <v>0</v>
      </c>
      <c r="W20" s="87" t="n">
        <v>84578350</v>
      </c>
      <c r="X20" s="112" t="n">
        <v>65</v>
      </c>
      <c r="Y20" s="112" t="inlineStr">
        <is>
          <t>групповая</t>
        </is>
      </c>
      <c r="Z20" s="113" t="n">
        <v>9</v>
      </c>
      <c r="AA20" s="113" t="n">
        <v>7</v>
      </c>
      <c r="AB20" s="113" t="n">
        <v>4</v>
      </c>
      <c r="AC20" s="161" t="n">
        <v>1698.55</v>
      </c>
      <c r="AD20" s="161">
        <f>AE20-AC20</f>
        <v/>
      </c>
      <c r="AE20" s="161" t="n">
        <v>2279.95</v>
      </c>
      <c r="AF20" s="162">
        <f>(Z20+AA20+AB20)*'Ставки аренды'!$B$3/X20</f>
        <v/>
      </c>
      <c r="AG20" s="163">
        <f>'Ставки перевалки'!$B$3*'Курсы валют'!$B$2</f>
        <v/>
      </c>
      <c r="AH20" s="164" t="n">
        <v>0</v>
      </c>
      <c r="AI20" s="165">
        <f>55698921/113463679*AVERAGE(AJ20,AJ21)</f>
        <v/>
      </c>
      <c r="AJ20" s="166">
        <f>Цены!$C$8*'Курсы валют'!$B$2</f>
        <v/>
      </c>
      <c r="AK20" s="164">
        <f>AJ20/Цены!$B$1</f>
        <v/>
      </c>
      <c r="AL20" s="164">
        <f>AE20+AF20+AG20</f>
        <v/>
      </c>
      <c r="AM20" s="164">
        <f>AJ20-AL20</f>
        <v/>
      </c>
      <c r="AN20" s="164">
        <f>AI20+AH20+AG20+AF20+AE20</f>
        <v/>
      </c>
      <c r="AO20" s="167">
        <f>(AJ20-AN20)/AJ20</f>
        <v/>
      </c>
      <c r="AP20" s="168">
        <f>AL20/AJ20</f>
        <v/>
      </c>
      <c r="AQ20" s="168">
        <f>AE20/AJ20</f>
        <v/>
      </c>
      <c r="AR20" s="168">
        <f>AE20/AL20</f>
        <v/>
      </c>
      <c r="AS20" s="169" t="n">
        <v>1</v>
      </c>
      <c r="AT20" s="121">
        <f>S20*AS20</f>
        <v/>
      </c>
      <c r="AU20" s="83" t="n">
        <v>0.95</v>
      </c>
      <c r="AV20" s="170">
        <f>(AJ20-(AE20*(1+$IS$2)+AF20+AG20+AH20+AI20))/AJ20</f>
        <v/>
      </c>
      <c r="AW20" s="171">
        <f>(AE20*(1+$IS$2)+AF20+AG20)/AJ20</f>
        <v/>
      </c>
      <c r="AX20" s="171">
        <f>(AE20*(1+$IS$2))/AJ20</f>
        <v/>
      </c>
      <c r="AY20" s="171">
        <f>(AE20*(1+$IS$2))/(AE20*(1+$IS$2)+AF20+AG20)</f>
        <v/>
      </c>
      <c r="AZ20" s="172">
        <f>MIN(IF($AU20=100%,1,1+VLOOKUP(($AJ20-$AI20-$AH20-$AG20-$AF20-$AE20*(1+AZ$3))/$AJ20,'Технический лист'!$A:$B,2,1)-VLOOKUP($AO20,'Технический лист'!$A:$B,2,1)),1+(1-$AU20))</f>
        <v/>
      </c>
      <c r="BA20" s="172">
        <f>MIN(IF($AU20=100%,1,1+VLOOKUP(($AJ20-$AI20-$AH20-$AG20-$AF20-$AE20*(1+BA$3))/$AJ20,'Технический лист'!$A:$B,2,1)-VLOOKUP($AO20,'Технический лист'!$A:$B,2,1)),1+(1-$AU20))</f>
        <v/>
      </c>
      <c r="BB20" s="172">
        <f>MIN(IF($AU20=100%,1,1+VLOOKUP(($AJ20-$AI20-$AH20-$AG20-$AF20-$AE20*(1+BB$3))/$AJ20,'Технический лист'!$A:$B,2,1)-VLOOKUP($AO20,'Технический лист'!$A:$B,2,1)),1+(1-$AU20))</f>
        <v/>
      </c>
      <c r="BC20" s="172">
        <f>MIN(IF($AU20=100%,1,1+VLOOKUP(($AJ20-$AI20-$AH20-$AG20-$AF20-$AE20*(1+BC$3))/$AJ20,'Технический лист'!$A:$B,2,1)-VLOOKUP($AO20,'Технический лист'!$A:$B,2,1)),1+(1-$AU20))</f>
        <v/>
      </c>
      <c r="BD20" s="172">
        <f>MIN(IF($AU20=100%,1,1+VLOOKUP(($AJ20-$AI20-$AH20-$AG20-$AF20-$AE20*(1+BD$3))/$AJ20,'Технический лист'!$A:$B,2,1)-VLOOKUP($AO20,'Технический лист'!$A:$B,2,1)),1+(1-$AU20))</f>
        <v/>
      </c>
      <c r="BE20" s="172">
        <f>MIN(IF($AU20=100%,1,1+VLOOKUP(($AJ20-$AI20-$AH20-$AG20-$AF20-$AE20*(1+BE$3))/$AJ20,'Технический лист'!$A:$B,2,1)-VLOOKUP($AO20,'Технический лист'!$A:$B,2,1)),1+(1-$AU20))</f>
        <v/>
      </c>
      <c r="BF20" s="172">
        <f>MIN(IF($AU20=100%,1,1+VLOOKUP(($AJ20-$AI20-$AH20-$AG20-$AF20-$AE20*(1+BF$3))/$AJ20,'Технический лист'!$A:$B,2,1)-VLOOKUP($AO20,'Технический лист'!$A:$B,2,1)),1+(1-$AU20))</f>
        <v/>
      </c>
      <c r="BG20" s="172">
        <f>MIN(IF($AU20=100%,1,1+VLOOKUP(($AJ20-$AI20-$AH20-$AG20-$AF20-$AE20*(1+BG$3))/$AJ20,'Технический лист'!$A:$B,2,1)-VLOOKUP($AO20,'Технический лист'!$A:$B,2,1)),1+(1-$AU20))</f>
        <v/>
      </c>
      <c r="BH20" s="172">
        <f>MIN(IF($AU20=100%,1,1+VLOOKUP(($AJ20-$AI20-$AH20-$AG20-$AF20-$AE20*(1+BH$3))/$AJ20,'Технический лист'!$A:$B,2,1)-VLOOKUP($AO20,'Технический лист'!$A:$B,2,1)),1+(1-$AU20))</f>
        <v/>
      </c>
      <c r="BI20" s="172">
        <f>MIN(IF($AU20=100%,1,1+VLOOKUP(($AJ20-$AI20-$AH20-$AG20-$AF20-$AE20*(1+BI$3))/$AJ20,'Технический лист'!$A:$B,2,1)-VLOOKUP($AO20,'Технический лист'!$A:$B,2,1)),1+(1-$AU20))</f>
        <v/>
      </c>
      <c r="BJ20" s="172">
        <f>MIN(IF($AU20=100%,1,1+VLOOKUP(($AJ20-$AI20-$AH20-$AG20-$AF20-$AE20*(1+BJ$3))/$AJ20,'Технический лист'!$A:$B,2,1)-VLOOKUP($AO20,'Технический лист'!$A:$B,2,1)),1+(1-$AU20))</f>
        <v/>
      </c>
      <c r="BK20" s="172">
        <f>MIN(IF($AU20=100%,1,1+VLOOKUP(($AJ20-$AI20-$AH20-$AG20-$AF20-$AE20*(1+BK$3))/$AJ20,'Технический лист'!$A:$B,2,1)-VLOOKUP($AO20,'Технический лист'!$A:$B,2,1)),1+(1-$AU20))</f>
        <v/>
      </c>
      <c r="BL20" s="172">
        <f>MIN(IF($AU20=100%,1,1+VLOOKUP(($AJ20-$AI20-$AH20-$AG20-$AF20-$AE20*(1+BL$3))/$AJ20,'Технический лист'!$A:$B,2,1)-VLOOKUP($AO20,'Технический лист'!$A:$B,2,1)),1+(1-$AU20))</f>
        <v/>
      </c>
      <c r="BM20" s="172">
        <f>MIN(IF($AU20=100%,1,1+VLOOKUP(($AJ20-$AI20-$AH20-$AG20-$AF20-$AE20*(1+BM$3))/$AJ20,'Технический лист'!$A:$B,2,1)-VLOOKUP($AO20,'Технический лист'!$A:$B,2,1)),1+(1-$AU20))</f>
        <v/>
      </c>
      <c r="BN20" s="172">
        <f>MIN(IF($AU20=100%,1,1+VLOOKUP(($AJ20-$AI20-$AH20-$AG20-$AF20-$AE20*(1+BN$3))/$AJ20,'Технический лист'!$A:$B,2,1)-VLOOKUP($AO20,'Технический лист'!$A:$B,2,1)),1+(1-$AU20))</f>
        <v/>
      </c>
      <c r="BO20" s="172">
        <f>MIN(IF($AU20=100%,1,1+VLOOKUP(($AJ20-$AI20-$AH20-$AG20-$AF20-$AE20*(1+BO$3))/$AJ20,'Технический лист'!$A:$B,2,1)-VLOOKUP($AO20,'Технический лист'!$A:$B,2,1)),1+(1-$AU20))</f>
        <v/>
      </c>
      <c r="BP20" s="172">
        <f>MIN(IF($AU20=100%,1,1+VLOOKUP(($AJ20-$AI20-$AH20-$AG20-$AF20-$AE20*(1+BP$3))/$AJ20,'Технический лист'!$A:$B,2,1)-VLOOKUP($AO20,'Технический лист'!$A:$B,2,1)),1+(1-$AU20))</f>
        <v/>
      </c>
      <c r="BQ20" s="172">
        <f>MIN(IF($AU20=100%,1,1+VLOOKUP(($AJ20-$AI20-$AH20-$AG20-$AF20-$AE20*(1+BQ$3))/$AJ20,'Технический лист'!$A:$B,2,1)-VLOOKUP($AO20,'Технический лист'!$A:$B,2,1)),1+(1-$AU20))</f>
        <v/>
      </c>
      <c r="BR20" s="172">
        <f>MIN(IF($AU20=100%,1,1+VLOOKUP(($AJ20-$AI20-$AH20-$AG20-$AF20-$AE20*(1+BR$3))/$AJ20,'Технический лист'!$A:$B,2,1)-VLOOKUP($AO20,'Технический лист'!$A:$B,2,1)),1+(1-$AU20))</f>
        <v/>
      </c>
      <c r="BS20" s="172">
        <f>MIN(IF($AU20=100%,1,1+VLOOKUP(($AJ20-$AI20-$AH20-$AG20-$AF20-$AE20*(1+BS$3))/$AJ20,'Технический лист'!$A:$B,2,1)-VLOOKUP($AO20,'Технический лист'!$A:$B,2,1)),1+(1-$AU20))</f>
        <v/>
      </c>
      <c r="BT20" s="172">
        <f>MIN(IF($AU20=100%,1,1+VLOOKUP(($AJ20-$AI20-$AH20-$AG20-$AF20-$AE20*(1+BT$3))/$AJ20,'Технический лист'!$A:$B,2,1)-VLOOKUP($AO20,'Технический лист'!$A:$B,2,1)),1+(1-$AU20))</f>
        <v/>
      </c>
      <c r="BU20" s="172">
        <f>MIN(IF($AU20=100%,1,1+VLOOKUP(($AJ20-$AI20-$AH20-$AG20-$AF20-$AE20*(1+BU$3))/$AJ20,'Технический лист'!$A:$B,2,1)-VLOOKUP($AO20,'Технический лист'!$A:$B,2,1)),1+(1-$AU20))</f>
        <v/>
      </c>
      <c r="BV20" s="172">
        <f>MIN(IF($AU20=100%,1,1+VLOOKUP(($AJ20-$AI20-$AH20-$AG20-$AF20-$AE20*(1+BV$3))/$AJ20,'Технический лист'!$A:$B,2,1)-VLOOKUP($AO20,'Технический лист'!$A:$B,2,1)),1+(1-$AU20))</f>
        <v/>
      </c>
      <c r="BW20" s="172">
        <f>MIN(IF($AU20=100%,1,1+VLOOKUP(($AJ20-$AI20-$AH20-$AG20-$AF20-$AE20*(1+BW$3))/$AJ20,'Технический лист'!$A:$B,2,1)-VLOOKUP($AO20,'Технический лист'!$A:$B,2,1)),1+(1-$AU20))</f>
        <v/>
      </c>
      <c r="BX20" s="172">
        <f>MIN(IF($AU20=100%,1,1+VLOOKUP(($AJ20-$AI20-$AH20-$AG20-$AF20-$AE20*(1+BX$3))/$AJ20,'Технический лист'!$A:$B,2,1)-VLOOKUP($AO20,'Технический лист'!$A:$B,2,1)),1+(1-$AU20))</f>
        <v/>
      </c>
      <c r="BY20" s="172">
        <f>MIN(IF($AU20=100%,1,1+VLOOKUP(($AJ20-$AI20-$AH20-$AG20-$AF20-$AE20*(1+BY$3))/$AJ20,'Технический лист'!$A:$B,2,1)-VLOOKUP($AO20,'Технический лист'!$A:$B,2,1)),1+(1-$AU20))</f>
        <v/>
      </c>
      <c r="BZ20" s="172">
        <f>MIN(IF($AU20=100%,1,1+VLOOKUP(($AJ20-$AI20-$AH20-$AG20-$AF20-$AE20*(1+BZ$3))/$AJ20,'Технический лист'!$A:$B,2,1)-VLOOKUP($AO20,'Технический лист'!$A:$B,2,1)),1+(1-$AU20))</f>
        <v/>
      </c>
      <c r="CA20" s="172">
        <f>MIN(IF($AU20=100%,1,1+VLOOKUP(($AJ20-$AI20-$AH20-$AG20-$AF20-$AE20*(1+CA$3))/$AJ20,'Технический лист'!$A:$B,2,1)-VLOOKUP($AO20,'Технический лист'!$A:$B,2,1)),1+(1-$AU20))</f>
        <v/>
      </c>
      <c r="CB20" s="172">
        <f>MIN(IF($AU20=100%,1,1+VLOOKUP(($AJ20-$AI20-$AH20-$AG20-$AF20-$AE20*(1+CB$3))/$AJ20,'Технический лист'!$A:$B,2,1)-VLOOKUP($AO20,'Технический лист'!$A:$B,2,1)),1+(1-$AU20))</f>
        <v/>
      </c>
      <c r="CC20" s="172">
        <f>MIN(IF($AU20=100%,1,1+VLOOKUP(($AJ20-$AI20-$AH20-$AG20-$AF20-$AE20*(1+CC$3))/$AJ20,'Технический лист'!$A:$B,2,1)-VLOOKUP($AO20,'Технический лист'!$A:$B,2,1)),1+(1-$AU20))</f>
        <v/>
      </c>
      <c r="CD20" s="172">
        <f>MIN(IF($AU20=100%,1,1+VLOOKUP(($AJ20-$AI20-$AH20-$AG20-$AF20-$AE20*(1+CD$3))/$AJ20,'Технический лист'!$A:$B,2,1)-VLOOKUP($AO20,'Технический лист'!$A:$B,2,1)),1+(1-$AU20))</f>
        <v/>
      </c>
      <c r="CE20" s="172">
        <f>MIN(IF($AU20=100%,1,1+VLOOKUP(($AJ20-$AI20-$AH20-$AG20-$AF20-$AE20*(1+CE$3))/$AJ20,'Технический лист'!$A:$B,2,1)-VLOOKUP($AO20,'Технический лист'!$A:$B,2,1)),1+(1-$AU20))</f>
        <v/>
      </c>
      <c r="CF20" s="172">
        <f>MIN(IF($AU20=100%,1,1+VLOOKUP(($AJ20-$AI20-$AH20-$AG20-$AF20-$AE20*(1+CF$3))/$AJ20,'Технический лист'!$A:$B,2,1)-VLOOKUP($AO20,'Технический лист'!$A:$B,2,1)),1+(1-$AU20))</f>
        <v/>
      </c>
      <c r="CG20" s="172">
        <f>MIN(IF($AU20=100%,1,1+VLOOKUP(($AJ20-$AI20-$AH20-$AG20-$AF20-$AE20*(1+CG$3))/$AJ20,'Технический лист'!$A:$B,2,1)-VLOOKUP($AO20,'Технический лист'!$A:$B,2,1)),1+(1-$AU20))</f>
        <v/>
      </c>
      <c r="CH20" s="172">
        <f>MIN(IF($AU20=100%,1,1+VLOOKUP(($AJ20-$AI20-$AH20-$AG20-$AF20-$AE20*(1+CH$3))/$AJ20,'Технический лист'!$A:$B,2,1)-VLOOKUP($AO20,'Технический лист'!$A:$B,2,1)),1+(1-$AU20))</f>
        <v/>
      </c>
      <c r="CI20" s="172">
        <f>MIN(IF($AU20=100%,1,1+VLOOKUP(($AJ20-$AI20-$AH20-$AG20-$AF20-$AE20*(1+CI$3))/$AJ20,'Технический лист'!$A:$B,2,1)-VLOOKUP($AO20,'Технический лист'!$A:$B,2,1)),1+(1-$AU20))</f>
        <v/>
      </c>
      <c r="CJ20" s="172">
        <f>MIN(IF($AU20=100%,1,1+VLOOKUP(($AJ20-$AI20-$AH20-$AG20-$AF20-$AE20*(1+CJ$3))/$AJ20,'Технический лист'!$A:$B,2,1)-VLOOKUP($AO20,'Технический лист'!$A:$B,2,1)),1+(1-$AU20))</f>
        <v/>
      </c>
      <c r="CK20" s="172">
        <f>MIN(IF($AU20=100%,1,1+VLOOKUP(($AJ20-$AI20-$AH20-$AG20-$AF20-$AE20*(1+CK$3))/$AJ20,'Технический лист'!$A:$B,2,1)-VLOOKUP($AO20,'Технический лист'!$A:$B,2,1)),1+(1-$AU20))</f>
        <v/>
      </c>
      <c r="CL20" s="172">
        <f>MIN(IF($AU20=100%,1,1+VLOOKUP(($AJ20-$AI20-$AH20-$AG20-$AF20-$AE20*(1+CL$3))/$AJ20,'Технический лист'!$A:$B,2,1)-VLOOKUP($AO20,'Технический лист'!$A:$B,2,1)),1+(1-$AU20))</f>
        <v/>
      </c>
      <c r="CM20" s="172">
        <f>MIN(IF($AU20=100%,1,1+VLOOKUP(($AJ20-$AI20-$AH20-$AG20-$AF20-$AE20*(1+CM$3))/$AJ20,'Технический лист'!$A:$B,2,1)-VLOOKUP($AO20,'Технический лист'!$A:$B,2,1)),1+(1-$AU20))</f>
        <v/>
      </c>
      <c r="CN20" s="172">
        <f>MIN(IF($AU20=100%,1,1+VLOOKUP(($AJ20-$AI20-$AH20-$AG20-$AF20-$AE20*(1+CN$3))/$AJ20,'Технический лист'!$A:$B,2,1)-VLOOKUP($AO20,'Технический лист'!$A:$B,2,1)),1+(1-$AU20))</f>
        <v/>
      </c>
      <c r="CO20" s="172">
        <f>MIN(IF($AU20=100%,1,1+VLOOKUP(($AJ20-$AI20-$AH20-$AG20-$AF20-$AE20*(1+CO$3))/$AJ20,'Технический лист'!$A:$B,2,1)-VLOOKUP($AO20,'Технический лист'!$A:$B,2,1)),1+(1-$AU20))</f>
        <v/>
      </c>
      <c r="CP20" s="172">
        <f>MIN(IF($AU20=100%,1,1+VLOOKUP(($AJ20-$AI20-$AH20-$AG20-$AF20-$AE20*(1+CP$3))/$AJ20,'Технический лист'!$A:$B,2,1)-VLOOKUP($AO20,'Технический лист'!$A:$B,2,1)),1+(1-$AU20))</f>
        <v/>
      </c>
      <c r="CQ20" s="172">
        <f>MIN(IF($AU20=100%,1,1+VLOOKUP(($AJ20-$AI20-$AH20-$AG20-$AF20-$AE20*(1+CQ$3))/$AJ20,'Технический лист'!$A:$B,2,1)-VLOOKUP($AO20,'Технический лист'!$A:$B,2,1)),1+(1-$AU20))</f>
        <v/>
      </c>
      <c r="CR20" s="172">
        <f>MIN(IF($AU20=100%,1,1+VLOOKUP(($AJ20-$AI20-$AH20-$AG20-$AF20-$AE20*(1+CR$3))/$AJ20,'Технический лист'!$A:$B,2,1)-VLOOKUP($AO20,'Технический лист'!$A:$B,2,1)),1+(1-$AU20))</f>
        <v/>
      </c>
      <c r="CS20" s="172">
        <f>MIN(IF($AU20=100%,1,1+VLOOKUP(($AJ20-$AI20-$AH20-$AG20-$AF20-$AE20*(1+CS$3))/$AJ20,'Технический лист'!$A:$B,2,1)-VLOOKUP($AO20,'Технический лист'!$A:$B,2,1)),1+(1-$AU20))</f>
        <v/>
      </c>
      <c r="CT20" s="172">
        <f>MIN(IF($AU20=100%,1,1+VLOOKUP(($AJ20-$AI20-$AH20-$AG20-$AF20-$AE20*(1+CT$3))/$AJ20,'Технический лист'!$A:$B,2,1)-VLOOKUP($AO20,'Технический лист'!$A:$B,2,1)),1+(1-$AU20))</f>
        <v/>
      </c>
      <c r="CU20" s="172">
        <f>MIN(IF($AU20=100%,1,1+VLOOKUP(($AJ20-$AI20-$AH20-$AG20-$AF20-$AE20*(1+CU$3))/$AJ20,'Технический лист'!$A:$B,2,1)-VLOOKUP($AO20,'Технический лист'!$A:$B,2,1)),1+(1-$AU20))</f>
        <v/>
      </c>
      <c r="CV20" s="172">
        <f>MIN(IF($AU20=100%,1,1+VLOOKUP(($AJ20-$AI20-$AH20-$AG20-$AF20-$AE20*(1+CV$3))/$AJ20,'Технический лист'!$A:$B,2,1)-VLOOKUP($AO20,'Технический лист'!$A:$B,2,1)),1+(1-$AU20))</f>
        <v/>
      </c>
      <c r="CW20" s="172">
        <f>MIN(IF($AU20=100%,1,1+VLOOKUP(($AJ20-$AI20-$AH20-$AG20-$AF20-$AE20*(1+CW$3))/$AJ20,'Технический лист'!$A:$B,2,1)-VLOOKUP($AO20,'Технический лист'!$A:$B,2,1)),1+(1-$AU20))</f>
        <v/>
      </c>
      <c r="CX20" s="172">
        <f>MIN(IF($AU20=100%,1,1+VLOOKUP(($AJ20-$AI20-$AH20-$AG20-$AF20-$AE20*(1+CX$3))/$AJ20,'Технический лист'!$A:$B,2,1)-VLOOKUP($AO20,'Технический лист'!$A:$B,2,1)),1+(1-$AU20))</f>
        <v/>
      </c>
      <c r="CY20" s="172">
        <f>MIN(IF($AU20=100%,1,1+VLOOKUP(($AJ20-$AI20-$AH20-$AG20-$AF20-$AE20*(1+CY$3))/$AJ20,'Технический лист'!$A:$B,2,1)-VLOOKUP($AO20,'Технический лист'!$A:$B,2,1)),1+(1-$AU20))</f>
        <v/>
      </c>
      <c r="CZ20" s="172">
        <f>MIN(IF($AU20=100%,1,1+VLOOKUP(($AJ20-$AI20-$AH20-$AG20-$AF20-$AE20*(1+CZ$3))/$AJ20,'Технический лист'!$A:$B,2,1)-VLOOKUP($AO20,'Технический лист'!$A:$B,2,1)),1+(1-$AU20))</f>
        <v/>
      </c>
      <c r="DA20" s="172">
        <f>MIN(IF($AU20=100%,1,1+VLOOKUP(($AJ20-$AI20-$AH20-$AG20-$AF20-$AE20*(1+DA$3))/$AJ20,'Технический лист'!$A:$B,2,1)-VLOOKUP($AO20,'Технический лист'!$A:$B,2,1)),1+(1-$AU20))</f>
        <v/>
      </c>
      <c r="DB20" s="172">
        <f>MIN(IF($AU20=100%,1,1+VLOOKUP(($AJ20-$AI20-$AH20-$AG20-$AF20-$AE20*(1+DB$3))/$AJ20,'Технический лист'!$A:$B,2,1)-VLOOKUP($AO20,'Технический лист'!$A:$B,2,1)),1+(1-$AU20))</f>
        <v/>
      </c>
      <c r="DC20" s="172">
        <f>MIN(IF($AU20=100%,1,1+VLOOKUP(($AJ20-$AI20-$AH20-$AG20-$AF20-$AE20*(1+DC$3))/$AJ20,'Технический лист'!$A:$B,2,1)-VLOOKUP($AO20,'Технический лист'!$A:$B,2,1)),1+(1-$AU20))</f>
        <v/>
      </c>
      <c r="DD20" s="172">
        <f>MIN(IF($AU20=100%,1,1+VLOOKUP(($AJ20-$AI20-$AH20-$AG20-$AF20-$AE20*(1+DD$3))/$AJ20,'Технический лист'!$A:$B,2,1)-VLOOKUP($AO20,'Технический лист'!$A:$B,2,1)),1+(1-$AU20))</f>
        <v/>
      </c>
      <c r="DE20" s="172">
        <f>MIN(IF($AU20=100%,1,1+VLOOKUP(($AJ20-$AI20-$AH20-$AG20-$AF20-$AE20*(1+DE$3))/$AJ20,'Технический лист'!$A:$B,2,1)-VLOOKUP($AO20,'Технический лист'!$A:$B,2,1)),1+(1-$AU20))</f>
        <v/>
      </c>
      <c r="DF20" s="172">
        <f>MIN(IF($AU20=100%,1,1+VLOOKUP(($AJ20-$AI20-$AH20-$AG20-$AF20-$AE20*(1+DF$3))/$AJ20,'Технический лист'!$A:$B,2,1)-VLOOKUP($AO20,'Технический лист'!$A:$B,2,1)),1+(1-$AU20))</f>
        <v/>
      </c>
      <c r="DG20" s="172">
        <f>MIN(IF($AU20=100%,1,1+VLOOKUP(($AJ20-$AI20-$AH20-$AG20-$AF20-$AE20*(1+DG$3))/$AJ20,'Технический лист'!$A:$B,2,1)-VLOOKUP($AO20,'Технический лист'!$A:$B,2,1)),1+(1-$AU20))</f>
        <v/>
      </c>
      <c r="DH20" s="172">
        <f>MIN(IF($AU20=100%,1,1+VLOOKUP(($AJ20-$AI20-$AH20-$AG20-$AF20-$AE20*(1+DH$3))/$AJ20,'Технический лист'!$A:$B,2,1)-VLOOKUP($AO20,'Технический лист'!$A:$B,2,1)),1+(1-$AU20))</f>
        <v/>
      </c>
      <c r="DI20" s="172">
        <f>MIN(IF($AU20=100%,1,1+VLOOKUP(($AJ20-$AI20-$AH20-$AG20-$AF20-$AE20*(1+DI$3))/$AJ20,'Технический лист'!$A:$B,2,1)-VLOOKUP($AO20,'Технический лист'!$A:$B,2,1)),1+(1-$AU20))</f>
        <v/>
      </c>
      <c r="DJ20" s="172">
        <f>MIN(IF($AU20=100%,1,1+VLOOKUP(($AJ20-$AI20-$AH20-$AG20-$AF20-$AE20*(1+DJ$3))/$AJ20,'Технический лист'!$A:$B,2,1)-VLOOKUP($AO20,'Технический лист'!$A:$B,2,1)),1+(1-$AU20))</f>
        <v/>
      </c>
      <c r="DK20" s="172">
        <f>MIN(IF($AU20=100%,1,1+VLOOKUP(($AJ20-$AI20-$AH20-$AG20-$AF20-$AE20*(1+DK$3))/$AJ20,'Технический лист'!$A:$B,2,1)-VLOOKUP($AO20,'Технический лист'!$A:$B,2,1)),1+(1-$AU20))</f>
        <v/>
      </c>
      <c r="DL20" s="172">
        <f>MIN(IF($AU20=100%,1,1+VLOOKUP(($AJ20-$AI20-$AH20-$AG20-$AF20-$AE20*(1+DL$3))/$AJ20,'Технический лист'!$A:$B,2,1)-VLOOKUP($AO20,'Технический лист'!$A:$B,2,1)),1+(1-$AU20))</f>
        <v/>
      </c>
      <c r="DM20" s="172">
        <f>MIN(IF($AU20=100%,1,1+VLOOKUP(($AJ20-$AI20-$AH20-$AG20-$AF20-$AE20*(1+DM$3))/$AJ20,'Технический лист'!$A:$B,2,1)-VLOOKUP($AO20,'Технический лист'!$A:$B,2,1)),1+(1-$AU20))</f>
        <v/>
      </c>
      <c r="DN20" s="172">
        <f>MIN(IF($AU20=100%,1,1+VLOOKUP(($AJ20-$AI20-$AH20-$AG20-$AF20-$AE20*(1+DN$3))/$AJ20,'Технический лист'!$A:$B,2,1)-VLOOKUP($AO20,'Технический лист'!$A:$B,2,1)),1+(1-$AU20))</f>
        <v/>
      </c>
      <c r="DO20" s="172">
        <f>MIN(IF($AU20=100%,1,1+VLOOKUP(($AJ20-$AI20-$AH20-$AG20-$AF20-$AE20*(1+DO$3))/$AJ20,'Технический лист'!$A:$B,2,1)-VLOOKUP($AO20,'Технический лист'!$A:$B,2,1)),1+(1-$AU20))</f>
        <v/>
      </c>
      <c r="DP20" s="172">
        <f>MIN(IF($AU20=100%,1,1+VLOOKUP(($AJ20-$AI20-$AH20-$AG20-$AF20-$AE20*(1+DP$3))/$AJ20,'Технический лист'!$A:$B,2,1)-VLOOKUP($AO20,'Технический лист'!$A:$B,2,1)),1+(1-$AU20))</f>
        <v/>
      </c>
      <c r="DQ20" s="172">
        <f>MIN(IF($AU20=100%,1,1+VLOOKUP(($AJ20-$AI20-$AH20-$AG20-$AF20-$AE20*(1+DQ$3))/$AJ20,'Технический лист'!$A:$B,2,1)-VLOOKUP($AO20,'Технический лист'!$A:$B,2,1)),1+(1-$AU20))</f>
        <v/>
      </c>
      <c r="DR20" s="172">
        <f>MIN(IF($AU20=100%,1,1+VLOOKUP(($AJ20-$AI20-$AH20-$AG20-$AF20-$AE20*(1+DR$3))/$AJ20,'Технический лист'!$A:$B,2,1)-VLOOKUP($AO20,'Технический лист'!$A:$B,2,1)),1+(1-$AU20))</f>
        <v/>
      </c>
      <c r="DS20" s="172">
        <f>MIN(IF($AU20=100%,1,1+VLOOKUP(($AJ20-$AI20-$AH20-$AG20-$AF20-$AE20*(1+DS$3))/$AJ20,'Технический лист'!$A:$B,2,1)-VLOOKUP($AO20,'Технический лист'!$A:$B,2,1)),1+(1-$AU20))</f>
        <v/>
      </c>
      <c r="DT20" s="172">
        <f>MIN(IF($AU20=100%,1,1+VLOOKUP(($AJ20-$AI20-$AH20-$AG20-$AF20-$AE20*(1+DT$3))/$AJ20,'Технический лист'!$A:$B,2,1)-VLOOKUP($AO20,'Технический лист'!$A:$B,2,1)),1+(1-$AU20))</f>
        <v/>
      </c>
      <c r="DU20" s="172">
        <f>MIN(IF($AU20=100%,1,1+VLOOKUP(($AJ20-$AI20-$AH20-$AG20-$AF20-$AE20*(1+DU$3))/$AJ20,'Технический лист'!$A:$B,2,1)-VLOOKUP($AO20,'Технический лист'!$A:$B,2,1)),1+(1-$AU20))</f>
        <v/>
      </c>
      <c r="DV20" s="172">
        <f>MIN(IF($AU20=100%,1,1+VLOOKUP(($AJ20-$AI20-$AH20-$AG20-$AF20-$AE20*(1+DV$3))/$AJ20,'Технический лист'!$A:$B,2,1)-VLOOKUP($AO20,'Технический лист'!$A:$B,2,1)),1+(1-$AU20))</f>
        <v/>
      </c>
      <c r="DW20" s="172">
        <f>MIN(IF($AU20=100%,1,1+VLOOKUP(($AJ20-$AI20-$AH20-$AG20-$AF20-$AE20*(1+DW$3))/$AJ20,'Технический лист'!$A:$B,2,1)-VLOOKUP($AO20,'Технический лист'!$A:$B,2,1)),1+(1-$AU20))</f>
        <v/>
      </c>
      <c r="DX20" s="172">
        <f>MIN(IF($AU20=100%,1,1+VLOOKUP(($AJ20-$AI20-$AH20-$AG20-$AF20-$AE20*(1+DX$3))/$AJ20,'Технический лист'!$A:$B,2,1)-VLOOKUP($AO20,'Технический лист'!$A:$B,2,1)),1+(1-$AU20))</f>
        <v/>
      </c>
      <c r="DY20" s="172">
        <f>MIN(IF($AU20=100%,1,1+VLOOKUP(($AJ20-$AI20-$AH20-$AG20-$AF20-$AE20*(1+DY$3))/$AJ20,'Технический лист'!$A:$B,2,1)-VLOOKUP($AO20,'Технический лист'!$A:$B,2,1)),1+(1-$AU20))</f>
        <v/>
      </c>
      <c r="DZ20" s="172">
        <f>MIN(IF($AU20=100%,1,1+VLOOKUP(($AJ20-$AI20-$AH20-$AG20-$AF20-$AE20*(1+DZ$3))/$AJ20,'Технический лист'!$A:$B,2,1)-VLOOKUP($AO20,'Технический лист'!$A:$B,2,1)),1+(1-$AU20))</f>
        <v/>
      </c>
      <c r="EA20" s="172">
        <f>MIN(IF($AU20=100%,1,1+VLOOKUP(($AJ20-$AI20-$AH20-$AG20-$AF20-$AE20*(1+EA$3))/$AJ20,'Технический лист'!$A:$B,2,1)-VLOOKUP($AO20,'Технический лист'!$A:$B,2,1)),1+(1-$AU20))</f>
        <v/>
      </c>
      <c r="EB20" s="172">
        <f>MIN(IF($AU20=100%,1,1+VLOOKUP(($AJ20-$AI20-$AH20-$AG20-$AF20-$AE20*(1+EB$3))/$AJ20,'Технический лист'!$A:$B,2,1)-VLOOKUP($AO20,'Технический лист'!$A:$B,2,1)),1+(1-$AU20))</f>
        <v/>
      </c>
      <c r="EC20" s="172">
        <f>MIN(IF($AU20=100%,1,1+VLOOKUP(($AJ20-$AI20-$AH20-$AG20-$AF20-$AE20*(1+EC$3))/$AJ20,'Технический лист'!$A:$B,2,1)-VLOOKUP($AO20,'Технический лист'!$A:$B,2,1)),1+(1-$AU20))</f>
        <v/>
      </c>
      <c r="ED20" s="172">
        <f>MIN(IF($AU20=100%,1,1+VLOOKUP(($AJ20-$AI20-$AH20-$AG20-$AF20-$AE20*(1+ED$3))/$AJ20,'Технический лист'!$A:$B,2,1)-VLOOKUP($AO20,'Технический лист'!$A:$B,2,1)),1+(1-$AU20))</f>
        <v/>
      </c>
      <c r="EE20" s="172">
        <f>MIN(IF($AU20=100%,1,1+VLOOKUP(($AJ20-$AI20-$AH20-$AG20-$AF20-$AE20*(1+EE$3))/$AJ20,'Технический лист'!$A:$B,2,1)-VLOOKUP($AO20,'Технический лист'!$A:$B,2,1)),1+(1-$AU20))</f>
        <v/>
      </c>
      <c r="EF20" s="172">
        <f>MIN(IF($AU20=100%,1,1+VLOOKUP(($AJ20-$AI20-$AH20-$AG20-$AF20-$AE20*(1+EF$3))/$AJ20,'Технический лист'!$A:$B,2,1)-VLOOKUP($AO20,'Технический лист'!$A:$B,2,1)),1+(1-$AU20))</f>
        <v/>
      </c>
      <c r="EG20" s="172">
        <f>MIN(IF($AU20=100%,1,1+VLOOKUP(($AJ20-$AI20-$AH20-$AG20-$AF20-$AE20*(1+EG$3))/$AJ20,'Технический лист'!$A:$B,2,1)-VLOOKUP($AO20,'Технический лист'!$A:$B,2,1)),1+(1-$AU20))</f>
        <v/>
      </c>
      <c r="EH20" s="172">
        <f>MIN(IF($AU20=100%,1,1+VLOOKUP(($AJ20-$AI20-$AH20-$AG20-$AF20-$AE20*(1+EH$3))/$AJ20,'Технический лист'!$A:$B,2,1)-VLOOKUP($AO20,'Технический лист'!$A:$B,2,1)),1+(1-$AU20))</f>
        <v/>
      </c>
      <c r="EI20" s="172">
        <f>MIN(IF($AU20=100%,1,1+VLOOKUP(($AJ20-$AI20-$AH20-$AG20-$AF20-$AE20*(1+EI$3))/$AJ20,'Технический лист'!$A:$B,2,1)-VLOOKUP($AO20,'Технический лист'!$A:$B,2,1)),1+(1-$AU20))</f>
        <v/>
      </c>
      <c r="EJ20" s="172">
        <f>MIN(IF($AU20=100%,1,1+VLOOKUP(($AJ20-$AI20-$AH20-$AG20-$AF20-$AE20*(1+EJ$3))/$AJ20,'Технический лист'!$A:$B,2,1)-VLOOKUP($AO20,'Технический лист'!$A:$B,2,1)),1+(1-$AU20))</f>
        <v/>
      </c>
      <c r="EK20" s="172">
        <f>MIN(IF($AU20=100%,1,1+VLOOKUP(($AJ20-$AI20-$AH20-$AG20-$AF20-$AE20*(1+EK$3))/$AJ20,'Технический лист'!$A:$B,2,1)-VLOOKUP($AO20,'Технический лист'!$A:$B,2,1)),1+(1-$AU20))</f>
        <v/>
      </c>
      <c r="EL20" s="172">
        <f>MIN(IF($AU20=100%,1,1+VLOOKUP(($AJ20-$AI20-$AH20-$AG20-$AF20-$AE20*(1+EL$3))/$AJ20,'Технический лист'!$A:$B,2,1)-VLOOKUP($AO20,'Технический лист'!$A:$B,2,1)),1+(1-$AU20))</f>
        <v/>
      </c>
      <c r="EM20" s="172">
        <f>MIN(IF($AU20=100%,1,1+VLOOKUP(($AJ20-$AI20-$AH20-$AG20-$AF20-$AE20*(1+EM$3))/$AJ20,'Технический лист'!$A:$B,2,1)-VLOOKUP($AO20,'Технический лист'!$A:$B,2,1)),1+(1-$AU20))</f>
        <v/>
      </c>
      <c r="EN20" s="172">
        <f>MIN(IF($AU20=100%,1,1+VLOOKUP(($AJ20-$AI20-$AH20-$AG20-$AF20-$AE20*(1+EN$3))/$AJ20,'Технический лист'!$A:$B,2,1)-VLOOKUP($AO20,'Технический лист'!$A:$B,2,1)),1+(1-$AU20))</f>
        <v/>
      </c>
      <c r="EO20" s="172">
        <f>MIN(IF($AU20=100%,1,1+VLOOKUP(($AJ20-$AI20-$AH20-$AG20-$AF20-$AE20*(1+EO$3))/$AJ20,'Технический лист'!$A:$B,2,1)-VLOOKUP($AO20,'Технический лист'!$A:$B,2,1)),1+(1-$AU20))</f>
        <v/>
      </c>
      <c r="EP20" s="172">
        <f>MIN(IF($AU20=100%,1,1+VLOOKUP(($AJ20-$AI20-$AH20-$AG20-$AF20-$AE20*(1+EP$3))/$AJ20,'Технический лист'!$A:$B,2,1)-VLOOKUP($AO20,'Технический лист'!$A:$B,2,1)),1+(1-$AU20))</f>
        <v/>
      </c>
      <c r="EQ20" s="172">
        <f>MIN(IF($AU20=100%,1,1+VLOOKUP(($AJ20-$AI20-$AH20-$AG20-$AF20-$AE20*(1+EQ$3))/$AJ20,'Технический лист'!$A:$B,2,1)-VLOOKUP($AO20,'Технический лист'!$A:$B,2,1)),1+(1-$AU20))</f>
        <v/>
      </c>
      <c r="ER20" s="172">
        <f>MIN(IF($AU20=100%,1,1+VLOOKUP(($AJ20-$AI20-$AH20-$AG20-$AF20-$AE20*(1+ER$3))/$AJ20,'Технический лист'!$A:$B,2,1)-VLOOKUP($AO20,'Технический лист'!$A:$B,2,1)),1+(1-$AU20))</f>
        <v/>
      </c>
      <c r="ES20" s="172">
        <f>MIN(IF($AU20=100%,1,1+VLOOKUP(($AJ20-$AI20-$AH20-$AG20-$AF20-$AE20*(1+ES$3))/$AJ20,'Технический лист'!$A:$B,2,1)-VLOOKUP($AO20,'Технический лист'!$A:$B,2,1)),1+(1-$AU20))</f>
        <v/>
      </c>
      <c r="ET20" s="172">
        <f>MIN(IF($AU20=100%,1,1+VLOOKUP(($AJ20-$AI20-$AH20-$AG20-$AF20-$AE20*(1+ET$3))/$AJ20,'Технический лист'!$A:$B,2,1)-VLOOKUP($AO20,'Технический лист'!$A:$B,2,1)),1+(1-$AU20))</f>
        <v/>
      </c>
      <c r="EU20" s="172">
        <f>MIN(IF($AU20=100%,1,1+VLOOKUP(($AJ20-$AI20-$AH20-$AG20-$AF20-$AE20*(1+EU$3))/$AJ20,'Технический лист'!$A:$B,2,1)-VLOOKUP($AO20,'Технический лист'!$A:$B,2,1)),1+(1-$AU20))</f>
        <v/>
      </c>
      <c r="EV20" s="173" t="n">
        <v>1</v>
      </c>
      <c r="EW20" s="172">
        <f>MIN(1,MAX(VLOOKUP(($AJ20-$AI20-$AH20-$AG20-$AF20-$AE20*(1+EW$3))/$AJ20,'Технический лист'!$A:$B,2,1),(EV20-0.05)))</f>
        <v/>
      </c>
      <c r="EX20" s="172">
        <f>MIN(1,MAX(VLOOKUP(($AJ20-$AI20-$AH20-$AG20-$AF20-$AE20*(1+EX$3))/$AJ20,'Технический лист'!$A:$B,2,1),(EW20-0.05)))</f>
        <v/>
      </c>
      <c r="EY20" s="172">
        <f>MIN(1,MAX(VLOOKUP(($AJ20-$AI20-$AH20-$AG20-$AF20-$AE20*(1+EY$3))/$AJ20,'Технический лист'!$A:$B,2,1),(EX20-0.05)))</f>
        <v/>
      </c>
      <c r="EZ20" s="172">
        <f>MIN(1,MAX(VLOOKUP(($AJ20-$AI20-$AH20-$AG20-$AF20-$AE20*(1+EZ$3))/$AJ20,'Технический лист'!$A:$B,2,1),(EY20-0.05)))</f>
        <v/>
      </c>
      <c r="FA20" s="172">
        <f>MIN(1,MAX(VLOOKUP(($AJ20-$AI20-$AH20-$AG20-$AF20-$AE20*(1+FA$3))/$AJ20,'Технический лист'!$A:$B,2,1),(EZ20-0.05)))</f>
        <v/>
      </c>
      <c r="FB20" s="172">
        <f>MIN(1,MAX(VLOOKUP(($AJ20-$AI20-$AH20-$AG20-$AF20-$AE20*(1+FB$3))/$AJ20,'Технический лист'!$A:$B,2,1),(FA20-0.05)))</f>
        <v/>
      </c>
      <c r="FC20" s="172">
        <f>MIN(1,MAX(VLOOKUP(($AJ20-$AI20-$AH20-$AG20-$AF20-$AE20*(1+FC$3))/$AJ20,'Технический лист'!$A:$B,2,1),(FB20-0.05)))</f>
        <v/>
      </c>
      <c r="FD20" s="172">
        <f>MIN(1,MAX(VLOOKUP(($AJ20-$AI20-$AH20-$AG20-$AF20-$AE20*(1+FD$3))/$AJ20,'Технический лист'!$A:$B,2,1),(FC20-0.05)))</f>
        <v/>
      </c>
      <c r="FE20" s="172">
        <f>MIN(1,MAX(VLOOKUP(($AJ20-$AI20-$AH20-$AG20-$AF20-$AE20*(1+FE$3))/$AJ20,'Технический лист'!$A:$B,2,1),(FD20-0.05)))</f>
        <v/>
      </c>
      <c r="FF20" s="172">
        <f>MIN(1,MAX(VLOOKUP(($AJ20-$AI20-$AH20-$AG20-$AF20-$AE20*(1+FF$3))/$AJ20,'Технический лист'!$A:$B,2,1),(FE20-0.05)))</f>
        <v/>
      </c>
      <c r="FG20" s="172">
        <f>MIN(1,MAX(VLOOKUP(($AJ20-$AI20-$AH20-$AG20-$AF20-$AE20*(1+FG$3))/$AJ20,'Технический лист'!$A:$B,2,1),(FF20-0.05)))</f>
        <v/>
      </c>
      <c r="FH20" s="172">
        <f>MIN(1,MAX(VLOOKUP(($AJ20-$AI20-$AH20-$AG20-$AF20-$AE20*(1+FH$3))/$AJ20,'Технический лист'!$A:$B,2,1),(FG20-0.05)))</f>
        <v/>
      </c>
      <c r="FI20" s="172">
        <f>MIN(1,MAX(VLOOKUP(($AJ20-$AI20-$AH20-$AG20-$AF20-$AE20*(1+FI$3))/$AJ20,'Технический лист'!$A:$B,2,1),(FH20-0.05)))</f>
        <v/>
      </c>
      <c r="FJ20" s="172">
        <f>MIN(1,MAX(VLOOKUP(($AJ20-$AI20-$AH20-$AG20-$AF20-$AE20*(1+FJ$3))/$AJ20,'Технический лист'!$A:$B,2,1),(FI20-0.05)))</f>
        <v/>
      </c>
      <c r="FK20" s="172">
        <f>MIN(1,MAX(VLOOKUP(($AJ20-$AI20-$AH20-$AG20-$AF20-$AE20*(1+FK$3))/$AJ20,'Технический лист'!$A:$B,2,1),(FJ20-0.05)))</f>
        <v/>
      </c>
      <c r="FL20" s="172">
        <f>MIN(1,MAX(VLOOKUP(($AJ20-$AI20-$AH20-$AG20-$AF20-$AE20*(1+FL$3))/$AJ20,'Технический лист'!$A:$B,2,1),(FK20-0.05)))</f>
        <v/>
      </c>
      <c r="FM20" s="172">
        <f>MIN(1,MAX(VLOOKUP(($AJ20-$AI20-$AH20-$AG20-$AF20-$AE20*(1+FM$3))/$AJ20,'Технический лист'!$A:$B,2,1),(FL20-0.05)))</f>
        <v/>
      </c>
      <c r="FN20" s="172">
        <f>MIN(1,MAX(VLOOKUP(($AJ20-$AI20-$AH20-$AG20-$AF20-$AE20*(1+FN$3))/$AJ20,'Технический лист'!$A:$B,2,1),(FM20-0.05)))</f>
        <v/>
      </c>
      <c r="FO20" s="172">
        <f>MIN(1,MAX(VLOOKUP(($AJ20-$AI20-$AH20-$AG20-$AF20-$AE20*(1+FO$3))/$AJ20,'Технический лист'!$A:$B,2,1),(FN20-0.05)))</f>
        <v/>
      </c>
      <c r="FP20" s="172">
        <f>MIN(1,MAX(VLOOKUP(($AJ20-$AI20-$AH20-$AG20-$AF20-$AE20*(1+FP$3))/$AJ20,'Технический лист'!$A:$B,2,1),(FO20-0.05)))</f>
        <v/>
      </c>
      <c r="FQ20" s="172">
        <f>MIN(1,MAX(VLOOKUP(($AJ20-$AI20-$AH20-$AG20-$AF20-$AE20*(1+FQ$3))/$AJ20,'Технический лист'!$A:$B,2,1),(FP20-0.05)))</f>
        <v/>
      </c>
      <c r="FR20" s="172">
        <f>MIN(1,MAX(VLOOKUP(($AJ20-$AI20-$AH20-$AG20-$AF20-$AE20*(1+FR$3))/$AJ20,'Технический лист'!$A:$B,2,1),(FQ20-0.05)))</f>
        <v/>
      </c>
      <c r="FS20" s="172">
        <f>MIN(1,MAX(VLOOKUP(($AJ20-$AI20-$AH20-$AG20-$AF20-$AE20*(1+FS$3))/$AJ20,'Технический лист'!$A:$B,2,1),(FR20-0.05)))</f>
        <v/>
      </c>
      <c r="FT20" s="172">
        <f>MIN(1,MAX(VLOOKUP(($AJ20-$AI20-$AH20-$AG20-$AF20-$AE20*(1+FT$3))/$AJ20,'Технический лист'!$A:$B,2,1),(FS20-0.05)))</f>
        <v/>
      </c>
      <c r="FU20" s="172">
        <f>MIN(1,MAX(VLOOKUP(($AJ20-$AI20-$AH20-$AG20-$AF20-$AE20*(1+FU$3))/$AJ20,'Технический лист'!$A:$B,2,1),(FT20-0.05)))</f>
        <v/>
      </c>
      <c r="FV20" s="172">
        <f>MIN(1,MAX(VLOOKUP(($AJ20-$AI20-$AH20-$AG20-$AF20-$AE20*(1+FV$3))/$AJ20,'Технический лист'!$A:$B,2,1),(FU20-0.05)))</f>
        <v/>
      </c>
      <c r="FW20" s="172">
        <f>MIN(1,MAX(VLOOKUP(($AJ20-$AI20-$AH20-$AG20-$AF20-$AE20*(1+FW$3))/$AJ20,'Технический лист'!$A:$B,2,1),(FV20-0.05)))</f>
        <v/>
      </c>
      <c r="FX20" s="172">
        <f>MIN(1,MAX(VLOOKUP(($AJ20-$AI20-$AH20-$AG20-$AF20-$AE20*(1+FX$3))/$AJ20,'Технический лист'!$A:$B,2,1),(FW20-0.05)))</f>
        <v/>
      </c>
      <c r="FY20" s="172">
        <f>MIN(1,MAX(VLOOKUP(($AJ20-$AI20-$AH20-$AG20-$AF20-$AE20*(1+FY$3))/$AJ20,'Технический лист'!$A:$B,2,1),(FX20-0.05)))</f>
        <v/>
      </c>
      <c r="FZ20" s="172">
        <f>MIN(1,MAX(VLOOKUP(($AJ20-$AI20-$AH20-$AG20-$AF20-$AE20*(1+FZ$3))/$AJ20,'Технический лист'!$A:$B,2,1),(FY20-0.05)))</f>
        <v/>
      </c>
      <c r="GA20" s="172">
        <f>MIN(1,MAX(VLOOKUP(($AJ20-$AI20-$AH20-$AG20-$AF20-$AE20*(1+GA$3))/$AJ20,'Технический лист'!$A:$B,2,1),(FZ20-0.05)))</f>
        <v/>
      </c>
      <c r="GB20" s="172">
        <f>MIN(1,MAX(VLOOKUP(($AJ20-$AI20-$AH20-$AG20-$AF20-$AE20*(1+GB$3))/$AJ20,'Технический лист'!$A:$B,2,1),(GA20-0.05)))</f>
        <v/>
      </c>
      <c r="GC20" s="172">
        <f>MIN(1,MAX(VLOOKUP(($AJ20-$AI20-$AH20-$AG20-$AF20-$AE20*(1+GC$3))/$AJ20,'Технический лист'!$A:$B,2,1),(GB20-0.05)))</f>
        <v/>
      </c>
      <c r="GD20" s="172">
        <f>MIN(1,MAX(VLOOKUP(($AJ20-$AI20-$AH20-$AG20-$AF20-$AE20*(1+GD$3))/$AJ20,'Технический лист'!$A:$B,2,1),(GC20-0.05)))</f>
        <v/>
      </c>
      <c r="GE20" s="172">
        <f>MIN(1,MAX(VLOOKUP(($AJ20-$AI20-$AH20-$AG20-$AF20-$AE20*(1+GE$3))/$AJ20,'Технический лист'!$A:$B,2,1),(GD20-0.05)))</f>
        <v/>
      </c>
      <c r="GF20" s="172">
        <f>MIN(1,MAX(VLOOKUP(($AJ20-$AI20-$AH20-$AG20-$AF20-$AE20*(1+GF$3))/$AJ20,'Технический лист'!$A:$B,2,1),(GE20-0.05)))</f>
        <v/>
      </c>
      <c r="GG20" s="172">
        <f>MIN(1,MAX(VLOOKUP(($AJ20-$AI20-$AH20-$AG20-$AF20-$AE20*(1+GG$3))/$AJ20,'Технический лист'!$A:$B,2,1),(GF20-0.05)))</f>
        <v/>
      </c>
      <c r="GH20" s="172">
        <f>MIN(1,MAX(VLOOKUP(($AJ20-$AI20-$AH20-$AG20-$AF20-$AE20*(1+GH$3))/$AJ20,'Технический лист'!$A:$B,2,1),(GG20-0.05)))</f>
        <v/>
      </c>
      <c r="GI20" s="172">
        <f>MIN(1,MAX(VLOOKUP(($AJ20-$AI20-$AH20-$AG20-$AF20-$AE20*(1+GI$3))/$AJ20,'Технический лист'!$A:$B,2,1),(GH20-0.05)))</f>
        <v/>
      </c>
      <c r="GJ20" s="172">
        <f>MIN(1,MAX(VLOOKUP(($AJ20-$AI20-$AH20-$AG20-$AF20-$AE20*(1+GJ$3))/$AJ20,'Технический лист'!$A:$B,2,1),(GI20-0.05)))</f>
        <v/>
      </c>
      <c r="GK20" s="172">
        <f>MIN(1,MAX(VLOOKUP(($AJ20-$AI20-$AH20-$AG20-$AF20-$AE20*(1+GK$3))/$AJ20,'Технический лист'!$A:$B,2,1),(GJ20-0.05)))</f>
        <v/>
      </c>
      <c r="GL20" s="172">
        <f>MIN(1,MAX(VLOOKUP(($AJ20-$AI20-$AH20-$AG20-$AF20-$AE20*(1+GL$3))/$AJ20,'Технический лист'!$A:$B,2,1),(GK20-0.05)))</f>
        <v/>
      </c>
      <c r="GM20" s="172">
        <f>MIN(1,MAX(VLOOKUP(($AJ20-$AI20-$AH20-$AG20-$AF20-$AE20*(1+GM$3))/$AJ20,'Технический лист'!$A:$B,2,1),(GL20-0.05)))</f>
        <v/>
      </c>
      <c r="GN20" s="172">
        <f>MIN(1,MAX(VLOOKUP(($AJ20-$AI20-$AH20-$AG20-$AF20-$AE20*(1+GN$3))/$AJ20,'Технический лист'!$A:$B,2,1),(GM20-0.05)))</f>
        <v/>
      </c>
      <c r="GO20" s="172">
        <f>MIN(1,MAX(VLOOKUP(($AJ20-$AI20-$AH20-$AG20-$AF20-$AE20*(1+GO$3))/$AJ20,'Технический лист'!$A:$B,2,1),(GN20-0.05)))</f>
        <v/>
      </c>
      <c r="GP20" s="172">
        <f>MIN(1,MAX(VLOOKUP(($AJ20-$AI20-$AH20-$AG20-$AF20-$AE20*(1+GP$3))/$AJ20,'Технический лист'!$A:$B,2,1),(GO20-0.05)))</f>
        <v/>
      </c>
      <c r="GQ20" s="172">
        <f>MIN(1,MAX(VLOOKUP(($AJ20-$AI20-$AH20-$AG20-$AF20-$AE20*(1+GQ$3))/$AJ20,'Технический лист'!$A:$B,2,1),(GP20-0.05)))</f>
        <v/>
      </c>
      <c r="GR20" s="172">
        <f>MIN(1,MAX(VLOOKUP(($AJ20-$AI20-$AH20-$AG20-$AF20-$AE20*(1+GR$3))/$AJ20,'Технический лист'!$A:$B,2,1),(GQ20-0.05)))</f>
        <v/>
      </c>
      <c r="GS20" s="172">
        <f>MIN(1,MAX(VLOOKUP(($AJ20-$AI20-$AH20-$AG20-$AF20-$AE20*(1+GS$3))/$AJ20,'Технический лист'!$A:$B,2,1),(GR20-0.05)))</f>
        <v/>
      </c>
      <c r="GT20" s="172">
        <f>MIN(1,MAX(VLOOKUP(($AJ20-$AI20-$AH20-$AG20-$AF20-$AE20*(1+GT$3))/$AJ20,'Технический лист'!$A:$B,2,1),(GS20-0.05)))</f>
        <v/>
      </c>
      <c r="GU20" s="172">
        <f>MIN(1,MAX(VLOOKUP(($AJ20-$AI20-$AH20-$AG20-$AF20-$AE20*(1+GU$3))/$AJ20,'Технический лист'!$A:$B,2,1),(GT20-0.05)))</f>
        <v/>
      </c>
      <c r="GV20" s="172">
        <f>MIN(1,MAX(VLOOKUP(($AJ20-$AI20-$AH20-$AG20-$AF20-$AE20*(1+GV$3))/$AJ20,'Технический лист'!$A:$B,2,1),(GU20-0.05)))</f>
        <v/>
      </c>
      <c r="GW20" s="172">
        <f>MIN(1,MAX(VLOOKUP(($AJ20-$AI20-$AH20-$AG20-$AF20-$AE20*(1+GW$3))/$AJ20,'Технический лист'!$A:$B,2,1),(GV20-0.05)))</f>
        <v/>
      </c>
      <c r="GX20" s="172">
        <f>MIN(1,MAX(VLOOKUP(($AJ20-$AI20-$AH20-$AG20-$AF20-$AE20*(1+GX$3))/$AJ20,'Технический лист'!$A:$B,2,1),(GW20-0.05)))</f>
        <v/>
      </c>
      <c r="GY20" s="172">
        <f>MIN(1,MAX(VLOOKUP(($AJ20-$AI20-$AH20-$AG20-$AF20-$AE20*(1+GY$3))/$AJ20,'Технический лист'!$A:$B,2,1),(GX20-0.05)))</f>
        <v/>
      </c>
      <c r="GZ20" s="172">
        <f>MIN(1,MAX(VLOOKUP(($AJ20-$AI20-$AH20-$AG20-$AF20-$AE20*(1+GZ$3))/$AJ20,'Технический лист'!$A:$B,2,1),(GY20-0.05)))</f>
        <v/>
      </c>
      <c r="HA20" s="172">
        <f>MIN(1,MAX(VLOOKUP(($AJ20-$AI20-$AH20-$AG20-$AF20-$AE20*(1+HA$3))/$AJ20,'Технический лист'!$A:$B,2,1),(GZ20-0.05)))</f>
        <v/>
      </c>
      <c r="HB20" s="172">
        <f>MIN(1,MAX(VLOOKUP(($AJ20-$AI20-$AH20-$AG20-$AF20-$AE20*(1+HB$3))/$AJ20,'Технический лист'!$A:$B,2,1),(HA20-0.05)))</f>
        <v/>
      </c>
      <c r="HC20" s="172">
        <f>MIN(1,MAX(VLOOKUP(($AJ20-$AI20-$AH20-$AG20-$AF20-$AE20*(1+HC$3))/$AJ20,'Технический лист'!$A:$B,2,1),(HB20-0.05)))</f>
        <v/>
      </c>
      <c r="HD20" s="172">
        <f>MIN(1,MAX(VLOOKUP(($AJ20-$AI20-$AH20-$AG20-$AF20-$AE20*(1+HD$3))/$AJ20,'Технический лист'!$A:$B,2,1),(HC20-0.05)))</f>
        <v/>
      </c>
      <c r="HE20" s="172">
        <f>MIN(1,MAX(VLOOKUP(($AJ20-$AI20-$AH20-$AG20-$AF20-$AE20*(1+HE$3))/$AJ20,'Технический лист'!$A:$B,2,1),(HD20-0.05)))</f>
        <v/>
      </c>
      <c r="HF20" s="172">
        <f>MIN(1,MAX(VLOOKUP(($AJ20-$AI20-$AH20-$AG20-$AF20-$AE20*(1+HF$3))/$AJ20,'Технический лист'!$A:$B,2,1),(HE20-0.05)))</f>
        <v/>
      </c>
      <c r="HG20" s="172">
        <f>MIN(1,MAX(VLOOKUP(($AJ20-$AI20-$AH20-$AG20-$AF20-$AE20*(1+HG$3))/$AJ20,'Технический лист'!$A:$B,2,1),(HF20-0.05)))</f>
        <v/>
      </c>
      <c r="HH20" s="172">
        <f>MIN(1,MAX(VLOOKUP(($AJ20-$AI20-$AH20-$AG20-$AF20-$AE20*(1+HH$3))/$AJ20,'Технический лист'!$A:$B,2,1),(HG20-0.05)))</f>
        <v/>
      </c>
      <c r="HI20" s="172">
        <f>MIN(1,MAX(VLOOKUP(($AJ20-$AI20-$AH20-$AG20-$AF20-$AE20*(1+HI$3))/$AJ20,'Технический лист'!$A:$B,2,1),(HH20-0.05)))</f>
        <v/>
      </c>
      <c r="HJ20" s="172">
        <f>MIN(1,MAX(VLOOKUP(($AJ20-$AI20-$AH20-$AG20-$AF20-$AE20*(1+HJ$3))/$AJ20,'Технический лист'!$A:$B,2,1),(HI20-0.05)))</f>
        <v/>
      </c>
      <c r="HK20" s="172">
        <f>MIN(1,MAX(VLOOKUP(($AJ20-$AI20-$AH20-$AG20-$AF20-$AE20*(1+HK$3))/$AJ20,'Технический лист'!$A:$B,2,1),(HJ20-0.05)))</f>
        <v/>
      </c>
      <c r="HL20" s="172">
        <f>MIN(1,MAX(VLOOKUP(($AJ20-$AI20-$AH20-$AG20-$AF20-$AE20*(1+HL$3))/$AJ20,'Технический лист'!$A:$B,2,1),(HK20-0.05)))</f>
        <v/>
      </c>
      <c r="HM20" s="172">
        <f>MIN(1,MAX(VLOOKUP(($AJ20-$AI20-$AH20-$AG20-$AF20-$AE20*(1+HM$3))/$AJ20,'Технический лист'!$A:$B,2,1),(HL20-0.05)))</f>
        <v/>
      </c>
      <c r="HN20" s="172">
        <f>MIN(1,MAX(VLOOKUP(($AJ20-$AI20-$AH20-$AG20-$AF20-$AE20*(1+HN$3))/$AJ20,'Технический лист'!$A:$B,2,1),(HM20-0.05)))</f>
        <v/>
      </c>
      <c r="HO20" s="172">
        <f>MIN(1,MAX(VLOOKUP(($AJ20-$AI20-$AH20-$AG20-$AF20-$AE20*(1+HO$3))/$AJ20,'Технический лист'!$A:$B,2,1),(HN20-0.05)))</f>
        <v/>
      </c>
      <c r="HP20" s="172">
        <f>MIN(1,MAX(VLOOKUP(($AJ20-$AI20-$AH20-$AG20-$AF20-$AE20*(1+HP$3))/$AJ20,'Технический лист'!$A:$B,2,1),(HO20-0.05)))</f>
        <v/>
      </c>
      <c r="HQ20" s="172">
        <f>MIN(1,MAX(VLOOKUP(($AJ20-$AI20-$AH20-$AG20-$AF20-$AE20*(1+HQ$3))/$AJ20,'Технический лист'!$A:$B,2,1),(HP20-0.05)))</f>
        <v/>
      </c>
      <c r="HR20" s="172">
        <f>MIN(1,MAX(VLOOKUP(($AJ20-$AI20-$AH20-$AG20-$AF20-$AE20*(1+HR$3))/$AJ20,'Технический лист'!$A:$B,2,1),(HQ20-0.05)))</f>
        <v/>
      </c>
      <c r="HS20" s="172">
        <f>MIN(1,MAX(VLOOKUP(($AJ20-$AI20-$AH20-$AG20-$AF20-$AE20*(1+HS$3))/$AJ20,'Технический лист'!$A:$B,2,1),(HR20-0.05)))</f>
        <v/>
      </c>
      <c r="HT20" s="172">
        <f>MIN(1,MAX(VLOOKUP(($AJ20-$AI20-$AH20-$AG20-$AF20-$AE20*(1+HT$3))/$AJ20,'Технический лист'!$A:$B,2,1),(HS20-0.05)))</f>
        <v/>
      </c>
      <c r="HU20" s="172">
        <f>MIN(1,MAX(VLOOKUP(($AJ20-$AI20-$AH20-$AG20-$AF20-$AE20*(1+HU$3))/$AJ20,'Технический лист'!$A:$B,2,1),(HT20-0.05)))</f>
        <v/>
      </c>
      <c r="HV20" s="172">
        <f>MIN(1,MAX(VLOOKUP(($AJ20-$AI20-$AH20-$AG20-$AF20-$AE20*(1+HV$3))/$AJ20,'Технический лист'!$A:$B,2,1),(HU20-0.05)))</f>
        <v/>
      </c>
      <c r="HW20" s="172">
        <f>MIN(1,MAX(VLOOKUP(($AJ20-$AI20-$AH20-$AG20-$AF20-$AE20*(1+HW$3))/$AJ20,'Технический лист'!$A:$B,2,1),(HV20-0.05)))</f>
        <v/>
      </c>
      <c r="HX20" s="172">
        <f>MIN(1,MAX(VLOOKUP(($AJ20-$AI20-$AH20-$AG20-$AF20-$AE20*(1+HX$3))/$AJ20,'Технический лист'!$A:$B,2,1),(HW20-0.05)))</f>
        <v/>
      </c>
      <c r="HY20" s="172">
        <f>MIN(1,MAX(VLOOKUP(($AJ20-$AI20-$AH20-$AG20-$AF20-$AE20*(1+HY$3))/$AJ20,'Технический лист'!$A:$B,2,1),(HX20-0.05)))</f>
        <v/>
      </c>
      <c r="HZ20" s="172">
        <f>MIN(1,MAX(VLOOKUP(($AJ20-$AI20-$AH20-$AG20-$AF20-$AE20*(1+HZ$3))/$AJ20,'Технический лист'!$A:$B,2,1),(HY20-0.05)))</f>
        <v/>
      </c>
      <c r="IA20" s="172">
        <f>MIN(1,MAX(VLOOKUP(($AJ20-$AI20-$AH20-$AG20-$AF20-$AE20*(1+IA$3))/$AJ20,'Технический лист'!$A:$B,2,1),(HZ20-0.05)))</f>
        <v/>
      </c>
      <c r="IB20" s="172">
        <f>MIN(1,MAX(VLOOKUP(($AJ20-$AI20-$AH20-$AG20-$AF20-$AE20*(1+IB$3))/$AJ20,'Технический лист'!$A:$B,2,1),(IA20-0.05)))</f>
        <v/>
      </c>
      <c r="IC20" s="172">
        <f>MIN(1,MAX(VLOOKUP(($AJ20-$AI20-$AH20-$AG20-$AF20-$AE20*(1+IC$3))/$AJ20,'Технический лист'!$A:$B,2,1),(IB20-0.05)))</f>
        <v/>
      </c>
      <c r="ID20" s="172">
        <f>MIN(1,MAX(VLOOKUP(($AJ20-$AI20-$AH20-$AG20-$AF20-$AE20*(1+ID$3))/$AJ20,'Технический лист'!$A:$B,2,1),(IC20-0.05)))</f>
        <v/>
      </c>
      <c r="IE20" s="172">
        <f>MIN(1,MAX(VLOOKUP(($AJ20-$AI20-$AH20-$AG20-$AF20-$AE20*(1+IE$3))/$AJ20,'Технический лист'!$A:$B,2,1),(ID20-0.05)))</f>
        <v/>
      </c>
      <c r="IF20" s="172">
        <f>MIN(1,MAX(VLOOKUP(($AJ20-$AI20-$AH20-$AG20-$AF20-$AE20*(1+IF$3))/$AJ20,'Технический лист'!$A:$B,2,1),(IE20-0.05)))</f>
        <v/>
      </c>
      <c r="IG20" s="172">
        <f>MIN(1,MAX(VLOOKUP(($AJ20-$AI20-$AH20-$AG20-$AF20-$AE20*(1+IG$3))/$AJ20,'Технический лист'!$A:$B,2,1),(IF20-0.05)))</f>
        <v/>
      </c>
      <c r="IH20" s="172">
        <f>MIN(1,MAX(VLOOKUP(($AJ20-$AI20-$AH20-$AG20-$AF20-$AE20*(1+IH$3))/$AJ20,'Технический лист'!$A:$B,2,1),(IG20-0.05)))</f>
        <v/>
      </c>
      <c r="II20" s="172">
        <f>MIN(1,MAX(VLOOKUP(($AJ20-$AI20-$AH20-$AG20-$AF20-$AE20*(1+II$3))/$AJ20,'Технический лист'!$A:$B,2,1),(IH20-0.05)))</f>
        <v/>
      </c>
      <c r="IJ20" s="172">
        <f>MIN(1,MAX(VLOOKUP(($AJ20-$AI20-$AH20-$AG20-$AF20-$AE20*(1+IJ$3))/$AJ20,'Технический лист'!$A:$B,2,1),(II20-0.05)))</f>
        <v/>
      </c>
      <c r="IK20" s="172">
        <f>MIN(1,MAX(VLOOKUP(($AJ20-$AI20-$AH20-$AG20-$AF20-$AE20*(1+IK$3))/$AJ20,'Технический лист'!$A:$B,2,1),(IJ20-0.05)))</f>
        <v/>
      </c>
      <c r="IL20" s="172">
        <f>MIN(1,MAX(VLOOKUP(($AJ20-$AI20-$AH20-$AG20-$AF20-$AE20*(1+IL$3))/$AJ20,'Технический лист'!$A:$B,2,1),(IK20-0.05)))</f>
        <v/>
      </c>
      <c r="IM20" s="172">
        <f>MIN(1,MAX(VLOOKUP(($AJ20-$AI20-$AH20-$AG20-$AF20-$AE20*(1+IM$3))/$AJ20,'Технический лист'!$A:$B,2,1),(IL20-0.05)))</f>
        <v/>
      </c>
      <c r="IN20" s="172">
        <f>MIN(1,MAX(VLOOKUP(($AJ20-$AI20-$AH20-$AG20-$AF20-$AE20*(1+IN$3))/$AJ20,'Технический лист'!$A:$B,2,1),(IM20-0.05)))</f>
        <v/>
      </c>
      <c r="IO20" s="172">
        <f>MIN(1,MAX(VLOOKUP(($AJ20-$AI20-$AH20-$AG20-$AF20-$AE20*(1+IO$3))/$AJ20,'Технический лист'!$A:$B,2,1),(IN20-0.05)))</f>
        <v/>
      </c>
      <c r="IP20" s="172">
        <f>MIN(1,MAX(VLOOKUP(($AJ20-$AI20-$AH20-$AG20-$AF20-$AE20*(1+IP$3))/$AJ20,'Технический лист'!$A:$B,2,1),(IO20-0.05)))</f>
        <v/>
      </c>
      <c r="IQ20" s="172">
        <f>MIN(1,MAX(VLOOKUP(($AJ20-$AI20-$AH20-$AG20-$AF20-$AE20*(1+IQ$3))/$AJ20,'Технический лист'!$A:$B,2,1),(IP20-0.05)))</f>
        <v/>
      </c>
      <c r="IR20" s="172">
        <f>MIN(1,MAX(VLOOKUP(($AJ20-$AI20-$AH20-$AG20-$AF20-$AE20*(1+IR$3))/$AJ20,'Технический лист'!$A:$B,2,1),(IQ20-0.05)))</f>
        <v/>
      </c>
    </row>
    <row r="21" ht="45" customHeight="1" s="123">
      <c r="A21" s="89" t="inlineStr">
        <is>
          <t>ЧМ (сырье)</t>
        </is>
      </c>
      <c r="B21" s="90" t="n">
        <v>2</v>
      </c>
      <c r="C21" s="5" t="inlineStr">
        <is>
          <t>Кокс каменноугольный</t>
        </is>
      </c>
      <c r="D21" s="91" t="n">
        <v>17107</v>
      </c>
      <c r="E21" s="91" t="inlineStr">
        <is>
          <t xml:space="preserve">Кокс литейный КЛ-2 </t>
        </is>
      </c>
      <c r="F21" s="92" t="inlineStr">
        <is>
          <t>КОКС КАМЕННОУГОЛЬНЫЙ</t>
        </is>
      </c>
      <c r="G21" s="91" t="inlineStr">
        <is>
          <t>СВР</t>
        </is>
      </c>
      <c r="H21" s="91" t="inlineStr">
        <is>
          <t>ВСБ</t>
        </is>
      </c>
      <c r="I21" s="91" t="inlineStr">
        <is>
          <t>ОСЕНЦЫ</t>
        </is>
      </c>
      <c r="J21" s="91" t="inlineStr">
        <is>
          <t>БАГУЛЬНАЯ</t>
        </is>
      </c>
      <c r="K21" s="91" t="n">
        <v>3373</v>
      </c>
      <c r="L21" s="91" t="inlineStr">
        <is>
          <t>Полувагоны</t>
        </is>
      </c>
      <c r="M21" s="91" t="inlineStr">
        <is>
          <t>Внутр. перевозки</t>
        </is>
      </c>
      <c r="N21" s="91" t="inlineStr">
        <is>
          <t>вагонная</t>
        </is>
      </c>
      <c r="O21" s="91" t="inlineStr">
        <is>
          <t xml:space="preserve">Восточное </t>
        </is>
      </c>
      <c r="P21" s="89" t="inlineStr">
        <is>
          <t>'000000148636</t>
        </is>
      </c>
      <c r="Q21" s="91" t="inlineStr">
        <is>
          <t>'ООО "ЛУКОЙЛ-Пермнефтеоргсинтез"</t>
        </is>
      </c>
      <c r="R21" s="91" t="inlineStr">
        <is>
          <t>ПАО "Лукойл"</t>
        </is>
      </c>
      <c r="S21" s="87" t="n">
        <v>105963</v>
      </c>
      <c r="T21" s="87" t="n">
        <v>357404692</v>
      </c>
      <c r="U21" s="88" t="n">
        <v>1611</v>
      </c>
      <c r="V21" s="88" t="n">
        <v>0</v>
      </c>
      <c r="W21" s="87" t="n">
        <v>190769898</v>
      </c>
      <c r="X21" s="112" t="n">
        <v>66</v>
      </c>
      <c r="Y21" s="112" t="inlineStr">
        <is>
          <t>групповая</t>
        </is>
      </c>
      <c r="Z21" s="113" t="n">
        <v>11</v>
      </c>
      <c r="AA21" s="113" t="n">
        <v>9</v>
      </c>
      <c r="AB21" s="113" t="n">
        <v>4</v>
      </c>
      <c r="AC21" s="161" t="n">
        <v>1990.03</v>
      </c>
      <c r="AD21" s="161">
        <f>AE21-AC21</f>
        <v/>
      </c>
      <c r="AE21" s="161" t="n">
        <v>2713.36</v>
      </c>
      <c r="AF21" s="162">
        <f>(Z21+AA21+AB21)*'Ставки аренды'!$B$3/X21</f>
        <v/>
      </c>
      <c r="AG21" s="163" t="n">
        <v>0</v>
      </c>
      <c r="AH21" s="164" t="n">
        <v>0</v>
      </c>
      <c r="AI21" s="165">
        <f>39785847/79866389*AVERAGE(AJ19,AJ20)</f>
        <v/>
      </c>
      <c r="AJ21" s="166">
        <f>Цены!$D$9</f>
        <v/>
      </c>
      <c r="AK21" s="164">
        <f>AJ21/Цены!$B$1</f>
        <v/>
      </c>
      <c r="AL21" s="164">
        <f>AE21+AF21+AG21</f>
        <v/>
      </c>
      <c r="AM21" s="164">
        <f>AJ21-AL21</f>
        <v/>
      </c>
      <c r="AN21" s="164">
        <f>AI21+AH21+AG21+AF21+AE21</f>
        <v/>
      </c>
      <c r="AO21" s="167">
        <f>(AJ21-AN21)/AJ21</f>
        <v/>
      </c>
      <c r="AP21" s="168">
        <f>AL21/AJ21</f>
        <v/>
      </c>
      <c r="AQ21" s="168">
        <f>AE21/AJ21</f>
        <v/>
      </c>
      <c r="AR21" s="168">
        <f>AE21/AL21</f>
        <v/>
      </c>
      <c r="AS21" s="169" t="n">
        <v>1</v>
      </c>
      <c r="AT21" s="121">
        <f>S21*AS21</f>
        <v/>
      </c>
      <c r="AU21" s="83" t="n">
        <v>0.95</v>
      </c>
      <c r="AV21" s="170">
        <f>(AJ21-(AE21*(1+$IS$2)+AF21+AG21+AH21+AI21))/AJ21</f>
        <v/>
      </c>
      <c r="AW21" s="171">
        <f>(AE21*(1+$IS$2)+AF21+AG21)/AJ21</f>
        <v/>
      </c>
      <c r="AX21" s="171">
        <f>(AE21*(1+$IS$2))/AJ21</f>
        <v/>
      </c>
      <c r="AY21" s="171">
        <f>(AE21*(1+$IS$2))/(AE21*(1+$IS$2)+AF21+AG21)</f>
        <v/>
      </c>
      <c r="AZ21" s="172">
        <f>MIN(IF($AU21=100%,1,1+VLOOKUP(($AJ21-$AI21-$AH21-$AG21-$AF21-$AE21*(1+AZ$3))/$AJ21,'Технический лист'!$A:$B,2,1)-VLOOKUP($AO21,'Технический лист'!$A:$B,2,1)),1+(1-$AU21))</f>
        <v/>
      </c>
      <c r="BA21" s="172">
        <f>MIN(IF($AU21=100%,1,1+VLOOKUP(($AJ21-$AI21-$AH21-$AG21-$AF21-$AE21*(1+BA$3))/$AJ21,'Технический лист'!$A:$B,2,1)-VLOOKUP($AO21,'Технический лист'!$A:$B,2,1)),1+(1-$AU21))</f>
        <v/>
      </c>
      <c r="BB21" s="172">
        <f>MIN(IF($AU21=100%,1,1+VLOOKUP(($AJ21-$AI21-$AH21-$AG21-$AF21-$AE21*(1+BB$3))/$AJ21,'Технический лист'!$A:$B,2,1)-VLOOKUP($AO21,'Технический лист'!$A:$B,2,1)),1+(1-$AU21))</f>
        <v/>
      </c>
      <c r="BC21" s="172">
        <f>MIN(IF($AU21=100%,1,1+VLOOKUP(($AJ21-$AI21-$AH21-$AG21-$AF21-$AE21*(1+BC$3))/$AJ21,'Технический лист'!$A:$B,2,1)-VLOOKUP($AO21,'Технический лист'!$A:$B,2,1)),1+(1-$AU21))</f>
        <v/>
      </c>
      <c r="BD21" s="172">
        <f>MIN(IF($AU21=100%,1,1+VLOOKUP(($AJ21-$AI21-$AH21-$AG21-$AF21-$AE21*(1+BD$3))/$AJ21,'Технический лист'!$A:$B,2,1)-VLOOKUP($AO21,'Технический лист'!$A:$B,2,1)),1+(1-$AU21))</f>
        <v/>
      </c>
      <c r="BE21" s="172">
        <f>MIN(IF($AU21=100%,1,1+VLOOKUP(($AJ21-$AI21-$AH21-$AG21-$AF21-$AE21*(1+BE$3))/$AJ21,'Технический лист'!$A:$B,2,1)-VLOOKUP($AO21,'Технический лист'!$A:$B,2,1)),1+(1-$AU21))</f>
        <v/>
      </c>
      <c r="BF21" s="172">
        <f>MIN(IF($AU21=100%,1,1+VLOOKUP(($AJ21-$AI21-$AH21-$AG21-$AF21-$AE21*(1+BF$3))/$AJ21,'Технический лист'!$A:$B,2,1)-VLOOKUP($AO21,'Технический лист'!$A:$B,2,1)),1+(1-$AU21))</f>
        <v/>
      </c>
      <c r="BG21" s="172">
        <f>MIN(IF($AU21=100%,1,1+VLOOKUP(($AJ21-$AI21-$AH21-$AG21-$AF21-$AE21*(1+BG$3))/$AJ21,'Технический лист'!$A:$B,2,1)-VLOOKUP($AO21,'Технический лист'!$A:$B,2,1)),1+(1-$AU21))</f>
        <v/>
      </c>
      <c r="BH21" s="172">
        <f>MIN(IF($AU21=100%,1,1+VLOOKUP(($AJ21-$AI21-$AH21-$AG21-$AF21-$AE21*(1+BH$3))/$AJ21,'Технический лист'!$A:$B,2,1)-VLOOKUP($AO21,'Технический лист'!$A:$B,2,1)),1+(1-$AU21))</f>
        <v/>
      </c>
      <c r="BI21" s="172">
        <f>MIN(IF($AU21=100%,1,1+VLOOKUP(($AJ21-$AI21-$AH21-$AG21-$AF21-$AE21*(1+BI$3))/$AJ21,'Технический лист'!$A:$B,2,1)-VLOOKUP($AO21,'Технический лист'!$A:$B,2,1)),1+(1-$AU21))</f>
        <v/>
      </c>
      <c r="BJ21" s="172">
        <f>MIN(IF($AU21=100%,1,1+VLOOKUP(($AJ21-$AI21-$AH21-$AG21-$AF21-$AE21*(1+BJ$3))/$AJ21,'Технический лист'!$A:$B,2,1)-VLOOKUP($AO21,'Технический лист'!$A:$B,2,1)),1+(1-$AU21))</f>
        <v/>
      </c>
      <c r="BK21" s="172">
        <f>MIN(IF($AU21=100%,1,1+VLOOKUP(($AJ21-$AI21-$AH21-$AG21-$AF21-$AE21*(1+BK$3))/$AJ21,'Технический лист'!$A:$B,2,1)-VLOOKUP($AO21,'Технический лист'!$A:$B,2,1)),1+(1-$AU21))</f>
        <v/>
      </c>
      <c r="BL21" s="172">
        <f>MIN(IF($AU21=100%,1,1+VLOOKUP(($AJ21-$AI21-$AH21-$AG21-$AF21-$AE21*(1+BL$3))/$AJ21,'Технический лист'!$A:$B,2,1)-VLOOKUP($AO21,'Технический лист'!$A:$B,2,1)),1+(1-$AU21))</f>
        <v/>
      </c>
      <c r="BM21" s="172">
        <f>MIN(IF($AU21=100%,1,1+VLOOKUP(($AJ21-$AI21-$AH21-$AG21-$AF21-$AE21*(1+BM$3))/$AJ21,'Технический лист'!$A:$B,2,1)-VLOOKUP($AO21,'Технический лист'!$A:$B,2,1)),1+(1-$AU21))</f>
        <v/>
      </c>
      <c r="BN21" s="172">
        <f>MIN(IF($AU21=100%,1,1+VLOOKUP(($AJ21-$AI21-$AH21-$AG21-$AF21-$AE21*(1+BN$3))/$AJ21,'Технический лист'!$A:$B,2,1)-VLOOKUP($AO21,'Технический лист'!$A:$B,2,1)),1+(1-$AU21))</f>
        <v/>
      </c>
      <c r="BO21" s="172">
        <f>MIN(IF($AU21=100%,1,1+VLOOKUP(($AJ21-$AI21-$AH21-$AG21-$AF21-$AE21*(1+BO$3))/$AJ21,'Технический лист'!$A:$B,2,1)-VLOOKUP($AO21,'Технический лист'!$A:$B,2,1)),1+(1-$AU21))</f>
        <v/>
      </c>
      <c r="BP21" s="172">
        <f>MIN(IF($AU21=100%,1,1+VLOOKUP(($AJ21-$AI21-$AH21-$AG21-$AF21-$AE21*(1+BP$3))/$AJ21,'Технический лист'!$A:$B,2,1)-VLOOKUP($AO21,'Технический лист'!$A:$B,2,1)),1+(1-$AU21))</f>
        <v/>
      </c>
      <c r="BQ21" s="172">
        <f>MIN(IF($AU21=100%,1,1+VLOOKUP(($AJ21-$AI21-$AH21-$AG21-$AF21-$AE21*(1+BQ$3))/$AJ21,'Технический лист'!$A:$B,2,1)-VLOOKUP($AO21,'Технический лист'!$A:$B,2,1)),1+(1-$AU21))</f>
        <v/>
      </c>
      <c r="BR21" s="172">
        <f>MIN(IF($AU21=100%,1,1+VLOOKUP(($AJ21-$AI21-$AH21-$AG21-$AF21-$AE21*(1+BR$3))/$AJ21,'Технический лист'!$A:$B,2,1)-VLOOKUP($AO21,'Технический лист'!$A:$B,2,1)),1+(1-$AU21))</f>
        <v/>
      </c>
      <c r="BS21" s="172">
        <f>MIN(IF($AU21=100%,1,1+VLOOKUP(($AJ21-$AI21-$AH21-$AG21-$AF21-$AE21*(1+BS$3))/$AJ21,'Технический лист'!$A:$B,2,1)-VLOOKUP($AO21,'Технический лист'!$A:$B,2,1)),1+(1-$AU21))</f>
        <v/>
      </c>
      <c r="BT21" s="172">
        <f>MIN(IF($AU21=100%,1,1+VLOOKUP(($AJ21-$AI21-$AH21-$AG21-$AF21-$AE21*(1+BT$3))/$AJ21,'Технический лист'!$A:$B,2,1)-VLOOKUP($AO21,'Технический лист'!$A:$B,2,1)),1+(1-$AU21))</f>
        <v/>
      </c>
      <c r="BU21" s="172">
        <f>MIN(IF($AU21=100%,1,1+VLOOKUP(($AJ21-$AI21-$AH21-$AG21-$AF21-$AE21*(1+BU$3))/$AJ21,'Технический лист'!$A:$B,2,1)-VLOOKUP($AO21,'Технический лист'!$A:$B,2,1)),1+(1-$AU21))</f>
        <v/>
      </c>
      <c r="BV21" s="172">
        <f>MIN(IF($AU21=100%,1,1+VLOOKUP(($AJ21-$AI21-$AH21-$AG21-$AF21-$AE21*(1+BV$3))/$AJ21,'Технический лист'!$A:$B,2,1)-VLOOKUP($AO21,'Технический лист'!$A:$B,2,1)),1+(1-$AU21))</f>
        <v/>
      </c>
      <c r="BW21" s="172">
        <f>MIN(IF($AU21=100%,1,1+VLOOKUP(($AJ21-$AI21-$AH21-$AG21-$AF21-$AE21*(1+BW$3))/$AJ21,'Технический лист'!$A:$B,2,1)-VLOOKUP($AO21,'Технический лист'!$A:$B,2,1)),1+(1-$AU21))</f>
        <v/>
      </c>
      <c r="BX21" s="172">
        <f>MIN(IF($AU21=100%,1,1+VLOOKUP(($AJ21-$AI21-$AH21-$AG21-$AF21-$AE21*(1+BX$3))/$AJ21,'Технический лист'!$A:$B,2,1)-VLOOKUP($AO21,'Технический лист'!$A:$B,2,1)),1+(1-$AU21))</f>
        <v/>
      </c>
      <c r="BY21" s="172">
        <f>MIN(IF($AU21=100%,1,1+VLOOKUP(($AJ21-$AI21-$AH21-$AG21-$AF21-$AE21*(1+BY$3))/$AJ21,'Технический лист'!$A:$B,2,1)-VLOOKUP($AO21,'Технический лист'!$A:$B,2,1)),1+(1-$AU21))</f>
        <v/>
      </c>
      <c r="BZ21" s="172">
        <f>MIN(IF($AU21=100%,1,1+VLOOKUP(($AJ21-$AI21-$AH21-$AG21-$AF21-$AE21*(1+BZ$3))/$AJ21,'Технический лист'!$A:$B,2,1)-VLOOKUP($AO21,'Технический лист'!$A:$B,2,1)),1+(1-$AU21))</f>
        <v/>
      </c>
      <c r="CA21" s="172">
        <f>MIN(IF($AU21=100%,1,1+VLOOKUP(($AJ21-$AI21-$AH21-$AG21-$AF21-$AE21*(1+CA$3))/$AJ21,'Технический лист'!$A:$B,2,1)-VLOOKUP($AO21,'Технический лист'!$A:$B,2,1)),1+(1-$AU21))</f>
        <v/>
      </c>
      <c r="CB21" s="172">
        <f>MIN(IF($AU21=100%,1,1+VLOOKUP(($AJ21-$AI21-$AH21-$AG21-$AF21-$AE21*(1+CB$3))/$AJ21,'Технический лист'!$A:$B,2,1)-VLOOKUP($AO21,'Технический лист'!$A:$B,2,1)),1+(1-$AU21))</f>
        <v/>
      </c>
      <c r="CC21" s="172">
        <f>MIN(IF($AU21=100%,1,1+VLOOKUP(($AJ21-$AI21-$AH21-$AG21-$AF21-$AE21*(1+CC$3))/$AJ21,'Технический лист'!$A:$B,2,1)-VLOOKUP($AO21,'Технический лист'!$A:$B,2,1)),1+(1-$AU21))</f>
        <v/>
      </c>
      <c r="CD21" s="172">
        <f>MIN(IF($AU21=100%,1,1+VLOOKUP(($AJ21-$AI21-$AH21-$AG21-$AF21-$AE21*(1+CD$3))/$AJ21,'Технический лист'!$A:$B,2,1)-VLOOKUP($AO21,'Технический лист'!$A:$B,2,1)),1+(1-$AU21))</f>
        <v/>
      </c>
      <c r="CE21" s="172">
        <f>MIN(IF($AU21=100%,1,1+VLOOKUP(($AJ21-$AI21-$AH21-$AG21-$AF21-$AE21*(1+CE$3))/$AJ21,'Технический лист'!$A:$B,2,1)-VLOOKUP($AO21,'Технический лист'!$A:$B,2,1)),1+(1-$AU21))</f>
        <v/>
      </c>
      <c r="CF21" s="172">
        <f>MIN(IF($AU21=100%,1,1+VLOOKUP(($AJ21-$AI21-$AH21-$AG21-$AF21-$AE21*(1+CF$3))/$AJ21,'Технический лист'!$A:$B,2,1)-VLOOKUP($AO21,'Технический лист'!$A:$B,2,1)),1+(1-$AU21))</f>
        <v/>
      </c>
      <c r="CG21" s="172">
        <f>MIN(IF($AU21=100%,1,1+VLOOKUP(($AJ21-$AI21-$AH21-$AG21-$AF21-$AE21*(1+CG$3))/$AJ21,'Технический лист'!$A:$B,2,1)-VLOOKUP($AO21,'Технический лист'!$A:$B,2,1)),1+(1-$AU21))</f>
        <v/>
      </c>
      <c r="CH21" s="172">
        <f>MIN(IF($AU21=100%,1,1+VLOOKUP(($AJ21-$AI21-$AH21-$AG21-$AF21-$AE21*(1+CH$3))/$AJ21,'Технический лист'!$A:$B,2,1)-VLOOKUP($AO21,'Технический лист'!$A:$B,2,1)),1+(1-$AU21))</f>
        <v/>
      </c>
      <c r="CI21" s="172">
        <f>MIN(IF($AU21=100%,1,1+VLOOKUP(($AJ21-$AI21-$AH21-$AG21-$AF21-$AE21*(1+CI$3))/$AJ21,'Технический лист'!$A:$B,2,1)-VLOOKUP($AO21,'Технический лист'!$A:$B,2,1)),1+(1-$AU21))</f>
        <v/>
      </c>
      <c r="CJ21" s="172">
        <f>MIN(IF($AU21=100%,1,1+VLOOKUP(($AJ21-$AI21-$AH21-$AG21-$AF21-$AE21*(1+CJ$3))/$AJ21,'Технический лист'!$A:$B,2,1)-VLOOKUP($AO21,'Технический лист'!$A:$B,2,1)),1+(1-$AU21))</f>
        <v/>
      </c>
      <c r="CK21" s="172">
        <f>MIN(IF($AU21=100%,1,1+VLOOKUP(($AJ21-$AI21-$AH21-$AG21-$AF21-$AE21*(1+CK$3))/$AJ21,'Технический лист'!$A:$B,2,1)-VLOOKUP($AO21,'Технический лист'!$A:$B,2,1)),1+(1-$AU21))</f>
        <v/>
      </c>
      <c r="CL21" s="172">
        <f>MIN(IF($AU21=100%,1,1+VLOOKUP(($AJ21-$AI21-$AH21-$AG21-$AF21-$AE21*(1+CL$3))/$AJ21,'Технический лист'!$A:$B,2,1)-VLOOKUP($AO21,'Технический лист'!$A:$B,2,1)),1+(1-$AU21))</f>
        <v/>
      </c>
      <c r="CM21" s="172">
        <f>MIN(IF($AU21=100%,1,1+VLOOKUP(($AJ21-$AI21-$AH21-$AG21-$AF21-$AE21*(1+CM$3))/$AJ21,'Технический лист'!$A:$B,2,1)-VLOOKUP($AO21,'Технический лист'!$A:$B,2,1)),1+(1-$AU21))</f>
        <v/>
      </c>
      <c r="CN21" s="172">
        <f>MIN(IF($AU21=100%,1,1+VLOOKUP(($AJ21-$AI21-$AH21-$AG21-$AF21-$AE21*(1+CN$3))/$AJ21,'Технический лист'!$A:$B,2,1)-VLOOKUP($AO21,'Технический лист'!$A:$B,2,1)),1+(1-$AU21))</f>
        <v/>
      </c>
      <c r="CO21" s="172">
        <f>MIN(IF($AU21=100%,1,1+VLOOKUP(($AJ21-$AI21-$AH21-$AG21-$AF21-$AE21*(1+CO$3))/$AJ21,'Технический лист'!$A:$B,2,1)-VLOOKUP($AO21,'Технический лист'!$A:$B,2,1)),1+(1-$AU21))</f>
        <v/>
      </c>
      <c r="CP21" s="172">
        <f>MIN(IF($AU21=100%,1,1+VLOOKUP(($AJ21-$AI21-$AH21-$AG21-$AF21-$AE21*(1+CP$3))/$AJ21,'Технический лист'!$A:$B,2,1)-VLOOKUP($AO21,'Технический лист'!$A:$B,2,1)),1+(1-$AU21))</f>
        <v/>
      </c>
      <c r="CQ21" s="172">
        <f>MIN(IF($AU21=100%,1,1+VLOOKUP(($AJ21-$AI21-$AH21-$AG21-$AF21-$AE21*(1+CQ$3))/$AJ21,'Технический лист'!$A:$B,2,1)-VLOOKUP($AO21,'Технический лист'!$A:$B,2,1)),1+(1-$AU21))</f>
        <v/>
      </c>
      <c r="CR21" s="172">
        <f>MIN(IF($AU21=100%,1,1+VLOOKUP(($AJ21-$AI21-$AH21-$AG21-$AF21-$AE21*(1+CR$3))/$AJ21,'Технический лист'!$A:$B,2,1)-VLOOKUP($AO21,'Технический лист'!$A:$B,2,1)),1+(1-$AU21))</f>
        <v/>
      </c>
      <c r="CS21" s="172">
        <f>MIN(IF($AU21=100%,1,1+VLOOKUP(($AJ21-$AI21-$AH21-$AG21-$AF21-$AE21*(1+CS$3))/$AJ21,'Технический лист'!$A:$B,2,1)-VLOOKUP($AO21,'Технический лист'!$A:$B,2,1)),1+(1-$AU21))</f>
        <v/>
      </c>
      <c r="CT21" s="172">
        <f>MIN(IF($AU21=100%,1,1+VLOOKUP(($AJ21-$AI21-$AH21-$AG21-$AF21-$AE21*(1+CT$3))/$AJ21,'Технический лист'!$A:$B,2,1)-VLOOKUP($AO21,'Технический лист'!$A:$B,2,1)),1+(1-$AU21))</f>
        <v/>
      </c>
      <c r="CU21" s="172">
        <f>MIN(IF($AU21=100%,1,1+VLOOKUP(($AJ21-$AI21-$AH21-$AG21-$AF21-$AE21*(1+CU$3))/$AJ21,'Технический лист'!$A:$B,2,1)-VLOOKUP($AO21,'Технический лист'!$A:$B,2,1)),1+(1-$AU21))</f>
        <v/>
      </c>
      <c r="CV21" s="172">
        <f>MIN(IF($AU21=100%,1,1+VLOOKUP(($AJ21-$AI21-$AH21-$AG21-$AF21-$AE21*(1+CV$3))/$AJ21,'Технический лист'!$A:$B,2,1)-VLOOKUP($AO21,'Технический лист'!$A:$B,2,1)),1+(1-$AU21))</f>
        <v/>
      </c>
      <c r="CW21" s="172">
        <f>MIN(IF($AU21=100%,1,1+VLOOKUP(($AJ21-$AI21-$AH21-$AG21-$AF21-$AE21*(1+CW$3))/$AJ21,'Технический лист'!$A:$B,2,1)-VLOOKUP($AO21,'Технический лист'!$A:$B,2,1)),1+(1-$AU21))</f>
        <v/>
      </c>
      <c r="CX21" s="172">
        <f>MIN(IF($AU21=100%,1,1+VLOOKUP(($AJ21-$AI21-$AH21-$AG21-$AF21-$AE21*(1+CX$3))/$AJ21,'Технический лист'!$A:$B,2,1)-VLOOKUP($AO21,'Технический лист'!$A:$B,2,1)),1+(1-$AU21))</f>
        <v/>
      </c>
      <c r="CY21" s="172">
        <f>MIN(IF($AU21=100%,1,1+VLOOKUP(($AJ21-$AI21-$AH21-$AG21-$AF21-$AE21*(1+CY$3))/$AJ21,'Технический лист'!$A:$B,2,1)-VLOOKUP($AO21,'Технический лист'!$A:$B,2,1)),1+(1-$AU21))</f>
        <v/>
      </c>
      <c r="CZ21" s="172">
        <f>MIN(IF($AU21=100%,1,1+VLOOKUP(($AJ21-$AI21-$AH21-$AG21-$AF21-$AE21*(1+CZ$3))/$AJ21,'Технический лист'!$A:$B,2,1)-VLOOKUP($AO21,'Технический лист'!$A:$B,2,1)),1+(1-$AU21))</f>
        <v/>
      </c>
      <c r="DA21" s="172">
        <f>MIN(IF($AU21=100%,1,1+VLOOKUP(($AJ21-$AI21-$AH21-$AG21-$AF21-$AE21*(1+DA$3))/$AJ21,'Технический лист'!$A:$B,2,1)-VLOOKUP($AO21,'Технический лист'!$A:$B,2,1)),1+(1-$AU21))</f>
        <v/>
      </c>
      <c r="DB21" s="172">
        <f>MIN(IF($AU21=100%,1,1+VLOOKUP(($AJ21-$AI21-$AH21-$AG21-$AF21-$AE21*(1+DB$3))/$AJ21,'Технический лист'!$A:$B,2,1)-VLOOKUP($AO21,'Технический лист'!$A:$B,2,1)),1+(1-$AU21))</f>
        <v/>
      </c>
      <c r="DC21" s="172">
        <f>MIN(IF($AU21=100%,1,1+VLOOKUP(($AJ21-$AI21-$AH21-$AG21-$AF21-$AE21*(1+DC$3))/$AJ21,'Технический лист'!$A:$B,2,1)-VLOOKUP($AO21,'Технический лист'!$A:$B,2,1)),1+(1-$AU21))</f>
        <v/>
      </c>
      <c r="DD21" s="172">
        <f>MIN(IF($AU21=100%,1,1+VLOOKUP(($AJ21-$AI21-$AH21-$AG21-$AF21-$AE21*(1+DD$3))/$AJ21,'Технический лист'!$A:$B,2,1)-VLOOKUP($AO21,'Технический лист'!$A:$B,2,1)),1+(1-$AU21))</f>
        <v/>
      </c>
      <c r="DE21" s="172">
        <f>MIN(IF($AU21=100%,1,1+VLOOKUP(($AJ21-$AI21-$AH21-$AG21-$AF21-$AE21*(1+DE$3))/$AJ21,'Технический лист'!$A:$B,2,1)-VLOOKUP($AO21,'Технический лист'!$A:$B,2,1)),1+(1-$AU21))</f>
        <v/>
      </c>
      <c r="DF21" s="172">
        <f>MIN(IF($AU21=100%,1,1+VLOOKUP(($AJ21-$AI21-$AH21-$AG21-$AF21-$AE21*(1+DF$3))/$AJ21,'Технический лист'!$A:$B,2,1)-VLOOKUP($AO21,'Технический лист'!$A:$B,2,1)),1+(1-$AU21))</f>
        <v/>
      </c>
      <c r="DG21" s="172">
        <f>MIN(IF($AU21=100%,1,1+VLOOKUP(($AJ21-$AI21-$AH21-$AG21-$AF21-$AE21*(1+DG$3))/$AJ21,'Технический лист'!$A:$B,2,1)-VLOOKUP($AO21,'Технический лист'!$A:$B,2,1)),1+(1-$AU21))</f>
        <v/>
      </c>
      <c r="DH21" s="172">
        <f>MIN(IF($AU21=100%,1,1+VLOOKUP(($AJ21-$AI21-$AH21-$AG21-$AF21-$AE21*(1+DH$3))/$AJ21,'Технический лист'!$A:$B,2,1)-VLOOKUP($AO21,'Технический лист'!$A:$B,2,1)),1+(1-$AU21))</f>
        <v/>
      </c>
      <c r="DI21" s="172">
        <f>MIN(IF($AU21=100%,1,1+VLOOKUP(($AJ21-$AI21-$AH21-$AG21-$AF21-$AE21*(1+DI$3))/$AJ21,'Технический лист'!$A:$B,2,1)-VLOOKUP($AO21,'Технический лист'!$A:$B,2,1)),1+(1-$AU21))</f>
        <v/>
      </c>
      <c r="DJ21" s="172">
        <f>MIN(IF($AU21=100%,1,1+VLOOKUP(($AJ21-$AI21-$AH21-$AG21-$AF21-$AE21*(1+DJ$3))/$AJ21,'Технический лист'!$A:$B,2,1)-VLOOKUP($AO21,'Технический лист'!$A:$B,2,1)),1+(1-$AU21))</f>
        <v/>
      </c>
      <c r="DK21" s="172">
        <f>MIN(IF($AU21=100%,1,1+VLOOKUP(($AJ21-$AI21-$AH21-$AG21-$AF21-$AE21*(1+DK$3))/$AJ21,'Технический лист'!$A:$B,2,1)-VLOOKUP($AO21,'Технический лист'!$A:$B,2,1)),1+(1-$AU21))</f>
        <v/>
      </c>
      <c r="DL21" s="172">
        <f>MIN(IF($AU21=100%,1,1+VLOOKUP(($AJ21-$AI21-$AH21-$AG21-$AF21-$AE21*(1+DL$3))/$AJ21,'Технический лист'!$A:$B,2,1)-VLOOKUP($AO21,'Технический лист'!$A:$B,2,1)),1+(1-$AU21))</f>
        <v/>
      </c>
      <c r="DM21" s="172">
        <f>MIN(IF($AU21=100%,1,1+VLOOKUP(($AJ21-$AI21-$AH21-$AG21-$AF21-$AE21*(1+DM$3))/$AJ21,'Технический лист'!$A:$B,2,1)-VLOOKUP($AO21,'Технический лист'!$A:$B,2,1)),1+(1-$AU21))</f>
        <v/>
      </c>
      <c r="DN21" s="172">
        <f>MIN(IF($AU21=100%,1,1+VLOOKUP(($AJ21-$AI21-$AH21-$AG21-$AF21-$AE21*(1+DN$3))/$AJ21,'Технический лист'!$A:$B,2,1)-VLOOKUP($AO21,'Технический лист'!$A:$B,2,1)),1+(1-$AU21))</f>
        <v/>
      </c>
      <c r="DO21" s="172">
        <f>MIN(IF($AU21=100%,1,1+VLOOKUP(($AJ21-$AI21-$AH21-$AG21-$AF21-$AE21*(1+DO$3))/$AJ21,'Технический лист'!$A:$B,2,1)-VLOOKUP($AO21,'Технический лист'!$A:$B,2,1)),1+(1-$AU21))</f>
        <v/>
      </c>
      <c r="DP21" s="172">
        <f>MIN(IF($AU21=100%,1,1+VLOOKUP(($AJ21-$AI21-$AH21-$AG21-$AF21-$AE21*(1+DP$3))/$AJ21,'Технический лист'!$A:$B,2,1)-VLOOKUP($AO21,'Технический лист'!$A:$B,2,1)),1+(1-$AU21))</f>
        <v/>
      </c>
      <c r="DQ21" s="172">
        <f>MIN(IF($AU21=100%,1,1+VLOOKUP(($AJ21-$AI21-$AH21-$AG21-$AF21-$AE21*(1+DQ$3))/$AJ21,'Технический лист'!$A:$B,2,1)-VLOOKUP($AO21,'Технический лист'!$A:$B,2,1)),1+(1-$AU21))</f>
        <v/>
      </c>
      <c r="DR21" s="172">
        <f>MIN(IF($AU21=100%,1,1+VLOOKUP(($AJ21-$AI21-$AH21-$AG21-$AF21-$AE21*(1+DR$3))/$AJ21,'Технический лист'!$A:$B,2,1)-VLOOKUP($AO21,'Технический лист'!$A:$B,2,1)),1+(1-$AU21))</f>
        <v/>
      </c>
      <c r="DS21" s="172">
        <f>MIN(IF($AU21=100%,1,1+VLOOKUP(($AJ21-$AI21-$AH21-$AG21-$AF21-$AE21*(1+DS$3))/$AJ21,'Технический лист'!$A:$B,2,1)-VLOOKUP($AO21,'Технический лист'!$A:$B,2,1)),1+(1-$AU21))</f>
        <v/>
      </c>
      <c r="DT21" s="172">
        <f>MIN(IF($AU21=100%,1,1+VLOOKUP(($AJ21-$AI21-$AH21-$AG21-$AF21-$AE21*(1+DT$3))/$AJ21,'Технический лист'!$A:$B,2,1)-VLOOKUP($AO21,'Технический лист'!$A:$B,2,1)),1+(1-$AU21))</f>
        <v/>
      </c>
      <c r="DU21" s="172">
        <f>MIN(IF($AU21=100%,1,1+VLOOKUP(($AJ21-$AI21-$AH21-$AG21-$AF21-$AE21*(1+DU$3))/$AJ21,'Технический лист'!$A:$B,2,1)-VLOOKUP($AO21,'Технический лист'!$A:$B,2,1)),1+(1-$AU21))</f>
        <v/>
      </c>
      <c r="DV21" s="172">
        <f>MIN(IF($AU21=100%,1,1+VLOOKUP(($AJ21-$AI21-$AH21-$AG21-$AF21-$AE21*(1+DV$3))/$AJ21,'Технический лист'!$A:$B,2,1)-VLOOKUP($AO21,'Технический лист'!$A:$B,2,1)),1+(1-$AU21))</f>
        <v/>
      </c>
      <c r="DW21" s="172">
        <f>MIN(IF($AU21=100%,1,1+VLOOKUP(($AJ21-$AI21-$AH21-$AG21-$AF21-$AE21*(1+DW$3))/$AJ21,'Технический лист'!$A:$B,2,1)-VLOOKUP($AO21,'Технический лист'!$A:$B,2,1)),1+(1-$AU21))</f>
        <v/>
      </c>
      <c r="DX21" s="172">
        <f>MIN(IF($AU21=100%,1,1+VLOOKUP(($AJ21-$AI21-$AH21-$AG21-$AF21-$AE21*(1+DX$3))/$AJ21,'Технический лист'!$A:$B,2,1)-VLOOKUP($AO21,'Технический лист'!$A:$B,2,1)),1+(1-$AU21))</f>
        <v/>
      </c>
      <c r="DY21" s="172">
        <f>MIN(IF($AU21=100%,1,1+VLOOKUP(($AJ21-$AI21-$AH21-$AG21-$AF21-$AE21*(1+DY$3))/$AJ21,'Технический лист'!$A:$B,2,1)-VLOOKUP($AO21,'Технический лист'!$A:$B,2,1)),1+(1-$AU21))</f>
        <v/>
      </c>
      <c r="DZ21" s="172">
        <f>MIN(IF($AU21=100%,1,1+VLOOKUP(($AJ21-$AI21-$AH21-$AG21-$AF21-$AE21*(1+DZ$3))/$AJ21,'Технический лист'!$A:$B,2,1)-VLOOKUP($AO21,'Технический лист'!$A:$B,2,1)),1+(1-$AU21))</f>
        <v/>
      </c>
      <c r="EA21" s="172">
        <f>MIN(IF($AU21=100%,1,1+VLOOKUP(($AJ21-$AI21-$AH21-$AG21-$AF21-$AE21*(1+EA$3))/$AJ21,'Технический лист'!$A:$B,2,1)-VLOOKUP($AO21,'Технический лист'!$A:$B,2,1)),1+(1-$AU21))</f>
        <v/>
      </c>
      <c r="EB21" s="172">
        <f>MIN(IF($AU21=100%,1,1+VLOOKUP(($AJ21-$AI21-$AH21-$AG21-$AF21-$AE21*(1+EB$3))/$AJ21,'Технический лист'!$A:$B,2,1)-VLOOKUP($AO21,'Технический лист'!$A:$B,2,1)),1+(1-$AU21))</f>
        <v/>
      </c>
      <c r="EC21" s="172">
        <f>MIN(IF($AU21=100%,1,1+VLOOKUP(($AJ21-$AI21-$AH21-$AG21-$AF21-$AE21*(1+EC$3))/$AJ21,'Технический лист'!$A:$B,2,1)-VLOOKUP($AO21,'Технический лист'!$A:$B,2,1)),1+(1-$AU21))</f>
        <v/>
      </c>
      <c r="ED21" s="172">
        <f>MIN(IF($AU21=100%,1,1+VLOOKUP(($AJ21-$AI21-$AH21-$AG21-$AF21-$AE21*(1+ED$3))/$AJ21,'Технический лист'!$A:$B,2,1)-VLOOKUP($AO21,'Технический лист'!$A:$B,2,1)),1+(1-$AU21))</f>
        <v/>
      </c>
      <c r="EE21" s="172">
        <f>MIN(IF($AU21=100%,1,1+VLOOKUP(($AJ21-$AI21-$AH21-$AG21-$AF21-$AE21*(1+EE$3))/$AJ21,'Технический лист'!$A:$B,2,1)-VLOOKUP($AO21,'Технический лист'!$A:$B,2,1)),1+(1-$AU21))</f>
        <v/>
      </c>
      <c r="EF21" s="172">
        <f>MIN(IF($AU21=100%,1,1+VLOOKUP(($AJ21-$AI21-$AH21-$AG21-$AF21-$AE21*(1+EF$3))/$AJ21,'Технический лист'!$A:$B,2,1)-VLOOKUP($AO21,'Технический лист'!$A:$B,2,1)),1+(1-$AU21))</f>
        <v/>
      </c>
      <c r="EG21" s="172">
        <f>MIN(IF($AU21=100%,1,1+VLOOKUP(($AJ21-$AI21-$AH21-$AG21-$AF21-$AE21*(1+EG$3))/$AJ21,'Технический лист'!$A:$B,2,1)-VLOOKUP($AO21,'Технический лист'!$A:$B,2,1)),1+(1-$AU21))</f>
        <v/>
      </c>
      <c r="EH21" s="172">
        <f>MIN(IF($AU21=100%,1,1+VLOOKUP(($AJ21-$AI21-$AH21-$AG21-$AF21-$AE21*(1+EH$3))/$AJ21,'Технический лист'!$A:$B,2,1)-VLOOKUP($AO21,'Технический лист'!$A:$B,2,1)),1+(1-$AU21))</f>
        <v/>
      </c>
      <c r="EI21" s="172">
        <f>MIN(IF($AU21=100%,1,1+VLOOKUP(($AJ21-$AI21-$AH21-$AG21-$AF21-$AE21*(1+EI$3))/$AJ21,'Технический лист'!$A:$B,2,1)-VLOOKUP($AO21,'Технический лист'!$A:$B,2,1)),1+(1-$AU21))</f>
        <v/>
      </c>
      <c r="EJ21" s="172">
        <f>MIN(IF($AU21=100%,1,1+VLOOKUP(($AJ21-$AI21-$AH21-$AG21-$AF21-$AE21*(1+EJ$3))/$AJ21,'Технический лист'!$A:$B,2,1)-VLOOKUP($AO21,'Технический лист'!$A:$B,2,1)),1+(1-$AU21))</f>
        <v/>
      </c>
      <c r="EK21" s="172">
        <f>MIN(IF($AU21=100%,1,1+VLOOKUP(($AJ21-$AI21-$AH21-$AG21-$AF21-$AE21*(1+EK$3))/$AJ21,'Технический лист'!$A:$B,2,1)-VLOOKUP($AO21,'Технический лист'!$A:$B,2,1)),1+(1-$AU21))</f>
        <v/>
      </c>
      <c r="EL21" s="172">
        <f>MIN(IF($AU21=100%,1,1+VLOOKUP(($AJ21-$AI21-$AH21-$AG21-$AF21-$AE21*(1+EL$3))/$AJ21,'Технический лист'!$A:$B,2,1)-VLOOKUP($AO21,'Технический лист'!$A:$B,2,1)),1+(1-$AU21))</f>
        <v/>
      </c>
      <c r="EM21" s="172">
        <f>MIN(IF($AU21=100%,1,1+VLOOKUP(($AJ21-$AI21-$AH21-$AG21-$AF21-$AE21*(1+EM$3))/$AJ21,'Технический лист'!$A:$B,2,1)-VLOOKUP($AO21,'Технический лист'!$A:$B,2,1)),1+(1-$AU21))</f>
        <v/>
      </c>
      <c r="EN21" s="172">
        <f>MIN(IF($AU21=100%,1,1+VLOOKUP(($AJ21-$AI21-$AH21-$AG21-$AF21-$AE21*(1+EN$3))/$AJ21,'Технический лист'!$A:$B,2,1)-VLOOKUP($AO21,'Технический лист'!$A:$B,2,1)),1+(1-$AU21))</f>
        <v/>
      </c>
      <c r="EO21" s="172">
        <f>MIN(IF($AU21=100%,1,1+VLOOKUP(($AJ21-$AI21-$AH21-$AG21-$AF21-$AE21*(1+EO$3))/$AJ21,'Технический лист'!$A:$B,2,1)-VLOOKUP($AO21,'Технический лист'!$A:$B,2,1)),1+(1-$AU21))</f>
        <v/>
      </c>
      <c r="EP21" s="172">
        <f>MIN(IF($AU21=100%,1,1+VLOOKUP(($AJ21-$AI21-$AH21-$AG21-$AF21-$AE21*(1+EP$3))/$AJ21,'Технический лист'!$A:$B,2,1)-VLOOKUP($AO21,'Технический лист'!$A:$B,2,1)),1+(1-$AU21))</f>
        <v/>
      </c>
      <c r="EQ21" s="172">
        <f>MIN(IF($AU21=100%,1,1+VLOOKUP(($AJ21-$AI21-$AH21-$AG21-$AF21-$AE21*(1+EQ$3))/$AJ21,'Технический лист'!$A:$B,2,1)-VLOOKUP($AO21,'Технический лист'!$A:$B,2,1)),1+(1-$AU21))</f>
        <v/>
      </c>
      <c r="ER21" s="172">
        <f>MIN(IF($AU21=100%,1,1+VLOOKUP(($AJ21-$AI21-$AH21-$AG21-$AF21-$AE21*(1+ER$3))/$AJ21,'Технический лист'!$A:$B,2,1)-VLOOKUP($AO21,'Технический лист'!$A:$B,2,1)),1+(1-$AU21))</f>
        <v/>
      </c>
      <c r="ES21" s="172">
        <f>MIN(IF($AU21=100%,1,1+VLOOKUP(($AJ21-$AI21-$AH21-$AG21-$AF21-$AE21*(1+ES$3))/$AJ21,'Технический лист'!$A:$B,2,1)-VLOOKUP($AO21,'Технический лист'!$A:$B,2,1)),1+(1-$AU21))</f>
        <v/>
      </c>
      <c r="ET21" s="172">
        <f>MIN(IF($AU21=100%,1,1+VLOOKUP(($AJ21-$AI21-$AH21-$AG21-$AF21-$AE21*(1+ET$3))/$AJ21,'Технический лист'!$A:$B,2,1)-VLOOKUP($AO21,'Технический лист'!$A:$B,2,1)),1+(1-$AU21))</f>
        <v/>
      </c>
      <c r="EU21" s="172">
        <f>MIN(IF($AU21=100%,1,1+VLOOKUP(($AJ21-$AI21-$AH21-$AG21-$AF21-$AE21*(1+EU$3))/$AJ21,'Технический лист'!$A:$B,2,1)-VLOOKUP($AO21,'Технический лист'!$A:$B,2,1)),1+(1-$AU21))</f>
        <v/>
      </c>
      <c r="EV21" s="173" t="n">
        <v>1</v>
      </c>
      <c r="EW21" s="172">
        <f>MIN(1,MAX(VLOOKUP(($AJ21-$AI21-$AH21-$AG21-$AF21-$AE21*(1+EW$3))/$AJ21,'Технический лист'!$A:$B,2,1),(EV21-0.05)))</f>
        <v/>
      </c>
      <c r="EX21" s="172">
        <f>MIN(1,MAX(VLOOKUP(($AJ21-$AI21-$AH21-$AG21-$AF21-$AE21*(1+EX$3))/$AJ21,'Технический лист'!$A:$B,2,1),(EW21-0.05)))</f>
        <v/>
      </c>
      <c r="EY21" s="172">
        <f>MIN(1,MAX(VLOOKUP(($AJ21-$AI21-$AH21-$AG21-$AF21-$AE21*(1+EY$3))/$AJ21,'Технический лист'!$A:$B,2,1),(EX21-0.05)))</f>
        <v/>
      </c>
      <c r="EZ21" s="172">
        <f>MIN(1,MAX(VLOOKUP(($AJ21-$AI21-$AH21-$AG21-$AF21-$AE21*(1+EZ$3))/$AJ21,'Технический лист'!$A:$B,2,1),(EY21-0.05)))</f>
        <v/>
      </c>
      <c r="FA21" s="172">
        <f>MIN(1,MAX(VLOOKUP(($AJ21-$AI21-$AH21-$AG21-$AF21-$AE21*(1+FA$3))/$AJ21,'Технический лист'!$A:$B,2,1),(EZ21-0.05)))</f>
        <v/>
      </c>
      <c r="FB21" s="172">
        <f>MIN(1,MAX(VLOOKUP(($AJ21-$AI21-$AH21-$AG21-$AF21-$AE21*(1+FB$3))/$AJ21,'Технический лист'!$A:$B,2,1),(FA21-0.05)))</f>
        <v/>
      </c>
      <c r="FC21" s="172">
        <f>MIN(1,MAX(VLOOKUP(($AJ21-$AI21-$AH21-$AG21-$AF21-$AE21*(1+FC$3))/$AJ21,'Технический лист'!$A:$B,2,1),(FB21-0.05)))</f>
        <v/>
      </c>
      <c r="FD21" s="172">
        <f>MIN(1,MAX(VLOOKUP(($AJ21-$AI21-$AH21-$AG21-$AF21-$AE21*(1+FD$3))/$AJ21,'Технический лист'!$A:$B,2,1),(FC21-0.05)))</f>
        <v/>
      </c>
      <c r="FE21" s="172">
        <f>MIN(1,MAX(VLOOKUP(($AJ21-$AI21-$AH21-$AG21-$AF21-$AE21*(1+FE$3))/$AJ21,'Технический лист'!$A:$B,2,1),(FD21-0.05)))</f>
        <v/>
      </c>
      <c r="FF21" s="172">
        <f>MIN(1,MAX(VLOOKUP(($AJ21-$AI21-$AH21-$AG21-$AF21-$AE21*(1+FF$3))/$AJ21,'Технический лист'!$A:$B,2,1),(FE21-0.05)))</f>
        <v/>
      </c>
      <c r="FG21" s="172">
        <f>MIN(1,MAX(VLOOKUP(($AJ21-$AI21-$AH21-$AG21-$AF21-$AE21*(1+FG$3))/$AJ21,'Технический лист'!$A:$B,2,1),(FF21-0.05)))</f>
        <v/>
      </c>
      <c r="FH21" s="172">
        <f>MIN(1,MAX(VLOOKUP(($AJ21-$AI21-$AH21-$AG21-$AF21-$AE21*(1+FH$3))/$AJ21,'Технический лист'!$A:$B,2,1),(FG21-0.05)))</f>
        <v/>
      </c>
      <c r="FI21" s="172">
        <f>MIN(1,MAX(VLOOKUP(($AJ21-$AI21-$AH21-$AG21-$AF21-$AE21*(1+FI$3))/$AJ21,'Технический лист'!$A:$B,2,1),(FH21-0.05)))</f>
        <v/>
      </c>
      <c r="FJ21" s="172">
        <f>MIN(1,MAX(VLOOKUP(($AJ21-$AI21-$AH21-$AG21-$AF21-$AE21*(1+FJ$3))/$AJ21,'Технический лист'!$A:$B,2,1),(FI21-0.05)))</f>
        <v/>
      </c>
      <c r="FK21" s="172">
        <f>MIN(1,MAX(VLOOKUP(($AJ21-$AI21-$AH21-$AG21-$AF21-$AE21*(1+FK$3))/$AJ21,'Технический лист'!$A:$B,2,1),(FJ21-0.05)))</f>
        <v/>
      </c>
      <c r="FL21" s="172">
        <f>MIN(1,MAX(VLOOKUP(($AJ21-$AI21-$AH21-$AG21-$AF21-$AE21*(1+FL$3))/$AJ21,'Технический лист'!$A:$B,2,1),(FK21-0.05)))</f>
        <v/>
      </c>
      <c r="FM21" s="172">
        <f>MIN(1,MAX(VLOOKUP(($AJ21-$AI21-$AH21-$AG21-$AF21-$AE21*(1+FM$3))/$AJ21,'Технический лист'!$A:$B,2,1),(FL21-0.05)))</f>
        <v/>
      </c>
      <c r="FN21" s="172">
        <f>MIN(1,MAX(VLOOKUP(($AJ21-$AI21-$AH21-$AG21-$AF21-$AE21*(1+FN$3))/$AJ21,'Технический лист'!$A:$B,2,1),(FM21-0.05)))</f>
        <v/>
      </c>
      <c r="FO21" s="172">
        <f>MIN(1,MAX(VLOOKUP(($AJ21-$AI21-$AH21-$AG21-$AF21-$AE21*(1+FO$3))/$AJ21,'Технический лист'!$A:$B,2,1),(FN21-0.05)))</f>
        <v/>
      </c>
      <c r="FP21" s="172">
        <f>MIN(1,MAX(VLOOKUP(($AJ21-$AI21-$AH21-$AG21-$AF21-$AE21*(1+FP$3))/$AJ21,'Технический лист'!$A:$B,2,1),(FO21-0.05)))</f>
        <v/>
      </c>
      <c r="FQ21" s="172">
        <f>MIN(1,MAX(VLOOKUP(($AJ21-$AI21-$AH21-$AG21-$AF21-$AE21*(1+FQ$3))/$AJ21,'Технический лист'!$A:$B,2,1),(FP21-0.05)))</f>
        <v/>
      </c>
      <c r="FR21" s="172">
        <f>MIN(1,MAX(VLOOKUP(($AJ21-$AI21-$AH21-$AG21-$AF21-$AE21*(1+FR$3))/$AJ21,'Технический лист'!$A:$B,2,1),(FQ21-0.05)))</f>
        <v/>
      </c>
      <c r="FS21" s="172">
        <f>MIN(1,MAX(VLOOKUP(($AJ21-$AI21-$AH21-$AG21-$AF21-$AE21*(1+FS$3))/$AJ21,'Технический лист'!$A:$B,2,1),(FR21-0.05)))</f>
        <v/>
      </c>
      <c r="FT21" s="172">
        <f>MIN(1,MAX(VLOOKUP(($AJ21-$AI21-$AH21-$AG21-$AF21-$AE21*(1+FT$3))/$AJ21,'Технический лист'!$A:$B,2,1),(FS21-0.05)))</f>
        <v/>
      </c>
      <c r="FU21" s="172">
        <f>MIN(1,MAX(VLOOKUP(($AJ21-$AI21-$AH21-$AG21-$AF21-$AE21*(1+FU$3))/$AJ21,'Технический лист'!$A:$B,2,1),(FT21-0.05)))</f>
        <v/>
      </c>
      <c r="FV21" s="172">
        <f>MIN(1,MAX(VLOOKUP(($AJ21-$AI21-$AH21-$AG21-$AF21-$AE21*(1+FV$3))/$AJ21,'Технический лист'!$A:$B,2,1),(FU21-0.05)))</f>
        <v/>
      </c>
      <c r="FW21" s="172">
        <f>MIN(1,MAX(VLOOKUP(($AJ21-$AI21-$AH21-$AG21-$AF21-$AE21*(1+FW$3))/$AJ21,'Технический лист'!$A:$B,2,1),(FV21-0.05)))</f>
        <v/>
      </c>
      <c r="FX21" s="172">
        <f>MIN(1,MAX(VLOOKUP(($AJ21-$AI21-$AH21-$AG21-$AF21-$AE21*(1+FX$3))/$AJ21,'Технический лист'!$A:$B,2,1),(FW21-0.05)))</f>
        <v/>
      </c>
      <c r="FY21" s="172">
        <f>MIN(1,MAX(VLOOKUP(($AJ21-$AI21-$AH21-$AG21-$AF21-$AE21*(1+FY$3))/$AJ21,'Технический лист'!$A:$B,2,1),(FX21-0.05)))</f>
        <v/>
      </c>
      <c r="FZ21" s="172">
        <f>MIN(1,MAX(VLOOKUP(($AJ21-$AI21-$AH21-$AG21-$AF21-$AE21*(1+FZ$3))/$AJ21,'Технический лист'!$A:$B,2,1),(FY21-0.05)))</f>
        <v/>
      </c>
      <c r="GA21" s="172">
        <f>MIN(1,MAX(VLOOKUP(($AJ21-$AI21-$AH21-$AG21-$AF21-$AE21*(1+GA$3))/$AJ21,'Технический лист'!$A:$B,2,1),(FZ21-0.05)))</f>
        <v/>
      </c>
      <c r="GB21" s="172">
        <f>MIN(1,MAX(VLOOKUP(($AJ21-$AI21-$AH21-$AG21-$AF21-$AE21*(1+GB$3))/$AJ21,'Технический лист'!$A:$B,2,1),(GA21-0.05)))</f>
        <v/>
      </c>
      <c r="GC21" s="172">
        <f>MIN(1,MAX(VLOOKUP(($AJ21-$AI21-$AH21-$AG21-$AF21-$AE21*(1+GC$3))/$AJ21,'Технический лист'!$A:$B,2,1),(GB21-0.05)))</f>
        <v/>
      </c>
      <c r="GD21" s="172">
        <f>MIN(1,MAX(VLOOKUP(($AJ21-$AI21-$AH21-$AG21-$AF21-$AE21*(1+GD$3))/$AJ21,'Технический лист'!$A:$B,2,1),(GC21-0.05)))</f>
        <v/>
      </c>
      <c r="GE21" s="172">
        <f>MIN(1,MAX(VLOOKUP(($AJ21-$AI21-$AH21-$AG21-$AF21-$AE21*(1+GE$3))/$AJ21,'Технический лист'!$A:$B,2,1),(GD21-0.05)))</f>
        <v/>
      </c>
      <c r="GF21" s="172">
        <f>MIN(1,MAX(VLOOKUP(($AJ21-$AI21-$AH21-$AG21-$AF21-$AE21*(1+GF$3))/$AJ21,'Технический лист'!$A:$B,2,1),(GE21-0.05)))</f>
        <v/>
      </c>
      <c r="GG21" s="172">
        <f>MIN(1,MAX(VLOOKUP(($AJ21-$AI21-$AH21-$AG21-$AF21-$AE21*(1+GG$3))/$AJ21,'Технический лист'!$A:$B,2,1),(GF21-0.05)))</f>
        <v/>
      </c>
      <c r="GH21" s="172">
        <f>MIN(1,MAX(VLOOKUP(($AJ21-$AI21-$AH21-$AG21-$AF21-$AE21*(1+GH$3))/$AJ21,'Технический лист'!$A:$B,2,1),(GG21-0.05)))</f>
        <v/>
      </c>
      <c r="GI21" s="172">
        <f>MIN(1,MAX(VLOOKUP(($AJ21-$AI21-$AH21-$AG21-$AF21-$AE21*(1+GI$3))/$AJ21,'Технический лист'!$A:$B,2,1),(GH21-0.05)))</f>
        <v/>
      </c>
      <c r="GJ21" s="172">
        <f>MIN(1,MAX(VLOOKUP(($AJ21-$AI21-$AH21-$AG21-$AF21-$AE21*(1+GJ$3))/$AJ21,'Технический лист'!$A:$B,2,1),(GI21-0.05)))</f>
        <v/>
      </c>
      <c r="GK21" s="172">
        <f>MIN(1,MAX(VLOOKUP(($AJ21-$AI21-$AH21-$AG21-$AF21-$AE21*(1+GK$3))/$AJ21,'Технический лист'!$A:$B,2,1),(GJ21-0.05)))</f>
        <v/>
      </c>
      <c r="GL21" s="172">
        <f>MIN(1,MAX(VLOOKUP(($AJ21-$AI21-$AH21-$AG21-$AF21-$AE21*(1+GL$3))/$AJ21,'Технический лист'!$A:$B,2,1),(GK21-0.05)))</f>
        <v/>
      </c>
      <c r="GM21" s="172">
        <f>MIN(1,MAX(VLOOKUP(($AJ21-$AI21-$AH21-$AG21-$AF21-$AE21*(1+GM$3))/$AJ21,'Технический лист'!$A:$B,2,1),(GL21-0.05)))</f>
        <v/>
      </c>
      <c r="GN21" s="172">
        <f>MIN(1,MAX(VLOOKUP(($AJ21-$AI21-$AH21-$AG21-$AF21-$AE21*(1+GN$3))/$AJ21,'Технический лист'!$A:$B,2,1),(GM21-0.05)))</f>
        <v/>
      </c>
      <c r="GO21" s="172">
        <f>MIN(1,MAX(VLOOKUP(($AJ21-$AI21-$AH21-$AG21-$AF21-$AE21*(1+GO$3))/$AJ21,'Технический лист'!$A:$B,2,1),(GN21-0.05)))</f>
        <v/>
      </c>
      <c r="GP21" s="172">
        <f>MIN(1,MAX(VLOOKUP(($AJ21-$AI21-$AH21-$AG21-$AF21-$AE21*(1+GP$3))/$AJ21,'Технический лист'!$A:$B,2,1),(GO21-0.05)))</f>
        <v/>
      </c>
      <c r="GQ21" s="172">
        <f>MIN(1,MAX(VLOOKUP(($AJ21-$AI21-$AH21-$AG21-$AF21-$AE21*(1+GQ$3))/$AJ21,'Технический лист'!$A:$B,2,1),(GP21-0.05)))</f>
        <v/>
      </c>
      <c r="GR21" s="172">
        <f>MIN(1,MAX(VLOOKUP(($AJ21-$AI21-$AH21-$AG21-$AF21-$AE21*(1+GR$3))/$AJ21,'Технический лист'!$A:$B,2,1),(GQ21-0.05)))</f>
        <v/>
      </c>
      <c r="GS21" s="172">
        <f>MIN(1,MAX(VLOOKUP(($AJ21-$AI21-$AH21-$AG21-$AF21-$AE21*(1+GS$3))/$AJ21,'Технический лист'!$A:$B,2,1),(GR21-0.05)))</f>
        <v/>
      </c>
      <c r="GT21" s="172">
        <f>MIN(1,MAX(VLOOKUP(($AJ21-$AI21-$AH21-$AG21-$AF21-$AE21*(1+GT$3))/$AJ21,'Технический лист'!$A:$B,2,1),(GS21-0.05)))</f>
        <v/>
      </c>
      <c r="GU21" s="172">
        <f>MIN(1,MAX(VLOOKUP(($AJ21-$AI21-$AH21-$AG21-$AF21-$AE21*(1+GU$3))/$AJ21,'Технический лист'!$A:$B,2,1),(GT21-0.05)))</f>
        <v/>
      </c>
      <c r="GV21" s="172">
        <f>MIN(1,MAX(VLOOKUP(($AJ21-$AI21-$AH21-$AG21-$AF21-$AE21*(1+GV$3))/$AJ21,'Технический лист'!$A:$B,2,1),(GU21-0.05)))</f>
        <v/>
      </c>
      <c r="GW21" s="172">
        <f>MIN(1,MAX(VLOOKUP(($AJ21-$AI21-$AH21-$AG21-$AF21-$AE21*(1+GW$3))/$AJ21,'Технический лист'!$A:$B,2,1),(GV21-0.05)))</f>
        <v/>
      </c>
      <c r="GX21" s="172">
        <f>MIN(1,MAX(VLOOKUP(($AJ21-$AI21-$AH21-$AG21-$AF21-$AE21*(1+GX$3))/$AJ21,'Технический лист'!$A:$B,2,1),(GW21-0.05)))</f>
        <v/>
      </c>
      <c r="GY21" s="172">
        <f>MIN(1,MAX(VLOOKUP(($AJ21-$AI21-$AH21-$AG21-$AF21-$AE21*(1+GY$3))/$AJ21,'Технический лист'!$A:$B,2,1),(GX21-0.05)))</f>
        <v/>
      </c>
      <c r="GZ21" s="172">
        <f>MIN(1,MAX(VLOOKUP(($AJ21-$AI21-$AH21-$AG21-$AF21-$AE21*(1+GZ$3))/$AJ21,'Технический лист'!$A:$B,2,1),(GY21-0.05)))</f>
        <v/>
      </c>
      <c r="HA21" s="172">
        <f>MIN(1,MAX(VLOOKUP(($AJ21-$AI21-$AH21-$AG21-$AF21-$AE21*(1+HA$3))/$AJ21,'Технический лист'!$A:$B,2,1),(GZ21-0.05)))</f>
        <v/>
      </c>
      <c r="HB21" s="172">
        <f>MIN(1,MAX(VLOOKUP(($AJ21-$AI21-$AH21-$AG21-$AF21-$AE21*(1+HB$3))/$AJ21,'Технический лист'!$A:$B,2,1),(HA21-0.05)))</f>
        <v/>
      </c>
      <c r="HC21" s="172">
        <f>MIN(1,MAX(VLOOKUP(($AJ21-$AI21-$AH21-$AG21-$AF21-$AE21*(1+HC$3))/$AJ21,'Технический лист'!$A:$B,2,1),(HB21-0.05)))</f>
        <v/>
      </c>
      <c r="HD21" s="172">
        <f>MIN(1,MAX(VLOOKUP(($AJ21-$AI21-$AH21-$AG21-$AF21-$AE21*(1+HD$3))/$AJ21,'Технический лист'!$A:$B,2,1),(HC21-0.05)))</f>
        <v/>
      </c>
      <c r="HE21" s="172">
        <f>MIN(1,MAX(VLOOKUP(($AJ21-$AI21-$AH21-$AG21-$AF21-$AE21*(1+HE$3))/$AJ21,'Технический лист'!$A:$B,2,1),(HD21-0.05)))</f>
        <v/>
      </c>
      <c r="HF21" s="172">
        <f>MIN(1,MAX(VLOOKUP(($AJ21-$AI21-$AH21-$AG21-$AF21-$AE21*(1+HF$3))/$AJ21,'Технический лист'!$A:$B,2,1),(HE21-0.05)))</f>
        <v/>
      </c>
      <c r="HG21" s="172">
        <f>MIN(1,MAX(VLOOKUP(($AJ21-$AI21-$AH21-$AG21-$AF21-$AE21*(1+HG$3))/$AJ21,'Технический лист'!$A:$B,2,1),(HF21-0.05)))</f>
        <v/>
      </c>
      <c r="HH21" s="172">
        <f>MIN(1,MAX(VLOOKUP(($AJ21-$AI21-$AH21-$AG21-$AF21-$AE21*(1+HH$3))/$AJ21,'Технический лист'!$A:$B,2,1),(HG21-0.05)))</f>
        <v/>
      </c>
      <c r="HI21" s="172">
        <f>MIN(1,MAX(VLOOKUP(($AJ21-$AI21-$AH21-$AG21-$AF21-$AE21*(1+HI$3))/$AJ21,'Технический лист'!$A:$B,2,1),(HH21-0.05)))</f>
        <v/>
      </c>
      <c r="HJ21" s="172">
        <f>MIN(1,MAX(VLOOKUP(($AJ21-$AI21-$AH21-$AG21-$AF21-$AE21*(1+HJ$3))/$AJ21,'Технический лист'!$A:$B,2,1),(HI21-0.05)))</f>
        <v/>
      </c>
      <c r="HK21" s="172">
        <f>MIN(1,MAX(VLOOKUP(($AJ21-$AI21-$AH21-$AG21-$AF21-$AE21*(1+HK$3))/$AJ21,'Технический лист'!$A:$B,2,1),(HJ21-0.05)))</f>
        <v/>
      </c>
      <c r="HL21" s="172">
        <f>MIN(1,MAX(VLOOKUP(($AJ21-$AI21-$AH21-$AG21-$AF21-$AE21*(1+HL$3))/$AJ21,'Технический лист'!$A:$B,2,1),(HK21-0.05)))</f>
        <v/>
      </c>
      <c r="HM21" s="172">
        <f>MIN(1,MAX(VLOOKUP(($AJ21-$AI21-$AH21-$AG21-$AF21-$AE21*(1+HM$3))/$AJ21,'Технический лист'!$A:$B,2,1),(HL21-0.05)))</f>
        <v/>
      </c>
      <c r="HN21" s="172">
        <f>MIN(1,MAX(VLOOKUP(($AJ21-$AI21-$AH21-$AG21-$AF21-$AE21*(1+HN$3))/$AJ21,'Технический лист'!$A:$B,2,1),(HM21-0.05)))</f>
        <v/>
      </c>
      <c r="HO21" s="172">
        <f>MIN(1,MAX(VLOOKUP(($AJ21-$AI21-$AH21-$AG21-$AF21-$AE21*(1+HO$3))/$AJ21,'Технический лист'!$A:$B,2,1),(HN21-0.05)))</f>
        <v/>
      </c>
      <c r="HP21" s="172">
        <f>MIN(1,MAX(VLOOKUP(($AJ21-$AI21-$AH21-$AG21-$AF21-$AE21*(1+HP$3))/$AJ21,'Технический лист'!$A:$B,2,1),(HO21-0.05)))</f>
        <v/>
      </c>
      <c r="HQ21" s="172">
        <f>MIN(1,MAX(VLOOKUP(($AJ21-$AI21-$AH21-$AG21-$AF21-$AE21*(1+HQ$3))/$AJ21,'Технический лист'!$A:$B,2,1),(HP21-0.05)))</f>
        <v/>
      </c>
      <c r="HR21" s="172">
        <f>MIN(1,MAX(VLOOKUP(($AJ21-$AI21-$AH21-$AG21-$AF21-$AE21*(1+HR$3))/$AJ21,'Технический лист'!$A:$B,2,1),(HQ21-0.05)))</f>
        <v/>
      </c>
      <c r="HS21" s="172">
        <f>MIN(1,MAX(VLOOKUP(($AJ21-$AI21-$AH21-$AG21-$AF21-$AE21*(1+HS$3))/$AJ21,'Технический лист'!$A:$B,2,1),(HR21-0.05)))</f>
        <v/>
      </c>
      <c r="HT21" s="172">
        <f>MIN(1,MAX(VLOOKUP(($AJ21-$AI21-$AH21-$AG21-$AF21-$AE21*(1+HT$3))/$AJ21,'Технический лист'!$A:$B,2,1),(HS21-0.05)))</f>
        <v/>
      </c>
      <c r="HU21" s="172">
        <f>MIN(1,MAX(VLOOKUP(($AJ21-$AI21-$AH21-$AG21-$AF21-$AE21*(1+HU$3))/$AJ21,'Технический лист'!$A:$B,2,1),(HT21-0.05)))</f>
        <v/>
      </c>
      <c r="HV21" s="172">
        <f>MIN(1,MAX(VLOOKUP(($AJ21-$AI21-$AH21-$AG21-$AF21-$AE21*(1+HV$3))/$AJ21,'Технический лист'!$A:$B,2,1),(HU21-0.05)))</f>
        <v/>
      </c>
      <c r="HW21" s="172">
        <f>MIN(1,MAX(VLOOKUP(($AJ21-$AI21-$AH21-$AG21-$AF21-$AE21*(1+HW$3))/$AJ21,'Технический лист'!$A:$B,2,1),(HV21-0.05)))</f>
        <v/>
      </c>
      <c r="HX21" s="172">
        <f>MIN(1,MAX(VLOOKUP(($AJ21-$AI21-$AH21-$AG21-$AF21-$AE21*(1+HX$3))/$AJ21,'Технический лист'!$A:$B,2,1),(HW21-0.05)))</f>
        <v/>
      </c>
      <c r="HY21" s="172">
        <f>MIN(1,MAX(VLOOKUP(($AJ21-$AI21-$AH21-$AG21-$AF21-$AE21*(1+HY$3))/$AJ21,'Технический лист'!$A:$B,2,1),(HX21-0.05)))</f>
        <v/>
      </c>
      <c r="HZ21" s="172">
        <f>MIN(1,MAX(VLOOKUP(($AJ21-$AI21-$AH21-$AG21-$AF21-$AE21*(1+HZ$3))/$AJ21,'Технический лист'!$A:$B,2,1),(HY21-0.05)))</f>
        <v/>
      </c>
      <c r="IA21" s="172">
        <f>MIN(1,MAX(VLOOKUP(($AJ21-$AI21-$AH21-$AG21-$AF21-$AE21*(1+IA$3))/$AJ21,'Технический лист'!$A:$B,2,1),(HZ21-0.05)))</f>
        <v/>
      </c>
      <c r="IB21" s="172">
        <f>MIN(1,MAX(VLOOKUP(($AJ21-$AI21-$AH21-$AG21-$AF21-$AE21*(1+IB$3))/$AJ21,'Технический лист'!$A:$B,2,1),(IA21-0.05)))</f>
        <v/>
      </c>
      <c r="IC21" s="172">
        <f>MIN(1,MAX(VLOOKUP(($AJ21-$AI21-$AH21-$AG21-$AF21-$AE21*(1+IC$3))/$AJ21,'Технический лист'!$A:$B,2,1),(IB21-0.05)))</f>
        <v/>
      </c>
      <c r="ID21" s="172">
        <f>MIN(1,MAX(VLOOKUP(($AJ21-$AI21-$AH21-$AG21-$AF21-$AE21*(1+ID$3))/$AJ21,'Технический лист'!$A:$B,2,1),(IC21-0.05)))</f>
        <v/>
      </c>
      <c r="IE21" s="172">
        <f>MIN(1,MAX(VLOOKUP(($AJ21-$AI21-$AH21-$AG21-$AF21-$AE21*(1+IE$3))/$AJ21,'Технический лист'!$A:$B,2,1),(ID21-0.05)))</f>
        <v/>
      </c>
      <c r="IF21" s="172">
        <f>MIN(1,MAX(VLOOKUP(($AJ21-$AI21-$AH21-$AG21-$AF21-$AE21*(1+IF$3))/$AJ21,'Технический лист'!$A:$B,2,1),(IE21-0.05)))</f>
        <v/>
      </c>
      <c r="IG21" s="172">
        <f>MIN(1,MAX(VLOOKUP(($AJ21-$AI21-$AH21-$AG21-$AF21-$AE21*(1+IG$3))/$AJ21,'Технический лист'!$A:$B,2,1),(IF21-0.05)))</f>
        <v/>
      </c>
      <c r="IH21" s="172">
        <f>MIN(1,MAX(VLOOKUP(($AJ21-$AI21-$AH21-$AG21-$AF21-$AE21*(1+IH$3))/$AJ21,'Технический лист'!$A:$B,2,1),(IG21-0.05)))</f>
        <v/>
      </c>
      <c r="II21" s="172">
        <f>MIN(1,MAX(VLOOKUP(($AJ21-$AI21-$AH21-$AG21-$AF21-$AE21*(1+II$3))/$AJ21,'Технический лист'!$A:$B,2,1),(IH21-0.05)))</f>
        <v/>
      </c>
      <c r="IJ21" s="172">
        <f>MIN(1,MAX(VLOOKUP(($AJ21-$AI21-$AH21-$AG21-$AF21-$AE21*(1+IJ$3))/$AJ21,'Технический лист'!$A:$B,2,1),(II21-0.05)))</f>
        <v/>
      </c>
      <c r="IK21" s="172">
        <f>MIN(1,MAX(VLOOKUP(($AJ21-$AI21-$AH21-$AG21-$AF21-$AE21*(1+IK$3))/$AJ21,'Технический лист'!$A:$B,2,1),(IJ21-0.05)))</f>
        <v/>
      </c>
      <c r="IL21" s="172">
        <f>MIN(1,MAX(VLOOKUP(($AJ21-$AI21-$AH21-$AG21-$AF21-$AE21*(1+IL$3))/$AJ21,'Технический лист'!$A:$B,2,1),(IK21-0.05)))</f>
        <v/>
      </c>
      <c r="IM21" s="172">
        <f>MIN(1,MAX(VLOOKUP(($AJ21-$AI21-$AH21-$AG21-$AF21-$AE21*(1+IM$3))/$AJ21,'Технический лист'!$A:$B,2,1),(IL21-0.05)))</f>
        <v/>
      </c>
      <c r="IN21" s="172">
        <f>MIN(1,MAX(VLOOKUP(($AJ21-$AI21-$AH21-$AG21-$AF21-$AE21*(1+IN$3))/$AJ21,'Технический лист'!$A:$B,2,1),(IM21-0.05)))</f>
        <v/>
      </c>
      <c r="IO21" s="172">
        <f>MIN(1,MAX(VLOOKUP(($AJ21-$AI21-$AH21-$AG21-$AF21-$AE21*(1+IO$3))/$AJ21,'Технический лист'!$A:$B,2,1),(IN21-0.05)))</f>
        <v/>
      </c>
      <c r="IP21" s="172">
        <f>MIN(1,MAX(VLOOKUP(($AJ21-$AI21-$AH21-$AG21-$AF21-$AE21*(1+IP$3))/$AJ21,'Технический лист'!$A:$B,2,1),(IO21-0.05)))</f>
        <v/>
      </c>
      <c r="IQ21" s="172">
        <f>MIN(1,MAX(VLOOKUP(($AJ21-$AI21-$AH21-$AG21-$AF21-$AE21*(1+IQ$3))/$AJ21,'Технический лист'!$A:$B,2,1),(IP21-0.05)))</f>
        <v/>
      </c>
      <c r="IR21" s="172">
        <f>MIN(1,MAX(VLOOKUP(($AJ21-$AI21-$AH21-$AG21-$AF21-$AE21*(1+IR$3))/$AJ21,'Технический лист'!$A:$B,2,1),(IQ21-0.05)))</f>
        <v/>
      </c>
    </row>
    <row r="22" ht="29.15" customHeight="1" s="123">
      <c r="A22" s="89" t="inlineStr">
        <is>
          <t>ЧМ (сырье)</t>
        </is>
      </c>
      <c r="B22" s="90" t="n">
        <v>2</v>
      </c>
      <c r="C22" s="5" t="inlineStr">
        <is>
          <t>Кокс каменноугольный</t>
        </is>
      </c>
      <c r="D22" s="91" t="n">
        <v>17107</v>
      </c>
      <c r="E22" s="91" t="inlineStr">
        <is>
          <t xml:space="preserve">Кокс литейный КЛ-2 </t>
        </is>
      </c>
      <c r="F22" s="92" t="inlineStr">
        <is>
          <t>КОКС КАМЕННОУГОЛЬНЫЙ</t>
        </is>
      </c>
      <c r="G22" s="91" t="inlineStr">
        <is>
          <t>СВР</t>
        </is>
      </c>
      <c r="H22" s="91" t="inlineStr">
        <is>
          <t>ЗАБ</t>
        </is>
      </c>
      <c r="I22" s="91" t="inlineStr">
        <is>
          <t>ОСЕНЦЫ</t>
        </is>
      </c>
      <c r="J22" s="91" t="inlineStr">
        <is>
          <t>ЗАБАЙКАЛ ЭК</t>
        </is>
      </c>
      <c r="K22" s="91" t="n">
        <v>5225</v>
      </c>
      <c r="L22" s="91" t="inlineStr">
        <is>
          <t>Полувагоны</t>
        </is>
      </c>
      <c r="M22" s="91" t="inlineStr">
        <is>
          <t>Экспорт</t>
        </is>
      </c>
      <c r="N22" s="91" t="inlineStr">
        <is>
          <t>вагонная</t>
        </is>
      </c>
      <c r="O22" s="91" t="inlineStr">
        <is>
          <t xml:space="preserve">Восточное </t>
        </is>
      </c>
      <c r="P22" s="89" t="inlineStr">
        <is>
          <t>'000000148636</t>
        </is>
      </c>
      <c r="Q22" s="91" t="inlineStr">
        <is>
          <t>'ООО "ЛУКОЙЛ-Пермнефтеоргсинтез"</t>
        </is>
      </c>
      <c r="R22" s="91" t="inlineStr">
        <is>
          <t>ПАО "Лукойл"</t>
        </is>
      </c>
      <c r="S22" s="87" t="n">
        <v>4329</v>
      </c>
      <c r="T22" s="87" t="n">
        <v>22621231</v>
      </c>
      <c r="U22" s="88" t="n">
        <v>71</v>
      </c>
      <c r="V22" s="88" t="n">
        <v>0</v>
      </c>
      <c r="W22" s="87" t="n">
        <v>12901565</v>
      </c>
      <c r="X22" s="112" t="n">
        <v>66</v>
      </c>
      <c r="Y22" s="112" t="inlineStr">
        <is>
          <t>групповая</t>
        </is>
      </c>
      <c r="Z22" s="113" t="n">
        <v>16</v>
      </c>
      <c r="AA22" s="113" t="n">
        <v>12</v>
      </c>
      <c r="AB22" s="113" t="n">
        <v>4</v>
      </c>
      <c r="AC22" s="161" t="n">
        <v>2799.69</v>
      </c>
      <c r="AD22" s="161">
        <f>AE22-AC22</f>
        <v/>
      </c>
      <c r="AE22" s="161" t="n">
        <v>3705.45</v>
      </c>
      <c r="AF22" s="162">
        <f>(Z22+AA22+AB22)*'Ставки аренды'!$B$3/X22</f>
        <v/>
      </c>
      <c r="AG22" s="163" t="n">
        <v>0</v>
      </c>
      <c r="AH22" s="164" t="n">
        <v>0</v>
      </c>
      <c r="AI22" s="165">
        <f>39785847/79866389*AVERAGE(AJ19,AJ20)</f>
        <v/>
      </c>
      <c r="AJ22" s="166">
        <f>Цены!$C$8*'Курсы валют'!$B$2</f>
        <v/>
      </c>
      <c r="AK22" s="164">
        <f>AJ22/Цены!$B$1</f>
        <v/>
      </c>
      <c r="AL22" s="164">
        <f>AE22+AF22+AG22</f>
        <v/>
      </c>
      <c r="AM22" s="164">
        <f>AJ22-AL22</f>
        <v/>
      </c>
      <c r="AN22" s="164">
        <f>AI22+AH22+AG22+AF22+AE22</f>
        <v/>
      </c>
      <c r="AO22" s="167">
        <f>(AJ22-AN22)/AJ22</f>
        <v/>
      </c>
      <c r="AP22" s="168">
        <f>AL22/AJ22</f>
        <v/>
      </c>
      <c r="AQ22" s="168">
        <f>AE22/AJ22</f>
        <v/>
      </c>
      <c r="AR22" s="168">
        <f>AE22/AL22</f>
        <v/>
      </c>
      <c r="AS22" s="169" t="n">
        <v>1</v>
      </c>
      <c r="AT22" s="121">
        <f>S22*AS22</f>
        <v/>
      </c>
      <c r="AU22" s="83" t="n">
        <v>0.95</v>
      </c>
      <c r="AV22" s="170">
        <f>(AJ22-(AE22*(1+$IS$2)+AF22+AG22+AH22+AI22))/AJ22</f>
        <v/>
      </c>
      <c r="AW22" s="171">
        <f>(AE22*(1+$IS$2)+AF22+AG22)/AJ22</f>
        <v/>
      </c>
      <c r="AX22" s="171">
        <f>(AE22*(1+$IS$2))/AJ22</f>
        <v/>
      </c>
      <c r="AY22" s="171">
        <f>(AE22*(1+$IS$2))/(AE22*(1+$IS$2)+AF22+AG22)</f>
        <v/>
      </c>
      <c r="AZ22" s="172">
        <f>MIN(IF($AU22=100%,1,1+VLOOKUP(($AJ22-$AI22-$AH22-$AG22-$AF22-$AE22*(1+AZ$3))/$AJ22,'Технический лист'!$A:$B,2,1)-VLOOKUP($AO22,'Технический лист'!$A:$B,2,1)),1+(1-$AU22))</f>
        <v/>
      </c>
      <c r="BA22" s="172">
        <f>MIN(IF($AU22=100%,1,1+VLOOKUP(($AJ22-$AI22-$AH22-$AG22-$AF22-$AE22*(1+BA$3))/$AJ22,'Технический лист'!$A:$B,2,1)-VLOOKUP($AO22,'Технический лист'!$A:$B,2,1)),1+(1-$AU22))</f>
        <v/>
      </c>
      <c r="BB22" s="172">
        <f>MIN(IF($AU22=100%,1,1+VLOOKUP(($AJ22-$AI22-$AH22-$AG22-$AF22-$AE22*(1+BB$3))/$AJ22,'Технический лист'!$A:$B,2,1)-VLOOKUP($AO22,'Технический лист'!$A:$B,2,1)),1+(1-$AU22))</f>
        <v/>
      </c>
      <c r="BC22" s="172">
        <f>MIN(IF($AU22=100%,1,1+VLOOKUP(($AJ22-$AI22-$AH22-$AG22-$AF22-$AE22*(1+BC$3))/$AJ22,'Технический лист'!$A:$B,2,1)-VLOOKUP($AO22,'Технический лист'!$A:$B,2,1)),1+(1-$AU22))</f>
        <v/>
      </c>
      <c r="BD22" s="172">
        <f>MIN(IF($AU22=100%,1,1+VLOOKUP(($AJ22-$AI22-$AH22-$AG22-$AF22-$AE22*(1+BD$3))/$AJ22,'Технический лист'!$A:$B,2,1)-VLOOKUP($AO22,'Технический лист'!$A:$B,2,1)),1+(1-$AU22))</f>
        <v/>
      </c>
      <c r="BE22" s="172">
        <f>MIN(IF($AU22=100%,1,1+VLOOKUP(($AJ22-$AI22-$AH22-$AG22-$AF22-$AE22*(1+BE$3))/$AJ22,'Технический лист'!$A:$B,2,1)-VLOOKUP($AO22,'Технический лист'!$A:$B,2,1)),1+(1-$AU22))</f>
        <v/>
      </c>
      <c r="BF22" s="172">
        <f>MIN(IF($AU22=100%,1,1+VLOOKUP(($AJ22-$AI22-$AH22-$AG22-$AF22-$AE22*(1+BF$3))/$AJ22,'Технический лист'!$A:$B,2,1)-VLOOKUP($AO22,'Технический лист'!$A:$B,2,1)),1+(1-$AU22))</f>
        <v/>
      </c>
      <c r="BG22" s="172">
        <f>MIN(IF($AU22=100%,1,1+VLOOKUP(($AJ22-$AI22-$AH22-$AG22-$AF22-$AE22*(1+BG$3))/$AJ22,'Технический лист'!$A:$B,2,1)-VLOOKUP($AO22,'Технический лист'!$A:$B,2,1)),1+(1-$AU22))</f>
        <v/>
      </c>
      <c r="BH22" s="172">
        <f>MIN(IF($AU22=100%,1,1+VLOOKUP(($AJ22-$AI22-$AH22-$AG22-$AF22-$AE22*(1+BH$3))/$AJ22,'Технический лист'!$A:$B,2,1)-VLOOKUP($AO22,'Технический лист'!$A:$B,2,1)),1+(1-$AU22))</f>
        <v/>
      </c>
      <c r="BI22" s="172">
        <f>MIN(IF($AU22=100%,1,1+VLOOKUP(($AJ22-$AI22-$AH22-$AG22-$AF22-$AE22*(1+BI$3))/$AJ22,'Технический лист'!$A:$B,2,1)-VLOOKUP($AO22,'Технический лист'!$A:$B,2,1)),1+(1-$AU22))</f>
        <v/>
      </c>
      <c r="BJ22" s="172">
        <f>MIN(IF($AU22=100%,1,1+VLOOKUP(($AJ22-$AI22-$AH22-$AG22-$AF22-$AE22*(1+BJ$3))/$AJ22,'Технический лист'!$A:$B,2,1)-VLOOKUP($AO22,'Технический лист'!$A:$B,2,1)),1+(1-$AU22))</f>
        <v/>
      </c>
      <c r="BK22" s="172">
        <f>MIN(IF($AU22=100%,1,1+VLOOKUP(($AJ22-$AI22-$AH22-$AG22-$AF22-$AE22*(1+BK$3))/$AJ22,'Технический лист'!$A:$B,2,1)-VLOOKUP($AO22,'Технический лист'!$A:$B,2,1)),1+(1-$AU22))</f>
        <v/>
      </c>
      <c r="BL22" s="172">
        <f>MIN(IF($AU22=100%,1,1+VLOOKUP(($AJ22-$AI22-$AH22-$AG22-$AF22-$AE22*(1+BL$3))/$AJ22,'Технический лист'!$A:$B,2,1)-VLOOKUP($AO22,'Технический лист'!$A:$B,2,1)),1+(1-$AU22))</f>
        <v/>
      </c>
      <c r="BM22" s="172">
        <f>MIN(IF($AU22=100%,1,1+VLOOKUP(($AJ22-$AI22-$AH22-$AG22-$AF22-$AE22*(1+BM$3))/$AJ22,'Технический лист'!$A:$B,2,1)-VLOOKUP($AO22,'Технический лист'!$A:$B,2,1)),1+(1-$AU22))</f>
        <v/>
      </c>
      <c r="BN22" s="172">
        <f>MIN(IF($AU22=100%,1,1+VLOOKUP(($AJ22-$AI22-$AH22-$AG22-$AF22-$AE22*(1+BN$3))/$AJ22,'Технический лист'!$A:$B,2,1)-VLOOKUP($AO22,'Технический лист'!$A:$B,2,1)),1+(1-$AU22))</f>
        <v/>
      </c>
      <c r="BO22" s="172">
        <f>MIN(IF($AU22=100%,1,1+VLOOKUP(($AJ22-$AI22-$AH22-$AG22-$AF22-$AE22*(1+BO$3))/$AJ22,'Технический лист'!$A:$B,2,1)-VLOOKUP($AO22,'Технический лист'!$A:$B,2,1)),1+(1-$AU22))</f>
        <v/>
      </c>
      <c r="BP22" s="172">
        <f>MIN(IF($AU22=100%,1,1+VLOOKUP(($AJ22-$AI22-$AH22-$AG22-$AF22-$AE22*(1+BP$3))/$AJ22,'Технический лист'!$A:$B,2,1)-VLOOKUP($AO22,'Технический лист'!$A:$B,2,1)),1+(1-$AU22))</f>
        <v/>
      </c>
      <c r="BQ22" s="172">
        <f>MIN(IF($AU22=100%,1,1+VLOOKUP(($AJ22-$AI22-$AH22-$AG22-$AF22-$AE22*(1+BQ$3))/$AJ22,'Технический лист'!$A:$B,2,1)-VLOOKUP($AO22,'Технический лист'!$A:$B,2,1)),1+(1-$AU22))</f>
        <v/>
      </c>
      <c r="BR22" s="172">
        <f>MIN(IF($AU22=100%,1,1+VLOOKUP(($AJ22-$AI22-$AH22-$AG22-$AF22-$AE22*(1+BR$3))/$AJ22,'Технический лист'!$A:$B,2,1)-VLOOKUP($AO22,'Технический лист'!$A:$B,2,1)),1+(1-$AU22))</f>
        <v/>
      </c>
      <c r="BS22" s="172">
        <f>MIN(IF($AU22=100%,1,1+VLOOKUP(($AJ22-$AI22-$AH22-$AG22-$AF22-$AE22*(1+BS$3))/$AJ22,'Технический лист'!$A:$B,2,1)-VLOOKUP($AO22,'Технический лист'!$A:$B,2,1)),1+(1-$AU22))</f>
        <v/>
      </c>
      <c r="BT22" s="172">
        <f>MIN(IF($AU22=100%,1,1+VLOOKUP(($AJ22-$AI22-$AH22-$AG22-$AF22-$AE22*(1+BT$3))/$AJ22,'Технический лист'!$A:$B,2,1)-VLOOKUP($AO22,'Технический лист'!$A:$B,2,1)),1+(1-$AU22))</f>
        <v/>
      </c>
      <c r="BU22" s="172">
        <f>MIN(IF($AU22=100%,1,1+VLOOKUP(($AJ22-$AI22-$AH22-$AG22-$AF22-$AE22*(1+BU$3))/$AJ22,'Технический лист'!$A:$B,2,1)-VLOOKUP($AO22,'Технический лист'!$A:$B,2,1)),1+(1-$AU22))</f>
        <v/>
      </c>
      <c r="BV22" s="172">
        <f>MIN(IF($AU22=100%,1,1+VLOOKUP(($AJ22-$AI22-$AH22-$AG22-$AF22-$AE22*(1+BV$3))/$AJ22,'Технический лист'!$A:$B,2,1)-VLOOKUP($AO22,'Технический лист'!$A:$B,2,1)),1+(1-$AU22))</f>
        <v/>
      </c>
      <c r="BW22" s="172">
        <f>MIN(IF($AU22=100%,1,1+VLOOKUP(($AJ22-$AI22-$AH22-$AG22-$AF22-$AE22*(1+BW$3))/$AJ22,'Технический лист'!$A:$B,2,1)-VLOOKUP($AO22,'Технический лист'!$A:$B,2,1)),1+(1-$AU22))</f>
        <v/>
      </c>
      <c r="BX22" s="172">
        <f>MIN(IF($AU22=100%,1,1+VLOOKUP(($AJ22-$AI22-$AH22-$AG22-$AF22-$AE22*(1+BX$3))/$AJ22,'Технический лист'!$A:$B,2,1)-VLOOKUP($AO22,'Технический лист'!$A:$B,2,1)),1+(1-$AU22))</f>
        <v/>
      </c>
      <c r="BY22" s="172">
        <f>MIN(IF($AU22=100%,1,1+VLOOKUP(($AJ22-$AI22-$AH22-$AG22-$AF22-$AE22*(1+BY$3))/$AJ22,'Технический лист'!$A:$B,2,1)-VLOOKUP($AO22,'Технический лист'!$A:$B,2,1)),1+(1-$AU22))</f>
        <v/>
      </c>
      <c r="BZ22" s="172">
        <f>MIN(IF($AU22=100%,1,1+VLOOKUP(($AJ22-$AI22-$AH22-$AG22-$AF22-$AE22*(1+BZ$3))/$AJ22,'Технический лист'!$A:$B,2,1)-VLOOKUP($AO22,'Технический лист'!$A:$B,2,1)),1+(1-$AU22))</f>
        <v/>
      </c>
      <c r="CA22" s="172">
        <f>MIN(IF($AU22=100%,1,1+VLOOKUP(($AJ22-$AI22-$AH22-$AG22-$AF22-$AE22*(1+CA$3))/$AJ22,'Технический лист'!$A:$B,2,1)-VLOOKUP($AO22,'Технический лист'!$A:$B,2,1)),1+(1-$AU22))</f>
        <v/>
      </c>
      <c r="CB22" s="172">
        <f>MIN(IF($AU22=100%,1,1+VLOOKUP(($AJ22-$AI22-$AH22-$AG22-$AF22-$AE22*(1+CB$3))/$AJ22,'Технический лист'!$A:$B,2,1)-VLOOKUP($AO22,'Технический лист'!$A:$B,2,1)),1+(1-$AU22))</f>
        <v/>
      </c>
      <c r="CC22" s="172">
        <f>MIN(IF($AU22=100%,1,1+VLOOKUP(($AJ22-$AI22-$AH22-$AG22-$AF22-$AE22*(1+CC$3))/$AJ22,'Технический лист'!$A:$B,2,1)-VLOOKUP($AO22,'Технический лист'!$A:$B,2,1)),1+(1-$AU22))</f>
        <v/>
      </c>
      <c r="CD22" s="172">
        <f>MIN(IF($AU22=100%,1,1+VLOOKUP(($AJ22-$AI22-$AH22-$AG22-$AF22-$AE22*(1+CD$3))/$AJ22,'Технический лист'!$A:$B,2,1)-VLOOKUP($AO22,'Технический лист'!$A:$B,2,1)),1+(1-$AU22))</f>
        <v/>
      </c>
      <c r="CE22" s="172">
        <f>MIN(IF($AU22=100%,1,1+VLOOKUP(($AJ22-$AI22-$AH22-$AG22-$AF22-$AE22*(1+CE$3))/$AJ22,'Технический лист'!$A:$B,2,1)-VLOOKUP($AO22,'Технический лист'!$A:$B,2,1)),1+(1-$AU22))</f>
        <v/>
      </c>
      <c r="CF22" s="172">
        <f>MIN(IF($AU22=100%,1,1+VLOOKUP(($AJ22-$AI22-$AH22-$AG22-$AF22-$AE22*(1+CF$3))/$AJ22,'Технический лист'!$A:$B,2,1)-VLOOKUP($AO22,'Технический лист'!$A:$B,2,1)),1+(1-$AU22))</f>
        <v/>
      </c>
      <c r="CG22" s="172">
        <f>MIN(IF($AU22=100%,1,1+VLOOKUP(($AJ22-$AI22-$AH22-$AG22-$AF22-$AE22*(1+CG$3))/$AJ22,'Технический лист'!$A:$B,2,1)-VLOOKUP($AO22,'Технический лист'!$A:$B,2,1)),1+(1-$AU22))</f>
        <v/>
      </c>
      <c r="CH22" s="172">
        <f>MIN(IF($AU22=100%,1,1+VLOOKUP(($AJ22-$AI22-$AH22-$AG22-$AF22-$AE22*(1+CH$3))/$AJ22,'Технический лист'!$A:$B,2,1)-VLOOKUP($AO22,'Технический лист'!$A:$B,2,1)),1+(1-$AU22))</f>
        <v/>
      </c>
      <c r="CI22" s="172">
        <f>MIN(IF($AU22=100%,1,1+VLOOKUP(($AJ22-$AI22-$AH22-$AG22-$AF22-$AE22*(1+CI$3))/$AJ22,'Технический лист'!$A:$B,2,1)-VLOOKUP($AO22,'Технический лист'!$A:$B,2,1)),1+(1-$AU22))</f>
        <v/>
      </c>
      <c r="CJ22" s="172">
        <f>MIN(IF($AU22=100%,1,1+VLOOKUP(($AJ22-$AI22-$AH22-$AG22-$AF22-$AE22*(1+CJ$3))/$AJ22,'Технический лист'!$A:$B,2,1)-VLOOKUP($AO22,'Технический лист'!$A:$B,2,1)),1+(1-$AU22))</f>
        <v/>
      </c>
      <c r="CK22" s="172">
        <f>MIN(IF($AU22=100%,1,1+VLOOKUP(($AJ22-$AI22-$AH22-$AG22-$AF22-$AE22*(1+CK$3))/$AJ22,'Технический лист'!$A:$B,2,1)-VLOOKUP($AO22,'Технический лист'!$A:$B,2,1)),1+(1-$AU22))</f>
        <v/>
      </c>
      <c r="CL22" s="172">
        <f>MIN(IF($AU22=100%,1,1+VLOOKUP(($AJ22-$AI22-$AH22-$AG22-$AF22-$AE22*(1+CL$3))/$AJ22,'Технический лист'!$A:$B,2,1)-VLOOKUP($AO22,'Технический лист'!$A:$B,2,1)),1+(1-$AU22))</f>
        <v/>
      </c>
      <c r="CM22" s="172">
        <f>MIN(IF($AU22=100%,1,1+VLOOKUP(($AJ22-$AI22-$AH22-$AG22-$AF22-$AE22*(1+CM$3))/$AJ22,'Технический лист'!$A:$B,2,1)-VLOOKUP($AO22,'Технический лист'!$A:$B,2,1)),1+(1-$AU22))</f>
        <v/>
      </c>
      <c r="CN22" s="172">
        <f>MIN(IF($AU22=100%,1,1+VLOOKUP(($AJ22-$AI22-$AH22-$AG22-$AF22-$AE22*(1+CN$3))/$AJ22,'Технический лист'!$A:$B,2,1)-VLOOKUP($AO22,'Технический лист'!$A:$B,2,1)),1+(1-$AU22))</f>
        <v/>
      </c>
      <c r="CO22" s="172">
        <f>MIN(IF($AU22=100%,1,1+VLOOKUP(($AJ22-$AI22-$AH22-$AG22-$AF22-$AE22*(1+CO$3))/$AJ22,'Технический лист'!$A:$B,2,1)-VLOOKUP($AO22,'Технический лист'!$A:$B,2,1)),1+(1-$AU22))</f>
        <v/>
      </c>
      <c r="CP22" s="172">
        <f>MIN(IF($AU22=100%,1,1+VLOOKUP(($AJ22-$AI22-$AH22-$AG22-$AF22-$AE22*(1+CP$3))/$AJ22,'Технический лист'!$A:$B,2,1)-VLOOKUP($AO22,'Технический лист'!$A:$B,2,1)),1+(1-$AU22))</f>
        <v/>
      </c>
      <c r="CQ22" s="172">
        <f>MIN(IF($AU22=100%,1,1+VLOOKUP(($AJ22-$AI22-$AH22-$AG22-$AF22-$AE22*(1+CQ$3))/$AJ22,'Технический лист'!$A:$B,2,1)-VLOOKUP($AO22,'Технический лист'!$A:$B,2,1)),1+(1-$AU22))</f>
        <v/>
      </c>
      <c r="CR22" s="172">
        <f>MIN(IF($AU22=100%,1,1+VLOOKUP(($AJ22-$AI22-$AH22-$AG22-$AF22-$AE22*(1+CR$3))/$AJ22,'Технический лист'!$A:$B,2,1)-VLOOKUP($AO22,'Технический лист'!$A:$B,2,1)),1+(1-$AU22))</f>
        <v/>
      </c>
      <c r="CS22" s="172">
        <f>MIN(IF($AU22=100%,1,1+VLOOKUP(($AJ22-$AI22-$AH22-$AG22-$AF22-$AE22*(1+CS$3))/$AJ22,'Технический лист'!$A:$B,2,1)-VLOOKUP($AO22,'Технический лист'!$A:$B,2,1)),1+(1-$AU22))</f>
        <v/>
      </c>
      <c r="CT22" s="172">
        <f>MIN(IF($AU22=100%,1,1+VLOOKUP(($AJ22-$AI22-$AH22-$AG22-$AF22-$AE22*(1+CT$3))/$AJ22,'Технический лист'!$A:$B,2,1)-VLOOKUP($AO22,'Технический лист'!$A:$B,2,1)),1+(1-$AU22))</f>
        <v/>
      </c>
      <c r="CU22" s="172">
        <f>MIN(IF($AU22=100%,1,1+VLOOKUP(($AJ22-$AI22-$AH22-$AG22-$AF22-$AE22*(1+CU$3))/$AJ22,'Технический лист'!$A:$B,2,1)-VLOOKUP($AO22,'Технический лист'!$A:$B,2,1)),1+(1-$AU22))</f>
        <v/>
      </c>
      <c r="CV22" s="172">
        <f>MIN(IF($AU22=100%,1,1+VLOOKUP(($AJ22-$AI22-$AH22-$AG22-$AF22-$AE22*(1+CV$3))/$AJ22,'Технический лист'!$A:$B,2,1)-VLOOKUP($AO22,'Технический лист'!$A:$B,2,1)),1+(1-$AU22))</f>
        <v/>
      </c>
      <c r="CW22" s="172">
        <f>MIN(IF($AU22=100%,1,1+VLOOKUP(($AJ22-$AI22-$AH22-$AG22-$AF22-$AE22*(1+CW$3))/$AJ22,'Технический лист'!$A:$B,2,1)-VLOOKUP($AO22,'Технический лист'!$A:$B,2,1)),1+(1-$AU22))</f>
        <v/>
      </c>
      <c r="CX22" s="172">
        <f>MIN(IF($AU22=100%,1,1+VLOOKUP(($AJ22-$AI22-$AH22-$AG22-$AF22-$AE22*(1+CX$3))/$AJ22,'Технический лист'!$A:$B,2,1)-VLOOKUP($AO22,'Технический лист'!$A:$B,2,1)),1+(1-$AU22))</f>
        <v/>
      </c>
      <c r="CY22" s="172">
        <f>MIN(IF($AU22=100%,1,1+VLOOKUP(($AJ22-$AI22-$AH22-$AG22-$AF22-$AE22*(1+CY$3))/$AJ22,'Технический лист'!$A:$B,2,1)-VLOOKUP($AO22,'Технический лист'!$A:$B,2,1)),1+(1-$AU22))</f>
        <v/>
      </c>
      <c r="CZ22" s="172">
        <f>MIN(IF($AU22=100%,1,1+VLOOKUP(($AJ22-$AI22-$AH22-$AG22-$AF22-$AE22*(1+CZ$3))/$AJ22,'Технический лист'!$A:$B,2,1)-VLOOKUP($AO22,'Технический лист'!$A:$B,2,1)),1+(1-$AU22))</f>
        <v/>
      </c>
      <c r="DA22" s="172">
        <f>MIN(IF($AU22=100%,1,1+VLOOKUP(($AJ22-$AI22-$AH22-$AG22-$AF22-$AE22*(1+DA$3))/$AJ22,'Технический лист'!$A:$B,2,1)-VLOOKUP($AO22,'Технический лист'!$A:$B,2,1)),1+(1-$AU22))</f>
        <v/>
      </c>
      <c r="DB22" s="172">
        <f>MIN(IF($AU22=100%,1,1+VLOOKUP(($AJ22-$AI22-$AH22-$AG22-$AF22-$AE22*(1+DB$3))/$AJ22,'Технический лист'!$A:$B,2,1)-VLOOKUP($AO22,'Технический лист'!$A:$B,2,1)),1+(1-$AU22))</f>
        <v/>
      </c>
      <c r="DC22" s="172">
        <f>MIN(IF($AU22=100%,1,1+VLOOKUP(($AJ22-$AI22-$AH22-$AG22-$AF22-$AE22*(1+DC$3))/$AJ22,'Технический лист'!$A:$B,2,1)-VLOOKUP($AO22,'Технический лист'!$A:$B,2,1)),1+(1-$AU22))</f>
        <v/>
      </c>
      <c r="DD22" s="172">
        <f>MIN(IF($AU22=100%,1,1+VLOOKUP(($AJ22-$AI22-$AH22-$AG22-$AF22-$AE22*(1+DD$3))/$AJ22,'Технический лист'!$A:$B,2,1)-VLOOKUP($AO22,'Технический лист'!$A:$B,2,1)),1+(1-$AU22))</f>
        <v/>
      </c>
      <c r="DE22" s="172">
        <f>MIN(IF($AU22=100%,1,1+VLOOKUP(($AJ22-$AI22-$AH22-$AG22-$AF22-$AE22*(1+DE$3))/$AJ22,'Технический лист'!$A:$B,2,1)-VLOOKUP($AO22,'Технический лист'!$A:$B,2,1)),1+(1-$AU22))</f>
        <v/>
      </c>
      <c r="DF22" s="172">
        <f>MIN(IF($AU22=100%,1,1+VLOOKUP(($AJ22-$AI22-$AH22-$AG22-$AF22-$AE22*(1+DF$3))/$AJ22,'Технический лист'!$A:$B,2,1)-VLOOKUP($AO22,'Технический лист'!$A:$B,2,1)),1+(1-$AU22))</f>
        <v/>
      </c>
      <c r="DG22" s="172">
        <f>MIN(IF($AU22=100%,1,1+VLOOKUP(($AJ22-$AI22-$AH22-$AG22-$AF22-$AE22*(1+DG$3))/$AJ22,'Технический лист'!$A:$B,2,1)-VLOOKUP($AO22,'Технический лист'!$A:$B,2,1)),1+(1-$AU22))</f>
        <v/>
      </c>
      <c r="DH22" s="172">
        <f>MIN(IF($AU22=100%,1,1+VLOOKUP(($AJ22-$AI22-$AH22-$AG22-$AF22-$AE22*(1+DH$3))/$AJ22,'Технический лист'!$A:$B,2,1)-VLOOKUP($AO22,'Технический лист'!$A:$B,2,1)),1+(1-$AU22))</f>
        <v/>
      </c>
      <c r="DI22" s="172">
        <f>MIN(IF($AU22=100%,1,1+VLOOKUP(($AJ22-$AI22-$AH22-$AG22-$AF22-$AE22*(1+DI$3))/$AJ22,'Технический лист'!$A:$B,2,1)-VLOOKUP($AO22,'Технический лист'!$A:$B,2,1)),1+(1-$AU22))</f>
        <v/>
      </c>
      <c r="DJ22" s="172">
        <f>MIN(IF($AU22=100%,1,1+VLOOKUP(($AJ22-$AI22-$AH22-$AG22-$AF22-$AE22*(1+DJ$3))/$AJ22,'Технический лист'!$A:$B,2,1)-VLOOKUP($AO22,'Технический лист'!$A:$B,2,1)),1+(1-$AU22))</f>
        <v/>
      </c>
      <c r="DK22" s="172">
        <f>MIN(IF($AU22=100%,1,1+VLOOKUP(($AJ22-$AI22-$AH22-$AG22-$AF22-$AE22*(1+DK$3))/$AJ22,'Технический лист'!$A:$B,2,1)-VLOOKUP($AO22,'Технический лист'!$A:$B,2,1)),1+(1-$AU22))</f>
        <v/>
      </c>
      <c r="DL22" s="172">
        <f>MIN(IF($AU22=100%,1,1+VLOOKUP(($AJ22-$AI22-$AH22-$AG22-$AF22-$AE22*(1+DL$3))/$AJ22,'Технический лист'!$A:$B,2,1)-VLOOKUP($AO22,'Технический лист'!$A:$B,2,1)),1+(1-$AU22))</f>
        <v/>
      </c>
      <c r="DM22" s="172">
        <f>MIN(IF($AU22=100%,1,1+VLOOKUP(($AJ22-$AI22-$AH22-$AG22-$AF22-$AE22*(1+DM$3))/$AJ22,'Технический лист'!$A:$B,2,1)-VLOOKUP($AO22,'Технический лист'!$A:$B,2,1)),1+(1-$AU22))</f>
        <v/>
      </c>
      <c r="DN22" s="172">
        <f>MIN(IF($AU22=100%,1,1+VLOOKUP(($AJ22-$AI22-$AH22-$AG22-$AF22-$AE22*(1+DN$3))/$AJ22,'Технический лист'!$A:$B,2,1)-VLOOKUP($AO22,'Технический лист'!$A:$B,2,1)),1+(1-$AU22))</f>
        <v/>
      </c>
      <c r="DO22" s="172">
        <f>MIN(IF($AU22=100%,1,1+VLOOKUP(($AJ22-$AI22-$AH22-$AG22-$AF22-$AE22*(1+DO$3))/$AJ22,'Технический лист'!$A:$B,2,1)-VLOOKUP($AO22,'Технический лист'!$A:$B,2,1)),1+(1-$AU22))</f>
        <v/>
      </c>
      <c r="DP22" s="172">
        <f>MIN(IF($AU22=100%,1,1+VLOOKUP(($AJ22-$AI22-$AH22-$AG22-$AF22-$AE22*(1+DP$3))/$AJ22,'Технический лист'!$A:$B,2,1)-VLOOKUP($AO22,'Технический лист'!$A:$B,2,1)),1+(1-$AU22))</f>
        <v/>
      </c>
      <c r="DQ22" s="172">
        <f>MIN(IF($AU22=100%,1,1+VLOOKUP(($AJ22-$AI22-$AH22-$AG22-$AF22-$AE22*(1+DQ$3))/$AJ22,'Технический лист'!$A:$B,2,1)-VLOOKUP($AO22,'Технический лист'!$A:$B,2,1)),1+(1-$AU22))</f>
        <v/>
      </c>
      <c r="DR22" s="172">
        <f>MIN(IF($AU22=100%,1,1+VLOOKUP(($AJ22-$AI22-$AH22-$AG22-$AF22-$AE22*(1+DR$3))/$AJ22,'Технический лист'!$A:$B,2,1)-VLOOKUP($AO22,'Технический лист'!$A:$B,2,1)),1+(1-$AU22))</f>
        <v/>
      </c>
      <c r="DS22" s="172">
        <f>MIN(IF($AU22=100%,1,1+VLOOKUP(($AJ22-$AI22-$AH22-$AG22-$AF22-$AE22*(1+DS$3))/$AJ22,'Технический лист'!$A:$B,2,1)-VLOOKUP($AO22,'Технический лист'!$A:$B,2,1)),1+(1-$AU22))</f>
        <v/>
      </c>
      <c r="DT22" s="172">
        <f>MIN(IF($AU22=100%,1,1+VLOOKUP(($AJ22-$AI22-$AH22-$AG22-$AF22-$AE22*(1+DT$3))/$AJ22,'Технический лист'!$A:$B,2,1)-VLOOKUP($AO22,'Технический лист'!$A:$B,2,1)),1+(1-$AU22))</f>
        <v/>
      </c>
      <c r="DU22" s="172">
        <f>MIN(IF($AU22=100%,1,1+VLOOKUP(($AJ22-$AI22-$AH22-$AG22-$AF22-$AE22*(1+DU$3))/$AJ22,'Технический лист'!$A:$B,2,1)-VLOOKUP($AO22,'Технический лист'!$A:$B,2,1)),1+(1-$AU22))</f>
        <v/>
      </c>
      <c r="DV22" s="172">
        <f>MIN(IF($AU22=100%,1,1+VLOOKUP(($AJ22-$AI22-$AH22-$AG22-$AF22-$AE22*(1+DV$3))/$AJ22,'Технический лист'!$A:$B,2,1)-VLOOKUP($AO22,'Технический лист'!$A:$B,2,1)),1+(1-$AU22))</f>
        <v/>
      </c>
      <c r="DW22" s="172">
        <f>MIN(IF($AU22=100%,1,1+VLOOKUP(($AJ22-$AI22-$AH22-$AG22-$AF22-$AE22*(1+DW$3))/$AJ22,'Технический лист'!$A:$B,2,1)-VLOOKUP($AO22,'Технический лист'!$A:$B,2,1)),1+(1-$AU22))</f>
        <v/>
      </c>
      <c r="DX22" s="172">
        <f>MIN(IF($AU22=100%,1,1+VLOOKUP(($AJ22-$AI22-$AH22-$AG22-$AF22-$AE22*(1+DX$3))/$AJ22,'Технический лист'!$A:$B,2,1)-VLOOKUP($AO22,'Технический лист'!$A:$B,2,1)),1+(1-$AU22))</f>
        <v/>
      </c>
      <c r="DY22" s="172">
        <f>MIN(IF($AU22=100%,1,1+VLOOKUP(($AJ22-$AI22-$AH22-$AG22-$AF22-$AE22*(1+DY$3))/$AJ22,'Технический лист'!$A:$B,2,1)-VLOOKUP($AO22,'Технический лист'!$A:$B,2,1)),1+(1-$AU22))</f>
        <v/>
      </c>
      <c r="DZ22" s="172">
        <f>MIN(IF($AU22=100%,1,1+VLOOKUP(($AJ22-$AI22-$AH22-$AG22-$AF22-$AE22*(1+DZ$3))/$AJ22,'Технический лист'!$A:$B,2,1)-VLOOKUP($AO22,'Технический лист'!$A:$B,2,1)),1+(1-$AU22))</f>
        <v/>
      </c>
      <c r="EA22" s="172">
        <f>MIN(IF($AU22=100%,1,1+VLOOKUP(($AJ22-$AI22-$AH22-$AG22-$AF22-$AE22*(1+EA$3))/$AJ22,'Технический лист'!$A:$B,2,1)-VLOOKUP($AO22,'Технический лист'!$A:$B,2,1)),1+(1-$AU22))</f>
        <v/>
      </c>
      <c r="EB22" s="172">
        <f>MIN(IF($AU22=100%,1,1+VLOOKUP(($AJ22-$AI22-$AH22-$AG22-$AF22-$AE22*(1+EB$3))/$AJ22,'Технический лист'!$A:$B,2,1)-VLOOKUP($AO22,'Технический лист'!$A:$B,2,1)),1+(1-$AU22))</f>
        <v/>
      </c>
      <c r="EC22" s="172">
        <f>MIN(IF($AU22=100%,1,1+VLOOKUP(($AJ22-$AI22-$AH22-$AG22-$AF22-$AE22*(1+EC$3))/$AJ22,'Технический лист'!$A:$B,2,1)-VLOOKUP($AO22,'Технический лист'!$A:$B,2,1)),1+(1-$AU22))</f>
        <v/>
      </c>
      <c r="ED22" s="172">
        <f>MIN(IF($AU22=100%,1,1+VLOOKUP(($AJ22-$AI22-$AH22-$AG22-$AF22-$AE22*(1+ED$3))/$AJ22,'Технический лист'!$A:$B,2,1)-VLOOKUP($AO22,'Технический лист'!$A:$B,2,1)),1+(1-$AU22))</f>
        <v/>
      </c>
      <c r="EE22" s="172">
        <f>MIN(IF($AU22=100%,1,1+VLOOKUP(($AJ22-$AI22-$AH22-$AG22-$AF22-$AE22*(1+EE$3))/$AJ22,'Технический лист'!$A:$B,2,1)-VLOOKUP($AO22,'Технический лист'!$A:$B,2,1)),1+(1-$AU22))</f>
        <v/>
      </c>
      <c r="EF22" s="172">
        <f>MIN(IF($AU22=100%,1,1+VLOOKUP(($AJ22-$AI22-$AH22-$AG22-$AF22-$AE22*(1+EF$3))/$AJ22,'Технический лист'!$A:$B,2,1)-VLOOKUP($AO22,'Технический лист'!$A:$B,2,1)),1+(1-$AU22))</f>
        <v/>
      </c>
      <c r="EG22" s="172">
        <f>MIN(IF($AU22=100%,1,1+VLOOKUP(($AJ22-$AI22-$AH22-$AG22-$AF22-$AE22*(1+EG$3))/$AJ22,'Технический лист'!$A:$B,2,1)-VLOOKUP($AO22,'Технический лист'!$A:$B,2,1)),1+(1-$AU22))</f>
        <v/>
      </c>
      <c r="EH22" s="172">
        <f>MIN(IF($AU22=100%,1,1+VLOOKUP(($AJ22-$AI22-$AH22-$AG22-$AF22-$AE22*(1+EH$3))/$AJ22,'Технический лист'!$A:$B,2,1)-VLOOKUP($AO22,'Технический лист'!$A:$B,2,1)),1+(1-$AU22))</f>
        <v/>
      </c>
      <c r="EI22" s="172">
        <f>MIN(IF($AU22=100%,1,1+VLOOKUP(($AJ22-$AI22-$AH22-$AG22-$AF22-$AE22*(1+EI$3))/$AJ22,'Технический лист'!$A:$B,2,1)-VLOOKUP($AO22,'Технический лист'!$A:$B,2,1)),1+(1-$AU22))</f>
        <v/>
      </c>
      <c r="EJ22" s="172">
        <f>MIN(IF($AU22=100%,1,1+VLOOKUP(($AJ22-$AI22-$AH22-$AG22-$AF22-$AE22*(1+EJ$3))/$AJ22,'Технический лист'!$A:$B,2,1)-VLOOKUP($AO22,'Технический лист'!$A:$B,2,1)),1+(1-$AU22))</f>
        <v/>
      </c>
      <c r="EK22" s="172">
        <f>MIN(IF($AU22=100%,1,1+VLOOKUP(($AJ22-$AI22-$AH22-$AG22-$AF22-$AE22*(1+EK$3))/$AJ22,'Технический лист'!$A:$B,2,1)-VLOOKUP($AO22,'Технический лист'!$A:$B,2,1)),1+(1-$AU22))</f>
        <v/>
      </c>
      <c r="EL22" s="172">
        <f>MIN(IF($AU22=100%,1,1+VLOOKUP(($AJ22-$AI22-$AH22-$AG22-$AF22-$AE22*(1+EL$3))/$AJ22,'Технический лист'!$A:$B,2,1)-VLOOKUP($AO22,'Технический лист'!$A:$B,2,1)),1+(1-$AU22))</f>
        <v/>
      </c>
      <c r="EM22" s="172">
        <f>MIN(IF($AU22=100%,1,1+VLOOKUP(($AJ22-$AI22-$AH22-$AG22-$AF22-$AE22*(1+EM$3))/$AJ22,'Технический лист'!$A:$B,2,1)-VLOOKUP($AO22,'Технический лист'!$A:$B,2,1)),1+(1-$AU22))</f>
        <v/>
      </c>
      <c r="EN22" s="172">
        <f>MIN(IF($AU22=100%,1,1+VLOOKUP(($AJ22-$AI22-$AH22-$AG22-$AF22-$AE22*(1+EN$3))/$AJ22,'Технический лист'!$A:$B,2,1)-VLOOKUP($AO22,'Технический лист'!$A:$B,2,1)),1+(1-$AU22))</f>
        <v/>
      </c>
      <c r="EO22" s="172">
        <f>MIN(IF($AU22=100%,1,1+VLOOKUP(($AJ22-$AI22-$AH22-$AG22-$AF22-$AE22*(1+EO$3))/$AJ22,'Технический лист'!$A:$B,2,1)-VLOOKUP($AO22,'Технический лист'!$A:$B,2,1)),1+(1-$AU22))</f>
        <v/>
      </c>
      <c r="EP22" s="172">
        <f>MIN(IF($AU22=100%,1,1+VLOOKUP(($AJ22-$AI22-$AH22-$AG22-$AF22-$AE22*(1+EP$3))/$AJ22,'Технический лист'!$A:$B,2,1)-VLOOKUP($AO22,'Технический лист'!$A:$B,2,1)),1+(1-$AU22))</f>
        <v/>
      </c>
      <c r="EQ22" s="172">
        <f>MIN(IF($AU22=100%,1,1+VLOOKUP(($AJ22-$AI22-$AH22-$AG22-$AF22-$AE22*(1+EQ$3))/$AJ22,'Технический лист'!$A:$B,2,1)-VLOOKUP($AO22,'Технический лист'!$A:$B,2,1)),1+(1-$AU22))</f>
        <v/>
      </c>
      <c r="ER22" s="172">
        <f>MIN(IF($AU22=100%,1,1+VLOOKUP(($AJ22-$AI22-$AH22-$AG22-$AF22-$AE22*(1+ER$3))/$AJ22,'Технический лист'!$A:$B,2,1)-VLOOKUP($AO22,'Технический лист'!$A:$B,2,1)),1+(1-$AU22))</f>
        <v/>
      </c>
      <c r="ES22" s="172">
        <f>MIN(IF($AU22=100%,1,1+VLOOKUP(($AJ22-$AI22-$AH22-$AG22-$AF22-$AE22*(1+ES$3))/$AJ22,'Технический лист'!$A:$B,2,1)-VLOOKUP($AO22,'Технический лист'!$A:$B,2,1)),1+(1-$AU22))</f>
        <v/>
      </c>
      <c r="ET22" s="172">
        <f>MIN(IF($AU22=100%,1,1+VLOOKUP(($AJ22-$AI22-$AH22-$AG22-$AF22-$AE22*(1+ET$3))/$AJ22,'Технический лист'!$A:$B,2,1)-VLOOKUP($AO22,'Технический лист'!$A:$B,2,1)),1+(1-$AU22))</f>
        <v/>
      </c>
      <c r="EU22" s="172">
        <f>MIN(IF($AU22=100%,1,1+VLOOKUP(($AJ22-$AI22-$AH22-$AG22-$AF22-$AE22*(1+EU$3))/$AJ22,'Технический лист'!$A:$B,2,1)-VLOOKUP($AO22,'Технический лист'!$A:$B,2,1)),1+(1-$AU22))</f>
        <v/>
      </c>
      <c r="EV22" s="173" t="n">
        <v>1</v>
      </c>
      <c r="EW22" s="172">
        <f>MIN(1,MAX(VLOOKUP(($AJ22-$AI22-$AH22-$AG22-$AF22-$AE22*(1+EW$3))/$AJ22,'Технический лист'!$A:$B,2,1),(EV22-0.05)))</f>
        <v/>
      </c>
      <c r="EX22" s="172">
        <f>MIN(1,MAX(VLOOKUP(($AJ22-$AI22-$AH22-$AG22-$AF22-$AE22*(1+EX$3))/$AJ22,'Технический лист'!$A:$B,2,1),(EW22-0.05)))</f>
        <v/>
      </c>
      <c r="EY22" s="172">
        <f>MIN(1,MAX(VLOOKUP(($AJ22-$AI22-$AH22-$AG22-$AF22-$AE22*(1+EY$3))/$AJ22,'Технический лист'!$A:$B,2,1),(EX22-0.05)))</f>
        <v/>
      </c>
      <c r="EZ22" s="172">
        <f>MIN(1,MAX(VLOOKUP(($AJ22-$AI22-$AH22-$AG22-$AF22-$AE22*(1+EZ$3))/$AJ22,'Технический лист'!$A:$B,2,1),(EY22-0.05)))</f>
        <v/>
      </c>
      <c r="FA22" s="172">
        <f>MIN(1,MAX(VLOOKUP(($AJ22-$AI22-$AH22-$AG22-$AF22-$AE22*(1+FA$3))/$AJ22,'Технический лист'!$A:$B,2,1),(EZ22-0.05)))</f>
        <v/>
      </c>
      <c r="FB22" s="172">
        <f>MIN(1,MAX(VLOOKUP(($AJ22-$AI22-$AH22-$AG22-$AF22-$AE22*(1+FB$3))/$AJ22,'Технический лист'!$A:$B,2,1),(FA22-0.05)))</f>
        <v/>
      </c>
      <c r="FC22" s="172">
        <f>MIN(1,MAX(VLOOKUP(($AJ22-$AI22-$AH22-$AG22-$AF22-$AE22*(1+FC$3))/$AJ22,'Технический лист'!$A:$B,2,1),(FB22-0.05)))</f>
        <v/>
      </c>
      <c r="FD22" s="172">
        <f>MIN(1,MAX(VLOOKUP(($AJ22-$AI22-$AH22-$AG22-$AF22-$AE22*(1+FD$3))/$AJ22,'Технический лист'!$A:$B,2,1),(FC22-0.05)))</f>
        <v/>
      </c>
      <c r="FE22" s="172">
        <f>MIN(1,MAX(VLOOKUP(($AJ22-$AI22-$AH22-$AG22-$AF22-$AE22*(1+FE$3))/$AJ22,'Технический лист'!$A:$B,2,1),(FD22-0.05)))</f>
        <v/>
      </c>
      <c r="FF22" s="172">
        <f>MIN(1,MAX(VLOOKUP(($AJ22-$AI22-$AH22-$AG22-$AF22-$AE22*(1+FF$3))/$AJ22,'Технический лист'!$A:$B,2,1),(FE22-0.05)))</f>
        <v/>
      </c>
      <c r="FG22" s="172">
        <f>MIN(1,MAX(VLOOKUP(($AJ22-$AI22-$AH22-$AG22-$AF22-$AE22*(1+FG$3))/$AJ22,'Технический лист'!$A:$B,2,1),(FF22-0.05)))</f>
        <v/>
      </c>
      <c r="FH22" s="172">
        <f>MIN(1,MAX(VLOOKUP(($AJ22-$AI22-$AH22-$AG22-$AF22-$AE22*(1+FH$3))/$AJ22,'Технический лист'!$A:$B,2,1),(FG22-0.05)))</f>
        <v/>
      </c>
      <c r="FI22" s="172">
        <f>MIN(1,MAX(VLOOKUP(($AJ22-$AI22-$AH22-$AG22-$AF22-$AE22*(1+FI$3))/$AJ22,'Технический лист'!$A:$B,2,1),(FH22-0.05)))</f>
        <v/>
      </c>
      <c r="FJ22" s="172">
        <f>MIN(1,MAX(VLOOKUP(($AJ22-$AI22-$AH22-$AG22-$AF22-$AE22*(1+FJ$3))/$AJ22,'Технический лист'!$A:$B,2,1),(FI22-0.05)))</f>
        <v/>
      </c>
      <c r="FK22" s="172">
        <f>MIN(1,MAX(VLOOKUP(($AJ22-$AI22-$AH22-$AG22-$AF22-$AE22*(1+FK$3))/$AJ22,'Технический лист'!$A:$B,2,1),(FJ22-0.05)))</f>
        <v/>
      </c>
      <c r="FL22" s="172">
        <f>MIN(1,MAX(VLOOKUP(($AJ22-$AI22-$AH22-$AG22-$AF22-$AE22*(1+FL$3))/$AJ22,'Технический лист'!$A:$B,2,1),(FK22-0.05)))</f>
        <v/>
      </c>
      <c r="FM22" s="172">
        <f>MIN(1,MAX(VLOOKUP(($AJ22-$AI22-$AH22-$AG22-$AF22-$AE22*(1+FM$3))/$AJ22,'Технический лист'!$A:$B,2,1),(FL22-0.05)))</f>
        <v/>
      </c>
      <c r="FN22" s="172">
        <f>MIN(1,MAX(VLOOKUP(($AJ22-$AI22-$AH22-$AG22-$AF22-$AE22*(1+FN$3))/$AJ22,'Технический лист'!$A:$B,2,1),(FM22-0.05)))</f>
        <v/>
      </c>
      <c r="FO22" s="172">
        <f>MIN(1,MAX(VLOOKUP(($AJ22-$AI22-$AH22-$AG22-$AF22-$AE22*(1+FO$3))/$AJ22,'Технический лист'!$A:$B,2,1),(FN22-0.05)))</f>
        <v/>
      </c>
      <c r="FP22" s="172">
        <f>MIN(1,MAX(VLOOKUP(($AJ22-$AI22-$AH22-$AG22-$AF22-$AE22*(1+FP$3))/$AJ22,'Технический лист'!$A:$B,2,1),(FO22-0.05)))</f>
        <v/>
      </c>
      <c r="FQ22" s="172">
        <f>MIN(1,MAX(VLOOKUP(($AJ22-$AI22-$AH22-$AG22-$AF22-$AE22*(1+FQ$3))/$AJ22,'Технический лист'!$A:$B,2,1),(FP22-0.05)))</f>
        <v/>
      </c>
      <c r="FR22" s="172">
        <f>MIN(1,MAX(VLOOKUP(($AJ22-$AI22-$AH22-$AG22-$AF22-$AE22*(1+FR$3))/$AJ22,'Технический лист'!$A:$B,2,1),(FQ22-0.05)))</f>
        <v/>
      </c>
      <c r="FS22" s="172">
        <f>MIN(1,MAX(VLOOKUP(($AJ22-$AI22-$AH22-$AG22-$AF22-$AE22*(1+FS$3))/$AJ22,'Технический лист'!$A:$B,2,1),(FR22-0.05)))</f>
        <v/>
      </c>
      <c r="FT22" s="172">
        <f>MIN(1,MAX(VLOOKUP(($AJ22-$AI22-$AH22-$AG22-$AF22-$AE22*(1+FT$3))/$AJ22,'Технический лист'!$A:$B,2,1),(FS22-0.05)))</f>
        <v/>
      </c>
      <c r="FU22" s="172">
        <f>MIN(1,MAX(VLOOKUP(($AJ22-$AI22-$AH22-$AG22-$AF22-$AE22*(1+FU$3))/$AJ22,'Технический лист'!$A:$B,2,1),(FT22-0.05)))</f>
        <v/>
      </c>
      <c r="FV22" s="172">
        <f>MIN(1,MAX(VLOOKUP(($AJ22-$AI22-$AH22-$AG22-$AF22-$AE22*(1+FV$3))/$AJ22,'Технический лист'!$A:$B,2,1),(FU22-0.05)))</f>
        <v/>
      </c>
      <c r="FW22" s="172">
        <f>MIN(1,MAX(VLOOKUP(($AJ22-$AI22-$AH22-$AG22-$AF22-$AE22*(1+FW$3))/$AJ22,'Технический лист'!$A:$B,2,1),(FV22-0.05)))</f>
        <v/>
      </c>
      <c r="FX22" s="172">
        <f>MIN(1,MAX(VLOOKUP(($AJ22-$AI22-$AH22-$AG22-$AF22-$AE22*(1+FX$3))/$AJ22,'Технический лист'!$A:$B,2,1),(FW22-0.05)))</f>
        <v/>
      </c>
      <c r="FY22" s="172">
        <f>MIN(1,MAX(VLOOKUP(($AJ22-$AI22-$AH22-$AG22-$AF22-$AE22*(1+FY$3))/$AJ22,'Технический лист'!$A:$B,2,1),(FX22-0.05)))</f>
        <v/>
      </c>
      <c r="FZ22" s="172">
        <f>MIN(1,MAX(VLOOKUP(($AJ22-$AI22-$AH22-$AG22-$AF22-$AE22*(1+FZ$3))/$AJ22,'Технический лист'!$A:$B,2,1),(FY22-0.05)))</f>
        <v/>
      </c>
      <c r="GA22" s="172">
        <f>MIN(1,MAX(VLOOKUP(($AJ22-$AI22-$AH22-$AG22-$AF22-$AE22*(1+GA$3))/$AJ22,'Технический лист'!$A:$B,2,1),(FZ22-0.05)))</f>
        <v/>
      </c>
      <c r="GB22" s="172">
        <f>MIN(1,MAX(VLOOKUP(($AJ22-$AI22-$AH22-$AG22-$AF22-$AE22*(1+GB$3))/$AJ22,'Технический лист'!$A:$B,2,1),(GA22-0.05)))</f>
        <v/>
      </c>
      <c r="GC22" s="172">
        <f>MIN(1,MAX(VLOOKUP(($AJ22-$AI22-$AH22-$AG22-$AF22-$AE22*(1+GC$3))/$AJ22,'Технический лист'!$A:$B,2,1),(GB22-0.05)))</f>
        <v/>
      </c>
      <c r="GD22" s="172">
        <f>MIN(1,MAX(VLOOKUP(($AJ22-$AI22-$AH22-$AG22-$AF22-$AE22*(1+GD$3))/$AJ22,'Технический лист'!$A:$B,2,1),(GC22-0.05)))</f>
        <v/>
      </c>
      <c r="GE22" s="172">
        <f>MIN(1,MAX(VLOOKUP(($AJ22-$AI22-$AH22-$AG22-$AF22-$AE22*(1+GE$3))/$AJ22,'Технический лист'!$A:$B,2,1),(GD22-0.05)))</f>
        <v/>
      </c>
      <c r="GF22" s="172">
        <f>MIN(1,MAX(VLOOKUP(($AJ22-$AI22-$AH22-$AG22-$AF22-$AE22*(1+GF$3))/$AJ22,'Технический лист'!$A:$B,2,1),(GE22-0.05)))</f>
        <v/>
      </c>
      <c r="GG22" s="172">
        <f>MIN(1,MAX(VLOOKUP(($AJ22-$AI22-$AH22-$AG22-$AF22-$AE22*(1+GG$3))/$AJ22,'Технический лист'!$A:$B,2,1),(GF22-0.05)))</f>
        <v/>
      </c>
      <c r="GH22" s="172">
        <f>MIN(1,MAX(VLOOKUP(($AJ22-$AI22-$AH22-$AG22-$AF22-$AE22*(1+GH$3))/$AJ22,'Технический лист'!$A:$B,2,1),(GG22-0.05)))</f>
        <v/>
      </c>
      <c r="GI22" s="172">
        <f>MIN(1,MAX(VLOOKUP(($AJ22-$AI22-$AH22-$AG22-$AF22-$AE22*(1+GI$3))/$AJ22,'Технический лист'!$A:$B,2,1),(GH22-0.05)))</f>
        <v/>
      </c>
      <c r="GJ22" s="172">
        <f>MIN(1,MAX(VLOOKUP(($AJ22-$AI22-$AH22-$AG22-$AF22-$AE22*(1+GJ$3))/$AJ22,'Технический лист'!$A:$B,2,1),(GI22-0.05)))</f>
        <v/>
      </c>
      <c r="GK22" s="172">
        <f>MIN(1,MAX(VLOOKUP(($AJ22-$AI22-$AH22-$AG22-$AF22-$AE22*(1+GK$3))/$AJ22,'Технический лист'!$A:$B,2,1),(GJ22-0.05)))</f>
        <v/>
      </c>
      <c r="GL22" s="172">
        <f>MIN(1,MAX(VLOOKUP(($AJ22-$AI22-$AH22-$AG22-$AF22-$AE22*(1+GL$3))/$AJ22,'Технический лист'!$A:$B,2,1),(GK22-0.05)))</f>
        <v/>
      </c>
      <c r="GM22" s="172">
        <f>MIN(1,MAX(VLOOKUP(($AJ22-$AI22-$AH22-$AG22-$AF22-$AE22*(1+GM$3))/$AJ22,'Технический лист'!$A:$B,2,1),(GL22-0.05)))</f>
        <v/>
      </c>
      <c r="GN22" s="172">
        <f>MIN(1,MAX(VLOOKUP(($AJ22-$AI22-$AH22-$AG22-$AF22-$AE22*(1+GN$3))/$AJ22,'Технический лист'!$A:$B,2,1),(GM22-0.05)))</f>
        <v/>
      </c>
      <c r="GO22" s="172">
        <f>MIN(1,MAX(VLOOKUP(($AJ22-$AI22-$AH22-$AG22-$AF22-$AE22*(1+GO$3))/$AJ22,'Технический лист'!$A:$B,2,1),(GN22-0.05)))</f>
        <v/>
      </c>
      <c r="GP22" s="172">
        <f>MIN(1,MAX(VLOOKUP(($AJ22-$AI22-$AH22-$AG22-$AF22-$AE22*(1+GP$3))/$AJ22,'Технический лист'!$A:$B,2,1),(GO22-0.05)))</f>
        <v/>
      </c>
      <c r="GQ22" s="172">
        <f>MIN(1,MAX(VLOOKUP(($AJ22-$AI22-$AH22-$AG22-$AF22-$AE22*(1+GQ$3))/$AJ22,'Технический лист'!$A:$B,2,1),(GP22-0.05)))</f>
        <v/>
      </c>
      <c r="GR22" s="172">
        <f>MIN(1,MAX(VLOOKUP(($AJ22-$AI22-$AH22-$AG22-$AF22-$AE22*(1+GR$3))/$AJ22,'Технический лист'!$A:$B,2,1),(GQ22-0.05)))</f>
        <v/>
      </c>
      <c r="GS22" s="172">
        <f>MIN(1,MAX(VLOOKUP(($AJ22-$AI22-$AH22-$AG22-$AF22-$AE22*(1+GS$3))/$AJ22,'Технический лист'!$A:$B,2,1),(GR22-0.05)))</f>
        <v/>
      </c>
      <c r="GT22" s="172">
        <f>MIN(1,MAX(VLOOKUP(($AJ22-$AI22-$AH22-$AG22-$AF22-$AE22*(1+GT$3))/$AJ22,'Технический лист'!$A:$B,2,1),(GS22-0.05)))</f>
        <v/>
      </c>
      <c r="GU22" s="172">
        <f>MIN(1,MAX(VLOOKUP(($AJ22-$AI22-$AH22-$AG22-$AF22-$AE22*(1+GU$3))/$AJ22,'Технический лист'!$A:$B,2,1),(GT22-0.05)))</f>
        <v/>
      </c>
      <c r="GV22" s="172">
        <f>MIN(1,MAX(VLOOKUP(($AJ22-$AI22-$AH22-$AG22-$AF22-$AE22*(1+GV$3))/$AJ22,'Технический лист'!$A:$B,2,1),(GU22-0.05)))</f>
        <v/>
      </c>
      <c r="GW22" s="172">
        <f>MIN(1,MAX(VLOOKUP(($AJ22-$AI22-$AH22-$AG22-$AF22-$AE22*(1+GW$3))/$AJ22,'Технический лист'!$A:$B,2,1),(GV22-0.05)))</f>
        <v/>
      </c>
      <c r="GX22" s="172">
        <f>MIN(1,MAX(VLOOKUP(($AJ22-$AI22-$AH22-$AG22-$AF22-$AE22*(1+GX$3))/$AJ22,'Технический лист'!$A:$B,2,1),(GW22-0.05)))</f>
        <v/>
      </c>
      <c r="GY22" s="172">
        <f>MIN(1,MAX(VLOOKUP(($AJ22-$AI22-$AH22-$AG22-$AF22-$AE22*(1+GY$3))/$AJ22,'Технический лист'!$A:$B,2,1),(GX22-0.05)))</f>
        <v/>
      </c>
      <c r="GZ22" s="172">
        <f>MIN(1,MAX(VLOOKUP(($AJ22-$AI22-$AH22-$AG22-$AF22-$AE22*(1+GZ$3))/$AJ22,'Технический лист'!$A:$B,2,1),(GY22-0.05)))</f>
        <v/>
      </c>
      <c r="HA22" s="172">
        <f>MIN(1,MAX(VLOOKUP(($AJ22-$AI22-$AH22-$AG22-$AF22-$AE22*(1+HA$3))/$AJ22,'Технический лист'!$A:$B,2,1),(GZ22-0.05)))</f>
        <v/>
      </c>
      <c r="HB22" s="172">
        <f>MIN(1,MAX(VLOOKUP(($AJ22-$AI22-$AH22-$AG22-$AF22-$AE22*(1+HB$3))/$AJ22,'Технический лист'!$A:$B,2,1),(HA22-0.05)))</f>
        <v/>
      </c>
      <c r="HC22" s="172">
        <f>MIN(1,MAX(VLOOKUP(($AJ22-$AI22-$AH22-$AG22-$AF22-$AE22*(1+HC$3))/$AJ22,'Технический лист'!$A:$B,2,1),(HB22-0.05)))</f>
        <v/>
      </c>
      <c r="HD22" s="172">
        <f>MIN(1,MAX(VLOOKUP(($AJ22-$AI22-$AH22-$AG22-$AF22-$AE22*(1+HD$3))/$AJ22,'Технический лист'!$A:$B,2,1),(HC22-0.05)))</f>
        <v/>
      </c>
      <c r="HE22" s="172">
        <f>MIN(1,MAX(VLOOKUP(($AJ22-$AI22-$AH22-$AG22-$AF22-$AE22*(1+HE$3))/$AJ22,'Технический лист'!$A:$B,2,1),(HD22-0.05)))</f>
        <v/>
      </c>
      <c r="HF22" s="172">
        <f>MIN(1,MAX(VLOOKUP(($AJ22-$AI22-$AH22-$AG22-$AF22-$AE22*(1+HF$3))/$AJ22,'Технический лист'!$A:$B,2,1),(HE22-0.05)))</f>
        <v/>
      </c>
      <c r="HG22" s="172">
        <f>MIN(1,MAX(VLOOKUP(($AJ22-$AI22-$AH22-$AG22-$AF22-$AE22*(1+HG$3))/$AJ22,'Технический лист'!$A:$B,2,1),(HF22-0.05)))</f>
        <v/>
      </c>
      <c r="HH22" s="172">
        <f>MIN(1,MAX(VLOOKUP(($AJ22-$AI22-$AH22-$AG22-$AF22-$AE22*(1+HH$3))/$AJ22,'Технический лист'!$A:$B,2,1),(HG22-0.05)))</f>
        <v/>
      </c>
      <c r="HI22" s="172">
        <f>MIN(1,MAX(VLOOKUP(($AJ22-$AI22-$AH22-$AG22-$AF22-$AE22*(1+HI$3))/$AJ22,'Технический лист'!$A:$B,2,1),(HH22-0.05)))</f>
        <v/>
      </c>
      <c r="HJ22" s="172">
        <f>MIN(1,MAX(VLOOKUP(($AJ22-$AI22-$AH22-$AG22-$AF22-$AE22*(1+HJ$3))/$AJ22,'Технический лист'!$A:$B,2,1),(HI22-0.05)))</f>
        <v/>
      </c>
      <c r="HK22" s="172">
        <f>MIN(1,MAX(VLOOKUP(($AJ22-$AI22-$AH22-$AG22-$AF22-$AE22*(1+HK$3))/$AJ22,'Технический лист'!$A:$B,2,1),(HJ22-0.05)))</f>
        <v/>
      </c>
      <c r="HL22" s="172">
        <f>MIN(1,MAX(VLOOKUP(($AJ22-$AI22-$AH22-$AG22-$AF22-$AE22*(1+HL$3))/$AJ22,'Технический лист'!$A:$B,2,1),(HK22-0.05)))</f>
        <v/>
      </c>
      <c r="HM22" s="172">
        <f>MIN(1,MAX(VLOOKUP(($AJ22-$AI22-$AH22-$AG22-$AF22-$AE22*(1+HM$3))/$AJ22,'Технический лист'!$A:$B,2,1),(HL22-0.05)))</f>
        <v/>
      </c>
      <c r="HN22" s="172">
        <f>MIN(1,MAX(VLOOKUP(($AJ22-$AI22-$AH22-$AG22-$AF22-$AE22*(1+HN$3))/$AJ22,'Технический лист'!$A:$B,2,1),(HM22-0.05)))</f>
        <v/>
      </c>
      <c r="HO22" s="172">
        <f>MIN(1,MAX(VLOOKUP(($AJ22-$AI22-$AH22-$AG22-$AF22-$AE22*(1+HO$3))/$AJ22,'Технический лист'!$A:$B,2,1),(HN22-0.05)))</f>
        <v/>
      </c>
      <c r="HP22" s="172">
        <f>MIN(1,MAX(VLOOKUP(($AJ22-$AI22-$AH22-$AG22-$AF22-$AE22*(1+HP$3))/$AJ22,'Технический лист'!$A:$B,2,1),(HO22-0.05)))</f>
        <v/>
      </c>
      <c r="HQ22" s="172">
        <f>MIN(1,MAX(VLOOKUP(($AJ22-$AI22-$AH22-$AG22-$AF22-$AE22*(1+HQ$3))/$AJ22,'Технический лист'!$A:$B,2,1),(HP22-0.05)))</f>
        <v/>
      </c>
      <c r="HR22" s="172">
        <f>MIN(1,MAX(VLOOKUP(($AJ22-$AI22-$AH22-$AG22-$AF22-$AE22*(1+HR$3))/$AJ22,'Технический лист'!$A:$B,2,1),(HQ22-0.05)))</f>
        <v/>
      </c>
      <c r="HS22" s="172">
        <f>MIN(1,MAX(VLOOKUP(($AJ22-$AI22-$AH22-$AG22-$AF22-$AE22*(1+HS$3))/$AJ22,'Технический лист'!$A:$B,2,1),(HR22-0.05)))</f>
        <v/>
      </c>
      <c r="HT22" s="172">
        <f>MIN(1,MAX(VLOOKUP(($AJ22-$AI22-$AH22-$AG22-$AF22-$AE22*(1+HT$3))/$AJ22,'Технический лист'!$A:$B,2,1),(HS22-0.05)))</f>
        <v/>
      </c>
      <c r="HU22" s="172">
        <f>MIN(1,MAX(VLOOKUP(($AJ22-$AI22-$AH22-$AG22-$AF22-$AE22*(1+HU$3))/$AJ22,'Технический лист'!$A:$B,2,1),(HT22-0.05)))</f>
        <v/>
      </c>
      <c r="HV22" s="172">
        <f>MIN(1,MAX(VLOOKUP(($AJ22-$AI22-$AH22-$AG22-$AF22-$AE22*(1+HV$3))/$AJ22,'Технический лист'!$A:$B,2,1),(HU22-0.05)))</f>
        <v/>
      </c>
      <c r="HW22" s="172">
        <f>MIN(1,MAX(VLOOKUP(($AJ22-$AI22-$AH22-$AG22-$AF22-$AE22*(1+HW$3))/$AJ22,'Технический лист'!$A:$B,2,1),(HV22-0.05)))</f>
        <v/>
      </c>
      <c r="HX22" s="172">
        <f>MIN(1,MAX(VLOOKUP(($AJ22-$AI22-$AH22-$AG22-$AF22-$AE22*(1+HX$3))/$AJ22,'Технический лист'!$A:$B,2,1),(HW22-0.05)))</f>
        <v/>
      </c>
      <c r="HY22" s="172">
        <f>MIN(1,MAX(VLOOKUP(($AJ22-$AI22-$AH22-$AG22-$AF22-$AE22*(1+HY$3))/$AJ22,'Технический лист'!$A:$B,2,1),(HX22-0.05)))</f>
        <v/>
      </c>
      <c r="HZ22" s="172">
        <f>MIN(1,MAX(VLOOKUP(($AJ22-$AI22-$AH22-$AG22-$AF22-$AE22*(1+HZ$3))/$AJ22,'Технический лист'!$A:$B,2,1),(HY22-0.05)))</f>
        <v/>
      </c>
      <c r="IA22" s="172">
        <f>MIN(1,MAX(VLOOKUP(($AJ22-$AI22-$AH22-$AG22-$AF22-$AE22*(1+IA$3))/$AJ22,'Технический лист'!$A:$B,2,1),(HZ22-0.05)))</f>
        <v/>
      </c>
      <c r="IB22" s="172">
        <f>MIN(1,MAX(VLOOKUP(($AJ22-$AI22-$AH22-$AG22-$AF22-$AE22*(1+IB$3))/$AJ22,'Технический лист'!$A:$B,2,1),(IA22-0.05)))</f>
        <v/>
      </c>
      <c r="IC22" s="172">
        <f>MIN(1,MAX(VLOOKUP(($AJ22-$AI22-$AH22-$AG22-$AF22-$AE22*(1+IC$3))/$AJ22,'Технический лист'!$A:$B,2,1),(IB22-0.05)))</f>
        <v/>
      </c>
      <c r="ID22" s="172">
        <f>MIN(1,MAX(VLOOKUP(($AJ22-$AI22-$AH22-$AG22-$AF22-$AE22*(1+ID$3))/$AJ22,'Технический лист'!$A:$B,2,1),(IC22-0.05)))</f>
        <v/>
      </c>
      <c r="IE22" s="172">
        <f>MIN(1,MAX(VLOOKUP(($AJ22-$AI22-$AH22-$AG22-$AF22-$AE22*(1+IE$3))/$AJ22,'Технический лист'!$A:$B,2,1),(ID22-0.05)))</f>
        <v/>
      </c>
      <c r="IF22" s="172">
        <f>MIN(1,MAX(VLOOKUP(($AJ22-$AI22-$AH22-$AG22-$AF22-$AE22*(1+IF$3))/$AJ22,'Технический лист'!$A:$B,2,1),(IE22-0.05)))</f>
        <v/>
      </c>
      <c r="IG22" s="172">
        <f>MIN(1,MAX(VLOOKUP(($AJ22-$AI22-$AH22-$AG22-$AF22-$AE22*(1+IG$3))/$AJ22,'Технический лист'!$A:$B,2,1),(IF22-0.05)))</f>
        <v/>
      </c>
      <c r="IH22" s="172">
        <f>MIN(1,MAX(VLOOKUP(($AJ22-$AI22-$AH22-$AG22-$AF22-$AE22*(1+IH$3))/$AJ22,'Технический лист'!$A:$B,2,1),(IG22-0.05)))</f>
        <v/>
      </c>
      <c r="II22" s="172">
        <f>MIN(1,MAX(VLOOKUP(($AJ22-$AI22-$AH22-$AG22-$AF22-$AE22*(1+II$3))/$AJ22,'Технический лист'!$A:$B,2,1),(IH22-0.05)))</f>
        <v/>
      </c>
      <c r="IJ22" s="172">
        <f>MIN(1,MAX(VLOOKUP(($AJ22-$AI22-$AH22-$AG22-$AF22-$AE22*(1+IJ$3))/$AJ22,'Технический лист'!$A:$B,2,1),(II22-0.05)))</f>
        <v/>
      </c>
      <c r="IK22" s="172">
        <f>MIN(1,MAX(VLOOKUP(($AJ22-$AI22-$AH22-$AG22-$AF22-$AE22*(1+IK$3))/$AJ22,'Технический лист'!$A:$B,2,1),(IJ22-0.05)))</f>
        <v/>
      </c>
      <c r="IL22" s="172">
        <f>MIN(1,MAX(VLOOKUP(($AJ22-$AI22-$AH22-$AG22-$AF22-$AE22*(1+IL$3))/$AJ22,'Технический лист'!$A:$B,2,1),(IK22-0.05)))</f>
        <v/>
      </c>
      <c r="IM22" s="172">
        <f>MIN(1,MAX(VLOOKUP(($AJ22-$AI22-$AH22-$AG22-$AF22-$AE22*(1+IM$3))/$AJ22,'Технический лист'!$A:$B,2,1),(IL22-0.05)))</f>
        <v/>
      </c>
      <c r="IN22" s="172">
        <f>MIN(1,MAX(VLOOKUP(($AJ22-$AI22-$AH22-$AG22-$AF22-$AE22*(1+IN$3))/$AJ22,'Технический лист'!$A:$B,2,1),(IM22-0.05)))</f>
        <v/>
      </c>
      <c r="IO22" s="172">
        <f>MIN(1,MAX(VLOOKUP(($AJ22-$AI22-$AH22-$AG22-$AF22-$AE22*(1+IO$3))/$AJ22,'Технический лист'!$A:$B,2,1),(IN22-0.05)))</f>
        <v/>
      </c>
      <c r="IP22" s="172">
        <f>MIN(1,MAX(VLOOKUP(($AJ22-$AI22-$AH22-$AG22-$AF22-$AE22*(1+IP$3))/$AJ22,'Технический лист'!$A:$B,2,1),(IO22-0.05)))</f>
        <v/>
      </c>
      <c r="IQ22" s="172">
        <f>MIN(1,MAX(VLOOKUP(($AJ22-$AI22-$AH22-$AG22-$AF22-$AE22*(1+IQ$3))/$AJ22,'Технический лист'!$A:$B,2,1),(IP22-0.05)))</f>
        <v/>
      </c>
      <c r="IR22" s="172">
        <f>MIN(1,MAX(VLOOKUP(($AJ22-$AI22-$AH22-$AG22-$AF22-$AE22*(1+IR$3))/$AJ22,'Технический лист'!$A:$B,2,1),(IQ22-0.05)))</f>
        <v/>
      </c>
    </row>
    <row r="23" ht="29.15" customHeight="1" s="123">
      <c r="A23" s="89" t="inlineStr">
        <is>
          <t>ЧМ (сырье)</t>
        </is>
      </c>
      <c r="B23" s="90" t="n">
        <v>2</v>
      </c>
      <c r="C23" s="5" t="inlineStr">
        <is>
          <t>Кокс каменноугольный</t>
        </is>
      </c>
      <c r="D23" s="91" t="n">
        <v>17107</v>
      </c>
      <c r="E23" s="91" t="inlineStr">
        <is>
          <t xml:space="preserve">Кокс литейный КЛ-2 </t>
        </is>
      </c>
      <c r="F23" s="92" t="inlineStr">
        <is>
          <t>КОКС КАМЕННОУГОЛЬНЫЙ</t>
        </is>
      </c>
      <c r="G23" s="91" t="inlineStr">
        <is>
          <t>ГОР</t>
        </is>
      </c>
      <c r="H23" s="91" t="inlineStr">
        <is>
          <t>ОКТ</t>
        </is>
      </c>
      <c r="I23" s="91" t="inlineStr">
        <is>
          <t>ЗЕЛЕЦИНО</t>
        </is>
      </c>
      <c r="J23" s="91" t="inlineStr">
        <is>
          <t>ЛУЖСКАЯ-ЭКСП</t>
        </is>
      </c>
      <c r="K23" s="91" t="n">
        <v>1522</v>
      </c>
      <c r="L23" s="91" t="inlineStr">
        <is>
          <t>Полувагоны</t>
        </is>
      </c>
      <c r="M23" s="91" t="inlineStr">
        <is>
          <t>Экспорт</t>
        </is>
      </c>
      <c r="N23" s="91" t="inlineStr">
        <is>
          <t>вагонная</t>
        </is>
      </c>
      <c r="O23" s="91" t="inlineStr">
        <is>
          <t xml:space="preserve">Северо-Западное </t>
        </is>
      </c>
      <c r="P23" s="89" t="inlineStr">
        <is>
          <t>'000005747181</t>
        </is>
      </c>
      <c r="Q23" s="91" t="inlineStr">
        <is>
          <t>'ООО "ЛУКОЙЛ-Нижегороднефтеоргсинтез"</t>
        </is>
      </c>
      <c r="R23" s="91" t="inlineStr">
        <is>
          <t>ПАО "Лукойл"</t>
        </is>
      </c>
      <c r="S23" s="87" t="n">
        <v>188450</v>
      </c>
      <c r="T23" s="87" t="n">
        <v>286795312</v>
      </c>
      <c r="U23" s="88" t="n">
        <v>2909</v>
      </c>
      <c r="V23" s="88" t="n">
        <v>0</v>
      </c>
      <c r="W23" s="87" t="n">
        <v>211081112</v>
      </c>
      <c r="X23" s="112" t="n">
        <v>65</v>
      </c>
      <c r="Y23" s="112" t="inlineStr">
        <is>
          <t>групповая</t>
        </is>
      </c>
      <c r="Z23" s="113" t="n">
        <v>8</v>
      </c>
      <c r="AA23" s="113" t="n">
        <v>8</v>
      </c>
      <c r="AB23" s="113" t="n">
        <v>4</v>
      </c>
      <c r="AC23" s="161" t="n">
        <v>1311.82</v>
      </c>
      <c r="AD23" s="161">
        <f>AE23-AC23</f>
        <v/>
      </c>
      <c r="AE23" s="161" t="n">
        <v>1771.2</v>
      </c>
      <c r="AF23" s="162">
        <f>(Z23+AA23+AB23)*'Ставки аренды'!$B$3/X23</f>
        <v/>
      </c>
      <c r="AG23" s="163">
        <f>'Ставки перевалки'!$B$4*'Курсы валют'!$B$2</f>
        <v/>
      </c>
      <c r="AH23" s="164" t="n">
        <v>0</v>
      </c>
      <c r="AI23" s="165">
        <f>55698921/113463679*AVERAGE(AJ20,AJ21)</f>
        <v/>
      </c>
      <c r="AJ23" s="166">
        <f>Цены!$C$8*'Курсы валют'!$B$2</f>
        <v/>
      </c>
      <c r="AK23" s="164">
        <f>AJ23/Цены!$B$1</f>
        <v/>
      </c>
      <c r="AL23" s="164">
        <f>AE23+AF23+AG23</f>
        <v/>
      </c>
      <c r="AM23" s="164">
        <f>AJ23-AL23</f>
        <v/>
      </c>
      <c r="AN23" s="164">
        <f>AI23+AH23+AG23+AF23+AE23</f>
        <v/>
      </c>
      <c r="AO23" s="167">
        <f>(AJ23-AN23)/AJ23</f>
        <v/>
      </c>
      <c r="AP23" s="168">
        <f>AL23/AJ23</f>
        <v/>
      </c>
      <c r="AQ23" s="168">
        <f>AE23/AJ23</f>
        <v/>
      </c>
      <c r="AR23" s="168">
        <f>AE23/AL23</f>
        <v/>
      </c>
      <c r="AS23" s="169" t="n">
        <v>1</v>
      </c>
      <c r="AT23" s="121">
        <f>S23*AS23</f>
        <v/>
      </c>
      <c r="AU23" s="83" t="n">
        <v>0.95</v>
      </c>
      <c r="AV23" s="170">
        <f>(AJ23-(AE23*(1+$IS$2)+AF23+AG23+AH23+AI23))/AJ23</f>
        <v/>
      </c>
      <c r="AW23" s="171">
        <f>(AE23*(1+$IS$2)+AF23+AG23)/AJ23</f>
        <v/>
      </c>
      <c r="AX23" s="171">
        <f>(AE23*(1+$IS$2))/AJ23</f>
        <v/>
      </c>
      <c r="AY23" s="171">
        <f>(AE23*(1+$IS$2))/(AE23*(1+$IS$2)+AF23+AG23)</f>
        <v/>
      </c>
      <c r="AZ23" s="172">
        <f>MIN(IF($AU23=100%,1,1+VLOOKUP(($AJ23-$AI23-$AH23-$AG23-$AF23-$AE23*(1+AZ$3))/$AJ23,'Технический лист'!$A:$B,2,1)-VLOOKUP($AO23,'Технический лист'!$A:$B,2,1)),1+(1-$AU23))</f>
        <v/>
      </c>
      <c r="BA23" s="172">
        <f>MIN(IF($AU23=100%,1,1+VLOOKUP(($AJ23-$AI23-$AH23-$AG23-$AF23-$AE23*(1+BA$3))/$AJ23,'Технический лист'!$A:$B,2,1)-VLOOKUP($AO23,'Технический лист'!$A:$B,2,1)),1+(1-$AU23))</f>
        <v/>
      </c>
      <c r="BB23" s="172">
        <f>MIN(IF($AU23=100%,1,1+VLOOKUP(($AJ23-$AI23-$AH23-$AG23-$AF23-$AE23*(1+BB$3))/$AJ23,'Технический лист'!$A:$B,2,1)-VLOOKUP($AO23,'Технический лист'!$A:$B,2,1)),1+(1-$AU23))</f>
        <v/>
      </c>
      <c r="BC23" s="172">
        <f>MIN(IF($AU23=100%,1,1+VLOOKUP(($AJ23-$AI23-$AH23-$AG23-$AF23-$AE23*(1+BC$3))/$AJ23,'Технический лист'!$A:$B,2,1)-VLOOKUP($AO23,'Технический лист'!$A:$B,2,1)),1+(1-$AU23))</f>
        <v/>
      </c>
      <c r="BD23" s="172">
        <f>MIN(IF($AU23=100%,1,1+VLOOKUP(($AJ23-$AI23-$AH23-$AG23-$AF23-$AE23*(1+BD$3))/$AJ23,'Технический лист'!$A:$B,2,1)-VLOOKUP($AO23,'Технический лист'!$A:$B,2,1)),1+(1-$AU23))</f>
        <v/>
      </c>
      <c r="BE23" s="172">
        <f>MIN(IF($AU23=100%,1,1+VLOOKUP(($AJ23-$AI23-$AH23-$AG23-$AF23-$AE23*(1+BE$3))/$AJ23,'Технический лист'!$A:$B,2,1)-VLOOKUP($AO23,'Технический лист'!$A:$B,2,1)),1+(1-$AU23))</f>
        <v/>
      </c>
      <c r="BF23" s="172">
        <f>MIN(IF($AU23=100%,1,1+VLOOKUP(($AJ23-$AI23-$AH23-$AG23-$AF23-$AE23*(1+BF$3))/$AJ23,'Технический лист'!$A:$B,2,1)-VLOOKUP($AO23,'Технический лист'!$A:$B,2,1)),1+(1-$AU23))</f>
        <v/>
      </c>
      <c r="BG23" s="172">
        <f>MIN(IF($AU23=100%,1,1+VLOOKUP(($AJ23-$AI23-$AH23-$AG23-$AF23-$AE23*(1+BG$3))/$AJ23,'Технический лист'!$A:$B,2,1)-VLOOKUP($AO23,'Технический лист'!$A:$B,2,1)),1+(1-$AU23))</f>
        <v/>
      </c>
      <c r="BH23" s="172">
        <f>MIN(IF($AU23=100%,1,1+VLOOKUP(($AJ23-$AI23-$AH23-$AG23-$AF23-$AE23*(1+BH$3))/$AJ23,'Технический лист'!$A:$B,2,1)-VLOOKUP($AO23,'Технический лист'!$A:$B,2,1)),1+(1-$AU23))</f>
        <v/>
      </c>
      <c r="BI23" s="172">
        <f>MIN(IF($AU23=100%,1,1+VLOOKUP(($AJ23-$AI23-$AH23-$AG23-$AF23-$AE23*(1+BI$3))/$AJ23,'Технический лист'!$A:$B,2,1)-VLOOKUP($AO23,'Технический лист'!$A:$B,2,1)),1+(1-$AU23))</f>
        <v/>
      </c>
      <c r="BJ23" s="172">
        <f>MIN(IF($AU23=100%,1,1+VLOOKUP(($AJ23-$AI23-$AH23-$AG23-$AF23-$AE23*(1+BJ$3))/$AJ23,'Технический лист'!$A:$B,2,1)-VLOOKUP($AO23,'Технический лист'!$A:$B,2,1)),1+(1-$AU23))</f>
        <v/>
      </c>
      <c r="BK23" s="172">
        <f>MIN(IF($AU23=100%,1,1+VLOOKUP(($AJ23-$AI23-$AH23-$AG23-$AF23-$AE23*(1+BK$3))/$AJ23,'Технический лист'!$A:$B,2,1)-VLOOKUP($AO23,'Технический лист'!$A:$B,2,1)),1+(1-$AU23))</f>
        <v/>
      </c>
      <c r="BL23" s="172">
        <f>MIN(IF($AU23=100%,1,1+VLOOKUP(($AJ23-$AI23-$AH23-$AG23-$AF23-$AE23*(1+BL$3))/$AJ23,'Технический лист'!$A:$B,2,1)-VLOOKUP($AO23,'Технический лист'!$A:$B,2,1)),1+(1-$AU23))</f>
        <v/>
      </c>
      <c r="BM23" s="172">
        <f>MIN(IF($AU23=100%,1,1+VLOOKUP(($AJ23-$AI23-$AH23-$AG23-$AF23-$AE23*(1+BM$3))/$AJ23,'Технический лист'!$A:$B,2,1)-VLOOKUP($AO23,'Технический лист'!$A:$B,2,1)),1+(1-$AU23))</f>
        <v/>
      </c>
      <c r="BN23" s="172">
        <f>MIN(IF($AU23=100%,1,1+VLOOKUP(($AJ23-$AI23-$AH23-$AG23-$AF23-$AE23*(1+BN$3))/$AJ23,'Технический лист'!$A:$B,2,1)-VLOOKUP($AO23,'Технический лист'!$A:$B,2,1)),1+(1-$AU23))</f>
        <v/>
      </c>
      <c r="BO23" s="172">
        <f>MIN(IF($AU23=100%,1,1+VLOOKUP(($AJ23-$AI23-$AH23-$AG23-$AF23-$AE23*(1+BO$3))/$AJ23,'Технический лист'!$A:$B,2,1)-VLOOKUP($AO23,'Технический лист'!$A:$B,2,1)),1+(1-$AU23))</f>
        <v/>
      </c>
      <c r="BP23" s="172">
        <f>MIN(IF($AU23=100%,1,1+VLOOKUP(($AJ23-$AI23-$AH23-$AG23-$AF23-$AE23*(1+BP$3))/$AJ23,'Технический лист'!$A:$B,2,1)-VLOOKUP($AO23,'Технический лист'!$A:$B,2,1)),1+(1-$AU23))</f>
        <v/>
      </c>
      <c r="BQ23" s="172">
        <f>MIN(IF($AU23=100%,1,1+VLOOKUP(($AJ23-$AI23-$AH23-$AG23-$AF23-$AE23*(1+BQ$3))/$AJ23,'Технический лист'!$A:$B,2,1)-VLOOKUP($AO23,'Технический лист'!$A:$B,2,1)),1+(1-$AU23))</f>
        <v/>
      </c>
      <c r="BR23" s="172">
        <f>MIN(IF($AU23=100%,1,1+VLOOKUP(($AJ23-$AI23-$AH23-$AG23-$AF23-$AE23*(1+BR$3))/$AJ23,'Технический лист'!$A:$B,2,1)-VLOOKUP($AO23,'Технический лист'!$A:$B,2,1)),1+(1-$AU23))</f>
        <v/>
      </c>
      <c r="BS23" s="172">
        <f>MIN(IF($AU23=100%,1,1+VLOOKUP(($AJ23-$AI23-$AH23-$AG23-$AF23-$AE23*(1+BS$3))/$AJ23,'Технический лист'!$A:$B,2,1)-VLOOKUP($AO23,'Технический лист'!$A:$B,2,1)),1+(1-$AU23))</f>
        <v/>
      </c>
      <c r="BT23" s="172">
        <f>MIN(IF($AU23=100%,1,1+VLOOKUP(($AJ23-$AI23-$AH23-$AG23-$AF23-$AE23*(1+BT$3))/$AJ23,'Технический лист'!$A:$B,2,1)-VLOOKUP($AO23,'Технический лист'!$A:$B,2,1)),1+(1-$AU23))</f>
        <v/>
      </c>
      <c r="BU23" s="172">
        <f>MIN(IF($AU23=100%,1,1+VLOOKUP(($AJ23-$AI23-$AH23-$AG23-$AF23-$AE23*(1+BU$3))/$AJ23,'Технический лист'!$A:$B,2,1)-VLOOKUP($AO23,'Технический лист'!$A:$B,2,1)),1+(1-$AU23))</f>
        <v/>
      </c>
      <c r="BV23" s="172">
        <f>MIN(IF($AU23=100%,1,1+VLOOKUP(($AJ23-$AI23-$AH23-$AG23-$AF23-$AE23*(1+BV$3))/$AJ23,'Технический лист'!$A:$B,2,1)-VLOOKUP($AO23,'Технический лист'!$A:$B,2,1)),1+(1-$AU23))</f>
        <v/>
      </c>
      <c r="BW23" s="172">
        <f>MIN(IF($AU23=100%,1,1+VLOOKUP(($AJ23-$AI23-$AH23-$AG23-$AF23-$AE23*(1+BW$3))/$AJ23,'Технический лист'!$A:$B,2,1)-VLOOKUP($AO23,'Технический лист'!$A:$B,2,1)),1+(1-$AU23))</f>
        <v/>
      </c>
      <c r="BX23" s="172">
        <f>MIN(IF($AU23=100%,1,1+VLOOKUP(($AJ23-$AI23-$AH23-$AG23-$AF23-$AE23*(1+BX$3))/$AJ23,'Технический лист'!$A:$B,2,1)-VLOOKUP($AO23,'Технический лист'!$A:$B,2,1)),1+(1-$AU23))</f>
        <v/>
      </c>
      <c r="BY23" s="172">
        <f>MIN(IF($AU23=100%,1,1+VLOOKUP(($AJ23-$AI23-$AH23-$AG23-$AF23-$AE23*(1+BY$3))/$AJ23,'Технический лист'!$A:$B,2,1)-VLOOKUP($AO23,'Технический лист'!$A:$B,2,1)),1+(1-$AU23))</f>
        <v/>
      </c>
      <c r="BZ23" s="172">
        <f>MIN(IF($AU23=100%,1,1+VLOOKUP(($AJ23-$AI23-$AH23-$AG23-$AF23-$AE23*(1+BZ$3))/$AJ23,'Технический лист'!$A:$B,2,1)-VLOOKUP($AO23,'Технический лист'!$A:$B,2,1)),1+(1-$AU23))</f>
        <v/>
      </c>
      <c r="CA23" s="172">
        <f>MIN(IF($AU23=100%,1,1+VLOOKUP(($AJ23-$AI23-$AH23-$AG23-$AF23-$AE23*(1+CA$3))/$AJ23,'Технический лист'!$A:$B,2,1)-VLOOKUP($AO23,'Технический лист'!$A:$B,2,1)),1+(1-$AU23))</f>
        <v/>
      </c>
      <c r="CB23" s="172">
        <f>MIN(IF($AU23=100%,1,1+VLOOKUP(($AJ23-$AI23-$AH23-$AG23-$AF23-$AE23*(1+CB$3))/$AJ23,'Технический лист'!$A:$B,2,1)-VLOOKUP($AO23,'Технический лист'!$A:$B,2,1)),1+(1-$AU23))</f>
        <v/>
      </c>
      <c r="CC23" s="172">
        <f>MIN(IF($AU23=100%,1,1+VLOOKUP(($AJ23-$AI23-$AH23-$AG23-$AF23-$AE23*(1+CC$3))/$AJ23,'Технический лист'!$A:$B,2,1)-VLOOKUP($AO23,'Технический лист'!$A:$B,2,1)),1+(1-$AU23))</f>
        <v/>
      </c>
      <c r="CD23" s="172">
        <f>MIN(IF($AU23=100%,1,1+VLOOKUP(($AJ23-$AI23-$AH23-$AG23-$AF23-$AE23*(1+CD$3))/$AJ23,'Технический лист'!$A:$B,2,1)-VLOOKUP($AO23,'Технический лист'!$A:$B,2,1)),1+(1-$AU23))</f>
        <v/>
      </c>
      <c r="CE23" s="172">
        <f>MIN(IF($AU23=100%,1,1+VLOOKUP(($AJ23-$AI23-$AH23-$AG23-$AF23-$AE23*(1+CE$3))/$AJ23,'Технический лист'!$A:$B,2,1)-VLOOKUP($AO23,'Технический лист'!$A:$B,2,1)),1+(1-$AU23))</f>
        <v/>
      </c>
      <c r="CF23" s="172">
        <f>MIN(IF($AU23=100%,1,1+VLOOKUP(($AJ23-$AI23-$AH23-$AG23-$AF23-$AE23*(1+CF$3))/$AJ23,'Технический лист'!$A:$B,2,1)-VLOOKUP($AO23,'Технический лист'!$A:$B,2,1)),1+(1-$AU23))</f>
        <v/>
      </c>
      <c r="CG23" s="172">
        <f>MIN(IF($AU23=100%,1,1+VLOOKUP(($AJ23-$AI23-$AH23-$AG23-$AF23-$AE23*(1+CG$3))/$AJ23,'Технический лист'!$A:$B,2,1)-VLOOKUP($AO23,'Технический лист'!$A:$B,2,1)),1+(1-$AU23))</f>
        <v/>
      </c>
      <c r="CH23" s="172">
        <f>MIN(IF($AU23=100%,1,1+VLOOKUP(($AJ23-$AI23-$AH23-$AG23-$AF23-$AE23*(1+CH$3))/$AJ23,'Технический лист'!$A:$B,2,1)-VLOOKUP($AO23,'Технический лист'!$A:$B,2,1)),1+(1-$AU23))</f>
        <v/>
      </c>
      <c r="CI23" s="172">
        <f>MIN(IF($AU23=100%,1,1+VLOOKUP(($AJ23-$AI23-$AH23-$AG23-$AF23-$AE23*(1+CI$3))/$AJ23,'Технический лист'!$A:$B,2,1)-VLOOKUP($AO23,'Технический лист'!$A:$B,2,1)),1+(1-$AU23))</f>
        <v/>
      </c>
      <c r="CJ23" s="172">
        <f>MIN(IF($AU23=100%,1,1+VLOOKUP(($AJ23-$AI23-$AH23-$AG23-$AF23-$AE23*(1+CJ$3))/$AJ23,'Технический лист'!$A:$B,2,1)-VLOOKUP($AO23,'Технический лист'!$A:$B,2,1)),1+(1-$AU23))</f>
        <v/>
      </c>
      <c r="CK23" s="172">
        <f>MIN(IF($AU23=100%,1,1+VLOOKUP(($AJ23-$AI23-$AH23-$AG23-$AF23-$AE23*(1+CK$3))/$AJ23,'Технический лист'!$A:$B,2,1)-VLOOKUP($AO23,'Технический лист'!$A:$B,2,1)),1+(1-$AU23))</f>
        <v/>
      </c>
      <c r="CL23" s="172">
        <f>MIN(IF($AU23=100%,1,1+VLOOKUP(($AJ23-$AI23-$AH23-$AG23-$AF23-$AE23*(1+CL$3))/$AJ23,'Технический лист'!$A:$B,2,1)-VLOOKUP($AO23,'Технический лист'!$A:$B,2,1)),1+(1-$AU23))</f>
        <v/>
      </c>
      <c r="CM23" s="172">
        <f>MIN(IF($AU23=100%,1,1+VLOOKUP(($AJ23-$AI23-$AH23-$AG23-$AF23-$AE23*(1+CM$3))/$AJ23,'Технический лист'!$A:$B,2,1)-VLOOKUP($AO23,'Технический лист'!$A:$B,2,1)),1+(1-$AU23))</f>
        <v/>
      </c>
      <c r="CN23" s="172">
        <f>MIN(IF($AU23=100%,1,1+VLOOKUP(($AJ23-$AI23-$AH23-$AG23-$AF23-$AE23*(1+CN$3))/$AJ23,'Технический лист'!$A:$B,2,1)-VLOOKUP($AO23,'Технический лист'!$A:$B,2,1)),1+(1-$AU23))</f>
        <v/>
      </c>
      <c r="CO23" s="172">
        <f>MIN(IF($AU23=100%,1,1+VLOOKUP(($AJ23-$AI23-$AH23-$AG23-$AF23-$AE23*(1+CO$3))/$AJ23,'Технический лист'!$A:$B,2,1)-VLOOKUP($AO23,'Технический лист'!$A:$B,2,1)),1+(1-$AU23))</f>
        <v/>
      </c>
      <c r="CP23" s="172">
        <f>MIN(IF($AU23=100%,1,1+VLOOKUP(($AJ23-$AI23-$AH23-$AG23-$AF23-$AE23*(1+CP$3))/$AJ23,'Технический лист'!$A:$B,2,1)-VLOOKUP($AO23,'Технический лист'!$A:$B,2,1)),1+(1-$AU23))</f>
        <v/>
      </c>
      <c r="CQ23" s="172">
        <f>MIN(IF($AU23=100%,1,1+VLOOKUP(($AJ23-$AI23-$AH23-$AG23-$AF23-$AE23*(1+CQ$3))/$AJ23,'Технический лист'!$A:$B,2,1)-VLOOKUP($AO23,'Технический лист'!$A:$B,2,1)),1+(1-$AU23))</f>
        <v/>
      </c>
      <c r="CR23" s="172">
        <f>MIN(IF($AU23=100%,1,1+VLOOKUP(($AJ23-$AI23-$AH23-$AG23-$AF23-$AE23*(1+CR$3))/$AJ23,'Технический лист'!$A:$B,2,1)-VLOOKUP($AO23,'Технический лист'!$A:$B,2,1)),1+(1-$AU23))</f>
        <v/>
      </c>
      <c r="CS23" s="172">
        <f>MIN(IF($AU23=100%,1,1+VLOOKUP(($AJ23-$AI23-$AH23-$AG23-$AF23-$AE23*(1+CS$3))/$AJ23,'Технический лист'!$A:$B,2,1)-VLOOKUP($AO23,'Технический лист'!$A:$B,2,1)),1+(1-$AU23))</f>
        <v/>
      </c>
      <c r="CT23" s="172">
        <f>MIN(IF($AU23=100%,1,1+VLOOKUP(($AJ23-$AI23-$AH23-$AG23-$AF23-$AE23*(1+CT$3))/$AJ23,'Технический лист'!$A:$B,2,1)-VLOOKUP($AO23,'Технический лист'!$A:$B,2,1)),1+(1-$AU23))</f>
        <v/>
      </c>
      <c r="CU23" s="172">
        <f>MIN(IF($AU23=100%,1,1+VLOOKUP(($AJ23-$AI23-$AH23-$AG23-$AF23-$AE23*(1+CU$3))/$AJ23,'Технический лист'!$A:$B,2,1)-VLOOKUP($AO23,'Технический лист'!$A:$B,2,1)),1+(1-$AU23))</f>
        <v/>
      </c>
      <c r="CV23" s="172">
        <f>MIN(IF($AU23=100%,1,1+VLOOKUP(($AJ23-$AI23-$AH23-$AG23-$AF23-$AE23*(1+CV$3))/$AJ23,'Технический лист'!$A:$B,2,1)-VLOOKUP($AO23,'Технический лист'!$A:$B,2,1)),1+(1-$AU23))</f>
        <v/>
      </c>
      <c r="CW23" s="172">
        <f>MIN(IF($AU23=100%,1,1+VLOOKUP(($AJ23-$AI23-$AH23-$AG23-$AF23-$AE23*(1+CW$3))/$AJ23,'Технический лист'!$A:$B,2,1)-VLOOKUP($AO23,'Технический лист'!$A:$B,2,1)),1+(1-$AU23))</f>
        <v/>
      </c>
      <c r="CX23" s="172">
        <f>MIN(IF($AU23=100%,1,1+VLOOKUP(($AJ23-$AI23-$AH23-$AG23-$AF23-$AE23*(1+CX$3))/$AJ23,'Технический лист'!$A:$B,2,1)-VLOOKUP($AO23,'Технический лист'!$A:$B,2,1)),1+(1-$AU23))</f>
        <v/>
      </c>
      <c r="CY23" s="172">
        <f>MIN(IF($AU23=100%,1,1+VLOOKUP(($AJ23-$AI23-$AH23-$AG23-$AF23-$AE23*(1+CY$3))/$AJ23,'Технический лист'!$A:$B,2,1)-VLOOKUP($AO23,'Технический лист'!$A:$B,2,1)),1+(1-$AU23))</f>
        <v/>
      </c>
      <c r="CZ23" s="172">
        <f>MIN(IF($AU23=100%,1,1+VLOOKUP(($AJ23-$AI23-$AH23-$AG23-$AF23-$AE23*(1+CZ$3))/$AJ23,'Технический лист'!$A:$B,2,1)-VLOOKUP($AO23,'Технический лист'!$A:$B,2,1)),1+(1-$AU23))</f>
        <v/>
      </c>
      <c r="DA23" s="172">
        <f>MIN(IF($AU23=100%,1,1+VLOOKUP(($AJ23-$AI23-$AH23-$AG23-$AF23-$AE23*(1+DA$3))/$AJ23,'Технический лист'!$A:$B,2,1)-VLOOKUP($AO23,'Технический лист'!$A:$B,2,1)),1+(1-$AU23))</f>
        <v/>
      </c>
      <c r="DB23" s="172">
        <f>MIN(IF($AU23=100%,1,1+VLOOKUP(($AJ23-$AI23-$AH23-$AG23-$AF23-$AE23*(1+DB$3))/$AJ23,'Технический лист'!$A:$B,2,1)-VLOOKUP($AO23,'Технический лист'!$A:$B,2,1)),1+(1-$AU23))</f>
        <v/>
      </c>
      <c r="DC23" s="172">
        <f>MIN(IF($AU23=100%,1,1+VLOOKUP(($AJ23-$AI23-$AH23-$AG23-$AF23-$AE23*(1+DC$3))/$AJ23,'Технический лист'!$A:$B,2,1)-VLOOKUP($AO23,'Технический лист'!$A:$B,2,1)),1+(1-$AU23))</f>
        <v/>
      </c>
      <c r="DD23" s="172">
        <f>MIN(IF($AU23=100%,1,1+VLOOKUP(($AJ23-$AI23-$AH23-$AG23-$AF23-$AE23*(1+DD$3))/$AJ23,'Технический лист'!$A:$B,2,1)-VLOOKUP($AO23,'Технический лист'!$A:$B,2,1)),1+(1-$AU23))</f>
        <v/>
      </c>
      <c r="DE23" s="172">
        <f>MIN(IF($AU23=100%,1,1+VLOOKUP(($AJ23-$AI23-$AH23-$AG23-$AF23-$AE23*(1+DE$3))/$AJ23,'Технический лист'!$A:$B,2,1)-VLOOKUP($AO23,'Технический лист'!$A:$B,2,1)),1+(1-$AU23))</f>
        <v/>
      </c>
      <c r="DF23" s="172">
        <f>MIN(IF($AU23=100%,1,1+VLOOKUP(($AJ23-$AI23-$AH23-$AG23-$AF23-$AE23*(1+DF$3))/$AJ23,'Технический лист'!$A:$B,2,1)-VLOOKUP($AO23,'Технический лист'!$A:$B,2,1)),1+(1-$AU23))</f>
        <v/>
      </c>
      <c r="DG23" s="172">
        <f>MIN(IF($AU23=100%,1,1+VLOOKUP(($AJ23-$AI23-$AH23-$AG23-$AF23-$AE23*(1+DG$3))/$AJ23,'Технический лист'!$A:$B,2,1)-VLOOKUP($AO23,'Технический лист'!$A:$B,2,1)),1+(1-$AU23))</f>
        <v/>
      </c>
      <c r="DH23" s="172">
        <f>MIN(IF($AU23=100%,1,1+VLOOKUP(($AJ23-$AI23-$AH23-$AG23-$AF23-$AE23*(1+DH$3))/$AJ23,'Технический лист'!$A:$B,2,1)-VLOOKUP($AO23,'Технический лист'!$A:$B,2,1)),1+(1-$AU23))</f>
        <v/>
      </c>
      <c r="DI23" s="172">
        <f>MIN(IF($AU23=100%,1,1+VLOOKUP(($AJ23-$AI23-$AH23-$AG23-$AF23-$AE23*(1+DI$3))/$AJ23,'Технический лист'!$A:$B,2,1)-VLOOKUP($AO23,'Технический лист'!$A:$B,2,1)),1+(1-$AU23))</f>
        <v/>
      </c>
      <c r="DJ23" s="172">
        <f>MIN(IF($AU23=100%,1,1+VLOOKUP(($AJ23-$AI23-$AH23-$AG23-$AF23-$AE23*(1+DJ$3))/$AJ23,'Технический лист'!$A:$B,2,1)-VLOOKUP($AO23,'Технический лист'!$A:$B,2,1)),1+(1-$AU23))</f>
        <v/>
      </c>
      <c r="DK23" s="172">
        <f>MIN(IF($AU23=100%,1,1+VLOOKUP(($AJ23-$AI23-$AH23-$AG23-$AF23-$AE23*(1+DK$3))/$AJ23,'Технический лист'!$A:$B,2,1)-VLOOKUP($AO23,'Технический лист'!$A:$B,2,1)),1+(1-$AU23))</f>
        <v/>
      </c>
      <c r="DL23" s="172">
        <f>MIN(IF($AU23=100%,1,1+VLOOKUP(($AJ23-$AI23-$AH23-$AG23-$AF23-$AE23*(1+DL$3))/$AJ23,'Технический лист'!$A:$B,2,1)-VLOOKUP($AO23,'Технический лист'!$A:$B,2,1)),1+(1-$AU23))</f>
        <v/>
      </c>
      <c r="DM23" s="172">
        <f>MIN(IF($AU23=100%,1,1+VLOOKUP(($AJ23-$AI23-$AH23-$AG23-$AF23-$AE23*(1+DM$3))/$AJ23,'Технический лист'!$A:$B,2,1)-VLOOKUP($AO23,'Технический лист'!$A:$B,2,1)),1+(1-$AU23))</f>
        <v/>
      </c>
      <c r="DN23" s="172">
        <f>MIN(IF($AU23=100%,1,1+VLOOKUP(($AJ23-$AI23-$AH23-$AG23-$AF23-$AE23*(1+DN$3))/$AJ23,'Технический лист'!$A:$B,2,1)-VLOOKUP($AO23,'Технический лист'!$A:$B,2,1)),1+(1-$AU23))</f>
        <v/>
      </c>
      <c r="DO23" s="172">
        <f>MIN(IF($AU23=100%,1,1+VLOOKUP(($AJ23-$AI23-$AH23-$AG23-$AF23-$AE23*(1+DO$3))/$AJ23,'Технический лист'!$A:$B,2,1)-VLOOKUP($AO23,'Технический лист'!$A:$B,2,1)),1+(1-$AU23))</f>
        <v/>
      </c>
      <c r="DP23" s="172">
        <f>MIN(IF($AU23=100%,1,1+VLOOKUP(($AJ23-$AI23-$AH23-$AG23-$AF23-$AE23*(1+DP$3))/$AJ23,'Технический лист'!$A:$B,2,1)-VLOOKUP($AO23,'Технический лист'!$A:$B,2,1)),1+(1-$AU23))</f>
        <v/>
      </c>
      <c r="DQ23" s="172">
        <f>MIN(IF($AU23=100%,1,1+VLOOKUP(($AJ23-$AI23-$AH23-$AG23-$AF23-$AE23*(1+DQ$3))/$AJ23,'Технический лист'!$A:$B,2,1)-VLOOKUP($AO23,'Технический лист'!$A:$B,2,1)),1+(1-$AU23))</f>
        <v/>
      </c>
      <c r="DR23" s="172">
        <f>MIN(IF($AU23=100%,1,1+VLOOKUP(($AJ23-$AI23-$AH23-$AG23-$AF23-$AE23*(1+DR$3))/$AJ23,'Технический лист'!$A:$B,2,1)-VLOOKUP($AO23,'Технический лист'!$A:$B,2,1)),1+(1-$AU23))</f>
        <v/>
      </c>
      <c r="DS23" s="172">
        <f>MIN(IF($AU23=100%,1,1+VLOOKUP(($AJ23-$AI23-$AH23-$AG23-$AF23-$AE23*(1+DS$3))/$AJ23,'Технический лист'!$A:$B,2,1)-VLOOKUP($AO23,'Технический лист'!$A:$B,2,1)),1+(1-$AU23))</f>
        <v/>
      </c>
      <c r="DT23" s="172">
        <f>MIN(IF($AU23=100%,1,1+VLOOKUP(($AJ23-$AI23-$AH23-$AG23-$AF23-$AE23*(1+DT$3))/$AJ23,'Технический лист'!$A:$B,2,1)-VLOOKUP($AO23,'Технический лист'!$A:$B,2,1)),1+(1-$AU23))</f>
        <v/>
      </c>
      <c r="DU23" s="172">
        <f>MIN(IF($AU23=100%,1,1+VLOOKUP(($AJ23-$AI23-$AH23-$AG23-$AF23-$AE23*(1+DU$3))/$AJ23,'Технический лист'!$A:$B,2,1)-VLOOKUP($AO23,'Технический лист'!$A:$B,2,1)),1+(1-$AU23))</f>
        <v/>
      </c>
      <c r="DV23" s="172">
        <f>MIN(IF($AU23=100%,1,1+VLOOKUP(($AJ23-$AI23-$AH23-$AG23-$AF23-$AE23*(1+DV$3))/$AJ23,'Технический лист'!$A:$B,2,1)-VLOOKUP($AO23,'Технический лист'!$A:$B,2,1)),1+(1-$AU23))</f>
        <v/>
      </c>
      <c r="DW23" s="172">
        <f>MIN(IF($AU23=100%,1,1+VLOOKUP(($AJ23-$AI23-$AH23-$AG23-$AF23-$AE23*(1+DW$3))/$AJ23,'Технический лист'!$A:$B,2,1)-VLOOKUP($AO23,'Технический лист'!$A:$B,2,1)),1+(1-$AU23))</f>
        <v/>
      </c>
      <c r="DX23" s="172">
        <f>MIN(IF($AU23=100%,1,1+VLOOKUP(($AJ23-$AI23-$AH23-$AG23-$AF23-$AE23*(1+DX$3))/$AJ23,'Технический лист'!$A:$B,2,1)-VLOOKUP($AO23,'Технический лист'!$A:$B,2,1)),1+(1-$AU23))</f>
        <v/>
      </c>
      <c r="DY23" s="172">
        <f>MIN(IF($AU23=100%,1,1+VLOOKUP(($AJ23-$AI23-$AH23-$AG23-$AF23-$AE23*(1+DY$3))/$AJ23,'Технический лист'!$A:$B,2,1)-VLOOKUP($AO23,'Технический лист'!$A:$B,2,1)),1+(1-$AU23))</f>
        <v/>
      </c>
      <c r="DZ23" s="172">
        <f>MIN(IF($AU23=100%,1,1+VLOOKUP(($AJ23-$AI23-$AH23-$AG23-$AF23-$AE23*(1+DZ$3))/$AJ23,'Технический лист'!$A:$B,2,1)-VLOOKUP($AO23,'Технический лист'!$A:$B,2,1)),1+(1-$AU23))</f>
        <v/>
      </c>
      <c r="EA23" s="172">
        <f>MIN(IF($AU23=100%,1,1+VLOOKUP(($AJ23-$AI23-$AH23-$AG23-$AF23-$AE23*(1+EA$3))/$AJ23,'Технический лист'!$A:$B,2,1)-VLOOKUP($AO23,'Технический лист'!$A:$B,2,1)),1+(1-$AU23))</f>
        <v/>
      </c>
      <c r="EB23" s="172">
        <f>MIN(IF($AU23=100%,1,1+VLOOKUP(($AJ23-$AI23-$AH23-$AG23-$AF23-$AE23*(1+EB$3))/$AJ23,'Технический лист'!$A:$B,2,1)-VLOOKUP($AO23,'Технический лист'!$A:$B,2,1)),1+(1-$AU23))</f>
        <v/>
      </c>
      <c r="EC23" s="172">
        <f>MIN(IF($AU23=100%,1,1+VLOOKUP(($AJ23-$AI23-$AH23-$AG23-$AF23-$AE23*(1+EC$3))/$AJ23,'Технический лист'!$A:$B,2,1)-VLOOKUP($AO23,'Технический лист'!$A:$B,2,1)),1+(1-$AU23))</f>
        <v/>
      </c>
      <c r="ED23" s="172">
        <f>MIN(IF($AU23=100%,1,1+VLOOKUP(($AJ23-$AI23-$AH23-$AG23-$AF23-$AE23*(1+ED$3))/$AJ23,'Технический лист'!$A:$B,2,1)-VLOOKUP($AO23,'Технический лист'!$A:$B,2,1)),1+(1-$AU23))</f>
        <v/>
      </c>
      <c r="EE23" s="172">
        <f>MIN(IF($AU23=100%,1,1+VLOOKUP(($AJ23-$AI23-$AH23-$AG23-$AF23-$AE23*(1+EE$3))/$AJ23,'Технический лист'!$A:$B,2,1)-VLOOKUP($AO23,'Технический лист'!$A:$B,2,1)),1+(1-$AU23))</f>
        <v/>
      </c>
      <c r="EF23" s="172">
        <f>MIN(IF($AU23=100%,1,1+VLOOKUP(($AJ23-$AI23-$AH23-$AG23-$AF23-$AE23*(1+EF$3))/$AJ23,'Технический лист'!$A:$B,2,1)-VLOOKUP($AO23,'Технический лист'!$A:$B,2,1)),1+(1-$AU23))</f>
        <v/>
      </c>
      <c r="EG23" s="172">
        <f>MIN(IF($AU23=100%,1,1+VLOOKUP(($AJ23-$AI23-$AH23-$AG23-$AF23-$AE23*(1+EG$3))/$AJ23,'Технический лист'!$A:$B,2,1)-VLOOKUP($AO23,'Технический лист'!$A:$B,2,1)),1+(1-$AU23))</f>
        <v/>
      </c>
      <c r="EH23" s="172">
        <f>MIN(IF($AU23=100%,1,1+VLOOKUP(($AJ23-$AI23-$AH23-$AG23-$AF23-$AE23*(1+EH$3))/$AJ23,'Технический лист'!$A:$B,2,1)-VLOOKUP($AO23,'Технический лист'!$A:$B,2,1)),1+(1-$AU23))</f>
        <v/>
      </c>
      <c r="EI23" s="172">
        <f>MIN(IF($AU23=100%,1,1+VLOOKUP(($AJ23-$AI23-$AH23-$AG23-$AF23-$AE23*(1+EI$3))/$AJ23,'Технический лист'!$A:$B,2,1)-VLOOKUP($AO23,'Технический лист'!$A:$B,2,1)),1+(1-$AU23))</f>
        <v/>
      </c>
      <c r="EJ23" s="172">
        <f>MIN(IF($AU23=100%,1,1+VLOOKUP(($AJ23-$AI23-$AH23-$AG23-$AF23-$AE23*(1+EJ$3))/$AJ23,'Технический лист'!$A:$B,2,1)-VLOOKUP($AO23,'Технический лист'!$A:$B,2,1)),1+(1-$AU23))</f>
        <v/>
      </c>
      <c r="EK23" s="172">
        <f>MIN(IF($AU23=100%,1,1+VLOOKUP(($AJ23-$AI23-$AH23-$AG23-$AF23-$AE23*(1+EK$3))/$AJ23,'Технический лист'!$A:$B,2,1)-VLOOKUP($AO23,'Технический лист'!$A:$B,2,1)),1+(1-$AU23))</f>
        <v/>
      </c>
      <c r="EL23" s="172">
        <f>MIN(IF($AU23=100%,1,1+VLOOKUP(($AJ23-$AI23-$AH23-$AG23-$AF23-$AE23*(1+EL$3))/$AJ23,'Технический лист'!$A:$B,2,1)-VLOOKUP($AO23,'Технический лист'!$A:$B,2,1)),1+(1-$AU23))</f>
        <v/>
      </c>
      <c r="EM23" s="172">
        <f>MIN(IF($AU23=100%,1,1+VLOOKUP(($AJ23-$AI23-$AH23-$AG23-$AF23-$AE23*(1+EM$3))/$AJ23,'Технический лист'!$A:$B,2,1)-VLOOKUP($AO23,'Технический лист'!$A:$B,2,1)),1+(1-$AU23))</f>
        <v/>
      </c>
      <c r="EN23" s="172">
        <f>MIN(IF($AU23=100%,1,1+VLOOKUP(($AJ23-$AI23-$AH23-$AG23-$AF23-$AE23*(1+EN$3))/$AJ23,'Технический лист'!$A:$B,2,1)-VLOOKUP($AO23,'Технический лист'!$A:$B,2,1)),1+(1-$AU23))</f>
        <v/>
      </c>
      <c r="EO23" s="172">
        <f>MIN(IF($AU23=100%,1,1+VLOOKUP(($AJ23-$AI23-$AH23-$AG23-$AF23-$AE23*(1+EO$3))/$AJ23,'Технический лист'!$A:$B,2,1)-VLOOKUP($AO23,'Технический лист'!$A:$B,2,1)),1+(1-$AU23))</f>
        <v/>
      </c>
      <c r="EP23" s="172">
        <f>MIN(IF($AU23=100%,1,1+VLOOKUP(($AJ23-$AI23-$AH23-$AG23-$AF23-$AE23*(1+EP$3))/$AJ23,'Технический лист'!$A:$B,2,1)-VLOOKUP($AO23,'Технический лист'!$A:$B,2,1)),1+(1-$AU23))</f>
        <v/>
      </c>
      <c r="EQ23" s="172">
        <f>MIN(IF($AU23=100%,1,1+VLOOKUP(($AJ23-$AI23-$AH23-$AG23-$AF23-$AE23*(1+EQ$3))/$AJ23,'Технический лист'!$A:$B,2,1)-VLOOKUP($AO23,'Технический лист'!$A:$B,2,1)),1+(1-$AU23))</f>
        <v/>
      </c>
      <c r="ER23" s="172">
        <f>MIN(IF($AU23=100%,1,1+VLOOKUP(($AJ23-$AI23-$AH23-$AG23-$AF23-$AE23*(1+ER$3))/$AJ23,'Технический лист'!$A:$B,2,1)-VLOOKUP($AO23,'Технический лист'!$A:$B,2,1)),1+(1-$AU23))</f>
        <v/>
      </c>
      <c r="ES23" s="172">
        <f>MIN(IF($AU23=100%,1,1+VLOOKUP(($AJ23-$AI23-$AH23-$AG23-$AF23-$AE23*(1+ES$3))/$AJ23,'Технический лист'!$A:$B,2,1)-VLOOKUP($AO23,'Технический лист'!$A:$B,2,1)),1+(1-$AU23))</f>
        <v/>
      </c>
      <c r="ET23" s="172">
        <f>MIN(IF($AU23=100%,1,1+VLOOKUP(($AJ23-$AI23-$AH23-$AG23-$AF23-$AE23*(1+ET$3))/$AJ23,'Технический лист'!$A:$B,2,1)-VLOOKUP($AO23,'Технический лист'!$A:$B,2,1)),1+(1-$AU23))</f>
        <v/>
      </c>
      <c r="EU23" s="172">
        <f>MIN(IF($AU23=100%,1,1+VLOOKUP(($AJ23-$AI23-$AH23-$AG23-$AF23-$AE23*(1+EU$3))/$AJ23,'Технический лист'!$A:$B,2,1)-VLOOKUP($AO23,'Технический лист'!$A:$B,2,1)),1+(1-$AU23))</f>
        <v/>
      </c>
      <c r="EV23" s="173" t="n">
        <v>1</v>
      </c>
      <c r="EW23" s="172">
        <f>MIN(1,MAX(VLOOKUP(($AJ23-$AI23-$AH23-$AG23-$AF23-$AE23*(1+EW$3))/$AJ23,'Технический лист'!$A:$B,2,1),(EV23-0.05)))</f>
        <v/>
      </c>
      <c r="EX23" s="172">
        <f>MIN(1,MAX(VLOOKUP(($AJ23-$AI23-$AH23-$AG23-$AF23-$AE23*(1+EX$3))/$AJ23,'Технический лист'!$A:$B,2,1),(EW23-0.05)))</f>
        <v/>
      </c>
      <c r="EY23" s="172">
        <f>MIN(1,MAX(VLOOKUP(($AJ23-$AI23-$AH23-$AG23-$AF23-$AE23*(1+EY$3))/$AJ23,'Технический лист'!$A:$B,2,1),(EX23-0.05)))</f>
        <v/>
      </c>
      <c r="EZ23" s="172">
        <f>MIN(1,MAX(VLOOKUP(($AJ23-$AI23-$AH23-$AG23-$AF23-$AE23*(1+EZ$3))/$AJ23,'Технический лист'!$A:$B,2,1),(EY23-0.05)))</f>
        <v/>
      </c>
      <c r="FA23" s="172">
        <f>MIN(1,MAX(VLOOKUP(($AJ23-$AI23-$AH23-$AG23-$AF23-$AE23*(1+FA$3))/$AJ23,'Технический лист'!$A:$B,2,1),(EZ23-0.05)))</f>
        <v/>
      </c>
      <c r="FB23" s="172">
        <f>MIN(1,MAX(VLOOKUP(($AJ23-$AI23-$AH23-$AG23-$AF23-$AE23*(1+FB$3))/$AJ23,'Технический лист'!$A:$B,2,1),(FA23-0.05)))</f>
        <v/>
      </c>
      <c r="FC23" s="172">
        <f>MIN(1,MAX(VLOOKUP(($AJ23-$AI23-$AH23-$AG23-$AF23-$AE23*(1+FC$3))/$AJ23,'Технический лист'!$A:$B,2,1),(FB23-0.05)))</f>
        <v/>
      </c>
      <c r="FD23" s="172">
        <f>MIN(1,MAX(VLOOKUP(($AJ23-$AI23-$AH23-$AG23-$AF23-$AE23*(1+FD$3))/$AJ23,'Технический лист'!$A:$B,2,1),(FC23-0.05)))</f>
        <v/>
      </c>
      <c r="FE23" s="172">
        <f>MIN(1,MAX(VLOOKUP(($AJ23-$AI23-$AH23-$AG23-$AF23-$AE23*(1+FE$3))/$AJ23,'Технический лист'!$A:$B,2,1),(FD23-0.05)))</f>
        <v/>
      </c>
      <c r="FF23" s="172">
        <f>MIN(1,MAX(VLOOKUP(($AJ23-$AI23-$AH23-$AG23-$AF23-$AE23*(1+FF$3))/$AJ23,'Технический лист'!$A:$B,2,1),(FE23-0.05)))</f>
        <v/>
      </c>
      <c r="FG23" s="172">
        <f>MIN(1,MAX(VLOOKUP(($AJ23-$AI23-$AH23-$AG23-$AF23-$AE23*(1+FG$3))/$AJ23,'Технический лист'!$A:$B,2,1),(FF23-0.05)))</f>
        <v/>
      </c>
      <c r="FH23" s="172">
        <f>MIN(1,MAX(VLOOKUP(($AJ23-$AI23-$AH23-$AG23-$AF23-$AE23*(1+FH$3))/$AJ23,'Технический лист'!$A:$B,2,1),(FG23-0.05)))</f>
        <v/>
      </c>
      <c r="FI23" s="172">
        <f>MIN(1,MAX(VLOOKUP(($AJ23-$AI23-$AH23-$AG23-$AF23-$AE23*(1+FI$3))/$AJ23,'Технический лист'!$A:$B,2,1),(FH23-0.05)))</f>
        <v/>
      </c>
      <c r="FJ23" s="172">
        <f>MIN(1,MAX(VLOOKUP(($AJ23-$AI23-$AH23-$AG23-$AF23-$AE23*(1+FJ$3))/$AJ23,'Технический лист'!$A:$B,2,1),(FI23-0.05)))</f>
        <v/>
      </c>
      <c r="FK23" s="172">
        <f>MIN(1,MAX(VLOOKUP(($AJ23-$AI23-$AH23-$AG23-$AF23-$AE23*(1+FK$3))/$AJ23,'Технический лист'!$A:$B,2,1),(FJ23-0.05)))</f>
        <v/>
      </c>
      <c r="FL23" s="172">
        <f>MIN(1,MAX(VLOOKUP(($AJ23-$AI23-$AH23-$AG23-$AF23-$AE23*(1+FL$3))/$AJ23,'Технический лист'!$A:$B,2,1),(FK23-0.05)))</f>
        <v/>
      </c>
      <c r="FM23" s="172">
        <f>MIN(1,MAX(VLOOKUP(($AJ23-$AI23-$AH23-$AG23-$AF23-$AE23*(1+FM$3))/$AJ23,'Технический лист'!$A:$B,2,1),(FL23-0.05)))</f>
        <v/>
      </c>
      <c r="FN23" s="172">
        <f>MIN(1,MAX(VLOOKUP(($AJ23-$AI23-$AH23-$AG23-$AF23-$AE23*(1+FN$3))/$AJ23,'Технический лист'!$A:$B,2,1),(FM23-0.05)))</f>
        <v/>
      </c>
      <c r="FO23" s="172">
        <f>MIN(1,MAX(VLOOKUP(($AJ23-$AI23-$AH23-$AG23-$AF23-$AE23*(1+FO$3))/$AJ23,'Технический лист'!$A:$B,2,1),(FN23-0.05)))</f>
        <v/>
      </c>
      <c r="FP23" s="172">
        <f>MIN(1,MAX(VLOOKUP(($AJ23-$AI23-$AH23-$AG23-$AF23-$AE23*(1+FP$3))/$AJ23,'Технический лист'!$A:$B,2,1),(FO23-0.05)))</f>
        <v/>
      </c>
      <c r="FQ23" s="172">
        <f>MIN(1,MAX(VLOOKUP(($AJ23-$AI23-$AH23-$AG23-$AF23-$AE23*(1+FQ$3))/$AJ23,'Технический лист'!$A:$B,2,1),(FP23-0.05)))</f>
        <v/>
      </c>
      <c r="FR23" s="172">
        <f>MIN(1,MAX(VLOOKUP(($AJ23-$AI23-$AH23-$AG23-$AF23-$AE23*(1+FR$3))/$AJ23,'Технический лист'!$A:$B,2,1),(FQ23-0.05)))</f>
        <v/>
      </c>
      <c r="FS23" s="172">
        <f>MIN(1,MAX(VLOOKUP(($AJ23-$AI23-$AH23-$AG23-$AF23-$AE23*(1+FS$3))/$AJ23,'Технический лист'!$A:$B,2,1),(FR23-0.05)))</f>
        <v/>
      </c>
      <c r="FT23" s="172">
        <f>MIN(1,MAX(VLOOKUP(($AJ23-$AI23-$AH23-$AG23-$AF23-$AE23*(1+FT$3))/$AJ23,'Технический лист'!$A:$B,2,1),(FS23-0.05)))</f>
        <v/>
      </c>
      <c r="FU23" s="172">
        <f>MIN(1,MAX(VLOOKUP(($AJ23-$AI23-$AH23-$AG23-$AF23-$AE23*(1+FU$3))/$AJ23,'Технический лист'!$A:$B,2,1),(FT23-0.05)))</f>
        <v/>
      </c>
      <c r="FV23" s="172">
        <f>MIN(1,MAX(VLOOKUP(($AJ23-$AI23-$AH23-$AG23-$AF23-$AE23*(1+FV$3))/$AJ23,'Технический лист'!$A:$B,2,1),(FU23-0.05)))</f>
        <v/>
      </c>
      <c r="FW23" s="172">
        <f>MIN(1,MAX(VLOOKUP(($AJ23-$AI23-$AH23-$AG23-$AF23-$AE23*(1+FW$3))/$AJ23,'Технический лист'!$A:$B,2,1),(FV23-0.05)))</f>
        <v/>
      </c>
      <c r="FX23" s="172">
        <f>MIN(1,MAX(VLOOKUP(($AJ23-$AI23-$AH23-$AG23-$AF23-$AE23*(1+FX$3))/$AJ23,'Технический лист'!$A:$B,2,1),(FW23-0.05)))</f>
        <v/>
      </c>
      <c r="FY23" s="172">
        <f>MIN(1,MAX(VLOOKUP(($AJ23-$AI23-$AH23-$AG23-$AF23-$AE23*(1+FY$3))/$AJ23,'Технический лист'!$A:$B,2,1),(FX23-0.05)))</f>
        <v/>
      </c>
      <c r="FZ23" s="172">
        <f>MIN(1,MAX(VLOOKUP(($AJ23-$AI23-$AH23-$AG23-$AF23-$AE23*(1+FZ$3))/$AJ23,'Технический лист'!$A:$B,2,1),(FY23-0.05)))</f>
        <v/>
      </c>
      <c r="GA23" s="172">
        <f>MIN(1,MAX(VLOOKUP(($AJ23-$AI23-$AH23-$AG23-$AF23-$AE23*(1+GA$3))/$AJ23,'Технический лист'!$A:$B,2,1),(FZ23-0.05)))</f>
        <v/>
      </c>
      <c r="GB23" s="172">
        <f>MIN(1,MAX(VLOOKUP(($AJ23-$AI23-$AH23-$AG23-$AF23-$AE23*(1+GB$3))/$AJ23,'Технический лист'!$A:$B,2,1),(GA23-0.05)))</f>
        <v/>
      </c>
      <c r="GC23" s="172">
        <f>MIN(1,MAX(VLOOKUP(($AJ23-$AI23-$AH23-$AG23-$AF23-$AE23*(1+GC$3))/$AJ23,'Технический лист'!$A:$B,2,1),(GB23-0.05)))</f>
        <v/>
      </c>
      <c r="GD23" s="172">
        <f>MIN(1,MAX(VLOOKUP(($AJ23-$AI23-$AH23-$AG23-$AF23-$AE23*(1+GD$3))/$AJ23,'Технический лист'!$A:$B,2,1),(GC23-0.05)))</f>
        <v/>
      </c>
      <c r="GE23" s="172">
        <f>MIN(1,MAX(VLOOKUP(($AJ23-$AI23-$AH23-$AG23-$AF23-$AE23*(1+GE$3))/$AJ23,'Технический лист'!$A:$B,2,1),(GD23-0.05)))</f>
        <v/>
      </c>
      <c r="GF23" s="172">
        <f>MIN(1,MAX(VLOOKUP(($AJ23-$AI23-$AH23-$AG23-$AF23-$AE23*(1+GF$3))/$AJ23,'Технический лист'!$A:$B,2,1),(GE23-0.05)))</f>
        <v/>
      </c>
      <c r="GG23" s="172">
        <f>MIN(1,MAX(VLOOKUP(($AJ23-$AI23-$AH23-$AG23-$AF23-$AE23*(1+GG$3))/$AJ23,'Технический лист'!$A:$B,2,1),(GF23-0.05)))</f>
        <v/>
      </c>
      <c r="GH23" s="172">
        <f>MIN(1,MAX(VLOOKUP(($AJ23-$AI23-$AH23-$AG23-$AF23-$AE23*(1+GH$3))/$AJ23,'Технический лист'!$A:$B,2,1),(GG23-0.05)))</f>
        <v/>
      </c>
      <c r="GI23" s="172">
        <f>MIN(1,MAX(VLOOKUP(($AJ23-$AI23-$AH23-$AG23-$AF23-$AE23*(1+GI$3))/$AJ23,'Технический лист'!$A:$B,2,1),(GH23-0.05)))</f>
        <v/>
      </c>
      <c r="GJ23" s="172">
        <f>MIN(1,MAX(VLOOKUP(($AJ23-$AI23-$AH23-$AG23-$AF23-$AE23*(1+GJ$3))/$AJ23,'Технический лист'!$A:$B,2,1),(GI23-0.05)))</f>
        <v/>
      </c>
      <c r="GK23" s="172">
        <f>MIN(1,MAX(VLOOKUP(($AJ23-$AI23-$AH23-$AG23-$AF23-$AE23*(1+GK$3))/$AJ23,'Технический лист'!$A:$B,2,1),(GJ23-0.05)))</f>
        <v/>
      </c>
      <c r="GL23" s="172">
        <f>MIN(1,MAX(VLOOKUP(($AJ23-$AI23-$AH23-$AG23-$AF23-$AE23*(1+GL$3))/$AJ23,'Технический лист'!$A:$B,2,1),(GK23-0.05)))</f>
        <v/>
      </c>
      <c r="GM23" s="172">
        <f>MIN(1,MAX(VLOOKUP(($AJ23-$AI23-$AH23-$AG23-$AF23-$AE23*(1+GM$3))/$AJ23,'Технический лист'!$A:$B,2,1),(GL23-0.05)))</f>
        <v/>
      </c>
      <c r="GN23" s="172">
        <f>MIN(1,MAX(VLOOKUP(($AJ23-$AI23-$AH23-$AG23-$AF23-$AE23*(1+GN$3))/$AJ23,'Технический лист'!$A:$B,2,1),(GM23-0.05)))</f>
        <v/>
      </c>
      <c r="GO23" s="172">
        <f>MIN(1,MAX(VLOOKUP(($AJ23-$AI23-$AH23-$AG23-$AF23-$AE23*(1+GO$3))/$AJ23,'Технический лист'!$A:$B,2,1),(GN23-0.05)))</f>
        <v/>
      </c>
      <c r="GP23" s="172">
        <f>MIN(1,MAX(VLOOKUP(($AJ23-$AI23-$AH23-$AG23-$AF23-$AE23*(1+GP$3))/$AJ23,'Технический лист'!$A:$B,2,1),(GO23-0.05)))</f>
        <v/>
      </c>
      <c r="GQ23" s="172">
        <f>MIN(1,MAX(VLOOKUP(($AJ23-$AI23-$AH23-$AG23-$AF23-$AE23*(1+GQ$3))/$AJ23,'Технический лист'!$A:$B,2,1),(GP23-0.05)))</f>
        <v/>
      </c>
      <c r="GR23" s="172">
        <f>MIN(1,MAX(VLOOKUP(($AJ23-$AI23-$AH23-$AG23-$AF23-$AE23*(1+GR$3))/$AJ23,'Технический лист'!$A:$B,2,1),(GQ23-0.05)))</f>
        <v/>
      </c>
      <c r="GS23" s="172">
        <f>MIN(1,MAX(VLOOKUP(($AJ23-$AI23-$AH23-$AG23-$AF23-$AE23*(1+GS$3))/$AJ23,'Технический лист'!$A:$B,2,1),(GR23-0.05)))</f>
        <v/>
      </c>
      <c r="GT23" s="172">
        <f>MIN(1,MAX(VLOOKUP(($AJ23-$AI23-$AH23-$AG23-$AF23-$AE23*(1+GT$3))/$AJ23,'Технический лист'!$A:$B,2,1),(GS23-0.05)))</f>
        <v/>
      </c>
      <c r="GU23" s="172">
        <f>MIN(1,MAX(VLOOKUP(($AJ23-$AI23-$AH23-$AG23-$AF23-$AE23*(1+GU$3))/$AJ23,'Технический лист'!$A:$B,2,1),(GT23-0.05)))</f>
        <v/>
      </c>
      <c r="GV23" s="172">
        <f>MIN(1,MAX(VLOOKUP(($AJ23-$AI23-$AH23-$AG23-$AF23-$AE23*(1+GV$3))/$AJ23,'Технический лист'!$A:$B,2,1),(GU23-0.05)))</f>
        <v/>
      </c>
      <c r="GW23" s="172">
        <f>MIN(1,MAX(VLOOKUP(($AJ23-$AI23-$AH23-$AG23-$AF23-$AE23*(1+GW$3))/$AJ23,'Технический лист'!$A:$B,2,1),(GV23-0.05)))</f>
        <v/>
      </c>
      <c r="GX23" s="172">
        <f>MIN(1,MAX(VLOOKUP(($AJ23-$AI23-$AH23-$AG23-$AF23-$AE23*(1+GX$3))/$AJ23,'Технический лист'!$A:$B,2,1),(GW23-0.05)))</f>
        <v/>
      </c>
      <c r="GY23" s="172">
        <f>MIN(1,MAX(VLOOKUP(($AJ23-$AI23-$AH23-$AG23-$AF23-$AE23*(1+GY$3))/$AJ23,'Технический лист'!$A:$B,2,1),(GX23-0.05)))</f>
        <v/>
      </c>
      <c r="GZ23" s="172">
        <f>MIN(1,MAX(VLOOKUP(($AJ23-$AI23-$AH23-$AG23-$AF23-$AE23*(1+GZ$3))/$AJ23,'Технический лист'!$A:$B,2,1),(GY23-0.05)))</f>
        <v/>
      </c>
      <c r="HA23" s="172">
        <f>MIN(1,MAX(VLOOKUP(($AJ23-$AI23-$AH23-$AG23-$AF23-$AE23*(1+HA$3))/$AJ23,'Технический лист'!$A:$B,2,1),(GZ23-0.05)))</f>
        <v/>
      </c>
      <c r="HB23" s="172">
        <f>MIN(1,MAX(VLOOKUP(($AJ23-$AI23-$AH23-$AG23-$AF23-$AE23*(1+HB$3))/$AJ23,'Технический лист'!$A:$B,2,1),(HA23-0.05)))</f>
        <v/>
      </c>
      <c r="HC23" s="172">
        <f>MIN(1,MAX(VLOOKUP(($AJ23-$AI23-$AH23-$AG23-$AF23-$AE23*(1+HC$3))/$AJ23,'Технический лист'!$A:$B,2,1),(HB23-0.05)))</f>
        <v/>
      </c>
      <c r="HD23" s="172">
        <f>MIN(1,MAX(VLOOKUP(($AJ23-$AI23-$AH23-$AG23-$AF23-$AE23*(1+HD$3))/$AJ23,'Технический лист'!$A:$B,2,1),(HC23-0.05)))</f>
        <v/>
      </c>
      <c r="HE23" s="172">
        <f>MIN(1,MAX(VLOOKUP(($AJ23-$AI23-$AH23-$AG23-$AF23-$AE23*(1+HE$3))/$AJ23,'Технический лист'!$A:$B,2,1),(HD23-0.05)))</f>
        <v/>
      </c>
      <c r="HF23" s="172">
        <f>MIN(1,MAX(VLOOKUP(($AJ23-$AI23-$AH23-$AG23-$AF23-$AE23*(1+HF$3))/$AJ23,'Технический лист'!$A:$B,2,1),(HE23-0.05)))</f>
        <v/>
      </c>
      <c r="HG23" s="172">
        <f>MIN(1,MAX(VLOOKUP(($AJ23-$AI23-$AH23-$AG23-$AF23-$AE23*(1+HG$3))/$AJ23,'Технический лист'!$A:$B,2,1),(HF23-0.05)))</f>
        <v/>
      </c>
      <c r="HH23" s="172">
        <f>MIN(1,MAX(VLOOKUP(($AJ23-$AI23-$AH23-$AG23-$AF23-$AE23*(1+HH$3))/$AJ23,'Технический лист'!$A:$B,2,1),(HG23-0.05)))</f>
        <v/>
      </c>
      <c r="HI23" s="172">
        <f>MIN(1,MAX(VLOOKUP(($AJ23-$AI23-$AH23-$AG23-$AF23-$AE23*(1+HI$3))/$AJ23,'Технический лист'!$A:$B,2,1),(HH23-0.05)))</f>
        <v/>
      </c>
      <c r="HJ23" s="172">
        <f>MIN(1,MAX(VLOOKUP(($AJ23-$AI23-$AH23-$AG23-$AF23-$AE23*(1+HJ$3))/$AJ23,'Технический лист'!$A:$B,2,1),(HI23-0.05)))</f>
        <v/>
      </c>
      <c r="HK23" s="172">
        <f>MIN(1,MAX(VLOOKUP(($AJ23-$AI23-$AH23-$AG23-$AF23-$AE23*(1+HK$3))/$AJ23,'Технический лист'!$A:$B,2,1),(HJ23-0.05)))</f>
        <v/>
      </c>
      <c r="HL23" s="172">
        <f>MIN(1,MAX(VLOOKUP(($AJ23-$AI23-$AH23-$AG23-$AF23-$AE23*(1+HL$3))/$AJ23,'Технический лист'!$A:$B,2,1),(HK23-0.05)))</f>
        <v/>
      </c>
      <c r="HM23" s="172">
        <f>MIN(1,MAX(VLOOKUP(($AJ23-$AI23-$AH23-$AG23-$AF23-$AE23*(1+HM$3))/$AJ23,'Технический лист'!$A:$B,2,1),(HL23-0.05)))</f>
        <v/>
      </c>
      <c r="HN23" s="172">
        <f>MIN(1,MAX(VLOOKUP(($AJ23-$AI23-$AH23-$AG23-$AF23-$AE23*(1+HN$3))/$AJ23,'Технический лист'!$A:$B,2,1),(HM23-0.05)))</f>
        <v/>
      </c>
      <c r="HO23" s="172">
        <f>MIN(1,MAX(VLOOKUP(($AJ23-$AI23-$AH23-$AG23-$AF23-$AE23*(1+HO$3))/$AJ23,'Технический лист'!$A:$B,2,1),(HN23-0.05)))</f>
        <v/>
      </c>
      <c r="HP23" s="172">
        <f>MIN(1,MAX(VLOOKUP(($AJ23-$AI23-$AH23-$AG23-$AF23-$AE23*(1+HP$3))/$AJ23,'Технический лист'!$A:$B,2,1),(HO23-0.05)))</f>
        <v/>
      </c>
      <c r="HQ23" s="172">
        <f>MIN(1,MAX(VLOOKUP(($AJ23-$AI23-$AH23-$AG23-$AF23-$AE23*(1+HQ$3))/$AJ23,'Технический лист'!$A:$B,2,1),(HP23-0.05)))</f>
        <v/>
      </c>
      <c r="HR23" s="172">
        <f>MIN(1,MAX(VLOOKUP(($AJ23-$AI23-$AH23-$AG23-$AF23-$AE23*(1+HR$3))/$AJ23,'Технический лист'!$A:$B,2,1),(HQ23-0.05)))</f>
        <v/>
      </c>
      <c r="HS23" s="172">
        <f>MIN(1,MAX(VLOOKUP(($AJ23-$AI23-$AH23-$AG23-$AF23-$AE23*(1+HS$3))/$AJ23,'Технический лист'!$A:$B,2,1),(HR23-0.05)))</f>
        <v/>
      </c>
      <c r="HT23" s="172">
        <f>MIN(1,MAX(VLOOKUP(($AJ23-$AI23-$AH23-$AG23-$AF23-$AE23*(1+HT$3))/$AJ23,'Технический лист'!$A:$B,2,1),(HS23-0.05)))</f>
        <v/>
      </c>
      <c r="HU23" s="172">
        <f>MIN(1,MAX(VLOOKUP(($AJ23-$AI23-$AH23-$AG23-$AF23-$AE23*(1+HU$3))/$AJ23,'Технический лист'!$A:$B,2,1),(HT23-0.05)))</f>
        <v/>
      </c>
      <c r="HV23" s="172">
        <f>MIN(1,MAX(VLOOKUP(($AJ23-$AI23-$AH23-$AG23-$AF23-$AE23*(1+HV$3))/$AJ23,'Технический лист'!$A:$B,2,1),(HU23-0.05)))</f>
        <v/>
      </c>
      <c r="HW23" s="172">
        <f>MIN(1,MAX(VLOOKUP(($AJ23-$AI23-$AH23-$AG23-$AF23-$AE23*(1+HW$3))/$AJ23,'Технический лист'!$A:$B,2,1),(HV23-0.05)))</f>
        <v/>
      </c>
      <c r="HX23" s="172">
        <f>MIN(1,MAX(VLOOKUP(($AJ23-$AI23-$AH23-$AG23-$AF23-$AE23*(1+HX$3))/$AJ23,'Технический лист'!$A:$B,2,1),(HW23-0.05)))</f>
        <v/>
      </c>
      <c r="HY23" s="172">
        <f>MIN(1,MAX(VLOOKUP(($AJ23-$AI23-$AH23-$AG23-$AF23-$AE23*(1+HY$3))/$AJ23,'Технический лист'!$A:$B,2,1),(HX23-0.05)))</f>
        <v/>
      </c>
      <c r="HZ23" s="172">
        <f>MIN(1,MAX(VLOOKUP(($AJ23-$AI23-$AH23-$AG23-$AF23-$AE23*(1+HZ$3))/$AJ23,'Технический лист'!$A:$B,2,1),(HY23-0.05)))</f>
        <v/>
      </c>
      <c r="IA23" s="172">
        <f>MIN(1,MAX(VLOOKUP(($AJ23-$AI23-$AH23-$AG23-$AF23-$AE23*(1+IA$3))/$AJ23,'Технический лист'!$A:$B,2,1),(HZ23-0.05)))</f>
        <v/>
      </c>
      <c r="IB23" s="172">
        <f>MIN(1,MAX(VLOOKUP(($AJ23-$AI23-$AH23-$AG23-$AF23-$AE23*(1+IB$3))/$AJ23,'Технический лист'!$A:$B,2,1),(IA23-0.05)))</f>
        <v/>
      </c>
      <c r="IC23" s="172">
        <f>MIN(1,MAX(VLOOKUP(($AJ23-$AI23-$AH23-$AG23-$AF23-$AE23*(1+IC$3))/$AJ23,'Технический лист'!$A:$B,2,1),(IB23-0.05)))</f>
        <v/>
      </c>
      <c r="ID23" s="172">
        <f>MIN(1,MAX(VLOOKUP(($AJ23-$AI23-$AH23-$AG23-$AF23-$AE23*(1+ID$3))/$AJ23,'Технический лист'!$A:$B,2,1),(IC23-0.05)))</f>
        <v/>
      </c>
      <c r="IE23" s="172">
        <f>MIN(1,MAX(VLOOKUP(($AJ23-$AI23-$AH23-$AG23-$AF23-$AE23*(1+IE$3))/$AJ23,'Технический лист'!$A:$B,2,1),(ID23-0.05)))</f>
        <v/>
      </c>
      <c r="IF23" s="172">
        <f>MIN(1,MAX(VLOOKUP(($AJ23-$AI23-$AH23-$AG23-$AF23-$AE23*(1+IF$3))/$AJ23,'Технический лист'!$A:$B,2,1),(IE23-0.05)))</f>
        <v/>
      </c>
      <c r="IG23" s="172">
        <f>MIN(1,MAX(VLOOKUP(($AJ23-$AI23-$AH23-$AG23-$AF23-$AE23*(1+IG$3))/$AJ23,'Технический лист'!$A:$B,2,1),(IF23-0.05)))</f>
        <v/>
      </c>
      <c r="IH23" s="172">
        <f>MIN(1,MAX(VLOOKUP(($AJ23-$AI23-$AH23-$AG23-$AF23-$AE23*(1+IH$3))/$AJ23,'Технический лист'!$A:$B,2,1),(IG23-0.05)))</f>
        <v/>
      </c>
      <c r="II23" s="172">
        <f>MIN(1,MAX(VLOOKUP(($AJ23-$AI23-$AH23-$AG23-$AF23-$AE23*(1+II$3))/$AJ23,'Технический лист'!$A:$B,2,1),(IH23-0.05)))</f>
        <v/>
      </c>
      <c r="IJ23" s="172">
        <f>MIN(1,MAX(VLOOKUP(($AJ23-$AI23-$AH23-$AG23-$AF23-$AE23*(1+IJ$3))/$AJ23,'Технический лист'!$A:$B,2,1),(II23-0.05)))</f>
        <v/>
      </c>
      <c r="IK23" s="172">
        <f>MIN(1,MAX(VLOOKUP(($AJ23-$AI23-$AH23-$AG23-$AF23-$AE23*(1+IK$3))/$AJ23,'Технический лист'!$A:$B,2,1),(IJ23-0.05)))</f>
        <v/>
      </c>
      <c r="IL23" s="172">
        <f>MIN(1,MAX(VLOOKUP(($AJ23-$AI23-$AH23-$AG23-$AF23-$AE23*(1+IL$3))/$AJ23,'Технический лист'!$A:$B,2,1),(IK23-0.05)))</f>
        <v/>
      </c>
      <c r="IM23" s="172">
        <f>MIN(1,MAX(VLOOKUP(($AJ23-$AI23-$AH23-$AG23-$AF23-$AE23*(1+IM$3))/$AJ23,'Технический лист'!$A:$B,2,1),(IL23-0.05)))</f>
        <v/>
      </c>
      <c r="IN23" s="172">
        <f>MIN(1,MAX(VLOOKUP(($AJ23-$AI23-$AH23-$AG23-$AF23-$AE23*(1+IN$3))/$AJ23,'Технический лист'!$A:$B,2,1),(IM23-0.05)))</f>
        <v/>
      </c>
      <c r="IO23" s="172">
        <f>MIN(1,MAX(VLOOKUP(($AJ23-$AI23-$AH23-$AG23-$AF23-$AE23*(1+IO$3))/$AJ23,'Технический лист'!$A:$B,2,1),(IN23-0.05)))</f>
        <v/>
      </c>
      <c r="IP23" s="172">
        <f>MIN(1,MAX(VLOOKUP(($AJ23-$AI23-$AH23-$AG23-$AF23-$AE23*(1+IP$3))/$AJ23,'Технический лист'!$A:$B,2,1),(IO23-0.05)))</f>
        <v/>
      </c>
      <c r="IQ23" s="172">
        <f>MIN(1,MAX(VLOOKUP(($AJ23-$AI23-$AH23-$AG23-$AF23-$AE23*(1+IQ$3))/$AJ23,'Технический лист'!$A:$B,2,1),(IP23-0.05)))</f>
        <v/>
      </c>
      <c r="IR23" s="172">
        <f>MIN(1,MAX(VLOOKUP(($AJ23-$AI23-$AH23-$AG23-$AF23-$AE23*(1+IR$3))/$AJ23,'Технический лист'!$A:$B,2,1),(IQ23-0.05)))</f>
        <v/>
      </c>
    </row>
    <row r="24" ht="45" customHeight="1" s="123">
      <c r="A24" s="89" t="inlineStr">
        <is>
          <t>ЧМ (сырье)</t>
        </is>
      </c>
      <c r="B24" s="90" t="n">
        <v>2</v>
      </c>
      <c r="C24" s="5" t="inlineStr">
        <is>
          <t>Кокс каменноугольный</t>
        </is>
      </c>
      <c r="D24" s="91" t="n">
        <v>17108</v>
      </c>
      <c r="E24" s="91" t="inlineStr">
        <is>
          <t xml:space="preserve">Кокс литейный КЛ-3 </t>
        </is>
      </c>
      <c r="F24" s="92" t="inlineStr">
        <is>
          <t>КОКС КАМЕННОУГОЛЬНЫЙ</t>
        </is>
      </c>
      <c r="G24" s="91" t="inlineStr">
        <is>
          <t>МСК</t>
        </is>
      </c>
      <c r="H24" s="91" t="inlineStr">
        <is>
          <t>МСК</t>
        </is>
      </c>
      <c r="I24" s="91" t="inlineStr">
        <is>
          <t>БИРЮЛЕВО-ТОВ</t>
        </is>
      </c>
      <c r="J24" s="91" t="inlineStr">
        <is>
          <t>ЯСНАЯ ПОЛЯНА</t>
        </is>
      </c>
      <c r="K24" s="91" t="n">
        <v>236</v>
      </c>
      <c r="L24" s="91" t="inlineStr">
        <is>
          <t>Полувагоны</t>
        </is>
      </c>
      <c r="M24" s="91" t="inlineStr">
        <is>
          <t>Внутр. перевозки</t>
        </is>
      </c>
      <c r="N24" s="91" t="inlineStr">
        <is>
          <t>вагонная</t>
        </is>
      </c>
      <c r="O24" s="91" t="inlineStr">
        <is>
          <t xml:space="preserve">Северо-Западное </t>
        </is>
      </c>
      <c r="P24" s="89" t="inlineStr">
        <is>
          <t>'000000187852</t>
        </is>
      </c>
      <c r="Q24" s="91" t="inlineStr">
        <is>
          <t>'АО "Московский Коксогазовый Завод"</t>
        </is>
      </c>
      <c r="R24" s="91" t="inlineStr">
        <is>
          <t>ПАО "Мечел"</t>
        </is>
      </c>
      <c r="S24" s="87" t="n">
        <v>113824</v>
      </c>
      <c r="T24" s="87" t="n">
        <v>26862542</v>
      </c>
      <c r="U24" s="88" t="n">
        <v>2235</v>
      </c>
      <c r="V24" s="88" t="n">
        <v>0</v>
      </c>
      <c r="W24" s="87" t="n">
        <v>51596157</v>
      </c>
      <c r="X24" s="112" t="n">
        <v>51</v>
      </c>
      <c r="Y24" s="112" t="inlineStr">
        <is>
          <t>групповая</t>
        </is>
      </c>
      <c r="Z24" s="113" t="n">
        <v>5</v>
      </c>
      <c r="AA24" s="113" t="n">
        <v>5</v>
      </c>
      <c r="AB24" s="113" t="n">
        <v>4</v>
      </c>
      <c r="AC24" s="161" t="n">
        <v>492.04</v>
      </c>
      <c r="AD24" s="161">
        <f>AE24-AC24</f>
        <v/>
      </c>
      <c r="AE24" s="161" t="n">
        <v>600.04</v>
      </c>
      <c r="AF24" s="162">
        <f>(Z24+AA24+AB24)*'Ставки аренды'!$B$3/X24</f>
        <v/>
      </c>
      <c r="AG24" s="163" t="n">
        <v>0</v>
      </c>
      <c r="AH24" s="164" t="n">
        <v>0</v>
      </c>
      <c r="AI24" s="165">
        <f>1.01*AJ24</f>
        <v/>
      </c>
      <c r="AJ24" s="166">
        <f>Цены!$D$9</f>
        <v/>
      </c>
      <c r="AK24" s="164">
        <f>AJ24/Цены!$B$1</f>
        <v/>
      </c>
      <c r="AL24" s="164">
        <f>AE24+AF24+AG24</f>
        <v/>
      </c>
      <c r="AM24" s="164">
        <f>AJ24-AL24</f>
        <v/>
      </c>
      <c r="AN24" s="164">
        <f>AI24+AH24+AG24+AF24+AE24</f>
        <v/>
      </c>
      <c r="AO24" s="167">
        <f>(AJ24-AN24)/AJ24</f>
        <v/>
      </c>
      <c r="AP24" s="168">
        <f>AL24/AJ24</f>
        <v/>
      </c>
      <c r="AQ24" s="168">
        <f>AE24/AJ24</f>
        <v/>
      </c>
      <c r="AR24" s="168">
        <f>AE24/AL24</f>
        <v/>
      </c>
      <c r="AS24" s="169" t="n">
        <v>1</v>
      </c>
      <c r="AT24" s="121">
        <f>S24*AS24</f>
        <v/>
      </c>
      <c r="AU24" s="83" t="n">
        <v>0.95</v>
      </c>
      <c r="AV24" s="170">
        <f>(AJ24-(AE24*(1+$IS$2)+AF24+AG24+AH24+AI24))/AJ24</f>
        <v/>
      </c>
      <c r="AW24" s="171">
        <f>(AE24*(1+$IS$2)+AF24+AG24)/AJ24</f>
        <v/>
      </c>
      <c r="AX24" s="171">
        <f>(AE24*(1+$IS$2))/AJ24</f>
        <v/>
      </c>
      <c r="AY24" s="171">
        <f>(AE24*(1+$IS$2))/(AE24*(1+$IS$2)+AF24+AG24)</f>
        <v/>
      </c>
      <c r="AZ24" s="172">
        <f>MIN(IF($AU24=100%,1,1+VLOOKUP(($AJ24-$AI24-$AH24-$AG24-$AF24-$AE24*(1+AZ$3))/$AJ24,'Технический лист'!$A:$B,2,1)-VLOOKUP($AO24,'Технический лист'!$A:$B,2,1)),1+(1-$AU24))</f>
        <v/>
      </c>
      <c r="BA24" s="172">
        <f>MIN(IF($AU24=100%,1,1+VLOOKUP(($AJ24-$AI24-$AH24-$AG24-$AF24-$AE24*(1+BA$3))/$AJ24,'Технический лист'!$A:$B,2,1)-VLOOKUP($AO24,'Технический лист'!$A:$B,2,1)),1+(1-$AU24))</f>
        <v/>
      </c>
      <c r="BB24" s="172">
        <f>MIN(IF($AU24=100%,1,1+VLOOKUP(($AJ24-$AI24-$AH24-$AG24-$AF24-$AE24*(1+BB$3))/$AJ24,'Технический лист'!$A:$B,2,1)-VLOOKUP($AO24,'Технический лист'!$A:$B,2,1)),1+(1-$AU24))</f>
        <v/>
      </c>
      <c r="BC24" s="172">
        <f>MIN(IF($AU24=100%,1,1+VLOOKUP(($AJ24-$AI24-$AH24-$AG24-$AF24-$AE24*(1+BC$3))/$AJ24,'Технический лист'!$A:$B,2,1)-VLOOKUP($AO24,'Технический лист'!$A:$B,2,1)),1+(1-$AU24))</f>
        <v/>
      </c>
      <c r="BD24" s="172">
        <f>MIN(IF($AU24=100%,1,1+VLOOKUP(($AJ24-$AI24-$AH24-$AG24-$AF24-$AE24*(1+BD$3))/$AJ24,'Технический лист'!$A:$B,2,1)-VLOOKUP($AO24,'Технический лист'!$A:$B,2,1)),1+(1-$AU24))</f>
        <v/>
      </c>
      <c r="BE24" s="172">
        <f>MIN(IF($AU24=100%,1,1+VLOOKUP(($AJ24-$AI24-$AH24-$AG24-$AF24-$AE24*(1+BE$3))/$AJ24,'Технический лист'!$A:$B,2,1)-VLOOKUP($AO24,'Технический лист'!$A:$B,2,1)),1+(1-$AU24))</f>
        <v/>
      </c>
      <c r="BF24" s="172">
        <f>MIN(IF($AU24=100%,1,1+VLOOKUP(($AJ24-$AI24-$AH24-$AG24-$AF24-$AE24*(1+BF$3))/$AJ24,'Технический лист'!$A:$B,2,1)-VLOOKUP($AO24,'Технический лист'!$A:$B,2,1)),1+(1-$AU24))</f>
        <v/>
      </c>
      <c r="BG24" s="172">
        <f>MIN(IF($AU24=100%,1,1+VLOOKUP(($AJ24-$AI24-$AH24-$AG24-$AF24-$AE24*(1+BG$3))/$AJ24,'Технический лист'!$A:$B,2,1)-VLOOKUP($AO24,'Технический лист'!$A:$B,2,1)),1+(1-$AU24))</f>
        <v/>
      </c>
      <c r="BH24" s="172">
        <f>MIN(IF($AU24=100%,1,1+VLOOKUP(($AJ24-$AI24-$AH24-$AG24-$AF24-$AE24*(1+BH$3))/$AJ24,'Технический лист'!$A:$B,2,1)-VLOOKUP($AO24,'Технический лист'!$A:$B,2,1)),1+(1-$AU24))</f>
        <v/>
      </c>
      <c r="BI24" s="172">
        <f>MIN(IF($AU24=100%,1,1+VLOOKUP(($AJ24-$AI24-$AH24-$AG24-$AF24-$AE24*(1+BI$3))/$AJ24,'Технический лист'!$A:$B,2,1)-VLOOKUP($AO24,'Технический лист'!$A:$B,2,1)),1+(1-$AU24))</f>
        <v/>
      </c>
      <c r="BJ24" s="172">
        <f>MIN(IF($AU24=100%,1,1+VLOOKUP(($AJ24-$AI24-$AH24-$AG24-$AF24-$AE24*(1+BJ$3))/$AJ24,'Технический лист'!$A:$B,2,1)-VLOOKUP($AO24,'Технический лист'!$A:$B,2,1)),1+(1-$AU24))</f>
        <v/>
      </c>
      <c r="BK24" s="172">
        <f>MIN(IF($AU24=100%,1,1+VLOOKUP(($AJ24-$AI24-$AH24-$AG24-$AF24-$AE24*(1+BK$3))/$AJ24,'Технический лист'!$A:$B,2,1)-VLOOKUP($AO24,'Технический лист'!$A:$B,2,1)),1+(1-$AU24))</f>
        <v/>
      </c>
      <c r="BL24" s="172">
        <f>MIN(IF($AU24=100%,1,1+VLOOKUP(($AJ24-$AI24-$AH24-$AG24-$AF24-$AE24*(1+BL$3))/$AJ24,'Технический лист'!$A:$B,2,1)-VLOOKUP($AO24,'Технический лист'!$A:$B,2,1)),1+(1-$AU24))</f>
        <v/>
      </c>
      <c r="BM24" s="172">
        <f>MIN(IF($AU24=100%,1,1+VLOOKUP(($AJ24-$AI24-$AH24-$AG24-$AF24-$AE24*(1+BM$3))/$AJ24,'Технический лист'!$A:$B,2,1)-VLOOKUP($AO24,'Технический лист'!$A:$B,2,1)),1+(1-$AU24))</f>
        <v/>
      </c>
      <c r="BN24" s="172">
        <f>MIN(IF($AU24=100%,1,1+VLOOKUP(($AJ24-$AI24-$AH24-$AG24-$AF24-$AE24*(1+BN$3))/$AJ24,'Технический лист'!$A:$B,2,1)-VLOOKUP($AO24,'Технический лист'!$A:$B,2,1)),1+(1-$AU24))</f>
        <v/>
      </c>
      <c r="BO24" s="172">
        <f>MIN(IF($AU24=100%,1,1+VLOOKUP(($AJ24-$AI24-$AH24-$AG24-$AF24-$AE24*(1+BO$3))/$AJ24,'Технический лист'!$A:$B,2,1)-VLOOKUP($AO24,'Технический лист'!$A:$B,2,1)),1+(1-$AU24))</f>
        <v/>
      </c>
      <c r="BP24" s="172">
        <f>MIN(IF($AU24=100%,1,1+VLOOKUP(($AJ24-$AI24-$AH24-$AG24-$AF24-$AE24*(1+BP$3))/$AJ24,'Технический лист'!$A:$B,2,1)-VLOOKUP($AO24,'Технический лист'!$A:$B,2,1)),1+(1-$AU24))</f>
        <v/>
      </c>
      <c r="BQ24" s="172">
        <f>MIN(IF($AU24=100%,1,1+VLOOKUP(($AJ24-$AI24-$AH24-$AG24-$AF24-$AE24*(1+BQ$3))/$AJ24,'Технический лист'!$A:$B,2,1)-VLOOKUP($AO24,'Технический лист'!$A:$B,2,1)),1+(1-$AU24))</f>
        <v/>
      </c>
      <c r="BR24" s="172">
        <f>MIN(IF($AU24=100%,1,1+VLOOKUP(($AJ24-$AI24-$AH24-$AG24-$AF24-$AE24*(1+BR$3))/$AJ24,'Технический лист'!$A:$B,2,1)-VLOOKUP($AO24,'Технический лист'!$A:$B,2,1)),1+(1-$AU24))</f>
        <v/>
      </c>
      <c r="BS24" s="172">
        <f>MIN(IF($AU24=100%,1,1+VLOOKUP(($AJ24-$AI24-$AH24-$AG24-$AF24-$AE24*(1+BS$3))/$AJ24,'Технический лист'!$A:$B,2,1)-VLOOKUP($AO24,'Технический лист'!$A:$B,2,1)),1+(1-$AU24))</f>
        <v/>
      </c>
      <c r="BT24" s="172">
        <f>MIN(IF($AU24=100%,1,1+VLOOKUP(($AJ24-$AI24-$AH24-$AG24-$AF24-$AE24*(1+BT$3))/$AJ24,'Технический лист'!$A:$B,2,1)-VLOOKUP($AO24,'Технический лист'!$A:$B,2,1)),1+(1-$AU24))</f>
        <v/>
      </c>
      <c r="BU24" s="172">
        <f>MIN(IF($AU24=100%,1,1+VLOOKUP(($AJ24-$AI24-$AH24-$AG24-$AF24-$AE24*(1+BU$3))/$AJ24,'Технический лист'!$A:$B,2,1)-VLOOKUP($AO24,'Технический лист'!$A:$B,2,1)),1+(1-$AU24))</f>
        <v/>
      </c>
      <c r="BV24" s="172">
        <f>MIN(IF($AU24=100%,1,1+VLOOKUP(($AJ24-$AI24-$AH24-$AG24-$AF24-$AE24*(1+BV$3))/$AJ24,'Технический лист'!$A:$B,2,1)-VLOOKUP($AO24,'Технический лист'!$A:$B,2,1)),1+(1-$AU24))</f>
        <v/>
      </c>
      <c r="BW24" s="172">
        <f>MIN(IF($AU24=100%,1,1+VLOOKUP(($AJ24-$AI24-$AH24-$AG24-$AF24-$AE24*(1+BW$3))/$AJ24,'Технический лист'!$A:$B,2,1)-VLOOKUP($AO24,'Технический лист'!$A:$B,2,1)),1+(1-$AU24))</f>
        <v/>
      </c>
      <c r="BX24" s="172">
        <f>MIN(IF($AU24=100%,1,1+VLOOKUP(($AJ24-$AI24-$AH24-$AG24-$AF24-$AE24*(1+BX$3))/$AJ24,'Технический лист'!$A:$B,2,1)-VLOOKUP($AO24,'Технический лист'!$A:$B,2,1)),1+(1-$AU24))</f>
        <v/>
      </c>
      <c r="BY24" s="172">
        <f>MIN(IF($AU24=100%,1,1+VLOOKUP(($AJ24-$AI24-$AH24-$AG24-$AF24-$AE24*(1+BY$3))/$AJ24,'Технический лист'!$A:$B,2,1)-VLOOKUP($AO24,'Технический лист'!$A:$B,2,1)),1+(1-$AU24))</f>
        <v/>
      </c>
      <c r="BZ24" s="172">
        <f>MIN(IF($AU24=100%,1,1+VLOOKUP(($AJ24-$AI24-$AH24-$AG24-$AF24-$AE24*(1+BZ$3))/$AJ24,'Технический лист'!$A:$B,2,1)-VLOOKUP($AO24,'Технический лист'!$A:$B,2,1)),1+(1-$AU24))</f>
        <v/>
      </c>
      <c r="CA24" s="172">
        <f>MIN(IF($AU24=100%,1,1+VLOOKUP(($AJ24-$AI24-$AH24-$AG24-$AF24-$AE24*(1+CA$3))/$AJ24,'Технический лист'!$A:$B,2,1)-VLOOKUP($AO24,'Технический лист'!$A:$B,2,1)),1+(1-$AU24))</f>
        <v/>
      </c>
      <c r="CB24" s="172">
        <f>MIN(IF($AU24=100%,1,1+VLOOKUP(($AJ24-$AI24-$AH24-$AG24-$AF24-$AE24*(1+CB$3))/$AJ24,'Технический лист'!$A:$B,2,1)-VLOOKUP($AO24,'Технический лист'!$A:$B,2,1)),1+(1-$AU24))</f>
        <v/>
      </c>
      <c r="CC24" s="172">
        <f>MIN(IF($AU24=100%,1,1+VLOOKUP(($AJ24-$AI24-$AH24-$AG24-$AF24-$AE24*(1+CC$3))/$AJ24,'Технический лист'!$A:$B,2,1)-VLOOKUP($AO24,'Технический лист'!$A:$B,2,1)),1+(1-$AU24))</f>
        <v/>
      </c>
      <c r="CD24" s="172">
        <f>MIN(IF($AU24=100%,1,1+VLOOKUP(($AJ24-$AI24-$AH24-$AG24-$AF24-$AE24*(1+CD$3))/$AJ24,'Технический лист'!$A:$B,2,1)-VLOOKUP($AO24,'Технический лист'!$A:$B,2,1)),1+(1-$AU24))</f>
        <v/>
      </c>
      <c r="CE24" s="172">
        <f>MIN(IF($AU24=100%,1,1+VLOOKUP(($AJ24-$AI24-$AH24-$AG24-$AF24-$AE24*(1+CE$3))/$AJ24,'Технический лист'!$A:$B,2,1)-VLOOKUP($AO24,'Технический лист'!$A:$B,2,1)),1+(1-$AU24))</f>
        <v/>
      </c>
      <c r="CF24" s="172">
        <f>MIN(IF($AU24=100%,1,1+VLOOKUP(($AJ24-$AI24-$AH24-$AG24-$AF24-$AE24*(1+CF$3))/$AJ24,'Технический лист'!$A:$B,2,1)-VLOOKUP($AO24,'Технический лист'!$A:$B,2,1)),1+(1-$AU24))</f>
        <v/>
      </c>
      <c r="CG24" s="172">
        <f>MIN(IF($AU24=100%,1,1+VLOOKUP(($AJ24-$AI24-$AH24-$AG24-$AF24-$AE24*(1+CG$3))/$AJ24,'Технический лист'!$A:$B,2,1)-VLOOKUP($AO24,'Технический лист'!$A:$B,2,1)),1+(1-$AU24))</f>
        <v/>
      </c>
      <c r="CH24" s="172">
        <f>MIN(IF($AU24=100%,1,1+VLOOKUP(($AJ24-$AI24-$AH24-$AG24-$AF24-$AE24*(1+CH$3))/$AJ24,'Технический лист'!$A:$B,2,1)-VLOOKUP($AO24,'Технический лист'!$A:$B,2,1)),1+(1-$AU24))</f>
        <v/>
      </c>
      <c r="CI24" s="172">
        <f>MIN(IF($AU24=100%,1,1+VLOOKUP(($AJ24-$AI24-$AH24-$AG24-$AF24-$AE24*(1+CI$3))/$AJ24,'Технический лист'!$A:$B,2,1)-VLOOKUP($AO24,'Технический лист'!$A:$B,2,1)),1+(1-$AU24))</f>
        <v/>
      </c>
      <c r="CJ24" s="172">
        <f>MIN(IF($AU24=100%,1,1+VLOOKUP(($AJ24-$AI24-$AH24-$AG24-$AF24-$AE24*(1+CJ$3))/$AJ24,'Технический лист'!$A:$B,2,1)-VLOOKUP($AO24,'Технический лист'!$A:$B,2,1)),1+(1-$AU24))</f>
        <v/>
      </c>
      <c r="CK24" s="172">
        <f>MIN(IF($AU24=100%,1,1+VLOOKUP(($AJ24-$AI24-$AH24-$AG24-$AF24-$AE24*(1+CK$3))/$AJ24,'Технический лист'!$A:$B,2,1)-VLOOKUP($AO24,'Технический лист'!$A:$B,2,1)),1+(1-$AU24))</f>
        <v/>
      </c>
      <c r="CL24" s="172">
        <f>MIN(IF($AU24=100%,1,1+VLOOKUP(($AJ24-$AI24-$AH24-$AG24-$AF24-$AE24*(1+CL$3))/$AJ24,'Технический лист'!$A:$B,2,1)-VLOOKUP($AO24,'Технический лист'!$A:$B,2,1)),1+(1-$AU24))</f>
        <v/>
      </c>
      <c r="CM24" s="172">
        <f>MIN(IF($AU24=100%,1,1+VLOOKUP(($AJ24-$AI24-$AH24-$AG24-$AF24-$AE24*(1+CM$3))/$AJ24,'Технический лист'!$A:$B,2,1)-VLOOKUP($AO24,'Технический лист'!$A:$B,2,1)),1+(1-$AU24))</f>
        <v/>
      </c>
      <c r="CN24" s="172">
        <f>MIN(IF($AU24=100%,1,1+VLOOKUP(($AJ24-$AI24-$AH24-$AG24-$AF24-$AE24*(1+CN$3))/$AJ24,'Технический лист'!$A:$B,2,1)-VLOOKUP($AO24,'Технический лист'!$A:$B,2,1)),1+(1-$AU24))</f>
        <v/>
      </c>
      <c r="CO24" s="172">
        <f>MIN(IF($AU24=100%,1,1+VLOOKUP(($AJ24-$AI24-$AH24-$AG24-$AF24-$AE24*(1+CO$3))/$AJ24,'Технический лист'!$A:$B,2,1)-VLOOKUP($AO24,'Технический лист'!$A:$B,2,1)),1+(1-$AU24))</f>
        <v/>
      </c>
      <c r="CP24" s="172">
        <f>MIN(IF($AU24=100%,1,1+VLOOKUP(($AJ24-$AI24-$AH24-$AG24-$AF24-$AE24*(1+CP$3))/$AJ24,'Технический лист'!$A:$B,2,1)-VLOOKUP($AO24,'Технический лист'!$A:$B,2,1)),1+(1-$AU24))</f>
        <v/>
      </c>
      <c r="CQ24" s="172">
        <f>MIN(IF($AU24=100%,1,1+VLOOKUP(($AJ24-$AI24-$AH24-$AG24-$AF24-$AE24*(1+CQ$3))/$AJ24,'Технический лист'!$A:$B,2,1)-VLOOKUP($AO24,'Технический лист'!$A:$B,2,1)),1+(1-$AU24))</f>
        <v/>
      </c>
      <c r="CR24" s="172">
        <f>MIN(IF($AU24=100%,1,1+VLOOKUP(($AJ24-$AI24-$AH24-$AG24-$AF24-$AE24*(1+CR$3))/$AJ24,'Технический лист'!$A:$B,2,1)-VLOOKUP($AO24,'Технический лист'!$A:$B,2,1)),1+(1-$AU24))</f>
        <v/>
      </c>
      <c r="CS24" s="172">
        <f>MIN(IF($AU24=100%,1,1+VLOOKUP(($AJ24-$AI24-$AH24-$AG24-$AF24-$AE24*(1+CS$3))/$AJ24,'Технический лист'!$A:$B,2,1)-VLOOKUP($AO24,'Технический лист'!$A:$B,2,1)),1+(1-$AU24))</f>
        <v/>
      </c>
      <c r="CT24" s="172">
        <f>MIN(IF($AU24=100%,1,1+VLOOKUP(($AJ24-$AI24-$AH24-$AG24-$AF24-$AE24*(1+CT$3))/$AJ24,'Технический лист'!$A:$B,2,1)-VLOOKUP($AO24,'Технический лист'!$A:$B,2,1)),1+(1-$AU24))</f>
        <v/>
      </c>
      <c r="CU24" s="172">
        <f>MIN(IF($AU24=100%,1,1+VLOOKUP(($AJ24-$AI24-$AH24-$AG24-$AF24-$AE24*(1+CU$3))/$AJ24,'Технический лист'!$A:$B,2,1)-VLOOKUP($AO24,'Технический лист'!$A:$B,2,1)),1+(1-$AU24))</f>
        <v/>
      </c>
      <c r="CV24" s="172">
        <f>MIN(IF($AU24=100%,1,1+VLOOKUP(($AJ24-$AI24-$AH24-$AG24-$AF24-$AE24*(1+CV$3))/$AJ24,'Технический лист'!$A:$B,2,1)-VLOOKUP($AO24,'Технический лист'!$A:$B,2,1)),1+(1-$AU24))</f>
        <v/>
      </c>
      <c r="CW24" s="172">
        <f>MIN(IF($AU24=100%,1,1+VLOOKUP(($AJ24-$AI24-$AH24-$AG24-$AF24-$AE24*(1+CW$3))/$AJ24,'Технический лист'!$A:$B,2,1)-VLOOKUP($AO24,'Технический лист'!$A:$B,2,1)),1+(1-$AU24))</f>
        <v/>
      </c>
      <c r="CX24" s="172">
        <f>MIN(IF($AU24=100%,1,1+VLOOKUP(($AJ24-$AI24-$AH24-$AG24-$AF24-$AE24*(1+CX$3))/$AJ24,'Технический лист'!$A:$B,2,1)-VLOOKUP($AO24,'Технический лист'!$A:$B,2,1)),1+(1-$AU24))</f>
        <v/>
      </c>
      <c r="CY24" s="172">
        <f>MIN(IF($AU24=100%,1,1+VLOOKUP(($AJ24-$AI24-$AH24-$AG24-$AF24-$AE24*(1+CY$3))/$AJ24,'Технический лист'!$A:$B,2,1)-VLOOKUP($AO24,'Технический лист'!$A:$B,2,1)),1+(1-$AU24))</f>
        <v/>
      </c>
      <c r="CZ24" s="172">
        <f>MIN(IF($AU24=100%,1,1+VLOOKUP(($AJ24-$AI24-$AH24-$AG24-$AF24-$AE24*(1+CZ$3))/$AJ24,'Технический лист'!$A:$B,2,1)-VLOOKUP($AO24,'Технический лист'!$A:$B,2,1)),1+(1-$AU24))</f>
        <v/>
      </c>
      <c r="DA24" s="172">
        <f>MIN(IF($AU24=100%,1,1+VLOOKUP(($AJ24-$AI24-$AH24-$AG24-$AF24-$AE24*(1+DA$3))/$AJ24,'Технический лист'!$A:$B,2,1)-VLOOKUP($AO24,'Технический лист'!$A:$B,2,1)),1+(1-$AU24))</f>
        <v/>
      </c>
      <c r="DB24" s="172">
        <f>MIN(IF($AU24=100%,1,1+VLOOKUP(($AJ24-$AI24-$AH24-$AG24-$AF24-$AE24*(1+DB$3))/$AJ24,'Технический лист'!$A:$B,2,1)-VLOOKUP($AO24,'Технический лист'!$A:$B,2,1)),1+(1-$AU24))</f>
        <v/>
      </c>
      <c r="DC24" s="172">
        <f>MIN(IF($AU24=100%,1,1+VLOOKUP(($AJ24-$AI24-$AH24-$AG24-$AF24-$AE24*(1+DC$3))/$AJ24,'Технический лист'!$A:$B,2,1)-VLOOKUP($AO24,'Технический лист'!$A:$B,2,1)),1+(1-$AU24))</f>
        <v/>
      </c>
      <c r="DD24" s="172">
        <f>MIN(IF($AU24=100%,1,1+VLOOKUP(($AJ24-$AI24-$AH24-$AG24-$AF24-$AE24*(1+DD$3))/$AJ24,'Технический лист'!$A:$B,2,1)-VLOOKUP($AO24,'Технический лист'!$A:$B,2,1)),1+(1-$AU24))</f>
        <v/>
      </c>
      <c r="DE24" s="172">
        <f>MIN(IF($AU24=100%,1,1+VLOOKUP(($AJ24-$AI24-$AH24-$AG24-$AF24-$AE24*(1+DE$3))/$AJ24,'Технический лист'!$A:$B,2,1)-VLOOKUP($AO24,'Технический лист'!$A:$B,2,1)),1+(1-$AU24))</f>
        <v/>
      </c>
      <c r="DF24" s="172">
        <f>MIN(IF($AU24=100%,1,1+VLOOKUP(($AJ24-$AI24-$AH24-$AG24-$AF24-$AE24*(1+DF$3))/$AJ24,'Технический лист'!$A:$B,2,1)-VLOOKUP($AO24,'Технический лист'!$A:$B,2,1)),1+(1-$AU24))</f>
        <v/>
      </c>
      <c r="DG24" s="172">
        <f>MIN(IF($AU24=100%,1,1+VLOOKUP(($AJ24-$AI24-$AH24-$AG24-$AF24-$AE24*(1+DG$3))/$AJ24,'Технический лист'!$A:$B,2,1)-VLOOKUP($AO24,'Технический лист'!$A:$B,2,1)),1+(1-$AU24))</f>
        <v/>
      </c>
      <c r="DH24" s="172">
        <f>MIN(IF($AU24=100%,1,1+VLOOKUP(($AJ24-$AI24-$AH24-$AG24-$AF24-$AE24*(1+DH$3))/$AJ24,'Технический лист'!$A:$B,2,1)-VLOOKUP($AO24,'Технический лист'!$A:$B,2,1)),1+(1-$AU24))</f>
        <v/>
      </c>
      <c r="DI24" s="172">
        <f>MIN(IF($AU24=100%,1,1+VLOOKUP(($AJ24-$AI24-$AH24-$AG24-$AF24-$AE24*(1+DI$3))/$AJ24,'Технический лист'!$A:$B,2,1)-VLOOKUP($AO24,'Технический лист'!$A:$B,2,1)),1+(1-$AU24))</f>
        <v/>
      </c>
      <c r="DJ24" s="172">
        <f>MIN(IF($AU24=100%,1,1+VLOOKUP(($AJ24-$AI24-$AH24-$AG24-$AF24-$AE24*(1+DJ$3))/$AJ24,'Технический лист'!$A:$B,2,1)-VLOOKUP($AO24,'Технический лист'!$A:$B,2,1)),1+(1-$AU24))</f>
        <v/>
      </c>
      <c r="DK24" s="172">
        <f>MIN(IF($AU24=100%,1,1+VLOOKUP(($AJ24-$AI24-$AH24-$AG24-$AF24-$AE24*(1+DK$3))/$AJ24,'Технический лист'!$A:$B,2,1)-VLOOKUP($AO24,'Технический лист'!$A:$B,2,1)),1+(1-$AU24))</f>
        <v/>
      </c>
      <c r="DL24" s="172">
        <f>MIN(IF($AU24=100%,1,1+VLOOKUP(($AJ24-$AI24-$AH24-$AG24-$AF24-$AE24*(1+DL$3))/$AJ24,'Технический лист'!$A:$B,2,1)-VLOOKUP($AO24,'Технический лист'!$A:$B,2,1)),1+(1-$AU24))</f>
        <v/>
      </c>
      <c r="DM24" s="172">
        <f>MIN(IF($AU24=100%,1,1+VLOOKUP(($AJ24-$AI24-$AH24-$AG24-$AF24-$AE24*(1+DM$3))/$AJ24,'Технический лист'!$A:$B,2,1)-VLOOKUP($AO24,'Технический лист'!$A:$B,2,1)),1+(1-$AU24))</f>
        <v/>
      </c>
      <c r="DN24" s="172">
        <f>MIN(IF($AU24=100%,1,1+VLOOKUP(($AJ24-$AI24-$AH24-$AG24-$AF24-$AE24*(1+DN$3))/$AJ24,'Технический лист'!$A:$B,2,1)-VLOOKUP($AO24,'Технический лист'!$A:$B,2,1)),1+(1-$AU24))</f>
        <v/>
      </c>
      <c r="DO24" s="172">
        <f>MIN(IF($AU24=100%,1,1+VLOOKUP(($AJ24-$AI24-$AH24-$AG24-$AF24-$AE24*(1+DO$3))/$AJ24,'Технический лист'!$A:$B,2,1)-VLOOKUP($AO24,'Технический лист'!$A:$B,2,1)),1+(1-$AU24))</f>
        <v/>
      </c>
      <c r="DP24" s="172">
        <f>MIN(IF($AU24=100%,1,1+VLOOKUP(($AJ24-$AI24-$AH24-$AG24-$AF24-$AE24*(1+DP$3))/$AJ24,'Технический лист'!$A:$B,2,1)-VLOOKUP($AO24,'Технический лист'!$A:$B,2,1)),1+(1-$AU24))</f>
        <v/>
      </c>
      <c r="DQ24" s="172">
        <f>MIN(IF($AU24=100%,1,1+VLOOKUP(($AJ24-$AI24-$AH24-$AG24-$AF24-$AE24*(1+DQ$3))/$AJ24,'Технический лист'!$A:$B,2,1)-VLOOKUP($AO24,'Технический лист'!$A:$B,2,1)),1+(1-$AU24))</f>
        <v/>
      </c>
      <c r="DR24" s="172">
        <f>MIN(IF($AU24=100%,1,1+VLOOKUP(($AJ24-$AI24-$AH24-$AG24-$AF24-$AE24*(1+DR$3))/$AJ24,'Технический лист'!$A:$B,2,1)-VLOOKUP($AO24,'Технический лист'!$A:$B,2,1)),1+(1-$AU24))</f>
        <v/>
      </c>
      <c r="DS24" s="172">
        <f>MIN(IF($AU24=100%,1,1+VLOOKUP(($AJ24-$AI24-$AH24-$AG24-$AF24-$AE24*(1+DS$3))/$AJ24,'Технический лист'!$A:$B,2,1)-VLOOKUP($AO24,'Технический лист'!$A:$B,2,1)),1+(1-$AU24))</f>
        <v/>
      </c>
      <c r="DT24" s="172">
        <f>MIN(IF($AU24=100%,1,1+VLOOKUP(($AJ24-$AI24-$AH24-$AG24-$AF24-$AE24*(1+DT$3))/$AJ24,'Технический лист'!$A:$B,2,1)-VLOOKUP($AO24,'Технический лист'!$A:$B,2,1)),1+(1-$AU24))</f>
        <v/>
      </c>
      <c r="DU24" s="172">
        <f>MIN(IF($AU24=100%,1,1+VLOOKUP(($AJ24-$AI24-$AH24-$AG24-$AF24-$AE24*(1+DU$3))/$AJ24,'Технический лист'!$A:$B,2,1)-VLOOKUP($AO24,'Технический лист'!$A:$B,2,1)),1+(1-$AU24))</f>
        <v/>
      </c>
      <c r="DV24" s="172">
        <f>MIN(IF($AU24=100%,1,1+VLOOKUP(($AJ24-$AI24-$AH24-$AG24-$AF24-$AE24*(1+DV$3))/$AJ24,'Технический лист'!$A:$B,2,1)-VLOOKUP($AO24,'Технический лист'!$A:$B,2,1)),1+(1-$AU24))</f>
        <v/>
      </c>
      <c r="DW24" s="172">
        <f>MIN(IF($AU24=100%,1,1+VLOOKUP(($AJ24-$AI24-$AH24-$AG24-$AF24-$AE24*(1+DW$3))/$AJ24,'Технический лист'!$A:$B,2,1)-VLOOKUP($AO24,'Технический лист'!$A:$B,2,1)),1+(1-$AU24))</f>
        <v/>
      </c>
      <c r="DX24" s="172">
        <f>MIN(IF($AU24=100%,1,1+VLOOKUP(($AJ24-$AI24-$AH24-$AG24-$AF24-$AE24*(1+DX$3))/$AJ24,'Технический лист'!$A:$B,2,1)-VLOOKUP($AO24,'Технический лист'!$A:$B,2,1)),1+(1-$AU24))</f>
        <v/>
      </c>
      <c r="DY24" s="172">
        <f>MIN(IF($AU24=100%,1,1+VLOOKUP(($AJ24-$AI24-$AH24-$AG24-$AF24-$AE24*(1+DY$3))/$AJ24,'Технический лист'!$A:$B,2,1)-VLOOKUP($AO24,'Технический лист'!$A:$B,2,1)),1+(1-$AU24))</f>
        <v/>
      </c>
      <c r="DZ24" s="172">
        <f>MIN(IF($AU24=100%,1,1+VLOOKUP(($AJ24-$AI24-$AH24-$AG24-$AF24-$AE24*(1+DZ$3))/$AJ24,'Технический лист'!$A:$B,2,1)-VLOOKUP($AO24,'Технический лист'!$A:$B,2,1)),1+(1-$AU24))</f>
        <v/>
      </c>
      <c r="EA24" s="172">
        <f>MIN(IF($AU24=100%,1,1+VLOOKUP(($AJ24-$AI24-$AH24-$AG24-$AF24-$AE24*(1+EA$3))/$AJ24,'Технический лист'!$A:$B,2,1)-VLOOKUP($AO24,'Технический лист'!$A:$B,2,1)),1+(1-$AU24))</f>
        <v/>
      </c>
      <c r="EB24" s="172">
        <f>MIN(IF($AU24=100%,1,1+VLOOKUP(($AJ24-$AI24-$AH24-$AG24-$AF24-$AE24*(1+EB$3))/$AJ24,'Технический лист'!$A:$B,2,1)-VLOOKUP($AO24,'Технический лист'!$A:$B,2,1)),1+(1-$AU24))</f>
        <v/>
      </c>
      <c r="EC24" s="172">
        <f>MIN(IF($AU24=100%,1,1+VLOOKUP(($AJ24-$AI24-$AH24-$AG24-$AF24-$AE24*(1+EC$3))/$AJ24,'Технический лист'!$A:$B,2,1)-VLOOKUP($AO24,'Технический лист'!$A:$B,2,1)),1+(1-$AU24))</f>
        <v/>
      </c>
      <c r="ED24" s="172">
        <f>MIN(IF($AU24=100%,1,1+VLOOKUP(($AJ24-$AI24-$AH24-$AG24-$AF24-$AE24*(1+ED$3))/$AJ24,'Технический лист'!$A:$B,2,1)-VLOOKUP($AO24,'Технический лист'!$A:$B,2,1)),1+(1-$AU24))</f>
        <v/>
      </c>
      <c r="EE24" s="172">
        <f>MIN(IF($AU24=100%,1,1+VLOOKUP(($AJ24-$AI24-$AH24-$AG24-$AF24-$AE24*(1+EE$3))/$AJ24,'Технический лист'!$A:$B,2,1)-VLOOKUP($AO24,'Технический лист'!$A:$B,2,1)),1+(1-$AU24))</f>
        <v/>
      </c>
      <c r="EF24" s="172">
        <f>MIN(IF($AU24=100%,1,1+VLOOKUP(($AJ24-$AI24-$AH24-$AG24-$AF24-$AE24*(1+EF$3))/$AJ24,'Технический лист'!$A:$B,2,1)-VLOOKUP($AO24,'Технический лист'!$A:$B,2,1)),1+(1-$AU24))</f>
        <v/>
      </c>
      <c r="EG24" s="172">
        <f>MIN(IF($AU24=100%,1,1+VLOOKUP(($AJ24-$AI24-$AH24-$AG24-$AF24-$AE24*(1+EG$3))/$AJ24,'Технический лист'!$A:$B,2,1)-VLOOKUP($AO24,'Технический лист'!$A:$B,2,1)),1+(1-$AU24))</f>
        <v/>
      </c>
      <c r="EH24" s="172">
        <f>MIN(IF($AU24=100%,1,1+VLOOKUP(($AJ24-$AI24-$AH24-$AG24-$AF24-$AE24*(1+EH$3))/$AJ24,'Технический лист'!$A:$B,2,1)-VLOOKUP($AO24,'Технический лист'!$A:$B,2,1)),1+(1-$AU24))</f>
        <v/>
      </c>
      <c r="EI24" s="172">
        <f>MIN(IF($AU24=100%,1,1+VLOOKUP(($AJ24-$AI24-$AH24-$AG24-$AF24-$AE24*(1+EI$3))/$AJ24,'Технический лист'!$A:$B,2,1)-VLOOKUP($AO24,'Технический лист'!$A:$B,2,1)),1+(1-$AU24))</f>
        <v/>
      </c>
      <c r="EJ24" s="172">
        <f>MIN(IF($AU24=100%,1,1+VLOOKUP(($AJ24-$AI24-$AH24-$AG24-$AF24-$AE24*(1+EJ$3))/$AJ24,'Технический лист'!$A:$B,2,1)-VLOOKUP($AO24,'Технический лист'!$A:$B,2,1)),1+(1-$AU24))</f>
        <v/>
      </c>
      <c r="EK24" s="172">
        <f>MIN(IF($AU24=100%,1,1+VLOOKUP(($AJ24-$AI24-$AH24-$AG24-$AF24-$AE24*(1+EK$3))/$AJ24,'Технический лист'!$A:$B,2,1)-VLOOKUP($AO24,'Технический лист'!$A:$B,2,1)),1+(1-$AU24))</f>
        <v/>
      </c>
      <c r="EL24" s="172">
        <f>MIN(IF($AU24=100%,1,1+VLOOKUP(($AJ24-$AI24-$AH24-$AG24-$AF24-$AE24*(1+EL$3))/$AJ24,'Технический лист'!$A:$B,2,1)-VLOOKUP($AO24,'Технический лист'!$A:$B,2,1)),1+(1-$AU24))</f>
        <v/>
      </c>
      <c r="EM24" s="172">
        <f>MIN(IF($AU24=100%,1,1+VLOOKUP(($AJ24-$AI24-$AH24-$AG24-$AF24-$AE24*(1+EM$3))/$AJ24,'Технический лист'!$A:$B,2,1)-VLOOKUP($AO24,'Технический лист'!$A:$B,2,1)),1+(1-$AU24))</f>
        <v/>
      </c>
      <c r="EN24" s="172">
        <f>MIN(IF($AU24=100%,1,1+VLOOKUP(($AJ24-$AI24-$AH24-$AG24-$AF24-$AE24*(1+EN$3))/$AJ24,'Технический лист'!$A:$B,2,1)-VLOOKUP($AO24,'Технический лист'!$A:$B,2,1)),1+(1-$AU24))</f>
        <v/>
      </c>
      <c r="EO24" s="172">
        <f>MIN(IF($AU24=100%,1,1+VLOOKUP(($AJ24-$AI24-$AH24-$AG24-$AF24-$AE24*(1+EO$3))/$AJ24,'Технический лист'!$A:$B,2,1)-VLOOKUP($AO24,'Технический лист'!$A:$B,2,1)),1+(1-$AU24))</f>
        <v/>
      </c>
      <c r="EP24" s="172">
        <f>MIN(IF($AU24=100%,1,1+VLOOKUP(($AJ24-$AI24-$AH24-$AG24-$AF24-$AE24*(1+EP$3))/$AJ24,'Технический лист'!$A:$B,2,1)-VLOOKUP($AO24,'Технический лист'!$A:$B,2,1)),1+(1-$AU24))</f>
        <v/>
      </c>
      <c r="EQ24" s="172">
        <f>MIN(IF($AU24=100%,1,1+VLOOKUP(($AJ24-$AI24-$AH24-$AG24-$AF24-$AE24*(1+EQ$3))/$AJ24,'Технический лист'!$A:$B,2,1)-VLOOKUP($AO24,'Технический лист'!$A:$B,2,1)),1+(1-$AU24))</f>
        <v/>
      </c>
      <c r="ER24" s="172">
        <f>MIN(IF($AU24=100%,1,1+VLOOKUP(($AJ24-$AI24-$AH24-$AG24-$AF24-$AE24*(1+ER$3))/$AJ24,'Технический лист'!$A:$B,2,1)-VLOOKUP($AO24,'Технический лист'!$A:$B,2,1)),1+(1-$AU24))</f>
        <v/>
      </c>
      <c r="ES24" s="172">
        <f>MIN(IF($AU24=100%,1,1+VLOOKUP(($AJ24-$AI24-$AH24-$AG24-$AF24-$AE24*(1+ES$3))/$AJ24,'Технический лист'!$A:$B,2,1)-VLOOKUP($AO24,'Технический лист'!$A:$B,2,1)),1+(1-$AU24))</f>
        <v/>
      </c>
      <c r="ET24" s="172">
        <f>MIN(IF($AU24=100%,1,1+VLOOKUP(($AJ24-$AI24-$AH24-$AG24-$AF24-$AE24*(1+ET$3))/$AJ24,'Технический лист'!$A:$B,2,1)-VLOOKUP($AO24,'Технический лист'!$A:$B,2,1)),1+(1-$AU24))</f>
        <v/>
      </c>
      <c r="EU24" s="172">
        <f>MIN(IF($AU24=100%,1,1+VLOOKUP(($AJ24-$AI24-$AH24-$AG24-$AF24-$AE24*(1+EU$3))/$AJ24,'Технический лист'!$A:$B,2,1)-VLOOKUP($AO24,'Технический лист'!$A:$B,2,1)),1+(1-$AU24))</f>
        <v/>
      </c>
      <c r="EV24" s="173" t="n">
        <v>1</v>
      </c>
      <c r="EW24" s="172">
        <f>MIN(1,MAX(VLOOKUP(($AJ24-$AI24-$AH24-$AG24-$AF24-$AE24*(1+EW$3))/$AJ24,'Технический лист'!$A:$B,2,1),(EV24-0.05)))</f>
        <v/>
      </c>
      <c r="EX24" s="172">
        <f>MIN(1,MAX(VLOOKUP(($AJ24-$AI24-$AH24-$AG24-$AF24-$AE24*(1+EX$3))/$AJ24,'Технический лист'!$A:$B,2,1),(EW24-0.05)))</f>
        <v/>
      </c>
      <c r="EY24" s="172">
        <f>MIN(1,MAX(VLOOKUP(($AJ24-$AI24-$AH24-$AG24-$AF24-$AE24*(1+EY$3))/$AJ24,'Технический лист'!$A:$B,2,1),(EX24-0.05)))</f>
        <v/>
      </c>
      <c r="EZ24" s="172">
        <f>MIN(1,MAX(VLOOKUP(($AJ24-$AI24-$AH24-$AG24-$AF24-$AE24*(1+EZ$3))/$AJ24,'Технический лист'!$A:$B,2,1),(EY24-0.05)))</f>
        <v/>
      </c>
      <c r="FA24" s="172">
        <f>MIN(1,MAX(VLOOKUP(($AJ24-$AI24-$AH24-$AG24-$AF24-$AE24*(1+FA$3))/$AJ24,'Технический лист'!$A:$B,2,1),(EZ24-0.05)))</f>
        <v/>
      </c>
      <c r="FB24" s="172">
        <f>MIN(1,MAX(VLOOKUP(($AJ24-$AI24-$AH24-$AG24-$AF24-$AE24*(1+FB$3))/$AJ24,'Технический лист'!$A:$B,2,1),(FA24-0.05)))</f>
        <v/>
      </c>
      <c r="FC24" s="172">
        <f>MIN(1,MAX(VLOOKUP(($AJ24-$AI24-$AH24-$AG24-$AF24-$AE24*(1+FC$3))/$AJ24,'Технический лист'!$A:$B,2,1),(FB24-0.05)))</f>
        <v/>
      </c>
      <c r="FD24" s="172">
        <f>MIN(1,MAX(VLOOKUP(($AJ24-$AI24-$AH24-$AG24-$AF24-$AE24*(1+FD$3))/$AJ24,'Технический лист'!$A:$B,2,1),(FC24-0.05)))</f>
        <v/>
      </c>
      <c r="FE24" s="172">
        <f>MIN(1,MAX(VLOOKUP(($AJ24-$AI24-$AH24-$AG24-$AF24-$AE24*(1+FE$3))/$AJ24,'Технический лист'!$A:$B,2,1),(FD24-0.05)))</f>
        <v/>
      </c>
      <c r="FF24" s="172">
        <f>MIN(1,MAX(VLOOKUP(($AJ24-$AI24-$AH24-$AG24-$AF24-$AE24*(1+FF$3))/$AJ24,'Технический лист'!$A:$B,2,1),(FE24-0.05)))</f>
        <v/>
      </c>
      <c r="FG24" s="172">
        <f>MIN(1,MAX(VLOOKUP(($AJ24-$AI24-$AH24-$AG24-$AF24-$AE24*(1+FG$3))/$AJ24,'Технический лист'!$A:$B,2,1),(FF24-0.05)))</f>
        <v/>
      </c>
      <c r="FH24" s="172">
        <f>MIN(1,MAX(VLOOKUP(($AJ24-$AI24-$AH24-$AG24-$AF24-$AE24*(1+FH$3))/$AJ24,'Технический лист'!$A:$B,2,1),(FG24-0.05)))</f>
        <v/>
      </c>
      <c r="FI24" s="172">
        <f>MIN(1,MAX(VLOOKUP(($AJ24-$AI24-$AH24-$AG24-$AF24-$AE24*(1+FI$3))/$AJ24,'Технический лист'!$A:$B,2,1),(FH24-0.05)))</f>
        <v/>
      </c>
      <c r="FJ24" s="172">
        <f>MIN(1,MAX(VLOOKUP(($AJ24-$AI24-$AH24-$AG24-$AF24-$AE24*(1+FJ$3))/$AJ24,'Технический лист'!$A:$B,2,1),(FI24-0.05)))</f>
        <v/>
      </c>
      <c r="FK24" s="172">
        <f>MIN(1,MAX(VLOOKUP(($AJ24-$AI24-$AH24-$AG24-$AF24-$AE24*(1+FK$3))/$AJ24,'Технический лист'!$A:$B,2,1),(FJ24-0.05)))</f>
        <v/>
      </c>
      <c r="FL24" s="172">
        <f>MIN(1,MAX(VLOOKUP(($AJ24-$AI24-$AH24-$AG24-$AF24-$AE24*(1+FL$3))/$AJ24,'Технический лист'!$A:$B,2,1),(FK24-0.05)))</f>
        <v/>
      </c>
      <c r="FM24" s="172">
        <f>MIN(1,MAX(VLOOKUP(($AJ24-$AI24-$AH24-$AG24-$AF24-$AE24*(1+FM$3))/$AJ24,'Технический лист'!$A:$B,2,1),(FL24-0.05)))</f>
        <v/>
      </c>
      <c r="FN24" s="172">
        <f>MIN(1,MAX(VLOOKUP(($AJ24-$AI24-$AH24-$AG24-$AF24-$AE24*(1+FN$3))/$AJ24,'Технический лист'!$A:$B,2,1),(FM24-0.05)))</f>
        <v/>
      </c>
      <c r="FO24" s="172">
        <f>MIN(1,MAX(VLOOKUP(($AJ24-$AI24-$AH24-$AG24-$AF24-$AE24*(1+FO$3))/$AJ24,'Технический лист'!$A:$B,2,1),(FN24-0.05)))</f>
        <v/>
      </c>
      <c r="FP24" s="172">
        <f>MIN(1,MAX(VLOOKUP(($AJ24-$AI24-$AH24-$AG24-$AF24-$AE24*(1+FP$3))/$AJ24,'Технический лист'!$A:$B,2,1),(FO24-0.05)))</f>
        <v/>
      </c>
      <c r="FQ24" s="172">
        <f>MIN(1,MAX(VLOOKUP(($AJ24-$AI24-$AH24-$AG24-$AF24-$AE24*(1+FQ$3))/$AJ24,'Технический лист'!$A:$B,2,1),(FP24-0.05)))</f>
        <v/>
      </c>
      <c r="FR24" s="172">
        <f>MIN(1,MAX(VLOOKUP(($AJ24-$AI24-$AH24-$AG24-$AF24-$AE24*(1+FR$3))/$AJ24,'Технический лист'!$A:$B,2,1),(FQ24-0.05)))</f>
        <v/>
      </c>
      <c r="FS24" s="172">
        <f>MIN(1,MAX(VLOOKUP(($AJ24-$AI24-$AH24-$AG24-$AF24-$AE24*(1+FS$3))/$AJ24,'Технический лист'!$A:$B,2,1),(FR24-0.05)))</f>
        <v/>
      </c>
      <c r="FT24" s="172">
        <f>MIN(1,MAX(VLOOKUP(($AJ24-$AI24-$AH24-$AG24-$AF24-$AE24*(1+FT$3))/$AJ24,'Технический лист'!$A:$B,2,1),(FS24-0.05)))</f>
        <v/>
      </c>
      <c r="FU24" s="172">
        <f>MIN(1,MAX(VLOOKUP(($AJ24-$AI24-$AH24-$AG24-$AF24-$AE24*(1+FU$3))/$AJ24,'Технический лист'!$A:$B,2,1),(FT24-0.05)))</f>
        <v/>
      </c>
      <c r="FV24" s="172">
        <f>MIN(1,MAX(VLOOKUP(($AJ24-$AI24-$AH24-$AG24-$AF24-$AE24*(1+FV$3))/$AJ24,'Технический лист'!$A:$B,2,1),(FU24-0.05)))</f>
        <v/>
      </c>
      <c r="FW24" s="172">
        <f>MIN(1,MAX(VLOOKUP(($AJ24-$AI24-$AH24-$AG24-$AF24-$AE24*(1+FW$3))/$AJ24,'Технический лист'!$A:$B,2,1),(FV24-0.05)))</f>
        <v/>
      </c>
      <c r="FX24" s="172">
        <f>MIN(1,MAX(VLOOKUP(($AJ24-$AI24-$AH24-$AG24-$AF24-$AE24*(1+FX$3))/$AJ24,'Технический лист'!$A:$B,2,1),(FW24-0.05)))</f>
        <v/>
      </c>
      <c r="FY24" s="172">
        <f>MIN(1,MAX(VLOOKUP(($AJ24-$AI24-$AH24-$AG24-$AF24-$AE24*(1+FY$3))/$AJ24,'Технический лист'!$A:$B,2,1),(FX24-0.05)))</f>
        <v/>
      </c>
      <c r="FZ24" s="172">
        <f>MIN(1,MAX(VLOOKUP(($AJ24-$AI24-$AH24-$AG24-$AF24-$AE24*(1+FZ$3))/$AJ24,'Технический лист'!$A:$B,2,1),(FY24-0.05)))</f>
        <v/>
      </c>
      <c r="GA24" s="172">
        <f>MIN(1,MAX(VLOOKUP(($AJ24-$AI24-$AH24-$AG24-$AF24-$AE24*(1+GA$3))/$AJ24,'Технический лист'!$A:$B,2,1),(FZ24-0.05)))</f>
        <v/>
      </c>
      <c r="GB24" s="172">
        <f>MIN(1,MAX(VLOOKUP(($AJ24-$AI24-$AH24-$AG24-$AF24-$AE24*(1+GB$3))/$AJ24,'Технический лист'!$A:$B,2,1),(GA24-0.05)))</f>
        <v/>
      </c>
      <c r="GC24" s="172">
        <f>MIN(1,MAX(VLOOKUP(($AJ24-$AI24-$AH24-$AG24-$AF24-$AE24*(1+GC$3))/$AJ24,'Технический лист'!$A:$B,2,1),(GB24-0.05)))</f>
        <v/>
      </c>
      <c r="GD24" s="172">
        <f>MIN(1,MAX(VLOOKUP(($AJ24-$AI24-$AH24-$AG24-$AF24-$AE24*(1+GD$3))/$AJ24,'Технический лист'!$A:$B,2,1),(GC24-0.05)))</f>
        <v/>
      </c>
      <c r="GE24" s="172">
        <f>MIN(1,MAX(VLOOKUP(($AJ24-$AI24-$AH24-$AG24-$AF24-$AE24*(1+GE$3))/$AJ24,'Технический лист'!$A:$B,2,1),(GD24-0.05)))</f>
        <v/>
      </c>
      <c r="GF24" s="172">
        <f>MIN(1,MAX(VLOOKUP(($AJ24-$AI24-$AH24-$AG24-$AF24-$AE24*(1+GF$3))/$AJ24,'Технический лист'!$A:$B,2,1),(GE24-0.05)))</f>
        <v/>
      </c>
      <c r="GG24" s="172">
        <f>MIN(1,MAX(VLOOKUP(($AJ24-$AI24-$AH24-$AG24-$AF24-$AE24*(1+GG$3))/$AJ24,'Технический лист'!$A:$B,2,1),(GF24-0.05)))</f>
        <v/>
      </c>
      <c r="GH24" s="172">
        <f>MIN(1,MAX(VLOOKUP(($AJ24-$AI24-$AH24-$AG24-$AF24-$AE24*(1+GH$3))/$AJ24,'Технический лист'!$A:$B,2,1),(GG24-0.05)))</f>
        <v/>
      </c>
      <c r="GI24" s="172">
        <f>MIN(1,MAX(VLOOKUP(($AJ24-$AI24-$AH24-$AG24-$AF24-$AE24*(1+GI$3))/$AJ24,'Технический лист'!$A:$B,2,1),(GH24-0.05)))</f>
        <v/>
      </c>
      <c r="GJ24" s="172">
        <f>MIN(1,MAX(VLOOKUP(($AJ24-$AI24-$AH24-$AG24-$AF24-$AE24*(1+GJ$3))/$AJ24,'Технический лист'!$A:$B,2,1),(GI24-0.05)))</f>
        <v/>
      </c>
      <c r="GK24" s="172">
        <f>MIN(1,MAX(VLOOKUP(($AJ24-$AI24-$AH24-$AG24-$AF24-$AE24*(1+GK$3))/$AJ24,'Технический лист'!$A:$B,2,1),(GJ24-0.05)))</f>
        <v/>
      </c>
      <c r="GL24" s="172">
        <f>MIN(1,MAX(VLOOKUP(($AJ24-$AI24-$AH24-$AG24-$AF24-$AE24*(1+GL$3))/$AJ24,'Технический лист'!$A:$B,2,1),(GK24-0.05)))</f>
        <v/>
      </c>
      <c r="GM24" s="172">
        <f>MIN(1,MAX(VLOOKUP(($AJ24-$AI24-$AH24-$AG24-$AF24-$AE24*(1+GM$3))/$AJ24,'Технический лист'!$A:$B,2,1),(GL24-0.05)))</f>
        <v/>
      </c>
      <c r="GN24" s="172">
        <f>MIN(1,MAX(VLOOKUP(($AJ24-$AI24-$AH24-$AG24-$AF24-$AE24*(1+GN$3))/$AJ24,'Технический лист'!$A:$B,2,1),(GM24-0.05)))</f>
        <v/>
      </c>
      <c r="GO24" s="172">
        <f>MIN(1,MAX(VLOOKUP(($AJ24-$AI24-$AH24-$AG24-$AF24-$AE24*(1+GO$3))/$AJ24,'Технический лист'!$A:$B,2,1),(GN24-0.05)))</f>
        <v/>
      </c>
      <c r="GP24" s="172">
        <f>MIN(1,MAX(VLOOKUP(($AJ24-$AI24-$AH24-$AG24-$AF24-$AE24*(1+GP$3))/$AJ24,'Технический лист'!$A:$B,2,1),(GO24-0.05)))</f>
        <v/>
      </c>
      <c r="GQ24" s="172">
        <f>MIN(1,MAX(VLOOKUP(($AJ24-$AI24-$AH24-$AG24-$AF24-$AE24*(1+GQ$3))/$AJ24,'Технический лист'!$A:$B,2,1),(GP24-0.05)))</f>
        <v/>
      </c>
      <c r="GR24" s="172">
        <f>MIN(1,MAX(VLOOKUP(($AJ24-$AI24-$AH24-$AG24-$AF24-$AE24*(1+GR$3))/$AJ24,'Технический лист'!$A:$B,2,1),(GQ24-0.05)))</f>
        <v/>
      </c>
      <c r="GS24" s="172">
        <f>MIN(1,MAX(VLOOKUP(($AJ24-$AI24-$AH24-$AG24-$AF24-$AE24*(1+GS$3))/$AJ24,'Технический лист'!$A:$B,2,1),(GR24-0.05)))</f>
        <v/>
      </c>
      <c r="GT24" s="172">
        <f>MIN(1,MAX(VLOOKUP(($AJ24-$AI24-$AH24-$AG24-$AF24-$AE24*(1+GT$3))/$AJ24,'Технический лист'!$A:$B,2,1),(GS24-0.05)))</f>
        <v/>
      </c>
      <c r="GU24" s="172">
        <f>MIN(1,MAX(VLOOKUP(($AJ24-$AI24-$AH24-$AG24-$AF24-$AE24*(1+GU$3))/$AJ24,'Технический лист'!$A:$B,2,1),(GT24-0.05)))</f>
        <v/>
      </c>
      <c r="GV24" s="172">
        <f>MIN(1,MAX(VLOOKUP(($AJ24-$AI24-$AH24-$AG24-$AF24-$AE24*(1+GV$3))/$AJ24,'Технический лист'!$A:$B,2,1),(GU24-0.05)))</f>
        <v/>
      </c>
      <c r="GW24" s="172">
        <f>MIN(1,MAX(VLOOKUP(($AJ24-$AI24-$AH24-$AG24-$AF24-$AE24*(1+GW$3))/$AJ24,'Технический лист'!$A:$B,2,1),(GV24-0.05)))</f>
        <v/>
      </c>
      <c r="GX24" s="172">
        <f>MIN(1,MAX(VLOOKUP(($AJ24-$AI24-$AH24-$AG24-$AF24-$AE24*(1+GX$3))/$AJ24,'Технический лист'!$A:$B,2,1),(GW24-0.05)))</f>
        <v/>
      </c>
      <c r="GY24" s="172">
        <f>MIN(1,MAX(VLOOKUP(($AJ24-$AI24-$AH24-$AG24-$AF24-$AE24*(1+GY$3))/$AJ24,'Технический лист'!$A:$B,2,1),(GX24-0.05)))</f>
        <v/>
      </c>
      <c r="GZ24" s="172">
        <f>MIN(1,MAX(VLOOKUP(($AJ24-$AI24-$AH24-$AG24-$AF24-$AE24*(1+GZ$3))/$AJ24,'Технический лист'!$A:$B,2,1),(GY24-0.05)))</f>
        <v/>
      </c>
      <c r="HA24" s="172">
        <f>MIN(1,MAX(VLOOKUP(($AJ24-$AI24-$AH24-$AG24-$AF24-$AE24*(1+HA$3))/$AJ24,'Технический лист'!$A:$B,2,1),(GZ24-0.05)))</f>
        <v/>
      </c>
      <c r="HB24" s="172">
        <f>MIN(1,MAX(VLOOKUP(($AJ24-$AI24-$AH24-$AG24-$AF24-$AE24*(1+HB$3))/$AJ24,'Технический лист'!$A:$B,2,1),(HA24-0.05)))</f>
        <v/>
      </c>
      <c r="HC24" s="172">
        <f>MIN(1,MAX(VLOOKUP(($AJ24-$AI24-$AH24-$AG24-$AF24-$AE24*(1+HC$3))/$AJ24,'Технический лист'!$A:$B,2,1),(HB24-0.05)))</f>
        <v/>
      </c>
      <c r="HD24" s="172">
        <f>MIN(1,MAX(VLOOKUP(($AJ24-$AI24-$AH24-$AG24-$AF24-$AE24*(1+HD$3))/$AJ24,'Технический лист'!$A:$B,2,1),(HC24-0.05)))</f>
        <v/>
      </c>
      <c r="HE24" s="172">
        <f>MIN(1,MAX(VLOOKUP(($AJ24-$AI24-$AH24-$AG24-$AF24-$AE24*(1+HE$3))/$AJ24,'Технический лист'!$A:$B,2,1),(HD24-0.05)))</f>
        <v/>
      </c>
      <c r="HF24" s="172">
        <f>MIN(1,MAX(VLOOKUP(($AJ24-$AI24-$AH24-$AG24-$AF24-$AE24*(1+HF$3))/$AJ24,'Технический лист'!$A:$B,2,1),(HE24-0.05)))</f>
        <v/>
      </c>
      <c r="HG24" s="172">
        <f>MIN(1,MAX(VLOOKUP(($AJ24-$AI24-$AH24-$AG24-$AF24-$AE24*(1+HG$3))/$AJ24,'Технический лист'!$A:$B,2,1),(HF24-0.05)))</f>
        <v/>
      </c>
      <c r="HH24" s="172">
        <f>MIN(1,MAX(VLOOKUP(($AJ24-$AI24-$AH24-$AG24-$AF24-$AE24*(1+HH$3))/$AJ24,'Технический лист'!$A:$B,2,1),(HG24-0.05)))</f>
        <v/>
      </c>
      <c r="HI24" s="172">
        <f>MIN(1,MAX(VLOOKUP(($AJ24-$AI24-$AH24-$AG24-$AF24-$AE24*(1+HI$3))/$AJ24,'Технический лист'!$A:$B,2,1),(HH24-0.05)))</f>
        <v/>
      </c>
      <c r="HJ24" s="172">
        <f>MIN(1,MAX(VLOOKUP(($AJ24-$AI24-$AH24-$AG24-$AF24-$AE24*(1+HJ$3))/$AJ24,'Технический лист'!$A:$B,2,1),(HI24-0.05)))</f>
        <v/>
      </c>
      <c r="HK24" s="172">
        <f>MIN(1,MAX(VLOOKUP(($AJ24-$AI24-$AH24-$AG24-$AF24-$AE24*(1+HK$3))/$AJ24,'Технический лист'!$A:$B,2,1),(HJ24-0.05)))</f>
        <v/>
      </c>
      <c r="HL24" s="172">
        <f>MIN(1,MAX(VLOOKUP(($AJ24-$AI24-$AH24-$AG24-$AF24-$AE24*(1+HL$3))/$AJ24,'Технический лист'!$A:$B,2,1),(HK24-0.05)))</f>
        <v/>
      </c>
      <c r="HM24" s="172">
        <f>MIN(1,MAX(VLOOKUP(($AJ24-$AI24-$AH24-$AG24-$AF24-$AE24*(1+HM$3))/$AJ24,'Технический лист'!$A:$B,2,1),(HL24-0.05)))</f>
        <v/>
      </c>
      <c r="HN24" s="172">
        <f>MIN(1,MAX(VLOOKUP(($AJ24-$AI24-$AH24-$AG24-$AF24-$AE24*(1+HN$3))/$AJ24,'Технический лист'!$A:$B,2,1),(HM24-0.05)))</f>
        <v/>
      </c>
      <c r="HO24" s="172">
        <f>MIN(1,MAX(VLOOKUP(($AJ24-$AI24-$AH24-$AG24-$AF24-$AE24*(1+HO$3))/$AJ24,'Технический лист'!$A:$B,2,1),(HN24-0.05)))</f>
        <v/>
      </c>
      <c r="HP24" s="172">
        <f>MIN(1,MAX(VLOOKUP(($AJ24-$AI24-$AH24-$AG24-$AF24-$AE24*(1+HP$3))/$AJ24,'Технический лист'!$A:$B,2,1),(HO24-0.05)))</f>
        <v/>
      </c>
      <c r="HQ24" s="172">
        <f>MIN(1,MAX(VLOOKUP(($AJ24-$AI24-$AH24-$AG24-$AF24-$AE24*(1+HQ$3))/$AJ24,'Технический лист'!$A:$B,2,1),(HP24-0.05)))</f>
        <v/>
      </c>
      <c r="HR24" s="172">
        <f>MIN(1,MAX(VLOOKUP(($AJ24-$AI24-$AH24-$AG24-$AF24-$AE24*(1+HR$3))/$AJ24,'Технический лист'!$A:$B,2,1),(HQ24-0.05)))</f>
        <v/>
      </c>
      <c r="HS24" s="172">
        <f>MIN(1,MAX(VLOOKUP(($AJ24-$AI24-$AH24-$AG24-$AF24-$AE24*(1+HS$3))/$AJ24,'Технический лист'!$A:$B,2,1),(HR24-0.05)))</f>
        <v/>
      </c>
      <c r="HT24" s="172">
        <f>MIN(1,MAX(VLOOKUP(($AJ24-$AI24-$AH24-$AG24-$AF24-$AE24*(1+HT$3))/$AJ24,'Технический лист'!$A:$B,2,1),(HS24-0.05)))</f>
        <v/>
      </c>
      <c r="HU24" s="172">
        <f>MIN(1,MAX(VLOOKUP(($AJ24-$AI24-$AH24-$AG24-$AF24-$AE24*(1+HU$3))/$AJ24,'Технический лист'!$A:$B,2,1),(HT24-0.05)))</f>
        <v/>
      </c>
      <c r="HV24" s="172">
        <f>MIN(1,MAX(VLOOKUP(($AJ24-$AI24-$AH24-$AG24-$AF24-$AE24*(1+HV$3))/$AJ24,'Технический лист'!$A:$B,2,1),(HU24-0.05)))</f>
        <v/>
      </c>
      <c r="HW24" s="172">
        <f>MIN(1,MAX(VLOOKUP(($AJ24-$AI24-$AH24-$AG24-$AF24-$AE24*(1+HW$3))/$AJ24,'Технический лист'!$A:$B,2,1),(HV24-0.05)))</f>
        <v/>
      </c>
      <c r="HX24" s="172">
        <f>MIN(1,MAX(VLOOKUP(($AJ24-$AI24-$AH24-$AG24-$AF24-$AE24*(1+HX$3))/$AJ24,'Технический лист'!$A:$B,2,1),(HW24-0.05)))</f>
        <v/>
      </c>
      <c r="HY24" s="172">
        <f>MIN(1,MAX(VLOOKUP(($AJ24-$AI24-$AH24-$AG24-$AF24-$AE24*(1+HY$3))/$AJ24,'Технический лист'!$A:$B,2,1),(HX24-0.05)))</f>
        <v/>
      </c>
      <c r="HZ24" s="172">
        <f>MIN(1,MAX(VLOOKUP(($AJ24-$AI24-$AH24-$AG24-$AF24-$AE24*(1+HZ$3))/$AJ24,'Технический лист'!$A:$B,2,1),(HY24-0.05)))</f>
        <v/>
      </c>
      <c r="IA24" s="172">
        <f>MIN(1,MAX(VLOOKUP(($AJ24-$AI24-$AH24-$AG24-$AF24-$AE24*(1+IA$3))/$AJ24,'Технический лист'!$A:$B,2,1),(HZ24-0.05)))</f>
        <v/>
      </c>
      <c r="IB24" s="172">
        <f>MIN(1,MAX(VLOOKUP(($AJ24-$AI24-$AH24-$AG24-$AF24-$AE24*(1+IB$3))/$AJ24,'Технический лист'!$A:$B,2,1),(IA24-0.05)))</f>
        <v/>
      </c>
      <c r="IC24" s="172">
        <f>MIN(1,MAX(VLOOKUP(($AJ24-$AI24-$AH24-$AG24-$AF24-$AE24*(1+IC$3))/$AJ24,'Технический лист'!$A:$B,2,1),(IB24-0.05)))</f>
        <v/>
      </c>
      <c r="ID24" s="172">
        <f>MIN(1,MAX(VLOOKUP(($AJ24-$AI24-$AH24-$AG24-$AF24-$AE24*(1+ID$3))/$AJ24,'Технический лист'!$A:$B,2,1),(IC24-0.05)))</f>
        <v/>
      </c>
      <c r="IE24" s="172">
        <f>MIN(1,MAX(VLOOKUP(($AJ24-$AI24-$AH24-$AG24-$AF24-$AE24*(1+IE$3))/$AJ24,'Технический лист'!$A:$B,2,1),(ID24-0.05)))</f>
        <v/>
      </c>
      <c r="IF24" s="172">
        <f>MIN(1,MAX(VLOOKUP(($AJ24-$AI24-$AH24-$AG24-$AF24-$AE24*(1+IF$3))/$AJ24,'Технический лист'!$A:$B,2,1),(IE24-0.05)))</f>
        <v/>
      </c>
      <c r="IG24" s="172">
        <f>MIN(1,MAX(VLOOKUP(($AJ24-$AI24-$AH24-$AG24-$AF24-$AE24*(1+IG$3))/$AJ24,'Технический лист'!$A:$B,2,1),(IF24-0.05)))</f>
        <v/>
      </c>
      <c r="IH24" s="172">
        <f>MIN(1,MAX(VLOOKUP(($AJ24-$AI24-$AH24-$AG24-$AF24-$AE24*(1+IH$3))/$AJ24,'Технический лист'!$A:$B,2,1),(IG24-0.05)))</f>
        <v/>
      </c>
      <c r="II24" s="172">
        <f>MIN(1,MAX(VLOOKUP(($AJ24-$AI24-$AH24-$AG24-$AF24-$AE24*(1+II$3))/$AJ24,'Технический лист'!$A:$B,2,1),(IH24-0.05)))</f>
        <v/>
      </c>
      <c r="IJ24" s="172">
        <f>MIN(1,MAX(VLOOKUP(($AJ24-$AI24-$AH24-$AG24-$AF24-$AE24*(1+IJ$3))/$AJ24,'Технический лист'!$A:$B,2,1),(II24-0.05)))</f>
        <v/>
      </c>
      <c r="IK24" s="172">
        <f>MIN(1,MAX(VLOOKUP(($AJ24-$AI24-$AH24-$AG24-$AF24-$AE24*(1+IK$3))/$AJ24,'Технический лист'!$A:$B,2,1),(IJ24-0.05)))</f>
        <v/>
      </c>
      <c r="IL24" s="172">
        <f>MIN(1,MAX(VLOOKUP(($AJ24-$AI24-$AH24-$AG24-$AF24-$AE24*(1+IL$3))/$AJ24,'Технический лист'!$A:$B,2,1),(IK24-0.05)))</f>
        <v/>
      </c>
      <c r="IM24" s="172">
        <f>MIN(1,MAX(VLOOKUP(($AJ24-$AI24-$AH24-$AG24-$AF24-$AE24*(1+IM$3))/$AJ24,'Технический лист'!$A:$B,2,1),(IL24-0.05)))</f>
        <v/>
      </c>
      <c r="IN24" s="172">
        <f>MIN(1,MAX(VLOOKUP(($AJ24-$AI24-$AH24-$AG24-$AF24-$AE24*(1+IN$3))/$AJ24,'Технический лист'!$A:$B,2,1),(IM24-0.05)))</f>
        <v/>
      </c>
      <c r="IO24" s="172">
        <f>MIN(1,MAX(VLOOKUP(($AJ24-$AI24-$AH24-$AG24-$AF24-$AE24*(1+IO$3))/$AJ24,'Технический лист'!$A:$B,2,1),(IN24-0.05)))</f>
        <v/>
      </c>
      <c r="IP24" s="172">
        <f>MIN(1,MAX(VLOOKUP(($AJ24-$AI24-$AH24-$AG24-$AF24-$AE24*(1+IP$3))/$AJ24,'Технический лист'!$A:$B,2,1),(IO24-0.05)))</f>
        <v/>
      </c>
      <c r="IQ24" s="172">
        <f>MIN(1,MAX(VLOOKUP(($AJ24-$AI24-$AH24-$AG24-$AF24-$AE24*(1+IQ$3))/$AJ24,'Технический лист'!$A:$B,2,1),(IP24-0.05)))</f>
        <v/>
      </c>
      <c r="IR24" s="172">
        <f>MIN(1,MAX(VLOOKUP(($AJ24-$AI24-$AH24-$AG24-$AF24-$AE24*(1+IR$3))/$AJ24,'Технический лист'!$A:$B,2,1),(IQ24-0.05)))</f>
        <v/>
      </c>
    </row>
    <row r="25" ht="45" customHeight="1" s="123">
      <c r="A25" s="89" t="inlineStr">
        <is>
          <t>ЧМ (сырье)</t>
        </is>
      </c>
      <c r="B25" s="90" t="n">
        <v>2</v>
      </c>
      <c r="C25" s="5" t="inlineStr">
        <is>
          <t>Кокс каменноугольный</t>
        </is>
      </c>
      <c r="D25" s="91" t="n">
        <v>17108</v>
      </c>
      <c r="E25" s="91" t="inlineStr">
        <is>
          <t xml:space="preserve">Кокс литейный КЛ-3 </t>
        </is>
      </c>
      <c r="F25" s="92" t="inlineStr">
        <is>
          <t>КОКС КАМЕННОУГОЛЬНЫЙ</t>
        </is>
      </c>
      <c r="G25" s="91" t="inlineStr">
        <is>
          <t>МСК</t>
        </is>
      </c>
      <c r="H25" s="91" t="inlineStr">
        <is>
          <t>СВР</t>
        </is>
      </c>
      <c r="I25" s="91" t="inlineStr">
        <is>
          <t>БИРЮЛЕВО-ТОВ</t>
        </is>
      </c>
      <c r="J25" s="91" t="inlineStr">
        <is>
          <t>СМЫЧКА</t>
        </is>
      </c>
      <c r="K25" s="91" t="n">
        <v>2303</v>
      </c>
      <c r="L25" s="91" t="inlineStr">
        <is>
          <t>Полувагоны</t>
        </is>
      </c>
      <c r="M25" s="91" t="inlineStr">
        <is>
          <t>Внутр. перевозки</t>
        </is>
      </c>
      <c r="N25" s="91" t="inlineStr">
        <is>
          <t>вагонная</t>
        </is>
      </c>
      <c r="O25" s="91" t="inlineStr">
        <is>
          <t xml:space="preserve">Южное </t>
        </is>
      </c>
      <c r="P25" s="89" t="inlineStr">
        <is>
          <t>'000000187852</t>
        </is>
      </c>
      <c r="Q25" s="91" t="inlineStr">
        <is>
          <t>'АО "Московский Коксогазовый Завод"</t>
        </is>
      </c>
      <c r="R25" s="91" t="inlineStr">
        <is>
          <t>ПАО "Мечел"</t>
        </is>
      </c>
      <c r="S25" s="87" t="n">
        <v>51703</v>
      </c>
      <c r="T25" s="87" t="n">
        <v>119081287</v>
      </c>
      <c r="U25" s="88" t="n">
        <v>1039</v>
      </c>
      <c r="V25" s="88" t="n">
        <v>0</v>
      </c>
      <c r="W25" s="87" t="n">
        <v>80898804</v>
      </c>
      <c r="X25" s="112" t="n">
        <v>51</v>
      </c>
      <c r="Y25" s="112" t="inlineStr">
        <is>
          <t>групповая</t>
        </is>
      </c>
      <c r="Z25" s="113" t="n">
        <v>9</v>
      </c>
      <c r="AA25" s="113" t="n">
        <v>7</v>
      </c>
      <c r="AB25" s="113" t="n">
        <v>4</v>
      </c>
      <c r="AC25" s="161" t="n">
        <v>1695.49</v>
      </c>
      <c r="AD25" s="161">
        <f>AE25-AC25</f>
        <v/>
      </c>
      <c r="AE25" s="161" t="n">
        <v>2402.31</v>
      </c>
      <c r="AF25" s="162">
        <f>(Z25+AA25+AB25)*'Ставки аренды'!$B$3/X25</f>
        <v/>
      </c>
      <c r="AG25" s="163" t="n">
        <v>0</v>
      </c>
      <c r="AH25" s="164" t="n">
        <v>0</v>
      </c>
      <c r="AI25" s="165">
        <f>1.01*AJ25</f>
        <v/>
      </c>
      <c r="AJ25" s="166">
        <f>Цены!$D$9</f>
        <v/>
      </c>
      <c r="AK25" s="164">
        <f>AJ25/Цены!$B$1</f>
        <v/>
      </c>
      <c r="AL25" s="164">
        <f>AE25+AF25+AG25</f>
        <v/>
      </c>
      <c r="AM25" s="164">
        <f>AJ25-AL25</f>
        <v/>
      </c>
      <c r="AN25" s="164">
        <f>AI25+AH25+AG25+AF25+AE25</f>
        <v/>
      </c>
      <c r="AO25" s="167">
        <f>(AJ25-AN25)/AJ25</f>
        <v/>
      </c>
      <c r="AP25" s="168">
        <f>AL25/AJ25</f>
        <v/>
      </c>
      <c r="AQ25" s="168">
        <f>AE25/AJ25</f>
        <v/>
      </c>
      <c r="AR25" s="168">
        <f>AE25/AL25</f>
        <v/>
      </c>
      <c r="AS25" s="169" t="n">
        <v>1</v>
      </c>
      <c r="AT25" s="121">
        <f>S25*AS25</f>
        <v/>
      </c>
      <c r="AU25" s="83" t="n">
        <v>0.95</v>
      </c>
      <c r="AV25" s="170">
        <f>(AJ25-(AE25*(1+$IS$2)+AF25+AG25+AH25+AI25))/AJ25</f>
        <v/>
      </c>
      <c r="AW25" s="171">
        <f>(AE25*(1+$IS$2)+AF25+AG25)/AJ25</f>
        <v/>
      </c>
      <c r="AX25" s="171">
        <f>(AE25*(1+$IS$2))/AJ25</f>
        <v/>
      </c>
      <c r="AY25" s="171">
        <f>(AE25*(1+$IS$2))/(AE25*(1+$IS$2)+AF25+AG25)</f>
        <v/>
      </c>
      <c r="AZ25" s="172">
        <f>MIN(IF($AU25=100%,1,1+VLOOKUP(($AJ25-$AI25-$AH25-$AG25-$AF25-$AE25*(1+AZ$3))/$AJ25,'Технический лист'!$A:$B,2,1)-VLOOKUP($AO25,'Технический лист'!$A:$B,2,1)),1+(1-$AU25))</f>
        <v/>
      </c>
      <c r="BA25" s="172">
        <f>MIN(IF($AU25=100%,1,1+VLOOKUP(($AJ25-$AI25-$AH25-$AG25-$AF25-$AE25*(1+BA$3))/$AJ25,'Технический лист'!$A:$B,2,1)-VLOOKUP($AO25,'Технический лист'!$A:$B,2,1)),1+(1-$AU25))</f>
        <v/>
      </c>
      <c r="BB25" s="172">
        <f>MIN(IF($AU25=100%,1,1+VLOOKUP(($AJ25-$AI25-$AH25-$AG25-$AF25-$AE25*(1+BB$3))/$AJ25,'Технический лист'!$A:$B,2,1)-VLOOKUP($AO25,'Технический лист'!$A:$B,2,1)),1+(1-$AU25))</f>
        <v/>
      </c>
      <c r="BC25" s="172">
        <f>MIN(IF($AU25=100%,1,1+VLOOKUP(($AJ25-$AI25-$AH25-$AG25-$AF25-$AE25*(1+BC$3))/$AJ25,'Технический лист'!$A:$B,2,1)-VLOOKUP($AO25,'Технический лист'!$A:$B,2,1)),1+(1-$AU25))</f>
        <v/>
      </c>
      <c r="BD25" s="172">
        <f>MIN(IF($AU25=100%,1,1+VLOOKUP(($AJ25-$AI25-$AH25-$AG25-$AF25-$AE25*(1+BD$3))/$AJ25,'Технический лист'!$A:$B,2,1)-VLOOKUP($AO25,'Технический лист'!$A:$B,2,1)),1+(1-$AU25))</f>
        <v/>
      </c>
      <c r="BE25" s="172">
        <f>MIN(IF($AU25=100%,1,1+VLOOKUP(($AJ25-$AI25-$AH25-$AG25-$AF25-$AE25*(1+BE$3))/$AJ25,'Технический лист'!$A:$B,2,1)-VLOOKUP($AO25,'Технический лист'!$A:$B,2,1)),1+(1-$AU25))</f>
        <v/>
      </c>
      <c r="BF25" s="172">
        <f>MIN(IF($AU25=100%,1,1+VLOOKUP(($AJ25-$AI25-$AH25-$AG25-$AF25-$AE25*(1+BF$3))/$AJ25,'Технический лист'!$A:$B,2,1)-VLOOKUP($AO25,'Технический лист'!$A:$B,2,1)),1+(1-$AU25))</f>
        <v/>
      </c>
      <c r="BG25" s="172">
        <f>MIN(IF($AU25=100%,1,1+VLOOKUP(($AJ25-$AI25-$AH25-$AG25-$AF25-$AE25*(1+BG$3))/$AJ25,'Технический лист'!$A:$B,2,1)-VLOOKUP($AO25,'Технический лист'!$A:$B,2,1)),1+(1-$AU25))</f>
        <v/>
      </c>
      <c r="BH25" s="172">
        <f>MIN(IF($AU25=100%,1,1+VLOOKUP(($AJ25-$AI25-$AH25-$AG25-$AF25-$AE25*(1+BH$3))/$AJ25,'Технический лист'!$A:$B,2,1)-VLOOKUP($AO25,'Технический лист'!$A:$B,2,1)),1+(1-$AU25))</f>
        <v/>
      </c>
      <c r="BI25" s="172">
        <f>MIN(IF($AU25=100%,1,1+VLOOKUP(($AJ25-$AI25-$AH25-$AG25-$AF25-$AE25*(1+BI$3))/$AJ25,'Технический лист'!$A:$B,2,1)-VLOOKUP($AO25,'Технический лист'!$A:$B,2,1)),1+(1-$AU25))</f>
        <v/>
      </c>
      <c r="BJ25" s="172">
        <f>MIN(IF($AU25=100%,1,1+VLOOKUP(($AJ25-$AI25-$AH25-$AG25-$AF25-$AE25*(1+BJ$3))/$AJ25,'Технический лист'!$A:$B,2,1)-VLOOKUP($AO25,'Технический лист'!$A:$B,2,1)),1+(1-$AU25))</f>
        <v/>
      </c>
      <c r="BK25" s="172">
        <f>MIN(IF($AU25=100%,1,1+VLOOKUP(($AJ25-$AI25-$AH25-$AG25-$AF25-$AE25*(1+BK$3))/$AJ25,'Технический лист'!$A:$B,2,1)-VLOOKUP($AO25,'Технический лист'!$A:$B,2,1)),1+(1-$AU25))</f>
        <v/>
      </c>
      <c r="BL25" s="172">
        <f>MIN(IF($AU25=100%,1,1+VLOOKUP(($AJ25-$AI25-$AH25-$AG25-$AF25-$AE25*(1+BL$3))/$AJ25,'Технический лист'!$A:$B,2,1)-VLOOKUP($AO25,'Технический лист'!$A:$B,2,1)),1+(1-$AU25))</f>
        <v/>
      </c>
      <c r="BM25" s="172">
        <f>MIN(IF($AU25=100%,1,1+VLOOKUP(($AJ25-$AI25-$AH25-$AG25-$AF25-$AE25*(1+BM$3))/$AJ25,'Технический лист'!$A:$B,2,1)-VLOOKUP($AO25,'Технический лист'!$A:$B,2,1)),1+(1-$AU25))</f>
        <v/>
      </c>
      <c r="BN25" s="172">
        <f>MIN(IF($AU25=100%,1,1+VLOOKUP(($AJ25-$AI25-$AH25-$AG25-$AF25-$AE25*(1+BN$3))/$AJ25,'Технический лист'!$A:$B,2,1)-VLOOKUP($AO25,'Технический лист'!$A:$B,2,1)),1+(1-$AU25))</f>
        <v/>
      </c>
      <c r="BO25" s="172">
        <f>MIN(IF($AU25=100%,1,1+VLOOKUP(($AJ25-$AI25-$AH25-$AG25-$AF25-$AE25*(1+BO$3))/$AJ25,'Технический лист'!$A:$B,2,1)-VLOOKUP($AO25,'Технический лист'!$A:$B,2,1)),1+(1-$AU25))</f>
        <v/>
      </c>
      <c r="BP25" s="172">
        <f>MIN(IF($AU25=100%,1,1+VLOOKUP(($AJ25-$AI25-$AH25-$AG25-$AF25-$AE25*(1+BP$3))/$AJ25,'Технический лист'!$A:$B,2,1)-VLOOKUP($AO25,'Технический лист'!$A:$B,2,1)),1+(1-$AU25))</f>
        <v/>
      </c>
      <c r="BQ25" s="172">
        <f>MIN(IF($AU25=100%,1,1+VLOOKUP(($AJ25-$AI25-$AH25-$AG25-$AF25-$AE25*(1+BQ$3))/$AJ25,'Технический лист'!$A:$B,2,1)-VLOOKUP($AO25,'Технический лист'!$A:$B,2,1)),1+(1-$AU25))</f>
        <v/>
      </c>
      <c r="BR25" s="172">
        <f>MIN(IF($AU25=100%,1,1+VLOOKUP(($AJ25-$AI25-$AH25-$AG25-$AF25-$AE25*(1+BR$3))/$AJ25,'Технический лист'!$A:$B,2,1)-VLOOKUP($AO25,'Технический лист'!$A:$B,2,1)),1+(1-$AU25))</f>
        <v/>
      </c>
      <c r="BS25" s="172">
        <f>MIN(IF($AU25=100%,1,1+VLOOKUP(($AJ25-$AI25-$AH25-$AG25-$AF25-$AE25*(1+BS$3))/$AJ25,'Технический лист'!$A:$B,2,1)-VLOOKUP($AO25,'Технический лист'!$A:$B,2,1)),1+(1-$AU25))</f>
        <v/>
      </c>
      <c r="BT25" s="172">
        <f>MIN(IF($AU25=100%,1,1+VLOOKUP(($AJ25-$AI25-$AH25-$AG25-$AF25-$AE25*(1+BT$3))/$AJ25,'Технический лист'!$A:$B,2,1)-VLOOKUP($AO25,'Технический лист'!$A:$B,2,1)),1+(1-$AU25))</f>
        <v/>
      </c>
      <c r="BU25" s="172">
        <f>MIN(IF($AU25=100%,1,1+VLOOKUP(($AJ25-$AI25-$AH25-$AG25-$AF25-$AE25*(1+BU$3))/$AJ25,'Технический лист'!$A:$B,2,1)-VLOOKUP($AO25,'Технический лист'!$A:$B,2,1)),1+(1-$AU25))</f>
        <v/>
      </c>
      <c r="BV25" s="172">
        <f>MIN(IF($AU25=100%,1,1+VLOOKUP(($AJ25-$AI25-$AH25-$AG25-$AF25-$AE25*(1+BV$3))/$AJ25,'Технический лист'!$A:$B,2,1)-VLOOKUP($AO25,'Технический лист'!$A:$B,2,1)),1+(1-$AU25))</f>
        <v/>
      </c>
      <c r="BW25" s="172">
        <f>MIN(IF($AU25=100%,1,1+VLOOKUP(($AJ25-$AI25-$AH25-$AG25-$AF25-$AE25*(1+BW$3))/$AJ25,'Технический лист'!$A:$B,2,1)-VLOOKUP($AO25,'Технический лист'!$A:$B,2,1)),1+(1-$AU25))</f>
        <v/>
      </c>
      <c r="BX25" s="172">
        <f>MIN(IF($AU25=100%,1,1+VLOOKUP(($AJ25-$AI25-$AH25-$AG25-$AF25-$AE25*(1+BX$3))/$AJ25,'Технический лист'!$A:$B,2,1)-VLOOKUP($AO25,'Технический лист'!$A:$B,2,1)),1+(1-$AU25))</f>
        <v/>
      </c>
      <c r="BY25" s="172">
        <f>MIN(IF($AU25=100%,1,1+VLOOKUP(($AJ25-$AI25-$AH25-$AG25-$AF25-$AE25*(1+BY$3))/$AJ25,'Технический лист'!$A:$B,2,1)-VLOOKUP($AO25,'Технический лист'!$A:$B,2,1)),1+(1-$AU25))</f>
        <v/>
      </c>
      <c r="BZ25" s="172">
        <f>MIN(IF($AU25=100%,1,1+VLOOKUP(($AJ25-$AI25-$AH25-$AG25-$AF25-$AE25*(1+BZ$3))/$AJ25,'Технический лист'!$A:$B,2,1)-VLOOKUP($AO25,'Технический лист'!$A:$B,2,1)),1+(1-$AU25))</f>
        <v/>
      </c>
      <c r="CA25" s="172">
        <f>MIN(IF($AU25=100%,1,1+VLOOKUP(($AJ25-$AI25-$AH25-$AG25-$AF25-$AE25*(1+CA$3))/$AJ25,'Технический лист'!$A:$B,2,1)-VLOOKUP($AO25,'Технический лист'!$A:$B,2,1)),1+(1-$AU25))</f>
        <v/>
      </c>
      <c r="CB25" s="172">
        <f>MIN(IF($AU25=100%,1,1+VLOOKUP(($AJ25-$AI25-$AH25-$AG25-$AF25-$AE25*(1+CB$3))/$AJ25,'Технический лист'!$A:$B,2,1)-VLOOKUP($AO25,'Технический лист'!$A:$B,2,1)),1+(1-$AU25))</f>
        <v/>
      </c>
      <c r="CC25" s="172">
        <f>MIN(IF($AU25=100%,1,1+VLOOKUP(($AJ25-$AI25-$AH25-$AG25-$AF25-$AE25*(1+CC$3))/$AJ25,'Технический лист'!$A:$B,2,1)-VLOOKUP($AO25,'Технический лист'!$A:$B,2,1)),1+(1-$AU25))</f>
        <v/>
      </c>
      <c r="CD25" s="172">
        <f>MIN(IF($AU25=100%,1,1+VLOOKUP(($AJ25-$AI25-$AH25-$AG25-$AF25-$AE25*(1+CD$3))/$AJ25,'Технический лист'!$A:$B,2,1)-VLOOKUP($AO25,'Технический лист'!$A:$B,2,1)),1+(1-$AU25))</f>
        <v/>
      </c>
      <c r="CE25" s="172">
        <f>MIN(IF($AU25=100%,1,1+VLOOKUP(($AJ25-$AI25-$AH25-$AG25-$AF25-$AE25*(1+CE$3))/$AJ25,'Технический лист'!$A:$B,2,1)-VLOOKUP($AO25,'Технический лист'!$A:$B,2,1)),1+(1-$AU25))</f>
        <v/>
      </c>
      <c r="CF25" s="172">
        <f>MIN(IF($AU25=100%,1,1+VLOOKUP(($AJ25-$AI25-$AH25-$AG25-$AF25-$AE25*(1+CF$3))/$AJ25,'Технический лист'!$A:$B,2,1)-VLOOKUP($AO25,'Технический лист'!$A:$B,2,1)),1+(1-$AU25))</f>
        <v/>
      </c>
      <c r="CG25" s="172">
        <f>MIN(IF($AU25=100%,1,1+VLOOKUP(($AJ25-$AI25-$AH25-$AG25-$AF25-$AE25*(1+CG$3))/$AJ25,'Технический лист'!$A:$B,2,1)-VLOOKUP($AO25,'Технический лист'!$A:$B,2,1)),1+(1-$AU25))</f>
        <v/>
      </c>
      <c r="CH25" s="172">
        <f>MIN(IF($AU25=100%,1,1+VLOOKUP(($AJ25-$AI25-$AH25-$AG25-$AF25-$AE25*(1+CH$3))/$AJ25,'Технический лист'!$A:$B,2,1)-VLOOKUP($AO25,'Технический лист'!$A:$B,2,1)),1+(1-$AU25))</f>
        <v/>
      </c>
      <c r="CI25" s="172">
        <f>MIN(IF($AU25=100%,1,1+VLOOKUP(($AJ25-$AI25-$AH25-$AG25-$AF25-$AE25*(1+CI$3))/$AJ25,'Технический лист'!$A:$B,2,1)-VLOOKUP($AO25,'Технический лист'!$A:$B,2,1)),1+(1-$AU25))</f>
        <v/>
      </c>
      <c r="CJ25" s="172">
        <f>MIN(IF($AU25=100%,1,1+VLOOKUP(($AJ25-$AI25-$AH25-$AG25-$AF25-$AE25*(1+CJ$3))/$AJ25,'Технический лист'!$A:$B,2,1)-VLOOKUP($AO25,'Технический лист'!$A:$B,2,1)),1+(1-$AU25))</f>
        <v/>
      </c>
      <c r="CK25" s="172">
        <f>MIN(IF($AU25=100%,1,1+VLOOKUP(($AJ25-$AI25-$AH25-$AG25-$AF25-$AE25*(1+CK$3))/$AJ25,'Технический лист'!$A:$B,2,1)-VLOOKUP($AO25,'Технический лист'!$A:$B,2,1)),1+(1-$AU25))</f>
        <v/>
      </c>
      <c r="CL25" s="172">
        <f>MIN(IF($AU25=100%,1,1+VLOOKUP(($AJ25-$AI25-$AH25-$AG25-$AF25-$AE25*(1+CL$3))/$AJ25,'Технический лист'!$A:$B,2,1)-VLOOKUP($AO25,'Технический лист'!$A:$B,2,1)),1+(1-$AU25))</f>
        <v/>
      </c>
      <c r="CM25" s="172">
        <f>MIN(IF($AU25=100%,1,1+VLOOKUP(($AJ25-$AI25-$AH25-$AG25-$AF25-$AE25*(1+CM$3))/$AJ25,'Технический лист'!$A:$B,2,1)-VLOOKUP($AO25,'Технический лист'!$A:$B,2,1)),1+(1-$AU25))</f>
        <v/>
      </c>
      <c r="CN25" s="172">
        <f>MIN(IF($AU25=100%,1,1+VLOOKUP(($AJ25-$AI25-$AH25-$AG25-$AF25-$AE25*(1+CN$3))/$AJ25,'Технический лист'!$A:$B,2,1)-VLOOKUP($AO25,'Технический лист'!$A:$B,2,1)),1+(1-$AU25))</f>
        <v/>
      </c>
      <c r="CO25" s="172">
        <f>MIN(IF($AU25=100%,1,1+VLOOKUP(($AJ25-$AI25-$AH25-$AG25-$AF25-$AE25*(1+CO$3))/$AJ25,'Технический лист'!$A:$B,2,1)-VLOOKUP($AO25,'Технический лист'!$A:$B,2,1)),1+(1-$AU25))</f>
        <v/>
      </c>
      <c r="CP25" s="172">
        <f>MIN(IF($AU25=100%,1,1+VLOOKUP(($AJ25-$AI25-$AH25-$AG25-$AF25-$AE25*(1+CP$3))/$AJ25,'Технический лист'!$A:$B,2,1)-VLOOKUP($AO25,'Технический лист'!$A:$B,2,1)),1+(1-$AU25))</f>
        <v/>
      </c>
      <c r="CQ25" s="172">
        <f>MIN(IF($AU25=100%,1,1+VLOOKUP(($AJ25-$AI25-$AH25-$AG25-$AF25-$AE25*(1+CQ$3))/$AJ25,'Технический лист'!$A:$B,2,1)-VLOOKUP($AO25,'Технический лист'!$A:$B,2,1)),1+(1-$AU25))</f>
        <v/>
      </c>
      <c r="CR25" s="172">
        <f>MIN(IF($AU25=100%,1,1+VLOOKUP(($AJ25-$AI25-$AH25-$AG25-$AF25-$AE25*(1+CR$3))/$AJ25,'Технический лист'!$A:$B,2,1)-VLOOKUP($AO25,'Технический лист'!$A:$B,2,1)),1+(1-$AU25))</f>
        <v/>
      </c>
      <c r="CS25" s="172">
        <f>MIN(IF($AU25=100%,1,1+VLOOKUP(($AJ25-$AI25-$AH25-$AG25-$AF25-$AE25*(1+CS$3))/$AJ25,'Технический лист'!$A:$B,2,1)-VLOOKUP($AO25,'Технический лист'!$A:$B,2,1)),1+(1-$AU25))</f>
        <v/>
      </c>
      <c r="CT25" s="172">
        <f>MIN(IF($AU25=100%,1,1+VLOOKUP(($AJ25-$AI25-$AH25-$AG25-$AF25-$AE25*(1+CT$3))/$AJ25,'Технический лист'!$A:$B,2,1)-VLOOKUP($AO25,'Технический лист'!$A:$B,2,1)),1+(1-$AU25))</f>
        <v/>
      </c>
      <c r="CU25" s="172">
        <f>MIN(IF($AU25=100%,1,1+VLOOKUP(($AJ25-$AI25-$AH25-$AG25-$AF25-$AE25*(1+CU$3))/$AJ25,'Технический лист'!$A:$B,2,1)-VLOOKUP($AO25,'Технический лист'!$A:$B,2,1)),1+(1-$AU25))</f>
        <v/>
      </c>
      <c r="CV25" s="172">
        <f>MIN(IF($AU25=100%,1,1+VLOOKUP(($AJ25-$AI25-$AH25-$AG25-$AF25-$AE25*(1+CV$3))/$AJ25,'Технический лист'!$A:$B,2,1)-VLOOKUP($AO25,'Технический лист'!$A:$B,2,1)),1+(1-$AU25))</f>
        <v/>
      </c>
      <c r="CW25" s="172">
        <f>MIN(IF($AU25=100%,1,1+VLOOKUP(($AJ25-$AI25-$AH25-$AG25-$AF25-$AE25*(1+CW$3))/$AJ25,'Технический лист'!$A:$B,2,1)-VLOOKUP($AO25,'Технический лист'!$A:$B,2,1)),1+(1-$AU25))</f>
        <v/>
      </c>
      <c r="CX25" s="172">
        <f>MIN(IF($AU25=100%,1,1+VLOOKUP(($AJ25-$AI25-$AH25-$AG25-$AF25-$AE25*(1+CX$3))/$AJ25,'Технический лист'!$A:$B,2,1)-VLOOKUP($AO25,'Технический лист'!$A:$B,2,1)),1+(1-$AU25))</f>
        <v/>
      </c>
      <c r="CY25" s="172">
        <f>MIN(IF($AU25=100%,1,1+VLOOKUP(($AJ25-$AI25-$AH25-$AG25-$AF25-$AE25*(1+CY$3))/$AJ25,'Технический лист'!$A:$B,2,1)-VLOOKUP($AO25,'Технический лист'!$A:$B,2,1)),1+(1-$AU25))</f>
        <v/>
      </c>
      <c r="CZ25" s="172">
        <f>MIN(IF($AU25=100%,1,1+VLOOKUP(($AJ25-$AI25-$AH25-$AG25-$AF25-$AE25*(1+CZ$3))/$AJ25,'Технический лист'!$A:$B,2,1)-VLOOKUP($AO25,'Технический лист'!$A:$B,2,1)),1+(1-$AU25))</f>
        <v/>
      </c>
      <c r="DA25" s="172">
        <f>MIN(IF($AU25=100%,1,1+VLOOKUP(($AJ25-$AI25-$AH25-$AG25-$AF25-$AE25*(1+DA$3))/$AJ25,'Технический лист'!$A:$B,2,1)-VLOOKUP($AO25,'Технический лист'!$A:$B,2,1)),1+(1-$AU25))</f>
        <v/>
      </c>
      <c r="DB25" s="172">
        <f>MIN(IF($AU25=100%,1,1+VLOOKUP(($AJ25-$AI25-$AH25-$AG25-$AF25-$AE25*(1+DB$3))/$AJ25,'Технический лист'!$A:$B,2,1)-VLOOKUP($AO25,'Технический лист'!$A:$B,2,1)),1+(1-$AU25))</f>
        <v/>
      </c>
      <c r="DC25" s="172">
        <f>MIN(IF($AU25=100%,1,1+VLOOKUP(($AJ25-$AI25-$AH25-$AG25-$AF25-$AE25*(1+DC$3))/$AJ25,'Технический лист'!$A:$B,2,1)-VLOOKUP($AO25,'Технический лист'!$A:$B,2,1)),1+(1-$AU25))</f>
        <v/>
      </c>
      <c r="DD25" s="172">
        <f>MIN(IF($AU25=100%,1,1+VLOOKUP(($AJ25-$AI25-$AH25-$AG25-$AF25-$AE25*(1+DD$3))/$AJ25,'Технический лист'!$A:$B,2,1)-VLOOKUP($AO25,'Технический лист'!$A:$B,2,1)),1+(1-$AU25))</f>
        <v/>
      </c>
      <c r="DE25" s="172">
        <f>MIN(IF($AU25=100%,1,1+VLOOKUP(($AJ25-$AI25-$AH25-$AG25-$AF25-$AE25*(1+DE$3))/$AJ25,'Технический лист'!$A:$B,2,1)-VLOOKUP($AO25,'Технический лист'!$A:$B,2,1)),1+(1-$AU25))</f>
        <v/>
      </c>
      <c r="DF25" s="172">
        <f>MIN(IF($AU25=100%,1,1+VLOOKUP(($AJ25-$AI25-$AH25-$AG25-$AF25-$AE25*(1+DF$3))/$AJ25,'Технический лист'!$A:$B,2,1)-VLOOKUP($AO25,'Технический лист'!$A:$B,2,1)),1+(1-$AU25))</f>
        <v/>
      </c>
      <c r="DG25" s="172">
        <f>MIN(IF($AU25=100%,1,1+VLOOKUP(($AJ25-$AI25-$AH25-$AG25-$AF25-$AE25*(1+DG$3))/$AJ25,'Технический лист'!$A:$B,2,1)-VLOOKUP($AO25,'Технический лист'!$A:$B,2,1)),1+(1-$AU25))</f>
        <v/>
      </c>
      <c r="DH25" s="172">
        <f>MIN(IF($AU25=100%,1,1+VLOOKUP(($AJ25-$AI25-$AH25-$AG25-$AF25-$AE25*(1+DH$3))/$AJ25,'Технический лист'!$A:$B,2,1)-VLOOKUP($AO25,'Технический лист'!$A:$B,2,1)),1+(1-$AU25))</f>
        <v/>
      </c>
      <c r="DI25" s="172">
        <f>MIN(IF($AU25=100%,1,1+VLOOKUP(($AJ25-$AI25-$AH25-$AG25-$AF25-$AE25*(1+DI$3))/$AJ25,'Технический лист'!$A:$B,2,1)-VLOOKUP($AO25,'Технический лист'!$A:$B,2,1)),1+(1-$AU25))</f>
        <v/>
      </c>
      <c r="DJ25" s="172">
        <f>MIN(IF($AU25=100%,1,1+VLOOKUP(($AJ25-$AI25-$AH25-$AG25-$AF25-$AE25*(1+DJ$3))/$AJ25,'Технический лист'!$A:$B,2,1)-VLOOKUP($AO25,'Технический лист'!$A:$B,2,1)),1+(1-$AU25))</f>
        <v/>
      </c>
      <c r="DK25" s="172">
        <f>MIN(IF($AU25=100%,1,1+VLOOKUP(($AJ25-$AI25-$AH25-$AG25-$AF25-$AE25*(1+DK$3))/$AJ25,'Технический лист'!$A:$B,2,1)-VLOOKUP($AO25,'Технический лист'!$A:$B,2,1)),1+(1-$AU25))</f>
        <v/>
      </c>
      <c r="DL25" s="172">
        <f>MIN(IF($AU25=100%,1,1+VLOOKUP(($AJ25-$AI25-$AH25-$AG25-$AF25-$AE25*(1+DL$3))/$AJ25,'Технический лист'!$A:$B,2,1)-VLOOKUP($AO25,'Технический лист'!$A:$B,2,1)),1+(1-$AU25))</f>
        <v/>
      </c>
      <c r="DM25" s="172">
        <f>MIN(IF($AU25=100%,1,1+VLOOKUP(($AJ25-$AI25-$AH25-$AG25-$AF25-$AE25*(1+DM$3))/$AJ25,'Технический лист'!$A:$B,2,1)-VLOOKUP($AO25,'Технический лист'!$A:$B,2,1)),1+(1-$AU25))</f>
        <v/>
      </c>
      <c r="DN25" s="172">
        <f>MIN(IF($AU25=100%,1,1+VLOOKUP(($AJ25-$AI25-$AH25-$AG25-$AF25-$AE25*(1+DN$3))/$AJ25,'Технический лист'!$A:$B,2,1)-VLOOKUP($AO25,'Технический лист'!$A:$B,2,1)),1+(1-$AU25))</f>
        <v/>
      </c>
      <c r="DO25" s="172">
        <f>MIN(IF($AU25=100%,1,1+VLOOKUP(($AJ25-$AI25-$AH25-$AG25-$AF25-$AE25*(1+DO$3))/$AJ25,'Технический лист'!$A:$B,2,1)-VLOOKUP($AO25,'Технический лист'!$A:$B,2,1)),1+(1-$AU25))</f>
        <v/>
      </c>
      <c r="DP25" s="172">
        <f>MIN(IF($AU25=100%,1,1+VLOOKUP(($AJ25-$AI25-$AH25-$AG25-$AF25-$AE25*(1+DP$3))/$AJ25,'Технический лист'!$A:$B,2,1)-VLOOKUP($AO25,'Технический лист'!$A:$B,2,1)),1+(1-$AU25))</f>
        <v/>
      </c>
      <c r="DQ25" s="172">
        <f>MIN(IF($AU25=100%,1,1+VLOOKUP(($AJ25-$AI25-$AH25-$AG25-$AF25-$AE25*(1+DQ$3))/$AJ25,'Технический лист'!$A:$B,2,1)-VLOOKUP($AO25,'Технический лист'!$A:$B,2,1)),1+(1-$AU25))</f>
        <v/>
      </c>
      <c r="DR25" s="172">
        <f>MIN(IF($AU25=100%,1,1+VLOOKUP(($AJ25-$AI25-$AH25-$AG25-$AF25-$AE25*(1+DR$3))/$AJ25,'Технический лист'!$A:$B,2,1)-VLOOKUP($AO25,'Технический лист'!$A:$B,2,1)),1+(1-$AU25))</f>
        <v/>
      </c>
      <c r="DS25" s="172">
        <f>MIN(IF($AU25=100%,1,1+VLOOKUP(($AJ25-$AI25-$AH25-$AG25-$AF25-$AE25*(1+DS$3))/$AJ25,'Технический лист'!$A:$B,2,1)-VLOOKUP($AO25,'Технический лист'!$A:$B,2,1)),1+(1-$AU25))</f>
        <v/>
      </c>
      <c r="DT25" s="172">
        <f>MIN(IF($AU25=100%,1,1+VLOOKUP(($AJ25-$AI25-$AH25-$AG25-$AF25-$AE25*(1+DT$3))/$AJ25,'Технический лист'!$A:$B,2,1)-VLOOKUP($AO25,'Технический лист'!$A:$B,2,1)),1+(1-$AU25))</f>
        <v/>
      </c>
      <c r="DU25" s="172">
        <f>MIN(IF($AU25=100%,1,1+VLOOKUP(($AJ25-$AI25-$AH25-$AG25-$AF25-$AE25*(1+DU$3))/$AJ25,'Технический лист'!$A:$B,2,1)-VLOOKUP($AO25,'Технический лист'!$A:$B,2,1)),1+(1-$AU25))</f>
        <v/>
      </c>
      <c r="DV25" s="172">
        <f>MIN(IF($AU25=100%,1,1+VLOOKUP(($AJ25-$AI25-$AH25-$AG25-$AF25-$AE25*(1+DV$3))/$AJ25,'Технический лист'!$A:$B,2,1)-VLOOKUP($AO25,'Технический лист'!$A:$B,2,1)),1+(1-$AU25))</f>
        <v/>
      </c>
      <c r="DW25" s="172">
        <f>MIN(IF($AU25=100%,1,1+VLOOKUP(($AJ25-$AI25-$AH25-$AG25-$AF25-$AE25*(1+DW$3))/$AJ25,'Технический лист'!$A:$B,2,1)-VLOOKUP($AO25,'Технический лист'!$A:$B,2,1)),1+(1-$AU25))</f>
        <v/>
      </c>
      <c r="DX25" s="172">
        <f>MIN(IF($AU25=100%,1,1+VLOOKUP(($AJ25-$AI25-$AH25-$AG25-$AF25-$AE25*(1+DX$3))/$AJ25,'Технический лист'!$A:$B,2,1)-VLOOKUP($AO25,'Технический лист'!$A:$B,2,1)),1+(1-$AU25))</f>
        <v/>
      </c>
      <c r="DY25" s="172">
        <f>MIN(IF($AU25=100%,1,1+VLOOKUP(($AJ25-$AI25-$AH25-$AG25-$AF25-$AE25*(1+DY$3))/$AJ25,'Технический лист'!$A:$B,2,1)-VLOOKUP($AO25,'Технический лист'!$A:$B,2,1)),1+(1-$AU25))</f>
        <v/>
      </c>
      <c r="DZ25" s="172">
        <f>MIN(IF($AU25=100%,1,1+VLOOKUP(($AJ25-$AI25-$AH25-$AG25-$AF25-$AE25*(1+DZ$3))/$AJ25,'Технический лист'!$A:$B,2,1)-VLOOKUP($AO25,'Технический лист'!$A:$B,2,1)),1+(1-$AU25))</f>
        <v/>
      </c>
      <c r="EA25" s="172">
        <f>MIN(IF($AU25=100%,1,1+VLOOKUP(($AJ25-$AI25-$AH25-$AG25-$AF25-$AE25*(1+EA$3))/$AJ25,'Технический лист'!$A:$B,2,1)-VLOOKUP($AO25,'Технический лист'!$A:$B,2,1)),1+(1-$AU25))</f>
        <v/>
      </c>
      <c r="EB25" s="172">
        <f>MIN(IF($AU25=100%,1,1+VLOOKUP(($AJ25-$AI25-$AH25-$AG25-$AF25-$AE25*(1+EB$3))/$AJ25,'Технический лист'!$A:$B,2,1)-VLOOKUP($AO25,'Технический лист'!$A:$B,2,1)),1+(1-$AU25))</f>
        <v/>
      </c>
      <c r="EC25" s="172">
        <f>MIN(IF($AU25=100%,1,1+VLOOKUP(($AJ25-$AI25-$AH25-$AG25-$AF25-$AE25*(1+EC$3))/$AJ25,'Технический лист'!$A:$B,2,1)-VLOOKUP($AO25,'Технический лист'!$A:$B,2,1)),1+(1-$AU25))</f>
        <v/>
      </c>
      <c r="ED25" s="172">
        <f>MIN(IF($AU25=100%,1,1+VLOOKUP(($AJ25-$AI25-$AH25-$AG25-$AF25-$AE25*(1+ED$3))/$AJ25,'Технический лист'!$A:$B,2,1)-VLOOKUP($AO25,'Технический лист'!$A:$B,2,1)),1+(1-$AU25))</f>
        <v/>
      </c>
      <c r="EE25" s="172">
        <f>MIN(IF($AU25=100%,1,1+VLOOKUP(($AJ25-$AI25-$AH25-$AG25-$AF25-$AE25*(1+EE$3))/$AJ25,'Технический лист'!$A:$B,2,1)-VLOOKUP($AO25,'Технический лист'!$A:$B,2,1)),1+(1-$AU25))</f>
        <v/>
      </c>
      <c r="EF25" s="172">
        <f>MIN(IF($AU25=100%,1,1+VLOOKUP(($AJ25-$AI25-$AH25-$AG25-$AF25-$AE25*(1+EF$3))/$AJ25,'Технический лист'!$A:$B,2,1)-VLOOKUP($AO25,'Технический лист'!$A:$B,2,1)),1+(1-$AU25))</f>
        <v/>
      </c>
      <c r="EG25" s="172">
        <f>MIN(IF($AU25=100%,1,1+VLOOKUP(($AJ25-$AI25-$AH25-$AG25-$AF25-$AE25*(1+EG$3))/$AJ25,'Технический лист'!$A:$B,2,1)-VLOOKUP($AO25,'Технический лист'!$A:$B,2,1)),1+(1-$AU25))</f>
        <v/>
      </c>
      <c r="EH25" s="172">
        <f>MIN(IF($AU25=100%,1,1+VLOOKUP(($AJ25-$AI25-$AH25-$AG25-$AF25-$AE25*(1+EH$3))/$AJ25,'Технический лист'!$A:$B,2,1)-VLOOKUP($AO25,'Технический лист'!$A:$B,2,1)),1+(1-$AU25))</f>
        <v/>
      </c>
      <c r="EI25" s="172">
        <f>MIN(IF($AU25=100%,1,1+VLOOKUP(($AJ25-$AI25-$AH25-$AG25-$AF25-$AE25*(1+EI$3))/$AJ25,'Технический лист'!$A:$B,2,1)-VLOOKUP($AO25,'Технический лист'!$A:$B,2,1)),1+(1-$AU25))</f>
        <v/>
      </c>
      <c r="EJ25" s="172">
        <f>MIN(IF($AU25=100%,1,1+VLOOKUP(($AJ25-$AI25-$AH25-$AG25-$AF25-$AE25*(1+EJ$3))/$AJ25,'Технический лист'!$A:$B,2,1)-VLOOKUP($AO25,'Технический лист'!$A:$B,2,1)),1+(1-$AU25))</f>
        <v/>
      </c>
      <c r="EK25" s="172">
        <f>MIN(IF($AU25=100%,1,1+VLOOKUP(($AJ25-$AI25-$AH25-$AG25-$AF25-$AE25*(1+EK$3))/$AJ25,'Технический лист'!$A:$B,2,1)-VLOOKUP($AO25,'Технический лист'!$A:$B,2,1)),1+(1-$AU25))</f>
        <v/>
      </c>
      <c r="EL25" s="172">
        <f>MIN(IF($AU25=100%,1,1+VLOOKUP(($AJ25-$AI25-$AH25-$AG25-$AF25-$AE25*(1+EL$3))/$AJ25,'Технический лист'!$A:$B,2,1)-VLOOKUP($AO25,'Технический лист'!$A:$B,2,1)),1+(1-$AU25))</f>
        <v/>
      </c>
      <c r="EM25" s="172">
        <f>MIN(IF($AU25=100%,1,1+VLOOKUP(($AJ25-$AI25-$AH25-$AG25-$AF25-$AE25*(1+EM$3))/$AJ25,'Технический лист'!$A:$B,2,1)-VLOOKUP($AO25,'Технический лист'!$A:$B,2,1)),1+(1-$AU25))</f>
        <v/>
      </c>
      <c r="EN25" s="172">
        <f>MIN(IF($AU25=100%,1,1+VLOOKUP(($AJ25-$AI25-$AH25-$AG25-$AF25-$AE25*(1+EN$3))/$AJ25,'Технический лист'!$A:$B,2,1)-VLOOKUP($AO25,'Технический лист'!$A:$B,2,1)),1+(1-$AU25))</f>
        <v/>
      </c>
      <c r="EO25" s="172">
        <f>MIN(IF($AU25=100%,1,1+VLOOKUP(($AJ25-$AI25-$AH25-$AG25-$AF25-$AE25*(1+EO$3))/$AJ25,'Технический лист'!$A:$B,2,1)-VLOOKUP($AO25,'Технический лист'!$A:$B,2,1)),1+(1-$AU25))</f>
        <v/>
      </c>
      <c r="EP25" s="172">
        <f>MIN(IF($AU25=100%,1,1+VLOOKUP(($AJ25-$AI25-$AH25-$AG25-$AF25-$AE25*(1+EP$3))/$AJ25,'Технический лист'!$A:$B,2,1)-VLOOKUP($AO25,'Технический лист'!$A:$B,2,1)),1+(1-$AU25))</f>
        <v/>
      </c>
      <c r="EQ25" s="172">
        <f>MIN(IF($AU25=100%,1,1+VLOOKUP(($AJ25-$AI25-$AH25-$AG25-$AF25-$AE25*(1+EQ$3))/$AJ25,'Технический лист'!$A:$B,2,1)-VLOOKUP($AO25,'Технический лист'!$A:$B,2,1)),1+(1-$AU25))</f>
        <v/>
      </c>
      <c r="ER25" s="172">
        <f>MIN(IF($AU25=100%,1,1+VLOOKUP(($AJ25-$AI25-$AH25-$AG25-$AF25-$AE25*(1+ER$3))/$AJ25,'Технический лист'!$A:$B,2,1)-VLOOKUP($AO25,'Технический лист'!$A:$B,2,1)),1+(1-$AU25))</f>
        <v/>
      </c>
      <c r="ES25" s="172">
        <f>MIN(IF($AU25=100%,1,1+VLOOKUP(($AJ25-$AI25-$AH25-$AG25-$AF25-$AE25*(1+ES$3))/$AJ25,'Технический лист'!$A:$B,2,1)-VLOOKUP($AO25,'Технический лист'!$A:$B,2,1)),1+(1-$AU25))</f>
        <v/>
      </c>
      <c r="ET25" s="172">
        <f>MIN(IF($AU25=100%,1,1+VLOOKUP(($AJ25-$AI25-$AH25-$AG25-$AF25-$AE25*(1+ET$3))/$AJ25,'Технический лист'!$A:$B,2,1)-VLOOKUP($AO25,'Технический лист'!$A:$B,2,1)),1+(1-$AU25))</f>
        <v/>
      </c>
      <c r="EU25" s="172">
        <f>MIN(IF($AU25=100%,1,1+VLOOKUP(($AJ25-$AI25-$AH25-$AG25-$AF25-$AE25*(1+EU$3))/$AJ25,'Технический лист'!$A:$B,2,1)-VLOOKUP($AO25,'Технический лист'!$A:$B,2,1)),1+(1-$AU25))</f>
        <v/>
      </c>
      <c r="EV25" s="173" t="n">
        <v>1</v>
      </c>
      <c r="EW25" s="172">
        <f>MIN(1,MAX(VLOOKUP(($AJ25-$AI25-$AH25-$AG25-$AF25-$AE25*(1+EW$3))/$AJ25,'Технический лист'!$A:$B,2,1),(EV25-0.05)))</f>
        <v/>
      </c>
      <c r="EX25" s="172">
        <f>MIN(1,MAX(VLOOKUP(($AJ25-$AI25-$AH25-$AG25-$AF25-$AE25*(1+EX$3))/$AJ25,'Технический лист'!$A:$B,2,1),(EW25-0.05)))</f>
        <v/>
      </c>
      <c r="EY25" s="172">
        <f>MIN(1,MAX(VLOOKUP(($AJ25-$AI25-$AH25-$AG25-$AF25-$AE25*(1+EY$3))/$AJ25,'Технический лист'!$A:$B,2,1),(EX25-0.05)))</f>
        <v/>
      </c>
      <c r="EZ25" s="172">
        <f>MIN(1,MAX(VLOOKUP(($AJ25-$AI25-$AH25-$AG25-$AF25-$AE25*(1+EZ$3))/$AJ25,'Технический лист'!$A:$B,2,1),(EY25-0.05)))</f>
        <v/>
      </c>
      <c r="FA25" s="172">
        <f>MIN(1,MAX(VLOOKUP(($AJ25-$AI25-$AH25-$AG25-$AF25-$AE25*(1+FA$3))/$AJ25,'Технический лист'!$A:$B,2,1),(EZ25-0.05)))</f>
        <v/>
      </c>
      <c r="FB25" s="172">
        <f>MIN(1,MAX(VLOOKUP(($AJ25-$AI25-$AH25-$AG25-$AF25-$AE25*(1+FB$3))/$AJ25,'Технический лист'!$A:$B,2,1),(FA25-0.05)))</f>
        <v/>
      </c>
      <c r="FC25" s="172">
        <f>MIN(1,MAX(VLOOKUP(($AJ25-$AI25-$AH25-$AG25-$AF25-$AE25*(1+FC$3))/$AJ25,'Технический лист'!$A:$B,2,1),(FB25-0.05)))</f>
        <v/>
      </c>
      <c r="FD25" s="172">
        <f>MIN(1,MAX(VLOOKUP(($AJ25-$AI25-$AH25-$AG25-$AF25-$AE25*(1+FD$3))/$AJ25,'Технический лист'!$A:$B,2,1),(FC25-0.05)))</f>
        <v/>
      </c>
      <c r="FE25" s="172">
        <f>MIN(1,MAX(VLOOKUP(($AJ25-$AI25-$AH25-$AG25-$AF25-$AE25*(1+FE$3))/$AJ25,'Технический лист'!$A:$B,2,1),(FD25-0.05)))</f>
        <v/>
      </c>
      <c r="FF25" s="172">
        <f>MIN(1,MAX(VLOOKUP(($AJ25-$AI25-$AH25-$AG25-$AF25-$AE25*(1+FF$3))/$AJ25,'Технический лист'!$A:$B,2,1),(FE25-0.05)))</f>
        <v/>
      </c>
      <c r="FG25" s="172">
        <f>MIN(1,MAX(VLOOKUP(($AJ25-$AI25-$AH25-$AG25-$AF25-$AE25*(1+FG$3))/$AJ25,'Технический лист'!$A:$B,2,1),(FF25-0.05)))</f>
        <v/>
      </c>
      <c r="FH25" s="172">
        <f>MIN(1,MAX(VLOOKUP(($AJ25-$AI25-$AH25-$AG25-$AF25-$AE25*(1+FH$3))/$AJ25,'Технический лист'!$A:$B,2,1),(FG25-0.05)))</f>
        <v/>
      </c>
      <c r="FI25" s="172">
        <f>MIN(1,MAX(VLOOKUP(($AJ25-$AI25-$AH25-$AG25-$AF25-$AE25*(1+FI$3))/$AJ25,'Технический лист'!$A:$B,2,1),(FH25-0.05)))</f>
        <v/>
      </c>
      <c r="FJ25" s="172">
        <f>MIN(1,MAX(VLOOKUP(($AJ25-$AI25-$AH25-$AG25-$AF25-$AE25*(1+FJ$3))/$AJ25,'Технический лист'!$A:$B,2,1),(FI25-0.05)))</f>
        <v/>
      </c>
      <c r="FK25" s="172">
        <f>MIN(1,MAX(VLOOKUP(($AJ25-$AI25-$AH25-$AG25-$AF25-$AE25*(1+FK$3))/$AJ25,'Технический лист'!$A:$B,2,1),(FJ25-0.05)))</f>
        <v/>
      </c>
      <c r="FL25" s="172">
        <f>MIN(1,MAX(VLOOKUP(($AJ25-$AI25-$AH25-$AG25-$AF25-$AE25*(1+FL$3))/$AJ25,'Технический лист'!$A:$B,2,1),(FK25-0.05)))</f>
        <v/>
      </c>
      <c r="FM25" s="172">
        <f>MIN(1,MAX(VLOOKUP(($AJ25-$AI25-$AH25-$AG25-$AF25-$AE25*(1+FM$3))/$AJ25,'Технический лист'!$A:$B,2,1),(FL25-0.05)))</f>
        <v/>
      </c>
      <c r="FN25" s="172">
        <f>MIN(1,MAX(VLOOKUP(($AJ25-$AI25-$AH25-$AG25-$AF25-$AE25*(1+FN$3))/$AJ25,'Технический лист'!$A:$B,2,1),(FM25-0.05)))</f>
        <v/>
      </c>
      <c r="FO25" s="172">
        <f>MIN(1,MAX(VLOOKUP(($AJ25-$AI25-$AH25-$AG25-$AF25-$AE25*(1+FO$3))/$AJ25,'Технический лист'!$A:$B,2,1),(FN25-0.05)))</f>
        <v/>
      </c>
      <c r="FP25" s="172">
        <f>MIN(1,MAX(VLOOKUP(($AJ25-$AI25-$AH25-$AG25-$AF25-$AE25*(1+FP$3))/$AJ25,'Технический лист'!$A:$B,2,1),(FO25-0.05)))</f>
        <v/>
      </c>
      <c r="FQ25" s="172">
        <f>MIN(1,MAX(VLOOKUP(($AJ25-$AI25-$AH25-$AG25-$AF25-$AE25*(1+FQ$3))/$AJ25,'Технический лист'!$A:$B,2,1),(FP25-0.05)))</f>
        <v/>
      </c>
      <c r="FR25" s="172">
        <f>MIN(1,MAX(VLOOKUP(($AJ25-$AI25-$AH25-$AG25-$AF25-$AE25*(1+FR$3))/$AJ25,'Технический лист'!$A:$B,2,1),(FQ25-0.05)))</f>
        <v/>
      </c>
      <c r="FS25" s="172">
        <f>MIN(1,MAX(VLOOKUP(($AJ25-$AI25-$AH25-$AG25-$AF25-$AE25*(1+FS$3))/$AJ25,'Технический лист'!$A:$B,2,1),(FR25-0.05)))</f>
        <v/>
      </c>
      <c r="FT25" s="172">
        <f>MIN(1,MAX(VLOOKUP(($AJ25-$AI25-$AH25-$AG25-$AF25-$AE25*(1+FT$3))/$AJ25,'Технический лист'!$A:$B,2,1),(FS25-0.05)))</f>
        <v/>
      </c>
      <c r="FU25" s="172">
        <f>MIN(1,MAX(VLOOKUP(($AJ25-$AI25-$AH25-$AG25-$AF25-$AE25*(1+FU$3))/$AJ25,'Технический лист'!$A:$B,2,1),(FT25-0.05)))</f>
        <v/>
      </c>
      <c r="FV25" s="172">
        <f>MIN(1,MAX(VLOOKUP(($AJ25-$AI25-$AH25-$AG25-$AF25-$AE25*(1+FV$3))/$AJ25,'Технический лист'!$A:$B,2,1),(FU25-0.05)))</f>
        <v/>
      </c>
      <c r="FW25" s="172">
        <f>MIN(1,MAX(VLOOKUP(($AJ25-$AI25-$AH25-$AG25-$AF25-$AE25*(1+FW$3))/$AJ25,'Технический лист'!$A:$B,2,1),(FV25-0.05)))</f>
        <v/>
      </c>
      <c r="FX25" s="172">
        <f>MIN(1,MAX(VLOOKUP(($AJ25-$AI25-$AH25-$AG25-$AF25-$AE25*(1+FX$3))/$AJ25,'Технический лист'!$A:$B,2,1),(FW25-0.05)))</f>
        <v/>
      </c>
      <c r="FY25" s="172">
        <f>MIN(1,MAX(VLOOKUP(($AJ25-$AI25-$AH25-$AG25-$AF25-$AE25*(1+FY$3))/$AJ25,'Технический лист'!$A:$B,2,1),(FX25-0.05)))</f>
        <v/>
      </c>
      <c r="FZ25" s="172">
        <f>MIN(1,MAX(VLOOKUP(($AJ25-$AI25-$AH25-$AG25-$AF25-$AE25*(1+FZ$3))/$AJ25,'Технический лист'!$A:$B,2,1),(FY25-0.05)))</f>
        <v/>
      </c>
      <c r="GA25" s="172">
        <f>MIN(1,MAX(VLOOKUP(($AJ25-$AI25-$AH25-$AG25-$AF25-$AE25*(1+GA$3))/$AJ25,'Технический лист'!$A:$B,2,1),(FZ25-0.05)))</f>
        <v/>
      </c>
      <c r="GB25" s="172">
        <f>MIN(1,MAX(VLOOKUP(($AJ25-$AI25-$AH25-$AG25-$AF25-$AE25*(1+GB$3))/$AJ25,'Технический лист'!$A:$B,2,1),(GA25-0.05)))</f>
        <v/>
      </c>
      <c r="GC25" s="172">
        <f>MIN(1,MAX(VLOOKUP(($AJ25-$AI25-$AH25-$AG25-$AF25-$AE25*(1+GC$3))/$AJ25,'Технический лист'!$A:$B,2,1),(GB25-0.05)))</f>
        <v/>
      </c>
      <c r="GD25" s="172">
        <f>MIN(1,MAX(VLOOKUP(($AJ25-$AI25-$AH25-$AG25-$AF25-$AE25*(1+GD$3))/$AJ25,'Технический лист'!$A:$B,2,1),(GC25-0.05)))</f>
        <v/>
      </c>
      <c r="GE25" s="172">
        <f>MIN(1,MAX(VLOOKUP(($AJ25-$AI25-$AH25-$AG25-$AF25-$AE25*(1+GE$3))/$AJ25,'Технический лист'!$A:$B,2,1),(GD25-0.05)))</f>
        <v/>
      </c>
      <c r="GF25" s="172">
        <f>MIN(1,MAX(VLOOKUP(($AJ25-$AI25-$AH25-$AG25-$AF25-$AE25*(1+GF$3))/$AJ25,'Технический лист'!$A:$B,2,1),(GE25-0.05)))</f>
        <v/>
      </c>
      <c r="GG25" s="172">
        <f>MIN(1,MAX(VLOOKUP(($AJ25-$AI25-$AH25-$AG25-$AF25-$AE25*(1+GG$3))/$AJ25,'Технический лист'!$A:$B,2,1),(GF25-0.05)))</f>
        <v/>
      </c>
      <c r="GH25" s="172">
        <f>MIN(1,MAX(VLOOKUP(($AJ25-$AI25-$AH25-$AG25-$AF25-$AE25*(1+GH$3))/$AJ25,'Технический лист'!$A:$B,2,1),(GG25-0.05)))</f>
        <v/>
      </c>
      <c r="GI25" s="172">
        <f>MIN(1,MAX(VLOOKUP(($AJ25-$AI25-$AH25-$AG25-$AF25-$AE25*(1+GI$3))/$AJ25,'Технический лист'!$A:$B,2,1),(GH25-0.05)))</f>
        <v/>
      </c>
      <c r="GJ25" s="172">
        <f>MIN(1,MAX(VLOOKUP(($AJ25-$AI25-$AH25-$AG25-$AF25-$AE25*(1+GJ$3))/$AJ25,'Технический лист'!$A:$B,2,1),(GI25-0.05)))</f>
        <v/>
      </c>
      <c r="GK25" s="172">
        <f>MIN(1,MAX(VLOOKUP(($AJ25-$AI25-$AH25-$AG25-$AF25-$AE25*(1+GK$3))/$AJ25,'Технический лист'!$A:$B,2,1),(GJ25-0.05)))</f>
        <v/>
      </c>
      <c r="GL25" s="172">
        <f>MIN(1,MAX(VLOOKUP(($AJ25-$AI25-$AH25-$AG25-$AF25-$AE25*(1+GL$3))/$AJ25,'Технический лист'!$A:$B,2,1),(GK25-0.05)))</f>
        <v/>
      </c>
      <c r="GM25" s="172">
        <f>MIN(1,MAX(VLOOKUP(($AJ25-$AI25-$AH25-$AG25-$AF25-$AE25*(1+GM$3))/$AJ25,'Технический лист'!$A:$B,2,1),(GL25-0.05)))</f>
        <v/>
      </c>
      <c r="GN25" s="172">
        <f>MIN(1,MAX(VLOOKUP(($AJ25-$AI25-$AH25-$AG25-$AF25-$AE25*(1+GN$3))/$AJ25,'Технический лист'!$A:$B,2,1),(GM25-0.05)))</f>
        <v/>
      </c>
      <c r="GO25" s="172">
        <f>MIN(1,MAX(VLOOKUP(($AJ25-$AI25-$AH25-$AG25-$AF25-$AE25*(1+GO$3))/$AJ25,'Технический лист'!$A:$B,2,1),(GN25-0.05)))</f>
        <v/>
      </c>
      <c r="GP25" s="172">
        <f>MIN(1,MAX(VLOOKUP(($AJ25-$AI25-$AH25-$AG25-$AF25-$AE25*(1+GP$3))/$AJ25,'Технический лист'!$A:$B,2,1),(GO25-0.05)))</f>
        <v/>
      </c>
      <c r="GQ25" s="172">
        <f>MIN(1,MAX(VLOOKUP(($AJ25-$AI25-$AH25-$AG25-$AF25-$AE25*(1+GQ$3))/$AJ25,'Технический лист'!$A:$B,2,1),(GP25-0.05)))</f>
        <v/>
      </c>
      <c r="GR25" s="172">
        <f>MIN(1,MAX(VLOOKUP(($AJ25-$AI25-$AH25-$AG25-$AF25-$AE25*(1+GR$3))/$AJ25,'Технический лист'!$A:$B,2,1),(GQ25-0.05)))</f>
        <v/>
      </c>
      <c r="GS25" s="172">
        <f>MIN(1,MAX(VLOOKUP(($AJ25-$AI25-$AH25-$AG25-$AF25-$AE25*(1+GS$3))/$AJ25,'Технический лист'!$A:$B,2,1),(GR25-0.05)))</f>
        <v/>
      </c>
      <c r="GT25" s="172">
        <f>MIN(1,MAX(VLOOKUP(($AJ25-$AI25-$AH25-$AG25-$AF25-$AE25*(1+GT$3))/$AJ25,'Технический лист'!$A:$B,2,1),(GS25-0.05)))</f>
        <v/>
      </c>
      <c r="GU25" s="172">
        <f>MIN(1,MAX(VLOOKUP(($AJ25-$AI25-$AH25-$AG25-$AF25-$AE25*(1+GU$3))/$AJ25,'Технический лист'!$A:$B,2,1),(GT25-0.05)))</f>
        <v/>
      </c>
      <c r="GV25" s="172">
        <f>MIN(1,MAX(VLOOKUP(($AJ25-$AI25-$AH25-$AG25-$AF25-$AE25*(1+GV$3))/$AJ25,'Технический лист'!$A:$B,2,1),(GU25-0.05)))</f>
        <v/>
      </c>
      <c r="GW25" s="172">
        <f>MIN(1,MAX(VLOOKUP(($AJ25-$AI25-$AH25-$AG25-$AF25-$AE25*(1+GW$3))/$AJ25,'Технический лист'!$A:$B,2,1),(GV25-0.05)))</f>
        <v/>
      </c>
      <c r="GX25" s="172">
        <f>MIN(1,MAX(VLOOKUP(($AJ25-$AI25-$AH25-$AG25-$AF25-$AE25*(1+GX$3))/$AJ25,'Технический лист'!$A:$B,2,1),(GW25-0.05)))</f>
        <v/>
      </c>
      <c r="GY25" s="172">
        <f>MIN(1,MAX(VLOOKUP(($AJ25-$AI25-$AH25-$AG25-$AF25-$AE25*(1+GY$3))/$AJ25,'Технический лист'!$A:$B,2,1),(GX25-0.05)))</f>
        <v/>
      </c>
      <c r="GZ25" s="172">
        <f>MIN(1,MAX(VLOOKUP(($AJ25-$AI25-$AH25-$AG25-$AF25-$AE25*(1+GZ$3))/$AJ25,'Технический лист'!$A:$B,2,1),(GY25-0.05)))</f>
        <v/>
      </c>
      <c r="HA25" s="172">
        <f>MIN(1,MAX(VLOOKUP(($AJ25-$AI25-$AH25-$AG25-$AF25-$AE25*(1+HA$3))/$AJ25,'Технический лист'!$A:$B,2,1),(GZ25-0.05)))</f>
        <v/>
      </c>
      <c r="HB25" s="172">
        <f>MIN(1,MAX(VLOOKUP(($AJ25-$AI25-$AH25-$AG25-$AF25-$AE25*(1+HB$3))/$AJ25,'Технический лист'!$A:$B,2,1),(HA25-0.05)))</f>
        <v/>
      </c>
      <c r="HC25" s="172">
        <f>MIN(1,MAX(VLOOKUP(($AJ25-$AI25-$AH25-$AG25-$AF25-$AE25*(1+HC$3))/$AJ25,'Технический лист'!$A:$B,2,1),(HB25-0.05)))</f>
        <v/>
      </c>
      <c r="HD25" s="172">
        <f>MIN(1,MAX(VLOOKUP(($AJ25-$AI25-$AH25-$AG25-$AF25-$AE25*(1+HD$3))/$AJ25,'Технический лист'!$A:$B,2,1),(HC25-0.05)))</f>
        <v/>
      </c>
      <c r="HE25" s="172">
        <f>MIN(1,MAX(VLOOKUP(($AJ25-$AI25-$AH25-$AG25-$AF25-$AE25*(1+HE$3))/$AJ25,'Технический лист'!$A:$B,2,1),(HD25-0.05)))</f>
        <v/>
      </c>
      <c r="HF25" s="172">
        <f>MIN(1,MAX(VLOOKUP(($AJ25-$AI25-$AH25-$AG25-$AF25-$AE25*(1+HF$3))/$AJ25,'Технический лист'!$A:$B,2,1),(HE25-0.05)))</f>
        <v/>
      </c>
      <c r="HG25" s="172">
        <f>MIN(1,MAX(VLOOKUP(($AJ25-$AI25-$AH25-$AG25-$AF25-$AE25*(1+HG$3))/$AJ25,'Технический лист'!$A:$B,2,1),(HF25-0.05)))</f>
        <v/>
      </c>
      <c r="HH25" s="172">
        <f>MIN(1,MAX(VLOOKUP(($AJ25-$AI25-$AH25-$AG25-$AF25-$AE25*(1+HH$3))/$AJ25,'Технический лист'!$A:$B,2,1),(HG25-0.05)))</f>
        <v/>
      </c>
      <c r="HI25" s="172">
        <f>MIN(1,MAX(VLOOKUP(($AJ25-$AI25-$AH25-$AG25-$AF25-$AE25*(1+HI$3))/$AJ25,'Технический лист'!$A:$B,2,1),(HH25-0.05)))</f>
        <v/>
      </c>
      <c r="HJ25" s="172">
        <f>MIN(1,MAX(VLOOKUP(($AJ25-$AI25-$AH25-$AG25-$AF25-$AE25*(1+HJ$3))/$AJ25,'Технический лист'!$A:$B,2,1),(HI25-0.05)))</f>
        <v/>
      </c>
      <c r="HK25" s="172">
        <f>MIN(1,MAX(VLOOKUP(($AJ25-$AI25-$AH25-$AG25-$AF25-$AE25*(1+HK$3))/$AJ25,'Технический лист'!$A:$B,2,1),(HJ25-0.05)))</f>
        <v/>
      </c>
      <c r="HL25" s="172">
        <f>MIN(1,MAX(VLOOKUP(($AJ25-$AI25-$AH25-$AG25-$AF25-$AE25*(1+HL$3))/$AJ25,'Технический лист'!$A:$B,2,1),(HK25-0.05)))</f>
        <v/>
      </c>
      <c r="HM25" s="172">
        <f>MIN(1,MAX(VLOOKUP(($AJ25-$AI25-$AH25-$AG25-$AF25-$AE25*(1+HM$3))/$AJ25,'Технический лист'!$A:$B,2,1),(HL25-0.05)))</f>
        <v/>
      </c>
      <c r="HN25" s="172">
        <f>MIN(1,MAX(VLOOKUP(($AJ25-$AI25-$AH25-$AG25-$AF25-$AE25*(1+HN$3))/$AJ25,'Технический лист'!$A:$B,2,1),(HM25-0.05)))</f>
        <v/>
      </c>
      <c r="HO25" s="172">
        <f>MIN(1,MAX(VLOOKUP(($AJ25-$AI25-$AH25-$AG25-$AF25-$AE25*(1+HO$3))/$AJ25,'Технический лист'!$A:$B,2,1),(HN25-0.05)))</f>
        <v/>
      </c>
      <c r="HP25" s="172">
        <f>MIN(1,MAX(VLOOKUP(($AJ25-$AI25-$AH25-$AG25-$AF25-$AE25*(1+HP$3))/$AJ25,'Технический лист'!$A:$B,2,1),(HO25-0.05)))</f>
        <v/>
      </c>
      <c r="HQ25" s="172">
        <f>MIN(1,MAX(VLOOKUP(($AJ25-$AI25-$AH25-$AG25-$AF25-$AE25*(1+HQ$3))/$AJ25,'Технический лист'!$A:$B,2,1),(HP25-0.05)))</f>
        <v/>
      </c>
      <c r="HR25" s="172">
        <f>MIN(1,MAX(VLOOKUP(($AJ25-$AI25-$AH25-$AG25-$AF25-$AE25*(1+HR$3))/$AJ25,'Технический лист'!$A:$B,2,1),(HQ25-0.05)))</f>
        <v/>
      </c>
      <c r="HS25" s="172">
        <f>MIN(1,MAX(VLOOKUP(($AJ25-$AI25-$AH25-$AG25-$AF25-$AE25*(1+HS$3))/$AJ25,'Технический лист'!$A:$B,2,1),(HR25-0.05)))</f>
        <v/>
      </c>
      <c r="HT25" s="172">
        <f>MIN(1,MAX(VLOOKUP(($AJ25-$AI25-$AH25-$AG25-$AF25-$AE25*(1+HT$3))/$AJ25,'Технический лист'!$A:$B,2,1),(HS25-0.05)))</f>
        <v/>
      </c>
      <c r="HU25" s="172">
        <f>MIN(1,MAX(VLOOKUP(($AJ25-$AI25-$AH25-$AG25-$AF25-$AE25*(1+HU$3))/$AJ25,'Технический лист'!$A:$B,2,1),(HT25-0.05)))</f>
        <v/>
      </c>
      <c r="HV25" s="172">
        <f>MIN(1,MAX(VLOOKUP(($AJ25-$AI25-$AH25-$AG25-$AF25-$AE25*(1+HV$3))/$AJ25,'Технический лист'!$A:$B,2,1),(HU25-0.05)))</f>
        <v/>
      </c>
      <c r="HW25" s="172">
        <f>MIN(1,MAX(VLOOKUP(($AJ25-$AI25-$AH25-$AG25-$AF25-$AE25*(1+HW$3))/$AJ25,'Технический лист'!$A:$B,2,1),(HV25-0.05)))</f>
        <v/>
      </c>
      <c r="HX25" s="172">
        <f>MIN(1,MAX(VLOOKUP(($AJ25-$AI25-$AH25-$AG25-$AF25-$AE25*(1+HX$3))/$AJ25,'Технический лист'!$A:$B,2,1),(HW25-0.05)))</f>
        <v/>
      </c>
      <c r="HY25" s="172">
        <f>MIN(1,MAX(VLOOKUP(($AJ25-$AI25-$AH25-$AG25-$AF25-$AE25*(1+HY$3))/$AJ25,'Технический лист'!$A:$B,2,1),(HX25-0.05)))</f>
        <v/>
      </c>
      <c r="HZ25" s="172">
        <f>MIN(1,MAX(VLOOKUP(($AJ25-$AI25-$AH25-$AG25-$AF25-$AE25*(1+HZ$3))/$AJ25,'Технический лист'!$A:$B,2,1),(HY25-0.05)))</f>
        <v/>
      </c>
      <c r="IA25" s="172">
        <f>MIN(1,MAX(VLOOKUP(($AJ25-$AI25-$AH25-$AG25-$AF25-$AE25*(1+IA$3))/$AJ25,'Технический лист'!$A:$B,2,1),(HZ25-0.05)))</f>
        <v/>
      </c>
      <c r="IB25" s="172">
        <f>MIN(1,MAX(VLOOKUP(($AJ25-$AI25-$AH25-$AG25-$AF25-$AE25*(1+IB$3))/$AJ25,'Технический лист'!$A:$B,2,1),(IA25-0.05)))</f>
        <v/>
      </c>
      <c r="IC25" s="172">
        <f>MIN(1,MAX(VLOOKUP(($AJ25-$AI25-$AH25-$AG25-$AF25-$AE25*(1+IC$3))/$AJ25,'Технический лист'!$A:$B,2,1),(IB25-0.05)))</f>
        <v/>
      </c>
      <c r="ID25" s="172">
        <f>MIN(1,MAX(VLOOKUP(($AJ25-$AI25-$AH25-$AG25-$AF25-$AE25*(1+ID$3))/$AJ25,'Технический лист'!$A:$B,2,1),(IC25-0.05)))</f>
        <v/>
      </c>
      <c r="IE25" s="172">
        <f>MIN(1,MAX(VLOOKUP(($AJ25-$AI25-$AH25-$AG25-$AF25-$AE25*(1+IE$3))/$AJ25,'Технический лист'!$A:$B,2,1),(ID25-0.05)))</f>
        <v/>
      </c>
      <c r="IF25" s="172">
        <f>MIN(1,MAX(VLOOKUP(($AJ25-$AI25-$AH25-$AG25-$AF25-$AE25*(1+IF$3))/$AJ25,'Технический лист'!$A:$B,2,1),(IE25-0.05)))</f>
        <v/>
      </c>
      <c r="IG25" s="172">
        <f>MIN(1,MAX(VLOOKUP(($AJ25-$AI25-$AH25-$AG25-$AF25-$AE25*(1+IG$3))/$AJ25,'Технический лист'!$A:$B,2,1),(IF25-0.05)))</f>
        <v/>
      </c>
      <c r="IH25" s="172">
        <f>MIN(1,MAX(VLOOKUP(($AJ25-$AI25-$AH25-$AG25-$AF25-$AE25*(1+IH$3))/$AJ25,'Технический лист'!$A:$B,2,1),(IG25-0.05)))</f>
        <v/>
      </c>
      <c r="II25" s="172">
        <f>MIN(1,MAX(VLOOKUP(($AJ25-$AI25-$AH25-$AG25-$AF25-$AE25*(1+II$3))/$AJ25,'Технический лист'!$A:$B,2,1),(IH25-0.05)))</f>
        <v/>
      </c>
      <c r="IJ25" s="172">
        <f>MIN(1,MAX(VLOOKUP(($AJ25-$AI25-$AH25-$AG25-$AF25-$AE25*(1+IJ$3))/$AJ25,'Технический лист'!$A:$B,2,1),(II25-0.05)))</f>
        <v/>
      </c>
      <c r="IK25" s="172">
        <f>MIN(1,MAX(VLOOKUP(($AJ25-$AI25-$AH25-$AG25-$AF25-$AE25*(1+IK$3))/$AJ25,'Технический лист'!$A:$B,2,1),(IJ25-0.05)))</f>
        <v/>
      </c>
      <c r="IL25" s="172">
        <f>MIN(1,MAX(VLOOKUP(($AJ25-$AI25-$AH25-$AG25-$AF25-$AE25*(1+IL$3))/$AJ25,'Технический лист'!$A:$B,2,1),(IK25-0.05)))</f>
        <v/>
      </c>
      <c r="IM25" s="172">
        <f>MIN(1,MAX(VLOOKUP(($AJ25-$AI25-$AH25-$AG25-$AF25-$AE25*(1+IM$3))/$AJ25,'Технический лист'!$A:$B,2,1),(IL25-0.05)))</f>
        <v/>
      </c>
      <c r="IN25" s="172">
        <f>MIN(1,MAX(VLOOKUP(($AJ25-$AI25-$AH25-$AG25-$AF25-$AE25*(1+IN$3))/$AJ25,'Технический лист'!$A:$B,2,1),(IM25-0.05)))</f>
        <v/>
      </c>
      <c r="IO25" s="172">
        <f>MIN(1,MAX(VLOOKUP(($AJ25-$AI25-$AH25-$AG25-$AF25-$AE25*(1+IO$3))/$AJ25,'Технический лист'!$A:$B,2,1),(IN25-0.05)))</f>
        <v/>
      </c>
      <c r="IP25" s="172">
        <f>MIN(1,MAX(VLOOKUP(($AJ25-$AI25-$AH25-$AG25-$AF25-$AE25*(1+IP$3))/$AJ25,'Технический лист'!$A:$B,2,1),(IO25-0.05)))</f>
        <v/>
      </c>
      <c r="IQ25" s="172">
        <f>MIN(1,MAX(VLOOKUP(($AJ25-$AI25-$AH25-$AG25-$AF25-$AE25*(1+IQ$3))/$AJ25,'Технический лист'!$A:$B,2,1),(IP25-0.05)))</f>
        <v/>
      </c>
      <c r="IR25" s="172">
        <f>MIN(1,MAX(VLOOKUP(($AJ25-$AI25-$AH25-$AG25-$AF25-$AE25*(1+IR$3))/$AJ25,'Технический лист'!$A:$B,2,1),(IQ25-0.05)))</f>
        <v/>
      </c>
    </row>
    <row r="26" ht="43.75" customHeight="1" s="123">
      <c r="A26" s="89" t="inlineStr">
        <is>
          <t>ЧМ (сырье)</t>
        </is>
      </c>
      <c r="B26" s="90" t="n">
        <v>2</v>
      </c>
      <c r="C26" s="5" t="inlineStr">
        <is>
          <t>Кокс каменноугольный</t>
        </is>
      </c>
      <c r="D26" s="91" t="n">
        <v>17110</v>
      </c>
      <c r="E26" s="91" t="inlineStr">
        <is>
          <t xml:space="preserve">Кокс, не поименованный в алфавите </t>
        </is>
      </c>
      <c r="F26" s="92" t="inlineStr">
        <is>
          <t>КОКС КАМЕННОУГОЛЬНЫЙ</t>
        </is>
      </c>
      <c r="G26" s="91" t="inlineStr">
        <is>
          <t>ЮУР</t>
        </is>
      </c>
      <c r="H26" s="91" t="inlineStr">
        <is>
          <t>СКВ</t>
        </is>
      </c>
      <c r="I26" s="91" t="inlineStr">
        <is>
          <t>МЕТАЛЛУРГИЧ.</t>
        </is>
      </c>
      <c r="J26" s="91" t="inlineStr">
        <is>
          <t>ТЕМРЮК-ЭКСП</t>
        </is>
      </c>
      <c r="K26" s="91" t="n">
        <v>2850</v>
      </c>
      <c r="L26" s="91" t="inlineStr">
        <is>
          <t>Полувагоны</t>
        </is>
      </c>
      <c r="M26" s="91" t="inlineStr">
        <is>
          <t>Экспорт</t>
        </is>
      </c>
      <c r="N26" s="91" t="inlineStr">
        <is>
          <t>вагонная</t>
        </is>
      </c>
      <c r="O26" s="91" t="inlineStr">
        <is>
          <t xml:space="preserve">Южное </t>
        </is>
      </c>
      <c r="P26" s="89" t="inlineStr">
        <is>
          <t>'000000186465</t>
        </is>
      </c>
      <c r="Q26" s="91" t="inlineStr">
        <is>
          <t>ПАО "Челябинский металлургический комбинат"</t>
        </is>
      </c>
      <c r="R26" s="91" t="inlineStr">
        <is>
          <t>ПАО "Мечел"</t>
        </is>
      </c>
      <c r="S26" s="87" t="n">
        <v>18367</v>
      </c>
      <c r="T26" s="87" t="n">
        <v>52340331</v>
      </c>
      <c r="U26" s="88" t="n">
        <v>308</v>
      </c>
      <c r="V26" s="88" t="n">
        <v>0</v>
      </c>
      <c r="W26" s="87" t="n">
        <v>34970109</v>
      </c>
      <c r="X26" s="112" t="n">
        <v>60</v>
      </c>
      <c r="Y26" s="112" t="inlineStr">
        <is>
          <t>групповая</t>
        </is>
      </c>
      <c r="Z26" s="113" t="n">
        <v>11</v>
      </c>
      <c r="AA26" s="113" t="n">
        <v>8</v>
      </c>
      <c r="AB26" s="113" t="n">
        <v>4</v>
      </c>
      <c r="AC26" s="161" t="n">
        <v>2061.98</v>
      </c>
      <c r="AD26" s="161">
        <f>AE26-AC26</f>
        <v/>
      </c>
      <c r="AE26" s="161" t="n">
        <v>2780.2</v>
      </c>
      <c r="AF26" s="162">
        <f>(Z26+AA26+AB26)*'Ставки аренды'!$B$3/X26</f>
        <v/>
      </c>
      <c r="AG26" s="163">
        <f>'Ставки перевалки'!$B$3*'Курсы валют'!$B$2</f>
        <v/>
      </c>
      <c r="AH26" s="164" t="n">
        <v>0</v>
      </c>
      <c r="AI26" s="165">
        <f>131496272/143742760*AVERAGE(AJ26,AJ27)</f>
        <v/>
      </c>
      <c r="AJ26" s="166">
        <f>Цены!$C$8*'Курсы валют'!$B$2</f>
        <v/>
      </c>
      <c r="AK26" s="164">
        <f>AJ26/Цены!$B$1</f>
        <v/>
      </c>
      <c r="AL26" s="164">
        <f>AE26+AF26+AG26</f>
        <v/>
      </c>
      <c r="AM26" s="164">
        <f>AJ26-AL26</f>
        <v/>
      </c>
      <c r="AN26" s="164">
        <f>AI26+AH26+AG26+AF26+AE26</f>
        <v/>
      </c>
      <c r="AO26" s="167">
        <f>(AJ26-AN26)/AJ26</f>
        <v/>
      </c>
      <c r="AP26" s="168">
        <f>AL26/AJ26</f>
        <v/>
      </c>
      <c r="AQ26" s="168">
        <f>AE26/AJ26</f>
        <v/>
      </c>
      <c r="AR26" s="168">
        <f>AE26/AL26</f>
        <v/>
      </c>
      <c r="AS26" s="169" t="n">
        <v>1</v>
      </c>
      <c r="AT26" s="121">
        <f>S26*AS26</f>
        <v/>
      </c>
      <c r="AU26" s="83" t="n">
        <v>0.95</v>
      </c>
      <c r="AV26" s="170">
        <f>(AJ26-(AE26*(1+$IS$2)+AF26+AG26+AH26+AI26))/AJ26</f>
        <v/>
      </c>
      <c r="AW26" s="171">
        <f>(AE26*(1+$IS$2)+AF26+AG26)/AJ26</f>
        <v/>
      </c>
      <c r="AX26" s="171">
        <f>(AE26*(1+$IS$2))/AJ26</f>
        <v/>
      </c>
      <c r="AY26" s="171">
        <f>(AE26*(1+$IS$2))/(AE26*(1+$IS$2)+AF26+AG26)</f>
        <v/>
      </c>
      <c r="AZ26" s="172">
        <f>MIN(IF($AU26=100%,1,1+VLOOKUP(($AJ26-$AI26-$AH26-$AG26-$AF26-$AE26*(1+AZ$3))/$AJ26,'Технический лист'!$A:$B,2,1)-VLOOKUP($AO26,'Технический лист'!$A:$B,2,1)),1+(1-$AU26))</f>
        <v/>
      </c>
      <c r="BA26" s="172">
        <f>MIN(IF($AU26=100%,1,1+VLOOKUP(($AJ26-$AI26-$AH26-$AG26-$AF26-$AE26*(1+BA$3))/$AJ26,'Технический лист'!$A:$B,2,1)-VLOOKUP($AO26,'Технический лист'!$A:$B,2,1)),1+(1-$AU26))</f>
        <v/>
      </c>
      <c r="BB26" s="172">
        <f>MIN(IF($AU26=100%,1,1+VLOOKUP(($AJ26-$AI26-$AH26-$AG26-$AF26-$AE26*(1+BB$3))/$AJ26,'Технический лист'!$A:$B,2,1)-VLOOKUP($AO26,'Технический лист'!$A:$B,2,1)),1+(1-$AU26))</f>
        <v/>
      </c>
      <c r="BC26" s="172">
        <f>MIN(IF($AU26=100%,1,1+VLOOKUP(($AJ26-$AI26-$AH26-$AG26-$AF26-$AE26*(1+BC$3))/$AJ26,'Технический лист'!$A:$B,2,1)-VLOOKUP($AO26,'Технический лист'!$A:$B,2,1)),1+(1-$AU26))</f>
        <v/>
      </c>
      <c r="BD26" s="172">
        <f>MIN(IF($AU26=100%,1,1+VLOOKUP(($AJ26-$AI26-$AH26-$AG26-$AF26-$AE26*(1+BD$3))/$AJ26,'Технический лист'!$A:$B,2,1)-VLOOKUP($AO26,'Технический лист'!$A:$B,2,1)),1+(1-$AU26))</f>
        <v/>
      </c>
      <c r="BE26" s="172">
        <f>MIN(IF($AU26=100%,1,1+VLOOKUP(($AJ26-$AI26-$AH26-$AG26-$AF26-$AE26*(1+BE$3))/$AJ26,'Технический лист'!$A:$B,2,1)-VLOOKUP($AO26,'Технический лист'!$A:$B,2,1)),1+(1-$AU26))</f>
        <v/>
      </c>
      <c r="BF26" s="172">
        <f>MIN(IF($AU26=100%,1,1+VLOOKUP(($AJ26-$AI26-$AH26-$AG26-$AF26-$AE26*(1+BF$3))/$AJ26,'Технический лист'!$A:$B,2,1)-VLOOKUP($AO26,'Технический лист'!$A:$B,2,1)),1+(1-$AU26))</f>
        <v/>
      </c>
      <c r="BG26" s="172">
        <f>MIN(IF($AU26=100%,1,1+VLOOKUP(($AJ26-$AI26-$AH26-$AG26-$AF26-$AE26*(1+BG$3))/$AJ26,'Технический лист'!$A:$B,2,1)-VLOOKUP($AO26,'Технический лист'!$A:$B,2,1)),1+(1-$AU26))</f>
        <v/>
      </c>
      <c r="BH26" s="172">
        <f>MIN(IF($AU26=100%,1,1+VLOOKUP(($AJ26-$AI26-$AH26-$AG26-$AF26-$AE26*(1+BH$3))/$AJ26,'Технический лист'!$A:$B,2,1)-VLOOKUP($AO26,'Технический лист'!$A:$B,2,1)),1+(1-$AU26))</f>
        <v/>
      </c>
      <c r="BI26" s="172">
        <f>MIN(IF($AU26=100%,1,1+VLOOKUP(($AJ26-$AI26-$AH26-$AG26-$AF26-$AE26*(1+BI$3))/$AJ26,'Технический лист'!$A:$B,2,1)-VLOOKUP($AO26,'Технический лист'!$A:$B,2,1)),1+(1-$AU26))</f>
        <v/>
      </c>
      <c r="BJ26" s="172">
        <f>MIN(IF($AU26=100%,1,1+VLOOKUP(($AJ26-$AI26-$AH26-$AG26-$AF26-$AE26*(1+BJ$3))/$AJ26,'Технический лист'!$A:$B,2,1)-VLOOKUP($AO26,'Технический лист'!$A:$B,2,1)),1+(1-$AU26))</f>
        <v/>
      </c>
      <c r="BK26" s="172">
        <f>MIN(IF($AU26=100%,1,1+VLOOKUP(($AJ26-$AI26-$AH26-$AG26-$AF26-$AE26*(1+BK$3))/$AJ26,'Технический лист'!$A:$B,2,1)-VLOOKUP($AO26,'Технический лист'!$A:$B,2,1)),1+(1-$AU26))</f>
        <v/>
      </c>
      <c r="BL26" s="172">
        <f>MIN(IF($AU26=100%,1,1+VLOOKUP(($AJ26-$AI26-$AH26-$AG26-$AF26-$AE26*(1+BL$3))/$AJ26,'Технический лист'!$A:$B,2,1)-VLOOKUP($AO26,'Технический лист'!$A:$B,2,1)),1+(1-$AU26))</f>
        <v/>
      </c>
      <c r="BM26" s="172">
        <f>MIN(IF($AU26=100%,1,1+VLOOKUP(($AJ26-$AI26-$AH26-$AG26-$AF26-$AE26*(1+BM$3))/$AJ26,'Технический лист'!$A:$B,2,1)-VLOOKUP($AO26,'Технический лист'!$A:$B,2,1)),1+(1-$AU26))</f>
        <v/>
      </c>
      <c r="BN26" s="172">
        <f>MIN(IF($AU26=100%,1,1+VLOOKUP(($AJ26-$AI26-$AH26-$AG26-$AF26-$AE26*(1+BN$3))/$AJ26,'Технический лист'!$A:$B,2,1)-VLOOKUP($AO26,'Технический лист'!$A:$B,2,1)),1+(1-$AU26))</f>
        <v/>
      </c>
      <c r="BO26" s="172">
        <f>MIN(IF($AU26=100%,1,1+VLOOKUP(($AJ26-$AI26-$AH26-$AG26-$AF26-$AE26*(1+BO$3))/$AJ26,'Технический лист'!$A:$B,2,1)-VLOOKUP($AO26,'Технический лист'!$A:$B,2,1)),1+(1-$AU26))</f>
        <v/>
      </c>
      <c r="BP26" s="172">
        <f>MIN(IF($AU26=100%,1,1+VLOOKUP(($AJ26-$AI26-$AH26-$AG26-$AF26-$AE26*(1+BP$3))/$AJ26,'Технический лист'!$A:$B,2,1)-VLOOKUP($AO26,'Технический лист'!$A:$B,2,1)),1+(1-$AU26))</f>
        <v/>
      </c>
      <c r="BQ26" s="172">
        <f>MIN(IF($AU26=100%,1,1+VLOOKUP(($AJ26-$AI26-$AH26-$AG26-$AF26-$AE26*(1+BQ$3))/$AJ26,'Технический лист'!$A:$B,2,1)-VLOOKUP($AO26,'Технический лист'!$A:$B,2,1)),1+(1-$AU26))</f>
        <v/>
      </c>
      <c r="BR26" s="172">
        <f>MIN(IF($AU26=100%,1,1+VLOOKUP(($AJ26-$AI26-$AH26-$AG26-$AF26-$AE26*(1+BR$3))/$AJ26,'Технический лист'!$A:$B,2,1)-VLOOKUP($AO26,'Технический лист'!$A:$B,2,1)),1+(1-$AU26))</f>
        <v/>
      </c>
      <c r="BS26" s="172">
        <f>MIN(IF($AU26=100%,1,1+VLOOKUP(($AJ26-$AI26-$AH26-$AG26-$AF26-$AE26*(1+BS$3))/$AJ26,'Технический лист'!$A:$B,2,1)-VLOOKUP($AO26,'Технический лист'!$A:$B,2,1)),1+(1-$AU26))</f>
        <v/>
      </c>
      <c r="BT26" s="172">
        <f>MIN(IF($AU26=100%,1,1+VLOOKUP(($AJ26-$AI26-$AH26-$AG26-$AF26-$AE26*(1+BT$3))/$AJ26,'Технический лист'!$A:$B,2,1)-VLOOKUP($AO26,'Технический лист'!$A:$B,2,1)),1+(1-$AU26))</f>
        <v/>
      </c>
      <c r="BU26" s="172">
        <f>MIN(IF($AU26=100%,1,1+VLOOKUP(($AJ26-$AI26-$AH26-$AG26-$AF26-$AE26*(1+BU$3))/$AJ26,'Технический лист'!$A:$B,2,1)-VLOOKUP($AO26,'Технический лист'!$A:$B,2,1)),1+(1-$AU26))</f>
        <v/>
      </c>
      <c r="BV26" s="172">
        <f>MIN(IF($AU26=100%,1,1+VLOOKUP(($AJ26-$AI26-$AH26-$AG26-$AF26-$AE26*(1+BV$3))/$AJ26,'Технический лист'!$A:$B,2,1)-VLOOKUP($AO26,'Технический лист'!$A:$B,2,1)),1+(1-$AU26))</f>
        <v/>
      </c>
      <c r="BW26" s="172">
        <f>MIN(IF($AU26=100%,1,1+VLOOKUP(($AJ26-$AI26-$AH26-$AG26-$AF26-$AE26*(1+BW$3))/$AJ26,'Технический лист'!$A:$B,2,1)-VLOOKUP($AO26,'Технический лист'!$A:$B,2,1)),1+(1-$AU26))</f>
        <v/>
      </c>
      <c r="BX26" s="172">
        <f>MIN(IF($AU26=100%,1,1+VLOOKUP(($AJ26-$AI26-$AH26-$AG26-$AF26-$AE26*(1+BX$3))/$AJ26,'Технический лист'!$A:$B,2,1)-VLOOKUP($AO26,'Технический лист'!$A:$B,2,1)),1+(1-$AU26))</f>
        <v/>
      </c>
      <c r="BY26" s="172">
        <f>MIN(IF($AU26=100%,1,1+VLOOKUP(($AJ26-$AI26-$AH26-$AG26-$AF26-$AE26*(1+BY$3))/$AJ26,'Технический лист'!$A:$B,2,1)-VLOOKUP($AO26,'Технический лист'!$A:$B,2,1)),1+(1-$AU26))</f>
        <v/>
      </c>
      <c r="BZ26" s="172">
        <f>MIN(IF($AU26=100%,1,1+VLOOKUP(($AJ26-$AI26-$AH26-$AG26-$AF26-$AE26*(1+BZ$3))/$AJ26,'Технический лист'!$A:$B,2,1)-VLOOKUP($AO26,'Технический лист'!$A:$B,2,1)),1+(1-$AU26))</f>
        <v/>
      </c>
      <c r="CA26" s="172">
        <f>MIN(IF($AU26=100%,1,1+VLOOKUP(($AJ26-$AI26-$AH26-$AG26-$AF26-$AE26*(1+CA$3))/$AJ26,'Технический лист'!$A:$B,2,1)-VLOOKUP($AO26,'Технический лист'!$A:$B,2,1)),1+(1-$AU26))</f>
        <v/>
      </c>
      <c r="CB26" s="172">
        <f>MIN(IF($AU26=100%,1,1+VLOOKUP(($AJ26-$AI26-$AH26-$AG26-$AF26-$AE26*(1+CB$3))/$AJ26,'Технический лист'!$A:$B,2,1)-VLOOKUP($AO26,'Технический лист'!$A:$B,2,1)),1+(1-$AU26))</f>
        <v/>
      </c>
      <c r="CC26" s="172">
        <f>MIN(IF($AU26=100%,1,1+VLOOKUP(($AJ26-$AI26-$AH26-$AG26-$AF26-$AE26*(1+CC$3))/$AJ26,'Технический лист'!$A:$B,2,1)-VLOOKUP($AO26,'Технический лист'!$A:$B,2,1)),1+(1-$AU26))</f>
        <v/>
      </c>
      <c r="CD26" s="172">
        <f>MIN(IF($AU26=100%,1,1+VLOOKUP(($AJ26-$AI26-$AH26-$AG26-$AF26-$AE26*(1+CD$3))/$AJ26,'Технический лист'!$A:$B,2,1)-VLOOKUP($AO26,'Технический лист'!$A:$B,2,1)),1+(1-$AU26))</f>
        <v/>
      </c>
      <c r="CE26" s="172">
        <f>MIN(IF($AU26=100%,1,1+VLOOKUP(($AJ26-$AI26-$AH26-$AG26-$AF26-$AE26*(1+CE$3))/$AJ26,'Технический лист'!$A:$B,2,1)-VLOOKUP($AO26,'Технический лист'!$A:$B,2,1)),1+(1-$AU26))</f>
        <v/>
      </c>
      <c r="CF26" s="172">
        <f>MIN(IF($AU26=100%,1,1+VLOOKUP(($AJ26-$AI26-$AH26-$AG26-$AF26-$AE26*(1+CF$3))/$AJ26,'Технический лист'!$A:$B,2,1)-VLOOKUP($AO26,'Технический лист'!$A:$B,2,1)),1+(1-$AU26))</f>
        <v/>
      </c>
      <c r="CG26" s="172">
        <f>MIN(IF($AU26=100%,1,1+VLOOKUP(($AJ26-$AI26-$AH26-$AG26-$AF26-$AE26*(1+CG$3))/$AJ26,'Технический лист'!$A:$B,2,1)-VLOOKUP($AO26,'Технический лист'!$A:$B,2,1)),1+(1-$AU26))</f>
        <v/>
      </c>
      <c r="CH26" s="172">
        <f>MIN(IF($AU26=100%,1,1+VLOOKUP(($AJ26-$AI26-$AH26-$AG26-$AF26-$AE26*(1+CH$3))/$AJ26,'Технический лист'!$A:$B,2,1)-VLOOKUP($AO26,'Технический лист'!$A:$B,2,1)),1+(1-$AU26))</f>
        <v/>
      </c>
      <c r="CI26" s="172">
        <f>MIN(IF($AU26=100%,1,1+VLOOKUP(($AJ26-$AI26-$AH26-$AG26-$AF26-$AE26*(1+CI$3))/$AJ26,'Технический лист'!$A:$B,2,1)-VLOOKUP($AO26,'Технический лист'!$A:$B,2,1)),1+(1-$AU26))</f>
        <v/>
      </c>
      <c r="CJ26" s="172">
        <f>MIN(IF($AU26=100%,1,1+VLOOKUP(($AJ26-$AI26-$AH26-$AG26-$AF26-$AE26*(1+CJ$3))/$AJ26,'Технический лист'!$A:$B,2,1)-VLOOKUP($AO26,'Технический лист'!$A:$B,2,1)),1+(1-$AU26))</f>
        <v/>
      </c>
      <c r="CK26" s="172">
        <f>MIN(IF($AU26=100%,1,1+VLOOKUP(($AJ26-$AI26-$AH26-$AG26-$AF26-$AE26*(1+CK$3))/$AJ26,'Технический лист'!$A:$B,2,1)-VLOOKUP($AO26,'Технический лист'!$A:$B,2,1)),1+(1-$AU26))</f>
        <v/>
      </c>
      <c r="CL26" s="172">
        <f>MIN(IF($AU26=100%,1,1+VLOOKUP(($AJ26-$AI26-$AH26-$AG26-$AF26-$AE26*(1+CL$3))/$AJ26,'Технический лист'!$A:$B,2,1)-VLOOKUP($AO26,'Технический лист'!$A:$B,2,1)),1+(1-$AU26))</f>
        <v/>
      </c>
      <c r="CM26" s="172">
        <f>MIN(IF($AU26=100%,1,1+VLOOKUP(($AJ26-$AI26-$AH26-$AG26-$AF26-$AE26*(1+CM$3))/$AJ26,'Технический лист'!$A:$B,2,1)-VLOOKUP($AO26,'Технический лист'!$A:$B,2,1)),1+(1-$AU26))</f>
        <v/>
      </c>
      <c r="CN26" s="172">
        <f>MIN(IF($AU26=100%,1,1+VLOOKUP(($AJ26-$AI26-$AH26-$AG26-$AF26-$AE26*(1+CN$3))/$AJ26,'Технический лист'!$A:$B,2,1)-VLOOKUP($AO26,'Технический лист'!$A:$B,2,1)),1+(1-$AU26))</f>
        <v/>
      </c>
      <c r="CO26" s="172">
        <f>MIN(IF($AU26=100%,1,1+VLOOKUP(($AJ26-$AI26-$AH26-$AG26-$AF26-$AE26*(1+CO$3))/$AJ26,'Технический лист'!$A:$B,2,1)-VLOOKUP($AO26,'Технический лист'!$A:$B,2,1)),1+(1-$AU26))</f>
        <v/>
      </c>
      <c r="CP26" s="172">
        <f>MIN(IF($AU26=100%,1,1+VLOOKUP(($AJ26-$AI26-$AH26-$AG26-$AF26-$AE26*(1+CP$3))/$AJ26,'Технический лист'!$A:$B,2,1)-VLOOKUP($AO26,'Технический лист'!$A:$B,2,1)),1+(1-$AU26))</f>
        <v/>
      </c>
      <c r="CQ26" s="172">
        <f>MIN(IF($AU26=100%,1,1+VLOOKUP(($AJ26-$AI26-$AH26-$AG26-$AF26-$AE26*(1+CQ$3))/$AJ26,'Технический лист'!$A:$B,2,1)-VLOOKUP($AO26,'Технический лист'!$A:$B,2,1)),1+(1-$AU26))</f>
        <v/>
      </c>
      <c r="CR26" s="172">
        <f>MIN(IF($AU26=100%,1,1+VLOOKUP(($AJ26-$AI26-$AH26-$AG26-$AF26-$AE26*(1+CR$3))/$AJ26,'Технический лист'!$A:$B,2,1)-VLOOKUP($AO26,'Технический лист'!$A:$B,2,1)),1+(1-$AU26))</f>
        <v/>
      </c>
      <c r="CS26" s="172">
        <f>MIN(IF($AU26=100%,1,1+VLOOKUP(($AJ26-$AI26-$AH26-$AG26-$AF26-$AE26*(1+CS$3))/$AJ26,'Технический лист'!$A:$B,2,1)-VLOOKUP($AO26,'Технический лист'!$A:$B,2,1)),1+(1-$AU26))</f>
        <v/>
      </c>
      <c r="CT26" s="172">
        <f>MIN(IF($AU26=100%,1,1+VLOOKUP(($AJ26-$AI26-$AH26-$AG26-$AF26-$AE26*(1+CT$3))/$AJ26,'Технический лист'!$A:$B,2,1)-VLOOKUP($AO26,'Технический лист'!$A:$B,2,1)),1+(1-$AU26))</f>
        <v/>
      </c>
      <c r="CU26" s="172">
        <f>MIN(IF($AU26=100%,1,1+VLOOKUP(($AJ26-$AI26-$AH26-$AG26-$AF26-$AE26*(1+CU$3))/$AJ26,'Технический лист'!$A:$B,2,1)-VLOOKUP($AO26,'Технический лист'!$A:$B,2,1)),1+(1-$AU26))</f>
        <v/>
      </c>
      <c r="CV26" s="172">
        <f>MIN(IF($AU26=100%,1,1+VLOOKUP(($AJ26-$AI26-$AH26-$AG26-$AF26-$AE26*(1+CV$3))/$AJ26,'Технический лист'!$A:$B,2,1)-VLOOKUP($AO26,'Технический лист'!$A:$B,2,1)),1+(1-$AU26))</f>
        <v/>
      </c>
      <c r="CW26" s="172">
        <f>MIN(IF($AU26=100%,1,1+VLOOKUP(($AJ26-$AI26-$AH26-$AG26-$AF26-$AE26*(1+CW$3))/$AJ26,'Технический лист'!$A:$B,2,1)-VLOOKUP($AO26,'Технический лист'!$A:$B,2,1)),1+(1-$AU26))</f>
        <v/>
      </c>
      <c r="CX26" s="172">
        <f>MIN(IF($AU26=100%,1,1+VLOOKUP(($AJ26-$AI26-$AH26-$AG26-$AF26-$AE26*(1+CX$3))/$AJ26,'Технический лист'!$A:$B,2,1)-VLOOKUP($AO26,'Технический лист'!$A:$B,2,1)),1+(1-$AU26))</f>
        <v/>
      </c>
      <c r="CY26" s="172">
        <f>MIN(IF($AU26=100%,1,1+VLOOKUP(($AJ26-$AI26-$AH26-$AG26-$AF26-$AE26*(1+CY$3))/$AJ26,'Технический лист'!$A:$B,2,1)-VLOOKUP($AO26,'Технический лист'!$A:$B,2,1)),1+(1-$AU26))</f>
        <v/>
      </c>
      <c r="CZ26" s="172">
        <f>MIN(IF($AU26=100%,1,1+VLOOKUP(($AJ26-$AI26-$AH26-$AG26-$AF26-$AE26*(1+CZ$3))/$AJ26,'Технический лист'!$A:$B,2,1)-VLOOKUP($AO26,'Технический лист'!$A:$B,2,1)),1+(1-$AU26))</f>
        <v/>
      </c>
      <c r="DA26" s="172">
        <f>MIN(IF($AU26=100%,1,1+VLOOKUP(($AJ26-$AI26-$AH26-$AG26-$AF26-$AE26*(1+DA$3))/$AJ26,'Технический лист'!$A:$B,2,1)-VLOOKUP($AO26,'Технический лист'!$A:$B,2,1)),1+(1-$AU26))</f>
        <v/>
      </c>
      <c r="DB26" s="172">
        <f>MIN(IF($AU26=100%,1,1+VLOOKUP(($AJ26-$AI26-$AH26-$AG26-$AF26-$AE26*(1+DB$3))/$AJ26,'Технический лист'!$A:$B,2,1)-VLOOKUP($AO26,'Технический лист'!$A:$B,2,1)),1+(1-$AU26))</f>
        <v/>
      </c>
      <c r="DC26" s="172">
        <f>MIN(IF($AU26=100%,1,1+VLOOKUP(($AJ26-$AI26-$AH26-$AG26-$AF26-$AE26*(1+DC$3))/$AJ26,'Технический лист'!$A:$B,2,1)-VLOOKUP($AO26,'Технический лист'!$A:$B,2,1)),1+(1-$AU26))</f>
        <v/>
      </c>
      <c r="DD26" s="172">
        <f>MIN(IF($AU26=100%,1,1+VLOOKUP(($AJ26-$AI26-$AH26-$AG26-$AF26-$AE26*(1+DD$3))/$AJ26,'Технический лист'!$A:$B,2,1)-VLOOKUP($AO26,'Технический лист'!$A:$B,2,1)),1+(1-$AU26))</f>
        <v/>
      </c>
      <c r="DE26" s="172">
        <f>MIN(IF($AU26=100%,1,1+VLOOKUP(($AJ26-$AI26-$AH26-$AG26-$AF26-$AE26*(1+DE$3))/$AJ26,'Технический лист'!$A:$B,2,1)-VLOOKUP($AO26,'Технический лист'!$A:$B,2,1)),1+(1-$AU26))</f>
        <v/>
      </c>
      <c r="DF26" s="172">
        <f>MIN(IF($AU26=100%,1,1+VLOOKUP(($AJ26-$AI26-$AH26-$AG26-$AF26-$AE26*(1+DF$3))/$AJ26,'Технический лист'!$A:$B,2,1)-VLOOKUP($AO26,'Технический лист'!$A:$B,2,1)),1+(1-$AU26))</f>
        <v/>
      </c>
      <c r="DG26" s="172">
        <f>MIN(IF($AU26=100%,1,1+VLOOKUP(($AJ26-$AI26-$AH26-$AG26-$AF26-$AE26*(1+DG$3))/$AJ26,'Технический лист'!$A:$B,2,1)-VLOOKUP($AO26,'Технический лист'!$A:$B,2,1)),1+(1-$AU26))</f>
        <v/>
      </c>
      <c r="DH26" s="172">
        <f>MIN(IF($AU26=100%,1,1+VLOOKUP(($AJ26-$AI26-$AH26-$AG26-$AF26-$AE26*(1+DH$3))/$AJ26,'Технический лист'!$A:$B,2,1)-VLOOKUP($AO26,'Технический лист'!$A:$B,2,1)),1+(1-$AU26))</f>
        <v/>
      </c>
      <c r="DI26" s="172">
        <f>MIN(IF($AU26=100%,1,1+VLOOKUP(($AJ26-$AI26-$AH26-$AG26-$AF26-$AE26*(1+DI$3))/$AJ26,'Технический лист'!$A:$B,2,1)-VLOOKUP($AO26,'Технический лист'!$A:$B,2,1)),1+(1-$AU26))</f>
        <v/>
      </c>
      <c r="DJ26" s="172">
        <f>MIN(IF($AU26=100%,1,1+VLOOKUP(($AJ26-$AI26-$AH26-$AG26-$AF26-$AE26*(1+DJ$3))/$AJ26,'Технический лист'!$A:$B,2,1)-VLOOKUP($AO26,'Технический лист'!$A:$B,2,1)),1+(1-$AU26))</f>
        <v/>
      </c>
      <c r="DK26" s="172">
        <f>MIN(IF($AU26=100%,1,1+VLOOKUP(($AJ26-$AI26-$AH26-$AG26-$AF26-$AE26*(1+DK$3))/$AJ26,'Технический лист'!$A:$B,2,1)-VLOOKUP($AO26,'Технический лист'!$A:$B,2,1)),1+(1-$AU26))</f>
        <v/>
      </c>
      <c r="DL26" s="172">
        <f>MIN(IF($AU26=100%,1,1+VLOOKUP(($AJ26-$AI26-$AH26-$AG26-$AF26-$AE26*(1+DL$3))/$AJ26,'Технический лист'!$A:$B,2,1)-VLOOKUP($AO26,'Технический лист'!$A:$B,2,1)),1+(1-$AU26))</f>
        <v/>
      </c>
      <c r="DM26" s="172">
        <f>MIN(IF($AU26=100%,1,1+VLOOKUP(($AJ26-$AI26-$AH26-$AG26-$AF26-$AE26*(1+DM$3))/$AJ26,'Технический лист'!$A:$B,2,1)-VLOOKUP($AO26,'Технический лист'!$A:$B,2,1)),1+(1-$AU26))</f>
        <v/>
      </c>
      <c r="DN26" s="172">
        <f>MIN(IF($AU26=100%,1,1+VLOOKUP(($AJ26-$AI26-$AH26-$AG26-$AF26-$AE26*(1+DN$3))/$AJ26,'Технический лист'!$A:$B,2,1)-VLOOKUP($AO26,'Технический лист'!$A:$B,2,1)),1+(1-$AU26))</f>
        <v/>
      </c>
      <c r="DO26" s="172">
        <f>MIN(IF($AU26=100%,1,1+VLOOKUP(($AJ26-$AI26-$AH26-$AG26-$AF26-$AE26*(1+DO$3))/$AJ26,'Технический лист'!$A:$B,2,1)-VLOOKUP($AO26,'Технический лист'!$A:$B,2,1)),1+(1-$AU26))</f>
        <v/>
      </c>
      <c r="DP26" s="172">
        <f>MIN(IF($AU26=100%,1,1+VLOOKUP(($AJ26-$AI26-$AH26-$AG26-$AF26-$AE26*(1+DP$3))/$AJ26,'Технический лист'!$A:$B,2,1)-VLOOKUP($AO26,'Технический лист'!$A:$B,2,1)),1+(1-$AU26))</f>
        <v/>
      </c>
      <c r="DQ26" s="172">
        <f>MIN(IF($AU26=100%,1,1+VLOOKUP(($AJ26-$AI26-$AH26-$AG26-$AF26-$AE26*(1+DQ$3))/$AJ26,'Технический лист'!$A:$B,2,1)-VLOOKUP($AO26,'Технический лист'!$A:$B,2,1)),1+(1-$AU26))</f>
        <v/>
      </c>
      <c r="DR26" s="172">
        <f>MIN(IF($AU26=100%,1,1+VLOOKUP(($AJ26-$AI26-$AH26-$AG26-$AF26-$AE26*(1+DR$3))/$AJ26,'Технический лист'!$A:$B,2,1)-VLOOKUP($AO26,'Технический лист'!$A:$B,2,1)),1+(1-$AU26))</f>
        <v/>
      </c>
      <c r="DS26" s="172">
        <f>MIN(IF($AU26=100%,1,1+VLOOKUP(($AJ26-$AI26-$AH26-$AG26-$AF26-$AE26*(1+DS$3))/$AJ26,'Технический лист'!$A:$B,2,1)-VLOOKUP($AO26,'Технический лист'!$A:$B,2,1)),1+(1-$AU26))</f>
        <v/>
      </c>
      <c r="DT26" s="172">
        <f>MIN(IF($AU26=100%,1,1+VLOOKUP(($AJ26-$AI26-$AH26-$AG26-$AF26-$AE26*(1+DT$3))/$AJ26,'Технический лист'!$A:$B,2,1)-VLOOKUP($AO26,'Технический лист'!$A:$B,2,1)),1+(1-$AU26))</f>
        <v/>
      </c>
      <c r="DU26" s="172">
        <f>MIN(IF($AU26=100%,1,1+VLOOKUP(($AJ26-$AI26-$AH26-$AG26-$AF26-$AE26*(1+DU$3))/$AJ26,'Технический лист'!$A:$B,2,1)-VLOOKUP($AO26,'Технический лист'!$A:$B,2,1)),1+(1-$AU26))</f>
        <v/>
      </c>
      <c r="DV26" s="172">
        <f>MIN(IF($AU26=100%,1,1+VLOOKUP(($AJ26-$AI26-$AH26-$AG26-$AF26-$AE26*(1+DV$3))/$AJ26,'Технический лист'!$A:$B,2,1)-VLOOKUP($AO26,'Технический лист'!$A:$B,2,1)),1+(1-$AU26))</f>
        <v/>
      </c>
      <c r="DW26" s="172">
        <f>MIN(IF($AU26=100%,1,1+VLOOKUP(($AJ26-$AI26-$AH26-$AG26-$AF26-$AE26*(1+DW$3))/$AJ26,'Технический лист'!$A:$B,2,1)-VLOOKUP($AO26,'Технический лист'!$A:$B,2,1)),1+(1-$AU26))</f>
        <v/>
      </c>
      <c r="DX26" s="172">
        <f>MIN(IF($AU26=100%,1,1+VLOOKUP(($AJ26-$AI26-$AH26-$AG26-$AF26-$AE26*(1+DX$3))/$AJ26,'Технический лист'!$A:$B,2,1)-VLOOKUP($AO26,'Технический лист'!$A:$B,2,1)),1+(1-$AU26))</f>
        <v/>
      </c>
      <c r="DY26" s="172">
        <f>MIN(IF($AU26=100%,1,1+VLOOKUP(($AJ26-$AI26-$AH26-$AG26-$AF26-$AE26*(1+DY$3))/$AJ26,'Технический лист'!$A:$B,2,1)-VLOOKUP($AO26,'Технический лист'!$A:$B,2,1)),1+(1-$AU26))</f>
        <v/>
      </c>
      <c r="DZ26" s="172">
        <f>MIN(IF($AU26=100%,1,1+VLOOKUP(($AJ26-$AI26-$AH26-$AG26-$AF26-$AE26*(1+DZ$3))/$AJ26,'Технический лист'!$A:$B,2,1)-VLOOKUP($AO26,'Технический лист'!$A:$B,2,1)),1+(1-$AU26))</f>
        <v/>
      </c>
      <c r="EA26" s="172">
        <f>MIN(IF($AU26=100%,1,1+VLOOKUP(($AJ26-$AI26-$AH26-$AG26-$AF26-$AE26*(1+EA$3))/$AJ26,'Технический лист'!$A:$B,2,1)-VLOOKUP($AO26,'Технический лист'!$A:$B,2,1)),1+(1-$AU26))</f>
        <v/>
      </c>
      <c r="EB26" s="172">
        <f>MIN(IF($AU26=100%,1,1+VLOOKUP(($AJ26-$AI26-$AH26-$AG26-$AF26-$AE26*(1+EB$3))/$AJ26,'Технический лист'!$A:$B,2,1)-VLOOKUP($AO26,'Технический лист'!$A:$B,2,1)),1+(1-$AU26))</f>
        <v/>
      </c>
      <c r="EC26" s="172">
        <f>MIN(IF($AU26=100%,1,1+VLOOKUP(($AJ26-$AI26-$AH26-$AG26-$AF26-$AE26*(1+EC$3))/$AJ26,'Технический лист'!$A:$B,2,1)-VLOOKUP($AO26,'Технический лист'!$A:$B,2,1)),1+(1-$AU26))</f>
        <v/>
      </c>
      <c r="ED26" s="172">
        <f>MIN(IF($AU26=100%,1,1+VLOOKUP(($AJ26-$AI26-$AH26-$AG26-$AF26-$AE26*(1+ED$3))/$AJ26,'Технический лист'!$A:$B,2,1)-VLOOKUP($AO26,'Технический лист'!$A:$B,2,1)),1+(1-$AU26))</f>
        <v/>
      </c>
      <c r="EE26" s="172">
        <f>MIN(IF($AU26=100%,1,1+VLOOKUP(($AJ26-$AI26-$AH26-$AG26-$AF26-$AE26*(1+EE$3))/$AJ26,'Технический лист'!$A:$B,2,1)-VLOOKUP($AO26,'Технический лист'!$A:$B,2,1)),1+(1-$AU26))</f>
        <v/>
      </c>
      <c r="EF26" s="172">
        <f>MIN(IF($AU26=100%,1,1+VLOOKUP(($AJ26-$AI26-$AH26-$AG26-$AF26-$AE26*(1+EF$3))/$AJ26,'Технический лист'!$A:$B,2,1)-VLOOKUP($AO26,'Технический лист'!$A:$B,2,1)),1+(1-$AU26))</f>
        <v/>
      </c>
      <c r="EG26" s="172">
        <f>MIN(IF($AU26=100%,1,1+VLOOKUP(($AJ26-$AI26-$AH26-$AG26-$AF26-$AE26*(1+EG$3))/$AJ26,'Технический лист'!$A:$B,2,1)-VLOOKUP($AO26,'Технический лист'!$A:$B,2,1)),1+(1-$AU26))</f>
        <v/>
      </c>
      <c r="EH26" s="172">
        <f>MIN(IF($AU26=100%,1,1+VLOOKUP(($AJ26-$AI26-$AH26-$AG26-$AF26-$AE26*(1+EH$3))/$AJ26,'Технический лист'!$A:$B,2,1)-VLOOKUP($AO26,'Технический лист'!$A:$B,2,1)),1+(1-$AU26))</f>
        <v/>
      </c>
      <c r="EI26" s="172">
        <f>MIN(IF($AU26=100%,1,1+VLOOKUP(($AJ26-$AI26-$AH26-$AG26-$AF26-$AE26*(1+EI$3))/$AJ26,'Технический лист'!$A:$B,2,1)-VLOOKUP($AO26,'Технический лист'!$A:$B,2,1)),1+(1-$AU26))</f>
        <v/>
      </c>
      <c r="EJ26" s="172">
        <f>MIN(IF($AU26=100%,1,1+VLOOKUP(($AJ26-$AI26-$AH26-$AG26-$AF26-$AE26*(1+EJ$3))/$AJ26,'Технический лист'!$A:$B,2,1)-VLOOKUP($AO26,'Технический лист'!$A:$B,2,1)),1+(1-$AU26))</f>
        <v/>
      </c>
      <c r="EK26" s="172">
        <f>MIN(IF($AU26=100%,1,1+VLOOKUP(($AJ26-$AI26-$AH26-$AG26-$AF26-$AE26*(1+EK$3))/$AJ26,'Технический лист'!$A:$B,2,1)-VLOOKUP($AO26,'Технический лист'!$A:$B,2,1)),1+(1-$AU26))</f>
        <v/>
      </c>
      <c r="EL26" s="172">
        <f>MIN(IF($AU26=100%,1,1+VLOOKUP(($AJ26-$AI26-$AH26-$AG26-$AF26-$AE26*(1+EL$3))/$AJ26,'Технический лист'!$A:$B,2,1)-VLOOKUP($AO26,'Технический лист'!$A:$B,2,1)),1+(1-$AU26))</f>
        <v/>
      </c>
      <c r="EM26" s="172">
        <f>MIN(IF($AU26=100%,1,1+VLOOKUP(($AJ26-$AI26-$AH26-$AG26-$AF26-$AE26*(1+EM$3))/$AJ26,'Технический лист'!$A:$B,2,1)-VLOOKUP($AO26,'Технический лист'!$A:$B,2,1)),1+(1-$AU26))</f>
        <v/>
      </c>
      <c r="EN26" s="172">
        <f>MIN(IF($AU26=100%,1,1+VLOOKUP(($AJ26-$AI26-$AH26-$AG26-$AF26-$AE26*(1+EN$3))/$AJ26,'Технический лист'!$A:$B,2,1)-VLOOKUP($AO26,'Технический лист'!$A:$B,2,1)),1+(1-$AU26))</f>
        <v/>
      </c>
      <c r="EO26" s="172">
        <f>MIN(IF($AU26=100%,1,1+VLOOKUP(($AJ26-$AI26-$AH26-$AG26-$AF26-$AE26*(1+EO$3))/$AJ26,'Технический лист'!$A:$B,2,1)-VLOOKUP($AO26,'Технический лист'!$A:$B,2,1)),1+(1-$AU26))</f>
        <v/>
      </c>
      <c r="EP26" s="172">
        <f>MIN(IF($AU26=100%,1,1+VLOOKUP(($AJ26-$AI26-$AH26-$AG26-$AF26-$AE26*(1+EP$3))/$AJ26,'Технический лист'!$A:$B,2,1)-VLOOKUP($AO26,'Технический лист'!$A:$B,2,1)),1+(1-$AU26))</f>
        <v/>
      </c>
      <c r="EQ26" s="172">
        <f>MIN(IF($AU26=100%,1,1+VLOOKUP(($AJ26-$AI26-$AH26-$AG26-$AF26-$AE26*(1+EQ$3))/$AJ26,'Технический лист'!$A:$B,2,1)-VLOOKUP($AO26,'Технический лист'!$A:$B,2,1)),1+(1-$AU26))</f>
        <v/>
      </c>
      <c r="ER26" s="172">
        <f>MIN(IF($AU26=100%,1,1+VLOOKUP(($AJ26-$AI26-$AH26-$AG26-$AF26-$AE26*(1+ER$3))/$AJ26,'Технический лист'!$A:$B,2,1)-VLOOKUP($AO26,'Технический лист'!$A:$B,2,1)),1+(1-$AU26))</f>
        <v/>
      </c>
      <c r="ES26" s="172">
        <f>MIN(IF($AU26=100%,1,1+VLOOKUP(($AJ26-$AI26-$AH26-$AG26-$AF26-$AE26*(1+ES$3))/$AJ26,'Технический лист'!$A:$B,2,1)-VLOOKUP($AO26,'Технический лист'!$A:$B,2,1)),1+(1-$AU26))</f>
        <v/>
      </c>
      <c r="ET26" s="172">
        <f>MIN(IF($AU26=100%,1,1+VLOOKUP(($AJ26-$AI26-$AH26-$AG26-$AF26-$AE26*(1+ET$3))/$AJ26,'Технический лист'!$A:$B,2,1)-VLOOKUP($AO26,'Технический лист'!$A:$B,2,1)),1+(1-$AU26))</f>
        <v/>
      </c>
      <c r="EU26" s="172">
        <f>MIN(IF($AU26=100%,1,1+VLOOKUP(($AJ26-$AI26-$AH26-$AG26-$AF26-$AE26*(1+EU$3))/$AJ26,'Технический лист'!$A:$B,2,1)-VLOOKUP($AO26,'Технический лист'!$A:$B,2,1)),1+(1-$AU26))</f>
        <v/>
      </c>
      <c r="EV26" s="173" t="n">
        <v>1</v>
      </c>
      <c r="EW26" s="172">
        <f>MIN(1,MAX(VLOOKUP(($AJ26-$AI26-$AH26-$AG26-$AF26-$AE26*(1+EW$3))/$AJ26,'Технический лист'!$A:$B,2,1),(EV26-0.05)))</f>
        <v/>
      </c>
      <c r="EX26" s="172">
        <f>MIN(1,MAX(VLOOKUP(($AJ26-$AI26-$AH26-$AG26-$AF26-$AE26*(1+EX$3))/$AJ26,'Технический лист'!$A:$B,2,1),(EW26-0.05)))</f>
        <v/>
      </c>
      <c r="EY26" s="172">
        <f>MIN(1,MAX(VLOOKUP(($AJ26-$AI26-$AH26-$AG26-$AF26-$AE26*(1+EY$3))/$AJ26,'Технический лист'!$A:$B,2,1),(EX26-0.05)))</f>
        <v/>
      </c>
      <c r="EZ26" s="172">
        <f>MIN(1,MAX(VLOOKUP(($AJ26-$AI26-$AH26-$AG26-$AF26-$AE26*(1+EZ$3))/$AJ26,'Технический лист'!$A:$B,2,1),(EY26-0.05)))</f>
        <v/>
      </c>
      <c r="FA26" s="172">
        <f>MIN(1,MAX(VLOOKUP(($AJ26-$AI26-$AH26-$AG26-$AF26-$AE26*(1+FA$3))/$AJ26,'Технический лист'!$A:$B,2,1),(EZ26-0.05)))</f>
        <v/>
      </c>
      <c r="FB26" s="172">
        <f>MIN(1,MAX(VLOOKUP(($AJ26-$AI26-$AH26-$AG26-$AF26-$AE26*(1+FB$3))/$AJ26,'Технический лист'!$A:$B,2,1),(FA26-0.05)))</f>
        <v/>
      </c>
      <c r="FC26" s="172">
        <f>MIN(1,MAX(VLOOKUP(($AJ26-$AI26-$AH26-$AG26-$AF26-$AE26*(1+FC$3))/$AJ26,'Технический лист'!$A:$B,2,1),(FB26-0.05)))</f>
        <v/>
      </c>
      <c r="FD26" s="172">
        <f>MIN(1,MAX(VLOOKUP(($AJ26-$AI26-$AH26-$AG26-$AF26-$AE26*(1+FD$3))/$AJ26,'Технический лист'!$A:$B,2,1),(FC26-0.05)))</f>
        <v/>
      </c>
      <c r="FE26" s="172">
        <f>MIN(1,MAX(VLOOKUP(($AJ26-$AI26-$AH26-$AG26-$AF26-$AE26*(1+FE$3))/$AJ26,'Технический лист'!$A:$B,2,1),(FD26-0.05)))</f>
        <v/>
      </c>
      <c r="FF26" s="172">
        <f>MIN(1,MAX(VLOOKUP(($AJ26-$AI26-$AH26-$AG26-$AF26-$AE26*(1+FF$3))/$AJ26,'Технический лист'!$A:$B,2,1),(FE26-0.05)))</f>
        <v/>
      </c>
      <c r="FG26" s="172">
        <f>MIN(1,MAX(VLOOKUP(($AJ26-$AI26-$AH26-$AG26-$AF26-$AE26*(1+FG$3))/$AJ26,'Технический лист'!$A:$B,2,1),(FF26-0.05)))</f>
        <v/>
      </c>
      <c r="FH26" s="172">
        <f>MIN(1,MAX(VLOOKUP(($AJ26-$AI26-$AH26-$AG26-$AF26-$AE26*(1+FH$3))/$AJ26,'Технический лист'!$A:$B,2,1),(FG26-0.05)))</f>
        <v/>
      </c>
      <c r="FI26" s="172">
        <f>MIN(1,MAX(VLOOKUP(($AJ26-$AI26-$AH26-$AG26-$AF26-$AE26*(1+FI$3))/$AJ26,'Технический лист'!$A:$B,2,1),(FH26-0.05)))</f>
        <v/>
      </c>
      <c r="FJ26" s="172">
        <f>MIN(1,MAX(VLOOKUP(($AJ26-$AI26-$AH26-$AG26-$AF26-$AE26*(1+FJ$3))/$AJ26,'Технический лист'!$A:$B,2,1),(FI26-0.05)))</f>
        <v/>
      </c>
      <c r="FK26" s="172">
        <f>MIN(1,MAX(VLOOKUP(($AJ26-$AI26-$AH26-$AG26-$AF26-$AE26*(1+FK$3))/$AJ26,'Технический лист'!$A:$B,2,1),(FJ26-0.05)))</f>
        <v/>
      </c>
      <c r="FL26" s="172">
        <f>MIN(1,MAX(VLOOKUP(($AJ26-$AI26-$AH26-$AG26-$AF26-$AE26*(1+FL$3))/$AJ26,'Технический лист'!$A:$B,2,1),(FK26-0.05)))</f>
        <v/>
      </c>
      <c r="FM26" s="172">
        <f>MIN(1,MAX(VLOOKUP(($AJ26-$AI26-$AH26-$AG26-$AF26-$AE26*(1+FM$3))/$AJ26,'Технический лист'!$A:$B,2,1),(FL26-0.05)))</f>
        <v/>
      </c>
      <c r="FN26" s="172">
        <f>MIN(1,MAX(VLOOKUP(($AJ26-$AI26-$AH26-$AG26-$AF26-$AE26*(1+FN$3))/$AJ26,'Технический лист'!$A:$B,2,1),(FM26-0.05)))</f>
        <v/>
      </c>
      <c r="FO26" s="172">
        <f>MIN(1,MAX(VLOOKUP(($AJ26-$AI26-$AH26-$AG26-$AF26-$AE26*(1+FO$3))/$AJ26,'Технический лист'!$A:$B,2,1),(FN26-0.05)))</f>
        <v/>
      </c>
      <c r="FP26" s="172">
        <f>MIN(1,MAX(VLOOKUP(($AJ26-$AI26-$AH26-$AG26-$AF26-$AE26*(1+FP$3))/$AJ26,'Технический лист'!$A:$B,2,1),(FO26-0.05)))</f>
        <v/>
      </c>
      <c r="FQ26" s="172">
        <f>MIN(1,MAX(VLOOKUP(($AJ26-$AI26-$AH26-$AG26-$AF26-$AE26*(1+FQ$3))/$AJ26,'Технический лист'!$A:$B,2,1),(FP26-0.05)))</f>
        <v/>
      </c>
      <c r="FR26" s="172">
        <f>MIN(1,MAX(VLOOKUP(($AJ26-$AI26-$AH26-$AG26-$AF26-$AE26*(1+FR$3))/$AJ26,'Технический лист'!$A:$B,2,1),(FQ26-0.05)))</f>
        <v/>
      </c>
      <c r="FS26" s="172">
        <f>MIN(1,MAX(VLOOKUP(($AJ26-$AI26-$AH26-$AG26-$AF26-$AE26*(1+FS$3))/$AJ26,'Технический лист'!$A:$B,2,1),(FR26-0.05)))</f>
        <v/>
      </c>
      <c r="FT26" s="172">
        <f>MIN(1,MAX(VLOOKUP(($AJ26-$AI26-$AH26-$AG26-$AF26-$AE26*(1+FT$3))/$AJ26,'Технический лист'!$A:$B,2,1),(FS26-0.05)))</f>
        <v/>
      </c>
      <c r="FU26" s="172">
        <f>MIN(1,MAX(VLOOKUP(($AJ26-$AI26-$AH26-$AG26-$AF26-$AE26*(1+FU$3))/$AJ26,'Технический лист'!$A:$B,2,1),(FT26-0.05)))</f>
        <v/>
      </c>
      <c r="FV26" s="172">
        <f>MIN(1,MAX(VLOOKUP(($AJ26-$AI26-$AH26-$AG26-$AF26-$AE26*(1+FV$3))/$AJ26,'Технический лист'!$A:$B,2,1),(FU26-0.05)))</f>
        <v/>
      </c>
      <c r="FW26" s="172">
        <f>MIN(1,MAX(VLOOKUP(($AJ26-$AI26-$AH26-$AG26-$AF26-$AE26*(1+FW$3))/$AJ26,'Технический лист'!$A:$B,2,1),(FV26-0.05)))</f>
        <v/>
      </c>
      <c r="FX26" s="172">
        <f>MIN(1,MAX(VLOOKUP(($AJ26-$AI26-$AH26-$AG26-$AF26-$AE26*(1+FX$3))/$AJ26,'Технический лист'!$A:$B,2,1),(FW26-0.05)))</f>
        <v/>
      </c>
      <c r="FY26" s="172">
        <f>MIN(1,MAX(VLOOKUP(($AJ26-$AI26-$AH26-$AG26-$AF26-$AE26*(1+FY$3))/$AJ26,'Технический лист'!$A:$B,2,1),(FX26-0.05)))</f>
        <v/>
      </c>
      <c r="FZ26" s="172">
        <f>MIN(1,MAX(VLOOKUP(($AJ26-$AI26-$AH26-$AG26-$AF26-$AE26*(1+FZ$3))/$AJ26,'Технический лист'!$A:$B,2,1),(FY26-0.05)))</f>
        <v/>
      </c>
      <c r="GA26" s="172">
        <f>MIN(1,MAX(VLOOKUP(($AJ26-$AI26-$AH26-$AG26-$AF26-$AE26*(1+GA$3))/$AJ26,'Технический лист'!$A:$B,2,1),(FZ26-0.05)))</f>
        <v/>
      </c>
      <c r="GB26" s="172">
        <f>MIN(1,MAX(VLOOKUP(($AJ26-$AI26-$AH26-$AG26-$AF26-$AE26*(1+GB$3))/$AJ26,'Технический лист'!$A:$B,2,1),(GA26-0.05)))</f>
        <v/>
      </c>
      <c r="GC26" s="172">
        <f>MIN(1,MAX(VLOOKUP(($AJ26-$AI26-$AH26-$AG26-$AF26-$AE26*(1+GC$3))/$AJ26,'Технический лист'!$A:$B,2,1),(GB26-0.05)))</f>
        <v/>
      </c>
      <c r="GD26" s="172">
        <f>MIN(1,MAX(VLOOKUP(($AJ26-$AI26-$AH26-$AG26-$AF26-$AE26*(1+GD$3))/$AJ26,'Технический лист'!$A:$B,2,1),(GC26-0.05)))</f>
        <v/>
      </c>
      <c r="GE26" s="172">
        <f>MIN(1,MAX(VLOOKUP(($AJ26-$AI26-$AH26-$AG26-$AF26-$AE26*(1+GE$3))/$AJ26,'Технический лист'!$A:$B,2,1),(GD26-0.05)))</f>
        <v/>
      </c>
      <c r="GF26" s="172">
        <f>MIN(1,MAX(VLOOKUP(($AJ26-$AI26-$AH26-$AG26-$AF26-$AE26*(1+GF$3))/$AJ26,'Технический лист'!$A:$B,2,1),(GE26-0.05)))</f>
        <v/>
      </c>
      <c r="GG26" s="172">
        <f>MIN(1,MAX(VLOOKUP(($AJ26-$AI26-$AH26-$AG26-$AF26-$AE26*(1+GG$3))/$AJ26,'Технический лист'!$A:$B,2,1),(GF26-0.05)))</f>
        <v/>
      </c>
      <c r="GH26" s="172">
        <f>MIN(1,MAX(VLOOKUP(($AJ26-$AI26-$AH26-$AG26-$AF26-$AE26*(1+GH$3))/$AJ26,'Технический лист'!$A:$B,2,1),(GG26-0.05)))</f>
        <v/>
      </c>
      <c r="GI26" s="172">
        <f>MIN(1,MAX(VLOOKUP(($AJ26-$AI26-$AH26-$AG26-$AF26-$AE26*(1+GI$3))/$AJ26,'Технический лист'!$A:$B,2,1),(GH26-0.05)))</f>
        <v/>
      </c>
      <c r="GJ26" s="172">
        <f>MIN(1,MAX(VLOOKUP(($AJ26-$AI26-$AH26-$AG26-$AF26-$AE26*(1+GJ$3))/$AJ26,'Технический лист'!$A:$B,2,1),(GI26-0.05)))</f>
        <v/>
      </c>
      <c r="GK26" s="172">
        <f>MIN(1,MAX(VLOOKUP(($AJ26-$AI26-$AH26-$AG26-$AF26-$AE26*(1+GK$3))/$AJ26,'Технический лист'!$A:$B,2,1),(GJ26-0.05)))</f>
        <v/>
      </c>
      <c r="GL26" s="172">
        <f>MIN(1,MAX(VLOOKUP(($AJ26-$AI26-$AH26-$AG26-$AF26-$AE26*(1+GL$3))/$AJ26,'Технический лист'!$A:$B,2,1),(GK26-0.05)))</f>
        <v/>
      </c>
      <c r="GM26" s="172">
        <f>MIN(1,MAX(VLOOKUP(($AJ26-$AI26-$AH26-$AG26-$AF26-$AE26*(1+GM$3))/$AJ26,'Технический лист'!$A:$B,2,1),(GL26-0.05)))</f>
        <v/>
      </c>
      <c r="GN26" s="172">
        <f>MIN(1,MAX(VLOOKUP(($AJ26-$AI26-$AH26-$AG26-$AF26-$AE26*(1+GN$3))/$AJ26,'Технический лист'!$A:$B,2,1),(GM26-0.05)))</f>
        <v/>
      </c>
      <c r="GO26" s="172">
        <f>MIN(1,MAX(VLOOKUP(($AJ26-$AI26-$AH26-$AG26-$AF26-$AE26*(1+GO$3))/$AJ26,'Технический лист'!$A:$B,2,1),(GN26-0.05)))</f>
        <v/>
      </c>
      <c r="GP26" s="172">
        <f>MIN(1,MAX(VLOOKUP(($AJ26-$AI26-$AH26-$AG26-$AF26-$AE26*(1+GP$3))/$AJ26,'Технический лист'!$A:$B,2,1),(GO26-0.05)))</f>
        <v/>
      </c>
      <c r="GQ26" s="172">
        <f>MIN(1,MAX(VLOOKUP(($AJ26-$AI26-$AH26-$AG26-$AF26-$AE26*(1+GQ$3))/$AJ26,'Технический лист'!$A:$B,2,1),(GP26-0.05)))</f>
        <v/>
      </c>
      <c r="GR26" s="172">
        <f>MIN(1,MAX(VLOOKUP(($AJ26-$AI26-$AH26-$AG26-$AF26-$AE26*(1+GR$3))/$AJ26,'Технический лист'!$A:$B,2,1),(GQ26-0.05)))</f>
        <v/>
      </c>
      <c r="GS26" s="172">
        <f>MIN(1,MAX(VLOOKUP(($AJ26-$AI26-$AH26-$AG26-$AF26-$AE26*(1+GS$3))/$AJ26,'Технический лист'!$A:$B,2,1),(GR26-0.05)))</f>
        <v/>
      </c>
      <c r="GT26" s="172">
        <f>MIN(1,MAX(VLOOKUP(($AJ26-$AI26-$AH26-$AG26-$AF26-$AE26*(1+GT$3))/$AJ26,'Технический лист'!$A:$B,2,1),(GS26-0.05)))</f>
        <v/>
      </c>
      <c r="GU26" s="172">
        <f>MIN(1,MAX(VLOOKUP(($AJ26-$AI26-$AH26-$AG26-$AF26-$AE26*(1+GU$3))/$AJ26,'Технический лист'!$A:$B,2,1),(GT26-0.05)))</f>
        <v/>
      </c>
      <c r="GV26" s="172">
        <f>MIN(1,MAX(VLOOKUP(($AJ26-$AI26-$AH26-$AG26-$AF26-$AE26*(1+GV$3))/$AJ26,'Технический лист'!$A:$B,2,1),(GU26-0.05)))</f>
        <v/>
      </c>
      <c r="GW26" s="172">
        <f>MIN(1,MAX(VLOOKUP(($AJ26-$AI26-$AH26-$AG26-$AF26-$AE26*(1+GW$3))/$AJ26,'Технический лист'!$A:$B,2,1),(GV26-0.05)))</f>
        <v/>
      </c>
      <c r="GX26" s="172">
        <f>MIN(1,MAX(VLOOKUP(($AJ26-$AI26-$AH26-$AG26-$AF26-$AE26*(1+GX$3))/$AJ26,'Технический лист'!$A:$B,2,1),(GW26-0.05)))</f>
        <v/>
      </c>
      <c r="GY26" s="172">
        <f>MIN(1,MAX(VLOOKUP(($AJ26-$AI26-$AH26-$AG26-$AF26-$AE26*(1+GY$3))/$AJ26,'Технический лист'!$A:$B,2,1),(GX26-0.05)))</f>
        <v/>
      </c>
      <c r="GZ26" s="172">
        <f>MIN(1,MAX(VLOOKUP(($AJ26-$AI26-$AH26-$AG26-$AF26-$AE26*(1+GZ$3))/$AJ26,'Технический лист'!$A:$B,2,1),(GY26-0.05)))</f>
        <v/>
      </c>
      <c r="HA26" s="172">
        <f>MIN(1,MAX(VLOOKUP(($AJ26-$AI26-$AH26-$AG26-$AF26-$AE26*(1+HA$3))/$AJ26,'Технический лист'!$A:$B,2,1),(GZ26-0.05)))</f>
        <v/>
      </c>
      <c r="HB26" s="172">
        <f>MIN(1,MAX(VLOOKUP(($AJ26-$AI26-$AH26-$AG26-$AF26-$AE26*(1+HB$3))/$AJ26,'Технический лист'!$A:$B,2,1),(HA26-0.05)))</f>
        <v/>
      </c>
      <c r="HC26" s="172">
        <f>MIN(1,MAX(VLOOKUP(($AJ26-$AI26-$AH26-$AG26-$AF26-$AE26*(1+HC$3))/$AJ26,'Технический лист'!$A:$B,2,1),(HB26-0.05)))</f>
        <v/>
      </c>
      <c r="HD26" s="172">
        <f>MIN(1,MAX(VLOOKUP(($AJ26-$AI26-$AH26-$AG26-$AF26-$AE26*(1+HD$3))/$AJ26,'Технический лист'!$A:$B,2,1),(HC26-0.05)))</f>
        <v/>
      </c>
      <c r="HE26" s="172">
        <f>MIN(1,MAX(VLOOKUP(($AJ26-$AI26-$AH26-$AG26-$AF26-$AE26*(1+HE$3))/$AJ26,'Технический лист'!$A:$B,2,1),(HD26-0.05)))</f>
        <v/>
      </c>
      <c r="HF26" s="172">
        <f>MIN(1,MAX(VLOOKUP(($AJ26-$AI26-$AH26-$AG26-$AF26-$AE26*(1+HF$3))/$AJ26,'Технический лист'!$A:$B,2,1),(HE26-0.05)))</f>
        <v/>
      </c>
      <c r="HG26" s="172">
        <f>MIN(1,MAX(VLOOKUP(($AJ26-$AI26-$AH26-$AG26-$AF26-$AE26*(1+HG$3))/$AJ26,'Технический лист'!$A:$B,2,1),(HF26-0.05)))</f>
        <v/>
      </c>
      <c r="HH26" s="172">
        <f>MIN(1,MAX(VLOOKUP(($AJ26-$AI26-$AH26-$AG26-$AF26-$AE26*(1+HH$3))/$AJ26,'Технический лист'!$A:$B,2,1),(HG26-0.05)))</f>
        <v/>
      </c>
      <c r="HI26" s="172">
        <f>MIN(1,MAX(VLOOKUP(($AJ26-$AI26-$AH26-$AG26-$AF26-$AE26*(1+HI$3))/$AJ26,'Технический лист'!$A:$B,2,1),(HH26-0.05)))</f>
        <v/>
      </c>
      <c r="HJ26" s="172">
        <f>MIN(1,MAX(VLOOKUP(($AJ26-$AI26-$AH26-$AG26-$AF26-$AE26*(1+HJ$3))/$AJ26,'Технический лист'!$A:$B,2,1),(HI26-0.05)))</f>
        <v/>
      </c>
      <c r="HK26" s="172">
        <f>MIN(1,MAX(VLOOKUP(($AJ26-$AI26-$AH26-$AG26-$AF26-$AE26*(1+HK$3))/$AJ26,'Технический лист'!$A:$B,2,1),(HJ26-0.05)))</f>
        <v/>
      </c>
      <c r="HL26" s="172">
        <f>MIN(1,MAX(VLOOKUP(($AJ26-$AI26-$AH26-$AG26-$AF26-$AE26*(1+HL$3))/$AJ26,'Технический лист'!$A:$B,2,1),(HK26-0.05)))</f>
        <v/>
      </c>
      <c r="HM26" s="172">
        <f>MIN(1,MAX(VLOOKUP(($AJ26-$AI26-$AH26-$AG26-$AF26-$AE26*(1+HM$3))/$AJ26,'Технический лист'!$A:$B,2,1),(HL26-0.05)))</f>
        <v/>
      </c>
      <c r="HN26" s="172">
        <f>MIN(1,MAX(VLOOKUP(($AJ26-$AI26-$AH26-$AG26-$AF26-$AE26*(1+HN$3))/$AJ26,'Технический лист'!$A:$B,2,1),(HM26-0.05)))</f>
        <v/>
      </c>
      <c r="HO26" s="172">
        <f>MIN(1,MAX(VLOOKUP(($AJ26-$AI26-$AH26-$AG26-$AF26-$AE26*(1+HO$3))/$AJ26,'Технический лист'!$A:$B,2,1),(HN26-0.05)))</f>
        <v/>
      </c>
      <c r="HP26" s="172">
        <f>MIN(1,MAX(VLOOKUP(($AJ26-$AI26-$AH26-$AG26-$AF26-$AE26*(1+HP$3))/$AJ26,'Технический лист'!$A:$B,2,1),(HO26-0.05)))</f>
        <v/>
      </c>
      <c r="HQ26" s="172">
        <f>MIN(1,MAX(VLOOKUP(($AJ26-$AI26-$AH26-$AG26-$AF26-$AE26*(1+HQ$3))/$AJ26,'Технический лист'!$A:$B,2,1),(HP26-0.05)))</f>
        <v/>
      </c>
      <c r="HR26" s="172">
        <f>MIN(1,MAX(VLOOKUP(($AJ26-$AI26-$AH26-$AG26-$AF26-$AE26*(1+HR$3))/$AJ26,'Технический лист'!$A:$B,2,1),(HQ26-0.05)))</f>
        <v/>
      </c>
      <c r="HS26" s="172">
        <f>MIN(1,MAX(VLOOKUP(($AJ26-$AI26-$AH26-$AG26-$AF26-$AE26*(1+HS$3))/$AJ26,'Технический лист'!$A:$B,2,1),(HR26-0.05)))</f>
        <v/>
      </c>
      <c r="HT26" s="172">
        <f>MIN(1,MAX(VLOOKUP(($AJ26-$AI26-$AH26-$AG26-$AF26-$AE26*(1+HT$3))/$AJ26,'Технический лист'!$A:$B,2,1),(HS26-0.05)))</f>
        <v/>
      </c>
      <c r="HU26" s="172">
        <f>MIN(1,MAX(VLOOKUP(($AJ26-$AI26-$AH26-$AG26-$AF26-$AE26*(1+HU$3))/$AJ26,'Технический лист'!$A:$B,2,1),(HT26-0.05)))</f>
        <v/>
      </c>
      <c r="HV26" s="172">
        <f>MIN(1,MAX(VLOOKUP(($AJ26-$AI26-$AH26-$AG26-$AF26-$AE26*(1+HV$3))/$AJ26,'Технический лист'!$A:$B,2,1),(HU26-0.05)))</f>
        <v/>
      </c>
      <c r="HW26" s="172">
        <f>MIN(1,MAX(VLOOKUP(($AJ26-$AI26-$AH26-$AG26-$AF26-$AE26*(1+HW$3))/$AJ26,'Технический лист'!$A:$B,2,1),(HV26-0.05)))</f>
        <v/>
      </c>
      <c r="HX26" s="172">
        <f>MIN(1,MAX(VLOOKUP(($AJ26-$AI26-$AH26-$AG26-$AF26-$AE26*(1+HX$3))/$AJ26,'Технический лист'!$A:$B,2,1),(HW26-0.05)))</f>
        <v/>
      </c>
      <c r="HY26" s="172">
        <f>MIN(1,MAX(VLOOKUP(($AJ26-$AI26-$AH26-$AG26-$AF26-$AE26*(1+HY$3))/$AJ26,'Технический лист'!$A:$B,2,1),(HX26-0.05)))</f>
        <v/>
      </c>
      <c r="HZ26" s="172">
        <f>MIN(1,MAX(VLOOKUP(($AJ26-$AI26-$AH26-$AG26-$AF26-$AE26*(1+HZ$3))/$AJ26,'Технический лист'!$A:$B,2,1),(HY26-0.05)))</f>
        <v/>
      </c>
      <c r="IA26" s="172">
        <f>MIN(1,MAX(VLOOKUP(($AJ26-$AI26-$AH26-$AG26-$AF26-$AE26*(1+IA$3))/$AJ26,'Технический лист'!$A:$B,2,1),(HZ26-0.05)))</f>
        <v/>
      </c>
      <c r="IB26" s="172">
        <f>MIN(1,MAX(VLOOKUP(($AJ26-$AI26-$AH26-$AG26-$AF26-$AE26*(1+IB$3))/$AJ26,'Технический лист'!$A:$B,2,1),(IA26-0.05)))</f>
        <v/>
      </c>
      <c r="IC26" s="172">
        <f>MIN(1,MAX(VLOOKUP(($AJ26-$AI26-$AH26-$AG26-$AF26-$AE26*(1+IC$3))/$AJ26,'Технический лист'!$A:$B,2,1),(IB26-0.05)))</f>
        <v/>
      </c>
      <c r="ID26" s="172">
        <f>MIN(1,MAX(VLOOKUP(($AJ26-$AI26-$AH26-$AG26-$AF26-$AE26*(1+ID$3))/$AJ26,'Технический лист'!$A:$B,2,1),(IC26-0.05)))</f>
        <v/>
      </c>
      <c r="IE26" s="172">
        <f>MIN(1,MAX(VLOOKUP(($AJ26-$AI26-$AH26-$AG26-$AF26-$AE26*(1+IE$3))/$AJ26,'Технический лист'!$A:$B,2,1),(ID26-0.05)))</f>
        <v/>
      </c>
      <c r="IF26" s="172">
        <f>MIN(1,MAX(VLOOKUP(($AJ26-$AI26-$AH26-$AG26-$AF26-$AE26*(1+IF$3))/$AJ26,'Технический лист'!$A:$B,2,1),(IE26-0.05)))</f>
        <v/>
      </c>
      <c r="IG26" s="172">
        <f>MIN(1,MAX(VLOOKUP(($AJ26-$AI26-$AH26-$AG26-$AF26-$AE26*(1+IG$3))/$AJ26,'Технический лист'!$A:$B,2,1),(IF26-0.05)))</f>
        <v/>
      </c>
      <c r="IH26" s="172">
        <f>MIN(1,MAX(VLOOKUP(($AJ26-$AI26-$AH26-$AG26-$AF26-$AE26*(1+IH$3))/$AJ26,'Технический лист'!$A:$B,2,1),(IG26-0.05)))</f>
        <v/>
      </c>
      <c r="II26" s="172">
        <f>MIN(1,MAX(VLOOKUP(($AJ26-$AI26-$AH26-$AG26-$AF26-$AE26*(1+II$3))/$AJ26,'Технический лист'!$A:$B,2,1),(IH26-0.05)))</f>
        <v/>
      </c>
      <c r="IJ26" s="172">
        <f>MIN(1,MAX(VLOOKUP(($AJ26-$AI26-$AH26-$AG26-$AF26-$AE26*(1+IJ$3))/$AJ26,'Технический лист'!$A:$B,2,1),(II26-0.05)))</f>
        <v/>
      </c>
      <c r="IK26" s="172">
        <f>MIN(1,MAX(VLOOKUP(($AJ26-$AI26-$AH26-$AG26-$AF26-$AE26*(1+IK$3))/$AJ26,'Технический лист'!$A:$B,2,1),(IJ26-0.05)))</f>
        <v/>
      </c>
      <c r="IL26" s="172">
        <f>MIN(1,MAX(VLOOKUP(($AJ26-$AI26-$AH26-$AG26-$AF26-$AE26*(1+IL$3))/$AJ26,'Технический лист'!$A:$B,2,1),(IK26-0.05)))</f>
        <v/>
      </c>
      <c r="IM26" s="172">
        <f>MIN(1,MAX(VLOOKUP(($AJ26-$AI26-$AH26-$AG26-$AF26-$AE26*(1+IM$3))/$AJ26,'Технический лист'!$A:$B,2,1),(IL26-0.05)))</f>
        <v/>
      </c>
      <c r="IN26" s="172">
        <f>MIN(1,MAX(VLOOKUP(($AJ26-$AI26-$AH26-$AG26-$AF26-$AE26*(1+IN$3))/$AJ26,'Технический лист'!$A:$B,2,1),(IM26-0.05)))</f>
        <v/>
      </c>
      <c r="IO26" s="172">
        <f>MIN(1,MAX(VLOOKUP(($AJ26-$AI26-$AH26-$AG26-$AF26-$AE26*(1+IO$3))/$AJ26,'Технический лист'!$A:$B,2,1),(IN26-0.05)))</f>
        <v/>
      </c>
      <c r="IP26" s="172">
        <f>MIN(1,MAX(VLOOKUP(($AJ26-$AI26-$AH26-$AG26-$AF26-$AE26*(1+IP$3))/$AJ26,'Технический лист'!$A:$B,2,1),(IO26-0.05)))</f>
        <v/>
      </c>
      <c r="IQ26" s="172">
        <f>MIN(1,MAX(VLOOKUP(($AJ26-$AI26-$AH26-$AG26-$AF26-$AE26*(1+IQ$3))/$AJ26,'Технический лист'!$A:$B,2,1),(IP26-0.05)))</f>
        <v/>
      </c>
      <c r="IR26" s="172">
        <f>MIN(1,MAX(VLOOKUP(($AJ26-$AI26-$AH26-$AG26-$AF26-$AE26*(1+IR$3))/$AJ26,'Технический лист'!$A:$B,2,1),(IQ26-0.05)))</f>
        <v/>
      </c>
    </row>
    <row r="27" ht="45" customHeight="1" s="123">
      <c r="A27" s="89" t="inlineStr">
        <is>
          <t>ЧМ (сырье)</t>
        </is>
      </c>
      <c r="B27" s="90" t="n">
        <v>2</v>
      </c>
      <c r="C27" s="5" t="inlineStr">
        <is>
          <t>Кокс каменноугольный</t>
        </is>
      </c>
      <c r="D27" s="91" t="n">
        <v>17106</v>
      </c>
      <c r="E27" s="91" t="inlineStr">
        <is>
          <t xml:space="preserve">Кокс литейный КЛ-1 </t>
        </is>
      </c>
      <c r="F27" s="92" t="inlineStr">
        <is>
          <t>КОКС КАМЕННОУГОЛЬНЫЙ</t>
        </is>
      </c>
      <c r="G27" s="91" t="inlineStr">
        <is>
          <t>ЮУР</t>
        </is>
      </c>
      <c r="H27" s="91" t="inlineStr">
        <is>
          <t>ВСБ</t>
        </is>
      </c>
      <c r="I27" s="91" t="inlineStr">
        <is>
          <t>МЕТАЛЛУРГИЧ.</t>
        </is>
      </c>
      <c r="J27" s="91" t="inlineStr">
        <is>
          <t>ГОНЧАРОВО</t>
        </is>
      </c>
      <c r="K27" s="91" t="n">
        <v>3312</v>
      </c>
      <c r="L27" s="91" t="inlineStr">
        <is>
          <t>Полувагоны</t>
        </is>
      </c>
      <c r="M27" s="91" t="inlineStr">
        <is>
          <t>Внутр. перевозки</t>
        </is>
      </c>
      <c r="N27" s="91" t="inlineStr">
        <is>
          <t>вагонная</t>
        </is>
      </c>
      <c r="O27" s="91" t="inlineStr">
        <is>
          <t xml:space="preserve">Восточное </t>
        </is>
      </c>
      <c r="P27" s="89" t="inlineStr">
        <is>
          <t>'000079597952</t>
        </is>
      </c>
      <c r="Q27" s="91" t="inlineStr">
        <is>
          <t>ПАО "Мечел"</t>
        </is>
      </c>
      <c r="R27" s="91" t="inlineStr">
        <is>
          <t>ПАО "Мечел"</t>
        </is>
      </c>
      <c r="S27" s="87" t="n">
        <v>12030</v>
      </c>
      <c r="T27" s="87" t="n">
        <v>39837443</v>
      </c>
      <c r="U27" s="88" t="n">
        <v>218</v>
      </c>
      <c r="V27" s="88" t="n">
        <v>0</v>
      </c>
      <c r="W27" s="87" t="n">
        <v>24770586</v>
      </c>
      <c r="X27" s="112" t="n">
        <v>55</v>
      </c>
      <c r="Y27" s="112" t="inlineStr">
        <is>
          <t>повагонная</t>
        </is>
      </c>
      <c r="Z27" s="113" t="n">
        <v>11</v>
      </c>
      <c r="AA27" s="113" t="n">
        <v>9</v>
      </c>
      <c r="AB27" s="113" t="n">
        <v>4</v>
      </c>
      <c r="AC27" s="161" t="n">
        <v>2323.16</v>
      </c>
      <c r="AD27" s="161">
        <f>AE27-AC27</f>
        <v/>
      </c>
      <c r="AE27" s="161" t="n">
        <v>3198.95</v>
      </c>
      <c r="AF27" s="162">
        <f>(Z27+AA27+AB27)*'Ставки аренды'!$B$3/X27</f>
        <v/>
      </c>
      <c r="AG27" s="163" t="n">
        <v>0</v>
      </c>
      <c r="AH27" s="164" t="n">
        <v>0</v>
      </c>
      <c r="AI27" s="165">
        <f>131496272/143742760*AVERAGE(AJ26,AJ27)</f>
        <v/>
      </c>
      <c r="AJ27" s="166">
        <f>Цены!$D$9</f>
        <v/>
      </c>
      <c r="AK27" s="164">
        <f>AJ27/Цены!$B$1</f>
        <v/>
      </c>
      <c r="AL27" s="164">
        <f>AE27+AF27+AG27</f>
        <v/>
      </c>
      <c r="AM27" s="164">
        <f>AJ27-AL27</f>
        <v/>
      </c>
      <c r="AN27" s="164">
        <f>AI27+AH27+AG27+AF27+AE27</f>
        <v/>
      </c>
      <c r="AO27" s="167">
        <f>(AJ27-AN27)/AJ27</f>
        <v/>
      </c>
      <c r="AP27" s="168">
        <f>AL27/AJ27</f>
        <v/>
      </c>
      <c r="AQ27" s="168">
        <f>AE27/AJ27</f>
        <v/>
      </c>
      <c r="AR27" s="168">
        <f>AE27/AL27</f>
        <v/>
      </c>
      <c r="AS27" s="169" t="n">
        <v>1</v>
      </c>
      <c r="AT27" s="121">
        <f>S27*AS27</f>
        <v/>
      </c>
      <c r="AU27" s="83" t="n">
        <v>0.95</v>
      </c>
      <c r="AV27" s="170">
        <f>(AJ27-(AE27*(1+$IS$2)+AF27+AG27+AH27+AI27))/AJ27</f>
        <v/>
      </c>
      <c r="AW27" s="171">
        <f>(AE27*(1+$IS$2)+AF27+AG27)/AJ27</f>
        <v/>
      </c>
      <c r="AX27" s="171">
        <f>(AE27*(1+$IS$2))/AJ27</f>
        <v/>
      </c>
      <c r="AY27" s="171">
        <f>(AE27*(1+$IS$2))/(AE27*(1+$IS$2)+AF27+AG27)</f>
        <v/>
      </c>
      <c r="AZ27" s="172">
        <f>MIN(IF($AU27=100%,1,1+VLOOKUP(($AJ27-$AI27-$AH27-$AG27-$AF27-$AE27*(1+AZ$3))/$AJ27,'Технический лист'!$A:$B,2,1)-VLOOKUP($AO27,'Технический лист'!$A:$B,2,1)),1+(1-$AU27))</f>
        <v/>
      </c>
      <c r="BA27" s="172">
        <f>MIN(IF($AU27=100%,1,1+VLOOKUP(($AJ27-$AI27-$AH27-$AG27-$AF27-$AE27*(1+BA$3))/$AJ27,'Технический лист'!$A:$B,2,1)-VLOOKUP($AO27,'Технический лист'!$A:$B,2,1)),1+(1-$AU27))</f>
        <v/>
      </c>
      <c r="BB27" s="172">
        <f>MIN(IF($AU27=100%,1,1+VLOOKUP(($AJ27-$AI27-$AH27-$AG27-$AF27-$AE27*(1+BB$3))/$AJ27,'Технический лист'!$A:$B,2,1)-VLOOKUP($AO27,'Технический лист'!$A:$B,2,1)),1+(1-$AU27))</f>
        <v/>
      </c>
      <c r="BC27" s="172">
        <f>MIN(IF($AU27=100%,1,1+VLOOKUP(($AJ27-$AI27-$AH27-$AG27-$AF27-$AE27*(1+BC$3))/$AJ27,'Технический лист'!$A:$B,2,1)-VLOOKUP($AO27,'Технический лист'!$A:$B,2,1)),1+(1-$AU27))</f>
        <v/>
      </c>
      <c r="BD27" s="172">
        <f>MIN(IF($AU27=100%,1,1+VLOOKUP(($AJ27-$AI27-$AH27-$AG27-$AF27-$AE27*(1+BD$3))/$AJ27,'Технический лист'!$A:$B,2,1)-VLOOKUP($AO27,'Технический лист'!$A:$B,2,1)),1+(1-$AU27))</f>
        <v/>
      </c>
      <c r="BE27" s="172">
        <f>MIN(IF($AU27=100%,1,1+VLOOKUP(($AJ27-$AI27-$AH27-$AG27-$AF27-$AE27*(1+BE$3))/$AJ27,'Технический лист'!$A:$B,2,1)-VLOOKUP($AO27,'Технический лист'!$A:$B,2,1)),1+(1-$AU27))</f>
        <v/>
      </c>
      <c r="BF27" s="172">
        <f>MIN(IF($AU27=100%,1,1+VLOOKUP(($AJ27-$AI27-$AH27-$AG27-$AF27-$AE27*(1+BF$3))/$AJ27,'Технический лист'!$A:$B,2,1)-VLOOKUP($AO27,'Технический лист'!$A:$B,2,1)),1+(1-$AU27))</f>
        <v/>
      </c>
      <c r="BG27" s="172">
        <f>MIN(IF($AU27=100%,1,1+VLOOKUP(($AJ27-$AI27-$AH27-$AG27-$AF27-$AE27*(1+BG$3))/$AJ27,'Технический лист'!$A:$B,2,1)-VLOOKUP($AO27,'Технический лист'!$A:$B,2,1)),1+(1-$AU27))</f>
        <v/>
      </c>
      <c r="BH27" s="172">
        <f>MIN(IF($AU27=100%,1,1+VLOOKUP(($AJ27-$AI27-$AH27-$AG27-$AF27-$AE27*(1+BH$3))/$AJ27,'Технический лист'!$A:$B,2,1)-VLOOKUP($AO27,'Технический лист'!$A:$B,2,1)),1+(1-$AU27))</f>
        <v/>
      </c>
      <c r="BI27" s="172">
        <f>MIN(IF($AU27=100%,1,1+VLOOKUP(($AJ27-$AI27-$AH27-$AG27-$AF27-$AE27*(1+BI$3))/$AJ27,'Технический лист'!$A:$B,2,1)-VLOOKUP($AO27,'Технический лист'!$A:$B,2,1)),1+(1-$AU27))</f>
        <v/>
      </c>
      <c r="BJ27" s="172">
        <f>MIN(IF($AU27=100%,1,1+VLOOKUP(($AJ27-$AI27-$AH27-$AG27-$AF27-$AE27*(1+BJ$3))/$AJ27,'Технический лист'!$A:$B,2,1)-VLOOKUP($AO27,'Технический лист'!$A:$B,2,1)),1+(1-$AU27))</f>
        <v/>
      </c>
      <c r="BK27" s="172">
        <f>MIN(IF($AU27=100%,1,1+VLOOKUP(($AJ27-$AI27-$AH27-$AG27-$AF27-$AE27*(1+BK$3))/$AJ27,'Технический лист'!$A:$B,2,1)-VLOOKUP($AO27,'Технический лист'!$A:$B,2,1)),1+(1-$AU27))</f>
        <v/>
      </c>
      <c r="BL27" s="172">
        <f>MIN(IF($AU27=100%,1,1+VLOOKUP(($AJ27-$AI27-$AH27-$AG27-$AF27-$AE27*(1+BL$3))/$AJ27,'Технический лист'!$A:$B,2,1)-VLOOKUP($AO27,'Технический лист'!$A:$B,2,1)),1+(1-$AU27))</f>
        <v/>
      </c>
      <c r="BM27" s="172">
        <f>MIN(IF($AU27=100%,1,1+VLOOKUP(($AJ27-$AI27-$AH27-$AG27-$AF27-$AE27*(1+BM$3))/$AJ27,'Технический лист'!$A:$B,2,1)-VLOOKUP($AO27,'Технический лист'!$A:$B,2,1)),1+(1-$AU27))</f>
        <v/>
      </c>
      <c r="BN27" s="172">
        <f>MIN(IF($AU27=100%,1,1+VLOOKUP(($AJ27-$AI27-$AH27-$AG27-$AF27-$AE27*(1+BN$3))/$AJ27,'Технический лист'!$A:$B,2,1)-VLOOKUP($AO27,'Технический лист'!$A:$B,2,1)),1+(1-$AU27))</f>
        <v/>
      </c>
      <c r="BO27" s="172">
        <f>MIN(IF($AU27=100%,1,1+VLOOKUP(($AJ27-$AI27-$AH27-$AG27-$AF27-$AE27*(1+BO$3))/$AJ27,'Технический лист'!$A:$B,2,1)-VLOOKUP($AO27,'Технический лист'!$A:$B,2,1)),1+(1-$AU27))</f>
        <v/>
      </c>
      <c r="BP27" s="172">
        <f>MIN(IF($AU27=100%,1,1+VLOOKUP(($AJ27-$AI27-$AH27-$AG27-$AF27-$AE27*(1+BP$3))/$AJ27,'Технический лист'!$A:$B,2,1)-VLOOKUP($AO27,'Технический лист'!$A:$B,2,1)),1+(1-$AU27))</f>
        <v/>
      </c>
      <c r="BQ27" s="172">
        <f>MIN(IF($AU27=100%,1,1+VLOOKUP(($AJ27-$AI27-$AH27-$AG27-$AF27-$AE27*(1+BQ$3))/$AJ27,'Технический лист'!$A:$B,2,1)-VLOOKUP($AO27,'Технический лист'!$A:$B,2,1)),1+(1-$AU27))</f>
        <v/>
      </c>
      <c r="BR27" s="172">
        <f>MIN(IF($AU27=100%,1,1+VLOOKUP(($AJ27-$AI27-$AH27-$AG27-$AF27-$AE27*(1+BR$3))/$AJ27,'Технический лист'!$A:$B,2,1)-VLOOKUP($AO27,'Технический лист'!$A:$B,2,1)),1+(1-$AU27))</f>
        <v/>
      </c>
      <c r="BS27" s="172">
        <f>MIN(IF($AU27=100%,1,1+VLOOKUP(($AJ27-$AI27-$AH27-$AG27-$AF27-$AE27*(1+BS$3))/$AJ27,'Технический лист'!$A:$B,2,1)-VLOOKUP($AO27,'Технический лист'!$A:$B,2,1)),1+(1-$AU27))</f>
        <v/>
      </c>
      <c r="BT27" s="172">
        <f>MIN(IF($AU27=100%,1,1+VLOOKUP(($AJ27-$AI27-$AH27-$AG27-$AF27-$AE27*(1+BT$3))/$AJ27,'Технический лист'!$A:$B,2,1)-VLOOKUP($AO27,'Технический лист'!$A:$B,2,1)),1+(1-$AU27))</f>
        <v/>
      </c>
      <c r="BU27" s="172">
        <f>MIN(IF($AU27=100%,1,1+VLOOKUP(($AJ27-$AI27-$AH27-$AG27-$AF27-$AE27*(1+BU$3))/$AJ27,'Технический лист'!$A:$B,2,1)-VLOOKUP($AO27,'Технический лист'!$A:$B,2,1)),1+(1-$AU27))</f>
        <v/>
      </c>
      <c r="BV27" s="172">
        <f>MIN(IF($AU27=100%,1,1+VLOOKUP(($AJ27-$AI27-$AH27-$AG27-$AF27-$AE27*(1+BV$3))/$AJ27,'Технический лист'!$A:$B,2,1)-VLOOKUP($AO27,'Технический лист'!$A:$B,2,1)),1+(1-$AU27))</f>
        <v/>
      </c>
      <c r="BW27" s="172">
        <f>MIN(IF($AU27=100%,1,1+VLOOKUP(($AJ27-$AI27-$AH27-$AG27-$AF27-$AE27*(1+BW$3))/$AJ27,'Технический лист'!$A:$B,2,1)-VLOOKUP($AO27,'Технический лист'!$A:$B,2,1)),1+(1-$AU27))</f>
        <v/>
      </c>
      <c r="BX27" s="172">
        <f>MIN(IF($AU27=100%,1,1+VLOOKUP(($AJ27-$AI27-$AH27-$AG27-$AF27-$AE27*(1+BX$3))/$AJ27,'Технический лист'!$A:$B,2,1)-VLOOKUP($AO27,'Технический лист'!$A:$B,2,1)),1+(1-$AU27))</f>
        <v/>
      </c>
      <c r="BY27" s="172">
        <f>MIN(IF($AU27=100%,1,1+VLOOKUP(($AJ27-$AI27-$AH27-$AG27-$AF27-$AE27*(1+BY$3))/$AJ27,'Технический лист'!$A:$B,2,1)-VLOOKUP($AO27,'Технический лист'!$A:$B,2,1)),1+(1-$AU27))</f>
        <v/>
      </c>
      <c r="BZ27" s="172">
        <f>MIN(IF($AU27=100%,1,1+VLOOKUP(($AJ27-$AI27-$AH27-$AG27-$AF27-$AE27*(1+BZ$3))/$AJ27,'Технический лист'!$A:$B,2,1)-VLOOKUP($AO27,'Технический лист'!$A:$B,2,1)),1+(1-$AU27))</f>
        <v/>
      </c>
      <c r="CA27" s="172">
        <f>MIN(IF($AU27=100%,1,1+VLOOKUP(($AJ27-$AI27-$AH27-$AG27-$AF27-$AE27*(1+CA$3))/$AJ27,'Технический лист'!$A:$B,2,1)-VLOOKUP($AO27,'Технический лист'!$A:$B,2,1)),1+(1-$AU27))</f>
        <v/>
      </c>
      <c r="CB27" s="172">
        <f>MIN(IF($AU27=100%,1,1+VLOOKUP(($AJ27-$AI27-$AH27-$AG27-$AF27-$AE27*(1+CB$3))/$AJ27,'Технический лист'!$A:$B,2,1)-VLOOKUP($AO27,'Технический лист'!$A:$B,2,1)),1+(1-$AU27))</f>
        <v/>
      </c>
      <c r="CC27" s="172">
        <f>MIN(IF($AU27=100%,1,1+VLOOKUP(($AJ27-$AI27-$AH27-$AG27-$AF27-$AE27*(1+CC$3))/$AJ27,'Технический лист'!$A:$B,2,1)-VLOOKUP($AO27,'Технический лист'!$A:$B,2,1)),1+(1-$AU27))</f>
        <v/>
      </c>
      <c r="CD27" s="172">
        <f>MIN(IF($AU27=100%,1,1+VLOOKUP(($AJ27-$AI27-$AH27-$AG27-$AF27-$AE27*(1+CD$3))/$AJ27,'Технический лист'!$A:$B,2,1)-VLOOKUP($AO27,'Технический лист'!$A:$B,2,1)),1+(1-$AU27))</f>
        <v/>
      </c>
      <c r="CE27" s="172">
        <f>MIN(IF($AU27=100%,1,1+VLOOKUP(($AJ27-$AI27-$AH27-$AG27-$AF27-$AE27*(1+CE$3))/$AJ27,'Технический лист'!$A:$B,2,1)-VLOOKUP($AO27,'Технический лист'!$A:$B,2,1)),1+(1-$AU27))</f>
        <v/>
      </c>
      <c r="CF27" s="172">
        <f>MIN(IF($AU27=100%,1,1+VLOOKUP(($AJ27-$AI27-$AH27-$AG27-$AF27-$AE27*(1+CF$3))/$AJ27,'Технический лист'!$A:$B,2,1)-VLOOKUP($AO27,'Технический лист'!$A:$B,2,1)),1+(1-$AU27))</f>
        <v/>
      </c>
      <c r="CG27" s="172">
        <f>MIN(IF($AU27=100%,1,1+VLOOKUP(($AJ27-$AI27-$AH27-$AG27-$AF27-$AE27*(1+CG$3))/$AJ27,'Технический лист'!$A:$B,2,1)-VLOOKUP($AO27,'Технический лист'!$A:$B,2,1)),1+(1-$AU27))</f>
        <v/>
      </c>
      <c r="CH27" s="172">
        <f>MIN(IF($AU27=100%,1,1+VLOOKUP(($AJ27-$AI27-$AH27-$AG27-$AF27-$AE27*(1+CH$3))/$AJ27,'Технический лист'!$A:$B,2,1)-VLOOKUP($AO27,'Технический лист'!$A:$B,2,1)),1+(1-$AU27))</f>
        <v/>
      </c>
      <c r="CI27" s="172">
        <f>MIN(IF($AU27=100%,1,1+VLOOKUP(($AJ27-$AI27-$AH27-$AG27-$AF27-$AE27*(1+CI$3))/$AJ27,'Технический лист'!$A:$B,2,1)-VLOOKUP($AO27,'Технический лист'!$A:$B,2,1)),1+(1-$AU27))</f>
        <v/>
      </c>
      <c r="CJ27" s="172">
        <f>MIN(IF($AU27=100%,1,1+VLOOKUP(($AJ27-$AI27-$AH27-$AG27-$AF27-$AE27*(1+CJ$3))/$AJ27,'Технический лист'!$A:$B,2,1)-VLOOKUP($AO27,'Технический лист'!$A:$B,2,1)),1+(1-$AU27))</f>
        <v/>
      </c>
      <c r="CK27" s="172">
        <f>MIN(IF($AU27=100%,1,1+VLOOKUP(($AJ27-$AI27-$AH27-$AG27-$AF27-$AE27*(1+CK$3))/$AJ27,'Технический лист'!$A:$B,2,1)-VLOOKUP($AO27,'Технический лист'!$A:$B,2,1)),1+(1-$AU27))</f>
        <v/>
      </c>
      <c r="CL27" s="172">
        <f>MIN(IF($AU27=100%,1,1+VLOOKUP(($AJ27-$AI27-$AH27-$AG27-$AF27-$AE27*(1+CL$3))/$AJ27,'Технический лист'!$A:$B,2,1)-VLOOKUP($AO27,'Технический лист'!$A:$B,2,1)),1+(1-$AU27))</f>
        <v/>
      </c>
      <c r="CM27" s="172">
        <f>MIN(IF($AU27=100%,1,1+VLOOKUP(($AJ27-$AI27-$AH27-$AG27-$AF27-$AE27*(1+CM$3))/$AJ27,'Технический лист'!$A:$B,2,1)-VLOOKUP($AO27,'Технический лист'!$A:$B,2,1)),1+(1-$AU27))</f>
        <v/>
      </c>
      <c r="CN27" s="172">
        <f>MIN(IF($AU27=100%,1,1+VLOOKUP(($AJ27-$AI27-$AH27-$AG27-$AF27-$AE27*(1+CN$3))/$AJ27,'Технический лист'!$A:$B,2,1)-VLOOKUP($AO27,'Технический лист'!$A:$B,2,1)),1+(1-$AU27))</f>
        <v/>
      </c>
      <c r="CO27" s="172">
        <f>MIN(IF($AU27=100%,1,1+VLOOKUP(($AJ27-$AI27-$AH27-$AG27-$AF27-$AE27*(1+CO$3))/$AJ27,'Технический лист'!$A:$B,2,1)-VLOOKUP($AO27,'Технический лист'!$A:$B,2,1)),1+(1-$AU27))</f>
        <v/>
      </c>
      <c r="CP27" s="172">
        <f>MIN(IF($AU27=100%,1,1+VLOOKUP(($AJ27-$AI27-$AH27-$AG27-$AF27-$AE27*(1+CP$3))/$AJ27,'Технический лист'!$A:$B,2,1)-VLOOKUP($AO27,'Технический лист'!$A:$B,2,1)),1+(1-$AU27))</f>
        <v/>
      </c>
      <c r="CQ27" s="172">
        <f>MIN(IF($AU27=100%,1,1+VLOOKUP(($AJ27-$AI27-$AH27-$AG27-$AF27-$AE27*(1+CQ$3))/$AJ27,'Технический лист'!$A:$B,2,1)-VLOOKUP($AO27,'Технический лист'!$A:$B,2,1)),1+(1-$AU27))</f>
        <v/>
      </c>
      <c r="CR27" s="172">
        <f>MIN(IF($AU27=100%,1,1+VLOOKUP(($AJ27-$AI27-$AH27-$AG27-$AF27-$AE27*(1+CR$3))/$AJ27,'Технический лист'!$A:$B,2,1)-VLOOKUP($AO27,'Технический лист'!$A:$B,2,1)),1+(1-$AU27))</f>
        <v/>
      </c>
      <c r="CS27" s="172">
        <f>MIN(IF($AU27=100%,1,1+VLOOKUP(($AJ27-$AI27-$AH27-$AG27-$AF27-$AE27*(1+CS$3))/$AJ27,'Технический лист'!$A:$B,2,1)-VLOOKUP($AO27,'Технический лист'!$A:$B,2,1)),1+(1-$AU27))</f>
        <v/>
      </c>
      <c r="CT27" s="172">
        <f>MIN(IF($AU27=100%,1,1+VLOOKUP(($AJ27-$AI27-$AH27-$AG27-$AF27-$AE27*(1+CT$3))/$AJ27,'Технический лист'!$A:$B,2,1)-VLOOKUP($AO27,'Технический лист'!$A:$B,2,1)),1+(1-$AU27))</f>
        <v/>
      </c>
      <c r="CU27" s="172">
        <f>MIN(IF($AU27=100%,1,1+VLOOKUP(($AJ27-$AI27-$AH27-$AG27-$AF27-$AE27*(1+CU$3))/$AJ27,'Технический лист'!$A:$B,2,1)-VLOOKUP($AO27,'Технический лист'!$A:$B,2,1)),1+(1-$AU27))</f>
        <v/>
      </c>
      <c r="CV27" s="172">
        <f>MIN(IF($AU27=100%,1,1+VLOOKUP(($AJ27-$AI27-$AH27-$AG27-$AF27-$AE27*(1+CV$3))/$AJ27,'Технический лист'!$A:$B,2,1)-VLOOKUP($AO27,'Технический лист'!$A:$B,2,1)),1+(1-$AU27))</f>
        <v/>
      </c>
      <c r="CW27" s="172">
        <f>MIN(IF($AU27=100%,1,1+VLOOKUP(($AJ27-$AI27-$AH27-$AG27-$AF27-$AE27*(1+CW$3))/$AJ27,'Технический лист'!$A:$B,2,1)-VLOOKUP($AO27,'Технический лист'!$A:$B,2,1)),1+(1-$AU27))</f>
        <v/>
      </c>
      <c r="CX27" s="172">
        <f>MIN(IF($AU27=100%,1,1+VLOOKUP(($AJ27-$AI27-$AH27-$AG27-$AF27-$AE27*(1+CX$3))/$AJ27,'Технический лист'!$A:$B,2,1)-VLOOKUP($AO27,'Технический лист'!$A:$B,2,1)),1+(1-$AU27))</f>
        <v/>
      </c>
      <c r="CY27" s="172">
        <f>MIN(IF($AU27=100%,1,1+VLOOKUP(($AJ27-$AI27-$AH27-$AG27-$AF27-$AE27*(1+CY$3))/$AJ27,'Технический лист'!$A:$B,2,1)-VLOOKUP($AO27,'Технический лист'!$A:$B,2,1)),1+(1-$AU27))</f>
        <v/>
      </c>
      <c r="CZ27" s="172">
        <f>MIN(IF($AU27=100%,1,1+VLOOKUP(($AJ27-$AI27-$AH27-$AG27-$AF27-$AE27*(1+CZ$3))/$AJ27,'Технический лист'!$A:$B,2,1)-VLOOKUP($AO27,'Технический лист'!$A:$B,2,1)),1+(1-$AU27))</f>
        <v/>
      </c>
      <c r="DA27" s="172">
        <f>MIN(IF($AU27=100%,1,1+VLOOKUP(($AJ27-$AI27-$AH27-$AG27-$AF27-$AE27*(1+DA$3))/$AJ27,'Технический лист'!$A:$B,2,1)-VLOOKUP($AO27,'Технический лист'!$A:$B,2,1)),1+(1-$AU27))</f>
        <v/>
      </c>
      <c r="DB27" s="172">
        <f>MIN(IF($AU27=100%,1,1+VLOOKUP(($AJ27-$AI27-$AH27-$AG27-$AF27-$AE27*(1+DB$3))/$AJ27,'Технический лист'!$A:$B,2,1)-VLOOKUP($AO27,'Технический лист'!$A:$B,2,1)),1+(1-$AU27))</f>
        <v/>
      </c>
      <c r="DC27" s="172">
        <f>MIN(IF($AU27=100%,1,1+VLOOKUP(($AJ27-$AI27-$AH27-$AG27-$AF27-$AE27*(1+DC$3))/$AJ27,'Технический лист'!$A:$B,2,1)-VLOOKUP($AO27,'Технический лист'!$A:$B,2,1)),1+(1-$AU27))</f>
        <v/>
      </c>
      <c r="DD27" s="172">
        <f>MIN(IF($AU27=100%,1,1+VLOOKUP(($AJ27-$AI27-$AH27-$AG27-$AF27-$AE27*(1+DD$3))/$AJ27,'Технический лист'!$A:$B,2,1)-VLOOKUP($AO27,'Технический лист'!$A:$B,2,1)),1+(1-$AU27))</f>
        <v/>
      </c>
      <c r="DE27" s="172">
        <f>MIN(IF($AU27=100%,1,1+VLOOKUP(($AJ27-$AI27-$AH27-$AG27-$AF27-$AE27*(1+DE$3))/$AJ27,'Технический лист'!$A:$B,2,1)-VLOOKUP($AO27,'Технический лист'!$A:$B,2,1)),1+(1-$AU27))</f>
        <v/>
      </c>
      <c r="DF27" s="172">
        <f>MIN(IF($AU27=100%,1,1+VLOOKUP(($AJ27-$AI27-$AH27-$AG27-$AF27-$AE27*(1+DF$3))/$AJ27,'Технический лист'!$A:$B,2,1)-VLOOKUP($AO27,'Технический лист'!$A:$B,2,1)),1+(1-$AU27))</f>
        <v/>
      </c>
      <c r="DG27" s="172">
        <f>MIN(IF($AU27=100%,1,1+VLOOKUP(($AJ27-$AI27-$AH27-$AG27-$AF27-$AE27*(1+DG$3))/$AJ27,'Технический лист'!$A:$B,2,1)-VLOOKUP($AO27,'Технический лист'!$A:$B,2,1)),1+(1-$AU27))</f>
        <v/>
      </c>
      <c r="DH27" s="172">
        <f>MIN(IF($AU27=100%,1,1+VLOOKUP(($AJ27-$AI27-$AH27-$AG27-$AF27-$AE27*(1+DH$3))/$AJ27,'Технический лист'!$A:$B,2,1)-VLOOKUP($AO27,'Технический лист'!$A:$B,2,1)),1+(1-$AU27))</f>
        <v/>
      </c>
      <c r="DI27" s="172">
        <f>MIN(IF($AU27=100%,1,1+VLOOKUP(($AJ27-$AI27-$AH27-$AG27-$AF27-$AE27*(1+DI$3))/$AJ27,'Технический лист'!$A:$B,2,1)-VLOOKUP($AO27,'Технический лист'!$A:$B,2,1)),1+(1-$AU27))</f>
        <v/>
      </c>
      <c r="DJ27" s="172">
        <f>MIN(IF($AU27=100%,1,1+VLOOKUP(($AJ27-$AI27-$AH27-$AG27-$AF27-$AE27*(1+DJ$3))/$AJ27,'Технический лист'!$A:$B,2,1)-VLOOKUP($AO27,'Технический лист'!$A:$B,2,1)),1+(1-$AU27))</f>
        <v/>
      </c>
      <c r="DK27" s="172">
        <f>MIN(IF($AU27=100%,1,1+VLOOKUP(($AJ27-$AI27-$AH27-$AG27-$AF27-$AE27*(1+DK$3))/$AJ27,'Технический лист'!$A:$B,2,1)-VLOOKUP($AO27,'Технический лист'!$A:$B,2,1)),1+(1-$AU27))</f>
        <v/>
      </c>
      <c r="DL27" s="172">
        <f>MIN(IF($AU27=100%,1,1+VLOOKUP(($AJ27-$AI27-$AH27-$AG27-$AF27-$AE27*(1+DL$3))/$AJ27,'Технический лист'!$A:$B,2,1)-VLOOKUP($AO27,'Технический лист'!$A:$B,2,1)),1+(1-$AU27))</f>
        <v/>
      </c>
      <c r="DM27" s="172">
        <f>MIN(IF($AU27=100%,1,1+VLOOKUP(($AJ27-$AI27-$AH27-$AG27-$AF27-$AE27*(1+DM$3))/$AJ27,'Технический лист'!$A:$B,2,1)-VLOOKUP($AO27,'Технический лист'!$A:$B,2,1)),1+(1-$AU27))</f>
        <v/>
      </c>
      <c r="DN27" s="172">
        <f>MIN(IF($AU27=100%,1,1+VLOOKUP(($AJ27-$AI27-$AH27-$AG27-$AF27-$AE27*(1+DN$3))/$AJ27,'Технический лист'!$A:$B,2,1)-VLOOKUP($AO27,'Технический лист'!$A:$B,2,1)),1+(1-$AU27))</f>
        <v/>
      </c>
      <c r="DO27" s="172">
        <f>MIN(IF($AU27=100%,1,1+VLOOKUP(($AJ27-$AI27-$AH27-$AG27-$AF27-$AE27*(1+DO$3))/$AJ27,'Технический лист'!$A:$B,2,1)-VLOOKUP($AO27,'Технический лист'!$A:$B,2,1)),1+(1-$AU27))</f>
        <v/>
      </c>
      <c r="DP27" s="172">
        <f>MIN(IF($AU27=100%,1,1+VLOOKUP(($AJ27-$AI27-$AH27-$AG27-$AF27-$AE27*(1+DP$3))/$AJ27,'Технический лист'!$A:$B,2,1)-VLOOKUP($AO27,'Технический лист'!$A:$B,2,1)),1+(1-$AU27))</f>
        <v/>
      </c>
      <c r="DQ27" s="172">
        <f>MIN(IF($AU27=100%,1,1+VLOOKUP(($AJ27-$AI27-$AH27-$AG27-$AF27-$AE27*(1+DQ$3))/$AJ27,'Технический лист'!$A:$B,2,1)-VLOOKUP($AO27,'Технический лист'!$A:$B,2,1)),1+(1-$AU27))</f>
        <v/>
      </c>
      <c r="DR27" s="172">
        <f>MIN(IF($AU27=100%,1,1+VLOOKUP(($AJ27-$AI27-$AH27-$AG27-$AF27-$AE27*(1+DR$3))/$AJ27,'Технический лист'!$A:$B,2,1)-VLOOKUP($AO27,'Технический лист'!$A:$B,2,1)),1+(1-$AU27))</f>
        <v/>
      </c>
      <c r="DS27" s="172">
        <f>MIN(IF($AU27=100%,1,1+VLOOKUP(($AJ27-$AI27-$AH27-$AG27-$AF27-$AE27*(1+DS$3))/$AJ27,'Технический лист'!$A:$B,2,1)-VLOOKUP($AO27,'Технический лист'!$A:$B,2,1)),1+(1-$AU27))</f>
        <v/>
      </c>
      <c r="DT27" s="172">
        <f>MIN(IF($AU27=100%,1,1+VLOOKUP(($AJ27-$AI27-$AH27-$AG27-$AF27-$AE27*(1+DT$3))/$AJ27,'Технический лист'!$A:$B,2,1)-VLOOKUP($AO27,'Технический лист'!$A:$B,2,1)),1+(1-$AU27))</f>
        <v/>
      </c>
      <c r="DU27" s="172">
        <f>MIN(IF($AU27=100%,1,1+VLOOKUP(($AJ27-$AI27-$AH27-$AG27-$AF27-$AE27*(1+DU$3))/$AJ27,'Технический лист'!$A:$B,2,1)-VLOOKUP($AO27,'Технический лист'!$A:$B,2,1)),1+(1-$AU27))</f>
        <v/>
      </c>
      <c r="DV27" s="172">
        <f>MIN(IF($AU27=100%,1,1+VLOOKUP(($AJ27-$AI27-$AH27-$AG27-$AF27-$AE27*(1+DV$3))/$AJ27,'Технический лист'!$A:$B,2,1)-VLOOKUP($AO27,'Технический лист'!$A:$B,2,1)),1+(1-$AU27))</f>
        <v/>
      </c>
      <c r="DW27" s="172">
        <f>MIN(IF($AU27=100%,1,1+VLOOKUP(($AJ27-$AI27-$AH27-$AG27-$AF27-$AE27*(1+DW$3))/$AJ27,'Технический лист'!$A:$B,2,1)-VLOOKUP($AO27,'Технический лист'!$A:$B,2,1)),1+(1-$AU27))</f>
        <v/>
      </c>
      <c r="DX27" s="172">
        <f>MIN(IF($AU27=100%,1,1+VLOOKUP(($AJ27-$AI27-$AH27-$AG27-$AF27-$AE27*(1+DX$3))/$AJ27,'Технический лист'!$A:$B,2,1)-VLOOKUP($AO27,'Технический лист'!$A:$B,2,1)),1+(1-$AU27))</f>
        <v/>
      </c>
      <c r="DY27" s="172">
        <f>MIN(IF($AU27=100%,1,1+VLOOKUP(($AJ27-$AI27-$AH27-$AG27-$AF27-$AE27*(1+DY$3))/$AJ27,'Технический лист'!$A:$B,2,1)-VLOOKUP($AO27,'Технический лист'!$A:$B,2,1)),1+(1-$AU27))</f>
        <v/>
      </c>
      <c r="DZ27" s="172">
        <f>MIN(IF($AU27=100%,1,1+VLOOKUP(($AJ27-$AI27-$AH27-$AG27-$AF27-$AE27*(1+DZ$3))/$AJ27,'Технический лист'!$A:$B,2,1)-VLOOKUP($AO27,'Технический лист'!$A:$B,2,1)),1+(1-$AU27))</f>
        <v/>
      </c>
      <c r="EA27" s="172">
        <f>MIN(IF($AU27=100%,1,1+VLOOKUP(($AJ27-$AI27-$AH27-$AG27-$AF27-$AE27*(1+EA$3))/$AJ27,'Технический лист'!$A:$B,2,1)-VLOOKUP($AO27,'Технический лист'!$A:$B,2,1)),1+(1-$AU27))</f>
        <v/>
      </c>
      <c r="EB27" s="172">
        <f>MIN(IF($AU27=100%,1,1+VLOOKUP(($AJ27-$AI27-$AH27-$AG27-$AF27-$AE27*(1+EB$3))/$AJ27,'Технический лист'!$A:$B,2,1)-VLOOKUP($AO27,'Технический лист'!$A:$B,2,1)),1+(1-$AU27))</f>
        <v/>
      </c>
      <c r="EC27" s="172">
        <f>MIN(IF($AU27=100%,1,1+VLOOKUP(($AJ27-$AI27-$AH27-$AG27-$AF27-$AE27*(1+EC$3))/$AJ27,'Технический лист'!$A:$B,2,1)-VLOOKUP($AO27,'Технический лист'!$A:$B,2,1)),1+(1-$AU27))</f>
        <v/>
      </c>
      <c r="ED27" s="172">
        <f>MIN(IF($AU27=100%,1,1+VLOOKUP(($AJ27-$AI27-$AH27-$AG27-$AF27-$AE27*(1+ED$3))/$AJ27,'Технический лист'!$A:$B,2,1)-VLOOKUP($AO27,'Технический лист'!$A:$B,2,1)),1+(1-$AU27))</f>
        <v/>
      </c>
      <c r="EE27" s="172">
        <f>MIN(IF($AU27=100%,1,1+VLOOKUP(($AJ27-$AI27-$AH27-$AG27-$AF27-$AE27*(1+EE$3))/$AJ27,'Технический лист'!$A:$B,2,1)-VLOOKUP($AO27,'Технический лист'!$A:$B,2,1)),1+(1-$AU27))</f>
        <v/>
      </c>
      <c r="EF27" s="172">
        <f>MIN(IF($AU27=100%,1,1+VLOOKUP(($AJ27-$AI27-$AH27-$AG27-$AF27-$AE27*(1+EF$3))/$AJ27,'Технический лист'!$A:$B,2,1)-VLOOKUP($AO27,'Технический лист'!$A:$B,2,1)),1+(1-$AU27))</f>
        <v/>
      </c>
      <c r="EG27" s="172">
        <f>MIN(IF($AU27=100%,1,1+VLOOKUP(($AJ27-$AI27-$AH27-$AG27-$AF27-$AE27*(1+EG$3))/$AJ27,'Технический лист'!$A:$B,2,1)-VLOOKUP($AO27,'Технический лист'!$A:$B,2,1)),1+(1-$AU27))</f>
        <v/>
      </c>
      <c r="EH27" s="172">
        <f>MIN(IF($AU27=100%,1,1+VLOOKUP(($AJ27-$AI27-$AH27-$AG27-$AF27-$AE27*(1+EH$3))/$AJ27,'Технический лист'!$A:$B,2,1)-VLOOKUP($AO27,'Технический лист'!$A:$B,2,1)),1+(1-$AU27))</f>
        <v/>
      </c>
      <c r="EI27" s="172">
        <f>MIN(IF($AU27=100%,1,1+VLOOKUP(($AJ27-$AI27-$AH27-$AG27-$AF27-$AE27*(1+EI$3))/$AJ27,'Технический лист'!$A:$B,2,1)-VLOOKUP($AO27,'Технический лист'!$A:$B,2,1)),1+(1-$AU27))</f>
        <v/>
      </c>
      <c r="EJ27" s="172">
        <f>MIN(IF($AU27=100%,1,1+VLOOKUP(($AJ27-$AI27-$AH27-$AG27-$AF27-$AE27*(1+EJ$3))/$AJ27,'Технический лист'!$A:$B,2,1)-VLOOKUP($AO27,'Технический лист'!$A:$B,2,1)),1+(1-$AU27))</f>
        <v/>
      </c>
      <c r="EK27" s="172">
        <f>MIN(IF($AU27=100%,1,1+VLOOKUP(($AJ27-$AI27-$AH27-$AG27-$AF27-$AE27*(1+EK$3))/$AJ27,'Технический лист'!$A:$B,2,1)-VLOOKUP($AO27,'Технический лист'!$A:$B,2,1)),1+(1-$AU27))</f>
        <v/>
      </c>
      <c r="EL27" s="172">
        <f>MIN(IF($AU27=100%,1,1+VLOOKUP(($AJ27-$AI27-$AH27-$AG27-$AF27-$AE27*(1+EL$3))/$AJ27,'Технический лист'!$A:$B,2,1)-VLOOKUP($AO27,'Технический лист'!$A:$B,2,1)),1+(1-$AU27))</f>
        <v/>
      </c>
      <c r="EM27" s="172">
        <f>MIN(IF($AU27=100%,1,1+VLOOKUP(($AJ27-$AI27-$AH27-$AG27-$AF27-$AE27*(1+EM$3))/$AJ27,'Технический лист'!$A:$B,2,1)-VLOOKUP($AO27,'Технический лист'!$A:$B,2,1)),1+(1-$AU27))</f>
        <v/>
      </c>
      <c r="EN27" s="172">
        <f>MIN(IF($AU27=100%,1,1+VLOOKUP(($AJ27-$AI27-$AH27-$AG27-$AF27-$AE27*(1+EN$3))/$AJ27,'Технический лист'!$A:$B,2,1)-VLOOKUP($AO27,'Технический лист'!$A:$B,2,1)),1+(1-$AU27))</f>
        <v/>
      </c>
      <c r="EO27" s="172">
        <f>MIN(IF($AU27=100%,1,1+VLOOKUP(($AJ27-$AI27-$AH27-$AG27-$AF27-$AE27*(1+EO$3))/$AJ27,'Технический лист'!$A:$B,2,1)-VLOOKUP($AO27,'Технический лист'!$A:$B,2,1)),1+(1-$AU27))</f>
        <v/>
      </c>
      <c r="EP27" s="172">
        <f>MIN(IF($AU27=100%,1,1+VLOOKUP(($AJ27-$AI27-$AH27-$AG27-$AF27-$AE27*(1+EP$3))/$AJ27,'Технический лист'!$A:$B,2,1)-VLOOKUP($AO27,'Технический лист'!$A:$B,2,1)),1+(1-$AU27))</f>
        <v/>
      </c>
      <c r="EQ27" s="172">
        <f>MIN(IF($AU27=100%,1,1+VLOOKUP(($AJ27-$AI27-$AH27-$AG27-$AF27-$AE27*(1+EQ$3))/$AJ27,'Технический лист'!$A:$B,2,1)-VLOOKUP($AO27,'Технический лист'!$A:$B,2,1)),1+(1-$AU27))</f>
        <v/>
      </c>
      <c r="ER27" s="172">
        <f>MIN(IF($AU27=100%,1,1+VLOOKUP(($AJ27-$AI27-$AH27-$AG27-$AF27-$AE27*(1+ER$3))/$AJ27,'Технический лист'!$A:$B,2,1)-VLOOKUP($AO27,'Технический лист'!$A:$B,2,1)),1+(1-$AU27))</f>
        <v/>
      </c>
      <c r="ES27" s="172">
        <f>MIN(IF($AU27=100%,1,1+VLOOKUP(($AJ27-$AI27-$AH27-$AG27-$AF27-$AE27*(1+ES$3))/$AJ27,'Технический лист'!$A:$B,2,1)-VLOOKUP($AO27,'Технический лист'!$A:$B,2,1)),1+(1-$AU27))</f>
        <v/>
      </c>
      <c r="ET27" s="172">
        <f>MIN(IF($AU27=100%,1,1+VLOOKUP(($AJ27-$AI27-$AH27-$AG27-$AF27-$AE27*(1+ET$3))/$AJ27,'Технический лист'!$A:$B,2,1)-VLOOKUP($AO27,'Технический лист'!$A:$B,2,1)),1+(1-$AU27))</f>
        <v/>
      </c>
      <c r="EU27" s="172">
        <f>MIN(IF($AU27=100%,1,1+VLOOKUP(($AJ27-$AI27-$AH27-$AG27-$AF27-$AE27*(1+EU$3))/$AJ27,'Технический лист'!$A:$B,2,1)-VLOOKUP($AO27,'Технический лист'!$A:$B,2,1)),1+(1-$AU27))</f>
        <v/>
      </c>
      <c r="EV27" s="173" t="n">
        <v>1</v>
      </c>
      <c r="EW27" s="172">
        <f>MIN(1,MAX(VLOOKUP(($AJ27-$AI27-$AH27-$AG27-$AF27-$AE27*(1+EW$3))/$AJ27,'Технический лист'!$A:$B,2,1),(EV27-0.05)))</f>
        <v/>
      </c>
      <c r="EX27" s="172">
        <f>MIN(1,MAX(VLOOKUP(($AJ27-$AI27-$AH27-$AG27-$AF27-$AE27*(1+EX$3))/$AJ27,'Технический лист'!$A:$B,2,1),(EW27-0.05)))</f>
        <v/>
      </c>
      <c r="EY27" s="172">
        <f>MIN(1,MAX(VLOOKUP(($AJ27-$AI27-$AH27-$AG27-$AF27-$AE27*(1+EY$3))/$AJ27,'Технический лист'!$A:$B,2,1),(EX27-0.05)))</f>
        <v/>
      </c>
      <c r="EZ27" s="172">
        <f>MIN(1,MAX(VLOOKUP(($AJ27-$AI27-$AH27-$AG27-$AF27-$AE27*(1+EZ$3))/$AJ27,'Технический лист'!$A:$B,2,1),(EY27-0.05)))</f>
        <v/>
      </c>
      <c r="FA27" s="172">
        <f>MIN(1,MAX(VLOOKUP(($AJ27-$AI27-$AH27-$AG27-$AF27-$AE27*(1+FA$3))/$AJ27,'Технический лист'!$A:$B,2,1),(EZ27-0.05)))</f>
        <v/>
      </c>
      <c r="FB27" s="172">
        <f>MIN(1,MAX(VLOOKUP(($AJ27-$AI27-$AH27-$AG27-$AF27-$AE27*(1+FB$3))/$AJ27,'Технический лист'!$A:$B,2,1),(FA27-0.05)))</f>
        <v/>
      </c>
      <c r="FC27" s="172">
        <f>MIN(1,MAX(VLOOKUP(($AJ27-$AI27-$AH27-$AG27-$AF27-$AE27*(1+FC$3))/$AJ27,'Технический лист'!$A:$B,2,1),(FB27-0.05)))</f>
        <v/>
      </c>
      <c r="FD27" s="172">
        <f>MIN(1,MAX(VLOOKUP(($AJ27-$AI27-$AH27-$AG27-$AF27-$AE27*(1+FD$3))/$AJ27,'Технический лист'!$A:$B,2,1),(FC27-0.05)))</f>
        <v/>
      </c>
      <c r="FE27" s="172">
        <f>MIN(1,MAX(VLOOKUP(($AJ27-$AI27-$AH27-$AG27-$AF27-$AE27*(1+FE$3))/$AJ27,'Технический лист'!$A:$B,2,1),(FD27-0.05)))</f>
        <v/>
      </c>
      <c r="FF27" s="172">
        <f>MIN(1,MAX(VLOOKUP(($AJ27-$AI27-$AH27-$AG27-$AF27-$AE27*(1+FF$3))/$AJ27,'Технический лист'!$A:$B,2,1),(FE27-0.05)))</f>
        <v/>
      </c>
      <c r="FG27" s="172">
        <f>MIN(1,MAX(VLOOKUP(($AJ27-$AI27-$AH27-$AG27-$AF27-$AE27*(1+FG$3))/$AJ27,'Технический лист'!$A:$B,2,1),(FF27-0.05)))</f>
        <v/>
      </c>
      <c r="FH27" s="172">
        <f>MIN(1,MAX(VLOOKUP(($AJ27-$AI27-$AH27-$AG27-$AF27-$AE27*(1+FH$3))/$AJ27,'Технический лист'!$A:$B,2,1),(FG27-0.05)))</f>
        <v/>
      </c>
      <c r="FI27" s="172">
        <f>MIN(1,MAX(VLOOKUP(($AJ27-$AI27-$AH27-$AG27-$AF27-$AE27*(1+FI$3))/$AJ27,'Технический лист'!$A:$B,2,1),(FH27-0.05)))</f>
        <v/>
      </c>
      <c r="FJ27" s="172">
        <f>MIN(1,MAX(VLOOKUP(($AJ27-$AI27-$AH27-$AG27-$AF27-$AE27*(1+FJ$3))/$AJ27,'Технический лист'!$A:$B,2,1),(FI27-0.05)))</f>
        <v/>
      </c>
      <c r="FK27" s="172">
        <f>MIN(1,MAX(VLOOKUP(($AJ27-$AI27-$AH27-$AG27-$AF27-$AE27*(1+FK$3))/$AJ27,'Технический лист'!$A:$B,2,1),(FJ27-0.05)))</f>
        <v/>
      </c>
      <c r="FL27" s="172">
        <f>MIN(1,MAX(VLOOKUP(($AJ27-$AI27-$AH27-$AG27-$AF27-$AE27*(1+FL$3))/$AJ27,'Технический лист'!$A:$B,2,1),(FK27-0.05)))</f>
        <v/>
      </c>
      <c r="FM27" s="172">
        <f>MIN(1,MAX(VLOOKUP(($AJ27-$AI27-$AH27-$AG27-$AF27-$AE27*(1+FM$3))/$AJ27,'Технический лист'!$A:$B,2,1),(FL27-0.05)))</f>
        <v/>
      </c>
      <c r="FN27" s="172">
        <f>MIN(1,MAX(VLOOKUP(($AJ27-$AI27-$AH27-$AG27-$AF27-$AE27*(1+FN$3))/$AJ27,'Технический лист'!$A:$B,2,1),(FM27-0.05)))</f>
        <v/>
      </c>
      <c r="FO27" s="172">
        <f>MIN(1,MAX(VLOOKUP(($AJ27-$AI27-$AH27-$AG27-$AF27-$AE27*(1+FO$3))/$AJ27,'Технический лист'!$A:$B,2,1),(FN27-0.05)))</f>
        <v/>
      </c>
      <c r="FP27" s="172">
        <f>MIN(1,MAX(VLOOKUP(($AJ27-$AI27-$AH27-$AG27-$AF27-$AE27*(1+FP$3))/$AJ27,'Технический лист'!$A:$B,2,1),(FO27-0.05)))</f>
        <v/>
      </c>
      <c r="FQ27" s="172">
        <f>MIN(1,MAX(VLOOKUP(($AJ27-$AI27-$AH27-$AG27-$AF27-$AE27*(1+FQ$3))/$AJ27,'Технический лист'!$A:$B,2,1),(FP27-0.05)))</f>
        <v/>
      </c>
      <c r="FR27" s="172">
        <f>MIN(1,MAX(VLOOKUP(($AJ27-$AI27-$AH27-$AG27-$AF27-$AE27*(1+FR$3))/$AJ27,'Технический лист'!$A:$B,2,1),(FQ27-0.05)))</f>
        <v/>
      </c>
      <c r="FS27" s="172">
        <f>MIN(1,MAX(VLOOKUP(($AJ27-$AI27-$AH27-$AG27-$AF27-$AE27*(1+FS$3))/$AJ27,'Технический лист'!$A:$B,2,1),(FR27-0.05)))</f>
        <v/>
      </c>
      <c r="FT27" s="172">
        <f>MIN(1,MAX(VLOOKUP(($AJ27-$AI27-$AH27-$AG27-$AF27-$AE27*(1+FT$3))/$AJ27,'Технический лист'!$A:$B,2,1),(FS27-0.05)))</f>
        <v/>
      </c>
      <c r="FU27" s="172">
        <f>MIN(1,MAX(VLOOKUP(($AJ27-$AI27-$AH27-$AG27-$AF27-$AE27*(1+FU$3))/$AJ27,'Технический лист'!$A:$B,2,1),(FT27-0.05)))</f>
        <v/>
      </c>
      <c r="FV27" s="172">
        <f>MIN(1,MAX(VLOOKUP(($AJ27-$AI27-$AH27-$AG27-$AF27-$AE27*(1+FV$3))/$AJ27,'Технический лист'!$A:$B,2,1),(FU27-0.05)))</f>
        <v/>
      </c>
      <c r="FW27" s="172">
        <f>MIN(1,MAX(VLOOKUP(($AJ27-$AI27-$AH27-$AG27-$AF27-$AE27*(1+FW$3))/$AJ27,'Технический лист'!$A:$B,2,1),(FV27-0.05)))</f>
        <v/>
      </c>
      <c r="FX27" s="172">
        <f>MIN(1,MAX(VLOOKUP(($AJ27-$AI27-$AH27-$AG27-$AF27-$AE27*(1+FX$3))/$AJ27,'Технический лист'!$A:$B,2,1),(FW27-0.05)))</f>
        <v/>
      </c>
      <c r="FY27" s="172">
        <f>MIN(1,MAX(VLOOKUP(($AJ27-$AI27-$AH27-$AG27-$AF27-$AE27*(1+FY$3))/$AJ27,'Технический лист'!$A:$B,2,1),(FX27-0.05)))</f>
        <v/>
      </c>
      <c r="FZ27" s="172">
        <f>MIN(1,MAX(VLOOKUP(($AJ27-$AI27-$AH27-$AG27-$AF27-$AE27*(1+FZ$3))/$AJ27,'Технический лист'!$A:$B,2,1),(FY27-0.05)))</f>
        <v/>
      </c>
      <c r="GA27" s="172">
        <f>MIN(1,MAX(VLOOKUP(($AJ27-$AI27-$AH27-$AG27-$AF27-$AE27*(1+GA$3))/$AJ27,'Технический лист'!$A:$B,2,1),(FZ27-0.05)))</f>
        <v/>
      </c>
      <c r="GB27" s="172">
        <f>MIN(1,MAX(VLOOKUP(($AJ27-$AI27-$AH27-$AG27-$AF27-$AE27*(1+GB$3))/$AJ27,'Технический лист'!$A:$B,2,1),(GA27-0.05)))</f>
        <v/>
      </c>
      <c r="GC27" s="172">
        <f>MIN(1,MAX(VLOOKUP(($AJ27-$AI27-$AH27-$AG27-$AF27-$AE27*(1+GC$3))/$AJ27,'Технический лист'!$A:$B,2,1),(GB27-0.05)))</f>
        <v/>
      </c>
      <c r="GD27" s="172">
        <f>MIN(1,MAX(VLOOKUP(($AJ27-$AI27-$AH27-$AG27-$AF27-$AE27*(1+GD$3))/$AJ27,'Технический лист'!$A:$B,2,1),(GC27-0.05)))</f>
        <v/>
      </c>
      <c r="GE27" s="172">
        <f>MIN(1,MAX(VLOOKUP(($AJ27-$AI27-$AH27-$AG27-$AF27-$AE27*(1+GE$3))/$AJ27,'Технический лист'!$A:$B,2,1),(GD27-0.05)))</f>
        <v/>
      </c>
      <c r="GF27" s="172">
        <f>MIN(1,MAX(VLOOKUP(($AJ27-$AI27-$AH27-$AG27-$AF27-$AE27*(1+GF$3))/$AJ27,'Технический лист'!$A:$B,2,1),(GE27-0.05)))</f>
        <v/>
      </c>
      <c r="GG27" s="172">
        <f>MIN(1,MAX(VLOOKUP(($AJ27-$AI27-$AH27-$AG27-$AF27-$AE27*(1+GG$3))/$AJ27,'Технический лист'!$A:$B,2,1),(GF27-0.05)))</f>
        <v/>
      </c>
      <c r="GH27" s="172">
        <f>MIN(1,MAX(VLOOKUP(($AJ27-$AI27-$AH27-$AG27-$AF27-$AE27*(1+GH$3))/$AJ27,'Технический лист'!$A:$B,2,1),(GG27-0.05)))</f>
        <v/>
      </c>
      <c r="GI27" s="172">
        <f>MIN(1,MAX(VLOOKUP(($AJ27-$AI27-$AH27-$AG27-$AF27-$AE27*(1+GI$3))/$AJ27,'Технический лист'!$A:$B,2,1),(GH27-0.05)))</f>
        <v/>
      </c>
      <c r="GJ27" s="172">
        <f>MIN(1,MAX(VLOOKUP(($AJ27-$AI27-$AH27-$AG27-$AF27-$AE27*(1+GJ$3))/$AJ27,'Технический лист'!$A:$B,2,1),(GI27-0.05)))</f>
        <v/>
      </c>
      <c r="GK27" s="172">
        <f>MIN(1,MAX(VLOOKUP(($AJ27-$AI27-$AH27-$AG27-$AF27-$AE27*(1+GK$3))/$AJ27,'Технический лист'!$A:$B,2,1),(GJ27-0.05)))</f>
        <v/>
      </c>
      <c r="GL27" s="172">
        <f>MIN(1,MAX(VLOOKUP(($AJ27-$AI27-$AH27-$AG27-$AF27-$AE27*(1+GL$3))/$AJ27,'Технический лист'!$A:$B,2,1),(GK27-0.05)))</f>
        <v/>
      </c>
      <c r="GM27" s="172">
        <f>MIN(1,MAX(VLOOKUP(($AJ27-$AI27-$AH27-$AG27-$AF27-$AE27*(1+GM$3))/$AJ27,'Технический лист'!$A:$B,2,1),(GL27-0.05)))</f>
        <v/>
      </c>
      <c r="GN27" s="172">
        <f>MIN(1,MAX(VLOOKUP(($AJ27-$AI27-$AH27-$AG27-$AF27-$AE27*(1+GN$3))/$AJ27,'Технический лист'!$A:$B,2,1),(GM27-0.05)))</f>
        <v/>
      </c>
      <c r="GO27" s="172">
        <f>MIN(1,MAX(VLOOKUP(($AJ27-$AI27-$AH27-$AG27-$AF27-$AE27*(1+GO$3))/$AJ27,'Технический лист'!$A:$B,2,1),(GN27-0.05)))</f>
        <v/>
      </c>
      <c r="GP27" s="172">
        <f>MIN(1,MAX(VLOOKUP(($AJ27-$AI27-$AH27-$AG27-$AF27-$AE27*(1+GP$3))/$AJ27,'Технический лист'!$A:$B,2,1),(GO27-0.05)))</f>
        <v/>
      </c>
      <c r="GQ27" s="172">
        <f>MIN(1,MAX(VLOOKUP(($AJ27-$AI27-$AH27-$AG27-$AF27-$AE27*(1+GQ$3))/$AJ27,'Технический лист'!$A:$B,2,1),(GP27-0.05)))</f>
        <v/>
      </c>
      <c r="GR27" s="172">
        <f>MIN(1,MAX(VLOOKUP(($AJ27-$AI27-$AH27-$AG27-$AF27-$AE27*(1+GR$3))/$AJ27,'Технический лист'!$A:$B,2,1),(GQ27-0.05)))</f>
        <v/>
      </c>
      <c r="GS27" s="172">
        <f>MIN(1,MAX(VLOOKUP(($AJ27-$AI27-$AH27-$AG27-$AF27-$AE27*(1+GS$3))/$AJ27,'Технический лист'!$A:$B,2,1),(GR27-0.05)))</f>
        <v/>
      </c>
      <c r="GT27" s="172">
        <f>MIN(1,MAX(VLOOKUP(($AJ27-$AI27-$AH27-$AG27-$AF27-$AE27*(1+GT$3))/$AJ27,'Технический лист'!$A:$B,2,1),(GS27-0.05)))</f>
        <v/>
      </c>
      <c r="GU27" s="172">
        <f>MIN(1,MAX(VLOOKUP(($AJ27-$AI27-$AH27-$AG27-$AF27-$AE27*(1+GU$3))/$AJ27,'Технический лист'!$A:$B,2,1),(GT27-0.05)))</f>
        <v/>
      </c>
      <c r="GV27" s="172">
        <f>MIN(1,MAX(VLOOKUP(($AJ27-$AI27-$AH27-$AG27-$AF27-$AE27*(1+GV$3))/$AJ27,'Технический лист'!$A:$B,2,1),(GU27-0.05)))</f>
        <v/>
      </c>
      <c r="GW27" s="172">
        <f>MIN(1,MAX(VLOOKUP(($AJ27-$AI27-$AH27-$AG27-$AF27-$AE27*(1+GW$3))/$AJ27,'Технический лист'!$A:$B,2,1),(GV27-0.05)))</f>
        <v/>
      </c>
      <c r="GX27" s="172">
        <f>MIN(1,MAX(VLOOKUP(($AJ27-$AI27-$AH27-$AG27-$AF27-$AE27*(1+GX$3))/$AJ27,'Технический лист'!$A:$B,2,1),(GW27-0.05)))</f>
        <v/>
      </c>
      <c r="GY27" s="172">
        <f>MIN(1,MAX(VLOOKUP(($AJ27-$AI27-$AH27-$AG27-$AF27-$AE27*(1+GY$3))/$AJ27,'Технический лист'!$A:$B,2,1),(GX27-0.05)))</f>
        <v/>
      </c>
      <c r="GZ27" s="172">
        <f>MIN(1,MAX(VLOOKUP(($AJ27-$AI27-$AH27-$AG27-$AF27-$AE27*(1+GZ$3))/$AJ27,'Технический лист'!$A:$B,2,1),(GY27-0.05)))</f>
        <v/>
      </c>
      <c r="HA27" s="172">
        <f>MIN(1,MAX(VLOOKUP(($AJ27-$AI27-$AH27-$AG27-$AF27-$AE27*(1+HA$3))/$AJ27,'Технический лист'!$A:$B,2,1),(GZ27-0.05)))</f>
        <v/>
      </c>
      <c r="HB27" s="172">
        <f>MIN(1,MAX(VLOOKUP(($AJ27-$AI27-$AH27-$AG27-$AF27-$AE27*(1+HB$3))/$AJ27,'Технический лист'!$A:$B,2,1),(HA27-0.05)))</f>
        <v/>
      </c>
      <c r="HC27" s="172">
        <f>MIN(1,MAX(VLOOKUP(($AJ27-$AI27-$AH27-$AG27-$AF27-$AE27*(1+HC$3))/$AJ27,'Технический лист'!$A:$B,2,1),(HB27-0.05)))</f>
        <v/>
      </c>
      <c r="HD27" s="172">
        <f>MIN(1,MAX(VLOOKUP(($AJ27-$AI27-$AH27-$AG27-$AF27-$AE27*(1+HD$3))/$AJ27,'Технический лист'!$A:$B,2,1),(HC27-0.05)))</f>
        <v/>
      </c>
      <c r="HE27" s="172">
        <f>MIN(1,MAX(VLOOKUP(($AJ27-$AI27-$AH27-$AG27-$AF27-$AE27*(1+HE$3))/$AJ27,'Технический лист'!$A:$B,2,1),(HD27-0.05)))</f>
        <v/>
      </c>
      <c r="HF27" s="172">
        <f>MIN(1,MAX(VLOOKUP(($AJ27-$AI27-$AH27-$AG27-$AF27-$AE27*(1+HF$3))/$AJ27,'Технический лист'!$A:$B,2,1),(HE27-0.05)))</f>
        <v/>
      </c>
      <c r="HG27" s="172">
        <f>MIN(1,MAX(VLOOKUP(($AJ27-$AI27-$AH27-$AG27-$AF27-$AE27*(1+HG$3))/$AJ27,'Технический лист'!$A:$B,2,1),(HF27-0.05)))</f>
        <v/>
      </c>
      <c r="HH27" s="172">
        <f>MIN(1,MAX(VLOOKUP(($AJ27-$AI27-$AH27-$AG27-$AF27-$AE27*(1+HH$3))/$AJ27,'Технический лист'!$A:$B,2,1),(HG27-0.05)))</f>
        <v/>
      </c>
      <c r="HI27" s="172">
        <f>MIN(1,MAX(VLOOKUP(($AJ27-$AI27-$AH27-$AG27-$AF27-$AE27*(1+HI$3))/$AJ27,'Технический лист'!$A:$B,2,1),(HH27-0.05)))</f>
        <v/>
      </c>
      <c r="HJ27" s="172">
        <f>MIN(1,MAX(VLOOKUP(($AJ27-$AI27-$AH27-$AG27-$AF27-$AE27*(1+HJ$3))/$AJ27,'Технический лист'!$A:$B,2,1),(HI27-0.05)))</f>
        <v/>
      </c>
      <c r="HK27" s="172">
        <f>MIN(1,MAX(VLOOKUP(($AJ27-$AI27-$AH27-$AG27-$AF27-$AE27*(1+HK$3))/$AJ27,'Технический лист'!$A:$B,2,1),(HJ27-0.05)))</f>
        <v/>
      </c>
      <c r="HL27" s="172">
        <f>MIN(1,MAX(VLOOKUP(($AJ27-$AI27-$AH27-$AG27-$AF27-$AE27*(1+HL$3))/$AJ27,'Технический лист'!$A:$B,2,1),(HK27-0.05)))</f>
        <v/>
      </c>
      <c r="HM27" s="172">
        <f>MIN(1,MAX(VLOOKUP(($AJ27-$AI27-$AH27-$AG27-$AF27-$AE27*(1+HM$3))/$AJ27,'Технический лист'!$A:$B,2,1),(HL27-0.05)))</f>
        <v/>
      </c>
      <c r="HN27" s="172">
        <f>MIN(1,MAX(VLOOKUP(($AJ27-$AI27-$AH27-$AG27-$AF27-$AE27*(1+HN$3))/$AJ27,'Технический лист'!$A:$B,2,1),(HM27-0.05)))</f>
        <v/>
      </c>
      <c r="HO27" s="172">
        <f>MIN(1,MAX(VLOOKUP(($AJ27-$AI27-$AH27-$AG27-$AF27-$AE27*(1+HO$3))/$AJ27,'Технический лист'!$A:$B,2,1),(HN27-0.05)))</f>
        <v/>
      </c>
      <c r="HP27" s="172">
        <f>MIN(1,MAX(VLOOKUP(($AJ27-$AI27-$AH27-$AG27-$AF27-$AE27*(1+HP$3))/$AJ27,'Технический лист'!$A:$B,2,1),(HO27-0.05)))</f>
        <v/>
      </c>
      <c r="HQ27" s="172">
        <f>MIN(1,MAX(VLOOKUP(($AJ27-$AI27-$AH27-$AG27-$AF27-$AE27*(1+HQ$3))/$AJ27,'Технический лист'!$A:$B,2,1),(HP27-0.05)))</f>
        <v/>
      </c>
      <c r="HR27" s="172">
        <f>MIN(1,MAX(VLOOKUP(($AJ27-$AI27-$AH27-$AG27-$AF27-$AE27*(1+HR$3))/$AJ27,'Технический лист'!$A:$B,2,1),(HQ27-0.05)))</f>
        <v/>
      </c>
      <c r="HS27" s="172">
        <f>MIN(1,MAX(VLOOKUP(($AJ27-$AI27-$AH27-$AG27-$AF27-$AE27*(1+HS$3))/$AJ27,'Технический лист'!$A:$B,2,1),(HR27-0.05)))</f>
        <v/>
      </c>
      <c r="HT27" s="172">
        <f>MIN(1,MAX(VLOOKUP(($AJ27-$AI27-$AH27-$AG27-$AF27-$AE27*(1+HT$3))/$AJ27,'Технический лист'!$A:$B,2,1),(HS27-0.05)))</f>
        <v/>
      </c>
      <c r="HU27" s="172">
        <f>MIN(1,MAX(VLOOKUP(($AJ27-$AI27-$AH27-$AG27-$AF27-$AE27*(1+HU$3))/$AJ27,'Технический лист'!$A:$B,2,1),(HT27-0.05)))</f>
        <v/>
      </c>
      <c r="HV27" s="172">
        <f>MIN(1,MAX(VLOOKUP(($AJ27-$AI27-$AH27-$AG27-$AF27-$AE27*(1+HV$3))/$AJ27,'Технический лист'!$A:$B,2,1),(HU27-0.05)))</f>
        <v/>
      </c>
      <c r="HW27" s="172">
        <f>MIN(1,MAX(VLOOKUP(($AJ27-$AI27-$AH27-$AG27-$AF27-$AE27*(1+HW$3))/$AJ27,'Технический лист'!$A:$B,2,1),(HV27-0.05)))</f>
        <v/>
      </c>
      <c r="HX27" s="172">
        <f>MIN(1,MAX(VLOOKUP(($AJ27-$AI27-$AH27-$AG27-$AF27-$AE27*(1+HX$3))/$AJ27,'Технический лист'!$A:$B,2,1),(HW27-0.05)))</f>
        <v/>
      </c>
      <c r="HY27" s="172">
        <f>MIN(1,MAX(VLOOKUP(($AJ27-$AI27-$AH27-$AG27-$AF27-$AE27*(1+HY$3))/$AJ27,'Технический лист'!$A:$B,2,1),(HX27-0.05)))</f>
        <v/>
      </c>
      <c r="HZ27" s="172">
        <f>MIN(1,MAX(VLOOKUP(($AJ27-$AI27-$AH27-$AG27-$AF27-$AE27*(1+HZ$3))/$AJ27,'Технический лист'!$A:$B,2,1),(HY27-0.05)))</f>
        <v/>
      </c>
      <c r="IA27" s="172">
        <f>MIN(1,MAX(VLOOKUP(($AJ27-$AI27-$AH27-$AG27-$AF27-$AE27*(1+IA$3))/$AJ27,'Технический лист'!$A:$B,2,1),(HZ27-0.05)))</f>
        <v/>
      </c>
      <c r="IB27" s="172">
        <f>MIN(1,MAX(VLOOKUP(($AJ27-$AI27-$AH27-$AG27-$AF27-$AE27*(1+IB$3))/$AJ27,'Технический лист'!$A:$B,2,1),(IA27-0.05)))</f>
        <v/>
      </c>
      <c r="IC27" s="172">
        <f>MIN(1,MAX(VLOOKUP(($AJ27-$AI27-$AH27-$AG27-$AF27-$AE27*(1+IC$3))/$AJ27,'Технический лист'!$A:$B,2,1),(IB27-0.05)))</f>
        <v/>
      </c>
      <c r="ID27" s="172">
        <f>MIN(1,MAX(VLOOKUP(($AJ27-$AI27-$AH27-$AG27-$AF27-$AE27*(1+ID$3))/$AJ27,'Технический лист'!$A:$B,2,1),(IC27-0.05)))</f>
        <v/>
      </c>
      <c r="IE27" s="172">
        <f>MIN(1,MAX(VLOOKUP(($AJ27-$AI27-$AH27-$AG27-$AF27-$AE27*(1+IE$3))/$AJ27,'Технический лист'!$A:$B,2,1),(ID27-0.05)))</f>
        <v/>
      </c>
      <c r="IF27" s="172">
        <f>MIN(1,MAX(VLOOKUP(($AJ27-$AI27-$AH27-$AG27-$AF27-$AE27*(1+IF$3))/$AJ27,'Технический лист'!$A:$B,2,1),(IE27-0.05)))</f>
        <v/>
      </c>
      <c r="IG27" s="172">
        <f>MIN(1,MAX(VLOOKUP(($AJ27-$AI27-$AH27-$AG27-$AF27-$AE27*(1+IG$3))/$AJ27,'Технический лист'!$A:$B,2,1),(IF27-0.05)))</f>
        <v/>
      </c>
      <c r="IH27" s="172">
        <f>MIN(1,MAX(VLOOKUP(($AJ27-$AI27-$AH27-$AG27-$AF27-$AE27*(1+IH$3))/$AJ27,'Технический лист'!$A:$B,2,1),(IG27-0.05)))</f>
        <v/>
      </c>
      <c r="II27" s="172">
        <f>MIN(1,MAX(VLOOKUP(($AJ27-$AI27-$AH27-$AG27-$AF27-$AE27*(1+II$3))/$AJ27,'Технический лист'!$A:$B,2,1),(IH27-0.05)))</f>
        <v/>
      </c>
      <c r="IJ27" s="172">
        <f>MIN(1,MAX(VLOOKUP(($AJ27-$AI27-$AH27-$AG27-$AF27-$AE27*(1+IJ$3))/$AJ27,'Технический лист'!$A:$B,2,1),(II27-0.05)))</f>
        <v/>
      </c>
      <c r="IK27" s="172">
        <f>MIN(1,MAX(VLOOKUP(($AJ27-$AI27-$AH27-$AG27-$AF27-$AE27*(1+IK$3))/$AJ27,'Технический лист'!$A:$B,2,1),(IJ27-0.05)))</f>
        <v/>
      </c>
      <c r="IL27" s="172">
        <f>MIN(1,MAX(VLOOKUP(($AJ27-$AI27-$AH27-$AG27-$AF27-$AE27*(1+IL$3))/$AJ27,'Технический лист'!$A:$B,2,1),(IK27-0.05)))</f>
        <v/>
      </c>
      <c r="IM27" s="172">
        <f>MIN(1,MAX(VLOOKUP(($AJ27-$AI27-$AH27-$AG27-$AF27-$AE27*(1+IM$3))/$AJ27,'Технический лист'!$A:$B,2,1),(IL27-0.05)))</f>
        <v/>
      </c>
      <c r="IN27" s="172">
        <f>MIN(1,MAX(VLOOKUP(($AJ27-$AI27-$AH27-$AG27-$AF27-$AE27*(1+IN$3))/$AJ27,'Технический лист'!$A:$B,2,1),(IM27-0.05)))</f>
        <v/>
      </c>
      <c r="IO27" s="172">
        <f>MIN(1,MAX(VLOOKUP(($AJ27-$AI27-$AH27-$AG27-$AF27-$AE27*(1+IO$3))/$AJ27,'Технический лист'!$A:$B,2,1),(IN27-0.05)))</f>
        <v/>
      </c>
      <c r="IP27" s="172">
        <f>MIN(1,MAX(VLOOKUP(($AJ27-$AI27-$AH27-$AG27-$AF27-$AE27*(1+IP$3))/$AJ27,'Технический лист'!$A:$B,2,1),(IO27-0.05)))</f>
        <v/>
      </c>
      <c r="IQ27" s="172">
        <f>MIN(1,MAX(VLOOKUP(($AJ27-$AI27-$AH27-$AG27-$AF27-$AE27*(1+IQ$3))/$AJ27,'Технический лист'!$A:$B,2,1),(IP27-0.05)))</f>
        <v/>
      </c>
      <c r="IR27" s="172">
        <f>MIN(1,MAX(VLOOKUP(($AJ27-$AI27-$AH27-$AG27-$AF27-$AE27*(1+IR$3))/$AJ27,'Технический лист'!$A:$B,2,1),(IQ27-0.05)))</f>
        <v/>
      </c>
    </row>
    <row r="28" ht="45" customHeight="1" s="123">
      <c r="A28" s="89" t="inlineStr">
        <is>
          <t>ЧМ (сырье)</t>
        </is>
      </c>
      <c r="B28" s="90" t="n">
        <v>2</v>
      </c>
      <c r="C28" s="5" t="inlineStr">
        <is>
          <t>Кокс каменноугольный</t>
        </is>
      </c>
      <c r="D28" s="91" t="n">
        <v>17110</v>
      </c>
      <c r="E28" s="91" t="inlineStr">
        <is>
          <t xml:space="preserve">Кокс, не поименованный в алфавите </t>
        </is>
      </c>
      <c r="F28" s="92" t="inlineStr">
        <is>
          <t>КОКС КАМЕННОУГОЛЬНЫЙ</t>
        </is>
      </c>
      <c r="G28" s="91" t="inlineStr">
        <is>
          <t>ЮУР</t>
        </is>
      </c>
      <c r="H28" s="91" t="inlineStr">
        <is>
          <t>ЮУР</t>
        </is>
      </c>
      <c r="I28" s="91" t="inlineStr">
        <is>
          <t>МАГНИТОГ-ГР</t>
        </is>
      </c>
      <c r="J28" s="91" t="inlineStr">
        <is>
          <t>ЭЛЕКТРОСТАН.</t>
        </is>
      </c>
      <c r="K28" s="91" t="n">
        <v>408</v>
      </c>
      <c r="L28" s="91" t="inlineStr">
        <is>
          <t>Полувагоны</t>
        </is>
      </c>
      <c r="M28" s="91" t="inlineStr">
        <is>
          <t>Внутр. перевозки</t>
        </is>
      </c>
      <c r="N28" s="91" t="inlineStr">
        <is>
          <t>вагонная</t>
        </is>
      </c>
      <c r="O28" s="91" t="inlineStr">
        <is>
          <t xml:space="preserve">Южное </t>
        </is>
      </c>
      <c r="P28" s="89" t="inlineStr">
        <is>
          <t>'000000186424</t>
        </is>
      </c>
      <c r="Q28" s="91" t="inlineStr">
        <is>
          <t>'ПАО "ММК"</t>
        </is>
      </c>
      <c r="R28" s="91" t="inlineStr">
        <is>
          <t>ПАО "ММК"</t>
        </is>
      </c>
      <c r="S28" s="87" t="n">
        <v>30134</v>
      </c>
      <c r="T28" s="87" t="n">
        <v>12294564</v>
      </c>
      <c r="U28" s="88" t="n">
        <v>522</v>
      </c>
      <c r="V28" s="88" t="n">
        <v>0</v>
      </c>
      <c r="W28" s="87" t="n">
        <v>17644584</v>
      </c>
      <c r="X28" s="112" t="n">
        <v>58</v>
      </c>
      <c r="Y28" s="112" t="inlineStr">
        <is>
          <t>повагонная</t>
        </is>
      </c>
      <c r="Z28" s="113" t="n">
        <v>5</v>
      </c>
      <c r="AA28" s="113" t="n">
        <v>4</v>
      </c>
      <c r="AB28" s="113" t="n">
        <v>4</v>
      </c>
      <c r="AC28" s="161" t="n">
        <v>639.84</v>
      </c>
      <c r="AD28" s="161">
        <f>AE28-AC28</f>
        <v/>
      </c>
      <c r="AE28" s="161" t="n">
        <v>816.22</v>
      </c>
      <c r="AF28" s="162">
        <f>(Z28+AA28+AB28)*'Ставки аренды'!$B$3/X28</f>
        <v/>
      </c>
      <c r="AG28" s="163" t="n">
        <v>0</v>
      </c>
      <c r="AH28" s="164" t="n">
        <v>0</v>
      </c>
      <c r="AI28" s="174">
        <f>429559973/511416159*AVERAGE(AJ28,AJ29)</f>
        <v/>
      </c>
      <c r="AJ28" s="166">
        <f>Цены!$D$9</f>
        <v/>
      </c>
      <c r="AK28" s="164">
        <f>AJ28/Цены!$B$1</f>
        <v/>
      </c>
      <c r="AL28" s="164">
        <f>AE28+AF28+AG28</f>
        <v/>
      </c>
      <c r="AM28" s="164">
        <f>AJ28-AL28</f>
        <v/>
      </c>
      <c r="AN28" s="164">
        <f>AI28+AH28+AG28+AF28+AE28</f>
        <v/>
      </c>
      <c r="AO28" s="167">
        <f>(AJ28-AN28)/AJ28</f>
        <v/>
      </c>
      <c r="AP28" s="168">
        <f>AL28/AJ28</f>
        <v/>
      </c>
      <c r="AQ28" s="168">
        <f>AE28/AJ28</f>
        <v/>
      </c>
      <c r="AR28" s="168">
        <f>AE28/AL28</f>
        <v/>
      </c>
      <c r="AS28" s="169" t="n">
        <v>1</v>
      </c>
      <c r="AT28" s="121">
        <f>S28*AS28</f>
        <v/>
      </c>
      <c r="AU28" s="83" t="n">
        <v>0.7</v>
      </c>
      <c r="AV28" s="170">
        <f>(AJ28-(AE28*(1+$IS$2)+AF28+AG28+AH28+AI28))/AJ28</f>
        <v/>
      </c>
      <c r="AW28" s="171">
        <f>(AE28*(1+$IS$2)+AF28+AG28)/AJ28</f>
        <v/>
      </c>
      <c r="AX28" s="171">
        <f>(AE28*(1+$IS$2))/AJ28</f>
        <v/>
      </c>
      <c r="AY28" s="171">
        <f>(AE28*(1+$IS$2))/(AE28*(1+$IS$2)+AF28+AG28)</f>
        <v/>
      </c>
      <c r="AZ28" s="172">
        <f>MIN(IF($AU28=100%,1,1+VLOOKUP(($AJ28-$AI28-$AH28-$AG28-$AF28-$AE28*(1+AZ$3))/$AJ28,'Технический лист'!$A:$B,2,1)-VLOOKUP($AO28,'Технический лист'!$A:$B,2,1)),1+(1-$AU28))</f>
        <v/>
      </c>
      <c r="BA28" s="172">
        <f>MIN(IF($AU28=100%,1,1+VLOOKUP(($AJ28-$AI28-$AH28-$AG28-$AF28-$AE28*(1+BA$3))/$AJ28,'Технический лист'!$A:$B,2,1)-VLOOKUP($AO28,'Технический лист'!$A:$B,2,1)),1+(1-$AU28))</f>
        <v/>
      </c>
      <c r="BB28" s="172">
        <f>MIN(IF($AU28=100%,1,1+VLOOKUP(($AJ28-$AI28-$AH28-$AG28-$AF28-$AE28*(1+BB$3))/$AJ28,'Технический лист'!$A:$B,2,1)-VLOOKUP($AO28,'Технический лист'!$A:$B,2,1)),1+(1-$AU28))</f>
        <v/>
      </c>
      <c r="BC28" s="172">
        <f>MIN(IF($AU28=100%,1,1+VLOOKUP(($AJ28-$AI28-$AH28-$AG28-$AF28-$AE28*(1+BC$3))/$AJ28,'Технический лист'!$A:$B,2,1)-VLOOKUP($AO28,'Технический лист'!$A:$B,2,1)),1+(1-$AU28))</f>
        <v/>
      </c>
      <c r="BD28" s="172">
        <f>MIN(IF($AU28=100%,1,1+VLOOKUP(($AJ28-$AI28-$AH28-$AG28-$AF28-$AE28*(1+BD$3))/$AJ28,'Технический лист'!$A:$B,2,1)-VLOOKUP($AO28,'Технический лист'!$A:$B,2,1)),1+(1-$AU28))</f>
        <v/>
      </c>
      <c r="BE28" s="172">
        <f>MIN(IF($AU28=100%,1,1+VLOOKUP(($AJ28-$AI28-$AH28-$AG28-$AF28-$AE28*(1+BE$3))/$AJ28,'Технический лист'!$A:$B,2,1)-VLOOKUP($AO28,'Технический лист'!$A:$B,2,1)),1+(1-$AU28))</f>
        <v/>
      </c>
      <c r="BF28" s="172">
        <f>MIN(IF($AU28=100%,1,1+VLOOKUP(($AJ28-$AI28-$AH28-$AG28-$AF28-$AE28*(1+BF$3))/$AJ28,'Технический лист'!$A:$B,2,1)-VLOOKUP($AO28,'Технический лист'!$A:$B,2,1)),1+(1-$AU28))</f>
        <v/>
      </c>
      <c r="BG28" s="172">
        <f>MIN(IF($AU28=100%,1,1+VLOOKUP(($AJ28-$AI28-$AH28-$AG28-$AF28-$AE28*(1+BG$3))/$AJ28,'Технический лист'!$A:$B,2,1)-VLOOKUP($AO28,'Технический лист'!$A:$B,2,1)),1+(1-$AU28))</f>
        <v/>
      </c>
      <c r="BH28" s="172">
        <f>MIN(IF($AU28=100%,1,1+VLOOKUP(($AJ28-$AI28-$AH28-$AG28-$AF28-$AE28*(1+BH$3))/$AJ28,'Технический лист'!$A:$B,2,1)-VLOOKUP($AO28,'Технический лист'!$A:$B,2,1)),1+(1-$AU28))</f>
        <v/>
      </c>
      <c r="BI28" s="172">
        <f>MIN(IF($AU28=100%,1,1+VLOOKUP(($AJ28-$AI28-$AH28-$AG28-$AF28-$AE28*(1+BI$3))/$AJ28,'Технический лист'!$A:$B,2,1)-VLOOKUP($AO28,'Технический лист'!$A:$B,2,1)),1+(1-$AU28))</f>
        <v/>
      </c>
      <c r="BJ28" s="172">
        <f>MIN(IF($AU28=100%,1,1+VLOOKUP(($AJ28-$AI28-$AH28-$AG28-$AF28-$AE28*(1+BJ$3))/$AJ28,'Технический лист'!$A:$B,2,1)-VLOOKUP($AO28,'Технический лист'!$A:$B,2,1)),1+(1-$AU28))</f>
        <v/>
      </c>
      <c r="BK28" s="172">
        <f>MIN(IF($AU28=100%,1,1+VLOOKUP(($AJ28-$AI28-$AH28-$AG28-$AF28-$AE28*(1+BK$3))/$AJ28,'Технический лист'!$A:$B,2,1)-VLOOKUP($AO28,'Технический лист'!$A:$B,2,1)),1+(1-$AU28))</f>
        <v/>
      </c>
      <c r="BL28" s="172">
        <f>MIN(IF($AU28=100%,1,1+VLOOKUP(($AJ28-$AI28-$AH28-$AG28-$AF28-$AE28*(1+BL$3))/$AJ28,'Технический лист'!$A:$B,2,1)-VLOOKUP($AO28,'Технический лист'!$A:$B,2,1)),1+(1-$AU28))</f>
        <v/>
      </c>
      <c r="BM28" s="172">
        <f>MIN(IF($AU28=100%,1,1+VLOOKUP(($AJ28-$AI28-$AH28-$AG28-$AF28-$AE28*(1+BM$3))/$AJ28,'Технический лист'!$A:$B,2,1)-VLOOKUP($AO28,'Технический лист'!$A:$B,2,1)),1+(1-$AU28))</f>
        <v/>
      </c>
      <c r="BN28" s="172">
        <f>MIN(IF($AU28=100%,1,1+VLOOKUP(($AJ28-$AI28-$AH28-$AG28-$AF28-$AE28*(1+BN$3))/$AJ28,'Технический лист'!$A:$B,2,1)-VLOOKUP($AO28,'Технический лист'!$A:$B,2,1)),1+(1-$AU28))</f>
        <v/>
      </c>
      <c r="BO28" s="172">
        <f>MIN(IF($AU28=100%,1,1+VLOOKUP(($AJ28-$AI28-$AH28-$AG28-$AF28-$AE28*(1+BO$3))/$AJ28,'Технический лист'!$A:$B,2,1)-VLOOKUP($AO28,'Технический лист'!$A:$B,2,1)),1+(1-$AU28))</f>
        <v/>
      </c>
      <c r="BP28" s="172">
        <f>MIN(IF($AU28=100%,1,1+VLOOKUP(($AJ28-$AI28-$AH28-$AG28-$AF28-$AE28*(1+BP$3))/$AJ28,'Технический лист'!$A:$B,2,1)-VLOOKUP($AO28,'Технический лист'!$A:$B,2,1)),1+(1-$AU28))</f>
        <v/>
      </c>
      <c r="BQ28" s="172">
        <f>MIN(IF($AU28=100%,1,1+VLOOKUP(($AJ28-$AI28-$AH28-$AG28-$AF28-$AE28*(1+BQ$3))/$AJ28,'Технический лист'!$A:$B,2,1)-VLOOKUP($AO28,'Технический лист'!$A:$B,2,1)),1+(1-$AU28))</f>
        <v/>
      </c>
      <c r="BR28" s="172">
        <f>MIN(IF($AU28=100%,1,1+VLOOKUP(($AJ28-$AI28-$AH28-$AG28-$AF28-$AE28*(1+BR$3))/$AJ28,'Технический лист'!$A:$B,2,1)-VLOOKUP($AO28,'Технический лист'!$A:$B,2,1)),1+(1-$AU28))</f>
        <v/>
      </c>
      <c r="BS28" s="172">
        <f>MIN(IF($AU28=100%,1,1+VLOOKUP(($AJ28-$AI28-$AH28-$AG28-$AF28-$AE28*(1+BS$3))/$AJ28,'Технический лист'!$A:$B,2,1)-VLOOKUP($AO28,'Технический лист'!$A:$B,2,1)),1+(1-$AU28))</f>
        <v/>
      </c>
      <c r="BT28" s="172">
        <f>MIN(IF($AU28=100%,1,1+VLOOKUP(($AJ28-$AI28-$AH28-$AG28-$AF28-$AE28*(1+BT$3))/$AJ28,'Технический лист'!$A:$B,2,1)-VLOOKUP($AO28,'Технический лист'!$A:$B,2,1)),1+(1-$AU28))</f>
        <v/>
      </c>
      <c r="BU28" s="172">
        <f>MIN(IF($AU28=100%,1,1+VLOOKUP(($AJ28-$AI28-$AH28-$AG28-$AF28-$AE28*(1+BU$3))/$AJ28,'Технический лист'!$A:$B,2,1)-VLOOKUP($AO28,'Технический лист'!$A:$B,2,1)),1+(1-$AU28))</f>
        <v/>
      </c>
      <c r="BV28" s="172">
        <f>MIN(IF($AU28=100%,1,1+VLOOKUP(($AJ28-$AI28-$AH28-$AG28-$AF28-$AE28*(1+BV$3))/$AJ28,'Технический лист'!$A:$B,2,1)-VLOOKUP($AO28,'Технический лист'!$A:$B,2,1)),1+(1-$AU28))</f>
        <v/>
      </c>
      <c r="BW28" s="172">
        <f>MIN(IF($AU28=100%,1,1+VLOOKUP(($AJ28-$AI28-$AH28-$AG28-$AF28-$AE28*(1+BW$3))/$AJ28,'Технический лист'!$A:$B,2,1)-VLOOKUP($AO28,'Технический лист'!$A:$B,2,1)),1+(1-$AU28))</f>
        <v/>
      </c>
      <c r="BX28" s="172">
        <f>MIN(IF($AU28=100%,1,1+VLOOKUP(($AJ28-$AI28-$AH28-$AG28-$AF28-$AE28*(1+BX$3))/$AJ28,'Технический лист'!$A:$B,2,1)-VLOOKUP($AO28,'Технический лист'!$A:$B,2,1)),1+(1-$AU28))</f>
        <v/>
      </c>
      <c r="BY28" s="172">
        <f>MIN(IF($AU28=100%,1,1+VLOOKUP(($AJ28-$AI28-$AH28-$AG28-$AF28-$AE28*(1+BY$3))/$AJ28,'Технический лист'!$A:$B,2,1)-VLOOKUP($AO28,'Технический лист'!$A:$B,2,1)),1+(1-$AU28))</f>
        <v/>
      </c>
      <c r="BZ28" s="172">
        <f>MIN(IF($AU28=100%,1,1+VLOOKUP(($AJ28-$AI28-$AH28-$AG28-$AF28-$AE28*(1+BZ$3))/$AJ28,'Технический лист'!$A:$B,2,1)-VLOOKUP($AO28,'Технический лист'!$A:$B,2,1)),1+(1-$AU28))</f>
        <v/>
      </c>
      <c r="CA28" s="172">
        <f>MIN(IF($AU28=100%,1,1+VLOOKUP(($AJ28-$AI28-$AH28-$AG28-$AF28-$AE28*(1+CA$3))/$AJ28,'Технический лист'!$A:$B,2,1)-VLOOKUP($AO28,'Технический лист'!$A:$B,2,1)),1+(1-$AU28))</f>
        <v/>
      </c>
      <c r="CB28" s="172">
        <f>MIN(IF($AU28=100%,1,1+VLOOKUP(($AJ28-$AI28-$AH28-$AG28-$AF28-$AE28*(1+CB$3))/$AJ28,'Технический лист'!$A:$B,2,1)-VLOOKUP($AO28,'Технический лист'!$A:$B,2,1)),1+(1-$AU28))</f>
        <v/>
      </c>
      <c r="CC28" s="172">
        <f>MIN(IF($AU28=100%,1,1+VLOOKUP(($AJ28-$AI28-$AH28-$AG28-$AF28-$AE28*(1+CC$3))/$AJ28,'Технический лист'!$A:$B,2,1)-VLOOKUP($AO28,'Технический лист'!$A:$B,2,1)),1+(1-$AU28))</f>
        <v/>
      </c>
      <c r="CD28" s="172">
        <f>MIN(IF($AU28=100%,1,1+VLOOKUP(($AJ28-$AI28-$AH28-$AG28-$AF28-$AE28*(1+CD$3))/$AJ28,'Технический лист'!$A:$B,2,1)-VLOOKUP($AO28,'Технический лист'!$A:$B,2,1)),1+(1-$AU28))</f>
        <v/>
      </c>
      <c r="CE28" s="172">
        <f>MIN(IF($AU28=100%,1,1+VLOOKUP(($AJ28-$AI28-$AH28-$AG28-$AF28-$AE28*(1+CE$3))/$AJ28,'Технический лист'!$A:$B,2,1)-VLOOKUP($AO28,'Технический лист'!$A:$B,2,1)),1+(1-$AU28))</f>
        <v/>
      </c>
      <c r="CF28" s="172">
        <f>MIN(IF($AU28=100%,1,1+VLOOKUP(($AJ28-$AI28-$AH28-$AG28-$AF28-$AE28*(1+CF$3))/$AJ28,'Технический лист'!$A:$B,2,1)-VLOOKUP($AO28,'Технический лист'!$A:$B,2,1)),1+(1-$AU28))</f>
        <v/>
      </c>
      <c r="CG28" s="172">
        <f>MIN(IF($AU28=100%,1,1+VLOOKUP(($AJ28-$AI28-$AH28-$AG28-$AF28-$AE28*(1+CG$3))/$AJ28,'Технический лист'!$A:$B,2,1)-VLOOKUP($AO28,'Технический лист'!$A:$B,2,1)),1+(1-$AU28))</f>
        <v/>
      </c>
      <c r="CH28" s="172">
        <f>MIN(IF($AU28=100%,1,1+VLOOKUP(($AJ28-$AI28-$AH28-$AG28-$AF28-$AE28*(1+CH$3))/$AJ28,'Технический лист'!$A:$B,2,1)-VLOOKUP($AO28,'Технический лист'!$A:$B,2,1)),1+(1-$AU28))</f>
        <v/>
      </c>
      <c r="CI28" s="172">
        <f>MIN(IF($AU28=100%,1,1+VLOOKUP(($AJ28-$AI28-$AH28-$AG28-$AF28-$AE28*(1+CI$3))/$AJ28,'Технический лист'!$A:$B,2,1)-VLOOKUP($AO28,'Технический лист'!$A:$B,2,1)),1+(1-$AU28))</f>
        <v/>
      </c>
      <c r="CJ28" s="172">
        <f>MIN(IF($AU28=100%,1,1+VLOOKUP(($AJ28-$AI28-$AH28-$AG28-$AF28-$AE28*(1+CJ$3))/$AJ28,'Технический лист'!$A:$B,2,1)-VLOOKUP($AO28,'Технический лист'!$A:$B,2,1)),1+(1-$AU28))</f>
        <v/>
      </c>
      <c r="CK28" s="172">
        <f>MIN(IF($AU28=100%,1,1+VLOOKUP(($AJ28-$AI28-$AH28-$AG28-$AF28-$AE28*(1+CK$3))/$AJ28,'Технический лист'!$A:$B,2,1)-VLOOKUP($AO28,'Технический лист'!$A:$B,2,1)),1+(1-$AU28))</f>
        <v/>
      </c>
      <c r="CL28" s="172">
        <f>MIN(IF($AU28=100%,1,1+VLOOKUP(($AJ28-$AI28-$AH28-$AG28-$AF28-$AE28*(1+CL$3))/$AJ28,'Технический лист'!$A:$B,2,1)-VLOOKUP($AO28,'Технический лист'!$A:$B,2,1)),1+(1-$AU28))</f>
        <v/>
      </c>
      <c r="CM28" s="172">
        <f>MIN(IF($AU28=100%,1,1+VLOOKUP(($AJ28-$AI28-$AH28-$AG28-$AF28-$AE28*(1+CM$3))/$AJ28,'Технический лист'!$A:$B,2,1)-VLOOKUP($AO28,'Технический лист'!$A:$B,2,1)),1+(1-$AU28))</f>
        <v/>
      </c>
      <c r="CN28" s="172">
        <f>MIN(IF($AU28=100%,1,1+VLOOKUP(($AJ28-$AI28-$AH28-$AG28-$AF28-$AE28*(1+CN$3))/$AJ28,'Технический лист'!$A:$B,2,1)-VLOOKUP($AO28,'Технический лист'!$A:$B,2,1)),1+(1-$AU28))</f>
        <v/>
      </c>
      <c r="CO28" s="172">
        <f>MIN(IF($AU28=100%,1,1+VLOOKUP(($AJ28-$AI28-$AH28-$AG28-$AF28-$AE28*(1+CO$3))/$AJ28,'Технический лист'!$A:$B,2,1)-VLOOKUP($AO28,'Технический лист'!$A:$B,2,1)),1+(1-$AU28))</f>
        <v/>
      </c>
      <c r="CP28" s="172">
        <f>MIN(IF($AU28=100%,1,1+VLOOKUP(($AJ28-$AI28-$AH28-$AG28-$AF28-$AE28*(1+CP$3))/$AJ28,'Технический лист'!$A:$B,2,1)-VLOOKUP($AO28,'Технический лист'!$A:$B,2,1)),1+(1-$AU28))</f>
        <v/>
      </c>
      <c r="CQ28" s="172">
        <f>MIN(IF($AU28=100%,1,1+VLOOKUP(($AJ28-$AI28-$AH28-$AG28-$AF28-$AE28*(1+CQ$3))/$AJ28,'Технический лист'!$A:$B,2,1)-VLOOKUP($AO28,'Технический лист'!$A:$B,2,1)),1+(1-$AU28))</f>
        <v/>
      </c>
      <c r="CR28" s="172">
        <f>MIN(IF($AU28=100%,1,1+VLOOKUP(($AJ28-$AI28-$AH28-$AG28-$AF28-$AE28*(1+CR$3))/$AJ28,'Технический лист'!$A:$B,2,1)-VLOOKUP($AO28,'Технический лист'!$A:$B,2,1)),1+(1-$AU28))</f>
        <v/>
      </c>
      <c r="CS28" s="172">
        <f>MIN(IF($AU28=100%,1,1+VLOOKUP(($AJ28-$AI28-$AH28-$AG28-$AF28-$AE28*(1+CS$3))/$AJ28,'Технический лист'!$A:$B,2,1)-VLOOKUP($AO28,'Технический лист'!$A:$B,2,1)),1+(1-$AU28))</f>
        <v/>
      </c>
      <c r="CT28" s="172">
        <f>MIN(IF($AU28=100%,1,1+VLOOKUP(($AJ28-$AI28-$AH28-$AG28-$AF28-$AE28*(1+CT$3))/$AJ28,'Технический лист'!$A:$B,2,1)-VLOOKUP($AO28,'Технический лист'!$A:$B,2,1)),1+(1-$AU28))</f>
        <v/>
      </c>
      <c r="CU28" s="172">
        <f>MIN(IF($AU28=100%,1,1+VLOOKUP(($AJ28-$AI28-$AH28-$AG28-$AF28-$AE28*(1+CU$3))/$AJ28,'Технический лист'!$A:$B,2,1)-VLOOKUP($AO28,'Технический лист'!$A:$B,2,1)),1+(1-$AU28))</f>
        <v/>
      </c>
      <c r="CV28" s="172">
        <f>MIN(IF($AU28=100%,1,1+VLOOKUP(($AJ28-$AI28-$AH28-$AG28-$AF28-$AE28*(1+CV$3))/$AJ28,'Технический лист'!$A:$B,2,1)-VLOOKUP($AO28,'Технический лист'!$A:$B,2,1)),1+(1-$AU28))</f>
        <v/>
      </c>
      <c r="CW28" s="172">
        <f>MIN(IF($AU28=100%,1,1+VLOOKUP(($AJ28-$AI28-$AH28-$AG28-$AF28-$AE28*(1+CW$3))/$AJ28,'Технический лист'!$A:$B,2,1)-VLOOKUP($AO28,'Технический лист'!$A:$B,2,1)),1+(1-$AU28))</f>
        <v/>
      </c>
      <c r="CX28" s="172">
        <f>MIN(IF($AU28=100%,1,1+VLOOKUP(($AJ28-$AI28-$AH28-$AG28-$AF28-$AE28*(1+CX$3))/$AJ28,'Технический лист'!$A:$B,2,1)-VLOOKUP($AO28,'Технический лист'!$A:$B,2,1)),1+(1-$AU28))</f>
        <v/>
      </c>
      <c r="CY28" s="172">
        <f>MIN(IF($AU28=100%,1,1+VLOOKUP(($AJ28-$AI28-$AH28-$AG28-$AF28-$AE28*(1+CY$3))/$AJ28,'Технический лист'!$A:$B,2,1)-VLOOKUP($AO28,'Технический лист'!$A:$B,2,1)),1+(1-$AU28))</f>
        <v/>
      </c>
      <c r="CZ28" s="172">
        <f>MIN(IF($AU28=100%,1,1+VLOOKUP(($AJ28-$AI28-$AH28-$AG28-$AF28-$AE28*(1+CZ$3))/$AJ28,'Технический лист'!$A:$B,2,1)-VLOOKUP($AO28,'Технический лист'!$A:$B,2,1)),1+(1-$AU28))</f>
        <v/>
      </c>
      <c r="DA28" s="172">
        <f>MIN(IF($AU28=100%,1,1+VLOOKUP(($AJ28-$AI28-$AH28-$AG28-$AF28-$AE28*(1+DA$3))/$AJ28,'Технический лист'!$A:$B,2,1)-VLOOKUP($AO28,'Технический лист'!$A:$B,2,1)),1+(1-$AU28))</f>
        <v/>
      </c>
      <c r="DB28" s="172">
        <f>MIN(IF($AU28=100%,1,1+VLOOKUP(($AJ28-$AI28-$AH28-$AG28-$AF28-$AE28*(1+DB$3))/$AJ28,'Технический лист'!$A:$B,2,1)-VLOOKUP($AO28,'Технический лист'!$A:$B,2,1)),1+(1-$AU28))</f>
        <v/>
      </c>
      <c r="DC28" s="172">
        <f>MIN(IF($AU28=100%,1,1+VLOOKUP(($AJ28-$AI28-$AH28-$AG28-$AF28-$AE28*(1+DC$3))/$AJ28,'Технический лист'!$A:$B,2,1)-VLOOKUP($AO28,'Технический лист'!$A:$B,2,1)),1+(1-$AU28))</f>
        <v/>
      </c>
      <c r="DD28" s="172">
        <f>MIN(IF($AU28=100%,1,1+VLOOKUP(($AJ28-$AI28-$AH28-$AG28-$AF28-$AE28*(1+DD$3))/$AJ28,'Технический лист'!$A:$B,2,1)-VLOOKUP($AO28,'Технический лист'!$A:$B,2,1)),1+(1-$AU28))</f>
        <v/>
      </c>
      <c r="DE28" s="172">
        <f>MIN(IF($AU28=100%,1,1+VLOOKUP(($AJ28-$AI28-$AH28-$AG28-$AF28-$AE28*(1+DE$3))/$AJ28,'Технический лист'!$A:$B,2,1)-VLOOKUP($AO28,'Технический лист'!$A:$B,2,1)),1+(1-$AU28))</f>
        <v/>
      </c>
      <c r="DF28" s="172">
        <f>MIN(IF($AU28=100%,1,1+VLOOKUP(($AJ28-$AI28-$AH28-$AG28-$AF28-$AE28*(1+DF$3))/$AJ28,'Технический лист'!$A:$B,2,1)-VLOOKUP($AO28,'Технический лист'!$A:$B,2,1)),1+(1-$AU28))</f>
        <v/>
      </c>
      <c r="DG28" s="172">
        <f>MIN(IF($AU28=100%,1,1+VLOOKUP(($AJ28-$AI28-$AH28-$AG28-$AF28-$AE28*(1+DG$3))/$AJ28,'Технический лист'!$A:$B,2,1)-VLOOKUP($AO28,'Технический лист'!$A:$B,2,1)),1+(1-$AU28))</f>
        <v/>
      </c>
      <c r="DH28" s="172">
        <f>MIN(IF($AU28=100%,1,1+VLOOKUP(($AJ28-$AI28-$AH28-$AG28-$AF28-$AE28*(1+DH$3))/$AJ28,'Технический лист'!$A:$B,2,1)-VLOOKUP($AO28,'Технический лист'!$A:$B,2,1)),1+(1-$AU28))</f>
        <v/>
      </c>
      <c r="DI28" s="172">
        <f>MIN(IF($AU28=100%,1,1+VLOOKUP(($AJ28-$AI28-$AH28-$AG28-$AF28-$AE28*(1+DI$3))/$AJ28,'Технический лист'!$A:$B,2,1)-VLOOKUP($AO28,'Технический лист'!$A:$B,2,1)),1+(1-$AU28))</f>
        <v/>
      </c>
      <c r="DJ28" s="172">
        <f>MIN(IF($AU28=100%,1,1+VLOOKUP(($AJ28-$AI28-$AH28-$AG28-$AF28-$AE28*(1+DJ$3))/$AJ28,'Технический лист'!$A:$B,2,1)-VLOOKUP($AO28,'Технический лист'!$A:$B,2,1)),1+(1-$AU28))</f>
        <v/>
      </c>
      <c r="DK28" s="172">
        <f>MIN(IF($AU28=100%,1,1+VLOOKUP(($AJ28-$AI28-$AH28-$AG28-$AF28-$AE28*(1+DK$3))/$AJ28,'Технический лист'!$A:$B,2,1)-VLOOKUP($AO28,'Технический лист'!$A:$B,2,1)),1+(1-$AU28))</f>
        <v/>
      </c>
      <c r="DL28" s="172">
        <f>MIN(IF($AU28=100%,1,1+VLOOKUP(($AJ28-$AI28-$AH28-$AG28-$AF28-$AE28*(1+DL$3))/$AJ28,'Технический лист'!$A:$B,2,1)-VLOOKUP($AO28,'Технический лист'!$A:$B,2,1)),1+(1-$AU28))</f>
        <v/>
      </c>
      <c r="DM28" s="172">
        <f>MIN(IF($AU28=100%,1,1+VLOOKUP(($AJ28-$AI28-$AH28-$AG28-$AF28-$AE28*(1+DM$3))/$AJ28,'Технический лист'!$A:$B,2,1)-VLOOKUP($AO28,'Технический лист'!$A:$B,2,1)),1+(1-$AU28))</f>
        <v/>
      </c>
      <c r="DN28" s="172">
        <f>MIN(IF($AU28=100%,1,1+VLOOKUP(($AJ28-$AI28-$AH28-$AG28-$AF28-$AE28*(1+DN$3))/$AJ28,'Технический лист'!$A:$B,2,1)-VLOOKUP($AO28,'Технический лист'!$A:$B,2,1)),1+(1-$AU28))</f>
        <v/>
      </c>
      <c r="DO28" s="172">
        <f>MIN(IF($AU28=100%,1,1+VLOOKUP(($AJ28-$AI28-$AH28-$AG28-$AF28-$AE28*(1+DO$3))/$AJ28,'Технический лист'!$A:$B,2,1)-VLOOKUP($AO28,'Технический лист'!$A:$B,2,1)),1+(1-$AU28))</f>
        <v/>
      </c>
      <c r="DP28" s="172">
        <f>MIN(IF($AU28=100%,1,1+VLOOKUP(($AJ28-$AI28-$AH28-$AG28-$AF28-$AE28*(1+DP$3))/$AJ28,'Технический лист'!$A:$B,2,1)-VLOOKUP($AO28,'Технический лист'!$A:$B,2,1)),1+(1-$AU28))</f>
        <v/>
      </c>
      <c r="DQ28" s="172">
        <f>MIN(IF($AU28=100%,1,1+VLOOKUP(($AJ28-$AI28-$AH28-$AG28-$AF28-$AE28*(1+DQ$3))/$AJ28,'Технический лист'!$A:$B,2,1)-VLOOKUP($AO28,'Технический лист'!$A:$B,2,1)),1+(1-$AU28))</f>
        <v/>
      </c>
      <c r="DR28" s="172">
        <f>MIN(IF($AU28=100%,1,1+VLOOKUP(($AJ28-$AI28-$AH28-$AG28-$AF28-$AE28*(1+DR$3))/$AJ28,'Технический лист'!$A:$B,2,1)-VLOOKUP($AO28,'Технический лист'!$A:$B,2,1)),1+(1-$AU28))</f>
        <v/>
      </c>
      <c r="DS28" s="172">
        <f>MIN(IF($AU28=100%,1,1+VLOOKUP(($AJ28-$AI28-$AH28-$AG28-$AF28-$AE28*(1+DS$3))/$AJ28,'Технический лист'!$A:$B,2,1)-VLOOKUP($AO28,'Технический лист'!$A:$B,2,1)),1+(1-$AU28))</f>
        <v/>
      </c>
      <c r="DT28" s="172">
        <f>MIN(IF($AU28=100%,1,1+VLOOKUP(($AJ28-$AI28-$AH28-$AG28-$AF28-$AE28*(1+DT$3))/$AJ28,'Технический лист'!$A:$B,2,1)-VLOOKUP($AO28,'Технический лист'!$A:$B,2,1)),1+(1-$AU28))</f>
        <v/>
      </c>
      <c r="DU28" s="172">
        <f>MIN(IF($AU28=100%,1,1+VLOOKUP(($AJ28-$AI28-$AH28-$AG28-$AF28-$AE28*(1+DU$3))/$AJ28,'Технический лист'!$A:$B,2,1)-VLOOKUP($AO28,'Технический лист'!$A:$B,2,1)),1+(1-$AU28))</f>
        <v/>
      </c>
      <c r="DV28" s="172">
        <f>MIN(IF($AU28=100%,1,1+VLOOKUP(($AJ28-$AI28-$AH28-$AG28-$AF28-$AE28*(1+DV$3))/$AJ28,'Технический лист'!$A:$B,2,1)-VLOOKUP($AO28,'Технический лист'!$A:$B,2,1)),1+(1-$AU28))</f>
        <v/>
      </c>
      <c r="DW28" s="172">
        <f>MIN(IF($AU28=100%,1,1+VLOOKUP(($AJ28-$AI28-$AH28-$AG28-$AF28-$AE28*(1+DW$3))/$AJ28,'Технический лист'!$A:$B,2,1)-VLOOKUP($AO28,'Технический лист'!$A:$B,2,1)),1+(1-$AU28))</f>
        <v/>
      </c>
      <c r="DX28" s="172">
        <f>MIN(IF($AU28=100%,1,1+VLOOKUP(($AJ28-$AI28-$AH28-$AG28-$AF28-$AE28*(1+DX$3))/$AJ28,'Технический лист'!$A:$B,2,1)-VLOOKUP($AO28,'Технический лист'!$A:$B,2,1)),1+(1-$AU28))</f>
        <v/>
      </c>
      <c r="DY28" s="172">
        <f>MIN(IF($AU28=100%,1,1+VLOOKUP(($AJ28-$AI28-$AH28-$AG28-$AF28-$AE28*(1+DY$3))/$AJ28,'Технический лист'!$A:$B,2,1)-VLOOKUP($AO28,'Технический лист'!$A:$B,2,1)),1+(1-$AU28))</f>
        <v/>
      </c>
      <c r="DZ28" s="172">
        <f>MIN(IF($AU28=100%,1,1+VLOOKUP(($AJ28-$AI28-$AH28-$AG28-$AF28-$AE28*(1+DZ$3))/$AJ28,'Технический лист'!$A:$B,2,1)-VLOOKUP($AO28,'Технический лист'!$A:$B,2,1)),1+(1-$AU28))</f>
        <v/>
      </c>
      <c r="EA28" s="172">
        <f>MIN(IF($AU28=100%,1,1+VLOOKUP(($AJ28-$AI28-$AH28-$AG28-$AF28-$AE28*(1+EA$3))/$AJ28,'Технический лист'!$A:$B,2,1)-VLOOKUP($AO28,'Технический лист'!$A:$B,2,1)),1+(1-$AU28))</f>
        <v/>
      </c>
      <c r="EB28" s="172">
        <f>MIN(IF($AU28=100%,1,1+VLOOKUP(($AJ28-$AI28-$AH28-$AG28-$AF28-$AE28*(1+EB$3))/$AJ28,'Технический лист'!$A:$B,2,1)-VLOOKUP($AO28,'Технический лист'!$A:$B,2,1)),1+(1-$AU28))</f>
        <v/>
      </c>
      <c r="EC28" s="172">
        <f>MIN(IF($AU28=100%,1,1+VLOOKUP(($AJ28-$AI28-$AH28-$AG28-$AF28-$AE28*(1+EC$3))/$AJ28,'Технический лист'!$A:$B,2,1)-VLOOKUP($AO28,'Технический лист'!$A:$B,2,1)),1+(1-$AU28))</f>
        <v/>
      </c>
      <c r="ED28" s="172">
        <f>MIN(IF($AU28=100%,1,1+VLOOKUP(($AJ28-$AI28-$AH28-$AG28-$AF28-$AE28*(1+ED$3))/$AJ28,'Технический лист'!$A:$B,2,1)-VLOOKUP($AO28,'Технический лист'!$A:$B,2,1)),1+(1-$AU28))</f>
        <v/>
      </c>
      <c r="EE28" s="172">
        <f>MIN(IF($AU28=100%,1,1+VLOOKUP(($AJ28-$AI28-$AH28-$AG28-$AF28-$AE28*(1+EE$3))/$AJ28,'Технический лист'!$A:$B,2,1)-VLOOKUP($AO28,'Технический лист'!$A:$B,2,1)),1+(1-$AU28))</f>
        <v/>
      </c>
      <c r="EF28" s="172">
        <f>MIN(IF($AU28=100%,1,1+VLOOKUP(($AJ28-$AI28-$AH28-$AG28-$AF28-$AE28*(1+EF$3))/$AJ28,'Технический лист'!$A:$B,2,1)-VLOOKUP($AO28,'Технический лист'!$A:$B,2,1)),1+(1-$AU28))</f>
        <v/>
      </c>
      <c r="EG28" s="172">
        <f>MIN(IF($AU28=100%,1,1+VLOOKUP(($AJ28-$AI28-$AH28-$AG28-$AF28-$AE28*(1+EG$3))/$AJ28,'Технический лист'!$A:$B,2,1)-VLOOKUP($AO28,'Технический лист'!$A:$B,2,1)),1+(1-$AU28))</f>
        <v/>
      </c>
      <c r="EH28" s="172">
        <f>MIN(IF($AU28=100%,1,1+VLOOKUP(($AJ28-$AI28-$AH28-$AG28-$AF28-$AE28*(1+EH$3))/$AJ28,'Технический лист'!$A:$B,2,1)-VLOOKUP($AO28,'Технический лист'!$A:$B,2,1)),1+(1-$AU28))</f>
        <v/>
      </c>
      <c r="EI28" s="172">
        <f>MIN(IF($AU28=100%,1,1+VLOOKUP(($AJ28-$AI28-$AH28-$AG28-$AF28-$AE28*(1+EI$3))/$AJ28,'Технический лист'!$A:$B,2,1)-VLOOKUP($AO28,'Технический лист'!$A:$B,2,1)),1+(1-$AU28))</f>
        <v/>
      </c>
      <c r="EJ28" s="172">
        <f>MIN(IF($AU28=100%,1,1+VLOOKUP(($AJ28-$AI28-$AH28-$AG28-$AF28-$AE28*(1+EJ$3))/$AJ28,'Технический лист'!$A:$B,2,1)-VLOOKUP($AO28,'Технический лист'!$A:$B,2,1)),1+(1-$AU28))</f>
        <v/>
      </c>
      <c r="EK28" s="172">
        <f>MIN(IF($AU28=100%,1,1+VLOOKUP(($AJ28-$AI28-$AH28-$AG28-$AF28-$AE28*(1+EK$3))/$AJ28,'Технический лист'!$A:$B,2,1)-VLOOKUP($AO28,'Технический лист'!$A:$B,2,1)),1+(1-$AU28))</f>
        <v/>
      </c>
      <c r="EL28" s="172">
        <f>MIN(IF($AU28=100%,1,1+VLOOKUP(($AJ28-$AI28-$AH28-$AG28-$AF28-$AE28*(1+EL$3))/$AJ28,'Технический лист'!$A:$B,2,1)-VLOOKUP($AO28,'Технический лист'!$A:$B,2,1)),1+(1-$AU28))</f>
        <v/>
      </c>
      <c r="EM28" s="172">
        <f>MIN(IF($AU28=100%,1,1+VLOOKUP(($AJ28-$AI28-$AH28-$AG28-$AF28-$AE28*(1+EM$3))/$AJ28,'Технический лист'!$A:$B,2,1)-VLOOKUP($AO28,'Технический лист'!$A:$B,2,1)),1+(1-$AU28))</f>
        <v/>
      </c>
      <c r="EN28" s="172">
        <f>MIN(IF($AU28=100%,1,1+VLOOKUP(($AJ28-$AI28-$AH28-$AG28-$AF28-$AE28*(1+EN$3))/$AJ28,'Технический лист'!$A:$B,2,1)-VLOOKUP($AO28,'Технический лист'!$A:$B,2,1)),1+(1-$AU28))</f>
        <v/>
      </c>
      <c r="EO28" s="172">
        <f>MIN(IF($AU28=100%,1,1+VLOOKUP(($AJ28-$AI28-$AH28-$AG28-$AF28-$AE28*(1+EO$3))/$AJ28,'Технический лист'!$A:$B,2,1)-VLOOKUP($AO28,'Технический лист'!$A:$B,2,1)),1+(1-$AU28))</f>
        <v/>
      </c>
      <c r="EP28" s="172">
        <f>MIN(IF($AU28=100%,1,1+VLOOKUP(($AJ28-$AI28-$AH28-$AG28-$AF28-$AE28*(1+EP$3))/$AJ28,'Технический лист'!$A:$B,2,1)-VLOOKUP($AO28,'Технический лист'!$A:$B,2,1)),1+(1-$AU28))</f>
        <v/>
      </c>
      <c r="EQ28" s="172">
        <f>MIN(IF($AU28=100%,1,1+VLOOKUP(($AJ28-$AI28-$AH28-$AG28-$AF28-$AE28*(1+EQ$3))/$AJ28,'Технический лист'!$A:$B,2,1)-VLOOKUP($AO28,'Технический лист'!$A:$B,2,1)),1+(1-$AU28))</f>
        <v/>
      </c>
      <c r="ER28" s="172">
        <f>MIN(IF($AU28=100%,1,1+VLOOKUP(($AJ28-$AI28-$AH28-$AG28-$AF28-$AE28*(1+ER$3))/$AJ28,'Технический лист'!$A:$B,2,1)-VLOOKUP($AO28,'Технический лист'!$A:$B,2,1)),1+(1-$AU28))</f>
        <v/>
      </c>
      <c r="ES28" s="172">
        <f>MIN(IF($AU28=100%,1,1+VLOOKUP(($AJ28-$AI28-$AH28-$AG28-$AF28-$AE28*(1+ES$3))/$AJ28,'Технический лист'!$A:$B,2,1)-VLOOKUP($AO28,'Технический лист'!$A:$B,2,1)),1+(1-$AU28))</f>
        <v/>
      </c>
      <c r="ET28" s="172">
        <f>MIN(IF($AU28=100%,1,1+VLOOKUP(($AJ28-$AI28-$AH28-$AG28-$AF28-$AE28*(1+ET$3))/$AJ28,'Технический лист'!$A:$B,2,1)-VLOOKUP($AO28,'Технический лист'!$A:$B,2,1)),1+(1-$AU28))</f>
        <v/>
      </c>
      <c r="EU28" s="172">
        <f>MIN(IF($AU28=100%,1,1+VLOOKUP(($AJ28-$AI28-$AH28-$AG28-$AF28-$AE28*(1+EU$3))/$AJ28,'Технический лист'!$A:$B,2,1)-VLOOKUP($AO28,'Технический лист'!$A:$B,2,1)),1+(1-$AU28))</f>
        <v/>
      </c>
      <c r="EV28" s="173" t="n">
        <v>1</v>
      </c>
      <c r="EW28" s="172">
        <f>MIN(1,MAX(VLOOKUP(($AJ28-$AI28-$AH28-$AG28-$AF28-$AE28*(1+EW$3))/$AJ28,'Технический лист'!$A:$B,2,1),(EV28-0.05)))</f>
        <v/>
      </c>
      <c r="EX28" s="172">
        <f>MIN(1,MAX(VLOOKUP(($AJ28-$AI28-$AH28-$AG28-$AF28-$AE28*(1+EX$3))/$AJ28,'Технический лист'!$A:$B,2,1),(EW28-0.05)))</f>
        <v/>
      </c>
      <c r="EY28" s="172">
        <f>MIN(1,MAX(VLOOKUP(($AJ28-$AI28-$AH28-$AG28-$AF28-$AE28*(1+EY$3))/$AJ28,'Технический лист'!$A:$B,2,1),(EX28-0.05)))</f>
        <v/>
      </c>
      <c r="EZ28" s="172">
        <f>MIN(1,MAX(VLOOKUP(($AJ28-$AI28-$AH28-$AG28-$AF28-$AE28*(1+EZ$3))/$AJ28,'Технический лист'!$A:$B,2,1),(EY28-0.05)))</f>
        <v/>
      </c>
      <c r="FA28" s="172">
        <f>MIN(1,MAX(VLOOKUP(($AJ28-$AI28-$AH28-$AG28-$AF28-$AE28*(1+FA$3))/$AJ28,'Технический лист'!$A:$B,2,1),(EZ28-0.05)))</f>
        <v/>
      </c>
      <c r="FB28" s="172">
        <f>MIN(1,MAX(VLOOKUP(($AJ28-$AI28-$AH28-$AG28-$AF28-$AE28*(1+FB$3))/$AJ28,'Технический лист'!$A:$B,2,1),(FA28-0.05)))</f>
        <v/>
      </c>
      <c r="FC28" s="172">
        <f>MIN(1,MAX(VLOOKUP(($AJ28-$AI28-$AH28-$AG28-$AF28-$AE28*(1+FC$3))/$AJ28,'Технический лист'!$A:$B,2,1),(FB28-0.05)))</f>
        <v/>
      </c>
      <c r="FD28" s="172">
        <f>MIN(1,MAX(VLOOKUP(($AJ28-$AI28-$AH28-$AG28-$AF28-$AE28*(1+FD$3))/$AJ28,'Технический лист'!$A:$B,2,1),(FC28-0.05)))</f>
        <v/>
      </c>
      <c r="FE28" s="172">
        <f>MIN(1,MAX(VLOOKUP(($AJ28-$AI28-$AH28-$AG28-$AF28-$AE28*(1+FE$3))/$AJ28,'Технический лист'!$A:$B,2,1),(FD28-0.05)))</f>
        <v/>
      </c>
      <c r="FF28" s="172">
        <f>MIN(1,MAX(VLOOKUP(($AJ28-$AI28-$AH28-$AG28-$AF28-$AE28*(1+FF$3))/$AJ28,'Технический лист'!$A:$B,2,1),(FE28-0.05)))</f>
        <v/>
      </c>
      <c r="FG28" s="172">
        <f>MIN(1,MAX(VLOOKUP(($AJ28-$AI28-$AH28-$AG28-$AF28-$AE28*(1+FG$3))/$AJ28,'Технический лист'!$A:$B,2,1),(FF28-0.05)))</f>
        <v/>
      </c>
      <c r="FH28" s="172">
        <f>MIN(1,MAX(VLOOKUP(($AJ28-$AI28-$AH28-$AG28-$AF28-$AE28*(1+FH$3))/$AJ28,'Технический лист'!$A:$B,2,1),(FG28-0.05)))</f>
        <v/>
      </c>
      <c r="FI28" s="172">
        <f>MIN(1,MAX(VLOOKUP(($AJ28-$AI28-$AH28-$AG28-$AF28-$AE28*(1+FI$3))/$AJ28,'Технический лист'!$A:$B,2,1),(FH28-0.05)))</f>
        <v/>
      </c>
      <c r="FJ28" s="172">
        <f>MIN(1,MAX(VLOOKUP(($AJ28-$AI28-$AH28-$AG28-$AF28-$AE28*(1+FJ$3))/$AJ28,'Технический лист'!$A:$B,2,1),(FI28-0.05)))</f>
        <v/>
      </c>
      <c r="FK28" s="172">
        <f>MIN(1,MAX(VLOOKUP(($AJ28-$AI28-$AH28-$AG28-$AF28-$AE28*(1+FK$3))/$AJ28,'Технический лист'!$A:$B,2,1),(FJ28-0.05)))</f>
        <v/>
      </c>
      <c r="FL28" s="172">
        <f>MIN(1,MAX(VLOOKUP(($AJ28-$AI28-$AH28-$AG28-$AF28-$AE28*(1+FL$3))/$AJ28,'Технический лист'!$A:$B,2,1),(FK28-0.05)))</f>
        <v/>
      </c>
      <c r="FM28" s="172">
        <f>MIN(1,MAX(VLOOKUP(($AJ28-$AI28-$AH28-$AG28-$AF28-$AE28*(1+FM$3))/$AJ28,'Технический лист'!$A:$B,2,1),(FL28-0.05)))</f>
        <v/>
      </c>
      <c r="FN28" s="172">
        <f>MIN(1,MAX(VLOOKUP(($AJ28-$AI28-$AH28-$AG28-$AF28-$AE28*(1+FN$3))/$AJ28,'Технический лист'!$A:$B,2,1),(FM28-0.05)))</f>
        <v/>
      </c>
      <c r="FO28" s="172">
        <f>MIN(1,MAX(VLOOKUP(($AJ28-$AI28-$AH28-$AG28-$AF28-$AE28*(1+FO$3))/$AJ28,'Технический лист'!$A:$B,2,1),(FN28-0.05)))</f>
        <v/>
      </c>
      <c r="FP28" s="172">
        <f>MIN(1,MAX(VLOOKUP(($AJ28-$AI28-$AH28-$AG28-$AF28-$AE28*(1+FP$3))/$AJ28,'Технический лист'!$A:$B,2,1),(FO28-0.05)))</f>
        <v/>
      </c>
      <c r="FQ28" s="172">
        <f>MIN(1,MAX(VLOOKUP(($AJ28-$AI28-$AH28-$AG28-$AF28-$AE28*(1+FQ$3))/$AJ28,'Технический лист'!$A:$B,2,1),(FP28-0.05)))</f>
        <v/>
      </c>
      <c r="FR28" s="172">
        <f>MIN(1,MAX(VLOOKUP(($AJ28-$AI28-$AH28-$AG28-$AF28-$AE28*(1+FR$3))/$AJ28,'Технический лист'!$A:$B,2,1),(FQ28-0.05)))</f>
        <v/>
      </c>
      <c r="FS28" s="172">
        <f>MIN(1,MAX(VLOOKUP(($AJ28-$AI28-$AH28-$AG28-$AF28-$AE28*(1+FS$3))/$AJ28,'Технический лист'!$A:$B,2,1),(FR28-0.05)))</f>
        <v/>
      </c>
      <c r="FT28" s="172">
        <f>MIN(1,MAX(VLOOKUP(($AJ28-$AI28-$AH28-$AG28-$AF28-$AE28*(1+FT$3))/$AJ28,'Технический лист'!$A:$B,2,1),(FS28-0.05)))</f>
        <v/>
      </c>
      <c r="FU28" s="172">
        <f>MIN(1,MAX(VLOOKUP(($AJ28-$AI28-$AH28-$AG28-$AF28-$AE28*(1+FU$3))/$AJ28,'Технический лист'!$A:$B,2,1),(FT28-0.05)))</f>
        <v/>
      </c>
      <c r="FV28" s="172">
        <f>MIN(1,MAX(VLOOKUP(($AJ28-$AI28-$AH28-$AG28-$AF28-$AE28*(1+FV$3))/$AJ28,'Технический лист'!$A:$B,2,1),(FU28-0.05)))</f>
        <v/>
      </c>
      <c r="FW28" s="172">
        <f>MIN(1,MAX(VLOOKUP(($AJ28-$AI28-$AH28-$AG28-$AF28-$AE28*(1+FW$3))/$AJ28,'Технический лист'!$A:$B,2,1),(FV28-0.05)))</f>
        <v/>
      </c>
      <c r="FX28" s="172">
        <f>MIN(1,MAX(VLOOKUP(($AJ28-$AI28-$AH28-$AG28-$AF28-$AE28*(1+FX$3))/$AJ28,'Технический лист'!$A:$B,2,1),(FW28-0.05)))</f>
        <v/>
      </c>
      <c r="FY28" s="172">
        <f>MIN(1,MAX(VLOOKUP(($AJ28-$AI28-$AH28-$AG28-$AF28-$AE28*(1+FY$3))/$AJ28,'Технический лист'!$A:$B,2,1),(FX28-0.05)))</f>
        <v/>
      </c>
      <c r="FZ28" s="172">
        <f>MIN(1,MAX(VLOOKUP(($AJ28-$AI28-$AH28-$AG28-$AF28-$AE28*(1+FZ$3))/$AJ28,'Технический лист'!$A:$B,2,1),(FY28-0.05)))</f>
        <v/>
      </c>
      <c r="GA28" s="172">
        <f>MIN(1,MAX(VLOOKUP(($AJ28-$AI28-$AH28-$AG28-$AF28-$AE28*(1+GA$3))/$AJ28,'Технический лист'!$A:$B,2,1),(FZ28-0.05)))</f>
        <v/>
      </c>
      <c r="GB28" s="172">
        <f>MIN(1,MAX(VLOOKUP(($AJ28-$AI28-$AH28-$AG28-$AF28-$AE28*(1+GB$3))/$AJ28,'Технический лист'!$A:$B,2,1),(GA28-0.05)))</f>
        <v/>
      </c>
      <c r="GC28" s="172">
        <f>MIN(1,MAX(VLOOKUP(($AJ28-$AI28-$AH28-$AG28-$AF28-$AE28*(1+GC$3))/$AJ28,'Технический лист'!$A:$B,2,1),(GB28-0.05)))</f>
        <v/>
      </c>
      <c r="GD28" s="172">
        <f>MIN(1,MAX(VLOOKUP(($AJ28-$AI28-$AH28-$AG28-$AF28-$AE28*(1+GD$3))/$AJ28,'Технический лист'!$A:$B,2,1),(GC28-0.05)))</f>
        <v/>
      </c>
      <c r="GE28" s="172">
        <f>MIN(1,MAX(VLOOKUP(($AJ28-$AI28-$AH28-$AG28-$AF28-$AE28*(1+GE$3))/$AJ28,'Технический лист'!$A:$B,2,1),(GD28-0.05)))</f>
        <v/>
      </c>
      <c r="GF28" s="172">
        <f>MIN(1,MAX(VLOOKUP(($AJ28-$AI28-$AH28-$AG28-$AF28-$AE28*(1+GF$3))/$AJ28,'Технический лист'!$A:$B,2,1),(GE28-0.05)))</f>
        <v/>
      </c>
      <c r="GG28" s="172">
        <f>MIN(1,MAX(VLOOKUP(($AJ28-$AI28-$AH28-$AG28-$AF28-$AE28*(1+GG$3))/$AJ28,'Технический лист'!$A:$B,2,1),(GF28-0.05)))</f>
        <v/>
      </c>
      <c r="GH28" s="172">
        <f>MIN(1,MAX(VLOOKUP(($AJ28-$AI28-$AH28-$AG28-$AF28-$AE28*(1+GH$3))/$AJ28,'Технический лист'!$A:$B,2,1),(GG28-0.05)))</f>
        <v/>
      </c>
      <c r="GI28" s="172">
        <f>MIN(1,MAX(VLOOKUP(($AJ28-$AI28-$AH28-$AG28-$AF28-$AE28*(1+GI$3))/$AJ28,'Технический лист'!$A:$B,2,1),(GH28-0.05)))</f>
        <v/>
      </c>
      <c r="GJ28" s="172">
        <f>MIN(1,MAX(VLOOKUP(($AJ28-$AI28-$AH28-$AG28-$AF28-$AE28*(1+GJ$3))/$AJ28,'Технический лист'!$A:$B,2,1),(GI28-0.05)))</f>
        <v/>
      </c>
      <c r="GK28" s="172">
        <f>MIN(1,MAX(VLOOKUP(($AJ28-$AI28-$AH28-$AG28-$AF28-$AE28*(1+GK$3))/$AJ28,'Технический лист'!$A:$B,2,1),(GJ28-0.05)))</f>
        <v/>
      </c>
      <c r="GL28" s="172">
        <f>MIN(1,MAX(VLOOKUP(($AJ28-$AI28-$AH28-$AG28-$AF28-$AE28*(1+GL$3))/$AJ28,'Технический лист'!$A:$B,2,1),(GK28-0.05)))</f>
        <v/>
      </c>
      <c r="GM28" s="172">
        <f>MIN(1,MAX(VLOOKUP(($AJ28-$AI28-$AH28-$AG28-$AF28-$AE28*(1+GM$3))/$AJ28,'Технический лист'!$A:$B,2,1),(GL28-0.05)))</f>
        <v/>
      </c>
      <c r="GN28" s="172">
        <f>MIN(1,MAX(VLOOKUP(($AJ28-$AI28-$AH28-$AG28-$AF28-$AE28*(1+GN$3))/$AJ28,'Технический лист'!$A:$B,2,1),(GM28-0.05)))</f>
        <v/>
      </c>
      <c r="GO28" s="172">
        <f>MIN(1,MAX(VLOOKUP(($AJ28-$AI28-$AH28-$AG28-$AF28-$AE28*(1+GO$3))/$AJ28,'Технический лист'!$A:$B,2,1),(GN28-0.05)))</f>
        <v/>
      </c>
      <c r="GP28" s="172">
        <f>MIN(1,MAX(VLOOKUP(($AJ28-$AI28-$AH28-$AG28-$AF28-$AE28*(1+GP$3))/$AJ28,'Технический лист'!$A:$B,2,1),(GO28-0.05)))</f>
        <v/>
      </c>
      <c r="GQ28" s="172">
        <f>MIN(1,MAX(VLOOKUP(($AJ28-$AI28-$AH28-$AG28-$AF28-$AE28*(1+GQ$3))/$AJ28,'Технический лист'!$A:$B,2,1),(GP28-0.05)))</f>
        <v/>
      </c>
      <c r="GR28" s="172">
        <f>MIN(1,MAX(VLOOKUP(($AJ28-$AI28-$AH28-$AG28-$AF28-$AE28*(1+GR$3))/$AJ28,'Технический лист'!$A:$B,2,1),(GQ28-0.05)))</f>
        <v/>
      </c>
      <c r="GS28" s="172">
        <f>MIN(1,MAX(VLOOKUP(($AJ28-$AI28-$AH28-$AG28-$AF28-$AE28*(1+GS$3))/$AJ28,'Технический лист'!$A:$B,2,1),(GR28-0.05)))</f>
        <v/>
      </c>
      <c r="GT28" s="172">
        <f>MIN(1,MAX(VLOOKUP(($AJ28-$AI28-$AH28-$AG28-$AF28-$AE28*(1+GT$3))/$AJ28,'Технический лист'!$A:$B,2,1),(GS28-0.05)))</f>
        <v/>
      </c>
      <c r="GU28" s="172">
        <f>MIN(1,MAX(VLOOKUP(($AJ28-$AI28-$AH28-$AG28-$AF28-$AE28*(1+GU$3))/$AJ28,'Технический лист'!$A:$B,2,1),(GT28-0.05)))</f>
        <v/>
      </c>
      <c r="GV28" s="172">
        <f>MIN(1,MAX(VLOOKUP(($AJ28-$AI28-$AH28-$AG28-$AF28-$AE28*(1+GV$3))/$AJ28,'Технический лист'!$A:$B,2,1),(GU28-0.05)))</f>
        <v/>
      </c>
      <c r="GW28" s="172">
        <f>MIN(1,MAX(VLOOKUP(($AJ28-$AI28-$AH28-$AG28-$AF28-$AE28*(1+GW$3))/$AJ28,'Технический лист'!$A:$B,2,1),(GV28-0.05)))</f>
        <v/>
      </c>
      <c r="GX28" s="172">
        <f>MIN(1,MAX(VLOOKUP(($AJ28-$AI28-$AH28-$AG28-$AF28-$AE28*(1+GX$3))/$AJ28,'Технический лист'!$A:$B,2,1),(GW28-0.05)))</f>
        <v/>
      </c>
      <c r="GY28" s="172">
        <f>MIN(1,MAX(VLOOKUP(($AJ28-$AI28-$AH28-$AG28-$AF28-$AE28*(1+GY$3))/$AJ28,'Технический лист'!$A:$B,2,1),(GX28-0.05)))</f>
        <v/>
      </c>
      <c r="GZ28" s="172">
        <f>MIN(1,MAX(VLOOKUP(($AJ28-$AI28-$AH28-$AG28-$AF28-$AE28*(1+GZ$3))/$AJ28,'Технический лист'!$A:$B,2,1),(GY28-0.05)))</f>
        <v/>
      </c>
      <c r="HA28" s="172">
        <f>MIN(1,MAX(VLOOKUP(($AJ28-$AI28-$AH28-$AG28-$AF28-$AE28*(1+HA$3))/$AJ28,'Технический лист'!$A:$B,2,1),(GZ28-0.05)))</f>
        <v/>
      </c>
      <c r="HB28" s="172">
        <f>MIN(1,MAX(VLOOKUP(($AJ28-$AI28-$AH28-$AG28-$AF28-$AE28*(1+HB$3))/$AJ28,'Технический лист'!$A:$B,2,1),(HA28-0.05)))</f>
        <v/>
      </c>
      <c r="HC28" s="172">
        <f>MIN(1,MAX(VLOOKUP(($AJ28-$AI28-$AH28-$AG28-$AF28-$AE28*(1+HC$3))/$AJ28,'Технический лист'!$A:$B,2,1),(HB28-0.05)))</f>
        <v/>
      </c>
      <c r="HD28" s="172">
        <f>MIN(1,MAX(VLOOKUP(($AJ28-$AI28-$AH28-$AG28-$AF28-$AE28*(1+HD$3))/$AJ28,'Технический лист'!$A:$B,2,1),(HC28-0.05)))</f>
        <v/>
      </c>
      <c r="HE28" s="172">
        <f>MIN(1,MAX(VLOOKUP(($AJ28-$AI28-$AH28-$AG28-$AF28-$AE28*(1+HE$3))/$AJ28,'Технический лист'!$A:$B,2,1),(HD28-0.05)))</f>
        <v/>
      </c>
      <c r="HF28" s="172">
        <f>MIN(1,MAX(VLOOKUP(($AJ28-$AI28-$AH28-$AG28-$AF28-$AE28*(1+HF$3))/$AJ28,'Технический лист'!$A:$B,2,1),(HE28-0.05)))</f>
        <v/>
      </c>
      <c r="HG28" s="172">
        <f>MIN(1,MAX(VLOOKUP(($AJ28-$AI28-$AH28-$AG28-$AF28-$AE28*(1+HG$3))/$AJ28,'Технический лист'!$A:$B,2,1),(HF28-0.05)))</f>
        <v/>
      </c>
      <c r="HH28" s="172">
        <f>MIN(1,MAX(VLOOKUP(($AJ28-$AI28-$AH28-$AG28-$AF28-$AE28*(1+HH$3))/$AJ28,'Технический лист'!$A:$B,2,1),(HG28-0.05)))</f>
        <v/>
      </c>
      <c r="HI28" s="172">
        <f>MIN(1,MAX(VLOOKUP(($AJ28-$AI28-$AH28-$AG28-$AF28-$AE28*(1+HI$3))/$AJ28,'Технический лист'!$A:$B,2,1),(HH28-0.05)))</f>
        <v/>
      </c>
      <c r="HJ28" s="172">
        <f>MIN(1,MAX(VLOOKUP(($AJ28-$AI28-$AH28-$AG28-$AF28-$AE28*(1+HJ$3))/$AJ28,'Технический лист'!$A:$B,2,1),(HI28-0.05)))</f>
        <v/>
      </c>
      <c r="HK28" s="172">
        <f>MIN(1,MAX(VLOOKUP(($AJ28-$AI28-$AH28-$AG28-$AF28-$AE28*(1+HK$3))/$AJ28,'Технический лист'!$A:$B,2,1),(HJ28-0.05)))</f>
        <v/>
      </c>
      <c r="HL28" s="172">
        <f>MIN(1,MAX(VLOOKUP(($AJ28-$AI28-$AH28-$AG28-$AF28-$AE28*(1+HL$3))/$AJ28,'Технический лист'!$A:$B,2,1),(HK28-0.05)))</f>
        <v/>
      </c>
      <c r="HM28" s="172">
        <f>MIN(1,MAX(VLOOKUP(($AJ28-$AI28-$AH28-$AG28-$AF28-$AE28*(1+HM$3))/$AJ28,'Технический лист'!$A:$B,2,1),(HL28-0.05)))</f>
        <v/>
      </c>
      <c r="HN28" s="172">
        <f>MIN(1,MAX(VLOOKUP(($AJ28-$AI28-$AH28-$AG28-$AF28-$AE28*(1+HN$3))/$AJ28,'Технический лист'!$A:$B,2,1),(HM28-0.05)))</f>
        <v/>
      </c>
      <c r="HO28" s="172">
        <f>MIN(1,MAX(VLOOKUP(($AJ28-$AI28-$AH28-$AG28-$AF28-$AE28*(1+HO$3))/$AJ28,'Технический лист'!$A:$B,2,1),(HN28-0.05)))</f>
        <v/>
      </c>
      <c r="HP28" s="172">
        <f>MIN(1,MAX(VLOOKUP(($AJ28-$AI28-$AH28-$AG28-$AF28-$AE28*(1+HP$3))/$AJ28,'Технический лист'!$A:$B,2,1),(HO28-0.05)))</f>
        <v/>
      </c>
      <c r="HQ28" s="172">
        <f>MIN(1,MAX(VLOOKUP(($AJ28-$AI28-$AH28-$AG28-$AF28-$AE28*(1+HQ$3))/$AJ28,'Технический лист'!$A:$B,2,1),(HP28-0.05)))</f>
        <v/>
      </c>
      <c r="HR28" s="172">
        <f>MIN(1,MAX(VLOOKUP(($AJ28-$AI28-$AH28-$AG28-$AF28-$AE28*(1+HR$3))/$AJ28,'Технический лист'!$A:$B,2,1),(HQ28-0.05)))</f>
        <v/>
      </c>
      <c r="HS28" s="172">
        <f>MIN(1,MAX(VLOOKUP(($AJ28-$AI28-$AH28-$AG28-$AF28-$AE28*(1+HS$3))/$AJ28,'Технический лист'!$A:$B,2,1),(HR28-0.05)))</f>
        <v/>
      </c>
      <c r="HT28" s="172">
        <f>MIN(1,MAX(VLOOKUP(($AJ28-$AI28-$AH28-$AG28-$AF28-$AE28*(1+HT$3))/$AJ28,'Технический лист'!$A:$B,2,1),(HS28-0.05)))</f>
        <v/>
      </c>
      <c r="HU28" s="172">
        <f>MIN(1,MAX(VLOOKUP(($AJ28-$AI28-$AH28-$AG28-$AF28-$AE28*(1+HU$3))/$AJ28,'Технический лист'!$A:$B,2,1),(HT28-0.05)))</f>
        <v/>
      </c>
      <c r="HV28" s="172">
        <f>MIN(1,MAX(VLOOKUP(($AJ28-$AI28-$AH28-$AG28-$AF28-$AE28*(1+HV$3))/$AJ28,'Технический лист'!$A:$B,2,1),(HU28-0.05)))</f>
        <v/>
      </c>
      <c r="HW28" s="172">
        <f>MIN(1,MAX(VLOOKUP(($AJ28-$AI28-$AH28-$AG28-$AF28-$AE28*(1+HW$3))/$AJ28,'Технический лист'!$A:$B,2,1),(HV28-0.05)))</f>
        <v/>
      </c>
      <c r="HX28" s="172">
        <f>MIN(1,MAX(VLOOKUP(($AJ28-$AI28-$AH28-$AG28-$AF28-$AE28*(1+HX$3))/$AJ28,'Технический лист'!$A:$B,2,1),(HW28-0.05)))</f>
        <v/>
      </c>
      <c r="HY28" s="172">
        <f>MIN(1,MAX(VLOOKUP(($AJ28-$AI28-$AH28-$AG28-$AF28-$AE28*(1+HY$3))/$AJ28,'Технический лист'!$A:$B,2,1),(HX28-0.05)))</f>
        <v/>
      </c>
      <c r="HZ28" s="172">
        <f>MIN(1,MAX(VLOOKUP(($AJ28-$AI28-$AH28-$AG28-$AF28-$AE28*(1+HZ$3))/$AJ28,'Технический лист'!$A:$B,2,1),(HY28-0.05)))</f>
        <v/>
      </c>
      <c r="IA28" s="172">
        <f>MIN(1,MAX(VLOOKUP(($AJ28-$AI28-$AH28-$AG28-$AF28-$AE28*(1+IA$3))/$AJ28,'Технический лист'!$A:$B,2,1),(HZ28-0.05)))</f>
        <v/>
      </c>
      <c r="IB28" s="172">
        <f>MIN(1,MAX(VLOOKUP(($AJ28-$AI28-$AH28-$AG28-$AF28-$AE28*(1+IB$3))/$AJ28,'Технический лист'!$A:$B,2,1),(IA28-0.05)))</f>
        <v/>
      </c>
      <c r="IC28" s="172">
        <f>MIN(1,MAX(VLOOKUP(($AJ28-$AI28-$AH28-$AG28-$AF28-$AE28*(1+IC$3))/$AJ28,'Технический лист'!$A:$B,2,1),(IB28-0.05)))</f>
        <v/>
      </c>
      <c r="ID28" s="172">
        <f>MIN(1,MAX(VLOOKUP(($AJ28-$AI28-$AH28-$AG28-$AF28-$AE28*(1+ID$3))/$AJ28,'Технический лист'!$A:$B,2,1),(IC28-0.05)))</f>
        <v/>
      </c>
      <c r="IE28" s="172">
        <f>MIN(1,MAX(VLOOKUP(($AJ28-$AI28-$AH28-$AG28-$AF28-$AE28*(1+IE$3))/$AJ28,'Технический лист'!$A:$B,2,1),(ID28-0.05)))</f>
        <v/>
      </c>
      <c r="IF28" s="172">
        <f>MIN(1,MAX(VLOOKUP(($AJ28-$AI28-$AH28-$AG28-$AF28-$AE28*(1+IF$3))/$AJ28,'Технический лист'!$A:$B,2,1),(IE28-0.05)))</f>
        <v/>
      </c>
      <c r="IG28" s="172">
        <f>MIN(1,MAX(VLOOKUP(($AJ28-$AI28-$AH28-$AG28-$AF28-$AE28*(1+IG$3))/$AJ28,'Технический лист'!$A:$B,2,1),(IF28-0.05)))</f>
        <v/>
      </c>
      <c r="IH28" s="172">
        <f>MIN(1,MAX(VLOOKUP(($AJ28-$AI28-$AH28-$AG28-$AF28-$AE28*(1+IH$3))/$AJ28,'Технический лист'!$A:$B,2,1),(IG28-0.05)))</f>
        <v/>
      </c>
      <c r="II28" s="172">
        <f>MIN(1,MAX(VLOOKUP(($AJ28-$AI28-$AH28-$AG28-$AF28-$AE28*(1+II$3))/$AJ28,'Технический лист'!$A:$B,2,1),(IH28-0.05)))</f>
        <v/>
      </c>
      <c r="IJ28" s="172">
        <f>MIN(1,MAX(VLOOKUP(($AJ28-$AI28-$AH28-$AG28-$AF28-$AE28*(1+IJ$3))/$AJ28,'Технический лист'!$A:$B,2,1),(II28-0.05)))</f>
        <v/>
      </c>
      <c r="IK28" s="172">
        <f>MIN(1,MAX(VLOOKUP(($AJ28-$AI28-$AH28-$AG28-$AF28-$AE28*(1+IK$3))/$AJ28,'Технический лист'!$A:$B,2,1),(IJ28-0.05)))</f>
        <v/>
      </c>
      <c r="IL28" s="172">
        <f>MIN(1,MAX(VLOOKUP(($AJ28-$AI28-$AH28-$AG28-$AF28-$AE28*(1+IL$3))/$AJ28,'Технический лист'!$A:$B,2,1),(IK28-0.05)))</f>
        <v/>
      </c>
      <c r="IM28" s="172">
        <f>MIN(1,MAX(VLOOKUP(($AJ28-$AI28-$AH28-$AG28-$AF28-$AE28*(1+IM$3))/$AJ28,'Технический лист'!$A:$B,2,1),(IL28-0.05)))</f>
        <v/>
      </c>
      <c r="IN28" s="172">
        <f>MIN(1,MAX(VLOOKUP(($AJ28-$AI28-$AH28-$AG28-$AF28-$AE28*(1+IN$3))/$AJ28,'Технический лист'!$A:$B,2,1),(IM28-0.05)))</f>
        <v/>
      </c>
      <c r="IO28" s="172">
        <f>MIN(1,MAX(VLOOKUP(($AJ28-$AI28-$AH28-$AG28-$AF28-$AE28*(1+IO$3))/$AJ28,'Технический лист'!$A:$B,2,1),(IN28-0.05)))</f>
        <v/>
      </c>
      <c r="IP28" s="172">
        <f>MIN(1,MAX(VLOOKUP(($AJ28-$AI28-$AH28-$AG28-$AF28-$AE28*(1+IP$3))/$AJ28,'Технический лист'!$A:$B,2,1),(IO28-0.05)))</f>
        <v/>
      </c>
      <c r="IQ28" s="172">
        <f>MIN(1,MAX(VLOOKUP(($AJ28-$AI28-$AH28-$AG28-$AF28-$AE28*(1+IQ$3))/$AJ28,'Технический лист'!$A:$B,2,1),(IP28-0.05)))</f>
        <v/>
      </c>
      <c r="IR28" s="172">
        <f>MIN(1,MAX(VLOOKUP(($AJ28-$AI28-$AH28-$AG28-$AF28-$AE28*(1+IR$3))/$AJ28,'Технический лист'!$A:$B,2,1),(IQ28-0.05)))</f>
        <v/>
      </c>
    </row>
    <row r="29" ht="34.75" customHeight="1" s="123">
      <c r="A29" s="89" t="inlineStr">
        <is>
          <t>ЧМ (сырье)</t>
        </is>
      </c>
      <c r="B29" s="90" t="n">
        <v>2</v>
      </c>
      <c r="C29" s="5" t="inlineStr">
        <is>
          <t>Кокс каменноугольный</t>
        </is>
      </c>
      <c r="D29" s="91" t="n">
        <v>17110</v>
      </c>
      <c r="E29" s="91" t="inlineStr">
        <is>
          <t xml:space="preserve">Кокс, не поименованный в алфавите </t>
        </is>
      </c>
      <c r="F29" s="92" t="inlineStr">
        <is>
          <t>КОКС КАМЕННОУГОЛЬНЫЙ</t>
        </is>
      </c>
      <c r="G29" s="91" t="inlineStr">
        <is>
          <t>ЮУР</t>
        </is>
      </c>
      <c r="H29" s="91" t="inlineStr">
        <is>
          <t>ЮУР</t>
        </is>
      </c>
      <c r="I29" s="91" t="inlineStr">
        <is>
          <t>МАГНИТОГ-ГР</t>
        </is>
      </c>
      <c r="J29" s="91" t="inlineStr">
        <is>
          <t>КАРТ1-ЭК-РОС</t>
        </is>
      </c>
      <c r="K29" s="91" t="n">
        <v>178</v>
      </c>
      <c r="L29" s="91" t="inlineStr">
        <is>
          <t>Полувагоны</t>
        </is>
      </c>
      <c r="M29" s="91" t="inlineStr">
        <is>
          <t>Экспорт</t>
        </is>
      </c>
      <c r="N29" s="91" t="inlineStr">
        <is>
          <t>вагонная</t>
        </is>
      </c>
      <c r="O29" s="91" t="inlineStr">
        <is>
          <t xml:space="preserve">Южное </t>
        </is>
      </c>
      <c r="P29" s="89" t="inlineStr">
        <is>
          <t>'000000186424</t>
        </is>
      </c>
      <c r="Q29" s="91" t="inlineStr">
        <is>
          <t>'ПАО "ММК"</t>
        </is>
      </c>
      <c r="R29" s="91" t="inlineStr">
        <is>
          <t>ПАО "ММК"</t>
        </is>
      </c>
      <c r="S29" s="87" t="n">
        <v>1039</v>
      </c>
      <c r="T29" s="87" t="n">
        <v>185023</v>
      </c>
      <c r="U29" s="88" t="n">
        <v>18</v>
      </c>
      <c r="V29" s="88" t="n">
        <v>0</v>
      </c>
      <c r="W29" s="87" t="n">
        <v>443459</v>
      </c>
      <c r="X29" s="112" t="n">
        <v>58</v>
      </c>
      <c r="Y29" s="112" t="inlineStr">
        <is>
          <t>повагонная</t>
        </is>
      </c>
      <c r="Z29" s="113" t="n">
        <v>2</v>
      </c>
      <c r="AA29" s="113" t="n">
        <v>1</v>
      </c>
      <c r="AB29" s="113" t="n">
        <v>4</v>
      </c>
      <c r="AC29" s="161" t="n">
        <v>471.74</v>
      </c>
      <c r="AD29" s="161">
        <f>AE29-AC29</f>
        <v/>
      </c>
      <c r="AE29" s="161" t="n">
        <v>549.33</v>
      </c>
      <c r="AF29" s="162">
        <f>(Z29+AA29+AB29)*'Ставки аренды'!$B$3/X29</f>
        <v/>
      </c>
      <c r="AG29" s="163" t="n">
        <v>0</v>
      </c>
      <c r="AH29" s="164" t="n">
        <v>0</v>
      </c>
      <c r="AI29" s="174">
        <f>429559973/511416159*AVERAGE(AJ28,AJ29)</f>
        <v/>
      </c>
      <c r="AJ29" s="166">
        <f>Цены!$C$8*'Курсы валют'!$B$2</f>
        <v/>
      </c>
      <c r="AK29" s="164">
        <f>AJ29/Цены!$B$1</f>
        <v/>
      </c>
      <c r="AL29" s="164">
        <f>AE29+AF29+AG29</f>
        <v/>
      </c>
      <c r="AM29" s="164">
        <f>AJ29-AL29</f>
        <v/>
      </c>
      <c r="AN29" s="164">
        <f>AI29+AH29+AG29+AF29+AE29</f>
        <v/>
      </c>
      <c r="AO29" s="167">
        <f>(AJ29-AN29)/AJ29</f>
        <v/>
      </c>
      <c r="AP29" s="168">
        <f>AL29/AJ29</f>
        <v/>
      </c>
      <c r="AQ29" s="168">
        <f>AE29/AJ29</f>
        <v/>
      </c>
      <c r="AR29" s="168">
        <f>AE29/AL29</f>
        <v/>
      </c>
      <c r="AS29" s="169" t="n">
        <v>1</v>
      </c>
      <c r="AT29" s="121">
        <f>S29*AS29</f>
        <v/>
      </c>
      <c r="AU29" s="83" t="n">
        <v>0.7</v>
      </c>
      <c r="AV29" s="170">
        <f>(AJ29-(AE29*(1+$IS$2)+AF29+AG29+AH29+AI29))/AJ29</f>
        <v/>
      </c>
      <c r="AW29" s="171">
        <f>(AE29*(1+$IS$2)+AF29+AG29)/AJ29</f>
        <v/>
      </c>
      <c r="AX29" s="171">
        <f>(AE29*(1+$IS$2))/AJ29</f>
        <v/>
      </c>
      <c r="AY29" s="171">
        <f>(AE29*(1+$IS$2))/(AE29*(1+$IS$2)+AF29+AG29)</f>
        <v/>
      </c>
      <c r="AZ29" s="172">
        <f>MIN(IF($AU29=100%,1,1+VLOOKUP(($AJ29-$AI29-$AH29-$AG29-$AF29-$AE29*(1+AZ$3))/$AJ29,'Технический лист'!$A:$B,2,1)-VLOOKUP($AO29,'Технический лист'!$A:$B,2,1)),1+(1-$AU29))</f>
        <v/>
      </c>
      <c r="BA29" s="172">
        <f>MIN(IF($AU29=100%,1,1+VLOOKUP(($AJ29-$AI29-$AH29-$AG29-$AF29-$AE29*(1+BA$3))/$AJ29,'Технический лист'!$A:$B,2,1)-VLOOKUP($AO29,'Технический лист'!$A:$B,2,1)),1+(1-$AU29))</f>
        <v/>
      </c>
      <c r="BB29" s="172">
        <f>MIN(IF($AU29=100%,1,1+VLOOKUP(($AJ29-$AI29-$AH29-$AG29-$AF29-$AE29*(1+BB$3))/$AJ29,'Технический лист'!$A:$B,2,1)-VLOOKUP($AO29,'Технический лист'!$A:$B,2,1)),1+(1-$AU29))</f>
        <v/>
      </c>
      <c r="BC29" s="172">
        <f>MIN(IF($AU29=100%,1,1+VLOOKUP(($AJ29-$AI29-$AH29-$AG29-$AF29-$AE29*(1+BC$3))/$AJ29,'Технический лист'!$A:$B,2,1)-VLOOKUP($AO29,'Технический лист'!$A:$B,2,1)),1+(1-$AU29))</f>
        <v/>
      </c>
      <c r="BD29" s="172">
        <f>MIN(IF($AU29=100%,1,1+VLOOKUP(($AJ29-$AI29-$AH29-$AG29-$AF29-$AE29*(1+BD$3))/$AJ29,'Технический лист'!$A:$B,2,1)-VLOOKUP($AO29,'Технический лист'!$A:$B,2,1)),1+(1-$AU29))</f>
        <v/>
      </c>
      <c r="BE29" s="172">
        <f>MIN(IF($AU29=100%,1,1+VLOOKUP(($AJ29-$AI29-$AH29-$AG29-$AF29-$AE29*(1+BE$3))/$AJ29,'Технический лист'!$A:$B,2,1)-VLOOKUP($AO29,'Технический лист'!$A:$B,2,1)),1+(1-$AU29))</f>
        <v/>
      </c>
      <c r="BF29" s="172">
        <f>MIN(IF($AU29=100%,1,1+VLOOKUP(($AJ29-$AI29-$AH29-$AG29-$AF29-$AE29*(1+BF$3))/$AJ29,'Технический лист'!$A:$B,2,1)-VLOOKUP($AO29,'Технический лист'!$A:$B,2,1)),1+(1-$AU29))</f>
        <v/>
      </c>
      <c r="BG29" s="172">
        <f>MIN(IF($AU29=100%,1,1+VLOOKUP(($AJ29-$AI29-$AH29-$AG29-$AF29-$AE29*(1+BG$3))/$AJ29,'Технический лист'!$A:$B,2,1)-VLOOKUP($AO29,'Технический лист'!$A:$B,2,1)),1+(1-$AU29))</f>
        <v/>
      </c>
      <c r="BH29" s="172">
        <f>MIN(IF($AU29=100%,1,1+VLOOKUP(($AJ29-$AI29-$AH29-$AG29-$AF29-$AE29*(1+BH$3))/$AJ29,'Технический лист'!$A:$B,2,1)-VLOOKUP($AO29,'Технический лист'!$A:$B,2,1)),1+(1-$AU29))</f>
        <v/>
      </c>
      <c r="BI29" s="172">
        <f>MIN(IF($AU29=100%,1,1+VLOOKUP(($AJ29-$AI29-$AH29-$AG29-$AF29-$AE29*(1+BI$3))/$AJ29,'Технический лист'!$A:$B,2,1)-VLOOKUP($AO29,'Технический лист'!$A:$B,2,1)),1+(1-$AU29))</f>
        <v/>
      </c>
      <c r="BJ29" s="172">
        <f>MIN(IF($AU29=100%,1,1+VLOOKUP(($AJ29-$AI29-$AH29-$AG29-$AF29-$AE29*(1+BJ$3))/$AJ29,'Технический лист'!$A:$B,2,1)-VLOOKUP($AO29,'Технический лист'!$A:$B,2,1)),1+(1-$AU29))</f>
        <v/>
      </c>
      <c r="BK29" s="172">
        <f>MIN(IF($AU29=100%,1,1+VLOOKUP(($AJ29-$AI29-$AH29-$AG29-$AF29-$AE29*(1+BK$3))/$AJ29,'Технический лист'!$A:$B,2,1)-VLOOKUP($AO29,'Технический лист'!$A:$B,2,1)),1+(1-$AU29))</f>
        <v/>
      </c>
      <c r="BL29" s="172">
        <f>MIN(IF($AU29=100%,1,1+VLOOKUP(($AJ29-$AI29-$AH29-$AG29-$AF29-$AE29*(1+BL$3))/$AJ29,'Технический лист'!$A:$B,2,1)-VLOOKUP($AO29,'Технический лист'!$A:$B,2,1)),1+(1-$AU29))</f>
        <v/>
      </c>
      <c r="BM29" s="172">
        <f>MIN(IF($AU29=100%,1,1+VLOOKUP(($AJ29-$AI29-$AH29-$AG29-$AF29-$AE29*(1+BM$3))/$AJ29,'Технический лист'!$A:$B,2,1)-VLOOKUP($AO29,'Технический лист'!$A:$B,2,1)),1+(1-$AU29))</f>
        <v/>
      </c>
      <c r="BN29" s="172">
        <f>MIN(IF($AU29=100%,1,1+VLOOKUP(($AJ29-$AI29-$AH29-$AG29-$AF29-$AE29*(1+BN$3))/$AJ29,'Технический лист'!$A:$B,2,1)-VLOOKUP($AO29,'Технический лист'!$A:$B,2,1)),1+(1-$AU29))</f>
        <v/>
      </c>
      <c r="BO29" s="172">
        <f>MIN(IF($AU29=100%,1,1+VLOOKUP(($AJ29-$AI29-$AH29-$AG29-$AF29-$AE29*(1+BO$3))/$AJ29,'Технический лист'!$A:$B,2,1)-VLOOKUP($AO29,'Технический лист'!$A:$B,2,1)),1+(1-$AU29))</f>
        <v/>
      </c>
      <c r="BP29" s="172">
        <f>MIN(IF($AU29=100%,1,1+VLOOKUP(($AJ29-$AI29-$AH29-$AG29-$AF29-$AE29*(1+BP$3))/$AJ29,'Технический лист'!$A:$B,2,1)-VLOOKUP($AO29,'Технический лист'!$A:$B,2,1)),1+(1-$AU29))</f>
        <v/>
      </c>
      <c r="BQ29" s="172">
        <f>MIN(IF($AU29=100%,1,1+VLOOKUP(($AJ29-$AI29-$AH29-$AG29-$AF29-$AE29*(1+BQ$3))/$AJ29,'Технический лист'!$A:$B,2,1)-VLOOKUP($AO29,'Технический лист'!$A:$B,2,1)),1+(1-$AU29))</f>
        <v/>
      </c>
      <c r="BR29" s="172">
        <f>MIN(IF($AU29=100%,1,1+VLOOKUP(($AJ29-$AI29-$AH29-$AG29-$AF29-$AE29*(1+BR$3))/$AJ29,'Технический лист'!$A:$B,2,1)-VLOOKUP($AO29,'Технический лист'!$A:$B,2,1)),1+(1-$AU29))</f>
        <v/>
      </c>
      <c r="BS29" s="172">
        <f>MIN(IF($AU29=100%,1,1+VLOOKUP(($AJ29-$AI29-$AH29-$AG29-$AF29-$AE29*(1+BS$3))/$AJ29,'Технический лист'!$A:$B,2,1)-VLOOKUP($AO29,'Технический лист'!$A:$B,2,1)),1+(1-$AU29))</f>
        <v/>
      </c>
      <c r="BT29" s="172">
        <f>MIN(IF($AU29=100%,1,1+VLOOKUP(($AJ29-$AI29-$AH29-$AG29-$AF29-$AE29*(1+BT$3))/$AJ29,'Технический лист'!$A:$B,2,1)-VLOOKUP($AO29,'Технический лист'!$A:$B,2,1)),1+(1-$AU29))</f>
        <v/>
      </c>
      <c r="BU29" s="172">
        <f>MIN(IF($AU29=100%,1,1+VLOOKUP(($AJ29-$AI29-$AH29-$AG29-$AF29-$AE29*(1+BU$3))/$AJ29,'Технический лист'!$A:$B,2,1)-VLOOKUP($AO29,'Технический лист'!$A:$B,2,1)),1+(1-$AU29))</f>
        <v/>
      </c>
      <c r="BV29" s="172">
        <f>MIN(IF($AU29=100%,1,1+VLOOKUP(($AJ29-$AI29-$AH29-$AG29-$AF29-$AE29*(1+BV$3))/$AJ29,'Технический лист'!$A:$B,2,1)-VLOOKUP($AO29,'Технический лист'!$A:$B,2,1)),1+(1-$AU29))</f>
        <v/>
      </c>
      <c r="BW29" s="172">
        <f>MIN(IF($AU29=100%,1,1+VLOOKUP(($AJ29-$AI29-$AH29-$AG29-$AF29-$AE29*(1+BW$3))/$AJ29,'Технический лист'!$A:$B,2,1)-VLOOKUP($AO29,'Технический лист'!$A:$B,2,1)),1+(1-$AU29))</f>
        <v/>
      </c>
      <c r="BX29" s="172">
        <f>MIN(IF($AU29=100%,1,1+VLOOKUP(($AJ29-$AI29-$AH29-$AG29-$AF29-$AE29*(1+BX$3))/$AJ29,'Технический лист'!$A:$B,2,1)-VLOOKUP($AO29,'Технический лист'!$A:$B,2,1)),1+(1-$AU29))</f>
        <v/>
      </c>
      <c r="BY29" s="172">
        <f>MIN(IF($AU29=100%,1,1+VLOOKUP(($AJ29-$AI29-$AH29-$AG29-$AF29-$AE29*(1+BY$3))/$AJ29,'Технический лист'!$A:$B,2,1)-VLOOKUP($AO29,'Технический лист'!$A:$B,2,1)),1+(1-$AU29))</f>
        <v/>
      </c>
      <c r="BZ29" s="172">
        <f>MIN(IF($AU29=100%,1,1+VLOOKUP(($AJ29-$AI29-$AH29-$AG29-$AF29-$AE29*(1+BZ$3))/$AJ29,'Технический лист'!$A:$B,2,1)-VLOOKUP($AO29,'Технический лист'!$A:$B,2,1)),1+(1-$AU29))</f>
        <v/>
      </c>
      <c r="CA29" s="172">
        <f>MIN(IF($AU29=100%,1,1+VLOOKUP(($AJ29-$AI29-$AH29-$AG29-$AF29-$AE29*(1+CA$3))/$AJ29,'Технический лист'!$A:$B,2,1)-VLOOKUP($AO29,'Технический лист'!$A:$B,2,1)),1+(1-$AU29))</f>
        <v/>
      </c>
      <c r="CB29" s="172">
        <f>MIN(IF($AU29=100%,1,1+VLOOKUP(($AJ29-$AI29-$AH29-$AG29-$AF29-$AE29*(1+CB$3))/$AJ29,'Технический лист'!$A:$B,2,1)-VLOOKUP($AO29,'Технический лист'!$A:$B,2,1)),1+(1-$AU29))</f>
        <v/>
      </c>
      <c r="CC29" s="172">
        <f>MIN(IF($AU29=100%,1,1+VLOOKUP(($AJ29-$AI29-$AH29-$AG29-$AF29-$AE29*(1+CC$3))/$AJ29,'Технический лист'!$A:$B,2,1)-VLOOKUP($AO29,'Технический лист'!$A:$B,2,1)),1+(1-$AU29))</f>
        <v/>
      </c>
      <c r="CD29" s="172">
        <f>MIN(IF($AU29=100%,1,1+VLOOKUP(($AJ29-$AI29-$AH29-$AG29-$AF29-$AE29*(1+CD$3))/$AJ29,'Технический лист'!$A:$B,2,1)-VLOOKUP($AO29,'Технический лист'!$A:$B,2,1)),1+(1-$AU29))</f>
        <v/>
      </c>
      <c r="CE29" s="172">
        <f>MIN(IF($AU29=100%,1,1+VLOOKUP(($AJ29-$AI29-$AH29-$AG29-$AF29-$AE29*(1+CE$3))/$AJ29,'Технический лист'!$A:$B,2,1)-VLOOKUP($AO29,'Технический лист'!$A:$B,2,1)),1+(1-$AU29))</f>
        <v/>
      </c>
      <c r="CF29" s="172">
        <f>MIN(IF($AU29=100%,1,1+VLOOKUP(($AJ29-$AI29-$AH29-$AG29-$AF29-$AE29*(1+CF$3))/$AJ29,'Технический лист'!$A:$B,2,1)-VLOOKUP($AO29,'Технический лист'!$A:$B,2,1)),1+(1-$AU29))</f>
        <v/>
      </c>
      <c r="CG29" s="172">
        <f>MIN(IF($AU29=100%,1,1+VLOOKUP(($AJ29-$AI29-$AH29-$AG29-$AF29-$AE29*(1+CG$3))/$AJ29,'Технический лист'!$A:$B,2,1)-VLOOKUP($AO29,'Технический лист'!$A:$B,2,1)),1+(1-$AU29))</f>
        <v/>
      </c>
      <c r="CH29" s="172">
        <f>MIN(IF($AU29=100%,1,1+VLOOKUP(($AJ29-$AI29-$AH29-$AG29-$AF29-$AE29*(1+CH$3))/$AJ29,'Технический лист'!$A:$B,2,1)-VLOOKUP($AO29,'Технический лист'!$A:$B,2,1)),1+(1-$AU29))</f>
        <v/>
      </c>
      <c r="CI29" s="172">
        <f>MIN(IF($AU29=100%,1,1+VLOOKUP(($AJ29-$AI29-$AH29-$AG29-$AF29-$AE29*(1+CI$3))/$AJ29,'Технический лист'!$A:$B,2,1)-VLOOKUP($AO29,'Технический лист'!$A:$B,2,1)),1+(1-$AU29))</f>
        <v/>
      </c>
      <c r="CJ29" s="172">
        <f>MIN(IF($AU29=100%,1,1+VLOOKUP(($AJ29-$AI29-$AH29-$AG29-$AF29-$AE29*(1+CJ$3))/$AJ29,'Технический лист'!$A:$B,2,1)-VLOOKUP($AO29,'Технический лист'!$A:$B,2,1)),1+(1-$AU29))</f>
        <v/>
      </c>
      <c r="CK29" s="172">
        <f>MIN(IF($AU29=100%,1,1+VLOOKUP(($AJ29-$AI29-$AH29-$AG29-$AF29-$AE29*(1+CK$3))/$AJ29,'Технический лист'!$A:$B,2,1)-VLOOKUP($AO29,'Технический лист'!$A:$B,2,1)),1+(1-$AU29))</f>
        <v/>
      </c>
      <c r="CL29" s="172">
        <f>MIN(IF($AU29=100%,1,1+VLOOKUP(($AJ29-$AI29-$AH29-$AG29-$AF29-$AE29*(1+CL$3))/$AJ29,'Технический лист'!$A:$B,2,1)-VLOOKUP($AO29,'Технический лист'!$A:$B,2,1)),1+(1-$AU29))</f>
        <v/>
      </c>
      <c r="CM29" s="172">
        <f>MIN(IF($AU29=100%,1,1+VLOOKUP(($AJ29-$AI29-$AH29-$AG29-$AF29-$AE29*(1+CM$3))/$AJ29,'Технический лист'!$A:$B,2,1)-VLOOKUP($AO29,'Технический лист'!$A:$B,2,1)),1+(1-$AU29))</f>
        <v/>
      </c>
      <c r="CN29" s="172">
        <f>MIN(IF($AU29=100%,1,1+VLOOKUP(($AJ29-$AI29-$AH29-$AG29-$AF29-$AE29*(1+CN$3))/$AJ29,'Технический лист'!$A:$B,2,1)-VLOOKUP($AO29,'Технический лист'!$A:$B,2,1)),1+(1-$AU29))</f>
        <v/>
      </c>
      <c r="CO29" s="172">
        <f>MIN(IF($AU29=100%,1,1+VLOOKUP(($AJ29-$AI29-$AH29-$AG29-$AF29-$AE29*(1+CO$3))/$AJ29,'Технический лист'!$A:$B,2,1)-VLOOKUP($AO29,'Технический лист'!$A:$B,2,1)),1+(1-$AU29))</f>
        <v/>
      </c>
      <c r="CP29" s="172">
        <f>MIN(IF($AU29=100%,1,1+VLOOKUP(($AJ29-$AI29-$AH29-$AG29-$AF29-$AE29*(1+CP$3))/$AJ29,'Технический лист'!$A:$B,2,1)-VLOOKUP($AO29,'Технический лист'!$A:$B,2,1)),1+(1-$AU29))</f>
        <v/>
      </c>
      <c r="CQ29" s="172">
        <f>MIN(IF($AU29=100%,1,1+VLOOKUP(($AJ29-$AI29-$AH29-$AG29-$AF29-$AE29*(1+CQ$3))/$AJ29,'Технический лист'!$A:$B,2,1)-VLOOKUP($AO29,'Технический лист'!$A:$B,2,1)),1+(1-$AU29))</f>
        <v/>
      </c>
      <c r="CR29" s="172">
        <f>MIN(IF($AU29=100%,1,1+VLOOKUP(($AJ29-$AI29-$AH29-$AG29-$AF29-$AE29*(1+CR$3))/$AJ29,'Технический лист'!$A:$B,2,1)-VLOOKUP($AO29,'Технический лист'!$A:$B,2,1)),1+(1-$AU29))</f>
        <v/>
      </c>
      <c r="CS29" s="172">
        <f>MIN(IF($AU29=100%,1,1+VLOOKUP(($AJ29-$AI29-$AH29-$AG29-$AF29-$AE29*(1+CS$3))/$AJ29,'Технический лист'!$A:$B,2,1)-VLOOKUP($AO29,'Технический лист'!$A:$B,2,1)),1+(1-$AU29))</f>
        <v/>
      </c>
      <c r="CT29" s="172">
        <f>MIN(IF($AU29=100%,1,1+VLOOKUP(($AJ29-$AI29-$AH29-$AG29-$AF29-$AE29*(1+CT$3))/$AJ29,'Технический лист'!$A:$B,2,1)-VLOOKUP($AO29,'Технический лист'!$A:$B,2,1)),1+(1-$AU29))</f>
        <v/>
      </c>
      <c r="CU29" s="172">
        <f>MIN(IF($AU29=100%,1,1+VLOOKUP(($AJ29-$AI29-$AH29-$AG29-$AF29-$AE29*(1+CU$3))/$AJ29,'Технический лист'!$A:$B,2,1)-VLOOKUP($AO29,'Технический лист'!$A:$B,2,1)),1+(1-$AU29))</f>
        <v/>
      </c>
      <c r="CV29" s="172">
        <f>MIN(IF($AU29=100%,1,1+VLOOKUP(($AJ29-$AI29-$AH29-$AG29-$AF29-$AE29*(1+CV$3))/$AJ29,'Технический лист'!$A:$B,2,1)-VLOOKUP($AO29,'Технический лист'!$A:$B,2,1)),1+(1-$AU29))</f>
        <v/>
      </c>
      <c r="CW29" s="172">
        <f>MIN(IF($AU29=100%,1,1+VLOOKUP(($AJ29-$AI29-$AH29-$AG29-$AF29-$AE29*(1+CW$3))/$AJ29,'Технический лист'!$A:$B,2,1)-VLOOKUP($AO29,'Технический лист'!$A:$B,2,1)),1+(1-$AU29))</f>
        <v/>
      </c>
      <c r="CX29" s="172">
        <f>MIN(IF($AU29=100%,1,1+VLOOKUP(($AJ29-$AI29-$AH29-$AG29-$AF29-$AE29*(1+CX$3))/$AJ29,'Технический лист'!$A:$B,2,1)-VLOOKUP($AO29,'Технический лист'!$A:$B,2,1)),1+(1-$AU29))</f>
        <v/>
      </c>
      <c r="CY29" s="172">
        <f>MIN(IF($AU29=100%,1,1+VLOOKUP(($AJ29-$AI29-$AH29-$AG29-$AF29-$AE29*(1+CY$3))/$AJ29,'Технический лист'!$A:$B,2,1)-VLOOKUP($AO29,'Технический лист'!$A:$B,2,1)),1+(1-$AU29))</f>
        <v/>
      </c>
      <c r="CZ29" s="172">
        <f>MIN(IF($AU29=100%,1,1+VLOOKUP(($AJ29-$AI29-$AH29-$AG29-$AF29-$AE29*(1+CZ$3))/$AJ29,'Технический лист'!$A:$B,2,1)-VLOOKUP($AO29,'Технический лист'!$A:$B,2,1)),1+(1-$AU29))</f>
        <v/>
      </c>
      <c r="DA29" s="172">
        <f>MIN(IF($AU29=100%,1,1+VLOOKUP(($AJ29-$AI29-$AH29-$AG29-$AF29-$AE29*(1+DA$3))/$AJ29,'Технический лист'!$A:$B,2,1)-VLOOKUP($AO29,'Технический лист'!$A:$B,2,1)),1+(1-$AU29))</f>
        <v/>
      </c>
      <c r="DB29" s="172">
        <f>MIN(IF($AU29=100%,1,1+VLOOKUP(($AJ29-$AI29-$AH29-$AG29-$AF29-$AE29*(1+DB$3))/$AJ29,'Технический лист'!$A:$B,2,1)-VLOOKUP($AO29,'Технический лист'!$A:$B,2,1)),1+(1-$AU29))</f>
        <v/>
      </c>
      <c r="DC29" s="172">
        <f>MIN(IF($AU29=100%,1,1+VLOOKUP(($AJ29-$AI29-$AH29-$AG29-$AF29-$AE29*(1+DC$3))/$AJ29,'Технический лист'!$A:$B,2,1)-VLOOKUP($AO29,'Технический лист'!$A:$B,2,1)),1+(1-$AU29))</f>
        <v/>
      </c>
      <c r="DD29" s="172">
        <f>MIN(IF($AU29=100%,1,1+VLOOKUP(($AJ29-$AI29-$AH29-$AG29-$AF29-$AE29*(1+DD$3))/$AJ29,'Технический лист'!$A:$B,2,1)-VLOOKUP($AO29,'Технический лист'!$A:$B,2,1)),1+(1-$AU29))</f>
        <v/>
      </c>
      <c r="DE29" s="172">
        <f>MIN(IF($AU29=100%,1,1+VLOOKUP(($AJ29-$AI29-$AH29-$AG29-$AF29-$AE29*(1+DE$3))/$AJ29,'Технический лист'!$A:$B,2,1)-VLOOKUP($AO29,'Технический лист'!$A:$B,2,1)),1+(1-$AU29))</f>
        <v/>
      </c>
      <c r="DF29" s="172">
        <f>MIN(IF($AU29=100%,1,1+VLOOKUP(($AJ29-$AI29-$AH29-$AG29-$AF29-$AE29*(1+DF$3))/$AJ29,'Технический лист'!$A:$B,2,1)-VLOOKUP($AO29,'Технический лист'!$A:$B,2,1)),1+(1-$AU29))</f>
        <v/>
      </c>
      <c r="DG29" s="172">
        <f>MIN(IF($AU29=100%,1,1+VLOOKUP(($AJ29-$AI29-$AH29-$AG29-$AF29-$AE29*(1+DG$3))/$AJ29,'Технический лист'!$A:$B,2,1)-VLOOKUP($AO29,'Технический лист'!$A:$B,2,1)),1+(1-$AU29))</f>
        <v/>
      </c>
      <c r="DH29" s="172">
        <f>MIN(IF($AU29=100%,1,1+VLOOKUP(($AJ29-$AI29-$AH29-$AG29-$AF29-$AE29*(1+DH$3))/$AJ29,'Технический лист'!$A:$B,2,1)-VLOOKUP($AO29,'Технический лист'!$A:$B,2,1)),1+(1-$AU29))</f>
        <v/>
      </c>
      <c r="DI29" s="172">
        <f>MIN(IF($AU29=100%,1,1+VLOOKUP(($AJ29-$AI29-$AH29-$AG29-$AF29-$AE29*(1+DI$3))/$AJ29,'Технический лист'!$A:$B,2,1)-VLOOKUP($AO29,'Технический лист'!$A:$B,2,1)),1+(1-$AU29))</f>
        <v/>
      </c>
      <c r="DJ29" s="172">
        <f>MIN(IF($AU29=100%,1,1+VLOOKUP(($AJ29-$AI29-$AH29-$AG29-$AF29-$AE29*(1+DJ$3))/$AJ29,'Технический лист'!$A:$B,2,1)-VLOOKUP($AO29,'Технический лист'!$A:$B,2,1)),1+(1-$AU29))</f>
        <v/>
      </c>
      <c r="DK29" s="172">
        <f>MIN(IF($AU29=100%,1,1+VLOOKUP(($AJ29-$AI29-$AH29-$AG29-$AF29-$AE29*(1+DK$3))/$AJ29,'Технический лист'!$A:$B,2,1)-VLOOKUP($AO29,'Технический лист'!$A:$B,2,1)),1+(1-$AU29))</f>
        <v/>
      </c>
      <c r="DL29" s="172">
        <f>MIN(IF($AU29=100%,1,1+VLOOKUP(($AJ29-$AI29-$AH29-$AG29-$AF29-$AE29*(1+DL$3))/$AJ29,'Технический лист'!$A:$B,2,1)-VLOOKUP($AO29,'Технический лист'!$A:$B,2,1)),1+(1-$AU29))</f>
        <v/>
      </c>
      <c r="DM29" s="172">
        <f>MIN(IF($AU29=100%,1,1+VLOOKUP(($AJ29-$AI29-$AH29-$AG29-$AF29-$AE29*(1+DM$3))/$AJ29,'Технический лист'!$A:$B,2,1)-VLOOKUP($AO29,'Технический лист'!$A:$B,2,1)),1+(1-$AU29))</f>
        <v/>
      </c>
      <c r="DN29" s="172">
        <f>MIN(IF($AU29=100%,1,1+VLOOKUP(($AJ29-$AI29-$AH29-$AG29-$AF29-$AE29*(1+DN$3))/$AJ29,'Технический лист'!$A:$B,2,1)-VLOOKUP($AO29,'Технический лист'!$A:$B,2,1)),1+(1-$AU29))</f>
        <v/>
      </c>
      <c r="DO29" s="172">
        <f>MIN(IF($AU29=100%,1,1+VLOOKUP(($AJ29-$AI29-$AH29-$AG29-$AF29-$AE29*(1+DO$3))/$AJ29,'Технический лист'!$A:$B,2,1)-VLOOKUP($AO29,'Технический лист'!$A:$B,2,1)),1+(1-$AU29))</f>
        <v/>
      </c>
      <c r="DP29" s="172">
        <f>MIN(IF($AU29=100%,1,1+VLOOKUP(($AJ29-$AI29-$AH29-$AG29-$AF29-$AE29*(1+DP$3))/$AJ29,'Технический лист'!$A:$B,2,1)-VLOOKUP($AO29,'Технический лист'!$A:$B,2,1)),1+(1-$AU29))</f>
        <v/>
      </c>
      <c r="DQ29" s="172">
        <f>MIN(IF($AU29=100%,1,1+VLOOKUP(($AJ29-$AI29-$AH29-$AG29-$AF29-$AE29*(1+DQ$3))/$AJ29,'Технический лист'!$A:$B,2,1)-VLOOKUP($AO29,'Технический лист'!$A:$B,2,1)),1+(1-$AU29))</f>
        <v/>
      </c>
      <c r="DR29" s="172">
        <f>MIN(IF($AU29=100%,1,1+VLOOKUP(($AJ29-$AI29-$AH29-$AG29-$AF29-$AE29*(1+DR$3))/$AJ29,'Технический лист'!$A:$B,2,1)-VLOOKUP($AO29,'Технический лист'!$A:$B,2,1)),1+(1-$AU29))</f>
        <v/>
      </c>
      <c r="DS29" s="172">
        <f>MIN(IF($AU29=100%,1,1+VLOOKUP(($AJ29-$AI29-$AH29-$AG29-$AF29-$AE29*(1+DS$3))/$AJ29,'Технический лист'!$A:$B,2,1)-VLOOKUP($AO29,'Технический лист'!$A:$B,2,1)),1+(1-$AU29))</f>
        <v/>
      </c>
      <c r="DT29" s="172">
        <f>MIN(IF($AU29=100%,1,1+VLOOKUP(($AJ29-$AI29-$AH29-$AG29-$AF29-$AE29*(1+DT$3))/$AJ29,'Технический лист'!$A:$B,2,1)-VLOOKUP($AO29,'Технический лист'!$A:$B,2,1)),1+(1-$AU29))</f>
        <v/>
      </c>
      <c r="DU29" s="172">
        <f>MIN(IF($AU29=100%,1,1+VLOOKUP(($AJ29-$AI29-$AH29-$AG29-$AF29-$AE29*(1+DU$3))/$AJ29,'Технический лист'!$A:$B,2,1)-VLOOKUP($AO29,'Технический лист'!$A:$B,2,1)),1+(1-$AU29))</f>
        <v/>
      </c>
      <c r="DV29" s="172">
        <f>MIN(IF($AU29=100%,1,1+VLOOKUP(($AJ29-$AI29-$AH29-$AG29-$AF29-$AE29*(1+DV$3))/$AJ29,'Технический лист'!$A:$B,2,1)-VLOOKUP($AO29,'Технический лист'!$A:$B,2,1)),1+(1-$AU29))</f>
        <v/>
      </c>
      <c r="DW29" s="172">
        <f>MIN(IF($AU29=100%,1,1+VLOOKUP(($AJ29-$AI29-$AH29-$AG29-$AF29-$AE29*(1+DW$3))/$AJ29,'Технический лист'!$A:$B,2,1)-VLOOKUP($AO29,'Технический лист'!$A:$B,2,1)),1+(1-$AU29))</f>
        <v/>
      </c>
      <c r="DX29" s="172">
        <f>MIN(IF($AU29=100%,1,1+VLOOKUP(($AJ29-$AI29-$AH29-$AG29-$AF29-$AE29*(1+DX$3))/$AJ29,'Технический лист'!$A:$B,2,1)-VLOOKUP($AO29,'Технический лист'!$A:$B,2,1)),1+(1-$AU29))</f>
        <v/>
      </c>
      <c r="DY29" s="172">
        <f>MIN(IF($AU29=100%,1,1+VLOOKUP(($AJ29-$AI29-$AH29-$AG29-$AF29-$AE29*(1+DY$3))/$AJ29,'Технический лист'!$A:$B,2,1)-VLOOKUP($AO29,'Технический лист'!$A:$B,2,1)),1+(1-$AU29))</f>
        <v/>
      </c>
      <c r="DZ29" s="172">
        <f>MIN(IF($AU29=100%,1,1+VLOOKUP(($AJ29-$AI29-$AH29-$AG29-$AF29-$AE29*(1+DZ$3))/$AJ29,'Технический лист'!$A:$B,2,1)-VLOOKUP($AO29,'Технический лист'!$A:$B,2,1)),1+(1-$AU29))</f>
        <v/>
      </c>
      <c r="EA29" s="172">
        <f>MIN(IF($AU29=100%,1,1+VLOOKUP(($AJ29-$AI29-$AH29-$AG29-$AF29-$AE29*(1+EA$3))/$AJ29,'Технический лист'!$A:$B,2,1)-VLOOKUP($AO29,'Технический лист'!$A:$B,2,1)),1+(1-$AU29))</f>
        <v/>
      </c>
      <c r="EB29" s="172">
        <f>MIN(IF($AU29=100%,1,1+VLOOKUP(($AJ29-$AI29-$AH29-$AG29-$AF29-$AE29*(1+EB$3))/$AJ29,'Технический лист'!$A:$B,2,1)-VLOOKUP($AO29,'Технический лист'!$A:$B,2,1)),1+(1-$AU29))</f>
        <v/>
      </c>
      <c r="EC29" s="172">
        <f>MIN(IF($AU29=100%,1,1+VLOOKUP(($AJ29-$AI29-$AH29-$AG29-$AF29-$AE29*(1+EC$3))/$AJ29,'Технический лист'!$A:$B,2,1)-VLOOKUP($AO29,'Технический лист'!$A:$B,2,1)),1+(1-$AU29))</f>
        <v/>
      </c>
      <c r="ED29" s="172">
        <f>MIN(IF($AU29=100%,1,1+VLOOKUP(($AJ29-$AI29-$AH29-$AG29-$AF29-$AE29*(1+ED$3))/$AJ29,'Технический лист'!$A:$B,2,1)-VLOOKUP($AO29,'Технический лист'!$A:$B,2,1)),1+(1-$AU29))</f>
        <v/>
      </c>
      <c r="EE29" s="172">
        <f>MIN(IF($AU29=100%,1,1+VLOOKUP(($AJ29-$AI29-$AH29-$AG29-$AF29-$AE29*(1+EE$3))/$AJ29,'Технический лист'!$A:$B,2,1)-VLOOKUP($AO29,'Технический лист'!$A:$B,2,1)),1+(1-$AU29))</f>
        <v/>
      </c>
      <c r="EF29" s="172">
        <f>MIN(IF($AU29=100%,1,1+VLOOKUP(($AJ29-$AI29-$AH29-$AG29-$AF29-$AE29*(1+EF$3))/$AJ29,'Технический лист'!$A:$B,2,1)-VLOOKUP($AO29,'Технический лист'!$A:$B,2,1)),1+(1-$AU29))</f>
        <v/>
      </c>
      <c r="EG29" s="172">
        <f>MIN(IF($AU29=100%,1,1+VLOOKUP(($AJ29-$AI29-$AH29-$AG29-$AF29-$AE29*(1+EG$3))/$AJ29,'Технический лист'!$A:$B,2,1)-VLOOKUP($AO29,'Технический лист'!$A:$B,2,1)),1+(1-$AU29))</f>
        <v/>
      </c>
      <c r="EH29" s="172">
        <f>MIN(IF($AU29=100%,1,1+VLOOKUP(($AJ29-$AI29-$AH29-$AG29-$AF29-$AE29*(1+EH$3))/$AJ29,'Технический лист'!$A:$B,2,1)-VLOOKUP($AO29,'Технический лист'!$A:$B,2,1)),1+(1-$AU29))</f>
        <v/>
      </c>
      <c r="EI29" s="172">
        <f>MIN(IF($AU29=100%,1,1+VLOOKUP(($AJ29-$AI29-$AH29-$AG29-$AF29-$AE29*(1+EI$3))/$AJ29,'Технический лист'!$A:$B,2,1)-VLOOKUP($AO29,'Технический лист'!$A:$B,2,1)),1+(1-$AU29))</f>
        <v/>
      </c>
      <c r="EJ29" s="172">
        <f>MIN(IF($AU29=100%,1,1+VLOOKUP(($AJ29-$AI29-$AH29-$AG29-$AF29-$AE29*(1+EJ$3))/$AJ29,'Технический лист'!$A:$B,2,1)-VLOOKUP($AO29,'Технический лист'!$A:$B,2,1)),1+(1-$AU29))</f>
        <v/>
      </c>
      <c r="EK29" s="172">
        <f>MIN(IF($AU29=100%,1,1+VLOOKUP(($AJ29-$AI29-$AH29-$AG29-$AF29-$AE29*(1+EK$3))/$AJ29,'Технический лист'!$A:$B,2,1)-VLOOKUP($AO29,'Технический лист'!$A:$B,2,1)),1+(1-$AU29))</f>
        <v/>
      </c>
      <c r="EL29" s="172">
        <f>MIN(IF($AU29=100%,1,1+VLOOKUP(($AJ29-$AI29-$AH29-$AG29-$AF29-$AE29*(1+EL$3))/$AJ29,'Технический лист'!$A:$B,2,1)-VLOOKUP($AO29,'Технический лист'!$A:$B,2,1)),1+(1-$AU29))</f>
        <v/>
      </c>
      <c r="EM29" s="172">
        <f>MIN(IF($AU29=100%,1,1+VLOOKUP(($AJ29-$AI29-$AH29-$AG29-$AF29-$AE29*(1+EM$3))/$AJ29,'Технический лист'!$A:$B,2,1)-VLOOKUP($AO29,'Технический лист'!$A:$B,2,1)),1+(1-$AU29))</f>
        <v/>
      </c>
      <c r="EN29" s="172">
        <f>MIN(IF($AU29=100%,1,1+VLOOKUP(($AJ29-$AI29-$AH29-$AG29-$AF29-$AE29*(1+EN$3))/$AJ29,'Технический лист'!$A:$B,2,1)-VLOOKUP($AO29,'Технический лист'!$A:$B,2,1)),1+(1-$AU29))</f>
        <v/>
      </c>
      <c r="EO29" s="172">
        <f>MIN(IF($AU29=100%,1,1+VLOOKUP(($AJ29-$AI29-$AH29-$AG29-$AF29-$AE29*(1+EO$3))/$AJ29,'Технический лист'!$A:$B,2,1)-VLOOKUP($AO29,'Технический лист'!$A:$B,2,1)),1+(1-$AU29))</f>
        <v/>
      </c>
      <c r="EP29" s="172">
        <f>MIN(IF($AU29=100%,1,1+VLOOKUP(($AJ29-$AI29-$AH29-$AG29-$AF29-$AE29*(1+EP$3))/$AJ29,'Технический лист'!$A:$B,2,1)-VLOOKUP($AO29,'Технический лист'!$A:$B,2,1)),1+(1-$AU29))</f>
        <v/>
      </c>
      <c r="EQ29" s="172">
        <f>MIN(IF($AU29=100%,1,1+VLOOKUP(($AJ29-$AI29-$AH29-$AG29-$AF29-$AE29*(1+EQ$3))/$AJ29,'Технический лист'!$A:$B,2,1)-VLOOKUP($AO29,'Технический лист'!$A:$B,2,1)),1+(1-$AU29))</f>
        <v/>
      </c>
      <c r="ER29" s="172">
        <f>MIN(IF($AU29=100%,1,1+VLOOKUP(($AJ29-$AI29-$AH29-$AG29-$AF29-$AE29*(1+ER$3))/$AJ29,'Технический лист'!$A:$B,2,1)-VLOOKUP($AO29,'Технический лист'!$A:$B,2,1)),1+(1-$AU29))</f>
        <v/>
      </c>
      <c r="ES29" s="172">
        <f>MIN(IF($AU29=100%,1,1+VLOOKUP(($AJ29-$AI29-$AH29-$AG29-$AF29-$AE29*(1+ES$3))/$AJ29,'Технический лист'!$A:$B,2,1)-VLOOKUP($AO29,'Технический лист'!$A:$B,2,1)),1+(1-$AU29))</f>
        <v/>
      </c>
      <c r="ET29" s="172">
        <f>MIN(IF($AU29=100%,1,1+VLOOKUP(($AJ29-$AI29-$AH29-$AG29-$AF29-$AE29*(1+ET$3))/$AJ29,'Технический лист'!$A:$B,2,1)-VLOOKUP($AO29,'Технический лист'!$A:$B,2,1)),1+(1-$AU29))</f>
        <v/>
      </c>
      <c r="EU29" s="172">
        <f>MIN(IF($AU29=100%,1,1+VLOOKUP(($AJ29-$AI29-$AH29-$AG29-$AF29-$AE29*(1+EU$3))/$AJ29,'Технический лист'!$A:$B,2,1)-VLOOKUP($AO29,'Технический лист'!$A:$B,2,1)),1+(1-$AU29))</f>
        <v/>
      </c>
      <c r="EV29" s="173" t="n">
        <v>1</v>
      </c>
      <c r="EW29" s="172">
        <f>MIN(1,MAX(VLOOKUP(($AJ29-$AI29-$AH29-$AG29-$AF29-$AE29*(1+EW$3))/$AJ29,'Технический лист'!$A:$B,2,1),(EV29-0.05)))</f>
        <v/>
      </c>
      <c r="EX29" s="172">
        <f>MIN(1,MAX(VLOOKUP(($AJ29-$AI29-$AH29-$AG29-$AF29-$AE29*(1+EX$3))/$AJ29,'Технический лист'!$A:$B,2,1),(EW29-0.05)))</f>
        <v/>
      </c>
      <c r="EY29" s="172">
        <f>MIN(1,MAX(VLOOKUP(($AJ29-$AI29-$AH29-$AG29-$AF29-$AE29*(1+EY$3))/$AJ29,'Технический лист'!$A:$B,2,1),(EX29-0.05)))</f>
        <v/>
      </c>
      <c r="EZ29" s="172">
        <f>MIN(1,MAX(VLOOKUP(($AJ29-$AI29-$AH29-$AG29-$AF29-$AE29*(1+EZ$3))/$AJ29,'Технический лист'!$A:$B,2,1),(EY29-0.05)))</f>
        <v/>
      </c>
      <c r="FA29" s="172">
        <f>MIN(1,MAX(VLOOKUP(($AJ29-$AI29-$AH29-$AG29-$AF29-$AE29*(1+FA$3))/$AJ29,'Технический лист'!$A:$B,2,1),(EZ29-0.05)))</f>
        <v/>
      </c>
      <c r="FB29" s="172">
        <f>MIN(1,MAX(VLOOKUP(($AJ29-$AI29-$AH29-$AG29-$AF29-$AE29*(1+FB$3))/$AJ29,'Технический лист'!$A:$B,2,1),(FA29-0.05)))</f>
        <v/>
      </c>
      <c r="FC29" s="172">
        <f>MIN(1,MAX(VLOOKUP(($AJ29-$AI29-$AH29-$AG29-$AF29-$AE29*(1+FC$3))/$AJ29,'Технический лист'!$A:$B,2,1),(FB29-0.05)))</f>
        <v/>
      </c>
      <c r="FD29" s="172">
        <f>MIN(1,MAX(VLOOKUP(($AJ29-$AI29-$AH29-$AG29-$AF29-$AE29*(1+FD$3))/$AJ29,'Технический лист'!$A:$B,2,1),(FC29-0.05)))</f>
        <v/>
      </c>
      <c r="FE29" s="172">
        <f>MIN(1,MAX(VLOOKUP(($AJ29-$AI29-$AH29-$AG29-$AF29-$AE29*(1+FE$3))/$AJ29,'Технический лист'!$A:$B,2,1),(FD29-0.05)))</f>
        <v/>
      </c>
      <c r="FF29" s="172">
        <f>MIN(1,MAX(VLOOKUP(($AJ29-$AI29-$AH29-$AG29-$AF29-$AE29*(1+FF$3))/$AJ29,'Технический лист'!$A:$B,2,1),(FE29-0.05)))</f>
        <v/>
      </c>
      <c r="FG29" s="172">
        <f>MIN(1,MAX(VLOOKUP(($AJ29-$AI29-$AH29-$AG29-$AF29-$AE29*(1+FG$3))/$AJ29,'Технический лист'!$A:$B,2,1),(FF29-0.05)))</f>
        <v/>
      </c>
      <c r="FH29" s="172">
        <f>MIN(1,MAX(VLOOKUP(($AJ29-$AI29-$AH29-$AG29-$AF29-$AE29*(1+FH$3))/$AJ29,'Технический лист'!$A:$B,2,1),(FG29-0.05)))</f>
        <v/>
      </c>
      <c r="FI29" s="172">
        <f>MIN(1,MAX(VLOOKUP(($AJ29-$AI29-$AH29-$AG29-$AF29-$AE29*(1+FI$3))/$AJ29,'Технический лист'!$A:$B,2,1),(FH29-0.05)))</f>
        <v/>
      </c>
      <c r="FJ29" s="172">
        <f>MIN(1,MAX(VLOOKUP(($AJ29-$AI29-$AH29-$AG29-$AF29-$AE29*(1+FJ$3))/$AJ29,'Технический лист'!$A:$B,2,1),(FI29-0.05)))</f>
        <v/>
      </c>
      <c r="FK29" s="172">
        <f>MIN(1,MAX(VLOOKUP(($AJ29-$AI29-$AH29-$AG29-$AF29-$AE29*(1+FK$3))/$AJ29,'Технический лист'!$A:$B,2,1),(FJ29-0.05)))</f>
        <v/>
      </c>
      <c r="FL29" s="172">
        <f>MIN(1,MAX(VLOOKUP(($AJ29-$AI29-$AH29-$AG29-$AF29-$AE29*(1+FL$3))/$AJ29,'Технический лист'!$A:$B,2,1),(FK29-0.05)))</f>
        <v/>
      </c>
      <c r="FM29" s="172">
        <f>MIN(1,MAX(VLOOKUP(($AJ29-$AI29-$AH29-$AG29-$AF29-$AE29*(1+FM$3))/$AJ29,'Технический лист'!$A:$B,2,1),(FL29-0.05)))</f>
        <v/>
      </c>
      <c r="FN29" s="172">
        <f>MIN(1,MAX(VLOOKUP(($AJ29-$AI29-$AH29-$AG29-$AF29-$AE29*(1+FN$3))/$AJ29,'Технический лист'!$A:$B,2,1),(FM29-0.05)))</f>
        <v/>
      </c>
      <c r="FO29" s="172">
        <f>MIN(1,MAX(VLOOKUP(($AJ29-$AI29-$AH29-$AG29-$AF29-$AE29*(1+FO$3))/$AJ29,'Технический лист'!$A:$B,2,1),(FN29-0.05)))</f>
        <v/>
      </c>
      <c r="FP29" s="172">
        <f>MIN(1,MAX(VLOOKUP(($AJ29-$AI29-$AH29-$AG29-$AF29-$AE29*(1+FP$3))/$AJ29,'Технический лист'!$A:$B,2,1),(FO29-0.05)))</f>
        <v/>
      </c>
      <c r="FQ29" s="172">
        <f>MIN(1,MAX(VLOOKUP(($AJ29-$AI29-$AH29-$AG29-$AF29-$AE29*(1+FQ$3))/$AJ29,'Технический лист'!$A:$B,2,1),(FP29-0.05)))</f>
        <v/>
      </c>
      <c r="FR29" s="172">
        <f>MIN(1,MAX(VLOOKUP(($AJ29-$AI29-$AH29-$AG29-$AF29-$AE29*(1+FR$3))/$AJ29,'Технический лист'!$A:$B,2,1),(FQ29-0.05)))</f>
        <v/>
      </c>
      <c r="FS29" s="172">
        <f>MIN(1,MAX(VLOOKUP(($AJ29-$AI29-$AH29-$AG29-$AF29-$AE29*(1+FS$3))/$AJ29,'Технический лист'!$A:$B,2,1),(FR29-0.05)))</f>
        <v/>
      </c>
      <c r="FT29" s="172">
        <f>MIN(1,MAX(VLOOKUP(($AJ29-$AI29-$AH29-$AG29-$AF29-$AE29*(1+FT$3))/$AJ29,'Технический лист'!$A:$B,2,1),(FS29-0.05)))</f>
        <v/>
      </c>
      <c r="FU29" s="172">
        <f>MIN(1,MAX(VLOOKUP(($AJ29-$AI29-$AH29-$AG29-$AF29-$AE29*(1+FU$3))/$AJ29,'Технический лист'!$A:$B,2,1),(FT29-0.05)))</f>
        <v/>
      </c>
      <c r="FV29" s="172">
        <f>MIN(1,MAX(VLOOKUP(($AJ29-$AI29-$AH29-$AG29-$AF29-$AE29*(1+FV$3))/$AJ29,'Технический лист'!$A:$B,2,1),(FU29-0.05)))</f>
        <v/>
      </c>
      <c r="FW29" s="172">
        <f>MIN(1,MAX(VLOOKUP(($AJ29-$AI29-$AH29-$AG29-$AF29-$AE29*(1+FW$3))/$AJ29,'Технический лист'!$A:$B,2,1),(FV29-0.05)))</f>
        <v/>
      </c>
      <c r="FX29" s="172">
        <f>MIN(1,MAX(VLOOKUP(($AJ29-$AI29-$AH29-$AG29-$AF29-$AE29*(1+FX$3))/$AJ29,'Технический лист'!$A:$B,2,1),(FW29-0.05)))</f>
        <v/>
      </c>
      <c r="FY29" s="172">
        <f>MIN(1,MAX(VLOOKUP(($AJ29-$AI29-$AH29-$AG29-$AF29-$AE29*(1+FY$3))/$AJ29,'Технический лист'!$A:$B,2,1),(FX29-0.05)))</f>
        <v/>
      </c>
      <c r="FZ29" s="172">
        <f>MIN(1,MAX(VLOOKUP(($AJ29-$AI29-$AH29-$AG29-$AF29-$AE29*(1+FZ$3))/$AJ29,'Технический лист'!$A:$B,2,1),(FY29-0.05)))</f>
        <v/>
      </c>
      <c r="GA29" s="172">
        <f>MIN(1,MAX(VLOOKUP(($AJ29-$AI29-$AH29-$AG29-$AF29-$AE29*(1+GA$3))/$AJ29,'Технический лист'!$A:$B,2,1),(FZ29-0.05)))</f>
        <v/>
      </c>
      <c r="GB29" s="172">
        <f>MIN(1,MAX(VLOOKUP(($AJ29-$AI29-$AH29-$AG29-$AF29-$AE29*(1+GB$3))/$AJ29,'Технический лист'!$A:$B,2,1),(GA29-0.05)))</f>
        <v/>
      </c>
      <c r="GC29" s="172">
        <f>MIN(1,MAX(VLOOKUP(($AJ29-$AI29-$AH29-$AG29-$AF29-$AE29*(1+GC$3))/$AJ29,'Технический лист'!$A:$B,2,1),(GB29-0.05)))</f>
        <v/>
      </c>
      <c r="GD29" s="172">
        <f>MIN(1,MAX(VLOOKUP(($AJ29-$AI29-$AH29-$AG29-$AF29-$AE29*(1+GD$3))/$AJ29,'Технический лист'!$A:$B,2,1),(GC29-0.05)))</f>
        <v/>
      </c>
      <c r="GE29" s="172">
        <f>MIN(1,MAX(VLOOKUP(($AJ29-$AI29-$AH29-$AG29-$AF29-$AE29*(1+GE$3))/$AJ29,'Технический лист'!$A:$B,2,1),(GD29-0.05)))</f>
        <v/>
      </c>
      <c r="GF29" s="172">
        <f>MIN(1,MAX(VLOOKUP(($AJ29-$AI29-$AH29-$AG29-$AF29-$AE29*(1+GF$3))/$AJ29,'Технический лист'!$A:$B,2,1),(GE29-0.05)))</f>
        <v/>
      </c>
      <c r="GG29" s="172">
        <f>MIN(1,MAX(VLOOKUP(($AJ29-$AI29-$AH29-$AG29-$AF29-$AE29*(1+GG$3))/$AJ29,'Технический лист'!$A:$B,2,1),(GF29-0.05)))</f>
        <v/>
      </c>
      <c r="GH29" s="172">
        <f>MIN(1,MAX(VLOOKUP(($AJ29-$AI29-$AH29-$AG29-$AF29-$AE29*(1+GH$3))/$AJ29,'Технический лист'!$A:$B,2,1),(GG29-0.05)))</f>
        <v/>
      </c>
      <c r="GI29" s="172">
        <f>MIN(1,MAX(VLOOKUP(($AJ29-$AI29-$AH29-$AG29-$AF29-$AE29*(1+GI$3))/$AJ29,'Технический лист'!$A:$B,2,1),(GH29-0.05)))</f>
        <v/>
      </c>
      <c r="GJ29" s="172">
        <f>MIN(1,MAX(VLOOKUP(($AJ29-$AI29-$AH29-$AG29-$AF29-$AE29*(1+GJ$3))/$AJ29,'Технический лист'!$A:$B,2,1),(GI29-0.05)))</f>
        <v/>
      </c>
      <c r="GK29" s="172">
        <f>MIN(1,MAX(VLOOKUP(($AJ29-$AI29-$AH29-$AG29-$AF29-$AE29*(1+GK$3))/$AJ29,'Технический лист'!$A:$B,2,1),(GJ29-0.05)))</f>
        <v/>
      </c>
      <c r="GL29" s="172">
        <f>MIN(1,MAX(VLOOKUP(($AJ29-$AI29-$AH29-$AG29-$AF29-$AE29*(1+GL$3))/$AJ29,'Технический лист'!$A:$B,2,1),(GK29-0.05)))</f>
        <v/>
      </c>
      <c r="GM29" s="172">
        <f>MIN(1,MAX(VLOOKUP(($AJ29-$AI29-$AH29-$AG29-$AF29-$AE29*(1+GM$3))/$AJ29,'Технический лист'!$A:$B,2,1),(GL29-0.05)))</f>
        <v/>
      </c>
      <c r="GN29" s="172">
        <f>MIN(1,MAX(VLOOKUP(($AJ29-$AI29-$AH29-$AG29-$AF29-$AE29*(1+GN$3))/$AJ29,'Технический лист'!$A:$B,2,1),(GM29-0.05)))</f>
        <v/>
      </c>
      <c r="GO29" s="172">
        <f>MIN(1,MAX(VLOOKUP(($AJ29-$AI29-$AH29-$AG29-$AF29-$AE29*(1+GO$3))/$AJ29,'Технический лист'!$A:$B,2,1),(GN29-0.05)))</f>
        <v/>
      </c>
      <c r="GP29" s="172">
        <f>MIN(1,MAX(VLOOKUP(($AJ29-$AI29-$AH29-$AG29-$AF29-$AE29*(1+GP$3))/$AJ29,'Технический лист'!$A:$B,2,1),(GO29-0.05)))</f>
        <v/>
      </c>
      <c r="GQ29" s="172">
        <f>MIN(1,MAX(VLOOKUP(($AJ29-$AI29-$AH29-$AG29-$AF29-$AE29*(1+GQ$3))/$AJ29,'Технический лист'!$A:$B,2,1),(GP29-0.05)))</f>
        <v/>
      </c>
      <c r="GR29" s="172">
        <f>MIN(1,MAX(VLOOKUP(($AJ29-$AI29-$AH29-$AG29-$AF29-$AE29*(1+GR$3))/$AJ29,'Технический лист'!$A:$B,2,1),(GQ29-0.05)))</f>
        <v/>
      </c>
      <c r="GS29" s="172">
        <f>MIN(1,MAX(VLOOKUP(($AJ29-$AI29-$AH29-$AG29-$AF29-$AE29*(1+GS$3))/$AJ29,'Технический лист'!$A:$B,2,1),(GR29-0.05)))</f>
        <v/>
      </c>
      <c r="GT29" s="172">
        <f>MIN(1,MAX(VLOOKUP(($AJ29-$AI29-$AH29-$AG29-$AF29-$AE29*(1+GT$3))/$AJ29,'Технический лист'!$A:$B,2,1),(GS29-0.05)))</f>
        <v/>
      </c>
      <c r="GU29" s="172">
        <f>MIN(1,MAX(VLOOKUP(($AJ29-$AI29-$AH29-$AG29-$AF29-$AE29*(1+GU$3))/$AJ29,'Технический лист'!$A:$B,2,1),(GT29-0.05)))</f>
        <v/>
      </c>
      <c r="GV29" s="172">
        <f>MIN(1,MAX(VLOOKUP(($AJ29-$AI29-$AH29-$AG29-$AF29-$AE29*(1+GV$3))/$AJ29,'Технический лист'!$A:$B,2,1),(GU29-0.05)))</f>
        <v/>
      </c>
      <c r="GW29" s="172">
        <f>MIN(1,MAX(VLOOKUP(($AJ29-$AI29-$AH29-$AG29-$AF29-$AE29*(1+GW$3))/$AJ29,'Технический лист'!$A:$B,2,1),(GV29-0.05)))</f>
        <v/>
      </c>
      <c r="GX29" s="172">
        <f>MIN(1,MAX(VLOOKUP(($AJ29-$AI29-$AH29-$AG29-$AF29-$AE29*(1+GX$3))/$AJ29,'Технический лист'!$A:$B,2,1),(GW29-0.05)))</f>
        <v/>
      </c>
      <c r="GY29" s="172">
        <f>MIN(1,MAX(VLOOKUP(($AJ29-$AI29-$AH29-$AG29-$AF29-$AE29*(1+GY$3))/$AJ29,'Технический лист'!$A:$B,2,1),(GX29-0.05)))</f>
        <v/>
      </c>
      <c r="GZ29" s="172">
        <f>MIN(1,MAX(VLOOKUP(($AJ29-$AI29-$AH29-$AG29-$AF29-$AE29*(1+GZ$3))/$AJ29,'Технический лист'!$A:$B,2,1),(GY29-0.05)))</f>
        <v/>
      </c>
      <c r="HA29" s="172">
        <f>MIN(1,MAX(VLOOKUP(($AJ29-$AI29-$AH29-$AG29-$AF29-$AE29*(1+HA$3))/$AJ29,'Технический лист'!$A:$B,2,1),(GZ29-0.05)))</f>
        <v/>
      </c>
      <c r="HB29" s="172">
        <f>MIN(1,MAX(VLOOKUP(($AJ29-$AI29-$AH29-$AG29-$AF29-$AE29*(1+HB$3))/$AJ29,'Технический лист'!$A:$B,2,1),(HA29-0.05)))</f>
        <v/>
      </c>
      <c r="HC29" s="172">
        <f>MIN(1,MAX(VLOOKUP(($AJ29-$AI29-$AH29-$AG29-$AF29-$AE29*(1+HC$3))/$AJ29,'Технический лист'!$A:$B,2,1),(HB29-0.05)))</f>
        <v/>
      </c>
      <c r="HD29" s="172">
        <f>MIN(1,MAX(VLOOKUP(($AJ29-$AI29-$AH29-$AG29-$AF29-$AE29*(1+HD$3))/$AJ29,'Технический лист'!$A:$B,2,1),(HC29-0.05)))</f>
        <v/>
      </c>
      <c r="HE29" s="172">
        <f>MIN(1,MAX(VLOOKUP(($AJ29-$AI29-$AH29-$AG29-$AF29-$AE29*(1+HE$3))/$AJ29,'Технический лист'!$A:$B,2,1),(HD29-0.05)))</f>
        <v/>
      </c>
      <c r="HF29" s="172">
        <f>MIN(1,MAX(VLOOKUP(($AJ29-$AI29-$AH29-$AG29-$AF29-$AE29*(1+HF$3))/$AJ29,'Технический лист'!$A:$B,2,1),(HE29-0.05)))</f>
        <v/>
      </c>
      <c r="HG29" s="172">
        <f>MIN(1,MAX(VLOOKUP(($AJ29-$AI29-$AH29-$AG29-$AF29-$AE29*(1+HG$3))/$AJ29,'Технический лист'!$A:$B,2,1),(HF29-0.05)))</f>
        <v/>
      </c>
      <c r="HH29" s="172">
        <f>MIN(1,MAX(VLOOKUP(($AJ29-$AI29-$AH29-$AG29-$AF29-$AE29*(1+HH$3))/$AJ29,'Технический лист'!$A:$B,2,1),(HG29-0.05)))</f>
        <v/>
      </c>
      <c r="HI29" s="172">
        <f>MIN(1,MAX(VLOOKUP(($AJ29-$AI29-$AH29-$AG29-$AF29-$AE29*(1+HI$3))/$AJ29,'Технический лист'!$A:$B,2,1),(HH29-0.05)))</f>
        <v/>
      </c>
      <c r="HJ29" s="172">
        <f>MIN(1,MAX(VLOOKUP(($AJ29-$AI29-$AH29-$AG29-$AF29-$AE29*(1+HJ$3))/$AJ29,'Технический лист'!$A:$B,2,1),(HI29-0.05)))</f>
        <v/>
      </c>
      <c r="HK29" s="172">
        <f>MIN(1,MAX(VLOOKUP(($AJ29-$AI29-$AH29-$AG29-$AF29-$AE29*(1+HK$3))/$AJ29,'Технический лист'!$A:$B,2,1),(HJ29-0.05)))</f>
        <v/>
      </c>
      <c r="HL29" s="172">
        <f>MIN(1,MAX(VLOOKUP(($AJ29-$AI29-$AH29-$AG29-$AF29-$AE29*(1+HL$3))/$AJ29,'Технический лист'!$A:$B,2,1),(HK29-0.05)))</f>
        <v/>
      </c>
      <c r="HM29" s="172">
        <f>MIN(1,MAX(VLOOKUP(($AJ29-$AI29-$AH29-$AG29-$AF29-$AE29*(1+HM$3))/$AJ29,'Технический лист'!$A:$B,2,1),(HL29-0.05)))</f>
        <v/>
      </c>
      <c r="HN29" s="172">
        <f>MIN(1,MAX(VLOOKUP(($AJ29-$AI29-$AH29-$AG29-$AF29-$AE29*(1+HN$3))/$AJ29,'Технический лист'!$A:$B,2,1),(HM29-0.05)))</f>
        <v/>
      </c>
      <c r="HO29" s="172">
        <f>MIN(1,MAX(VLOOKUP(($AJ29-$AI29-$AH29-$AG29-$AF29-$AE29*(1+HO$3))/$AJ29,'Технический лист'!$A:$B,2,1),(HN29-0.05)))</f>
        <v/>
      </c>
      <c r="HP29" s="172">
        <f>MIN(1,MAX(VLOOKUP(($AJ29-$AI29-$AH29-$AG29-$AF29-$AE29*(1+HP$3))/$AJ29,'Технический лист'!$A:$B,2,1),(HO29-0.05)))</f>
        <v/>
      </c>
      <c r="HQ29" s="172">
        <f>MIN(1,MAX(VLOOKUP(($AJ29-$AI29-$AH29-$AG29-$AF29-$AE29*(1+HQ$3))/$AJ29,'Технический лист'!$A:$B,2,1),(HP29-0.05)))</f>
        <v/>
      </c>
      <c r="HR29" s="172">
        <f>MIN(1,MAX(VLOOKUP(($AJ29-$AI29-$AH29-$AG29-$AF29-$AE29*(1+HR$3))/$AJ29,'Технический лист'!$A:$B,2,1),(HQ29-0.05)))</f>
        <v/>
      </c>
      <c r="HS29" s="172">
        <f>MIN(1,MAX(VLOOKUP(($AJ29-$AI29-$AH29-$AG29-$AF29-$AE29*(1+HS$3))/$AJ29,'Технический лист'!$A:$B,2,1),(HR29-0.05)))</f>
        <v/>
      </c>
      <c r="HT29" s="172">
        <f>MIN(1,MAX(VLOOKUP(($AJ29-$AI29-$AH29-$AG29-$AF29-$AE29*(1+HT$3))/$AJ29,'Технический лист'!$A:$B,2,1),(HS29-0.05)))</f>
        <v/>
      </c>
      <c r="HU29" s="172">
        <f>MIN(1,MAX(VLOOKUP(($AJ29-$AI29-$AH29-$AG29-$AF29-$AE29*(1+HU$3))/$AJ29,'Технический лист'!$A:$B,2,1),(HT29-0.05)))</f>
        <v/>
      </c>
      <c r="HV29" s="172">
        <f>MIN(1,MAX(VLOOKUP(($AJ29-$AI29-$AH29-$AG29-$AF29-$AE29*(1+HV$3))/$AJ29,'Технический лист'!$A:$B,2,1),(HU29-0.05)))</f>
        <v/>
      </c>
      <c r="HW29" s="172">
        <f>MIN(1,MAX(VLOOKUP(($AJ29-$AI29-$AH29-$AG29-$AF29-$AE29*(1+HW$3))/$AJ29,'Технический лист'!$A:$B,2,1),(HV29-0.05)))</f>
        <v/>
      </c>
      <c r="HX29" s="172">
        <f>MIN(1,MAX(VLOOKUP(($AJ29-$AI29-$AH29-$AG29-$AF29-$AE29*(1+HX$3))/$AJ29,'Технический лист'!$A:$B,2,1),(HW29-0.05)))</f>
        <v/>
      </c>
      <c r="HY29" s="172">
        <f>MIN(1,MAX(VLOOKUP(($AJ29-$AI29-$AH29-$AG29-$AF29-$AE29*(1+HY$3))/$AJ29,'Технический лист'!$A:$B,2,1),(HX29-0.05)))</f>
        <v/>
      </c>
      <c r="HZ29" s="172">
        <f>MIN(1,MAX(VLOOKUP(($AJ29-$AI29-$AH29-$AG29-$AF29-$AE29*(1+HZ$3))/$AJ29,'Технический лист'!$A:$B,2,1),(HY29-0.05)))</f>
        <v/>
      </c>
      <c r="IA29" s="172">
        <f>MIN(1,MAX(VLOOKUP(($AJ29-$AI29-$AH29-$AG29-$AF29-$AE29*(1+IA$3))/$AJ29,'Технический лист'!$A:$B,2,1),(HZ29-0.05)))</f>
        <v/>
      </c>
      <c r="IB29" s="172">
        <f>MIN(1,MAX(VLOOKUP(($AJ29-$AI29-$AH29-$AG29-$AF29-$AE29*(1+IB$3))/$AJ29,'Технический лист'!$A:$B,2,1),(IA29-0.05)))</f>
        <v/>
      </c>
      <c r="IC29" s="172">
        <f>MIN(1,MAX(VLOOKUP(($AJ29-$AI29-$AH29-$AG29-$AF29-$AE29*(1+IC$3))/$AJ29,'Технический лист'!$A:$B,2,1),(IB29-0.05)))</f>
        <v/>
      </c>
      <c r="ID29" s="172">
        <f>MIN(1,MAX(VLOOKUP(($AJ29-$AI29-$AH29-$AG29-$AF29-$AE29*(1+ID$3))/$AJ29,'Технический лист'!$A:$B,2,1),(IC29-0.05)))</f>
        <v/>
      </c>
      <c r="IE29" s="172">
        <f>MIN(1,MAX(VLOOKUP(($AJ29-$AI29-$AH29-$AG29-$AF29-$AE29*(1+IE$3))/$AJ29,'Технический лист'!$A:$B,2,1),(ID29-0.05)))</f>
        <v/>
      </c>
      <c r="IF29" s="172">
        <f>MIN(1,MAX(VLOOKUP(($AJ29-$AI29-$AH29-$AG29-$AF29-$AE29*(1+IF$3))/$AJ29,'Технический лист'!$A:$B,2,1),(IE29-0.05)))</f>
        <v/>
      </c>
      <c r="IG29" s="172">
        <f>MIN(1,MAX(VLOOKUP(($AJ29-$AI29-$AH29-$AG29-$AF29-$AE29*(1+IG$3))/$AJ29,'Технический лист'!$A:$B,2,1),(IF29-0.05)))</f>
        <v/>
      </c>
      <c r="IH29" s="172">
        <f>MIN(1,MAX(VLOOKUP(($AJ29-$AI29-$AH29-$AG29-$AF29-$AE29*(1+IH$3))/$AJ29,'Технический лист'!$A:$B,2,1),(IG29-0.05)))</f>
        <v/>
      </c>
      <c r="II29" s="172">
        <f>MIN(1,MAX(VLOOKUP(($AJ29-$AI29-$AH29-$AG29-$AF29-$AE29*(1+II$3))/$AJ29,'Технический лист'!$A:$B,2,1),(IH29-0.05)))</f>
        <v/>
      </c>
      <c r="IJ29" s="172">
        <f>MIN(1,MAX(VLOOKUP(($AJ29-$AI29-$AH29-$AG29-$AF29-$AE29*(1+IJ$3))/$AJ29,'Технический лист'!$A:$B,2,1),(II29-0.05)))</f>
        <v/>
      </c>
      <c r="IK29" s="172">
        <f>MIN(1,MAX(VLOOKUP(($AJ29-$AI29-$AH29-$AG29-$AF29-$AE29*(1+IK$3))/$AJ29,'Технический лист'!$A:$B,2,1),(IJ29-0.05)))</f>
        <v/>
      </c>
      <c r="IL29" s="172">
        <f>MIN(1,MAX(VLOOKUP(($AJ29-$AI29-$AH29-$AG29-$AF29-$AE29*(1+IL$3))/$AJ29,'Технический лист'!$A:$B,2,1),(IK29-0.05)))</f>
        <v/>
      </c>
      <c r="IM29" s="172">
        <f>MIN(1,MAX(VLOOKUP(($AJ29-$AI29-$AH29-$AG29-$AF29-$AE29*(1+IM$3))/$AJ29,'Технический лист'!$A:$B,2,1),(IL29-0.05)))</f>
        <v/>
      </c>
      <c r="IN29" s="172">
        <f>MIN(1,MAX(VLOOKUP(($AJ29-$AI29-$AH29-$AG29-$AF29-$AE29*(1+IN$3))/$AJ29,'Технический лист'!$A:$B,2,1),(IM29-0.05)))</f>
        <v/>
      </c>
      <c r="IO29" s="172">
        <f>MIN(1,MAX(VLOOKUP(($AJ29-$AI29-$AH29-$AG29-$AF29-$AE29*(1+IO$3))/$AJ29,'Технический лист'!$A:$B,2,1),(IN29-0.05)))</f>
        <v/>
      </c>
      <c r="IP29" s="172">
        <f>MIN(1,MAX(VLOOKUP(($AJ29-$AI29-$AH29-$AG29-$AF29-$AE29*(1+IP$3))/$AJ29,'Технический лист'!$A:$B,2,1),(IO29-0.05)))</f>
        <v/>
      </c>
      <c r="IQ29" s="172">
        <f>MIN(1,MAX(VLOOKUP(($AJ29-$AI29-$AH29-$AG29-$AF29-$AE29*(1+IQ$3))/$AJ29,'Технический лист'!$A:$B,2,1),(IP29-0.05)))</f>
        <v/>
      </c>
      <c r="IR29" s="172">
        <f>MIN(1,MAX(VLOOKUP(($AJ29-$AI29-$AH29-$AG29-$AF29-$AE29*(1+IR$3))/$AJ29,'Технический лист'!$A:$B,2,1),(IQ29-0.05)))</f>
        <v/>
      </c>
    </row>
    <row r="30" ht="45" customHeight="1" s="123">
      <c r="A30" s="89" t="inlineStr">
        <is>
          <t>ЧМ (сырье)</t>
        </is>
      </c>
      <c r="B30" s="90" t="n">
        <v>2</v>
      </c>
      <c r="C30" s="5" t="inlineStr">
        <is>
          <t>Кокс каменноугольный</t>
        </is>
      </c>
      <c r="D30" s="91" t="n">
        <v>17103</v>
      </c>
      <c r="E30" s="91" t="inlineStr">
        <is>
          <t xml:space="preserve">Кокс доменный фракции свыше 25 мм </t>
        </is>
      </c>
      <c r="F30" s="92" t="inlineStr">
        <is>
          <t>КОКС КАМЕННОУГОЛЬНЫЙ</t>
        </is>
      </c>
      <c r="G30" s="91" t="inlineStr">
        <is>
          <t>ЗСБ</t>
        </is>
      </c>
      <c r="H30" s="91" t="inlineStr">
        <is>
          <t>ЮВС</t>
        </is>
      </c>
      <c r="I30" s="91" t="inlineStr">
        <is>
          <t>ЗАРИНСКАЯ</t>
        </is>
      </c>
      <c r="J30" s="91" t="inlineStr">
        <is>
          <t>НОВОЛИПЕЦК</t>
        </is>
      </c>
      <c r="K30" s="91" t="n">
        <v>3587</v>
      </c>
      <c r="L30" s="91" t="inlineStr">
        <is>
          <t>Полувагоны</t>
        </is>
      </c>
      <c r="M30" s="91" t="inlineStr">
        <is>
          <t>Внутр. перевозки</t>
        </is>
      </c>
      <c r="N30" s="91" t="inlineStr">
        <is>
          <t>вагонная</t>
        </is>
      </c>
      <c r="O30" s="91" t="inlineStr">
        <is>
          <t xml:space="preserve">Южное </t>
        </is>
      </c>
      <c r="P30" s="89" t="inlineStr">
        <is>
          <t>'000000188110</t>
        </is>
      </c>
      <c r="Q30" s="91" t="inlineStr">
        <is>
          <t>'ОАО "Алтай-Кокс"</t>
        </is>
      </c>
      <c r="R30" s="91" t="inlineStr">
        <is>
          <t>ПАО "НЛМК"</t>
        </is>
      </c>
      <c r="S30" s="87" t="n">
        <v>2721480</v>
      </c>
      <c r="T30" s="87" t="n">
        <v>9761242621</v>
      </c>
      <c r="U30" s="88" t="n">
        <v>51049</v>
      </c>
      <c r="V30" s="88" t="n">
        <v>0</v>
      </c>
      <c r="W30" s="87" t="n">
        <v>5603833739</v>
      </c>
      <c r="X30" s="112" t="n">
        <v>53</v>
      </c>
      <c r="Y30" s="112" t="inlineStr">
        <is>
          <t>маршрутная</t>
        </is>
      </c>
      <c r="Z30" s="113" t="n">
        <v>9</v>
      </c>
      <c r="AA30" s="113" t="n">
        <v>9</v>
      </c>
      <c r="AB30" s="113" t="n">
        <v>4</v>
      </c>
      <c r="AC30" s="161" t="n">
        <v>2308.21</v>
      </c>
      <c r="AD30" s="161">
        <f>AE30-AC30</f>
        <v/>
      </c>
      <c r="AE30" s="161" t="n">
        <v>3390</v>
      </c>
      <c r="AF30" s="162">
        <f>(Z30+AA30+AB30)*'Ставки аренды'!$B$3/X30</f>
        <v/>
      </c>
      <c r="AG30" s="163" t="n">
        <v>0</v>
      </c>
      <c r="AH30" s="164" t="n">
        <v>0</v>
      </c>
      <c r="AI30" s="165">
        <f>45627537/67277047*AVERAGE(AJ30,AJ31)</f>
        <v/>
      </c>
      <c r="AJ30" s="166">
        <f>Цены!$D$9</f>
        <v/>
      </c>
      <c r="AK30" s="164">
        <f>AJ30/Цены!$B$1</f>
        <v/>
      </c>
      <c r="AL30" s="164">
        <f>AE30+AF30+AG30</f>
        <v/>
      </c>
      <c r="AM30" s="164">
        <f>AJ30-AL30</f>
        <v/>
      </c>
      <c r="AN30" s="164">
        <f>AI30+AH30+AG30+AF30+AE30</f>
        <v/>
      </c>
      <c r="AO30" s="167">
        <f>(AJ30-AN30)/AJ30</f>
        <v/>
      </c>
      <c r="AP30" s="168">
        <f>AL30/AJ30</f>
        <v/>
      </c>
      <c r="AQ30" s="168">
        <f>AE30/AJ30</f>
        <v/>
      </c>
      <c r="AR30" s="168">
        <f>AE30/AL30</f>
        <v/>
      </c>
      <c r="AS30" s="169" t="n">
        <v>1</v>
      </c>
      <c r="AT30" s="121">
        <f>S30*AS30</f>
        <v/>
      </c>
      <c r="AU30" s="7" t="inlineStr">
        <is>
          <t>Внутренняя логистика</t>
        </is>
      </c>
      <c r="AV30" s="170">
        <f>(AJ30-(AE30*(1+$IS$2)+AF30+AG30+AH30+AI30))/AJ30</f>
        <v/>
      </c>
      <c r="AW30" s="171">
        <f>(AE30*(1+$IS$2)+AF30+AG30)/AJ30</f>
        <v/>
      </c>
      <c r="AX30" s="171">
        <f>(AE30*(1+$IS$2))/AJ30</f>
        <v/>
      </c>
      <c r="AY30" s="171">
        <f>(AE30*(1+$IS$2))/(AE30*(1+$IS$2)+AF30+AG30)</f>
        <v/>
      </c>
      <c r="AZ30" s="172" t="n">
        <v>1</v>
      </c>
      <c r="BA30" s="172" t="n">
        <v>1</v>
      </c>
      <c r="BB30" s="172" t="n">
        <v>1</v>
      </c>
      <c r="BC30" s="172" t="n">
        <v>1</v>
      </c>
      <c r="BD30" s="172" t="n">
        <v>1</v>
      </c>
      <c r="BE30" s="172" t="n">
        <v>1</v>
      </c>
      <c r="BF30" s="172" t="n">
        <v>1</v>
      </c>
      <c r="BG30" s="172" t="n">
        <v>1</v>
      </c>
      <c r="BH30" s="172" t="n">
        <v>1</v>
      </c>
      <c r="BI30" s="172" t="n">
        <v>1</v>
      </c>
      <c r="BJ30" s="172" t="n">
        <v>1</v>
      </c>
      <c r="BK30" s="172" t="n">
        <v>1</v>
      </c>
      <c r="BL30" s="172" t="n">
        <v>1</v>
      </c>
      <c r="BM30" s="172" t="n">
        <v>1</v>
      </c>
      <c r="BN30" s="172" t="n">
        <v>1</v>
      </c>
      <c r="BO30" s="172" t="n">
        <v>1</v>
      </c>
      <c r="BP30" s="172" t="n">
        <v>1</v>
      </c>
      <c r="BQ30" s="172" t="n">
        <v>1</v>
      </c>
      <c r="BR30" s="172" t="n">
        <v>1</v>
      </c>
      <c r="BS30" s="172" t="n">
        <v>1</v>
      </c>
      <c r="BT30" s="172" t="n">
        <v>1</v>
      </c>
      <c r="BU30" s="172" t="n">
        <v>1</v>
      </c>
      <c r="BV30" s="172" t="n">
        <v>1</v>
      </c>
      <c r="BW30" s="172" t="n">
        <v>1</v>
      </c>
      <c r="BX30" s="172" t="n">
        <v>1</v>
      </c>
      <c r="BY30" s="172" t="n">
        <v>1</v>
      </c>
      <c r="BZ30" s="172" t="n">
        <v>1</v>
      </c>
      <c r="CA30" s="172" t="n">
        <v>1</v>
      </c>
      <c r="CB30" s="172" t="n">
        <v>1</v>
      </c>
      <c r="CC30" s="172" t="n">
        <v>1</v>
      </c>
      <c r="CD30" s="172" t="n">
        <v>1</v>
      </c>
      <c r="CE30" s="172" t="n">
        <v>1</v>
      </c>
      <c r="CF30" s="172" t="n">
        <v>1</v>
      </c>
      <c r="CG30" s="172" t="n">
        <v>1</v>
      </c>
      <c r="CH30" s="172" t="n">
        <v>1</v>
      </c>
      <c r="CI30" s="172" t="n">
        <v>1</v>
      </c>
      <c r="CJ30" s="172" t="n">
        <v>1</v>
      </c>
      <c r="CK30" s="172" t="n">
        <v>1</v>
      </c>
      <c r="CL30" s="172" t="n">
        <v>1</v>
      </c>
      <c r="CM30" s="172" t="n">
        <v>1</v>
      </c>
      <c r="CN30" s="172" t="n">
        <v>1</v>
      </c>
      <c r="CO30" s="172" t="n">
        <v>1</v>
      </c>
      <c r="CP30" s="172" t="n">
        <v>1</v>
      </c>
      <c r="CQ30" s="172" t="n">
        <v>1</v>
      </c>
      <c r="CR30" s="172" t="n">
        <v>1</v>
      </c>
      <c r="CS30" s="172" t="n">
        <v>1</v>
      </c>
      <c r="CT30" s="172" t="n">
        <v>1</v>
      </c>
      <c r="CU30" s="172" t="n">
        <v>1</v>
      </c>
      <c r="CV30" s="172" t="n">
        <v>1</v>
      </c>
      <c r="CW30" s="172" t="n">
        <v>1</v>
      </c>
      <c r="CX30" s="172" t="n">
        <v>1</v>
      </c>
      <c r="CY30" s="172" t="n">
        <v>1</v>
      </c>
      <c r="CZ30" s="172" t="n">
        <v>1</v>
      </c>
      <c r="DA30" s="172" t="n">
        <v>1</v>
      </c>
      <c r="DB30" s="172" t="n">
        <v>1</v>
      </c>
      <c r="DC30" s="172" t="n">
        <v>1</v>
      </c>
      <c r="DD30" s="172" t="n">
        <v>1</v>
      </c>
      <c r="DE30" s="172" t="n">
        <v>1</v>
      </c>
      <c r="DF30" s="172" t="n">
        <v>1</v>
      </c>
      <c r="DG30" s="172" t="n">
        <v>1</v>
      </c>
      <c r="DH30" s="172" t="n">
        <v>1</v>
      </c>
      <c r="DI30" s="172" t="n">
        <v>1</v>
      </c>
      <c r="DJ30" s="172" t="n">
        <v>1</v>
      </c>
      <c r="DK30" s="172" t="n">
        <v>1</v>
      </c>
      <c r="DL30" s="172" t="n">
        <v>1</v>
      </c>
      <c r="DM30" s="172" t="n">
        <v>1</v>
      </c>
      <c r="DN30" s="172" t="n">
        <v>1</v>
      </c>
      <c r="DO30" s="172" t="n">
        <v>1</v>
      </c>
      <c r="DP30" s="172" t="n">
        <v>1</v>
      </c>
      <c r="DQ30" s="172" t="n">
        <v>1</v>
      </c>
      <c r="DR30" s="172" t="n">
        <v>1</v>
      </c>
      <c r="DS30" s="172" t="n">
        <v>1</v>
      </c>
      <c r="DT30" s="172" t="n">
        <v>1</v>
      </c>
      <c r="DU30" s="172" t="n">
        <v>1</v>
      </c>
      <c r="DV30" s="172" t="n">
        <v>1</v>
      </c>
      <c r="DW30" s="172" t="n">
        <v>1</v>
      </c>
      <c r="DX30" s="172" t="n">
        <v>1</v>
      </c>
      <c r="DY30" s="172" t="n">
        <v>1</v>
      </c>
      <c r="DZ30" s="172" t="n">
        <v>1</v>
      </c>
      <c r="EA30" s="172" t="n">
        <v>1</v>
      </c>
      <c r="EB30" s="172" t="n">
        <v>1</v>
      </c>
      <c r="EC30" s="172" t="n">
        <v>1</v>
      </c>
      <c r="ED30" s="172" t="n">
        <v>1</v>
      </c>
      <c r="EE30" s="172" t="n">
        <v>1</v>
      </c>
      <c r="EF30" s="172" t="n">
        <v>1</v>
      </c>
      <c r="EG30" s="172" t="n">
        <v>1</v>
      </c>
      <c r="EH30" s="172" t="n">
        <v>1</v>
      </c>
      <c r="EI30" s="172" t="n">
        <v>1</v>
      </c>
      <c r="EJ30" s="172" t="n">
        <v>1</v>
      </c>
      <c r="EK30" s="172" t="n">
        <v>1</v>
      </c>
      <c r="EL30" s="172" t="n">
        <v>1</v>
      </c>
      <c r="EM30" s="172" t="n">
        <v>1</v>
      </c>
      <c r="EN30" s="172" t="n">
        <v>1</v>
      </c>
      <c r="EO30" s="172" t="n">
        <v>1</v>
      </c>
      <c r="EP30" s="172" t="n">
        <v>1</v>
      </c>
      <c r="EQ30" s="172" t="n">
        <v>1</v>
      </c>
      <c r="ER30" s="172" t="n">
        <v>1</v>
      </c>
      <c r="ES30" s="172" t="n">
        <v>1</v>
      </c>
      <c r="ET30" s="172" t="n">
        <v>1</v>
      </c>
      <c r="EU30" s="172" t="n">
        <v>1</v>
      </c>
      <c r="EV30" s="173" t="n">
        <v>1</v>
      </c>
      <c r="EW30" s="172" t="n">
        <v>1</v>
      </c>
      <c r="EX30" s="172" t="n">
        <v>1</v>
      </c>
      <c r="EY30" s="172" t="n">
        <v>1</v>
      </c>
      <c r="EZ30" s="172" t="n">
        <v>1</v>
      </c>
      <c r="FA30" s="172" t="n">
        <v>1</v>
      </c>
      <c r="FB30" s="172" t="n">
        <v>1</v>
      </c>
      <c r="FC30" s="172" t="n">
        <v>1</v>
      </c>
      <c r="FD30" s="172" t="n">
        <v>1</v>
      </c>
      <c r="FE30" s="172" t="n">
        <v>1</v>
      </c>
      <c r="FF30" s="172" t="n">
        <v>1</v>
      </c>
      <c r="FG30" s="172" t="n">
        <v>1</v>
      </c>
      <c r="FH30" s="172" t="n">
        <v>1</v>
      </c>
      <c r="FI30" s="172" t="n">
        <v>1</v>
      </c>
      <c r="FJ30" s="172" t="n">
        <v>1</v>
      </c>
      <c r="FK30" s="172" t="n">
        <v>1</v>
      </c>
      <c r="FL30" s="172" t="n">
        <v>1</v>
      </c>
      <c r="FM30" s="172" t="n">
        <v>1</v>
      </c>
      <c r="FN30" s="172" t="n">
        <v>1</v>
      </c>
      <c r="FO30" s="172" t="n">
        <v>1</v>
      </c>
      <c r="FP30" s="172" t="n">
        <v>1</v>
      </c>
      <c r="FQ30" s="172" t="n">
        <v>1</v>
      </c>
      <c r="FR30" s="172" t="n">
        <v>1</v>
      </c>
      <c r="FS30" s="172" t="n">
        <v>1</v>
      </c>
      <c r="FT30" s="172" t="n">
        <v>1</v>
      </c>
      <c r="FU30" s="172" t="n">
        <v>1</v>
      </c>
      <c r="FV30" s="172" t="n">
        <v>1</v>
      </c>
      <c r="FW30" s="172" t="n">
        <v>1</v>
      </c>
      <c r="FX30" s="172" t="n">
        <v>1</v>
      </c>
      <c r="FY30" s="172" t="n">
        <v>1</v>
      </c>
      <c r="FZ30" s="172" t="n">
        <v>1</v>
      </c>
      <c r="GA30" s="172" t="n">
        <v>1</v>
      </c>
      <c r="GB30" s="172" t="n">
        <v>1</v>
      </c>
      <c r="GC30" s="172" t="n">
        <v>1</v>
      </c>
      <c r="GD30" s="172" t="n">
        <v>1</v>
      </c>
      <c r="GE30" s="172" t="n">
        <v>1</v>
      </c>
      <c r="GF30" s="172" t="n">
        <v>1</v>
      </c>
      <c r="GG30" s="172" t="n">
        <v>1</v>
      </c>
      <c r="GH30" s="172" t="n">
        <v>1</v>
      </c>
      <c r="GI30" s="172" t="n">
        <v>1</v>
      </c>
      <c r="GJ30" s="172" t="n">
        <v>1</v>
      </c>
      <c r="GK30" s="172" t="n">
        <v>1</v>
      </c>
      <c r="GL30" s="172" t="n">
        <v>1</v>
      </c>
      <c r="GM30" s="172" t="n">
        <v>1</v>
      </c>
      <c r="GN30" s="172" t="n">
        <v>1</v>
      </c>
      <c r="GO30" s="172" t="n">
        <v>1</v>
      </c>
      <c r="GP30" s="172" t="n">
        <v>1</v>
      </c>
      <c r="GQ30" s="172" t="n">
        <v>1</v>
      </c>
      <c r="GR30" s="172" t="n">
        <v>1</v>
      </c>
      <c r="GS30" s="172" t="n">
        <v>1</v>
      </c>
      <c r="GT30" s="172" t="n">
        <v>1</v>
      </c>
      <c r="GU30" s="172" t="n">
        <v>1</v>
      </c>
      <c r="GV30" s="172" t="n">
        <v>1</v>
      </c>
      <c r="GW30" s="172" t="n">
        <v>1</v>
      </c>
      <c r="GX30" s="172" t="n">
        <v>1</v>
      </c>
      <c r="GY30" s="172" t="n">
        <v>1</v>
      </c>
      <c r="GZ30" s="172" t="n">
        <v>1</v>
      </c>
      <c r="HA30" s="172" t="n">
        <v>1</v>
      </c>
      <c r="HB30" s="172" t="n">
        <v>1</v>
      </c>
      <c r="HC30" s="172" t="n">
        <v>1</v>
      </c>
      <c r="HD30" s="172" t="n">
        <v>1</v>
      </c>
      <c r="HE30" s="172" t="n">
        <v>1</v>
      </c>
      <c r="HF30" s="172" t="n">
        <v>1</v>
      </c>
      <c r="HG30" s="172" t="n">
        <v>1</v>
      </c>
      <c r="HH30" s="172" t="n">
        <v>1</v>
      </c>
      <c r="HI30" s="172" t="n">
        <v>1</v>
      </c>
      <c r="HJ30" s="172" t="n">
        <v>1</v>
      </c>
      <c r="HK30" s="172" t="n">
        <v>1</v>
      </c>
      <c r="HL30" s="172" t="n">
        <v>1</v>
      </c>
      <c r="HM30" s="172" t="n">
        <v>1</v>
      </c>
      <c r="HN30" s="172" t="n">
        <v>1</v>
      </c>
      <c r="HO30" s="172" t="n">
        <v>1</v>
      </c>
      <c r="HP30" s="172" t="n">
        <v>1</v>
      </c>
      <c r="HQ30" s="172" t="n">
        <v>1</v>
      </c>
      <c r="HR30" s="172" t="n">
        <v>1</v>
      </c>
      <c r="HS30" s="172" t="n">
        <v>1</v>
      </c>
      <c r="HT30" s="172" t="n">
        <v>1</v>
      </c>
      <c r="HU30" s="172" t="n">
        <v>1</v>
      </c>
      <c r="HV30" s="172" t="n">
        <v>1</v>
      </c>
      <c r="HW30" s="172" t="n">
        <v>1</v>
      </c>
      <c r="HX30" s="172" t="n">
        <v>1</v>
      </c>
      <c r="HY30" s="172" t="n">
        <v>1</v>
      </c>
      <c r="HZ30" s="172" t="n">
        <v>1</v>
      </c>
      <c r="IA30" s="172" t="n">
        <v>1</v>
      </c>
      <c r="IB30" s="172" t="n">
        <v>1</v>
      </c>
      <c r="IC30" s="172" t="n">
        <v>1</v>
      </c>
      <c r="ID30" s="172" t="n">
        <v>1</v>
      </c>
      <c r="IE30" s="172" t="n">
        <v>1</v>
      </c>
      <c r="IF30" s="172" t="n">
        <v>1</v>
      </c>
      <c r="IG30" s="172" t="n">
        <v>1</v>
      </c>
      <c r="IH30" s="172" t="n">
        <v>1</v>
      </c>
      <c r="II30" s="172" t="n">
        <v>1</v>
      </c>
      <c r="IJ30" s="172" t="n">
        <v>1</v>
      </c>
      <c r="IK30" s="172" t="n">
        <v>1</v>
      </c>
      <c r="IL30" s="172" t="n">
        <v>1</v>
      </c>
      <c r="IM30" s="172" t="n">
        <v>1</v>
      </c>
      <c r="IN30" s="172" t="n">
        <v>1</v>
      </c>
      <c r="IO30" s="172" t="n">
        <v>1</v>
      </c>
      <c r="IP30" s="172" t="n">
        <v>1</v>
      </c>
      <c r="IQ30" s="172" t="n">
        <v>1</v>
      </c>
      <c r="IR30" s="172" t="n">
        <v>1</v>
      </c>
    </row>
    <row r="31" ht="37.4" customHeight="1" s="123">
      <c r="A31" s="89" t="inlineStr">
        <is>
          <t>ЧМ (сырье)</t>
        </is>
      </c>
      <c r="B31" s="90" t="n">
        <v>2</v>
      </c>
      <c r="C31" s="5" t="inlineStr">
        <is>
          <t>Кокс каменноугольный</t>
        </is>
      </c>
      <c r="D31" s="91" t="n">
        <v>17111</v>
      </c>
      <c r="E31" s="91" t="inlineStr">
        <is>
          <t xml:space="preserve">Кокс электродный </t>
        </is>
      </c>
      <c r="F31" s="92" t="inlineStr">
        <is>
          <t>КОКС КАМЕННОУГОЛЬНЫЙ</t>
        </is>
      </c>
      <c r="G31" s="91" t="inlineStr">
        <is>
          <t>ЗСБ</t>
        </is>
      </c>
      <c r="H31" s="91" t="inlineStr">
        <is>
          <t>СКВ</t>
        </is>
      </c>
      <c r="I31" s="91" t="inlineStr">
        <is>
          <t>ЗАРИНСКАЯ</t>
        </is>
      </c>
      <c r="J31" s="91" t="inlineStr">
        <is>
          <t>САМУР-ЭКСП</t>
        </is>
      </c>
      <c r="K31" s="91" t="n">
        <v>4406</v>
      </c>
      <c r="L31" s="91" t="inlineStr">
        <is>
          <t>Полувагоны</t>
        </is>
      </c>
      <c r="M31" s="91" t="inlineStr">
        <is>
          <t>Экспорт</t>
        </is>
      </c>
      <c r="N31" s="91" t="inlineStr">
        <is>
          <t>вагонная</t>
        </is>
      </c>
      <c r="O31" s="91" t="inlineStr">
        <is>
          <t xml:space="preserve">Южное </t>
        </is>
      </c>
      <c r="P31" s="89" t="inlineStr">
        <is>
          <t>'000000188110</t>
        </is>
      </c>
      <c r="Q31" s="91" t="inlineStr">
        <is>
          <t>'ОАО "Алтай-Кокс"</t>
        </is>
      </c>
      <c r="R31" s="91" t="inlineStr">
        <is>
          <t>ПАО "НЛМК"</t>
        </is>
      </c>
      <c r="S31" s="87" t="n">
        <v>61722</v>
      </c>
      <c r="T31" s="87" t="n">
        <v>271943600</v>
      </c>
      <c r="U31" s="88" t="n">
        <v>1133</v>
      </c>
      <c r="V31" s="88" t="n">
        <v>0</v>
      </c>
      <c r="W31" s="87" t="n">
        <v>162562764</v>
      </c>
      <c r="X31" s="112" t="n">
        <v>54</v>
      </c>
      <c r="Y31" s="112" t="inlineStr">
        <is>
          <t>групповая</t>
        </is>
      </c>
      <c r="Z31" s="113" t="n">
        <v>14</v>
      </c>
      <c r="AA31" s="113" t="n">
        <v>11</v>
      </c>
      <c r="AB31" s="113" t="n">
        <v>4</v>
      </c>
      <c r="AC31" s="161" t="n">
        <v>2932.15</v>
      </c>
      <c r="AD31" s="161">
        <f>AE31-AC31</f>
        <v/>
      </c>
      <c r="AE31" s="161" t="n">
        <v>3935.11</v>
      </c>
      <c r="AF31" s="162">
        <f>(Z31+AA31+AB31)*'Ставки аренды'!$B$3/X31</f>
        <v/>
      </c>
      <c r="AG31" s="163" t="n">
        <v>0</v>
      </c>
      <c r="AH31" s="164" t="n">
        <v>0</v>
      </c>
      <c r="AI31" s="165">
        <f>45627537/67277047*AVERAGE(AJ30,AJ31)</f>
        <v/>
      </c>
      <c r="AJ31" s="166">
        <f>Цены!$C$8*'Курсы валют'!$B$2</f>
        <v/>
      </c>
      <c r="AK31" s="164">
        <f>AJ31/Цены!$B$1</f>
        <v/>
      </c>
      <c r="AL31" s="164">
        <f>AE31+AF31+AG31</f>
        <v/>
      </c>
      <c r="AM31" s="164">
        <f>AJ31-AL31</f>
        <v/>
      </c>
      <c r="AN31" s="164">
        <f>AI31+AH31+AG31+AF31+AE31</f>
        <v/>
      </c>
      <c r="AO31" s="167">
        <f>(AJ31-AN31)/AJ31</f>
        <v/>
      </c>
      <c r="AP31" s="168">
        <f>AL31/AJ31</f>
        <v/>
      </c>
      <c r="AQ31" s="168">
        <f>AE31/AJ31</f>
        <v/>
      </c>
      <c r="AR31" s="168">
        <f>AE31/AL31</f>
        <v/>
      </c>
      <c r="AS31" s="169" t="n">
        <v>1</v>
      </c>
      <c r="AT31" s="121">
        <f>S31*AS31</f>
        <v/>
      </c>
      <c r="AU31" s="83" t="n">
        <v>0.9</v>
      </c>
      <c r="AV31" s="170">
        <f>(AJ31-(AE31*(1+$IS$2)+AF31+AG31+AH31+AI31))/AJ31</f>
        <v/>
      </c>
      <c r="AW31" s="171">
        <f>(AE31*(1+$IS$2)+AF31+AG31)/AJ31</f>
        <v/>
      </c>
      <c r="AX31" s="171">
        <f>(AE31*(1+$IS$2))/AJ31</f>
        <v/>
      </c>
      <c r="AY31" s="171">
        <f>(AE31*(1+$IS$2))/(AE31*(1+$IS$2)+AF31+AG31)</f>
        <v/>
      </c>
      <c r="AZ31" s="172">
        <f>MIN(IF($AU31=100%,1,1+VLOOKUP(($AJ31-$AI31-$AH31-$AG31-$AF31-$AE31*(1+AZ$3))/$AJ31,'Технический лист'!$A:$B,2,1)-VLOOKUP($AO31,'Технический лист'!$A:$B,2,1)),1+(1-$AU31))</f>
        <v/>
      </c>
      <c r="BA31" s="172">
        <f>MIN(IF($AU31=100%,1,1+VLOOKUP(($AJ31-$AI31-$AH31-$AG31-$AF31-$AE31*(1+BA$3))/$AJ31,'Технический лист'!$A:$B,2,1)-VLOOKUP($AO31,'Технический лист'!$A:$B,2,1)),1+(1-$AU31))</f>
        <v/>
      </c>
      <c r="BB31" s="172">
        <f>MIN(IF($AU31=100%,1,1+VLOOKUP(($AJ31-$AI31-$AH31-$AG31-$AF31-$AE31*(1+BB$3))/$AJ31,'Технический лист'!$A:$B,2,1)-VLOOKUP($AO31,'Технический лист'!$A:$B,2,1)),1+(1-$AU31))</f>
        <v/>
      </c>
      <c r="BC31" s="172">
        <f>MIN(IF($AU31=100%,1,1+VLOOKUP(($AJ31-$AI31-$AH31-$AG31-$AF31-$AE31*(1+BC$3))/$AJ31,'Технический лист'!$A:$B,2,1)-VLOOKUP($AO31,'Технический лист'!$A:$B,2,1)),1+(1-$AU31))</f>
        <v/>
      </c>
      <c r="BD31" s="172">
        <f>MIN(IF($AU31=100%,1,1+VLOOKUP(($AJ31-$AI31-$AH31-$AG31-$AF31-$AE31*(1+BD$3))/$AJ31,'Технический лист'!$A:$B,2,1)-VLOOKUP($AO31,'Технический лист'!$A:$B,2,1)),1+(1-$AU31))</f>
        <v/>
      </c>
      <c r="BE31" s="172">
        <f>MIN(IF($AU31=100%,1,1+VLOOKUP(($AJ31-$AI31-$AH31-$AG31-$AF31-$AE31*(1+BE$3))/$AJ31,'Технический лист'!$A:$B,2,1)-VLOOKUP($AO31,'Технический лист'!$A:$B,2,1)),1+(1-$AU31))</f>
        <v/>
      </c>
      <c r="BF31" s="172">
        <f>MIN(IF($AU31=100%,1,1+VLOOKUP(($AJ31-$AI31-$AH31-$AG31-$AF31-$AE31*(1+BF$3))/$AJ31,'Технический лист'!$A:$B,2,1)-VLOOKUP($AO31,'Технический лист'!$A:$B,2,1)),1+(1-$AU31))</f>
        <v/>
      </c>
      <c r="BG31" s="172">
        <f>MIN(IF($AU31=100%,1,1+VLOOKUP(($AJ31-$AI31-$AH31-$AG31-$AF31-$AE31*(1+BG$3))/$AJ31,'Технический лист'!$A:$B,2,1)-VLOOKUP($AO31,'Технический лист'!$A:$B,2,1)),1+(1-$AU31))</f>
        <v/>
      </c>
      <c r="BH31" s="172">
        <f>MIN(IF($AU31=100%,1,1+VLOOKUP(($AJ31-$AI31-$AH31-$AG31-$AF31-$AE31*(1+BH$3))/$AJ31,'Технический лист'!$A:$B,2,1)-VLOOKUP($AO31,'Технический лист'!$A:$B,2,1)),1+(1-$AU31))</f>
        <v/>
      </c>
      <c r="BI31" s="172">
        <f>MIN(IF($AU31=100%,1,1+VLOOKUP(($AJ31-$AI31-$AH31-$AG31-$AF31-$AE31*(1+BI$3))/$AJ31,'Технический лист'!$A:$B,2,1)-VLOOKUP($AO31,'Технический лист'!$A:$B,2,1)),1+(1-$AU31))</f>
        <v/>
      </c>
      <c r="BJ31" s="172">
        <f>MIN(IF($AU31=100%,1,1+VLOOKUP(($AJ31-$AI31-$AH31-$AG31-$AF31-$AE31*(1+BJ$3))/$AJ31,'Технический лист'!$A:$B,2,1)-VLOOKUP($AO31,'Технический лист'!$A:$B,2,1)),1+(1-$AU31))</f>
        <v/>
      </c>
      <c r="BK31" s="172">
        <f>MIN(IF($AU31=100%,1,1+VLOOKUP(($AJ31-$AI31-$AH31-$AG31-$AF31-$AE31*(1+BK$3))/$AJ31,'Технический лист'!$A:$B,2,1)-VLOOKUP($AO31,'Технический лист'!$A:$B,2,1)),1+(1-$AU31))</f>
        <v/>
      </c>
      <c r="BL31" s="172">
        <f>MIN(IF($AU31=100%,1,1+VLOOKUP(($AJ31-$AI31-$AH31-$AG31-$AF31-$AE31*(1+BL$3))/$AJ31,'Технический лист'!$A:$B,2,1)-VLOOKUP($AO31,'Технический лист'!$A:$B,2,1)),1+(1-$AU31))</f>
        <v/>
      </c>
      <c r="BM31" s="172">
        <f>MIN(IF($AU31=100%,1,1+VLOOKUP(($AJ31-$AI31-$AH31-$AG31-$AF31-$AE31*(1+BM$3))/$AJ31,'Технический лист'!$A:$B,2,1)-VLOOKUP($AO31,'Технический лист'!$A:$B,2,1)),1+(1-$AU31))</f>
        <v/>
      </c>
      <c r="BN31" s="172">
        <f>MIN(IF($AU31=100%,1,1+VLOOKUP(($AJ31-$AI31-$AH31-$AG31-$AF31-$AE31*(1+BN$3))/$AJ31,'Технический лист'!$A:$B,2,1)-VLOOKUP($AO31,'Технический лист'!$A:$B,2,1)),1+(1-$AU31))</f>
        <v/>
      </c>
      <c r="BO31" s="172">
        <f>MIN(IF($AU31=100%,1,1+VLOOKUP(($AJ31-$AI31-$AH31-$AG31-$AF31-$AE31*(1+BO$3))/$AJ31,'Технический лист'!$A:$B,2,1)-VLOOKUP($AO31,'Технический лист'!$A:$B,2,1)),1+(1-$AU31))</f>
        <v/>
      </c>
      <c r="BP31" s="172">
        <f>MIN(IF($AU31=100%,1,1+VLOOKUP(($AJ31-$AI31-$AH31-$AG31-$AF31-$AE31*(1+BP$3))/$AJ31,'Технический лист'!$A:$B,2,1)-VLOOKUP($AO31,'Технический лист'!$A:$B,2,1)),1+(1-$AU31))</f>
        <v/>
      </c>
      <c r="BQ31" s="172">
        <f>MIN(IF($AU31=100%,1,1+VLOOKUP(($AJ31-$AI31-$AH31-$AG31-$AF31-$AE31*(1+BQ$3))/$AJ31,'Технический лист'!$A:$B,2,1)-VLOOKUP($AO31,'Технический лист'!$A:$B,2,1)),1+(1-$AU31))</f>
        <v/>
      </c>
      <c r="BR31" s="172">
        <f>MIN(IF($AU31=100%,1,1+VLOOKUP(($AJ31-$AI31-$AH31-$AG31-$AF31-$AE31*(1+BR$3))/$AJ31,'Технический лист'!$A:$B,2,1)-VLOOKUP($AO31,'Технический лист'!$A:$B,2,1)),1+(1-$AU31))</f>
        <v/>
      </c>
      <c r="BS31" s="172">
        <f>MIN(IF($AU31=100%,1,1+VLOOKUP(($AJ31-$AI31-$AH31-$AG31-$AF31-$AE31*(1+BS$3))/$AJ31,'Технический лист'!$A:$B,2,1)-VLOOKUP($AO31,'Технический лист'!$A:$B,2,1)),1+(1-$AU31))</f>
        <v/>
      </c>
      <c r="BT31" s="172">
        <f>MIN(IF($AU31=100%,1,1+VLOOKUP(($AJ31-$AI31-$AH31-$AG31-$AF31-$AE31*(1+BT$3))/$AJ31,'Технический лист'!$A:$B,2,1)-VLOOKUP($AO31,'Технический лист'!$A:$B,2,1)),1+(1-$AU31))</f>
        <v/>
      </c>
      <c r="BU31" s="172">
        <f>MIN(IF($AU31=100%,1,1+VLOOKUP(($AJ31-$AI31-$AH31-$AG31-$AF31-$AE31*(1+BU$3))/$AJ31,'Технический лист'!$A:$B,2,1)-VLOOKUP($AO31,'Технический лист'!$A:$B,2,1)),1+(1-$AU31))</f>
        <v/>
      </c>
      <c r="BV31" s="172">
        <f>MIN(IF($AU31=100%,1,1+VLOOKUP(($AJ31-$AI31-$AH31-$AG31-$AF31-$AE31*(1+BV$3))/$AJ31,'Технический лист'!$A:$B,2,1)-VLOOKUP($AO31,'Технический лист'!$A:$B,2,1)),1+(1-$AU31))</f>
        <v/>
      </c>
      <c r="BW31" s="172">
        <f>MIN(IF($AU31=100%,1,1+VLOOKUP(($AJ31-$AI31-$AH31-$AG31-$AF31-$AE31*(1+BW$3))/$AJ31,'Технический лист'!$A:$B,2,1)-VLOOKUP($AO31,'Технический лист'!$A:$B,2,1)),1+(1-$AU31))</f>
        <v/>
      </c>
      <c r="BX31" s="172">
        <f>MIN(IF($AU31=100%,1,1+VLOOKUP(($AJ31-$AI31-$AH31-$AG31-$AF31-$AE31*(1+BX$3))/$AJ31,'Технический лист'!$A:$B,2,1)-VLOOKUP($AO31,'Технический лист'!$A:$B,2,1)),1+(1-$AU31))</f>
        <v/>
      </c>
      <c r="BY31" s="172">
        <f>MIN(IF($AU31=100%,1,1+VLOOKUP(($AJ31-$AI31-$AH31-$AG31-$AF31-$AE31*(1+BY$3))/$AJ31,'Технический лист'!$A:$B,2,1)-VLOOKUP($AO31,'Технический лист'!$A:$B,2,1)),1+(1-$AU31))</f>
        <v/>
      </c>
      <c r="BZ31" s="172">
        <f>MIN(IF($AU31=100%,1,1+VLOOKUP(($AJ31-$AI31-$AH31-$AG31-$AF31-$AE31*(1+BZ$3))/$AJ31,'Технический лист'!$A:$B,2,1)-VLOOKUP($AO31,'Технический лист'!$A:$B,2,1)),1+(1-$AU31))</f>
        <v/>
      </c>
      <c r="CA31" s="172">
        <f>MIN(IF($AU31=100%,1,1+VLOOKUP(($AJ31-$AI31-$AH31-$AG31-$AF31-$AE31*(1+CA$3))/$AJ31,'Технический лист'!$A:$B,2,1)-VLOOKUP($AO31,'Технический лист'!$A:$B,2,1)),1+(1-$AU31))</f>
        <v/>
      </c>
      <c r="CB31" s="172">
        <f>MIN(IF($AU31=100%,1,1+VLOOKUP(($AJ31-$AI31-$AH31-$AG31-$AF31-$AE31*(1+CB$3))/$AJ31,'Технический лист'!$A:$B,2,1)-VLOOKUP($AO31,'Технический лист'!$A:$B,2,1)),1+(1-$AU31))</f>
        <v/>
      </c>
      <c r="CC31" s="172">
        <f>MIN(IF($AU31=100%,1,1+VLOOKUP(($AJ31-$AI31-$AH31-$AG31-$AF31-$AE31*(1+CC$3))/$AJ31,'Технический лист'!$A:$B,2,1)-VLOOKUP($AO31,'Технический лист'!$A:$B,2,1)),1+(1-$AU31))</f>
        <v/>
      </c>
      <c r="CD31" s="172">
        <f>MIN(IF($AU31=100%,1,1+VLOOKUP(($AJ31-$AI31-$AH31-$AG31-$AF31-$AE31*(1+CD$3))/$AJ31,'Технический лист'!$A:$B,2,1)-VLOOKUP($AO31,'Технический лист'!$A:$B,2,1)),1+(1-$AU31))</f>
        <v/>
      </c>
      <c r="CE31" s="172">
        <f>MIN(IF($AU31=100%,1,1+VLOOKUP(($AJ31-$AI31-$AH31-$AG31-$AF31-$AE31*(1+CE$3))/$AJ31,'Технический лист'!$A:$B,2,1)-VLOOKUP($AO31,'Технический лист'!$A:$B,2,1)),1+(1-$AU31))</f>
        <v/>
      </c>
      <c r="CF31" s="172">
        <f>MIN(IF($AU31=100%,1,1+VLOOKUP(($AJ31-$AI31-$AH31-$AG31-$AF31-$AE31*(1+CF$3))/$AJ31,'Технический лист'!$A:$B,2,1)-VLOOKUP($AO31,'Технический лист'!$A:$B,2,1)),1+(1-$AU31))</f>
        <v/>
      </c>
      <c r="CG31" s="172">
        <f>MIN(IF($AU31=100%,1,1+VLOOKUP(($AJ31-$AI31-$AH31-$AG31-$AF31-$AE31*(1+CG$3))/$AJ31,'Технический лист'!$A:$B,2,1)-VLOOKUP($AO31,'Технический лист'!$A:$B,2,1)),1+(1-$AU31))</f>
        <v/>
      </c>
      <c r="CH31" s="172">
        <f>MIN(IF($AU31=100%,1,1+VLOOKUP(($AJ31-$AI31-$AH31-$AG31-$AF31-$AE31*(1+CH$3))/$AJ31,'Технический лист'!$A:$B,2,1)-VLOOKUP($AO31,'Технический лист'!$A:$B,2,1)),1+(1-$AU31))</f>
        <v/>
      </c>
      <c r="CI31" s="172">
        <f>MIN(IF($AU31=100%,1,1+VLOOKUP(($AJ31-$AI31-$AH31-$AG31-$AF31-$AE31*(1+CI$3))/$AJ31,'Технический лист'!$A:$B,2,1)-VLOOKUP($AO31,'Технический лист'!$A:$B,2,1)),1+(1-$AU31))</f>
        <v/>
      </c>
      <c r="CJ31" s="172">
        <f>MIN(IF($AU31=100%,1,1+VLOOKUP(($AJ31-$AI31-$AH31-$AG31-$AF31-$AE31*(1+CJ$3))/$AJ31,'Технический лист'!$A:$B,2,1)-VLOOKUP($AO31,'Технический лист'!$A:$B,2,1)),1+(1-$AU31))</f>
        <v/>
      </c>
      <c r="CK31" s="172">
        <f>MIN(IF($AU31=100%,1,1+VLOOKUP(($AJ31-$AI31-$AH31-$AG31-$AF31-$AE31*(1+CK$3))/$AJ31,'Технический лист'!$A:$B,2,1)-VLOOKUP($AO31,'Технический лист'!$A:$B,2,1)),1+(1-$AU31))</f>
        <v/>
      </c>
      <c r="CL31" s="172">
        <f>MIN(IF($AU31=100%,1,1+VLOOKUP(($AJ31-$AI31-$AH31-$AG31-$AF31-$AE31*(1+CL$3))/$AJ31,'Технический лист'!$A:$B,2,1)-VLOOKUP($AO31,'Технический лист'!$A:$B,2,1)),1+(1-$AU31))</f>
        <v/>
      </c>
      <c r="CM31" s="172">
        <f>MIN(IF($AU31=100%,1,1+VLOOKUP(($AJ31-$AI31-$AH31-$AG31-$AF31-$AE31*(1+CM$3))/$AJ31,'Технический лист'!$A:$B,2,1)-VLOOKUP($AO31,'Технический лист'!$A:$B,2,1)),1+(1-$AU31))</f>
        <v/>
      </c>
      <c r="CN31" s="172">
        <f>MIN(IF($AU31=100%,1,1+VLOOKUP(($AJ31-$AI31-$AH31-$AG31-$AF31-$AE31*(1+CN$3))/$AJ31,'Технический лист'!$A:$B,2,1)-VLOOKUP($AO31,'Технический лист'!$A:$B,2,1)),1+(1-$AU31))</f>
        <v/>
      </c>
      <c r="CO31" s="172">
        <f>MIN(IF($AU31=100%,1,1+VLOOKUP(($AJ31-$AI31-$AH31-$AG31-$AF31-$AE31*(1+CO$3))/$AJ31,'Технический лист'!$A:$B,2,1)-VLOOKUP($AO31,'Технический лист'!$A:$B,2,1)),1+(1-$AU31))</f>
        <v/>
      </c>
      <c r="CP31" s="172">
        <f>MIN(IF($AU31=100%,1,1+VLOOKUP(($AJ31-$AI31-$AH31-$AG31-$AF31-$AE31*(1+CP$3))/$AJ31,'Технический лист'!$A:$B,2,1)-VLOOKUP($AO31,'Технический лист'!$A:$B,2,1)),1+(1-$AU31))</f>
        <v/>
      </c>
      <c r="CQ31" s="172">
        <f>MIN(IF($AU31=100%,1,1+VLOOKUP(($AJ31-$AI31-$AH31-$AG31-$AF31-$AE31*(1+CQ$3))/$AJ31,'Технический лист'!$A:$B,2,1)-VLOOKUP($AO31,'Технический лист'!$A:$B,2,1)),1+(1-$AU31))</f>
        <v/>
      </c>
      <c r="CR31" s="172">
        <f>MIN(IF($AU31=100%,1,1+VLOOKUP(($AJ31-$AI31-$AH31-$AG31-$AF31-$AE31*(1+CR$3))/$AJ31,'Технический лист'!$A:$B,2,1)-VLOOKUP($AO31,'Технический лист'!$A:$B,2,1)),1+(1-$AU31))</f>
        <v/>
      </c>
      <c r="CS31" s="172">
        <f>MIN(IF($AU31=100%,1,1+VLOOKUP(($AJ31-$AI31-$AH31-$AG31-$AF31-$AE31*(1+CS$3))/$AJ31,'Технический лист'!$A:$B,2,1)-VLOOKUP($AO31,'Технический лист'!$A:$B,2,1)),1+(1-$AU31))</f>
        <v/>
      </c>
      <c r="CT31" s="172">
        <f>MIN(IF($AU31=100%,1,1+VLOOKUP(($AJ31-$AI31-$AH31-$AG31-$AF31-$AE31*(1+CT$3))/$AJ31,'Технический лист'!$A:$B,2,1)-VLOOKUP($AO31,'Технический лист'!$A:$B,2,1)),1+(1-$AU31))</f>
        <v/>
      </c>
      <c r="CU31" s="172">
        <f>MIN(IF($AU31=100%,1,1+VLOOKUP(($AJ31-$AI31-$AH31-$AG31-$AF31-$AE31*(1+CU$3))/$AJ31,'Технический лист'!$A:$B,2,1)-VLOOKUP($AO31,'Технический лист'!$A:$B,2,1)),1+(1-$AU31))</f>
        <v/>
      </c>
      <c r="CV31" s="172">
        <f>MIN(IF($AU31=100%,1,1+VLOOKUP(($AJ31-$AI31-$AH31-$AG31-$AF31-$AE31*(1+CV$3))/$AJ31,'Технический лист'!$A:$B,2,1)-VLOOKUP($AO31,'Технический лист'!$A:$B,2,1)),1+(1-$AU31))</f>
        <v/>
      </c>
      <c r="CW31" s="172">
        <f>MIN(IF($AU31=100%,1,1+VLOOKUP(($AJ31-$AI31-$AH31-$AG31-$AF31-$AE31*(1+CW$3))/$AJ31,'Технический лист'!$A:$B,2,1)-VLOOKUP($AO31,'Технический лист'!$A:$B,2,1)),1+(1-$AU31))</f>
        <v/>
      </c>
      <c r="CX31" s="172">
        <f>MIN(IF($AU31=100%,1,1+VLOOKUP(($AJ31-$AI31-$AH31-$AG31-$AF31-$AE31*(1+CX$3))/$AJ31,'Технический лист'!$A:$B,2,1)-VLOOKUP($AO31,'Технический лист'!$A:$B,2,1)),1+(1-$AU31))</f>
        <v/>
      </c>
      <c r="CY31" s="172">
        <f>MIN(IF($AU31=100%,1,1+VLOOKUP(($AJ31-$AI31-$AH31-$AG31-$AF31-$AE31*(1+CY$3))/$AJ31,'Технический лист'!$A:$B,2,1)-VLOOKUP($AO31,'Технический лист'!$A:$B,2,1)),1+(1-$AU31))</f>
        <v/>
      </c>
      <c r="CZ31" s="172">
        <f>MIN(IF($AU31=100%,1,1+VLOOKUP(($AJ31-$AI31-$AH31-$AG31-$AF31-$AE31*(1+CZ$3))/$AJ31,'Технический лист'!$A:$B,2,1)-VLOOKUP($AO31,'Технический лист'!$A:$B,2,1)),1+(1-$AU31))</f>
        <v/>
      </c>
      <c r="DA31" s="172">
        <f>MIN(IF($AU31=100%,1,1+VLOOKUP(($AJ31-$AI31-$AH31-$AG31-$AF31-$AE31*(1+DA$3))/$AJ31,'Технический лист'!$A:$B,2,1)-VLOOKUP($AO31,'Технический лист'!$A:$B,2,1)),1+(1-$AU31))</f>
        <v/>
      </c>
      <c r="DB31" s="172">
        <f>MIN(IF($AU31=100%,1,1+VLOOKUP(($AJ31-$AI31-$AH31-$AG31-$AF31-$AE31*(1+DB$3))/$AJ31,'Технический лист'!$A:$B,2,1)-VLOOKUP($AO31,'Технический лист'!$A:$B,2,1)),1+(1-$AU31))</f>
        <v/>
      </c>
      <c r="DC31" s="172">
        <f>MIN(IF($AU31=100%,1,1+VLOOKUP(($AJ31-$AI31-$AH31-$AG31-$AF31-$AE31*(1+DC$3))/$AJ31,'Технический лист'!$A:$B,2,1)-VLOOKUP($AO31,'Технический лист'!$A:$B,2,1)),1+(1-$AU31))</f>
        <v/>
      </c>
      <c r="DD31" s="172">
        <f>MIN(IF($AU31=100%,1,1+VLOOKUP(($AJ31-$AI31-$AH31-$AG31-$AF31-$AE31*(1+DD$3))/$AJ31,'Технический лист'!$A:$B,2,1)-VLOOKUP($AO31,'Технический лист'!$A:$B,2,1)),1+(1-$AU31))</f>
        <v/>
      </c>
      <c r="DE31" s="172">
        <f>MIN(IF($AU31=100%,1,1+VLOOKUP(($AJ31-$AI31-$AH31-$AG31-$AF31-$AE31*(1+DE$3))/$AJ31,'Технический лист'!$A:$B,2,1)-VLOOKUP($AO31,'Технический лист'!$A:$B,2,1)),1+(1-$AU31))</f>
        <v/>
      </c>
      <c r="DF31" s="172">
        <f>MIN(IF($AU31=100%,1,1+VLOOKUP(($AJ31-$AI31-$AH31-$AG31-$AF31-$AE31*(1+DF$3))/$AJ31,'Технический лист'!$A:$B,2,1)-VLOOKUP($AO31,'Технический лист'!$A:$B,2,1)),1+(1-$AU31))</f>
        <v/>
      </c>
      <c r="DG31" s="172">
        <f>MIN(IF($AU31=100%,1,1+VLOOKUP(($AJ31-$AI31-$AH31-$AG31-$AF31-$AE31*(1+DG$3))/$AJ31,'Технический лист'!$A:$B,2,1)-VLOOKUP($AO31,'Технический лист'!$A:$B,2,1)),1+(1-$AU31))</f>
        <v/>
      </c>
      <c r="DH31" s="172">
        <f>MIN(IF($AU31=100%,1,1+VLOOKUP(($AJ31-$AI31-$AH31-$AG31-$AF31-$AE31*(1+DH$3))/$AJ31,'Технический лист'!$A:$B,2,1)-VLOOKUP($AO31,'Технический лист'!$A:$B,2,1)),1+(1-$AU31))</f>
        <v/>
      </c>
      <c r="DI31" s="172">
        <f>MIN(IF($AU31=100%,1,1+VLOOKUP(($AJ31-$AI31-$AH31-$AG31-$AF31-$AE31*(1+DI$3))/$AJ31,'Технический лист'!$A:$B,2,1)-VLOOKUP($AO31,'Технический лист'!$A:$B,2,1)),1+(1-$AU31))</f>
        <v/>
      </c>
      <c r="DJ31" s="172">
        <f>MIN(IF($AU31=100%,1,1+VLOOKUP(($AJ31-$AI31-$AH31-$AG31-$AF31-$AE31*(1+DJ$3))/$AJ31,'Технический лист'!$A:$B,2,1)-VLOOKUP($AO31,'Технический лист'!$A:$B,2,1)),1+(1-$AU31))</f>
        <v/>
      </c>
      <c r="DK31" s="172">
        <f>MIN(IF($AU31=100%,1,1+VLOOKUP(($AJ31-$AI31-$AH31-$AG31-$AF31-$AE31*(1+DK$3))/$AJ31,'Технический лист'!$A:$B,2,1)-VLOOKUP($AO31,'Технический лист'!$A:$B,2,1)),1+(1-$AU31))</f>
        <v/>
      </c>
      <c r="DL31" s="172">
        <f>MIN(IF($AU31=100%,1,1+VLOOKUP(($AJ31-$AI31-$AH31-$AG31-$AF31-$AE31*(1+DL$3))/$AJ31,'Технический лист'!$A:$B,2,1)-VLOOKUP($AO31,'Технический лист'!$A:$B,2,1)),1+(1-$AU31))</f>
        <v/>
      </c>
      <c r="DM31" s="172">
        <f>MIN(IF($AU31=100%,1,1+VLOOKUP(($AJ31-$AI31-$AH31-$AG31-$AF31-$AE31*(1+DM$3))/$AJ31,'Технический лист'!$A:$B,2,1)-VLOOKUP($AO31,'Технический лист'!$A:$B,2,1)),1+(1-$AU31))</f>
        <v/>
      </c>
      <c r="DN31" s="172">
        <f>MIN(IF($AU31=100%,1,1+VLOOKUP(($AJ31-$AI31-$AH31-$AG31-$AF31-$AE31*(1+DN$3))/$AJ31,'Технический лист'!$A:$B,2,1)-VLOOKUP($AO31,'Технический лист'!$A:$B,2,1)),1+(1-$AU31))</f>
        <v/>
      </c>
      <c r="DO31" s="172">
        <f>MIN(IF($AU31=100%,1,1+VLOOKUP(($AJ31-$AI31-$AH31-$AG31-$AF31-$AE31*(1+DO$3))/$AJ31,'Технический лист'!$A:$B,2,1)-VLOOKUP($AO31,'Технический лист'!$A:$B,2,1)),1+(1-$AU31))</f>
        <v/>
      </c>
      <c r="DP31" s="172">
        <f>MIN(IF($AU31=100%,1,1+VLOOKUP(($AJ31-$AI31-$AH31-$AG31-$AF31-$AE31*(1+DP$3))/$AJ31,'Технический лист'!$A:$B,2,1)-VLOOKUP($AO31,'Технический лист'!$A:$B,2,1)),1+(1-$AU31))</f>
        <v/>
      </c>
      <c r="DQ31" s="172">
        <f>MIN(IF($AU31=100%,1,1+VLOOKUP(($AJ31-$AI31-$AH31-$AG31-$AF31-$AE31*(1+DQ$3))/$AJ31,'Технический лист'!$A:$B,2,1)-VLOOKUP($AO31,'Технический лист'!$A:$B,2,1)),1+(1-$AU31))</f>
        <v/>
      </c>
      <c r="DR31" s="172">
        <f>MIN(IF($AU31=100%,1,1+VLOOKUP(($AJ31-$AI31-$AH31-$AG31-$AF31-$AE31*(1+DR$3))/$AJ31,'Технический лист'!$A:$B,2,1)-VLOOKUP($AO31,'Технический лист'!$A:$B,2,1)),1+(1-$AU31))</f>
        <v/>
      </c>
      <c r="DS31" s="172">
        <f>MIN(IF($AU31=100%,1,1+VLOOKUP(($AJ31-$AI31-$AH31-$AG31-$AF31-$AE31*(1+DS$3))/$AJ31,'Технический лист'!$A:$B,2,1)-VLOOKUP($AO31,'Технический лист'!$A:$B,2,1)),1+(1-$AU31))</f>
        <v/>
      </c>
      <c r="DT31" s="172">
        <f>MIN(IF($AU31=100%,1,1+VLOOKUP(($AJ31-$AI31-$AH31-$AG31-$AF31-$AE31*(1+DT$3))/$AJ31,'Технический лист'!$A:$B,2,1)-VLOOKUP($AO31,'Технический лист'!$A:$B,2,1)),1+(1-$AU31))</f>
        <v/>
      </c>
      <c r="DU31" s="172">
        <f>MIN(IF($AU31=100%,1,1+VLOOKUP(($AJ31-$AI31-$AH31-$AG31-$AF31-$AE31*(1+DU$3))/$AJ31,'Технический лист'!$A:$B,2,1)-VLOOKUP($AO31,'Технический лист'!$A:$B,2,1)),1+(1-$AU31))</f>
        <v/>
      </c>
      <c r="DV31" s="172">
        <f>MIN(IF($AU31=100%,1,1+VLOOKUP(($AJ31-$AI31-$AH31-$AG31-$AF31-$AE31*(1+DV$3))/$AJ31,'Технический лист'!$A:$B,2,1)-VLOOKUP($AO31,'Технический лист'!$A:$B,2,1)),1+(1-$AU31))</f>
        <v/>
      </c>
      <c r="DW31" s="172">
        <f>MIN(IF($AU31=100%,1,1+VLOOKUP(($AJ31-$AI31-$AH31-$AG31-$AF31-$AE31*(1+DW$3))/$AJ31,'Технический лист'!$A:$B,2,1)-VLOOKUP($AO31,'Технический лист'!$A:$B,2,1)),1+(1-$AU31))</f>
        <v/>
      </c>
      <c r="DX31" s="172">
        <f>MIN(IF($AU31=100%,1,1+VLOOKUP(($AJ31-$AI31-$AH31-$AG31-$AF31-$AE31*(1+DX$3))/$AJ31,'Технический лист'!$A:$B,2,1)-VLOOKUP($AO31,'Технический лист'!$A:$B,2,1)),1+(1-$AU31))</f>
        <v/>
      </c>
      <c r="DY31" s="172">
        <f>MIN(IF($AU31=100%,1,1+VLOOKUP(($AJ31-$AI31-$AH31-$AG31-$AF31-$AE31*(1+DY$3))/$AJ31,'Технический лист'!$A:$B,2,1)-VLOOKUP($AO31,'Технический лист'!$A:$B,2,1)),1+(1-$AU31))</f>
        <v/>
      </c>
      <c r="DZ31" s="172">
        <f>MIN(IF($AU31=100%,1,1+VLOOKUP(($AJ31-$AI31-$AH31-$AG31-$AF31-$AE31*(1+DZ$3))/$AJ31,'Технический лист'!$A:$B,2,1)-VLOOKUP($AO31,'Технический лист'!$A:$B,2,1)),1+(1-$AU31))</f>
        <v/>
      </c>
      <c r="EA31" s="172">
        <f>MIN(IF($AU31=100%,1,1+VLOOKUP(($AJ31-$AI31-$AH31-$AG31-$AF31-$AE31*(1+EA$3))/$AJ31,'Технический лист'!$A:$B,2,1)-VLOOKUP($AO31,'Технический лист'!$A:$B,2,1)),1+(1-$AU31))</f>
        <v/>
      </c>
      <c r="EB31" s="172">
        <f>MIN(IF($AU31=100%,1,1+VLOOKUP(($AJ31-$AI31-$AH31-$AG31-$AF31-$AE31*(1+EB$3))/$AJ31,'Технический лист'!$A:$B,2,1)-VLOOKUP($AO31,'Технический лист'!$A:$B,2,1)),1+(1-$AU31))</f>
        <v/>
      </c>
      <c r="EC31" s="172">
        <f>MIN(IF($AU31=100%,1,1+VLOOKUP(($AJ31-$AI31-$AH31-$AG31-$AF31-$AE31*(1+EC$3))/$AJ31,'Технический лист'!$A:$B,2,1)-VLOOKUP($AO31,'Технический лист'!$A:$B,2,1)),1+(1-$AU31))</f>
        <v/>
      </c>
      <c r="ED31" s="172">
        <f>MIN(IF($AU31=100%,1,1+VLOOKUP(($AJ31-$AI31-$AH31-$AG31-$AF31-$AE31*(1+ED$3))/$AJ31,'Технический лист'!$A:$B,2,1)-VLOOKUP($AO31,'Технический лист'!$A:$B,2,1)),1+(1-$AU31))</f>
        <v/>
      </c>
      <c r="EE31" s="172">
        <f>MIN(IF($AU31=100%,1,1+VLOOKUP(($AJ31-$AI31-$AH31-$AG31-$AF31-$AE31*(1+EE$3))/$AJ31,'Технический лист'!$A:$B,2,1)-VLOOKUP($AO31,'Технический лист'!$A:$B,2,1)),1+(1-$AU31))</f>
        <v/>
      </c>
      <c r="EF31" s="172">
        <f>MIN(IF($AU31=100%,1,1+VLOOKUP(($AJ31-$AI31-$AH31-$AG31-$AF31-$AE31*(1+EF$3))/$AJ31,'Технический лист'!$A:$B,2,1)-VLOOKUP($AO31,'Технический лист'!$A:$B,2,1)),1+(1-$AU31))</f>
        <v/>
      </c>
      <c r="EG31" s="172">
        <f>MIN(IF($AU31=100%,1,1+VLOOKUP(($AJ31-$AI31-$AH31-$AG31-$AF31-$AE31*(1+EG$3))/$AJ31,'Технический лист'!$A:$B,2,1)-VLOOKUP($AO31,'Технический лист'!$A:$B,2,1)),1+(1-$AU31))</f>
        <v/>
      </c>
      <c r="EH31" s="172">
        <f>MIN(IF($AU31=100%,1,1+VLOOKUP(($AJ31-$AI31-$AH31-$AG31-$AF31-$AE31*(1+EH$3))/$AJ31,'Технический лист'!$A:$B,2,1)-VLOOKUP($AO31,'Технический лист'!$A:$B,2,1)),1+(1-$AU31))</f>
        <v/>
      </c>
      <c r="EI31" s="172">
        <f>MIN(IF($AU31=100%,1,1+VLOOKUP(($AJ31-$AI31-$AH31-$AG31-$AF31-$AE31*(1+EI$3))/$AJ31,'Технический лист'!$A:$B,2,1)-VLOOKUP($AO31,'Технический лист'!$A:$B,2,1)),1+(1-$AU31))</f>
        <v/>
      </c>
      <c r="EJ31" s="172">
        <f>MIN(IF($AU31=100%,1,1+VLOOKUP(($AJ31-$AI31-$AH31-$AG31-$AF31-$AE31*(1+EJ$3))/$AJ31,'Технический лист'!$A:$B,2,1)-VLOOKUP($AO31,'Технический лист'!$A:$B,2,1)),1+(1-$AU31))</f>
        <v/>
      </c>
      <c r="EK31" s="172">
        <f>MIN(IF($AU31=100%,1,1+VLOOKUP(($AJ31-$AI31-$AH31-$AG31-$AF31-$AE31*(1+EK$3))/$AJ31,'Технический лист'!$A:$B,2,1)-VLOOKUP($AO31,'Технический лист'!$A:$B,2,1)),1+(1-$AU31))</f>
        <v/>
      </c>
      <c r="EL31" s="172">
        <f>MIN(IF($AU31=100%,1,1+VLOOKUP(($AJ31-$AI31-$AH31-$AG31-$AF31-$AE31*(1+EL$3))/$AJ31,'Технический лист'!$A:$B,2,1)-VLOOKUP($AO31,'Технический лист'!$A:$B,2,1)),1+(1-$AU31))</f>
        <v/>
      </c>
      <c r="EM31" s="172">
        <f>MIN(IF($AU31=100%,1,1+VLOOKUP(($AJ31-$AI31-$AH31-$AG31-$AF31-$AE31*(1+EM$3))/$AJ31,'Технический лист'!$A:$B,2,1)-VLOOKUP($AO31,'Технический лист'!$A:$B,2,1)),1+(1-$AU31))</f>
        <v/>
      </c>
      <c r="EN31" s="172">
        <f>MIN(IF($AU31=100%,1,1+VLOOKUP(($AJ31-$AI31-$AH31-$AG31-$AF31-$AE31*(1+EN$3))/$AJ31,'Технический лист'!$A:$B,2,1)-VLOOKUP($AO31,'Технический лист'!$A:$B,2,1)),1+(1-$AU31))</f>
        <v/>
      </c>
      <c r="EO31" s="172">
        <f>MIN(IF($AU31=100%,1,1+VLOOKUP(($AJ31-$AI31-$AH31-$AG31-$AF31-$AE31*(1+EO$3))/$AJ31,'Технический лист'!$A:$B,2,1)-VLOOKUP($AO31,'Технический лист'!$A:$B,2,1)),1+(1-$AU31))</f>
        <v/>
      </c>
      <c r="EP31" s="172">
        <f>MIN(IF($AU31=100%,1,1+VLOOKUP(($AJ31-$AI31-$AH31-$AG31-$AF31-$AE31*(1+EP$3))/$AJ31,'Технический лист'!$A:$B,2,1)-VLOOKUP($AO31,'Технический лист'!$A:$B,2,1)),1+(1-$AU31))</f>
        <v/>
      </c>
      <c r="EQ31" s="172">
        <f>MIN(IF($AU31=100%,1,1+VLOOKUP(($AJ31-$AI31-$AH31-$AG31-$AF31-$AE31*(1+EQ$3))/$AJ31,'Технический лист'!$A:$B,2,1)-VLOOKUP($AO31,'Технический лист'!$A:$B,2,1)),1+(1-$AU31))</f>
        <v/>
      </c>
      <c r="ER31" s="172">
        <f>MIN(IF($AU31=100%,1,1+VLOOKUP(($AJ31-$AI31-$AH31-$AG31-$AF31-$AE31*(1+ER$3))/$AJ31,'Технический лист'!$A:$B,2,1)-VLOOKUP($AO31,'Технический лист'!$A:$B,2,1)),1+(1-$AU31))</f>
        <v/>
      </c>
      <c r="ES31" s="172">
        <f>MIN(IF($AU31=100%,1,1+VLOOKUP(($AJ31-$AI31-$AH31-$AG31-$AF31-$AE31*(1+ES$3))/$AJ31,'Технический лист'!$A:$B,2,1)-VLOOKUP($AO31,'Технический лист'!$A:$B,2,1)),1+(1-$AU31))</f>
        <v/>
      </c>
      <c r="ET31" s="172">
        <f>MIN(IF($AU31=100%,1,1+VLOOKUP(($AJ31-$AI31-$AH31-$AG31-$AF31-$AE31*(1+ET$3))/$AJ31,'Технический лист'!$A:$B,2,1)-VLOOKUP($AO31,'Технический лист'!$A:$B,2,1)),1+(1-$AU31))</f>
        <v/>
      </c>
      <c r="EU31" s="172">
        <f>MIN(IF($AU31=100%,1,1+VLOOKUP(($AJ31-$AI31-$AH31-$AG31-$AF31-$AE31*(1+EU$3))/$AJ31,'Технический лист'!$A:$B,2,1)-VLOOKUP($AO31,'Технический лист'!$A:$B,2,1)),1+(1-$AU31))</f>
        <v/>
      </c>
      <c r="EV31" s="173" t="n">
        <v>1</v>
      </c>
      <c r="EW31" s="172">
        <f>MIN(1,MAX(VLOOKUP(($AJ31-$AI31-$AH31-$AG31-$AF31-$AE31*(1+EW$3))/$AJ31,'Технический лист'!$A:$B,2,1),(EV31-0.05)))</f>
        <v/>
      </c>
      <c r="EX31" s="172">
        <f>MIN(1,MAX(VLOOKUP(($AJ31-$AI31-$AH31-$AG31-$AF31-$AE31*(1+EX$3))/$AJ31,'Технический лист'!$A:$B,2,1),(EW31-0.05)))</f>
        <v/>
      </c>
      <c r="EY31" s="172">
        <f>MIN(1,MAX(VLOOKUP(($AJ31-$AI31-$AH31-$AG31-$AF31-$AE31*(1+EY$3))/$AJ31,'Технический лист'!$A:$B,2,1),(EX31-0.05)))</f>
        <v/>
      </c>
      <c r="EZ31" s="172">
        <f>MIN(1,MAX(VLOOKUP(($AJ31-$AI31-$AH31-$AG31-$AF31-$AE31*(1+EZ$3))/$AJ31,'Технический лист'!$A:$B,2,1),(EY31-0.05)))</f>
        <v/>
      </c>
      <c r="FA31" s="172">
        <f>MIN(1,MAX(VLOOKUP(($AJ31-$AI31-$AH31-$AG31-$AF31-$AE31*(1+FA$3))/$AJ31,'Технический лист'!$A:$B,2,1),(EZ31-0.05)))</f>
        <v/>
      </c>
      <c r="FB31" s="172">
        <f>MIN(1,MAX(VLOOKUP(($AJ31-$AI31-$AH31-$AG31-$AF31-$AE31*(1+FB$3))/$AJ31,'Технический лист'!$A:$B,2,1),(FA31-0.05)))</f>
        <v/>
      </c>
      <c r="FC31" s="172">
        <f>MIN(1,MAX(VLOOKUP(($AJ31-$AI31-$AH31-$AG31-$AF31-$AE31*(1+FC$3))/$AJ31,'Технический лист'!$A:$B,2,1),(FB31-0.05)))</f>
        <v/>
      </c>
      <c r="FD31" s="172">
        <f>MIN(1,MAX(VLOOKUP(($AJ31-$AI31-$AH31-$AG31-$AF31-$AE31*(1+FD$3))/$AJ31,'Технический лист'!$A:$B,2,1),(FC31-0.05)))</f>
        <v/>
      </c>
      <c r="FE31" s="172">
        <f>MIN(1,MAX(VLOOKUP(($AJ31-$AI31-$AH31-$AG31-$AF31-$AE31*(1+FE$3))/$AJ31,'Технический лист'!$A:$B,2,1),(FD31-0.05)))</f>
        <v/>
      </c>
      <c r="FF31" s="172">
        <f>MIN(1,MAX(VLOOKUP(($AJ31-$AI31-$AH31-$AG31-$AF31-$AE31*(1+FF$3))/$AJ31,'Технический лист'!$A:$B,2,1),(FE31-0.05)))</f>
        <v/>
      </c>
      <c r="FG31" s="172">
        <f>MIN(1,MAX(VLOOKUP(($AJ31-$AI31-$AH31-$AG31-$AF31-$AE31*(1+FG$3))/$AJ31,'Технический лист'!$A:$B,2,1),(FF31-0.05)))</f>
        <v/>
      </c>
      <c r="FH31" s="172">
        <f>MIN(1,MAX(VLOOKUP(($AJ31-$AI31-$AH31-$AG31-$AF31-$AE31*(1+FH$3))/$AJ31,'Технический лист'!$A:$B,2,1),(FG31-0.05)))</f>
        <v/>
      </c>
      <c r="FI31" s="172">
        <f>MIN(1,MAX(VLOOKUP(($AJ31-$AI31-$AH31-$AG31-$AF31-$AE31*(1+FI$3))/$AJ31,'Технический лист'!$A:$B,2,1),(FH31-0.05)))</f>
        <v/>
      </c>
      <c r="FJ31" s="172">
        <f>MIN(1,MAX(VLOOKUP(($AJ31-$AI31-$AH31-$AG31-$AF31-$AE31*(1+FJ$3))/$AJ31,'Технический лист'!$A:$B,2,1),(FI31-0.05)))</f>
        <v/>
      </c>
      <c r="FK31" s="172">
        <f>MIN(1,MAX(VLOOKUP(($AJ31-$AI31-$AH31-$AG31-$AF31-$AE31*(1+FK$3))/$AJ31,'Технический лист'!$A:$B,2,1),(FJ31-0.05)))</f>
        <v/>
      </c>
      <c r="FL31" s="172">
        <f>MIN(1,MAX(VLOOKUP(($AJ31-$AI31-$AH31-$AG31-$AF31-$AE31*(1+FL$3))/$AJ31,'Технический лист'!$A:$B,2,1),(FK31-0.05)))</f>
        <v/>
      </c>
      <c r="FM31" s="172">
        <f>MIN(1,MAX(VLOOKUP(($AJ31-$AI31-$AH31-$AG31-$AF31-$AE31*(1+FM$3))/$AJ31,'Технический лист'!$A:$B,2,1),(FL31-0.05)))</f>
        <v/>
      </c>
      <c r="FN31" s="172">
        <f>MIN(1,MAX(VLOOKUP(($AJ31-$AI31-$AH31-$AG31-$AF31-$AE31*(1+FN$3))/$AJ31,'Технический лист'!$A:$B,2,1),(FM31-0.05)))</f>
        <v/>
      </c>
      <c r="FO31" s="172">
        <f>MIN(1,MAX(VLOOKUP(($AJ31-$AI31-$AH31-$AG31-$AF31-$AE31*(1+FO$3))/$AJ31,'Технический лист'!$A:$B,2,1),(FN31-0.05)))</f>
        <v/>
      </c>
      <c r="FP31" s="172">
        <f>MIN(1,MAX(VLOOKUP(($AJ31-$AI31-$AH31-$AG31-$AF31-$AE31*(1+FP$3))/$AJ31,'Технический лист'!$A:$B,2,1),(FO31-0.05)))</f>
        <v/>
      </c>
      <c r="FQ31" s="172">
        <f>MIN(1,MAX(VLOOKUP(($AJ31-$AI31-$AH31-$AG31-$AF31-$AE31*(1+FQ$3))/$AJ31,'Технический лист'!$A:$B,2,1),(FP31-0.05)))</f>
        <v/>
      </c>
      <c r="FR31" s="172">
        <f>MIN(1,MAX(VLOOKUP(($AJ31-$AI31-$AH31-$AG31-$AF31-$AE31*(1+FR$3))/$AJ31,'Технический лист'!$A:$B,2,1),(FQ31-0.05)))</f>
        <v/>
      </c>
      <c r="FS31" s="172">
        <f>MIN(1,MAX(VLOOKUP(($AJ31-$AI31-$AH31-$AG31-$AF31-$AE31*(1+FS$3))/$AJ31,'Технический лист'!$A:$B,2,1),(FR31-0.05)))</f>
        <v/>
      </c>
      <c r="FT31" s="172">
        <f>MIN(1,MAX(VLOOKUP(($AJ31-$AI31-$AH31-$AG31-$AF31-$AE31*(1+FT$3))/$AJ31,'Технический лист'!$A:$B,2,1),(FS31-0.05)))</f>
        <v/>
      </c>
      <c r="FU31" s="172">
        <f>MIN(1,MAX(VLOOKUP(($AJ31-$AI31-$AH31-$AG31-$AF31-$AE31*(1+FU$3))/$AJ31,'Технический лист'!$A:$B,2,1),(FT31-0.05)))</f>
        <v/>
      </c>
      <c r="FV31" s="172">
        <f>MIN(1,MAX(VLOOKUP(($AJ31-$AI31-$AH31-$AG31-$AF31-$AE31*(1+FV$3))/$AJ31,'Технический лист'!$A:$B,2,1),(FU31-0.05)))</f>
        <v/>
      </c>
      <c r="FW31" s="172">
        <f>MIN(1,MAX(VLOOKUP(($AJ31-$AI31-$AH31-$AG31-$AF31-$AE31*(1+FW$3))/$AJ31,'Технический лист'!$A:$B,2,1),(FV31-0.05)))</f>
        <v/>
      </c>
      <c r="FX31" s="172">
        <f>MIN(1,MAX(VLOOKUP(($AJ31-$AI31-$AH31-$AG31-$AF31-$AE31*(1+FX$3))/$AJ31,'Технический лист'!$A:$B,2,1),(FW31-0.05)))</f>
        <v/>
      </c>
      <c r="FY31" s="172">
        <f>MIN(1,MAX(VLOOKUP(($AJ31-$AI31-$AH31-$AG31-$AF31-$AE31*(1+FY$3))/$AJ31,'Технический лист'!$A:$B,2,1),(FX31-0.05)))</f>
        <v/>
      </c>
      <c r="FZ31" s="172">
        <f>MIN(1,MAX(VLOOKUP(($AJ31-$AI31-$AH31-$AG31-$AF31-$AE31*(1+FZ$3))/$AJ31,'Технический лист'!$A:$B,2,1),(FY31-0.05)))</f>
        <v/>
      </c>
      <c r="GA31" s="172">
        <f>MIN(1,MAX(VLOOKUP(($AJ31-$AI31-$AH31-$AG31-$AF31-$AE31*(1+GA$3))/$AJ31,'Технический лист'!$A:$B,2,1),(FZ31-0.05)))</f>
        <v/>
      </c>
      <c r="GB31" s="172">
        <f>MIN(1,MAX(VLOOKUP(($AJ31-$AI31-$AH31-$AG31-$AF31-$AE31*(1+GB$3))/$AJ31,'Технический лист'!$A:$B,2,1),(GA31-0.05)))</f>
        <v/>
      </c>
      <c r="GC31" s="172">
        <f>MIN(1,MAX(VLOOKUP(($AJ31-$AI31-$AH31-$AG31-$AF31-$AE31*(1+GC$3))/$AJ31,'Технический лист'!$A:$B,2,1),(GB31-0.05)))</f>
        <v/>
      </c>
      <c r="GD31" s="172">
        <f>MIN(1,MAX(VLOOKUP(($AJ31-$AI31-$AH31-$AG31-$AF31-$AE31*(1+GD$3))/$AJ31,'Технический лист'!$A:$B,2,1),(GC31-0.05)))</f>
        <v/>
      </c>
      <c r="GE31" s="172">
        <f>MIN(1,MAX(VLOOKUP(($AJ31-$AI31-$AH31-$AG31-$AF31-$AE31*(1+GE$3))/$AJ31,'Технический лист'!$A:$B,2,1),(GD31-0.05)))</f>
        <v/>
      </c>
      <c r="GF31" s="172">
        <f>MIN(1,MAX(VLOOKUP(($AJ31-$AI31-$AH31-$AG31-$AF31-$AE31*(1+GF$3))/$AJ31,'Технический лист'!$A:$B,2,1),(GE31-0.05)))</f>
        <v/>
      </c>
      <c r="GG31" s="172">
        <f>MIN(1,MAX(VLOOKUP(($AJ31-$AI31-$AH31-$AG31-$AF31-$AE31*(1+GG$3))/$AJ31,'Технический лист'!$A:$B,2,1),(GF31-0.05)))</f>
        <v/>
      </c>
      <c r="GH31" s="172">
        <f>MIN(1,MAX(VLOOKUP(($AJ31-$AI31-$AH31-$AG31-$AF31-$AE31*(1+GH$3))/$AJ31,'Технический лист'!$A:$B,2,1),(GG31-0.05)))</f>
        <v/>
      </c>
      <c r="GI31" s="172">
        <f>MIN(1,MAX(VLOOKUP(($AJ31-$AI31-$AH31-$AG31-$AF31-$AE31*(1+GI$3))/$AJ31,'Технический лист'!$A:$B,2,1),(GH31-0.05)))</f>
        <v/>
      </c>
      <c r="GJ31" s="172">
        <f>MIN(1,MAX(VLOOKUP(($AJ31-$AI31-$AH31-$AG31-$AF31-$AE31*(1+GJ$3))/$AJ31,'Технический лист'!$A:$B,2,1),(GI31-0.05)))</f>
        <v/>
      </c>
      <c r="GK31" s="172">
        <f>MIN(1,MAX(VLOOKUP(($AJ31-$AI31-$AH31-$AG31-$AF31-$AE31*(1+GK$3))/$AJ31,'Технический лист'!$A:$B,2,1),(GJ31-0.05)))</f>
        <v/>
      </c>
      <c r="GL31" s="172">
        <f>MIN(1,MAX(VLOOKUP(($AJ31-$AI31-$AH31-$AG31-$AF31-$AE31*(1+GL$3))/$AJ31,'Технический лист'!$A:$B,2,1),(GK31-0.05)))</f>
        <v/>
      </c>
      <c r="GM31" s="172">
        <f>MIN(1,MAX(VLOOKUP(($AJ31-$AI31-$AH31-$AG31-$AF31-$AE31*(1+GM$3))/$AJ31,'Технический лист'!$A:$B,2,1),(GL31-0.05)))</f>
        <v/>
      </c>
      <c r="GN31" s="172">
        <f>MIN(1,MAX(VLOOKUP(($AJ31-$AI31-$AH31-$AG31-$AF31-$AE31*(1+GN$3))/$AJ31,'Технический лист'!$A:$B,2,1),(GM31-0.05)))</f>
        <v/>
      </c>
      <c r="GO31" s="172">
        <f>MIN(1,MAX(VLOOKUP(($AJ31-$AI31-$AH31-$AG31-$AF31-$AE31*(1+GO$3))/$AJ31,'Технический лист'!$A:$B,2,1),(GN31-0.05)))</f>
        <v/>
      </c>
      <c r="GP31" s="172">
        <f>MIN(1,MAX(VLOOKUP(($AJ31-$AI31-$AH31-$AG31-$AF31-$AE31*(1+GP$3))/$AJ31,'Технический лист'!$A:$B,2,1),(GO31-0.05)))</f>
        <v/>
      </c>
      <c r="GQ31" s="172">
        <f>MIN(1,MAX(VLOOKUP(($AJ31-$AI31-$AH31-$AG31-$AF31-$AE31*(1+GQ$3))/$AJ31,'Технический лист'!$A:$B,2,1),(GP31-0.05)))</f>
        <v/>
      </c>
      <c r="GR31" s="172">
        <f>MIN(1,MAX(VLOOKUP(($AJ31-$AI31-$AH31-$AG31-$AF31-$AE31*(1+GR$3))/$AJ31,'Технический лист'!$A:$B,2,1),(GQ31-0.05)))</f>
        <v/>
      </c>
      <c r="GS31" s="172">
        <f>MIN(1,MAX(VLOOKUP(($AJ31-$AI31-$AH31-$AG31-$AF31-$AE31*(1+GS$3))/$AJ31,'Технический лист'!$A:$B,2,1),(GR31-0.05)))</f>
        <v/>
      </c>
      <c r="GT31" s="172">
        <f>MIN(1,MAX(VLOOKUP(($AJ31-$AI31-$AH31-$AG31-$AF31-$AE31*(1+GT$3))/$AJ31,'Технический лист'!$A:$B,2,1),(GS31-0.05)))</f>
        <v/>
      </c>
      <c r="GU31" s="172">
        <f>MIN(1,MAX(VLOOKUP(($AJ31-$AI31-$AH31-$AG31-$AF31-$AE31*(1+GU$3))/$AJ31,'Технический лист'!$A:$B,2,1),(GT31-0.05)))</f>
        <v/>
      </c>
      <c r="GV31" s="172">
        <f>MIN(1,MAX(VLOOKUP(($AJ31-$AI31-$AH31-$AG31-$AF31-$AE31*(1+GV$3))/$AJ31,'Технический лист'!$A:$B,2,1),(GU31-0.05)))</f>
        <v/>
      </c>
      <c r="GW31" s="172">
        <f>MIN(1,MAX(VLOOKUP(($AJ31-$AI31-$AH31-$AG31-$AF31-$AE31*(1+GW$3))/$AJ31,'Технический лист'!$A:$B,2,1),(GV31-0.05)))</f>
        <v/>
      </c>
      <c r="GX31" s="172">
        <f>MIN(1,MAX(VLOOKUP(($AJ31-$AI31-$AH31-$AG31-$AF31-$AE31*(1+GX$3))/$AJ31,'Технический лист'!$A:$B,2,1),(GW31-0.05)))</f>
        <v/>
      </c>
      <c r="GY31" s="172">
        <f>MIN(1,MAX(VLOOKUP(($AJ31-$AI31-$AH31-$AG31-$AF31-$AE31*(1+GY$3))/$AJ31,'Технический лист'!$A:$B,2,1),(GX31-0.05)))</f>
        <v/>
      </c>
      <c r="GZ31" s="172">
        <f>MIN(1,MAX(VLOOKUP(($AJ31-$AI31-$AH31-$AG31-$AF31-$AE31*(1+GZ$3))/$AJ31,'Технический лист'!$A:$B,2,1),(GY31-0.05)))</f>
        <v/>
      </c>
      <c r="HA31" s="172">
        <f>MIN(1,MAX(VLOOKUP(($AJ31-$AI31-$AH31-$AG31-$AF31-$AE31*(1+HA$3))/$AJ31,'Технический лист'!$A:$B,2,1),(GZ31-0.05)))</f>
        <v/>
      </c>
      <c r="HB31" s="172">
        <f>MIN(1,MAX(VLOOKUP(($AJ31-$AI31-$AH31-$AG31-$AF31-$AE31*(1+HB$3))/$AJ31,'Технический лист'!$A:$B,2,1),(HA31-0.05)))</f>
        <v/>
      </c>
      <c r="HC31" s="172">
        <f>MIN(1,MAX(VLOOKUP(($AJ31-$AI31-$AH31-$AG31-$AF31-$AE31*(1+HC$3))/$AJ31,'Технический лист'!$A:$B,2,1),(HB31-0.05)))</f>
        <v/>
      </c>
      <c r="HD31" s="172">
        <f>MIN(1,MAX(VLOOKUP(($AJ31-$AI31-$AH31-$AG31-$AF31-$AE31*(1+HD$3))/$AJ31,'Технический лист'!$A:$B,2,1),(HC31-0.05)))</f>
        <v/>
      </c>
      <c r="HE31" s="172">
        <f>MIN(1,MAX(VLOOKUP(($AJ31-$AI31-$AH31-$AG31-$AF31-$AE31*(1+HE$3))/$AJ31,'Технический лист'!$A:$B,2,1),(HD31-0.05)))</f>
        <v/>
      </c>
      <c r="HF31" s="172">
        <f>MIN(1,MAX(VLOOKUP(($AJ31-$AI31-$AH31-$AG31-$AF31-$AE31*(1+HF$3))/$AJ31,'Технический лист'!$A:$B,2,1),(HE31-0.05)))</f>
        <v/>
      </c>
      <c r="HG31" s="172">
        <f>MIN(1,MAX(VLOOKUP(($AJ31-$AI31-$AH31-$AG31-$AF31-$AE31*(1+HG$3))/$AJ31,'Технический лист'!$A:$B,2,1),(HF31-0.05)))</f>
        <v/>
      </c>
      <c r="HH31" s="172">
        <f>MIN(1,MAX(VLOOKUP(($AJ31-$AI31-$AH31-$AG31-$AF31-$AE31*(1+HH$3))/$AJ31,'Технический лист'!$A:$B,2,1),(HG31-0.05)))</f>
        <v/>
      </c>
      <c r="HI31" s="172">
        <f>MIN(1,MAX(VLOOKUP(($AJ31-$AI31-$AH31-$AG31-$AF31-$AE31*(1+HI$3))/$AJ31,'Технический лист'!$A:$B,2,1),(HH31-0.05)))</f>
        <v/>
      </c>
      <c r="HJ31" s="172">
        <f>MIN(1,MAX(VLOOKUP(($AJ31-$AI31-$AH31-$AG31-$AF31-$AE31*(1+HJ$3))/$AJ31,'Технический лист'!$A:$B,2,1),(HI31-0.05)))</f>
        <v/>
      </c>
      <c r="HK31" s="172">
        <f>MIN(1,MAX(VLOOKUP(($AJ31-$AI31-$AH31-$AG31-$AF31-$AE31*(1+HK$3))/$AJ31,'Технический лист'!$A:$B,2,1),(HJ31-0.05)))</f>
        <v/>
      </c>
      <c r="HL31" s="172">
        <f>MIN(1,MAX(VLOOKUP(($AJ31-$AI31-$AH31-$AG31-$AF31-$AE31*(1+HL$3))/$AJ31,'Технический лист'!$A:$B,2,1),(HK31-0.05)))</f>
        <v/>
      </c>
      <c r="HM31" s="172">
        <f>MIN(1,MAX(VLOOKUP(($AJ31-$AI31-$AH31-$AG31-$AF31-$AE31*(1+HM$3))/$AJ31,'Технический лист'!$A:$B,2,1),(HL31-0.05)))</f>
        <v/>
      </c>
      <c r="HN31" s="172">
        <f>MIN(1,MAX(VLOOKUP(($AJ31-$AI31-$AH31-$AG31-$AF31-$AE31*(1+HN$3))/$AJ31,'Технический лист'!$A:$B,2,1),(HM31-0.05)))</f>
        <v/>
      </c>
      <c r="HO31" s="172">
        <f>MIN(1,MAX(VLOOKUP(($AJ31-$AI31-$AH31-$AG31-$AF31-$AE31*(1+HO$3))/$AJ31,'Технический лист'!$A:$B,2,1),(HN31-0.05)))</f>
        <v/>
      </c>
      <c r="HP31" s="172">
        <f>MIN(1,MAX(VLOOKUP(($AJ31-$AI31-$AH31-$AG31-$AF31-$AE31*(1+HP$3))/$AJ31,'Технический лист'!$A:$B,2,1),(HO31-0.05)))</f>
        <v/>
      </c>
      <c r="HQ31" s="172">
        <f>MIN(1,MAX(VLOOKUP(($AJ31-$AI31-$AH31-$AG31-$AF31-$AE31*(1+HQ$3))/$AJ31,'Технический лист'!$A:$B,2,1),(HP31-0.05)))</f>
        <v/>
      </c>
      <c r="HR31" s="172">
        <f>MIN(1,MAX(VLOOKUP(($AJ31-$AI31-$AH31-$AG31-$AF31-$AE31*(1+HR$3))/$AJ31,'Технический лист'!$A:$B,2,1),(HQ31-0.05)))</f>
        <v/>
      </c>
      <c r="HS31" s="172">
        <f>MIN(1,MAX(VLOOKUP(($AJ31-$AI31-$AH31-$AG31-$AF31-$AE31*(1+HS$3))/$AJ31,'Технический лист'!$A:$B,2,1),(HR31-0.05)))</f>
        <v/>
      </c>
      <c r="HT31" s="172">
        <f>MIN(1,MAX(VLOOKUP(($AJ31-$AI31-$AH31-$AG31-$AF31-$AE31*(1+HT$3))/$AJ31,'Технический лист'!$A:$B,2,1),(HS31-0.05)))</f>
        <v/>
      </c>
      <c r="HU31" s="172">
        <f>MIN(1,MAX(VLOOKUP(($AJ31-$AI31-$AH31-$AG31-$AF31-$AE31*(1+HU$3))/$AJ31,'Технический лист'!$A:$B,2,1),(HT31-0.05)))</f>
        <v/>
      </c>
      <c r="HV31" s="172">
        <f>MIN(1,MAX(VLOOKUP(($AJ31-$AI31-$AH31-$AG31-$AF31-$AE31*(1+HV$3))/$AJ31,'Технический лист'!$A:$B,2,1),(HU31-0.05)))</f>
        <v/>
      </c>
      <c r="HW31" s="172">
        <f>MIN(1,MAX(VLOOKUP(($AJ31-$AI31-$AH31-$AG31-$AF31-$AE31*(1+HW$3))/$AJ31,'Технический лист'!$A:$B,2,1),(HV31-0.05)))</f>
        <v/>
      </c>
      <c r="HX31" s="172">
        <f>MIN(1,MAX(VLOOKUP(($AJ31-$AI31-$AH31-$AG31-$AF31-$AE31*(1+HX$3))/$AJ31,'Технический лист'!$A:$B,2,1),(HW31-0.05)))</f>
        <v/>
      </c>
      <c r="HY31" s="172">
        <f>MIN(1,MAX(VLOOKUP(($AJ31-$AI31-$AH31-$AG31-$AF31-$AE31*(1+HY$3))/$AJ31,'Технический лист'!$A:$B,2,1),(HX31-0.05)))</f>
        <v/>
      </c>
      <c r="HZ31" s="172">
        <f>MIN(1,MAX(VLOOKUP(($AJ31-$AI31-$AH31-$AG31-$AF31-$AE31*(1+HZ$3))/$AJ31,'Технический лист'!$A:$B,2,1),(HY31-0.05)))</f>
        <v/>
      </c>
      <c r="IA31" s="172">
        <f>MIN(1,MAX(VLOOKUP(($AJ31-$AI31-$AH31-$AG31-$AF31-$AE31*(1+IA$3))/$AJ31,'Технический лист'!$A:$B,2,1),(HZ31-0.05)))</f>
        <v/>
      </c>
      <c r="IB31" s="172">
        <f>MIN(1,MAX(VLOOKUP(($AJ31-$AI31-$AH31-$AG31-$AF31-$AE31*(1+IB$3))/$AJ31,'Технический лист'!$A:$B,2,1),(IA31-0.05)))</f>
        <v/>
      </c>
      <c r="IC31" s="172">
        <f>MIN(1,MAX(VLOOKUP(($AJ31-$AI31-$AH31-$AG31-$AF31-$AE31*(1+IC$3))/$AJ31,'Технический лист'!$A:$B,2,1),(IB31-0.05)))</f>
        <v/>
      </c>
      <c r="ID31" s="172">
        <f>MIN(1,MAX(VLOOKUP(($AJ31-$AI31-$AH31-$AG31-$AF31-$AE31*(1+ID$3))/$AJ31,'Технический лист'!$A:$B,2,1),(IC31-0.05)))</f>
        <v/>
      </c>
      <c r="IE31" s="172">
        <f>MIN(1,MAX(VLOOKUP(($AJ31-$AI31-$AH31-$AG31-$AF31-$AE31*(1+IE$3))/$AJ31,'Технический лист'!$A:$B,2,1),(ID31-0.05)))</f>
        <v/>
      </c>
      <c r="IF31" s="172">
        <f>MIN(1,MAX(VLOOKUP(($AJ31-$AI31-$AH31-$AG31-$AF31-$AE31*(1+IF$3))/$AJ31,'Технический лист'!$A:$B,2,1),(IE31-0.05)))</f>
        <v/>
      </c>
      <c r="IG31" s="172">
        <f>MIN(1,MAX(VLOOKUP(($AJ31-$AI31-$AH31-$AG31-$AF31-$AE31*(1+IG$3))/$AJ31,'Технический лист'!$A:$B,2,1),(IF31-0.05)))</f>
        <v/>
      </c>
      <c r="IH31" s="172">
        <f>MIN(1,MAX(VLOOKUP(($AJ31-$AI31-$AH31-$AG31-$AF31-$AE31*(1+IH$3))/$AJ31,'Технический лист'!$A:$B,2,1),(IG31-0.05)))</f>
        <v/>
      </c>
      <c r="II31" s="172">
        <f>MIN(1,MAX(VLOOKUP(($AJ31-$AI31-$AH31-$AG31-$AF31-$AE31*(1+II$3))/$AJ31,'Технический лист'!$A:$B,2,1),(IH31-0.05)))</f>
        <v/>
      </c>
      <c r="IJ31" s="172">
        <f>MIN(1,MAX(VLOOKUP(($AJ31-$AI31-$AH31-$AG31-$AF31-$AE31*(1+IJ$3))/$AJ31,'Технический лист'!$A:$B,2,1),(II31-0.05)))</f>
        <v/>
      </c>
      <c r="IK31" s="172">
        <f>MIN(1,MAX(VLOOKUP(($AJ31-$AI31-$AH31-$AG31-$AF31-$AE31*(1+IK$3))/$AJ31,'Технический лист'!$A:$B,2,1),(IJ31-0.05)))</f>
        <v/>
      </c>
      <c r="IL31" s="172">
        <f>MIN(1,MAX(VLOOKUP(($AJ31-$AI31-$AH31-$AG31-$AF31-$AE31*(1+IL$3))/$AJ31,'Технический лист'!$A:$B,2,1),(IK31-0.05)))</f>
        <v/>
      </c>
      <c r="IM31" s="172">
        <f>MIN(1,MAX(VLOOKUP(($AJ31-$AI31-$AH31-$AG31-$AF31-$AE31*(1+IM$3))/$AJ31,'Технический лист'!$A:$B,2,1),(IL31-0.05)))</f>
        <v/>
      </c>
      <c r="IN31" s="172">
        <f>MIN(1,MAX(VLOOKUP(($AJ31-$AI31-$AH31-$AG31-$AF31-$AE31*(1+IN$3))/$AJ31,'Технический лист'!$A:$B,2,1),(IM31-0.05)))</f>
        <v/>
      </c>
      <c r="IO31" s="172">
        <f>MIN(1,MAX(VLOOKUP(($AJ31-$AI31-$AH31-$AG31-$AF31-$AE31*(1+IO$3))/$AJ31,'Технический лист'!$A:$B,2,1),(IN31-0.05)))</f>
        <v/>
      </c>
      <c r="IP31" s="172">
        <f>MIN(1,MAX(VLOOKUP(($AJ31-$AI31-$AH31-$AG31-$AF31-$AE31*(1+IP$3))/$AJ31,'Технический лист'!$A:$B,2,1),(IO31-0.05)))</f>
        <v/>
      </c>
      <c r="IQ31" s="172">
        <f>MIN(1,MAX(VLOOKUP(($AJ31-$AI31-$AH31-$AG31-$AF31-$AE31*(1+IQ$3))/$AJ31,'Технический лист'!$A:$B,2,1),(IP31-0.05)))</f>
        <v/>
      </c>
      <c r="IR31" s="172">
        <f>MIN(1,MAX(VLOOKUP(($AJ31-$AI31-$AH31-$AG31-$AF31-$AE31*(1+IR$3))/$AJ31,'Технический лист'!$A:$B,2,1),(IQ31-0.05)))</f>
        <v/>
      </c>
    </row>
    <row r="32" ht="45" customHeight="1" s="123">
      <c r="A32" s="89" t="inlineStr">
        <is>
          <t>ЧМ (сырье)</t>
        </is>
      </c>
      <c r="B32" s="90" t="n">
        <v>2</v>
      </c>
      <c r="C32" s="5" t="inlineStr">
        <is>
          <t>Кокс каменноугольный</t>
        </is>
      </c>
      <c r="D32" s="91" t="n">
        <v>17111</v>
      </c>
      <c r="E32" s="91" t="inlineStr">
        <is>
          <t xml:space="preserve">Кокс электродный </t>
        </is>
      </c>
      <c r="F32" s="92" t="inlineStr">
        <is>
          <t>КОКС КАМЕННОУГОЛЬНЫЙ</t>
        </is>
      </c>
      <c r="G32" s="91" t="inlineStr">
        <is>
          <t>ЗСБ</t>
        </is>
      </c>
      <c r="H32" s="91" t="inlineStr">
        <is>
          <t>КРС</t>
        </is>
      </c>
      <c r="I32" s="91" t="inlineStr">
        <is>
          <t>ЗАРИНСКАЯ</t>
        </is>
      </c>
      <c r="J32" s="91" t="inlineStr">
        <is>
          <t>ЛЕСОСИБ-ПЕР</t>
        </is>
      </c>
      <c r="K32" s="91" t="n">
        <v>1038</v>
      </c>
      <c r="L32" s="91" t="inlineStr">
        <is>
          <t>Полувагоны</t>
        </is>
      </c>
      <c r="M32" s="91" t="inlineStr">
        <is>
          <t>Внутр. перевозки</t>
        </is>
      </c>
      <c r="N32" s="91" t="inlineStr">
        <is>
          <t>вагонная</t>
        </is>
      </c>
      <c r="O32" s="91" t="inlineStr">
        <is>
          <t xml:space="preserve">Восточное </t>
        </is>
      </c>
      <c r="P32" s="89" t="inlineStr">
        <is>
          <t>'000000188110</t>
        </is>
      </c>
      <c r="Q32" s="91" t="inlineStr">
        <is>
          <t>'ОАО "Алтай-Кокс"</t>
        </is>
      </c>
      <c r="R32" s="91" t="inlineStr">
        <is>
          <t>ПАО "НЛМК"</t>
        </is>
      </c>
      <c r="S32" s="87" t="n">
        <v>1633</v>
      </c>
      <c r="T32" s="87" t="n">
        <v>1694838</v>
      </c>
      <c r="U32" s="88" t="n">
        <v>30</v>
      </c>
      <c r="V32" s="88" t="n">
        <v>0</v>
      </c>
      <c r="W32" s="87" t="n">
        <v>1713843</v>
      </c>
      <c r="X32" s="112" t="n">
        <v>54</v>
      </c>
      <c r="Y32" s="112" t="inlineStr">
        <is>
          <t>повагонная</t>
        </is>
      </c>
      <c r="Z32" s="113" t="n">
        <v>7</v>
      </c>
      <c r="AA32" s="113" t="n">
        <v>5</v>
      </c>
      <c r="AB32" s="113" t="n">
        <v>4</v>
      </c>
      <c r="AC32" s="161" t="n">
        <v>1171.52</v>
      </c>
      <c r="AD32" s="161">
        <f>AE32-AC32</f>
        <v/>
      </c>
      <c r="AE32" s="161" t="n">
        <v>1610.67</v>
      </c>
      <c r="AF32" s="162">
        <f>(Z32+AA32+AB32)*'Ставки аренды'!$B$3/X32</f>
        <v/>
      </c>
      <c r="AG32" s="163" t="n">
        <v>0</v>
      </c>
      <c r="AH32" s="164" t="n">
        <v>0</v>
      </c>
      <c r="AI32" s="165">
        <f>45627537/67277047*AVERAGE(AJ30,AJ31)</f>
        <v/>
      </c>
      <c r="AJ32" s="166">
        <f>Цены!$D$9</f>
        <v/>
      </c>
      <c r="AK32" s="164">
        <f>AJ32/Цены!$B$1</f>
        <v/>
      </c>
      <c r="AL32" s="164">
        <f>AE32+AF32+AG32</f>
        <v/>
      </c>
      <c r="AM32" s="164">
        <f>AJ32-AL32</f>
        <v/>
      </c>
      <c r="AN32" s="164">
        <f>AI32+AH32+AG32+AF32+AE32</f>
        <v/>
      </c>
      <c r="AO32" s="167">
        <f>(AJ32-AN32)/AJ32</f>
        <v/>
      </c>
      <c r="AP32" s="168">
        <f>AL32/AJ32</f>
        <v/>
      </c>
      <c r="AQ32" s="168">
        <f>AE32/AJ32</f>
        <v/>
      </c>
      <c r="AR32" s="168">
        <f>AE32/AL32</f>
        <v/>
      </c>
      <c r="AS32" s="169" t="n">
        <v>1</v>
      </c>
      <c r="AT32" s="121">
        <f>S32*AS32</f>
        <v/>
      </c>
      <c r="AU32" s="83" t="n">
        <v>0.9</v>
      </c>
      <c r="AV32" s="170">
        <f>(AJ32-(AE32*(1+$IS$2)+AF32+AG32+AH32+AI32))/AJ32</f>
        <v/>
      </c>
      <c r="AW32" s="171">
        <f>(AE32*(1+$IS$2)+AF32+AG32)/AJ32</f>
        <v/>
      </c>
      <c r="AX32" s="171">
        <f>(AE32*(1+$IS$2))/AJ32</f>
        <v/>
      </c>
      <c r="AY32" s="171">
        <f>(AE32*(1+$IS$2))/(AE32*(1+$IS$2)+AF32+AG32)</f>
        <v/>
      </c>
      <c r="AZ32" s="172">
        <f>MIN(IF($AU32=100%,1,1+VLOOKUP(($AJ32-$AI32-$AH32-$AG32-$AF32-$AE32*(1+AZ$3))/$AJ32,'Технический лист'!$A:$B,2,1)-VLOOKUP($AO32,'Технический лист'!$A:$B,2,1)),1+(1-$AU32))</f>
        <v/>
      </c>
      <c r="BA32" s="172">
        <f>MIN(IF($AU32=100%,1,1+VLOOKUP(($AJ32-$AI32-$AH32-$AG32-$AF32-$AE32*(1+BA$3))/$AJ32,'Технический лист'!$A:$B,2,1)-VLOOKUP($AO32,'Технический лист'!$A:$B,2,1)),1+(1-$AU32))</f>
        <v/>
      </c>
      <c r="BB32" s="172">
        <f>MIN(IF($AU32=100%,1,1+VLOOKUP(($AJ32-$AI32-$AH32-$AG32-$AF32-$AE32*(1+BB$3))/$AJ32,'Технический лист'!$A:$B,2,1)-VLOOKUP($AO32,'Технический лист'!$A:$B,2,1)),1+(1-$AU32))</f>
        <v/>
      </c>
      <c r="BC32" s="172">
        <f>MIN(IF($AU32=100%,1,1+VLOOKUP(($AJ32-$AI32-$AH32-$AG32-$AF32-$AE32*(1+BC$3))/$AJ32,'Технический лист'!$A:$B,2,1)-VLOOKUP($AO32,'Технический лист'!$A:$B,2,1)),1+(1-$AU32))</f>
        <v/>
      </c>
      <c r="BD32" s="172">
        <f>MIN(IF($AU32=100%,1,1+VLOOKUP(($AJ32-$AI32-$AH32-$AG32-$AF32-$AE32*(1+BD$3))/$AJ32,'Технический лист'!$A:$B,2,1)-VLOOKUP($AO32,'Технический лист'!$A:$B,2,1)),1+(1-$AU32))</f>
        <v/>
      </c>
      <c r="BE32" s="172">
        <f>MIN(IF($AU32=100%,1,1+VLOOKUP(($AJ32-$AI32-$AH32-$AG32-$AF32-$AE32*(1+BE$3))/$AJ32,'Технический лист'!$A:$B,2,1)-VLOOKUP($AO32,'Технический лист'!$A:$B,2,1)),1+(1-$AU32))</f>
        <v/>
      </c>
      <c r="BF32" s="172">
        <f>MIN(IF($AU32=100%,1,1+VLOOKUP(($AJ32-$AI32-$AH32-$AG32-$AF32-$AE32*(1+BF$3))/$AJ32,'Технический лист'!$A:$B,2,1)-VLOOKUP($AO32,'Технический лист'!$A:$B,2,1)),1+(1-$AU32))</f>
        <v/>
      </c>
      <c r="BG32" s="172">
        <f>MIN(IF($AU32=100%,1,1+VLOOKUP(($AJ32-$AI32-$AH32-$AG32-$AF32-$AE32*(1+BG$3))/$AJ32,'Технический лист'!$A:$B,2,1)-VLOOKUP($AO32,'Технический лист'!$A:$B,2,1)),1+(1-$AU32))</f>
        <v/>
      </c>
      <c r="BH32" s="172">
        <f>MIN(IF($AU32=100%,1,1+VLOOKUP(($AJ32-$AI32-$AH32-$AG32-$AF32-$AE32*(1+BH$3))/$AJ32,'Технический лист'!$A:$B,2,1)-VLOOKUP($AO32,'Технический лист'!$A:$B,2,1)),1+(1-$AU32))</f>
        <v/>
      </c>
      <c r="BI32" s="172">
        <f>MIN(IF($AU32=100%,1,1+VLOOKUP(($AJ32-$AI32-$AH32-$AG32-$AF32-$AE32*(1+BI$3))/$AJ32,'Технический лист'!$A:$B,2,1)-VLOOKUP($AO32,'Технический лист'!$A:$B,2,1)),1+(1-$AU32))</f>
        <v/>
      </c>
      <c r="BJ32" s="172">
        <f>MIN(IF($AU32=100%,1,1+VLOOKUP(($AJ32-$AI32-$AH32-$AG32-$AF32-$AE32*(1+BJ$3))/$AJ32,'Технический лист'!$A:$B,2,1)-VLOOKUP($AO32,'Технический лист'!$A:$B,2,1)),1+(1-$AU32))</f>
        <v/>
      </c>
      <c r="BK32" s="172">
        <f>MIN(IF($AU32=100%,1,1+VLOOKUP(($AJ32-$AI32-$AH32-$AG32-$AF32-$AE32*(1+BK$3))/$AJ32,'Технический лист'!$A:$B,2,1)-VLOOKUP($AO32,'Технический лист'!$A:$B,2,1)),1+(1-$AU32))</f>
        <v/>
      </c>
      <c r="BL32" s="172">
        <f>MIN(IF($AU32=100%,1,1+VLOOKUP(($AJ32-$AI32-$AH32-$AG32-$AF32-$AE32*(1+BL$3))/$AJ32,'Технический лист'!$A:$B,2,1)-VLOOKUP($AO32,'Технический лист'!$A:$B,2,1)),1+(1-$AU32))</f>
        <v/>
      </c>
      <c r="BM32" s="172">
        <f>MIN(IF($AU32=100%,1,1+VLOOKUP(($AJ32-$AI32-$AH32-$AG32-$AF32-$AE32*(1+BM$3))/$AJ32,'Технический лист'!$A:$B,2,1)-VLOOKUP($AO32,'Технический лист'!$A:$B,2,1)),1+(1-$AU32))</f>
        <v/>
      </c>
      <c r="BN32" s="172">
        <f>MIN(IF($AU32=100%,1,1+VLOOKUP(($AJ32-$AI32-$AH32-$AG32-$AF32-$AE32*(1+BN$3))/$AJ32,'Технический лист'!$A:$B,2,1)-VLOOKUP($AO32,'Технический лист'!$A:$B,2,1)),1+(1-$AU32))</f>
        <v/>
      </c>
      <c r="BO32" s="172">
        <f>MIN(IF($AU32=100%,1,1+VLOOKUP(($AJ32-$AI32-$AH32-$AG32-$AF32-$AE32*(1+BO$3))/$AJ32,'Технический лист'!$A:$B,2,1)-VLOOKUP($AO32,'Технический лист'!$A:$B,2,1)),1+(1-$AU32))</f>
        <v/>
      </c>
      <c r="BP32" s="172">
        <f>MIN(IF($AU32=100%,1,1+VLOOKUP(($AJ32-$AI32-$AH32-$AG32-$AF32-$AE32*(1+BP$3))/$AJ32,'Технический лист'!$A:$B,2,1)-VLOOKUP($AO32,'Технический лист'!$A:$B,2,1)),1+(1-$AU32))</f>
        <v/>
      </c>
      <c r="BQ32" s="172">
        <f>MIN(IF($AU32=100%,1,1+VLOOKUP(($AJ32-$AI32-$AH32-$AG32-$AF32-$AE32*(1+BQ$3))/$AJ32,'Технический лист'!$A:$B,2,1)-VLOOKUP($AO32,'Технический лист'!$A:$B,2,1)),1+(1-$AU32))</f>
        <v/>
      </c>
      <c r="BR32" s="172">
        <f>MIN(IF($AU32=100%,1,1+VLOOKUP(($AJ32-$AI32-$AH32-$AG32-$AF32-$AE32*(1+BR$3))/$AJ32,'Технический лист'!$A:$B,2,1)-VLOOKUP($AO32,'Технический лист'!$A:$B,2,1)),1+(1-$AU32))</f>
        <v/>
      </c>
      <c r="BS32" s="172">
        <f>MIN(IF($AU32=100%,1,1+VLOOKUP(($AJ32-$AI32-$AH32-$AG32-$AF32-$AE32*(1+BS$3))/$AJ32,'Технический лист'!$A:$B,2,1)-VLOOKUP($AO32,'Технический лист'!$A:$B,2,1)),1+(1-$AU32))</f>
        <v/>
      </c>
      <c r="BT32" s="172">
        <f>MIN(IF($AU32=100%,1,1+VLOOKUP(($AJ32-$AI32-$AH32-$AG32-$AF32-$AE32*(1+BT$3))/$AJ32,'Технический лист'!$A:$B,2,1)-VLOOKUP($AO32,'Технический лист'!$A:$B,2,1)),1+(1-$AU32))</f>
        <v/>
      </c>
      <c r="BU32" s="172">
        <f>MIN(IF($AU32=100%,1,1+VLOOKUP(($AJ32-$AI32-$AH32-$AG32-$AF32-$AE32*(1+BU$3))/$AJ32,'Технический лист'!$A:$B,2,1)-VLOOKUP($AO32,'Технический лист'!$A:$B,2,1)),1+(1-$AU32))</f>
        <v/>
      </c>
      <c r="BV32" s="172">
        <f>MIN(IF($AU32=100%,1,1+VLOOKUP(($AJ32-$AI32-$AH32-$AG32-$AF32-$AE32*(1+BV$3))/$AJ32,'Технический лист'!$A:$B,2,1)-VLOOKUP($AO32,'Технический лист'!$A:$B,2,1)),1+(1-$AU32))</f>
        <v/>
      </c>
      <c r="BW32" s="172">
        <f>MIN(IF($AU32=100%,1,1+VLOOKUP(($AJ32-$AI32-$AH32-$AG32-$AF32-$AE32*(1+BW$3))/$AJ32,'Технический лист'!$A:$B,2,1)-VLOOKUP($AO32,'Технический лист'!$A:$B,2,1)),1+(1-$AU32))</f>
        <v/>
      </c>
      <c r="BX32" s="172">
        <f>MIN(IF($AU32=100%,1,1+VLOOKUP(($AJ32-$AI32-$AH32-$AG32-$AF32-$AE32*(1+BX$3))/$AJ32,'Технический лист'!$A:$B,2,1)-VLOOKUP($AO32,'Технический лист'!$A:$B,2,1)),1+(1-$AU32))</f>
        <v/>
      </c>
      <c r="BY32" s="172">
        <f>MIN(IF($AU32=100%,1,1+VLOOKUP(($AJ32-$AI32-$AH32-$AG32-$AF32-$AE32*(1+BY$3))/$AJ32,'Технический лист'!$A:$B,2,1)-VLOOKUP($AO32,'Технический лист'!$A:$B,2,1)),1+(1-$AU32))</f>
        <v/>
      </c>
      <c r="BZ32" s="172">
        <f>MIN(IF($AU32=100%,1,1+VLOOKUP(($AJ32-$AI32-$AH32-$AG32-$AF32-$AE32*(1+BZ$3))/$AJ32,'Технический лист'!$A:$B,2,1)-VLOOKUP($AO32,'Технический лист'!$A:$B,2,1)),1+(1-$AU32))</f>
        <v/>
      </c>
      <c r="CA32" s="172">
        <f>MIN(IF($AU32=100%,1,1+VLOOKUP(($AJ32-$AI32-$AH32-$AG32-$AF32-$AE32*(1+CA$3))/$AJ32,'Технический лист'!$A:$B,2,1)-VLOOKUP($AO32,'Технический лист'!$A:$B,2,1)),1+(1-$AU32))</f>
        <v/>
      </c>
      <c r="CB32" s="172">
        <f>MIN(IF($AU32=100%,1,1+VLOOKUP(($AJ32-$AI32-$AH32-$AG32-$AF32-$AE32*(1+CB$3))/$AJ32,'Технический лист'!$A:$B,2,1)-VLOOKUP($AO32,'Технический лист'!$A:$B,2,1)),1+(1-$AU32))</f>
        <v/>
      </c>
      <c r="CC32" s="172">
        <f>MIN(IF($AU32=100%,1,1+VLOOKUP(($AJ32-$AI32-$AH32-$AG32-$AF32-$AE32*(1+CC$3))/$AJ32,'Технический лист'!$A:$B,2,1)-VLOOKUP($AO32,'Технический лист'!$A:$B,2,1)),1+(1-$AU32))</f>
        <v/>
      </c>
      <c r="CD32" s="172">
        <f>MIN(IF($AU32=100%,1,1+VLOOKUP(($AJ32-$AI32-$AH32-$AG32-$AF32-$AE32*(1+CD$3))/$AJ32,'Технический лист'!$A:$B,2,1)-VLOOKUP($AO32,'Технический лист'!$A:$B,2,1)),1+(1-$AU32))</f>
        <v/>
      </c>
      <c r="CE32" s="172">
        <f>MIN(IF($AU32=100%,1,1+VLOOKUP(($AJ32-$AI32-$AH32-$AG32-$AF32-$AE32*(1+CE$3))/$AJ32,'Технический лист'!$A:$B,2,1)-VLOOKUP($AO32,'Технический лист'!$A:$B,2,1)),1+(1-$AU32))</f>
        <v/>
      </c>
      <c r="CF32" s="172">
        <f>MIN(IF($AU32=100%,1,1+VLOOKUP(($AJ32-$AI32-$AH32-$AG32-$AF32-$AE32*(1+CF$3))/$AJ32,'Технический лист'!$A:$B,2,1)-VLOOKUP($AO32,'Технический лист'!$A:$B,2,1)),1+(1-$AU32))</f>
        <v/>
      </c>
      <c r="CG32" s="172">
        <f>MIN(IF($AU32=100%,1,1+VLOOKUP(($AJ32-$AI32-$AH32-$AG32-$AF32-$AE32*(1+CG$3))/$AJ32,'Технический лист'!$A:$B,2,1)-VLOOKUP($AO32,'Технический лист'!$A:$B,2,1)),1+(1-$AU32))</f>
        <v/>
      </c>
      <c r="CH32" s="172">
        <f>MIN(IF($AU32=100%,1,1+VLOOKUP(($AJ32-$AI32-$AH32-$AG32-$AF32-$AE32*(1+CH$3))/$AJ32,'Технический лист'!$A:$B,2,1)-VLOOKUP($AO32,'Технический лист'!$A:$B,2,1)),1+(1-$AU32))</f>
        <v/>
      </c>
      <c r="CI32" s="172">
        <f>MIN(IF($AU32=100%,1,1+VLOOKUP(($AJ32-$AI32-$AH32-$AG32-$AF32-$AE32*(1+CI$3))/$AJ32,'Технический лист'!$A:$B,2,1)-VLOOKUP($AO32,'Технический лист'!$A:$B,2,1)),1+(1-$AU32))</f>
        <v/>
      </c>
      <c r="CJ32" s="172">
        <f>MIN(IF($AU32=100%,1,1+VLOOKUP(($AJ32-$AI32-$AH32-$AG32-$AF32-$AE32*(1+CJ$3))/$AJ32,'Технический лист'!$A:$B,2,1)-VLOOKUP($AO32,'Технический лист'!$A:$B,2,1)),1+(1-$AU32))</f>
        <v/>
      </c>
      <c r="CK32" s="172">
        <f>MIN(IF($AU32=100%,1,1+VLOOKUP(($AJ32-$AI32-$AH32-$AG32-$AF32-$AE32*(1+CK$3))/$AJ32,'Технический лист'!$A:$B,2,1)-VLOOKUP($AO32,'Технический лист'!$A:$B,2,1)),1+(1-$AU32))</f>
        <v/>
      </c>
      <c r="CL32" s="172">
        <f>MIN(IF($AU32=100%,1,1+VLOOKUP(($AJ32-$AI32-$AH32-$AG32-$AF32-$AE32*(1+CL$3))/$AJ32,'Технический лист'!$A:$B,2,1)-VLOOKUP($AO32,'Технический лист'!$A:$B,2,1)),1+(1-$AU32))</f>
        <v/>
      </c>
      <c r="CM32" s="172">
        <f>MIN(IF($AU32=100%,1,1+VLOOKUP(($AJ32-$AI32-$AH32-$AG32-$AF32-$AE32*(1+CM$3))/$AJ32,'Технический лист'!$A:$B,2,1)-VLOOKUP($AO32,'Технический лист'!$A:$B,2,1)),1+(1-$AU32))</f>
        <v/>
      </c>
      <c r="CN32" s="172">
        <f>MIN(IF($AU32=100%,1,1+VLOOKUP(($AJ32-$AI32-$AH32-$AG32-$AF32-$AE32*(1+CN$3))/$AJ32,'Технический лист'!$A:$B,2,1)-VLOOKUP($AO32,'Технический лист'!$A:$B,2,1)),1+(1-$AU32))</f>
        <v/>
      </c>
      <c r="CO32" s="172">
        <f>MIN(IF($AU32=100%,1,1+VLOOKUP(($AJ32-$AI32-$AH32-$AG32-$AF32-$AE32*(1+CO$3))/$AJ32,'Технический лист'!$A:$B,2,1)-VLOOKUP($AO32,'Технический лист'!$A:$B,2,1)),1+(1-$AU32))</f>
        <v/>
      </c>
      <c r="CP32" s="172">
        <f>MIN(IF($AU32=100%,1,1+VLOOKUP(($AJ32-$AI32-$AH32-$AG32-$AF32-$AE32*(1+CP$3))/$AJ32,'Технический лист'!$A:$B,2,1)-VLOOKUP($AO32,'Технический лист'!$A:$B,2,1)),1+(1-$AU32))</f>
        <v/>
      </c>
      <c r="CQ32" s="172">
        <f>MIN(IF($AU32=100%,1,1+VLOOKUP(($AJ32-$AI32-$AH32-$AG32-$AF32-$AE32*(1+CQ$3))/$AJ32,'Технический лист'!$A:$B,2,1)-VLOOKUP($AO32,'Технический лист'!$A:$B,2,1)),1+(1-$AU32))</f>
        <v/>
      </c>
      <c r="CR32" s="172">
        <f>MIN(IF($AU32=100%,1,1+VLOOKUP(($AJ32-$AI32-$AH32-$AG32-$AF32-$AE32*(1+CR$3))/$AJ32,'Технический лист'!$A:$B,2,1)-VLOOKUP($AO32,'Технический лист'!$A:$B,2,1)),1+(1-$AU32))</f>
        <v/>
      </c>
      <c r="CS32" s="172">
        <f>MIN(IF($AU32=100%,1,1+VLOOKUP(($AJ32-$AI32-$AH32-$AG32-$AF32-$AE32*(1+CS$3))/$AJ32,'Технический лист'!$A:$B,2,1)-VLOOKUP($AO32,'Технический лист'!$A:$B,2,1)),1+(1-$AU32))</f>
        <v/>
      </c>
      <c r="CT32" s="172">
        <f>MIN(IF($AU32=100%,1,1+VLOOKUP(($AJ32-$AI32-$AH32-$AG32-$AF32-$AE32*(1+CT$3))/$AJ32,'Технический лист'!$A:$B,2,1)-VLOOKUP($AO32,'Технический лист'!$A:$B,2,1)),1+(1-$AU32))</f>
        <v/>
      </c>
      <c r="CU32" s="172">
        <f>MIN(IF($AU32=100%,1,1+VLOOKUP(($AJ32-$AI32-$AH32-$AG32-$AF32-$AE32*(1+CU$3))/$AJ32,'Технический лист'!$A:$B,2,1)-VLOOKUP($AO32,'Технический лист'!$A:$B,2,1)),1+(1-$AU32))</f>
        <v/>
      </c>
      <c r="CV32" s="172">
        <f>MIN(IF($AU32=100%,1,1+VLOOKUP(($AJ32-$AI32-$AH32-$AG32-$AF32-$AE32*(1+CV$3))/$AJ32,'Технический лист'!$A:$B,2,1)-VLOOKUP($AO32,'Технический лист'!$A:$B,2,1)),1+(1-$AU32))</f>
        <v/>
      </c>
      <c r="CW32" s="172">
        <f>MIN(IF($AU32=100%,1,1+VLOOKUP(($AJ32-$AI32-$AH32-$AG32-$AF32-$AE32*(1+CW$3))/$AJ32,'Технический лист'!$A:$B,2,1)-VLOOKUP($AO32,'Технический лист'!$A:$B,2,1)),1+(1-$AU32))</f>
        <v/>
      </c>
      <c r="CX32" s="172">
        <f>MIN(IF($AU32=100%,1,1+VLOOKUP(($AJ32-$AI32-$AH32-$AG32-$AF32-$AE32*(1+CX$3))/$AJ32,'Технический лист'!$A:$B,2,1)-VLOOKUP($AO32,'Технический лист'!$A:$B,2,1)),1+(1-$AU32))</f>
        <v/>
      </c>
      <c r="CY32" s="172">
        <f>MIN(IF($AU32=100%,1,1+VLOOKUP(($AJ32-$AI32-$AH32-$AG32-$AF32-$AE32*(1+CY$3))/$AJ32,'Технический лист'!$A:$B,2,1)-VLOOKUP($AO32,'Технический лист'!$A:$B,2,1)),1+(1-$AU32))</f>
        <v/>
      </c>
      <c r="CZ32" s="172">
        <f>MIN(IF($AU32=100%,1,1+VLOOKUP(($AJ32-$AI32-$AH32-$AG32-$AF32-$AE32*(1+CZ$3))/$AJ32,'Технический лист'!$A:$B,2,1)-VLOOKUP($AO32,'Технический лист'!$A:$B,2,1)),1+(1-$AU32))</f>
        <v/>
      </c>
      <c r="DA32" s="172">
        <f>MIN(IF($AU32=100%,1,1+VLOOKUP(($AJ32-$AI32-$AH32-$AG32-$AF32-$AE32*(1+DA$3))/$AJ32,'Технический лист'!$A:$B,2,1)-VLOOKUP($AO32,'Технический лист'!$A:$B,2,1)),1+(1-$AU32))</f>
        <v/>
      </c>
      <c r="DB32" s="172">
        <f>MIN(IF($AU32=100%,1,1+VLOOKUP(($AJ32-$AI32-$AH32-$AG32-$AF32-$AE32*(1+DB$3))/$AJ32,'Технический лист'!$A:$B,2,1)-VLOOKUP($AO32,'Технический лист'!$A:$B,2,1)),1+(1-$AU32))</f>
        <v/>
      </c>
      <c r="DC32" s="172">
        <f>MIN(IF($AU32=100%,1,1+VLOOKUP(($AJ32-$AI32-$AH32-$AG32-$AF32-$AE32*(1+DC$3))/$AJ32,'Технический лист'!$A:$B,2,1)-VLOOKUP($AO32,'Технический лист'!$A:$B,2,1)),1+(1-$AU32))</f>
        <v/>
      </c>
      <c r="DD32" s="172">
        <f>MIN(IF($AU32=100%,1,1+VLOOKUP(($AJ32-$AI32-$AH32-$AG32-$AF32-$AE32*(1+DD$3))/$AJ32,'Технический лист'!$A:$B,2,1)-VLOOKUP($AO32,'Технический лист'!$A:$B,2,1)),1+(1-$AU32))</f>
        <v/>
      </c>
      <c r="DE32" s="172">
        <f>MIN(IF($AU32=100%,1,1+VLOOKUP(($AJ32-$AI32-$AH32-$AG32-$AF32-$AE32*(1+DE$3))/$AJ32,'Технический лист'!$A:$B,2,1)-VLOOKUP($AO32,'Технический лист'!$A:$B,2,1)),1+(1-$AU32))</f>
        <v/>
      </c>
      <c r="DF32" s="172">
        <f>MIN(IF($AU32=100%,1,1+VLOOKUP(($AJ32-$AI32-$AH32-$AG32-$AF32-$AE32*(1+DF$3))/$AJ32,'Технический лист'!$A:$B,2,1)-VLOOKUP($AO32,'Технический лист'!$A:$B,2,1)),1+(1-$AU32))</f>
        <v/>
      </c>
      <c r="DG32" s="172">
        <f>MIN(IF($AU32=100%,1,1+VLOOKUP(($AJ32-$AI32-$AH32-$AG32-$AF32-$AE32*(1+DG$3))/$AJ32,'Технический лист'!$A:$B,2,1)-VLOOKUP($AO32,'Технический лист'!$A:$B,2,1)),1+(1-$AU32))</f>
        <v/>
      </c>
      <c r="DH32" s="172">
        <f>MIN(IF($AU32=100%,1,1+VLOOKUP(($AJ32-$AI32-$AH32-$AG32-$AF32-$AE32*(1+DH$3))/$AJ32,'Технический лист'!$A:$B,2,1)-VLOOKUP($AO32,'Технический лист'!$A:$B,2,1)),1+(1-$AU32))</f>
        <v/>
      </c>
      <c r="DI32" s="172">
        <f>MIN(IF($AU32=100%,1,1+VLOOKUP(($AJ32-$AI32-$AH32-$AG32-$AF32-$AE32*(1+DI$3))/$AJ32,'Технический лист'!$A:$B,2,1)-VLOOKUP($AO32,'Технический лист'!$A:$B,2,1)),1+(1-$AU32))</f>
        <v/>
      </c>
      <c r="DJ32" s="172">
        <f>MIN(IF($AU32=100%,1,1+VLOOKUP(($AJ32-$AI32-$AH32-$AG32-$AF32-$AE32*(1+DJ$3))/$AJ32,'Технический лист'!$A:$B,2,1)-VLOOKUP($AO32,'Технический лист'!$A:$B,2,1)),1+(1-$AU32))</f>
        <v/>
      </c>
      <c r="DK32" s="172">
        <f>MIN(IF($AU32=100%,1,1+VLOOKUP(($AJ32-$AI32-$AH32-$AG32-$AF32-$AE32*(1+DK$3))/$AJ32,'Технический лист'!$A:$B,2,1)-VLOOKUP($AO32,'Технический лист'!$A:$B,2,1)),1+(1-$AU32))</f>
        <v/>
      </c>
      <c r="DL32" s="172">
        <f>MIN(IF($AU32=100%,1,1+VLOOKUP(($AJ32-$AI32-$AH32-$AG32-$AF32-$AE32*(1+DL$3))/$AJ32,'Технический лист'!$A:$B,2,1)-VLOOKUP($AO32,'Технический лист'!$A:$B,2,1)),1+(1-$AU32))</f>
        <v/>
      </c>
      <c r="DM32" s="172">
        <f>MIN(IF($AU32=100%,1,1+VLOOKUP(($AJ32-$AI32-$AH32-$AG32-$AF32-$AE32*(1+DM$3))/$AJ32,'Технический лист'!$A:$B,2,1)-VLOOKUP($AO32,'Технический лист'!$A:$B,2,1)),1+(1-$AU32))</f>
        <v/>
      </c>
      <c r="DN32" s="172">
        <f>MIN(IF($AU32=100%,1,1+VLOOKUP(($AJ32-$AI32-$AH32-$AG32-$AF32-$AE32*(1+DN$3))/$AJ32,'Технический лист'!$A:$B,2,1)-VLOOKUP($AO32,'Технический лист'!$A:$B,2,1)),1+(1-$AU32))</f>
        <v/>
      </c>
      <c r="DO32" s="172">
        <f>MIN(IF($AU32=100%,1,1+VLOOKUP(($AJ32-$AI32-$AH32-$AG32-$AF32-$AE32*(1+DO$3))/$AJ32,'Технический лист'!$A:$B,2,1)-VLOOKUP($AO32,'Технический лист'!$A:$B,2,1)),1+(1-$AU32))</f>
        <v/>
      </c>
      <c r="DP32" s="172">
        <f>MIN(IF($AU32=100%,1,1+VLOOKUP(($AJ32-$AI32-$AH32-$AG32-$AF32-$AE32*(1+DP$3))/$AJ32,'Технический лист'!$A:$B,2,1)-VLOOKUP($AO32,'Технический лист'!$A:$B,2,1)),1+(1-$AU32))</f>
        <v/>
      </c>
      <c r="DQ32" s="172">
        <f>MIN(IF($AU32=100%,1,1+VLOOKUP(($AJ32-$AI32-$AH32-$AG32-$AF32-$AE32*(1+DQ$3))/$AJ32,'Технический лист'!$A:$B,2,1)-VLOOKUP($AO32,'Технический лист'!$A:$B,2,1)),1+(1-$AU32))</f>
        <v/>
      </c>
      <c r="DR32" s="172">
        <f>MIN(IF($AU32=100%,1,1+VLOOKUP(($AJ32-$AI32-$AH32-$AG32-$AF32-$AE32*(1+DR$3))/$AJ32,'Технический лист'!$A:$B,2,1)-VLOOKUP($AO32,'Технический лист'!$A:$B,2,1)),1+(1-$AU32))</f>
        <v/>
      </c>
      <c r="DS32" s="172">
        <f>MIN(IF($AU32=100%,1,1+VLOOKUP(($AJ32-$AI32-$AH32-$AG32-$AF32-$AE32*(1+DS$3))/$AJ32,'Технический лист'!$A:$B,2,1)-VLOOKUP($AO32,'Технический лист'!$A:$B,2,1)),1+(1-$AU32))</f>
        <v/>
      </c>
      <c r="DT32" s="172">
        <f>MIN(IF($AU32=100%,1,1+VLOOKUP(($AJ32-$AI32-$AH32-$AG32-$AF32-$AE32*(1+DT$3))/$AJ32,'Технический лист'!$A:$B,2,1)-VLOOKUP($AO32,'Технический лист'!$A:$B,2,1)),1+(1-$AU32))</f>
        <v/>
      </c>
      <c r="DU32" s="172">
        <f>MIN(IF($AU32=100%,1,1+VLOOKUP(($AJ32-$AI32-$AH32-$AG32-$AF32-$AE32*(1+DU$3))/$AJ32,'Технический лист'!$A:$B,2,1)-VLOOKUP($AO32,'Технический лист'!$A:$B,2,1)),1+(1-$AU32))</f>
        <v/>
      </c>
      <c r="DV32" s="172">
        <f>MIN(IF($AU32=100%,1,1+VLOOKUP(($AJ32-$AI32-$AH32-$AG32-$AF32-$AE32*(1+DV$3))/$AJ32,'Технический лист'!$A:$B,2,1)-VLOOKUP($AO32,'Технический лист'!$A:$B,2,1)),1+(1-$AU32))</f>
        <v/>
      </c>
      <c r="DW32" s="172">
        <f>MIN(IF($AU32=100%,1,1+VLOOKUP(($AJ32-$AI32-$AH32-$AG32-$AF32-$AE32*(1+DW$3))/$AJ32,'Технический лист'!$A:$B,2,1)-VLOOKUP($AO32,'Технический лист'!$A:$B,2,1)),1+(1-$AU32))</f>
        <v/>
      </c>
      <c r="DX32" s="172">
        <f>MIN(IF($AU32=100%,1,1+VLOOKUP(($AJ32-$AI32-$AH32-$AG32-$AF32-$AE32*(1+DX$3))/$AJ32,'Технический лист'!$A:$B,2,1)-VLOOKUP($AO32,'Технический лист'!$A:$B,2,1)),1+(1-$AU32))</f>
        <v/>
      </c>
      <c r="DY32" s="172">
        <f>MIN(IF($AU32=100%,1,1+VLOOKUP(($AJ32-$AI32-$AH32-$AG32-$AF32-$AE32*(1+DY$3))/$AJ32,'Технический лист'!$A:$B,2,1)-VLOOKUP($AO32,'Технический лист'!$A:$B,2,1)),1+(1-$AU32))</f>
        <v/>
      </c>
      <c r="DZ32" s="172">
        <f>MIN(IF($AU32=100%,1,1+VLOOKUP(($AJ32-$AI32-$AH32-$AG32-$AF32-$AE32*(1+DZ$3))/$AJ32,'Технический лист'!$A:$B,2,1)-VLOOKUP($AO32,'Технический лист'!$A:$B,2,1)),1+(1-$AU32))</f>
        <v/>
      </c>
      <c r="EA32" s="172">
        <f>MIN(IF($AU32=100%,1,1+VLOOKUP(($AJ32-$AI32-$AH32-$AG32-$AF32-$AE32*(1+EA$3))/$AJ32,'Технический лист'!$A:$B,2,1)-VLOOKUP($AO32,'Технический лист'!$A:$B,2,1)),1+(1-$AU32))</f>
        <v/>
      </c>
      <c r="EB32" s="172">
        <f>MIN(IF($AU32=100%,1,1+VLOOKUP(($AJ32-$AI32-$AH32-$AG32-$AF32-$AE32*(1+EB$3))/$AJ32,'Технический лист'!$A:$B,2,1)-VLOOKUP($AO32,'Технический лист'!$A:$B,2,1)),1+(1-$AU32))</f>
        <v/>
      </c>
      <c r="EC32" s="172">
        <f>MIN(IF($AU32=100%,1,1+VLOOKUP(($AJ32-$AI32-$AH32-$AG32-$AF32-$AE32*(1+EC$3))/$AJ32,'Технический лист'!$A:$B,2,1)-VLOOKUP($AO32,'Технический лист'!$A:$B,2,1)),1+(1-$AU32))</f>
        <v/>
      </c>
      <c r="ED32" s="172">
        <f>MIN(IF($AU32=100%,1,1+VLOOKUP(($AJ32-$AI32-$AH32-$AG32-$AF32-$AE32*(1+ED$3))/$AJ32,'Технический лист'!$A:$B,2,1)-VLOOKUP($AO32,'Технический лист'!$A:$B,2,1)),1+(1-$AU32))</f>
        <v/>
      </c>
      <c r="EE32" s="172">
        <f>MIN(IF($AU32=100%,1,1+VLOOKUP(($AJ32-$AI32-$AH32-$AG32-$AF32-$AE32*(1+EE$3))/$AJ32,'Технический лист'!$A:$B,2,1)-VLOOKUP($AO32,'Технический лист'!$A:$B,2,1)),1+(1-$AU32))</f>
        <v/>
      </c>
      <c r="EF32" s="172">
        <f>MIN(IF($AU32=100%,1,1+VLOOKUP(($AJ32-$AI32-$AH32-$AG32-$AF32-$AE32*(1+EF$3))/$AJ32,'Технический лист'!$A:$B,2,1)-VLOOKUP($AO32,'Технический лист'!$A:$B,2,1)),1+(1-$AU32))</f>
        <v/>
      </c>
      <c r="EG32" s="172">
        <f>MIN(IF($AU32=100%,1,1+VLOOKUP(($AJ32-$AI32-$AH32-$AG32-$AF32-$AE32*(1+EG$3))/$AJ32,'Технический лист'!$A:$B,2,1)-VLOOKUP($AO32,'Технический лист'!$A:$B,2,1)),1+(1-$AU32))</f>
        <v/>
      </c>
      <c r="EH32" s="172">
        <f>MIN(IF($AU32=100%,1,1+VLOOKUP(($AJ32-$AI32-$AH32-$AG32-$AF32-$AE32*(1+EH$3))/$AJ32,'Технический лист'!$A:$B,2,1)-VLOOKUP($AO32,'Технический лист'!$A:$B,2,1)),1+(1-$AU32))</f>
        <v/>
      </c>
      <c r="EI32" s="172">
        <f>MIN(IF($AU32=100%,1,1+VLOOKUP(($AJ32-$AI32-$AH32-$AG32-$AF32-$AE32*(1+EI$3))/$AJ32,'Технический лист'!$A:$B,2,1)-VLOOKUP($AO32,'Технический лист'!$A:$B,2,1)),1+(1-$AU32))</f>
        <v/>
      </c>
      <c r="EJ32" s="172">
        <f>MIN(IF($AU32=100%,1,1+VLOOKUP(($AJ32-$AI32-$AH32-$AG32-$AF32-$AE32*(1+EJ$3))/$AJ32,'Технический лист'!$A:$B,2,1)-VLOOKUP($AO32,'Технический лист'!$A:$B,2,1)),1+(1-$AU32))</f>
        <v/>
      </c>
      <c r="EK32" s="172">
        <f>MIN(IF($AU32=100%,1,1+VLOOKUP(($AJ32-$AI32-$AH32-$AG32-$AF32-$AE32*(1+EK$3))/$AJ32,'Технический лист'!$A:$B,2,1)-VLOOKUP($AO32,'Технический лист'!$A:$B,2,1)),1+(1-$AU32))</f>
        <v/>
      </c>
      <c r="EL32" s="172">
        <f>MIN(IF($AU32=100%,1,1+VLOOKUP(($AJ32-$AI32-$AH32-$AG32-$AF32-$AE32*(1+EL$3))/$AJ32,'Технический лист'!$A:$B,2,1)-VLOOKUP($AO32,'Технический лист'!$A:$B,2,1)),1+(1-$AU32))</f>
        <v/>
      </c>
      <c r="EM32" s="172">
        <f>MIN(IF($AU32=100%,1,1+VLOOKUP(($AJ32-$AI32-$AH32-$AG32-$AF32-$AE32*(1+EM$3))/$AJ32,'Технический лист'!$A:$B,2,1)-VLOOKUP($AO32,'Технический лист'!$A:$B,2,1)),1+(1-$AU32))</f>
        <v/>
      </c>
      <c r="EN32" s="172">
        <f>MIN(IF($AU32=100%,1,1+VLOOKUP(($AJ32-$AI32-$AH32-$AG32-$AF32-$AE32*(1+EN$3))/$AJ32,'Технический лист'!$A:$B,2,1)-VLOOKUP($AO32,'Технический лист'!$A:$B,2,1)),1+(1-$AU32))</f>
        <v/>
      </c>
      <c r="EO32" s="172">
        <f>MIN(IF($AU32=100%,1,1+VLOOKUP(($AJ32-$AI32-$AH32-$AG32-$AF32-$AE32*(1+EO$3))/$AJ32,'Технический лист'!$A:$B,2,1)-VLOOKUP($AO32,'Технический лист'!$A:$B,2,1)),1+(1-$AU32))</f>
        <v/>
      </c>
      <c r="EP32" s="172">
        <f>MIN(IF($AU32=100%,1,1+VLOOKUP(($AJ32-$AI32-$AH32-$AG32-$AF32-$AE32*(1+EP$3))/$AJ32,'Технический лист'!$A:$B,2,1)-VLOOKUP($AO32,'Технический лист'!$A:$B,2,1)),1+(1-$AU32))</f>
        <v/>
      </c>
      <c r="EQ32" s="172">
        <f>MIN(IF($AU32=100%,1,1+VLOOKUP(($AJ32-$AI32-$AH32-$AG32-$AF32-$AE32*(1+EQ$3))/$AJ32,'Технический лист'!$A:$B,2,1)-VLOOKUP($AO32,'Технический лист'!$A:$B,2,1)),1+(1-$AU32))</f>
        <v/>
      </c>
      <c r="ER32" s="172">
        <f>MIN(IF($AU32=100%,1,1+VLOOKUP(($AJ32-$AI32-$AH32-$AG32-$AF32-$AE32*(1+ER$3))/$AJ32,'Технический лист'!$A:$B,2,1)-VLOOKUP($AO32,'Технический лист'!$A:$B,2,1)),1+(1-$AU32))</f>
        <v/>
      </c>
      <c r="ES32" s="172">
        <f>MIN(IF($AU32=100%,1,1+VLOOKUP(($AJ32-$AI32-$AH32-$AG32-$AF32-$AE32*(1+ES$3))/$AJ32,'Технический лист'!$A:$B,2,1)-VLOOKUP($AO32,'Технический лист'!$A:$B,2,1)),1+(1-$AU32))</f>
        <v/>
      </c>
      <c r="ET32" s="172">
        <f>MIN(IF($AU32=100%,1,1+VLOOKUP(($AJ32-$AI32-$AH32-$AG32-$AF32-$AE32*(1+ET$3))/$AJ32,'Технический лист'!$A:$B,2,1)-VLOOKUP($AO32,'Технический лист'!$A:$B,2,1)),1+(1-$AU32))</f>
        <v/>
      </c>
      <c r="EU32" s="172">
        <f>MIN(IF($AU32=100%,1,1+VLOOKUP(($AJ32-$AI32-$AH32-$AG32-$AF32-$AE32*(1+EU$3))/$AJ32,'Технический лист'!$A:$B,2,1)-VLOOKUP($AO32,'Технический лист'!$A:$B,2,1)),1+(1-$AU32))</f>
        <v/>
      </c>
      <c r="EV32" s="173" t="n">
        <v>1</v>
      </c>
      <c r="EW32" s="172">
        <f>MIN(1,MAX(VLOOKUP(($AJ32-$AI32-$AH32-$AG32-$AF32-$AE32*(1+EW$3))/$AJ32,'Технический лист'!$A:$B,2,1),(EV32-0.05)))</f>
        <v/>
      </c>
      <c r="EX32" s="172">
        <f>MIN(1,MAX(VLOOKUP(($AJ32-$AI32-$AH32-$AG32-$AF32-$AE32*(1+EX$3))/$AJ32,'Технический лист'!$A:$B,2,1),(EW32-0.05)))</f>
        <v/>
      </c>
      <c r="EY32" s="172">
        <f>MIN(1,MAX(VLOOKUP(($AJ32-$AI32-$AH32-$AG32-$AF32-$AE32*(1+EY$3))/$AJ32,'Технический лист'!$A:$B,2,1),(EX32-0.05)))</f>
        <v/>
      </c>
      <c r="EZ32" s="172">
        <f>MIN(1,MAX(VLOOKUP(($AJ32-$AI32-$AH32-$AG32-$AF32-$AE32*(1+EZ$3))/$AJ32,'Технический лист'!$A:$B,2,1),(EY32-0.05)))</f>
        <v/>
      </c>
      <c r="FA32" s="172">
        <f>MIN(1,MAX(VLOOKUP(($AJ32-$AI32-$AH32-$AG32-$AF32-$AE32*(1+FA$3))/$AJ32,'Технический лист'!$A:$B,2,1),(EZ32-0.05)))</f>
        <v/>
      </c>
      <c r="FB32" s="172">
        <f>MIN(1,MAX(VLOOKUP(($AJ32-$AI32-$AH32-$AG32-$AF32-$AE32*(1+FB$3))/$AJ32,'Технический лист'!$A:$B,2,1),(FA32-0.05)))</f>
        <v/>
      </c>
      <c r="FC32" s="172">
        <f>MIN(1,MAX(VLOOKUP(($AJ32-$AI32-$AH32-$AG32-$AF32-$AE32*(1+FC$3))/$AJ32,'Технический лист'!$A:$B,2,1),(FB32-0.05)))</f>
        <v/>
      </c>
      <c r="FD32" s="172">
        <f>MIN(1,MAX(VLOOKUP(($AJ32-$AI32-$AH32-$AG32-$AF32-$AE32*(1+FD$3))/$AJ32,'Технический лист'!$A:$B,2,1),(FC32-0.05)))</f>
        <v/>
      </c>
      <c r="FE32" s="172">
        <f>MIN(1,MAX(VLOOKUP(($AJ32-$AI32-$AH32-$AG32-$AF32-$AE32*(1+FE$3))/$AJ32,'Технический лист'!$A:$B,2,1),(FD32-0.05)))</f>
        <v/>
      </c>
      <c r="FF32" s="172">
        <f>MIN(1,MAX(VLOOKUP(($AJ32-$AI32-$AH32-$AG32-$AF32-$AE32*(1+FF$3))/$AJ32,'Технический лист'!$A:$B,2,1),(FE32-0.05)))</f>
        <v/>
      </c>
      <c r="FG32" s="172">
        <f>MIN(1,MAX(VLOOKUP(($AJ32-$AI32-$AH32-$AG32-$AF32-$AE32*(1+FG$3))/$AJ32,'Технический лист'!$A:$B,2,1),(FF32-0.05)))</f>
        <v/>
      </c>
      <c r="FH32" s="172">
        <f>MIN(1,MAX(VLOOKUP(($AJ32-$AI32-$AH32-$AG32-$AF32-$AE32*(1+FH$3))/$AJ32,'Технический лист'!$A:$B,2,1),(FG32-0.05)))</f>
        <v/>
      </c>
      <c r="FI32" s="172">
        <f>MIN(1,MAX(VLOOKUP(($AJ32-$AI32-$AH32-$AG32-$AF32-$AE32*(1+FI$3))/$AJ32,'Технический лист'!$A:$B,2,1),(FH32-0.05)))</f>
        <v/>
      </c>
      <c r="FJ32" s="172">
        <f>MIN(1,MAX(VLOOKUP(($AJ32-$AI32-$AH32-$AG32-$AF32-$AE32*(1+FJ$3))/$AJ32,'Технический лист'!$A:$B,2,1),(FI32-0.05)))</f>
        <v/>
      </c>
      <c r="FK32" s="172">
        <f>MIN(1,MAX(VLOOKUP(($AJ32-$AI32-$AH32-$AG32-$AF32-$AE32*(1+FK$3))/$AJ32,'Технический лист'!$A:$B,2,1),(FJ32-0.05)))</f>
        <v/>
      </c>
      <c r="FL32" s="172">
        <f>MIN(1,MAX(VLOOKUP(($AJ32-$AI32-$AH32-$AG32-$AF32-$AE32*(1+FL$3))/$AJ32,'Технический лист'!$A:$B,2,1),(FK32-0.05)))</f>
        <v/>
      </c>
      <c r="FM32" s="172">
        <f>MIN(1,MAX(VLOOKUP(($AJ32-$AI32-$AH32-$AG32-$AF32-$AE32*(1+FM$3))/$AJ32,'Технический лист'!$A:$B,2,1),(FL32-0.05)))</f>
        <v/>
      </c>
      <c r="FN32" s="172">
        <f>MIN(1,MAX(VLOOKUP(($AJ32-$AI32-$AH32-$AG32-$AF32-$AE32*(1+FN$3))/$AJ32,'Технический лист'!$A:$B,2,1),(FM32-0.05)))</f>
        <v/>
      </c>
      <c r="FO32" s="172">
        <f>MIN(1,MAX(VLOOKUP(($AJ32-$AI32-$AH32-$AG32-$AF32-$AE32*(1+FO$3))/$AJ32,'Технический лист'!$A:$B,2,1),(FN32-0.05)))</f>
        <v/>
      </c>
      <c r="FP32" s="172">
        <f>MIN(1,MAX(VLOOKUP(($AJ32-$AI32-$AH32-$AG32-$AF32-$AE32*(1+FP$3))/$AJ32,'Технический лист'!$A:$B,2,1),(FO32-0.05)))</f>
        <v/>
      </c>
      <c r="FQ32" s="172">
        <f>MIN(1,MAX(VLOOKUP(($AJ32-$AI32-$AH32-$AG32-$AF32-$AE32*(1+FQ$3))/$AJ32,'Технический лист'!$A:$B,2,1),(FP32-0.05)))</f>
        <v/>
      </c>
      <c r="FR32" s="172">
        <f>MIN(1,MAX(VLOOKUP(($AJ32-$AI32-$AH32-$AG32-$AF32-$AE32*(1+FR$3))/$AJ32,'Технический лист'!$A:$B,2,1),(FQ32-0.05)))</f>
        <v/>
      </c>
      <c r="FS32" s="172">
        <f>MIN(1,MAX(VLOOKUP(($AJ32-$AI32-$AH32-$AG32-$AF32-$AE32*(1+FS$3))/$AJ32,'Технический лист'!$A:$B,2,1),(FR32-0.05)))</f>
        <v/>
      </c>
      <c r="FT32" s="172">
        <f>MIN(1,MAX(VLOOKUP(($AJ32-$AI32-$AH32-$AG32-$AF32-$AE32*(1+FT$3))/$AJ32,'Технический лист'!$A:$B,2,1),(FS32-0.05)))</f>
        <v/>
      </c>
      <c r="FU32" s="172">
        <f>MIN(1,MAX(VLOOKUP(($AJ32-$AI32-$AH32-$AG32-$AF32-$AE32*(1+FU$3))/$AJ32,'Технический лист'!$A:$B,2,1),(FT32-0.05)))</f>
        <v/>
      </c>
      <c r="FV32" s="172">
        <f>MIN(1,MAX(VLOOKUP(($AJ32-$AI32-$AH32-$AG32-$AF32-$AE32*(1+FV$3))/$AJ32,'Технический лист'!$A:$B,2,1),(FU32-0.05)))</f>
        <v/>
      </c>
      <c r="FW32" s="172">
        <f>MIN(1,MAX(VLOOKUP(($AJ32-$AI32-$AH32-$AG32-$AF32-$AE32*(1+FW$3))/$AJ32,'Технический лист'!$A:$B,2,1),(FV32-0.05)))</f>
        <v/>
      </c>
      <c r="FX32" s="172">
        <f>MIN(1,MAX(VLOOKUP(($AJ32-$AI32-$AH32-$AG32-$AF32-$AE32*(1+FX$3))/$AJ32,'Технический лист'!$A:$B,2,1),(FW32-0.05)))</f>
        <v/>
      </c>
      <c r="FY32" s="172">
        <f>MIN(1,MAX(VLOOKUP(($AJ32-$AI32-$AH32-$AG32-$AF32-$AE32*(1+FY$3))/$AJ32,'Технический лист'!$A:$B,2,1),(FX32-0.05)))</f>
        <v/>
      </c>
      <c r="FZ32" s="172">
        <f>MIN(1,MAX(VLOOKUP(($AJ32-$AI32-$AH32-$AG32-$AF32-$AE32*(1+FZ$3))/$AJ32,'Технический лист'!$A:$B,2,1),(FY32-0.05)))</f>
        <v/>
      </c>
      <c r="GA32" s="172">
        <f>MIN(1,MAX(VLOOKUP(($AJ32-$AI32-$AH32-$AG32-$AF32-$AE32*(1+GA$3))/$AJ32,'Технический лист'!$A:$B,2,1),(FZ32-0.05)))</f>
        <v/>
      </c>
      <c r="GB32" s="172">
        <f>MIN(1,MAX(VLOOKUP(($AJ32-$AI32-$AH32-$AG32-$AF32-$AE32*(1+GB$3))/$AJ32,'Технический лист'!$A:$B,2,1),(GA32-0.05)))</f>
        <v/>
      </c>
      <c r="GC32" s="172">
        <f>MIN(1,MAX(VLOOKUP(($AJ32-$AI32-$AH32-$AG32-$AF32-$AE32*(1+GC$3))/$AJ32,'Технический лист'!$A:$B,2,1),(GB32-0.05)))</f>
        <v/>
      </c>
      <c r="GD32" s="172">
        <f>MIN(1,MAX(VLOOKUP(($AJ32-$AI32-$AH32-$AG32-$AF32-$AE32*(1+GD$3))/$AJ32,'Технический лист'!$A:$B,2,1),(GC32-0.05)))</f>
        <v/>
      </c>
      <c r="GE32" s="172">
        <f>MIN(1,MAX(VLOOKUP(($AJ32-$AI32-$AH32-$AG32-$AF32-$AE32*(1+GE$3))/$AJ32,'Технический лист'!$A:$B,2,1),(GD32-0.05)))</f>
        <v/>
      </c>
      <c r="GF32" s="172">
        <f>MIN(1,MAX(VLOOKUP(($AJ32-$AI32-$AH32-$AG32-$AF32-$AE32*(1+GF$3))/$AJ32,'Технический лист'!$A:$B,2,1),(GE32-0.05)))</f>
        <v/>
      </c>
      <c r="GG32" s="172">
        <f>MIN(1,MAX(VLOOKUP(($AJ32-$AI32-$AH32-$AG32-$AF32-$AE32*(1+GG$3))/$AJ32,'Технический лист'!$A:$B,2,1),(GF32-0.05)))</f>
        <v/>
      </c>
      <c r="GH32" s="172">
        <f>MIN(1,MAX(VLOOKUP(($AJ32-$AI32-$AH32-$AG32-$AF32-$AE32*(1+GH$3))/$AJ32,'Технический лист'!$A:$B,2,1),(GG32-0.05)))</f>
        <v/>
      </c>
      <c r="GI32" s="172">
        <f>MIN(1,MAX(VLOOKUP(($AJ32-$AI32-$AH32-$AG32-$AF32-$AE32*(1+GI$3))/$AJ32,'Технический лист'!$A:$B,2,1),(GH32-0.05)))</f>
        <v/>
      </c>
      <c r="GJ32" s="172">
        <f>MIN(1,MAX(VLOOKUP(($AJ32-$AI32-$AH32-$AG32-$AF32-$AE32*(1+GJ$3))/$AJ32,'Технический лист'!$A:$B,2,1),(GI32-0.05)))</f>
        <v/>
      </c>
      <c r="GK32" s="172">
        <f>MIN(1,MAX(VLOOKUP(($AJ32-$AI32-$AH32-$AG32-$AF32-$AE32*(1+GK$3))/$AJ32,'Технический лист'!$A:$B,2,1),(GJ32-0.05)))</f>
        <v/>
      </c>
      <c r="GL32" s="172">
        <f>MIN(1,MAX(VLOOKUP(($AJ32-$AI32-$AH32-$AG32-$AF32-$AE32*(1+GL$3))/$AJ32,'Технический лист'!$A:$B,2,1),(GK32-0.05)))</f>
        <v/>
      </c>
      <c r="GM32" s="172">
        <f>MIN(1,MAX(VLOOKUP(($AJ32-$AI32-$AH32-$AG32-$AF32-$AE32*(1+GM$3))/$AJ32,'Технический лист'!$A:$B,2,1),(GL32-0.05)))</f>
        <v/>
      </c>
      <c r="GN32" s="172">
        <f>MIN(1,MAX(VLOOKUP(($AJ32-$AI32-$AH32-$AG32-$AF32-$AE32*(1+GN$3))/$AJ32,'Технический лист'!$A:$B,2,1),(GM32-0.05)))</f>
        <v/>
      </c>
      <c r="GO32" s="172">
        <f>MIN(1,MAX(VLOOKUP(($AJ32-$AI32-$AH32-$AG32-$AF32-$AE32*(1+GO$3))/$AJ32,'Технический лист'!$A:$B,2,1),(GN32-0.05)))</f>
        <v/>
      </c>
      <c r="GP32" s="172">
        <f>MIN(1,MAX(VLOOKUP(($AJ32-$AI32-$AH32-$AG32-$AF32-$AE32*(1+GP$3))/$AJ32,'Технический лист'!$A:$B,2,1),(GO32-0.05)))</f>
        <v/>
      </c>
      <c r="GQ32" s="172">
        <f>MIN(1,MAX(VLOOKUP(($AJ32-$AI32-$AH32-$AG32-$AF32-$AE32*(1+GQ$3))/$AJ32,'Технический лист'!$A:$B,2,1),(GP32-0.05)))</f>
        <v/>
      </c>
      <c r="GR32" s="172">
        <f>MIN(1,MAX(VLOOKUP(($AJ32-$AI32-$AH32-$AG32-$AF32-$AE32*(1+GR$3))/$AJ32,'Технический лист'!$A:$B,2,1),(GQ32-0.05)))</f>
        <v/>
      </c>
      <c r="GS32" s="172">
        <f>MIN(1,MAX(VLOOKUP(($AJ32-$AI32-$AH32-$AG32-$AF32-$AE32*(1+GS$3))/$AJ32,'Технический лист'!$A:$B,2,1),(GR32-0.05)))</f>
        <v/>
      </c>
      <c r="GT32" s="172">
        <f>MIN(1,MAX(VLOOKUP(($AJ32-$AI32-$AH32-$AG32-$AF32-$AE32*(1+GT$3))/$AJ32,'Технический лист'!$A:$B,2,1),(GS32-0.05)))</f>
        <v/>
      </c>
      <c r="GU32" s="172">
        <f>MIN(1,MAX(VLOOKUP(($AJ32-$AI32-$AH32-$AG32-$AF32-$AE32*(1+GU$3))/$AJ32,'Технический лист'!$A:$B,2,1),(GT32-0.05)))</f>
        <v/>
      </c>
      <c r="GV32" s="172">
        <f>MIN(1,MAX(VLOOKUP(($AJ32-$AI32-$AH32-$AG32-$AF32-$AE32*(1+GV$3))/$AJ32,'Технический лист'!$A:$B,2,1),(GU32-0.05)))</f>
        <v/>
      </c>
      <c r="GW32" s="172">
        <f>MIN(1,MAX(VLOOKUP(($AJ32-$AI32-$AH32-$AG32-$AF32-$AE32*(1+GW$3))/$AJ32,'Технический лист'!$A:$B,2,1),(GV32-0.05)))</f>
        <v/>
      </c>
      <c r="GX32" s="172">
        <f>MIN(1,MAX(VLOOKUP(($AJ32-$AI32-$AH32-$AG32-$AF32-$AE32*(1+GX$3))/$AJ32,'Технический лист'!$A:$B,2,1),(GW32-0.05)))</f>
        <v/>
      </c>
      <c r="GY32" s="172">
        <f>MIN(1,MAX(VLOOKUP(($AJ32-$AI32-$AH32-$AG32-$AF32-$AE32*(1+GY$3))/$AJ32,'Технический лист'!$A:$B,2,1),(GX32-0.05)))</f>
        <v/>
      </c>
      <c r="GZ32" s="172">
        <f>MIN(1,MAX(VLOOKUP(($AJ32-$AI32-$AH32-$AG32-$AF32-$AE32*(1+GZ$3))/$AJ32,'Технический лист'!$A:$B,2,1),(GY32-0.05)))</f>
        <v/>
      </c>
      <c r="HA32" s="172">
        <f>MIN(1,MAX(VLOOKUP(($AJ32-$AI32-$AH32-$AG32-$AF32-$AE32*(1+HA$3))/$AJ32,'Технический лист'!$A:$B,2,1),(GZ32-0.05)))</f>
        <v/>
      </c>
      <c r="HB32" s="172">
        <f>MIN(1,MAX(VLOOKUP(($AJ32-$AI32-$AH32-$AG32-$AF32-$AE32*(1+HB$3))/$AJ32,'Технический лист'!$A:$B,2,1),(HA32-0.05)))</f>
        <v/>
      </c>
      <c r="HC32" s="172">
        <f>MIN(1,MAX(VLOOKUP(($AJ32-$AI32-$AH32-$AG32-$AF32-$AE32*(1+HC$3))/$AJ32,'Технический лист'!$A:$B,2,1),(HB32-0.05)))</f>
        <v/>
      </c>
      <c r="HD32" s="172">
        <f>MIN(1,MAX(VLOOKUP(($AJ32-$AI32-$AH32-$AG32-$AF32-$AE32*(1+HD$3))/$AJ32,'Технический лист'!$A:$B,2,1),(HC32-0.05)))</f>
        <v/>
      </c>
      <c r="HE32" s="172">
        <f>MIN(1,MAX(VLOOKUP(($AJ32-$AI32-$AH32-$AG32-$AF32-$AE32*(1+HE$3))/$AJ32,'Технический лист'!$A:$B,2,1),(HD32-0.05)))</f>
        <v/>
      </c>
      <c r="HF32" s="172">
        <f>MIN(1,MAX(VLOOKUP(($AJ32-$AI32-$AH32-$AG32-$AF32-$AE32*(1+HF$3))/$AJ32,'Технический лист'!$A:$B,2,1),(HE32-0.05)))</f>
        <v/>
      </c>
      <c r="HG32" s="172">
        <f>MIN(1,MAX(VLOOKUP(($AJ32-$AI32-$AH32-$AG32-$AF32-$AE32*(1+HG$3))/$AJ32,'Технический лист'!$A:$B,2,1),(HF32-0.05)))</f>
        <v/>
      </c>
      <c r="HH32" s="172">
        <f>MIN(1,MAX(VLOOKUP(($AJ32-$AI32-$AH32-$AG32-$AF32-$AE32*(1+HH$3))/$AJ32,'Технический лист'!$A:$B,2,1),(HG32-0.05)))</f>
        <v/>
      </c>
      <c r="HI32" s="172">
        <f>MIN(1,MAX(VLOOKUP(($AJ32-$AI32-$AH32-$AG32-$AF32-$AE32*(1+HI$3))/$AJ32,'Технический лист'!$A:$B,2,1),(HH32-0.05)))</f>
        <v/>
      </c>
      <c r="HJ32" s="172">
        <f>MIN(1,MAX(VLOOKUP(($AJ32-$AI32-$AH32-$AG32-$AF32-$AE32*(1+HJ$3))/$AJ32,'Технический лист'!$A:$B,2,1),(HI32-0.05)))</f>
        <v/>
      </c>
      <c r="HK32" s="172">
        <f>MIN(1,MAX(VLOOKUP(($AJ32-$AI32-$AH32-$AG32-$AF32-$AE32*(1+HK$3))/$AJ32,'Технический лист'!$A:$B,2,1),(HJ32-0.05)))</f>
        <v/>
      </c>
      <c r="HL32" s="172">
        <f>MIN(1,MAX(VLOOKUP(($AJ32-$AI32-$AH32-$AG32-$AF32-$AE32*(1+HL$3))/$AJ32,'Технический лист'!$A:$B,2,1),(HK32-0.05)))</f>
        <v/>
      </c>
      <c r="HM32" s="172">
        <f>MIN(1,MAX(VLOOKUP(($AJ32-$AI32-$AH32-$AG32-$AF32-$AE32*(1+HM$3))/$AJ32,'Технический лист'!$A:$B,2,1),(HL32-0.05)))</f>
        <v/>
      </c>
      <c r="HN32" s="172">
        <f>MIN(1,MAX(VLOOKUP(($AJ32-$AI32-$AH32-$AG32-$AF32-$AE32*(1+HN$3))/$AJ32,'Технический лист'!$A:$B,2,1),(HM32-0.05)))</f>
        <v/>
      </c>
      <c r="HO32" s="172">
        <f>MIN(1,MAX(VLOOKUP(($AJ32-$AI32-$AH32-$AG32-$AF32-$AE32*(1+HO$3))/$AJ32,'Технический лист'!$A:$B,2,1),(HN32-0.05)))</f>
        <v/>
      </c>
      <c r="HP32" s="172">
        <f>MIN(1,MAX(VLOOKUP(($AJ32-$AI32-$AH32-$AG32-$AF32-$AE32*(1+HP$3))/$AJ32,'Технический лист'!$A:$B,2,1),(HO32-0.05)))</f>
        <v/>
      </c>
      <c r="HQ32" s="172">
        <f>MIN(1,MAX(VLOOKUP(($AJ32-$AI32-$AH32-$AG32-$AF32-$AE32*(1+HQ$3))/$AJ32,'Технический лист'!$A:$B,2,1),(HP32-0.05)))</f>
        <v/>
      </c>
      <c r="HR32" s="172">
        <f>MIN(1,MAX(VLOOKUP(($AJ32-$AI32-$AH32-$AG32-$AF32-$AE32*(1+HR$3))/$AJ32,'Технический лист'!$A:$B,2,1),(HQ32-0.05)))</f>
        <v/>
      </c>
      <c r="HS32" s="172">
        <f>MIN(1,MAX(VLOOKUP(($AJ32-$AI32-$AH32-$AG32-$AF32-$AE32*(1+HS$3))/$AJ32,'Технический лист'!$A:$B,2,1),(HR32-0.05)))</f>
        <v/>
      </c>
      <c r="HT32" s="172">
        <f>MIN(1,MAX(VLOOKUP(($AJ32-$AI32-$AH32-$AG32-$AF32-$AE32*(1+HT$3))/$AJ32,'Технический лист'!$A:$B,2,1),(HS32-0.05)))</f>
        <v/>
      </c>
      <c r="HU32" s="172">
        <f>MIN(1,MAX(VLOOKUP(($AJ32-$AI32-$AH32-$AG32-$AF32-$AE32*(1+HU$3))/$AJ32,'Технический лист'!$A:$B,2,1),(HT32-0.05)))</f>
        <v/>
      </c>
      <c r="HV32" s="172">
        <f>MIN(1,MAX(VLOOKUP(($AJ32-$AI32-$AH32-$AG32-$AF32-$AE32*(1+HV$3))/$AJ32,'Технический лист'!$A:$B,2,1),(HU32-0.05)))</f>
        <v/>
      </c>
      <c r="HW32" s="172">
        <f>MIN(1,MAX(VLOOKUP(($AJ32-$AI32-$AH32-$AG32-$AF32-$AE32*(1+HW$3))/$AJ32,'Технический лист'!$A:$B,2,1),(HV32-0.05)))</f>
        <v/>
      </c>
      <c r="HX32" s="172">
        <f>MIN(1,MAX(VLOOKUP(($AJ32-$AI32-$AH32-$AG32-$AF32-$AE32*(1+HX$3))/$AJ32,'Технический лист'!$A:$B,2,1),(HW32-0.05)))</f>
        <v/>
      </c>
      <c r="HY32" s="172">
        <f>MIN(1,MAX(VLOOKUP(($AJ32-$AI32-$AH32-$AG32-$AF32-$AE32*(1+HY$3))/$AJ32,'Технический лист'!$A:$B,2,1),(HX32-0.05)))</f>
        <v/>
      </c>
      <c r="HZ32" s="172">
        <f>MIN(1,MAX(VLOOKUP(($AJ32-$AI32-$AH32-$AG32-$AF32-$AE32*(1+HZ$3))/$AJ32,'Технический лист'!$A:$B,2,1),(HY32-0.05)))</f>
        <v/>
      </c>
      <c r="IA32" s="172">
        <f>MIN(1,MAX(VLOOKUP(($AJ32-$AI32-$AH32-$AG32-$AF32-$AE32*(1+IA$3))/$AJ32,'Технический лист'!$A:$B,2,1),(HZ32-0.05)))</f>
        <v/>
      </c>
      <c r="IB32" s="172">
        <f>MIN(1,MAX(VLOOKUP(($AJ32-$AI32-$AH32-$AG32-$AF32-$AE32*(1+IB$3))/$AJ32,'Технический лист'!$A:$B,2,1),(IA32-0.05)))</f>
        <v/>
      </c>
      <c r="IC32" s="172">
        <f>MIN(1,MAX(VLOOKUP(($AJ32-$AI32-$AH32-$AG32-$AF32-$AE32*(1+IC$3))/$AJ32,'Технический лист'!$A:$B,2,1),(IB32-0.05)))</f>
        <v/>
      </c>
      <c r="ID32" s="172">
        <f>MIN(1,MAX(VLOOKUP(($AJ32-$AI32-$AH32-$AG32-$AF32-$AE32*(1+ID$3))/$AJ32,'Технический лист'!$A:$B,2,1),(IC32-0.05)))</f>
        <v/>
      </c>
      <c r="IE32" s="172">
        <f>MIN(1,MAX(VLOOKUP(($AJ32-$AI32-$AH32-$AG32-$AF32-$AE32*(1+IE$3))/$AJ32,'Технический лист'!$A:$B,2,1),(ID32-0.05)))</f>
        <v/>
      </c>
      <c r="IF32" s="172">
        <f>MIN(1,MAX(VLOOKUP(($AJ32-$AI32-$AH32-$AG32-$AF32-$AE32*(1+IF$3))/$AJ32,'Технический лист'!$A:$B,2,1),(IE32-0.05)))</f>
        <v/>
      </c>
      <c r="IG32" s="172">
        <f>MIN(1,MAX(VLOOKUP(($AJ32-$AI32-$AH32-$AG32-$AF32-$AE32*(1+IG$3))/$AJ32,'Технический лист'!$A:$B,2,1),(IF32-0.05)))</f>
        <v/>
      </c>
      <c r="IH32" s="172">
        <f>MIN(1,MAX(VLOOKUP(($AJ32-$AI32-$AH32-$AG32-$AF32-$AE32*(1+IH$3))/$AJ32,'Технический лист'!$A:$B,2,1),(IG32-0.05)))</f>
        <v/>
      </c>
      <c r="II32" s="172">
        <f>MIN(1,MAX(VLOOKUP(($AJ32-$AI32-$AH32-$AG32-$AF32-$AE32*(1+II$3))/$AJ32,'Технический лист'!$A:$B,2,1),(IH32-0.05)))</f>
        <v/>
      </c>
      <c r="IJ32" s="172">
        <f>MIN(1,MAX(VLOOKUP(($AJ32-$AI32-$AH32-$AG32-$AF32-$AE32*(1+IJ$3))/$AJ32,'Технический лист'!$A:$B,2,1),(II32-0.05)))</f>
        <v/>
      </c>
      <c r="IK32" s="172">
        <f>MIN(1,MAX(VLOOKUP(($AJ32-$AI32-$AH32-$AG32-$AF32-$AE32*(1+IK$3))/$AJ32,'Технический лист'!$A:$B,2,1),(IJ32-0.05)))</f>
        <v/>
      </c>
      <c r="IL32" s="172">
        <f>MIN(1,MAX(VLOOKUP(($AJ32-$AI32-$AH32-$AG32-$AF32-$AE32*(1+IL$3))/$AJ32,'Технический лист'!$A:$B,2,1),(IK32-0.05)))</f>
        <v/>
      </c>
      <c r="IM32" s="172">
        <f>MIN(1,MAX(VLOOKUP(($AJ32-$AI32-$AH32-$AG32-$AF32-$AE32*(1+IM$3))/$AJ32,'Технический лист'!$A:$B,2,1),(IL32-0.05)))</f>
        <v/>
      </c>
      <c r="IN32" s="172">
        <f>MIN(1,MAX(VLOOKUP(($AJ32-$AI32-$AH32-$AG32-$AF32-$AE32*(1+IN$3))/$AJ32,'Технический лист'!$A:$B,2,1),(IM32-0.05)))</f>
        <v/>
      </c>
      <c r="IO32" s="172">
        <f>MIN(1,MAX(VLOOKUP(($AJ32-$AI32-$AH32-$AG32-$AF32-$AE32*(1+IO$3))/$AJ32,'Технический лист'!$A:$B,2,1),(IN32-0.05)))</f>
        <v/>
      </c>
      <c r="IP32" s="172">
        <f>MIN(1,MAX(VLOOKUP(($AJ32-$AI32-$AH32-$AG32-$AF32-$AE32*(1+IP$3))/$AJ32,'Технический лист'!$A:$B,2,1),(IO32-0.05)))</f>
        <v/>
      </c>
      <c r="IQ32" s="172">
        <f>MIN(1,MAX(VLOOKUP(($AJ32-$AI32-$AH32-$AG32-$AF32-$AE32*(1+IQ$3))/$AJ32,'Технический лист'!$A:$B,2,1),(IP32-0.05)))</f>
        <v/>
      </c>
      <c r="IR32" s="172">
        <f>MIN(1,MAX(VLOOKUP(($AJ32-$AI32-$AH32-$AG32-$AF32-$AE32*(1+IR$3))/$AJ32,'Технический лист'!$A:$B,2,1),(IQ32-0.05)))</f>
        <v/>
      </c>
    </row>
    <row r="33" ht="43.75" customHeight="1" s="123">
      <c r="A33" s="89" t="inlineStr">
        <is>
          <t>ЧМ (сырье)</t>
        </is>
      </c>
      <c r="B33" s="90" t="n">
        <v>2</v>
      </c>
      <c r="C33" s="5" t="inlineStr">
        <is>
          <t>Кокс каменноугольный</t>
        </is>
      </c>
      <c r="D33" s="91" t="n">
        <v>17110</v>
      </c>
      <c r="E33" s="91" t="inlineStr">
        <is>
          <t xml:space="preserve">Кокс, не поименованный в алфавите </t>
        </is>
      </c>
      <c r="F33" s="92" t="inlineStr">
        <is>
          <t>КОКС КАМЕННОУГОЛЬНЫЙ</t>
        </is>
      </c>
      <c r="G33" s="91" t="inlineStr">
        <is>
          <t>СЕВ</t>
        </is>
      </c>
      <c r="H33" s="91" t="inlineStr">
        <is>
          <t>ОКТ</t>
        </is>
      </c>
      <c r="I33" s="91" t="inlineStr">
        <is>
          <t>ЧЕРЕПОВЕЦ 2</t>
        </is>
      </c>
      <c r="J33" s="91" t="inlineStr">
        <is>
          <t>АВТОВО-ЭКСП</t>
        </is>
      </c>
      <c r="K33" s="91" t="n">
        <v>533</v>
      </c>
      <c r="L33" s="91" t="inlineStr">
        <is>
          <t>Полувагоны</t>
        </is>
      </c>
      <c r="M33" s="91" t="inlineStr">
        <is>
          <t>Экспорт</t>
        </is>
      </c>
      <c r="N33" s="91" t="inlineStr">
        <is>
          <t>вагонная</t>
        </is>
      </c>
      <c r="O33" s="91" t="inlineStr">
        <is>
          <t xml:space="preserve">Северо-Западное </t>
        </is>
      </c>
      <c r="P33" s="89" t="inlineStr">
        <is>
          <t>'000049183851</t>
        </is>
      </c>
      <c r="Q33" s="91" t="inlineStr">
        <is>
          <t>ПАО "СЕВЕРСТАЛЬ"</t>
        </is>
      </c>
      <c r="R33" s="91" t="inlineStr">
        <is>
          <t>ПАО "СЕВЕРСТАЛЬ"</t>
        </is>
      </c>
      <c r="S33" s="87" t="n">
        <v>33908</v>
      </c>
      <c r="T33" s="87" t="n">
        <v>18077222</v>
      </c>
      <c r="U33" s="88" t="n">
        <v>610</v>
      </c>
      <c r="V33" s="88" t="n">
        <v>0</v>
      </c>
      <c r="W33" s="87" t="n">
        <v>22739556</v>
      </c>
      <c r="X33" s="112" t="n">
        <v>53</v>
      </c>
      <c r="Y33" s="112" t="inlineStr">
        <is>
          <t>групповая</t>
        </is>
      </c>
      <c r="Z33" s="113" t="n">
        <v>7</v>
      </c>
      <c r="AA33" s="113" t="n">
        <v>6</v>
      </c>
      <c r="AB33" s="113" t="n">
        <v>4</v>
      </c>
      <c r="AC33" s="161" t="n">
        <v>748.23</v>
      </c>
      <c r="AD33" s="161">
        <f>AE33-AC33</f>
        <v/>
      </c>
      <c r="AE33" s="161" t="n">
        <v>946.98</v>
      </c>
      <c r="AF33" s="162">
        <f>(Z33+AA33+AB33)*'Ставки аренды'!$B$3/X33</f>
        <v/>
      </c>
      <c r="AG33" s="163">
        <f>'Ставки перевалки'!$B$4*'Курсы валют'!$B$2</f>
        <v/>
      </c>
      <c r="AH33" s="164" t="n">
        <v>0</v>
      </c>
      <c r="AI33" s="165">
        <f>507353/712157*AVERAGE(AJ33,AJ34)</f>
        <v/>
      </c>
      <c r="AJ33" s="166">
        <f>Цены!$C$8*'Курсы валют'!$B$2</f>
        <v/>
      </c>
      <c r="AK33" s="164">
        <f>AJ33/Цены!$B$1</f>
        <v/>
      </c>
      <c r="AL33" s="164">
        <f>AE33+AF33+AG33</f>
        <v/>
      </c>
      <c r="AM33" s="164">
        <f>AJ33-AL33</f>
        <v/>
      </c>
      <c r="AN33" s="164">
        <f>AI33+AH33+AG33+AF33+AE33</f>
        <v/>
      </c>
      <c r="AO33" s="167">
        <f>(AJ33-AN33)/AJ33</f>
        <v/>
      </c>
      <c r="AP33" s="168">
        <f>AL33/AJ33</f>
        <v/>
      </c>
      <c r="AQ33" s="168">
        <f>AE33/AJ33</f>
        <v/>
      </c>
      <c r="AR33" s="168">
        <f>AE33/AL33</f>
        <v/>
      </c>
      <c r="AS33" s="169" t="n">
        <v>1</v>
      </c>
      <c r="AT33" s="121">
        <f>S33*AS33</f>
        <v/>
      </c>
      <c r="AU33" s="83" t="n">
        <v>0.95</v>
      </c>
      <c r="AV33" s="170">
        <f>(AJ33-(AE33*(1+$IS$2)+AF33+AG33+AH33+AI33))/AJ33</f>
        <v/>
      </c>
      <c r="AW33" s="171">
        <f>(AE33*(1+$IS$2)+AF33+AG33)/AJ33</f>
        <v/>
      </c>
      <c r="AX33" s="171">
        <f>(AE33*(1+$IS$2))/AJ33</f>
        <v/>
      </c>
      <c r="AY33" s="171">
        <f>(AE33*(1+$IS$2))/(AE33*(1+$IS$2)+AF33+AG33)</f>
        <v/>
      </c>
      <c r="AZ33" s="172">
        <f>MIN(IF($AU33=100%,1,1+VLOOKUP(($AJ33-$AI33-$AH33-$AG33-$AF33-$AE33*(1+AZ$3))/$AJ33,'Технический лист'!$A:$B,2,1)-VLOOKUP($AO33,'Технический лист'!$A:$B,2,1)),1+(1-$AU33))</f>
        <v/>
      </c>
      <c r="BA33" s="172">
        <f>MIN(IF($AU33=100%,1,1+VLOOKUP(($AJ33-$AI33-$AH33-$AG33-$AF33-$AE33*(1+BA$3))/$AJ33,'Технический лист'!$A:$B,2,1)-VLOOKUP($AO33,'Технический лист'!$A:$B,2,1)),1+(1-$AU33))</f>
        <v/>
      </c>
      <c r="BB33" s="172">
        <f>MIN(IF($AU33=100%,1,1+VLOOKUP(($AJ33-$AI33-$AH33-$AG33-$AF33-$AE33*(1+BB$3))/$AJ33,'Технический лист'!$A:$B,2,1)-VLOOKUP($AO33,'Технический лист'!$A:$B,2,1)),1+(1-$AU33))</f>
        <v/>
      </c>
      <c r="BC33" s="172">
        <f>MIN(IF($AU33=100%,1,1+VLOOKUP(($AJ33-$AI33-$AH33-$AG33-$AF33-$AE33*(1+BC$3))/$AJ33,'Технический лист'!$A:$B,2,1)-VLOOKUP($AO33,'Технический лист'!$A:$B,2,1)),1+(1-$AU33))</f>
        <v/>
      </c>
      <c r="BD33" s="172">
        <f>MIN(IF($AU33=100%,1,1+VLOOKUP(($AJ33-$AI33-$AH33-$AG33-$AF33-$AE33*(1+BD$3))/$AJ33,'Технический лист'!$A:$B,2,1)-VLOOKUP($AO33,'Технический лист'!$A:$B,2,1)),1+(1-$AU33))</f>
        <v/>
      </c>
      <c r="BE33" s="172">
        <f>MIN(IF($AU33=100%,1,1+VLOOKUP(($AJ33-$AI33-$AH33-$AG33-$AF33-$AE33*(1+BE$3))/$AJ33,'Технический лист'!$A:$B,2,1)-VLOOKUP($AO33,'Технический лист'!$A:$B,2,1)),1+(1-$AU33))</f>
        <v/>
      </c>
      <c r="BF33" s="172">
        <f>MIN(IF($AU33=100%,1,1+VLOOKUP(($AJ33-$AI33-$AH33-$AG33-$AF33-$AE33*(1+BF$3))/$AJ33,'Технический лист'!$A:$B,2,1)-VLOOKUP($AO33,'Технический лист'!$A:$B,2,1)),1+(1-$AU33))</f>
        <v/>
      </c>
      <c r="BG33" s="172">
        <f>MIN(IF($AU33=100%,1,1+VLOOKUP(($AJ33-$AI33-$AH33-$AG33-$AF33-$AE33*(1+BG$3))/$AJ33,'Технический лист'!$A:$B,2,1)-VLOOKUP($AO33,'Технический лист'!$A:$B,2,1)),1+(1-$AU33))</f>
        <v/>
      </c>
      <c r="BH33" s="172">
        <f>MIN(IF($AU33=100%,1,1+VLOOKUP(($AJ33-$AI33-$AH33-$AG33-$AF33-$AE33*(1+BH$3))/$AJ33,'Технический лист'!$A:$B,2,1)-VLOOKUP($AO33,'Технический лист'!$A:$B,2,1)),1+(1-$AU33))</f>
        <v/>
      </c>
      <c r="BI33" s="172">
        <f>MIN(IF($AU33=100%,1,1+VLOOKUP(($AJ33-$AI33-$AH33-$AG33-$AF33-$AE33*(1+BI$3))/$AJ33,'Технический лист'!$A:$B,2,1)-VLOOKUP($AO33,'Технический лист'!$A:$B,2,1)),1+(1-$AU33))</f>
        <v/>
      </c>
      <c r="BJ33" s="172">
        <f>MIN(IF($AU33=100%,1,1+VLOOKUP(($AJ33-$AI33-$AH33-$AG33-$AF33-$AE33*(1+BJ$3))/$AJ33,'Технический лист'!$A:$B,2,1)-VLOOKUP($AO33,'Технический лист'!$A:$B,2,1)),1+(1-$AU33))</f>
        <v/>
      </c>
      <c r="BK33" s="172">
        <f>MIN(IF($AU33=100%,1,1+VLOOKUP(($AJ33-$AI33-$AH33-$AG33-$AF33-$AE33*(1+BK$3))/$AJ33,'Технический лист'!$A:$B,2,1)-VLOOKUP($AO33,'Технический лист'!$A:$B,2,1)),1+(1-$AU33))</f>
        <v/>
      </c>
      <c r="BL33" s="172">
        <f>MIN(IF($AU33=100%,1,1+VLOOKUP(($AJ33-$AI33-$AH33-$AG33-$AF33-$AE33*(1+BL$3))/$AJ33,'Технический лист'!$A:$B,2,1)-VLOOKUP($AO33,'Технический лист'!$A:$B,2,1)),1+(1-$AU33))</f>
        <v/>
      </c>
      <c r="BM33" s="172">
        <f>MIN(IF($AU33=100%,1,1+VLOOKUP(($AJ33-$AI33-$AH33-$AG33-$AF33-$AE33*(1+BM$3))/$AJ33,'Технический лист'!$A:$B,2,1)-VLOOKUP($AO33,'Технический лист'!$A:$B,2,1)),1+(1-$AU33))</f>
        <v/>
      </c>
      <c r="BN33" s="172">
        <f>MIN(IF($AU33=100%,1,1+VLOOKUP(($AJ33-$AI33-$AH33-$AG33-$AF33-$AE33*(1+BN$3))/$AJ33,'Технический лист'!$A:$B,2,1)-VLOOKUP($AO33,'Технический лист'!$A:$B,2,1)),1+(1-$AU33))</f>
        <v/>
      </c>
      <c r="BO33" s="172">
        <f>MIN(IF($AU33=100%,1,1+VLOOKUP(($AJ33-$AI33-$AH33-$AG33-$AF33-$AE33*(1+BO$3))/$AJ33,'Технический лист'!$A:$B,2,1)-VLOOKUP($AO33,'Технический лист'!$A:$B,2,1)),1+(1-$AU33))</f>
        <v/>
      </c>
      <c r="BP33" s="172">
        <f>MIN(IF($AU33=100%,1,1+VLOOKUP(($AJ33-$AI33-$AH33-$AG33-$AF33-$AE33*(1+BP$3))/$AJ33,'Технический лист'!$A:$B,2,1)-VLOOKUP($AO33,'Технический лист'!$A:$B,2,1)),1+(1-$AU33))</f>
        <v/>
      </c>
      <c r="BQ33" s="172">
        <f>MIN(IF($AU33=100%,1,1+VLOOKUP(($AJ33-$AI33-$AH33-$AG33-$AF33-$AE33*(1+BQ$3))/$AJ33,'Технический лист'!$A:$B,2,1)-VLOOKUP($AO33,'Технический лист'!$A:$B,2,1)),1+(1-$AU33))</f>
        <v/>
      </c>
      <c r="BR33" s="172">
        <f>MIN(IF($AU33=100%,1,1+VLOOKUP(($AJ33-$AI33-$AH33-$AG33-$AF33-$AE33*(1+BR$3))/$AJ33,'Технический лист'!$A:$B,2,1)-VLOOKUP($AO33,'Технический лист'!$A:$B,2,1)),1+(1-$AU33))</f>
        <v/>
      </c>
      <c r="BS33" s="172">
        <f>MIN(IF($AU33=100%,1,1+VLOOKUP(($AJ33-$AI33-$AH33-$AG33-$AF33-$AE33*(1+BS$3))/$AJ33,'Технический лист'!$A:$B,2,1)-VLOOKUP($AO33,'Технический лист'!$A:$B,2,1)),1+(1-$AU33))</f>
        <v/>
      </c>
      <c r="BT33" s="172">
        <f>MIN(IF($AU33=100%,1,1+VLOOKUP(($AJ33-$AI33-$AH33-$AG33-$AF33-$AE33*(1+BT$3))/$AJ33,'Технический лист'!$A:$B,2,1)-VLOOKUP($AO33,'Технический лист'!$A:$B,2,1)),1+(1-$AU33))</f>
        <v/>
      </c>
      <c r="BU33" s="172">
        <f>MIN(IF($AU33=100%,1,1+VLOOKUP(($AJ33-$AI33-$AH33-$AG33-$AF33-$AE33*(1+BU$3))/$AJ33,'Технический лист'!$A:$B,2,1)-VLOOKUP($AO33,'Технический лист'!$A:$B,2,1)),1+(1-$AU33))</f>
        <v/>
      </c>
      <c r="BV33" s="172">
        <f>MIN(IF($AU33=100%,1,1+VLOOKUP(($AJ33-$AI33-$AH33-$AG33-$AF33-$AE33*(1+BV$3))/$AJ33,'Технический лист'!$A:$B,2,1)-VLOOKUP($AO33,'Технический лист'!$A:$B,2,1)),1+(1-$AU33))</f>
        <v/>
      </c>
      <c r="BW33" s="172">
        <f>MIN(IF($AU33=100%,1,1+VLOOKUP(($AJ33-$AI33-$AH33-$AG33-$AF33-$AE33*(1+BW$3))/$AJ33,'Технический лист'!$A:$B,2,1)-VLOOKUP($AO33,'Технический лист'!$A:$B,2,1)),1+(1-$AU33))</f>
        <v/>
      </c>
      <c r="BX33" s="172">
        <f>MIN(IF($AU33=100%,1,1+VLOOKUP(($AJ33-$AI33-$AH33-$AG33-$AF33-$AE33*(1+BX$3))/$AJ33,'Технический лист'!$A:$B,2,1)-VLOOKUP($AO33,'Технический лист'!$A:$B,2,1)),1+(1-$AU33))</f>
        <v/>
      </c>
      <c r="BY33" s="172">
        <f>MIN(IF($AU33=100%,1,1+VLOOKUP(($AJ33-$AI33-$AH33-$AG33-$AF33-$AE33*(1+BY$3))/$AJ33,'Технический лист'!$A:$B,2,1)-VLOOKUP($AO33,'Технический лист'!$A:$B,2,1)),1+(1-$AU33))</f>
        <v/>
      </c>
      <c r="BZ33" s="172">
        <f>MIN(IF($AU33=100%,1,1+VLOOKUP(($AJ33-$AI33-$AH33-$AG33-$AF33-$AE33*(1+BZ$3))/$AJ33,'Технический лист'!$A:$B,2,1)-VLOOKUP($AO33,'Технический лист'!$A:$B,2,1)),1+(1-$AU33))</f>
        <v/>
      </c>
      <c r="CA33" s="172">
        <f>MIN(IF($AU33=100%,1,1+VLOOKUP(($AJ33-$AI33-$AH33-$AG33-$AF33-$AE33*(1+CA$3))/$AJ33,'Технический лист'!$A:$B,2,1)-VLOOKUP($AO33,'Технический лист'!$A:$B,2,1)),1+(1-$AU33))</f>
        <v/>
      </c>
      <c r="CB33" s="172">
        <f>MIN(IF($AU33=100%,1,1+VLOOKUP(($AJ33-$AI33-$AH33-$AG33-$AF33-$AE33*(1+CB$3))/$AJ33,'Технический лист'!$A:$B,2,1)-VLOOKUP($AO33,'Технический лист'!$A:$B,2,1)),1+(1-$AU33))</f>
        <v/>
      </c>
      <c r="CC33" s="172">
        <f>MIN(IF($AU33=100%,1,1+VLOOKUP(($AJ33-$AI33-$AH33-$AG33-$AF33-$AE33*(1+CC$3))/$AJ33,'Технический лист'!$A:$B,2,1)-VLOOKUP($AO33,'Технический лист'!$A:$B,2,1)),1+(1-$AU33))</f>
        <v/>
      </c>
      <c r="CD33" s="172">
        <f>MIN(IF($AU33=100%,1,1+VLOOKUP(($AJ33-$AI33-$AH33-$AG33-$AF33-$AE33*(1+CD$3))/$AJ33,'Технический лист'!$A:$B,2,1)-VLOOKUP($AO33,'Технический лист'!$A:$B,2,1)),1+(1-$AU33))</f>
        <v/>
      </c>
      <c r="CE33" s="172">
        <f>MIN(IF($AU33=100%,1,1+VLOOKUP(($AJ33-$AI33-$AH33-$AG33-$AF33-$AE33*(1+CE$3))/$AJ33,'Технический лист'!$A:$B,2,1)-VLOOKUP($AO33,'Технический лист'!$A:$B,2,1)),1+(1-$AU33))</f>
        <v/>
      </c>
      <c r="CF33" s="172">
        <f>MIN(IF($AU33=100%,1,1+VLOOKUP(($AJ33-$AI33-$AH33-$AG33-$AF33-$AE33*(1+CF$3))/$AJ33,'Технический лист'!$A:$B,2,1)-VLOOKUP($AO33,'Технический лист'!$A:$B,2,1)),1+(1-$AU33))</f>
        <v/>
      </c>
      <c r="CG33" s="172">
        <f>MIN(IF($AU33=100%,1,1+VLOOKUP(($AJ33-$AI33-$AH33-$AG33-$AF33-$AE33*(1+CG$3))/$AJ33,'Технический лист'!$A:$B,2,1)-VLOOKUP($AO33,'Технический лист'!$A:$B,2,1)),1+(1-$AU33))</f>
        <v/>
      </c>
      <c r="CH33" s="172">
        <f>MIN(IF($AU33=100%,1,1+VLOOKUP(($AJ33-$AI33-$AH33-$AG33-$AF33-$AE33*(1+CH$3))/$AJ33,'Технический лист'!$A:$B,2,1)-VLOOKUP($AO33,'Технический лист'!$A:$B,2,1)),1+(1-$AU33))</f>
        <v/>
      </c>
      <c r="CI33" s="172">
        <f>MIN(IF($AU33=100%,1,1+VLOOKUP(($AJ33-$AI33-$AH33-$AG33-$AF33-$AE33*(1+CI$3))/$AJ33,'Технический лист'!$A:$B,2,1)-VLOOKUP($AO33,'Технический лист'!$A:$B,2,1)),1+(1-$AU33))</f>
        <v/>
      </c>
      <c r="CJ33" s="172">
        <f>MIN(IF($AU33=100%,1,1+VLOOKUP(($AJ33-$AI33-$AH33-$AG33-$AF33-$AE33*(1+CJ$3))/$AJ33,'Технический лист'!$A:$B,2,1)-VLOOKUP($AO33,'Технический лист'!$A:$B,2,1)),1+(1-$AU33))</f>
        <v/>
      </c>
      <c r="CK33" s="172">
        <f>MIN(IF($AU33=100%,1,1+VLOOKUP(($AJ33-$AI33-$AH33-$AG33-$AF33-$AE33*(1+CK$3))/$AJ33,'Технический лист'!$A:$B,2,1)-VLOOKUP($AO33,'Технический лист'!$A:$B,2,1)),1+(1-$AU33))</f>
        <v/>
      </c>
      <c r="CL33" s="172">
        <f>MIN(IF($AU33=100%,1,1+VLOOKUP(($AJ33-$AI33-$AH33-$AG33-$AF33-$AE33*(1+CL$3))/$AJ33,'Технический лист'!$A:$B,2,1)-VLOOKUP($AO33,'Технический лист'!$A:$B,2,1)),1+(1-$AU33))</f>
        <v/>
      </c>
      <c r="CM33" s="172">
        <f>MIN(IF($AU33=100%,1,1+VLOOKUP(($AJ33-$AI33-$AH33-$AG33-$AF33-$AE33*(1+CM$3))/$AJ33,'Технический лист'!$A:$B,2,1)-VLOOKUP($AO33,'Технический лист'!$A:$B,2,1)),1+(1-$AU33))</f>
        <v/>
      </c>
      <c r="CN33" s="172">
        <f>MIN(IF($AU33=100%,1,1+VLOOKUP(($AJ33-$AI33-$AH33-$AG33-$AF33-$AE33*(1+CN$3))/$AJ33,'Технический лист'!$A:$B,2,1)-VLOOKUP($AO33,'Технический лист'!$A:$B,2,1)),1+(1-$AU33))</f>
        <v/>
      </c>
      <c r="CO33" s="172">
        <f>MIN(IF($AU33=100%,1,1+VLOOKUP(($AJ33-$AI33-$AH33-$AG33-$AF33-$AE33*(1+CO$3))/$AJ33,'Технический лист'!$A:$B,2,1)-VLOOKUP($AO33,'Технический лист'!$A:$B,2,1)),1+(1-$AU33))</f>
        <v/>
      </c>
      <c r="CP33" s="172">
        <f>MIN(IF($AU33=100%,1,1+VLOOKUP(($AJ33-$AI33-$AH33-$AG33-$AF33-$AE33*(1+CP$3))/$AJ33,'Технический лист'!$A:$B,2,1)-VLOOKUP($AO33,'Технический лист'!$A:$B,2,1)),1+(1-$AU33))</f>
        <v/>
      </c>
      <c r="CQ33" s="172">
        <f>MIN(IF($AU33=100%,1,1+VLOOKUP(($AJ33-$AI33-$AH33-$AG33-$AF33-$AE33*(1+CQ$3))/$AJ33,'Технический лист'!$A:$B,2,1)-VLOOKUP($AO33,'Технический лист'!$A:$B,2,1)),1+(1-$AU33))</f>
        <v/>
      </c>
      <c r="CR33" s="172">
        <f>MIN(IF($AU33=100%,1,1+VLOOKUP(($AJ33-$AI33-$AH33-$AG33-$AF33-$AE33*(1+CR$3))/$AJ33,'Технический лист'!$A:$B,2,1)-VLOOKUP($AO33,'Технический лист'!$A:$B,2,1)),1+(1-$AU33))</f>
        <v/>
      </c>
      <c r="CS33" s="172">
        <f>MIN(IF($AU33=100%,1,1+VLOOKUP(($AJ33-$AI33-$AH33-$AG33-$AF33-$AE33*(1+CS$3))/$AJ33,'Технический лист'!$A:$B,2,1)-VLOOKUP($AO33,'Технический лист'!$A:$B,2,1)),1+(1-$AU33))</f>
        <v/>
      </c>
      <c r="CT33" s="172">
        <f>MIN(IF($AU33=100%,1,1+VLOOKUP(($AJ33-$AI33-$AH33-$AG33-$AF33-$AE33*(1+CT$3))/$AJ33,'Технический лист'!$A:$B,2,1)-VLOOKUP($AO33,'Технический лист'!$A:$B,2,1)),1+(1-$AU33))</f>
        <v/>
      </c>
      <c r="CU33" s="172">
        <f>MIN(IF($AU33=100%,1,1+VLOOKUP(($AJ33-$AI33-$AH33-$AG33-$AF33-$AE33*(1+CU$3))/$AJ33,'Технический лист'!$A:$B,2,1)-VLOOKUP($AO33,'Технический лист'!$A:$B,2,1)),1+(1-$AU33))</f>
        <v/>
      </c>
      <c r="CV33" s="172">
        <f>MIN(IF($AU33=100%,1,1+VLOOKUP(($AJ33-$AI33-$AH33-$AG33-$AF33-$AE33*(1+CV$3))/$AJ33,'Технический лист'!$A:$B,2,1)-VLOOKUP($AO33,'Технический лист'!$A:$B,2,1)),1+(1-$AU33))</f>
        <v/>
      </c>
      <c r="CW33" s="172">
        <f>MIN(IF($AU33=100%,1,1+VLOOKUP(($AJ33-$AI33-$AH33-$AG33-$AF33-$AE33*(1+CW$3))/$AJ33,'Технический лист'!$A:$B,2,1)-VLOOKUP($AO33,'Технический лист'!$A:$B,2,1)),1+(1-$AU33))</f>
        <v/>
      </c>
      <c r="CX33" s="172">
        <f>MIN(IF($AU33=100%,1,1+VLOOKUP(($AJ33-$AI33-$AH33-$AG33-$AF33-$AE33*(1+CX$3))/$AJ33,'Технический лист'!$A:$B,2,1)-VLOOKUP($AO33,'Технический лист'!$A:$B,2,1)),1+(1-$AU33))</f>
        <v/>
      </c>
      <c r="CY33" s="172">
        <f>MIN(IF($AU33=100%,1,1+VLOOKUP(($AJ33-$AI33-$AH33-$AG33-$AF33-$AE33*(1+CY$3))/$AJ33,'Технический лист'!$A:$B,2,1)-VLOOKUP($AO33,'Технический лист'!$A:$B,2,1)),1+(1-$AU33))</f>
        <v/>
      </c>
      <c r="CZ33" s="172">
        <f>MIN(IF($AU33=100%,1,1+VLOOKUP(($AJ33-$AI33-$AH33-$AG33-$AF33-$AE33*(1+CZ$3))/$AJ33,'Технический лист'!$A:$B,2,1)-VLOOKUP($AO33,'Технический лист'!$A:$B,2,1)),1+(1-$AU33))</f>
        <v/>
      </c>
      <c r="DA33" s="172">
        <f>MIN(IF($AU33=100%,1,1+VLOOKUP(($AJ33-$AI33-$AH33-$AG33-$AF33-$AE33*(1+DA$3))/$AJ33,'Технический лист'!$A:$B,2,1)-VLOOKUP($AO33,'Технический лист'!$A:$B,2,1)),1+(1-$AU33))</f>
        <v/>
      </c>
      <c r="DB33" s="172">
        <f>MIN(IF($AU33=100%,1,1+VLOOKUP(($AJ33-$AI33-$AH33-$AG33-$AF33-$AE33*(1+DB$3))/$AJ33,'Технический лист'!$A:$B,2,1)-VLOOKUP($AO33,'Технический лист'!$A:$B,2,1)),1+(1-$AU33))</f>
        <v/>
      </c>
      <c r="DC33" s="172">
        <f>MIN(IF($AU33=100%,1,1+VLOOKUP(($AJ33-$AI33-$AH33-$AG33-$AF33-$AE33*(1+DC$3))/$AJ33,'Технический лист'!$A:$B,2,1)-VLOOKUP($AO33,'Технический лист'!$A:$B,2,1)),1+(1-$AU33))</f>
        <v/>
      </c>
      <c r="DD33" s="172">
        <f>MIN(IF($AU33=100%,1,1+VLOOKUP(($AJ33-$AI33-$AH33-$AG33-$AF33-$AE33*(1+DD$3))/$AJ33,'Технический лист'!$A:$B,2,1)-VLOOKUP($AO33,'Технический лист'!$A:$B,2,1)),1+(1-$AU33))</f>
        <v/>
      </c>
      <c r="DE33" s="172">
        <f>MIN(IF($AU33=100%,1,1+VLOOKUP(($AJ33-$AI33-$AH33-$AG33-$AF33-$AE33*(1+DE$3))/$AJ33,'Технический лист'!$A:$B,2,1)-VLOOKUP($AO33,'Технический лист'!$A:$B,2,1)),1+(1-$AU33))</f>
        <v/>
      </c>
      <c r="DF33" s="172">
        <f>MIN(IF($AU33=100%,1,1+VLOOKUP(($AJ33-$AI33-$AH33-$AG33-$AF33-$AE33*(1+DF$3))/$AJ33,'Технический лист'!$A:$B,2,1)-VLOOKUP($AO33,'Технический лист'!$A:$B,2,1)),1+(1-$AU33))</f>
        <v/>
      </c>
      <c r="DG33" s="172">
        <f>MIN(IF($AU33=100%,1,1+VLOOKUP(($AJ33-$AI33-$AH33-$AG33-$AF33-$AE33*(1+DG$3))/$AJ33,'Технический лист'!$A:$B,2,1)-VLOOKUP($AO33,'Технический лист'!$A:$B,2,1)),1+(1-$AU33))</f>
        <v/>
      </c>
      <c r="DH33" s="172">
        <f>MIN(IF($AU33=100%,1,1+VLOOKUP(($AJ33-$AI33-$AH33-$AG33-$AF33-$AE33*(1+DH$3))/$AJ33,'Технический лист'!$A:$B,2,1)-VLOOKUP($AO33,'Технический лист'!$A:$B,2,1)),1+(1-$AU33))</f>
        <v/>
      </c>
      <c r="DI33" s="172">
        <f>MIN(IF($AU33=100%,1,1+VLOOKUP(($AJ33-$AI33-$AH33-$AG33-$AF33-$AE33*(1+DI$3))/$AJ33,'Технический лист'!$A:$B,2,1)-VLOOKUP($AO33,'Технический лист'!$A:$B,2,1)),1+(1-$AU33))</f>
        <v/>
      </c>
      <c r="DJ33" s="172">
        <f>MIN(IF($AU33=100%,1,1+VLOOKUP(($AJ33-$AI33-$AH33-$AG33-$AF33-$AE33*(1+DJ$3))/$AJ33,'Технический лист'!$A:$B,2,1)-VLOOKUP($AO33,'Технический лист'!$A:$B,2,1)),1+(1-$AU33))</f>
        <v/>
      </c>
      <c r="DK33" s="172">
        <f>MIN(IF($AU33=100%,1,1+VLOOKUP(($AJ33-$AI33-$AH33-$AG33-$AF33-$AE33*(1+DK$3))/$AJ33,'Технический лист'!$A:$B,2,1)-VLOOKUP($AO33,'Технический лист'!$A:$B,2,1)),1+(1-$AU33))</f>
        <v/>
      </c>
      <c r="DL33" s="172">
        <f>MIN(IF($AU33=100%,1,1+VLOOKUP(($AJ33-$AI33-$AH33-$AG33-$AF33-$AE33*(1+DL$3))/$AJ33,'Технический лист'!$A:$B,2,1)-VLOOKUP($AO33,'Технический лист'!$A:$B,2,1)),1+(1-$AU33))</f>
        <v/>
      </c>
      <c r="DM33" s="172">
        <f>MIN(IF($AU33=100%,1,1+VLOOKUP(($AJ33-$AI33-$AH33-$AG33-$AF33-$AE33*(1+DM$3))/$AJ33,'Технический лист'!$A:$B,2,1)-VLOOKUP($AO33,'Технический лист'!$A:$B,2,1)),1+(1-$AU33))</f>
        <v/>
      </c>
      <c r="DN33" s="172">
        <f>MIN(IF($AU33=100%,1,1+VLOOKUP(($AJ33-$AI33-$AH33-$AG33-$AF33-$AE33*(1+DN$3))/$AJ33,'Технический лист'!$A:$B,2,1)-VLOOKUP($AO33,'Технический лист'!$A:$B,2,1)),1+(1-$AU33))</f>
        <v/>
      </c>
      <c r="DO33" s="172">
        <f>MIN(IF($AU33=100%,1,1+VLOOKUP(($AJ33-$AI33-$AH33-$AG33-$AF33-$AE33*(1+DO$3))/$AJ33,'Технический лист'!$A:$B,2,1)-VLOOKUP($AO33,'Технический лист'!$A:$B,2,1)),1+(1-$AU33))</f>
        <v/>
      </c>
      <c r="DP33" s="172">
        <f>MIN(IF($AU33=100%,1,1+VLOOKUP(($AJ33-$AI33-$AH33-$AG33-$AF33-$AE33*(1+DP$3))/$AJ33,'Технический лист'!$A:$B,2,1)-VLOOKUP($AO33,'Технический лист'!$A:$B,2,1)),1+(1-$AU33))</f>
        <v/>
      </c>
      <c r="DQ33" s="172">
        <f>MIN(IF($AU33=100%,1,1+VLOOKUP(($AJ33-$AI33-$AH33-$AG33-$AF33-$AE33*(1+DQ$3))/$AJ33,'Технический лист'!$A:$B,2,1)-VLOOKUP($AO33,'Технический лист'!$A:$B,2,1)),1+(1-$AU33))</f>
        <v/>
      </c>
      <c r="DR33" s="172">
        <f>MIN(IF($AU33=100%,1,1+VLOOKUP(($AJ33-$AI33-$AH33-$AG33-$AF33-$AE33*(1+DR$3))/$AJ33,'Технический лист'!$A:$B,2,1)-VLOOKUP($AO33,'Технический лист'!$A:$B,2,1)),1+(1-$AU33))</f>
        <v/>
      </c>
      <c r="DS33" s="172">
        <f>MIN(IF($AU33=100%,1,1+VLOOKUP(($AJ33-$AI33-$AH33-$AG33-$AF33-$AE33*(1+DS$3))/$AJ33,'Технический лист'!$A:$B,2,1)-VLOOKUP($AO33,'Технический лист'!$A:$B,2,1)),1+(1-$AU33))</f>
        <v/>
      </c>
      <c r="DT33" s="172">
        <f>MIN(IF($AU33=100%,1,1+VLOOKUP(($AJ33-$AI33-$AH33-$AG33-$AF33-$AE33*(1+DT$3))/$AJ33,'Технический лист'!$A:$B,2,1)-VLOOKUP($AO33,'Технический лист'!$A:$B,2,1)),1+(1-$AU33))</f>
        <v/>
      </c>
      <c r="DU33" s="172">
        <f>MIN(IF($AU33=100%,1,1+VLOOKUP(($AJ33-$AI33-$AH33-$AG33-$AF33-$AE33*(1+DU$3))/$AJ33,'Технический лист'!$A:$B,2,1)-VLOOKUP($AO33,'Технический лист'!$A:$B,2,1)),1+(1-$AU33))</f>
        <v/>
      </c>
      <c r="DV33" s="172">
        <f>MIN(IF($AU33=100%,1,1+VLOOKUP(($AJ33-$AI33-$AH33-$AG33-$AF33-$AE33*(1+DV$3))/$AJ33,'Технический лист'!$A:$B,2,1)-VLOOKUP($AO33,'Технический лист'!$A:$B,2,1)),1+(1-$AU33))</f>
        <v/>
      </c>
      <c r="DW33" s="172">
        <f>MIN(IF($AU33=100%,1,1+VLOOKUP(($AJ33-$AI33-$AH33-$AG33-$AF33-$AE33*(1+DW$3))/$AJ33,'Технический лист'!$A:$B,2,1)-VLOOKUP($AO33,'Технический лист'!$A:$B,2,1)),1+(1-$AU33))</f>
        <v/>
      </c>
      <c r="DX33" s="172">
        <f>MIN(IF($AU33=100%,1,1+VLOOKUP(($AJ33-$AI33-$AH33-$AG33-$AF33-$AE33*(1+DX$3))/$AJ33,'Технический лист'!$A:$B,2,1)-VLOOKUP($AO33,'Технический лист'!$A:$B,2,1)),1+(1-$AU33))</f>
        <v/>
      </c>
      <c r="DY33" s="172">
        <f>MIN(IF($AU33=100%,1,1+VLOOKUP(($AJ33-$AI33-$AH33-$AG33-$AF33-$AE33*(1+DY$3))/$AJ33,'Технический лист'!$A:$B,2,1)-VLOOKUP($AO33,'Технический лист'!$A:$B,2,1)),1+(1-$AU33))</f>
        <v/>
      </c>
      <c r="DZ33" s="172">
        <f>MIN(IF($AU33=100%,1,1+VLOOKUP(($AJ33-$AI33-$AH33-$AG33-$AF33-$AE33*(1+DZ$3))/$AJ33,'Технический лист'!$A:$B,2,1)-VLOOKUP($AO33,'Технический лист'!$A:$B,2,1)),1+(1-$AU33))</f>
        <v/>
      </c>
      <c r="EA33" s="172">
        <f>MIN(IF($AU33=100%,1,1+VLOOKUP(($AJ33-$AI33-$AH33-$AG33-$AF33-$AE33*(1+EA$3))/$AJ33,'Технический лист'!$A:$B,2,1)-VLOOKUP($AO33,'Технический лист'!$A:$B,2,1)),1+(1-$AU33))</f>
        <v/>
      </c>
      <c r="EB33" s="172">
        <f>MIN(IF($AU33=100%,1,1+VLOOKUP(($AJ33-$AI33-$AH33-$AG33-$AF33-$AE33*(1+EB$3))/$AJ33,'Технический лист'!$A:$B,2,1)-VLOOKUP($AO33,'Технический лист'!$A:$B,2,1)),1+(1-$AU33))</f>
        <v/>
      </c>
      <c r="EC33" s="172">
        <f>MIN(IF($AU33=100%,1,1+VLOOKUP(($AJ33-$AI33-$AH33-$AG33-$AF33-$AE33*(1+EC$3))/$AJ33,'Технический лист'!$A:$B,2,1)-VLOOKUP($AO33,'Технический лист'!$A:$B,2,1)),1+(1-$AU33))</f>
        <v/>
      </c>
      <c r="ED33" s="172">
        <f>MIN(IF($AU33=100%,1,1+VLOOKUP(($AJ33-$AI33-$AH33-$AG33-$AF33-$AE33*(1+ED$3))/$AJ33,'Технический лист'!$A:$B,2,1)-VLOOKUP($AO33,'Технический лист'!$A:$B,2,1)),1+(1-$AU33))</f>
        <v/>
      </c>
      <c r="EE33" s="172">
        <f>MIN(IF($AU33=100%,1,1+VLOOKUP(($AJ33-$AI33-$AH33-$AG33-$AF33-$AE33*(1+EE$3))/$AJ33,'Технический лист'!$A:$B,2,1)-VLOOKUP($AO33,'Технический лист'!$A:$B,2,1)),1+(1-$AU33))</f>
        <v/>
      </c>
      <c r="EF33" s="172">
        <f>MIN(IF($AU33=100%,1,1+VLOOKUP(($AJ33-$AI33-$AH33-$AG33-$AF33-$AE33*(1+EF$3))/$AJ33,'Технический лист'!$A:$B,2,1)-VLOOKUP($AO33,'Технический лист'!$A:$B,2,1)),1+(1-$AU33))</f>
        <v/>
      </c>
      <c r="EG33" s="172">
        <f>MIN(IF($AU33=100%,1,1+VLOOKUP(($AJ33-$AI33-$AH33-$AG33-$AF33-$AE33*(1+EG$3))/$AJ33,'Технический лист'!$A:$B,2,1)-VLOOKUP($AO33,'Технический лист'!$A:$B,2,1)),1+(1-$AU33))</f>
        <v/>
      </c>
      <c r="EH33" s="172">
        <f>MIN(IF($AU33=100%,1,1+VLOOKUP(($AJ33-$AI33-$AH33-$AG33-$AF33-$AE33*(1+EH$3))/$AJ33,'Технический лист'!$A:$B,2,1)-VLOOKUP($AO33,'Технический лист'!$A:$B,2,1)),1+(1-$AU33))</f>
        <v/>
      </c>
      <c r="EI33" s="172">
        <f>MIN(IF($AU33=100%,1,1+VLOOKUP(($AJ33-$AI33-$AH33-$AG33-$AF33-$AE33*(1+EI$3))/$AJ33,'Технический лист'!$A:$B,2,1)-VLOOKUP($AO33,'Технический лист'!$A:$B,2,1)),1+(1-$AU33))</f>
        <v/>
      </c>
      <c r="EJ33" s="172">
        <f>MIN(IF($AU33=100%,1,1+VLOOKUP(($AJ33-$AI33-$AH33-$AG33-$AF33-$AE33*(1+EJ$3))/$AJ33,'Технический лист'!$A:$B,2,1)-VLOOKUP($AO33,'Технический лист'!$A:$B,2,1)),1+(1-$AU33))</f>
        <v/>
      </c>
      <c r="EK33" s="172">
        <f>MIN(IF($AU33=100%,1,1+VLOOKUP(($AJ33-$AI33-$AH33-$AG33-$AF33-$AE33*(1+EK$3))/$AJ33,'Технический лист'!$A:$B,2,1)-VLOOKUP($AO33,'Технический лист'!$A:$B,2,1)),1+(1-$AU33))</f>
        <v/>
      </c>
      <c r="EL33" s="172">
        <f>MIN(IF($AU33=100%,1,1+VLOOKUP(($AJ33-$AI33-$AH33-$AG33-$AF33-$AE33*(1+EL$3))/$AJ33,'Технический лист'!$A:$B,2,1)-VLOOKUP($AO33,'Технический лист'!$A:$B,2,1)),1+(1-$AU33))</f>
        <v/>
      </c>
      <c r="EM33" s="172">
        <f>MIN(IF($AU33=100%,1,1+VLOOKUP(($AJ33-$AI33-$AH33-$AG33-$AF33-$AE33*(1+EM$3))/$AJ33,'Технический лист'!$A:$B,2,1)-VLOOKUP($AO33,'Технический лист'!$A:$B,2,1)),1+(1-$AU33))</f>
        <v/>
      </c>
      <c r="EN33" s="172">
        <f>MIN(IF($AU33=100%,1,1+VLOOKUP(($AJ33-$AI33-$AH33-$AG33-$AF33-$AE33*(1+EN$3))/$AJ33,'Технический лист'!$A:$B,2,1)-VLOOKUP($AO33,'Технический лист'!$A:$B,2,1)),1+(1-$AU33))</f>
        <v/>
      </c>
      <c r="EO33" s="172">
        <f>MIN(IF($AU33=100%,1,1+VLOOKUP(($AJ33-$AI33-$AH33-$AG33-$AF33-$AE33*(1+EO$3))/$AJ33,'Технический лист'!$A:$B,2,1)-VLOOKUP($AO33,'Технический лист'!$A:$B,2,1)),1+(1-$AU33))</f>
        <v/>
      </c>
      <c r="EP33" s="172">
        <f>MIN(IF($AU33=100%,1,1+VLOOKUP(($AJ33-$AI33-$AH33-$AG33-$AF33-$AE33*(1+EP$3))/$AJ33,'Технический лист'!$A:$B,2,1)-VLOOKUP($AO33,'Технический лист'!$A:$B,2,1)),1+(1-$AU33))</f>
        <v/>
      </c>
      <c r="EQ33" s="172">
        <f>MIN(IF($AU33=100%,1,1+VLOOKUP(($AJ33-$AI33-$AH33-$AG33-$AF33-$AE33*(1+EQ$3))/$AJ33,'Технический лист'!$A:$B,2,1)-VLOOKUP($AO33,'Технический лист'!$A:$B,2,1)),1+(1-$AU33))</f>
        <v/>
      </c>
      <c r="ER33" s="172">
        <f>MIN(IF($AU33=100%,1,1+VLOOKUP(($AJ33-$AI33-$AH33-$AG33-$AF33-$AE33*(1+ER$3))/$AJ33,'Технический лист'!$A:$B,2,1)-VLOOKUP($AO33,'Технический лист'!$A:$B,2,1)),1+(1-$AU33))</f>
        <v/>
      </c>
      <c r="ES33" s="172">
        <f>MIN(IF($AU33=100%,1,1+VLOOKUP(($AJ33-$AI33-$AH33-$AG33-$AF33-$AE33*(1+ES$3))/$AJ33,'Технический лист'!$A:$B,2,1)-VLOOKUP($AO33,'Технический лист'!$A:$B,2,1)),1+(1-$AU33))</f>
        <v/>
      </c>
      <c r="ET33" s="172">
        <f>MIN(IF($AU33=100%,1,1+VLOOKUP(($AJ33-$AI33-$AH33-$AG33-$AF33-$AE33*(1+ET$3))/$AJ33,'Технический лист'!$A:$B,2,1)-VLOOKUP($AO33,'Технический лист'!$A:$B,2,1)),1+(1-$AU33))</f>
        <v/>
      </c>
      <c r="EU33" s="172">
        <f>MIN(IF($AU33=100%,1,1+VLOOKUP(($AJ33-$AI33-$AH33-$AG33-$AF33-$AE33*(1+EU$3))/$AJ33,'Технический лист'!$A:$B,2,1)-VLOOKUP($AO33,'Технический лист'!$A:$B,2,1)),1+(1-$AU33))</f>
        <v/>
      </c>
      <c r="EV33" s="173" t="n">
        <v>1</v>
      </c>
      <c r="EW33" s="172">
        <f>MIN(1,MAX(VLOOKUP(($AJ33-$AI33-$AH33-$AG33-$AF33-$AE33*(1+EW$3))/$AJ33,'Технический лист'!$A:$B,2,1),(EV33-0.05)))</f>
        <v/>
      </c>
      <c r="EX33" s="172">
        <f>MIN(1,MAX(VLOOKUP(($AJ33-$AI33-$AH33-$AG33-$AF33-$AE33*(1+EX$3))/$AJ33,'Технический лист'!$A:$B,2,1),(EW33-0.05)))</f>
        <v/>
      </c>
      <c r="EY33" s="172">
        <f>MIN(1,MAX(VLOOKUP(($AJ33-$AI33-$AH33-$AG33-$AF33-$AE33*(1+EY$3))/$AJ33,'Технический лист'!$A:$B,2,1),(EX33-0.05)))</f>
        <v/>
      </c>
      <c r="EZ33" s="172">
        <f>MIN(1,MAX(VLOOKUP(($AJ33-$AI33-$AH33-$AG33-$AF33-$AE33*(1+EZ$3))/$AJ33,'Технический лист'!$A:$B,2,1),(EY33-0.05)))</f>
        <v/>
      </c>
      <c r="FA33" s="172">
        <f>MIN(1,MAX(VLOOKUP(($AJ33-$AI33-$AH33-$AG33-$AF33-$AE33*(1+FA$3))/$AJ33,'Технический лист'!$A:$B,2,1),(EZ33-0.05)))</f>
        <v/>
      </c>
      <c r="FB33" s="172">
        <f>MIN(1,MAX(VLOOKUP(($AJ33-$AI33-$AH33-$AG33-$AF33-$AE33*(1+FB$3))/$AJ33,'Технический лист'!$A:$B,2,1),(FA33-0.05)))</f>
        <v/>
      </c>
      <c r="FC33" s="172">
        <f>MIN(1,MAX(VLOOKUP(($AJ33-$AI33-$AH33-$AG33-$AF33-$AE33*(1+FC$3))/$AJ33,'Технический лист'!$A:$B,2,1),(FB33-0.05)))</f>
        <v/>
      </c>
      <c r="FD33" s="172">
        <f>MIN(1,MAX(VLOOKUP(($AJ33-$AI33-$AH33-$AG33-$AF33-$AE33*(1+FD$3))/$AJ33,'Технический лист'!$A:$B,2,1),(FC33-0.05)))</f>
        <v/>
      </c>
      <c r="FE33" s="172">
        <f>MIN(1,MAX(VLOOKUP(($AJ33-$AI33-$AH33-$AG33-$AF33-$AE33*(1+FE$3))/$AJ33,'Технический лист'!$A:$B,2,1),(FD33-0.05)))</f>
        <v/>
      </c>
      <c r="FF33" s="172">
        <f>MIN(1,MAX(VLOOKUP(($AJ33-$AI33-$AH33-$AG33-$AF33-$AE33*(1+FF$3))/$AJ33,'Технический лист'!$A:$B,2,1),(FE33-0.05)))</f>
        <v/>
      </c>
      <c r="FG33" s="172">
        <f>MIN(1,MAX(VLOOKUP(($AJ33-$AI33-$AH33-$AG33-$AF33-$AE33*(1+FG$3))/$AJ33,'Технический лист'!$A:$B,2,1),(FF33-0.05)))</f>
        <v/>
      </c>
      <c r="FH33" s="172">
        <f>MIN(1,MAX(VLOOKUP(($AJ33-$AI33-$AH33-$AG33-$AF33-$AE33*(1+FH$3))/$AJ33,'Технический лист'!$A:$B,2,1),(FG33-0.05)))</f>
        <v/>
      </c>
      <c r="FI33" s="172">
        <f>MIN(1,MAX(VLOOKUP(($AJ33-$AI33-$AH33-$AG33-$AF33-$AE33*(1+FI$3))/$AJ33,'Технический лист'!$A:$B,2,1),(FH33-0.05)))</f>
        <v/>
      </c>
      <c r="FJ33" s="172">
        <f>MIN(1,MAX(VLOOKUP(($AJ33-$AI33-$AH33-$AG33-$AF33-$AE33*(1+FJ$3))/$AJ33,'Технический лист'!$A:$B,2,1),(FI33-0.05)))</f>
        <v/>
      </c>
      <c r="FK33" s="172">
        <f>MIN(1,MAX(VLOOKUP(($AJ33-$AI33-$AH33-$AG33-$AF33-$AE33*(1+FK$3))/$AJ33,'Технический лист'!$A:$B,2,1),(FJ33-0.05)))</f>
        <v/>
      </c>
      <c r="FL33" s="172">
        <f>MIN(1,MAX(VLOOKUP(($AJ33-$AI33-$AH33-$AG33-$AF33-$AE33*(1+FL$3))/$AJ33,'Технический лист'!$A:$B,2,1),(FK33-0.05)))</f>
        <v/>
      </c>
      <c r="FM33" s="172">
        <f>MIN(1,MAX(VLOOKUP(($AJ33-$AI33-$AH33-$AG33-$AF33-$AE33*(1+FM$3))/$AJ33,'Технический лист'!$A:$B,2,1),(FL33-0.05)))</f>
        <v/>
      </c>
      <c r="FN33" s="172">
        <f>MIN(1,MAX(VLOOKUP(($AJ33-$AI33-$AH33-$AG33-$AF33-$AE33*(1+FN$3))/$AJ33,'Технический лист'!$A:$B,2,1),(FM33-0.05)))</f>
        <v/>
      </c>
      <c r="FO33" s="172">
        <f>MIN(1,MAX(VLOOKUP(($AJ33-$AI33-$AH33-$AG33-$AF33-$AE33*(1+FO$3))/$AJ33,'Технический лист'!$A:$B,2,1),(FN33-0.05)))</f>
        <v/>
      </c>
      <c r="FP33" s="172">
        <f>MIN(1,MAX(VLOOKUP(($AJ33-$AI33-$AH33-$AG33-$AF33-$AE33*(1+FP$3))/$AJ33,'Технический лист'!$A:$B,2,1),(FO33-0.05)))</f>
        <v/>
      </c>
      <c r="FQ33" s="172">
        <f>MIN(1,MAX(VLOOKUP(($AJ33-$AI33-$AH33-$AG33-$AF33-$AE33*(1+FQ$3))/$AJ33,'Технический лист'!$A:$B,2,1),(FP33-0.05)))</f>
        <v/>
      </c>
      <c r="FR33" s="172">
        <f>MIN(1,MAX(VLOOKUP(($AJ33-$AI33-$AH33-$AG33-$AF33-$AE33*(1+FR$3))/$AJ33,'Технический лист'!$A:$B,2,1),(FQ33-0.05)))</f>
        <v/>
      </c>
      <c r="FS33" s="172">
        <f>MIN(1,MAX(VLOOKUP(($AJ33-$AI33-$AH33-$AG33-$AF33-$AE33*(1+FS$3))/$AJ33,'Технический лист'!$A:$B,2,1),(FR33-0.05)))</f>
        <v/>
      </c>
      <c r="FT33" s="172">
        <f>MIN(1,MAX(VLOOKUP(($AJ33-$AI33-$AH33-$AG33-$AF33-$AE33*(1+FT$3))/$AJ33,'Технический лист'!$A:$B,2,1),(FS33-0.05)))</f>
        <v/>
      </c>
      <c r="FU33" s="172">
        <f>MIN(1,MAX(VLOOKUP(($AJ33-$AI33-$AH33-$AG33-$AF33-$AE33*(1+FU$3))/$AJ33,'Технический лист'!$A:$B,2,1),(FT33-0.05)))</f>
        <v/>
      </c>
      <c r="FV33" s="172">
        <f>MIN(1,MAX(VLOOKUP(($AJ33-$AI33-$AH33-$AG33-$AF33-$AE33*(1+FV$3))/$AJ33,'Технический лист'!$A:$B,2,1),(FU33-0.05)))</f>
        <v/>
      </c>
      <c r="FW33" s="172">
        <f>MIN(1,MAX(VLOOKUP(($AJ33-$AI33-$AH33-$AG33-$AF33-$AE33*(1+FW$3))/$AJ33,'Технический лист'!$A:$B,2,1),(FV33-0.05)))</f>
        <v/>
      </c>
      <c r="FX33" s="172">
        <f>MIN(1,MAX(VLOOKUP(($AJ33-$AI33-$AH33-$AG33-$AF33-$AE33*(1+FX$3))/$AJ33,'Технический лист'!$A:$B,2,1),(FW33-0.05)))</f>
        <v/>
      </c>
      <c r="FY33" s="172">
        <f>MIN(1,MAX(VLOOKUP(($AJ33-$AI33-$AH33-$AG33-$AF33-$AE33*(1+FY$3))/$AJ33,'Технический лист'!$A:$B,2,1),(FX33-0.05)))</f>
        <v/>
      </c>
      <c r="FZ33" s="172">
        <f>MIN(1,MAX(VLOOKUP(($AJ33-$AI33-$AH33-$AG33-$AF33-$AE33*(1+FZ$3))/$AJ33,'Технический лист'!$A:$B,2,1),(FY33-0.05)))</f>
        <v/>
      </c>
      <c r="GA33" s="172">
        <f>MIN(1,MAX(VLOOKUP(($AJ33-$AI33-$AH33-$AG33-$AF33-$AE33*(1+GA$3))/$AJ33,'Технический лист'!$A:$B,2,1),(FZ33-0.05)))</f>
        <v/>
      </c>
      <c r="GB33" s="172">
        <f>MIN(1,MAX(VLOOKUP(($AJ33-$AI33-$AH33-$AG33-$AF33-$AE33*(1+GB$3))/$AJ33,'Технический лист'!$A:$B,2,1),(GA33-0.05)))</f>
        <v/>
      </c>
      <c r="GC33" s="172">
        <f>MIN(1,MAX(VLOOKUP(($AJ33-$AI33-$AH33-$AG33-$AF33-$AE33*(1+GC$3))/$AJ33,'Технический лист'!$A:$B,2,1),(GB33-0.05)))</f>
        <v/>
      </c>
      <c r="GD33" s="172">
        <f>MIN(1,MAX(VLOOKUP(($AJ33-$AI33-$AH33-$AG33-$AF33-$AE33*(1+GD$3))/$AJ33,'Технический лист'!$A:$B,2,1),(GC33-0.05)))</f>
        <v/>
      </c>
      <c r="GE33" s="172">
        <f>MIN(1,MAX(VLOOKUP(($AJ33-$AI33-$AH33-$AG33-$AF33-$AE33*(1+GE$3))/$AJ33,'Технический лист'!$A:$B,2,1),(GD33-0.05)))</f>
        <v/>
      </c>
      <c r="GF33" s="172">
        <f>MIN(1,MAX(VLOOKUP(($AJ33-$AI33-$AH33-$AG33-$AF33-$AE33*(1+GF$3))/$AJ33,'Технический лист'!$A:$B,2,1),(GE33-0.05)))</f>
        <v/>
      </c>
      <c r="GG33" s="172">
        <f>MIN(1,MAX(VLOOKUP(($AJ33-$AI33-$AH33-$AG33-$AF33-$AE33*(1+GG$3))/$AJ33,'Технический лист'!$A:$B,2,1),(GF33-0.05)))</f>
        <v/>
      </c>
      <c r="GH33" s="172">
        <f>MIN(1,MAX(VLOOKUP(($AJ33-$AI33-$AH33-$AG33-$AF33-$AE33*(1+GH$3))/$AJ33,'Технический лист'!$A:$B,2,1),(GG33-0.05)))</f>
        <v/>
      </c>
      <c r="GI33" s="172">
        <f>MIN(1,MAX(VLOOKUP(($AJ33-$AI33-$AH33-$AG33-$AF33-$AE33*(1+GI$3))/$AJ33,'Технический лист'!$A:$B,2,1),(GH33-0.05)))</f>
        <v/>
      </c>
      <c r="GJ33" s="172">
        <f>MIN(1,MAX(VLOOKUP(($AJ33-$AI33-$AH33-$AG33-$AF33-$AE33*(1+GJ$3))/$AJ33,'Технический лист'!$A:$B,2,1),(GI33-0.05)))</f>
        <v/>
      </c>
      <c r="GK33" s="172">
        <f>MIN(1,MAX(VLOOKUP(($AJ33-$AI33-$AH33-$AG33-$AF33-$AE33*(1+GK$3))/$AJ33,'Технический лист'!$A:$B,2,1),(GJ33-0.05)))</f>
        <v/>
      </c>
      <c r="GL33" s="172">
        <f>MIN(1,MAX(VLOOKUP(($AJ33-$AI33-$AH33-$AG33-$AF33-$AE33*(1+GL$3))/$AJ33,'Технический лист'!$A:$B,2,1),(GK33-0.05)))</f>
        <v/>
      </c>
      <c r="GM33" s="172">
        <f>MIN(1,MAX(VLOOKUP(($AJ33-$AI33-$AH33-$AG33-$AF33-$AE33*(1+GM$3))/$AJ33,'Технический лист'!$A:$B,2,1),(GL33-0.05)))</f>
        <v/>
      </c>
      <c r="GN33" s="172">
        <f>MIN(1,MAX(VLOOKUP(($AJ33-$AI33-$AH33-$AG33-$AF33-$AE33*(1+GN$3))/$AJ33,'Технический лист'!$A:$B,2,1),(GM33-0.05)))</f>
        <v/>
      </c>
      <c r="GO33" s="172">
        <f>MIN(1,MAX(VLOOKUP(($AJ33-$AI33-$AH33-$AG33-$AF33-$AE33*(1+GO$3))/$AJ33,'Технический лист'!$A:$B,2,1),(GN33-0.05)))</f>
        <v/>
      </c>
      <c r="GP33" s="172">
        <f>MIN(1,MAX(VLOOKUP(($AJ33-$AI33-$AH33-$AG33-$AF33-$AE33*(1+GP$3))/$AJ33,'Технический лист'!$A:$B,2,1),(GO33-0.05)))</f>
        <v/>
      </c>
      <c r="GQ33" s="172">
        <f>MIN(1,MAX(VLOOKUP(($AJ33-$AI33-$AH33-$AG33-$AF33-$AE33*(1+GQ$3))/$AJ33,'Технический лист'!$A:$B,2,1),(GP33-0.05)))</f>
        <v/>
      </c>
      <c r="GR33" s="172">
        <f>MIN(1,MAX(VLOOKUP(($AJ33-$AI33-$AH33-$AG33-$AF33-$AE33*(1+GR$3))/$AJ33,'Технический лист'!$A:$B,2,1),(GQ33-0.05)))</f>
        <v/>
      </c>
      <c r="GS33" s="172">
        <f>MIN(1,MAX(VLOOKUP(($AJ33-$AI33-$AH33-$AG33-$AF33-$AE33*(1+GS$3))/$AJ33,'Технический лист'!$A:$B,2,1),(GR33-0.05)))</f>
        <v/>
      </c>
      <c r="GT33" s="172">
        <f>MIN(1,MAX(VLOOKUP(($AJ33-$AI33-$AH33-$AG33-$AF33-$AE33*(1+GT$3))/$AJ33,'Технический лист'!$A:$B,2,1),(GS33-0.05)))</f>
        <v/>
      </c>
      <c r="GU33" s="172">
        <f>MIN(1,MAX(VLOOKUP(($AJ33-$AI33-$AH33-$AG33-$AF33-$AE33*(1+GU$3))/$AJ33,'Технический лист'!$A:$B,2,1),(GT33-0.05)))</f>
        <v/>
      </c>
      <c r="GV33" s="172">
        <f>MIN(1,MAX(VLOOKUP(($AJ33-$AI33-$AH33-$AG33-$AF33-$AE33*(1+GV$3))/$AJ33,'Технический лист'!$A:$B,2,1),(GU33-0.05)))</f>
        <v/>
      </c>
      <c r="GW33" s="172">
        <f>MIN(1,MAX(VLOOKUP(($AJ33-$AI33-$AH33-$AG33-$AF33-$AE33*(1+GW$3))/$AJ33,'Технический лист'!$A:$B,2,1),(GV33-0.05)))</f>
        <v/>
      </c>
      <c r="GX33" s="172">
        <f>MIN(1,MAX(VLOOKUP(($AJ33-$AI33-$AH33-$AG33-$AF33-$AE33*(1+GX$3))/$AJ33,'Технический лист'!$A:$B,2,1),(GW33-0.05)))</f>
        <v/>
      </c>
      <c r="GY33" s="172">
        <f>MIN(1,MAX(VLOOKUP(($AJ33-$AI33-$AH33-$AG33-$AF33-$AE33*(1+GY$3))/$AJ33,'Технический лист'!$A:$B,2,1),(GX33-0.05)))</f>
        <v/>
      </c>
      <c r="GZ33" s="172">
        <f>MIN(1,MAX(VLOOKUP(($AJ33-$AI33-$AH33-$AG33-$AF33-$AE33*(1+GZ$3))/$AJ33,'Технический лист'!$A:$B,2,1),(GY33-0.05)))</f>
        <v/>
      </c>
      <c r="HA33" s="172">
        <f>MIN(1,MAX(VLOOKUP(($AJ33-$AI33-$AH33-$AG33-$AF33-$AE33*(1+HA$3))/$AJ33,'Технический лист'!$A:$B,2,1),(GZ33-0.05)))</f>
        <v/>
      </c>
      <c r="HB33" s="172">
        <f>MIN(1,MAX(VLOOKUP(($AJ33-$AI33-$AH33-$AG33-$AF33-$AE33*(1+HB$3))/$AJ33,'Технический лист'!$A:$B,2,1),(HA33-0.05)))</f>
        <v/>
      </c>
      <c r="HC33" s="172">
        <f>MIN(1,MAX(VLOOKUP(($AJ33-$AI33-$AH33-$AG33-$AF33-$AE33*(1+HC$3))/$AJ33,'Технический лист'!$A:$B,2,1),(HB33-0.05)))</f>
        <v/>
      </c>
      <c r="HD33" s="172">
        <f>MIN(1,MAX(VLOOKUP(($AJ33-$AI33-$AH33-$AG33-$AF33-$AE33*(1+HD$3))/$AJ33,'Технический лист'!$A:$B,2,1),(HC33-0.05)))</f>
        <v/>
      </c>
      <c r="HE33" s="172">
        <f>MIN(1,MAX(VLOOKUP(($AJ33-$AI33-$AH33-$AG33-$AF33-$AE33*(1+HE$3))/$AJ33,'Технический лист'!$A:$B,2,1),(HD33-0.05)))</f>
        <v/>
      </c>
      <c r="HF33" s="172">
        <f>MIN(1,MAX(VLOOKUP(($AJ33-$AI33-$AH33-$AG33-$AF33-$AE33*(1+HF$3))/$AJ33,'Технический лист'!$A:$B,2,1),(HE33-0.05)))</f>
        <v/>
      </c>
      <c r="HG33" s="172">
        <f>MIN(1,MAX(VLOOKUP(($AJ33-$AI33-$AH33-$AG33-$AF33-$AE33*(1+HG$3))/$AJ33,'Технический лист'!$A:$B,2,1),(HF33-0.05)))</f>
        <v/>
      </c>
      <c r="HH33" s="172">
        <f>MIN(1,MAX(VLOOKUP(($AJ33-$AI33-$AH33-$AG33-$AF33-$AE33*(1+HH$3))/$AJ33,'Технический лист'!$A:$B,2,1),(HG33-0.05)))</f>
        <v/>
      </c>
      <c r="HI33" s="172">
        <f>MIN(1,MAX(VLOOKUP(($AJ33-$AI33-$AH33-$AG33-$AF33-$AE33*(1+HI$3))/$AJ33,'Технический лист'!$A:$B,2,1),(HH33-0.05)))</f>
        <v/>
      </c>
      <c r="HJ33" s="172">
        <f>MIN(1,MAX(VLOOKUP(($AJ33-$AI33-$AH33-$AG33-$AF33-$AE33*(1+HJ$3))/$AJ33,'Технический лист'!$A:$B,2,1),(HI33-0.05)))</f>
        <v/>
      </c>
      <c r="HK33" s="172">
        <f>MIN(1,MAX(VLOOKUP(($AJ33-$AI33-$AH33-$AG33-$AF33-$AE33*(1+HK$3))/$AJ33,'Технический лист'!$A:$B,2,1),(HJ33-0.05)))</f>
        <v/>
      </c>
      <c r="HL33" s="172">
        <f>MIN(1,MAX(VLOOKUP(($AJ33-$AI33-$AH33-$AG33-$AF33-$AE33*(1+HL$3))/$AJ33,'Технический лист'!$A:$B,2,1),(HK33-0.05)))</f>
        <v/>
      </c>
      <c r="HM33" s="172">
        <f>MIN(1,MAX(VLOOKUP(($AJ33-$AI33-$AH33-$AG33-$AF33-$AE33*(1+HM$3))/$AJ33,'Технический лист'!$A:$B,2,1),(HL33-0.05)))</f>
        <v/>
      </c>
      <c r="HN33" s="172">
        <f>MIN(1,MAX(VLOOKUP(($AJ33-$AI33-$AH33-$AG33-$AF33-$AE33*(1+HN$3))/$AJ33,'Технический лист'!$A:$B,2,1),(HM33-0.05)))</f>
        <v/>
      </c>
      <c r="HO33" s="172">
        <f>MIN(1,MAX(VLOOKUP(($AJ33-$AI33-$AH33-$AG33-$AF33-$AE33*(1+HO$3))/$AJ33,'Технический лист'!$A:$B,2,1),(HN33-0.05)))</f>
        <v/>
      </c>
      <c r="HP33" s="172">
        <f>MIN(1,MAX(VLOOKUP(($AJ33-$AI33-$AH33-$AG33-$AF33-$AE33*(1+HP$3))/$AJ33,'Технический лист'!$A:$B,2,1),(HO33-0.05)))</f>
        <v/>
      </c>
      <c r="HQ33" s="172">
        <f>MIN(1,MAX(VLOOKUP(($AJ33-$AI33-$AH33-$AG33-$AF33-$AE33*(1+HQ$3))/$AJ33,'Технический лист'!$A:$B,2,1),(HP33-0.05)))</f>
        <v/>
      </c>
      <c r="HR33" s="172">
        <f>MIN(1,MAX(VLOOKUP(($AJ33-$AI33-$AH33-$AG33-$AF33-$AE33*(1+HR$3))/$AJ33,'Технический лист'!$A:$B,2,1),(HQ33-0.05)))</f>
        <v/>
      </c>
      <c r="HS33" s="172">
        <f>MIN(1,MAX(VLOOKUP(($AJ33-$AI33-$AH33-$AG33-$AF33-$AE33*(1+HS$3))/$AJ33,'Технический лист'!$A:$B,2,1),(HR33-0.05)))</f>
        <v/>
      </c>
      <c r="HT33" s="172">
        <f>MIN(1,MAX(VLOOKUP(($AJ33-$AI33-$AH33-$AG33-$AF33-$AE33*(1+HT$3))/$AJ33,'Технический лист'!$A:$B,2,1),(HS33-0.05)))</f>
        <v/>
      </c>
      <c r="HU33" s="172">
        <f>MIN(1,MAX(VLOOKUP(($AJ33-$AI33-$AH33-$AG33-$AF33-$AE33*(1+HU$3))/$AJ33,'Технический лист'!$A:$B,2,1),(HT33-0.05)))</f>
        <v/>
      </c>
      <c r="HV33" s="172">
        <f>MIN(1,MAX(VLOOKUP(($AJ33-$AI33-$AH33-$AG33-$AF33-$AE33*(1+HV$3))/$AJ33,'Технический лист'!$A:$B,2,1),(HU33-0.05)))</f>
        <v/>
      </c>
      <c r="HW33" s="172">
        <f>MIN(1,MAX(VLOOKUP(($AJ33-$AI33-$AH33-$AG33-$AF33-$AE33*(1+HW$3))/$AJ33,'Технический лист'!$A:$B,2,1),(HV33-0.05)))</f>
        <v/>
      </c>
      <c r="HX33" s="172">
        <f>MIN(1,MAX(VLOOKUP(($AJ33-$AI33-$AH33-$AG33-$AF33-$AE33*(1+HX$3))/$AJ33,'Технический лист'!$A:$B,2,1),(HW33-0.05)))</f>
        <v/>
      </c>
      <c r="HY33" s="172">
        <f>MIN(1,MAX(VLOOKUP(($AJ33-$AI33-$AH33-$AG33-$AF33-$AE33*(1+HY$3))/$AJ33,'Технический лист'!$A:$B,2,1),(HX33-0.05)))</f>
        <v/>
      </c>
      <c r="HZ33" s="172">
        <f>MIN(1,MAX(VLOOKUP(($AJ33-$AI33-$AH33-$AG33-$AF33-$AE33*(1+HZ$3))/$AJ33,'Технический лист'!$A:$B,2,1),(HY33-0.05)))</f>
        <v/>
      </c>
      <c r="IA33" s="172">
        <f>MIN(1,MAX(VLOOKUP(($AJ33-$AI33-$AH33-$AG33-$AF33-$AE33*(1+IA$3))/$AJ33,'Технический лист'!$A:$B,2,1),(HZ33-0.05)))</f>
        <v/>
      </c>
      <c r="IB33" s="172">
        <f>MIN(1,MAX(VLOOKUP(($AJ33-$AI33-$AH33-$AG33-$AF33-$AE33*(1+IB$3))/$AJ33,'Технический лист'!$A:$B,2,1),(IA33-0.05)))</f>
        <v/>
      </c>
      <c r="IC33" s="172">
        <f>MIN(1,MAX(VLOOKUP(($AJ33-$AI33-$AH33-$AG33-$AF33-$AE33*(1+IC$3))/$AJ33,'Технический лист'!$A:$B,2,1),(IB33-0.05)))</f>
        <v/>
      </c>
      <c r="ID33" s="172">
        <f>MIN(1,MAX(VLOOKUP(($AJ33-$AI33-$AH33-$AG33-$AF33-$AE33*(1+ID$3))/$AJ33,'Технический лист'!$A:$B,2,1),(IC33-0.05)))</f>
        <v/>
      </c>
      <c r="IE33" s="172">
        <f>MIN(1,MAX(VLOOKUP(($AJ33-$AI33-$AH33-$AG33-$AF33-$AE33*(1+IE$3))/$AJ33,'Технический лист'!$A:$B,2,1),(ID33-0.05)))</f>
        <v/>
      </c>
      <c r="IF33" s="172">
        <f>MIN(1,MAX(VLOOKUP(($AJ33-$AI33-$AH33-$AG33-$AF33-$AE33*(1+IF$3))/$AJ33,'Технический лист'!$A:$B,2,1),(IE33-0.05)))</f>
        <v/>
      </c>
      <c r="IG33" s="172">
        <f>MIN(1,MAX(VLOOKUP(($AJ33-$AI33-$AH33-$AG33-$AF33-$AE33*(1+IG$3))/$AJ33,'Технический лист'!$A:$B,2,1),(IF33-0.05)))</f>
        <v/>
      </c>
      <c r="IH33" s="172">
        <f>MIN(1,MAX(VLOOKUP(($AJ33-$AI33-$AH33-$AG33-$AF33-$AE33*(1+IH$3))/$AJ33,'Технический лист'!$A:$B,2,1),(IG33-0.05)))</f>
        <v/>
      </c>
      <c r="II33" s="172">
        <f>MIN(1,MAX(VLOOKUP(($AJ33-$AI33-$AH33-$AG33-$AF33-$AE33*(1+II$3))/$AJ33,'Технический лист'!$A:$B,2,1),(IH33-0.05)))</f>
        <v/>
      </c>
      <c r="IJ33" s="172">
        <f>MIN(1,MAX(VLOOKUP(($AJ33-$AI33-$AH33-$AG33-$AF33-$AE33*(1+IJ$3))/$AJ33,'Технический лист'!$A:$B,2,1),(II33-0.05)))</f>
        <v/>
      </c>
      <c r="IK33" s="172">
        <f>MIN(1,MAX(VLOOKUP(($AJ33-$AI33-$AH33-$AG33-$AF33-$AE33*(1+IK$3))/$AJ33,'Технический лист'!$A:$B,2,1),(IJ33-0.05)))</f>
        <v/>
      </c>
      <c r="IL33" s="172">
        <f>MIN(1,MAX(VLOOKUP(($AJ33-$AI33-$AH33-$AG33-$AF33-$AE33*(1+IL$3))/$AJ33,'Технический лист'!$A:$B,2,1),(IK33-0.05)))</f>
        <v/>
      </c>
      <c r="IM33" s="172">
        <f>MIN(1,MAX(VLOOKUP(($AJ33-$AI33-$AH33-$AG33-$AF33-$AE33*(1+IM$3))/$AJ33,'Технический лист'!$A:$B,2,1),(IL33-0.05)))</f>
        <v/>
      </c>
      <c r="IN33" s="172">
        <f>MIN(1,MAX(VLOOKUP(($AJ33-$AI33-$AH33-$AG33-$AF33-$AE33*(1+IN$3))/$AJ33,'Технический лист'!$A:$B,2,1),(IM33-0.05)))</f>
        <v/>
      </c>
      <c r="IO33" s="172">
        <f>MIN(1,MAX(VLOOKUP(($AJ33-$AI33-$AH33-$AG33-$AF33-$AE33*(1+IO$3))/$AJ33,'Технический лист'!$A:$B,2,1),(IN33-0.05)))</f>
        <v/>
      </c>
      <c r="IP33" s="172">
        <f>MIN(1,MAX(VLOOKUP(($AJ33-$AI33-$AH33-$AG33-$AF33-$AE33*(1+IP$3))/$AJ33,'Технический лист'!$A:$B,2,1),(IO33-0.05)))</f>
        <v/>
      </c>
      <c r="IQ33" s="172">
        <f>MIN(1,MAX(VLOOKUP(($AJ33-$AI33-$AH33-$AG33-$AF33-$AE33*(1+IQ$3))/$AJ33,'Технический лист'!$A:$B,2,1),(IP33-0.05)))</f>
        <v/>
      </c>
      <c r="IR33" s="172">
        <f>MIN(1,MAX(VLOOKUP(($AJ33-$AI33-$AH33-$AG33-$AF33-$AE33*(1+IR$3))/$AJ33,'Технический лист'!$A:$B,2,1),(IQ33-0.05)))</f>
        <v/>
      </c>
    </row>
    <row r="34" ht="45" customHeight="1" s="123">
      <c r="A34" s="89" t="inlineStr">
        <is>
          <t>ЧМ (сырье)</t>
        </is>
      </c>
      <c r="B34" s="90" t="n">
        <v>2</v>
      </c>
      <c r="C34" s="5" t="inlineStr">
        <is>
          <t>Кокс каменноугольный</t>
        </is>
      </c>
      <c r="D34" s="91" t="n">
        <v>17110</v>
      </c>
      <c r="E34" s="91" t="inlineStr">
        <is>
          <t xml:space="preserve">Кокс, не поименованный в алфавите </t>
        </is>
      </c>
      <c r="F34" s="92" t="inlineStr">
        <is>
          <t>КОКС КАМЕННОУГОЛЬНЫЙ</t>
        </is>
      </c>
      <c r="G34" s="91" t="inlineStr">
        <is>
          <t>СЕВ</t>
        </is>
      </c>
      <c r="H34" s="91" t="inlineStr">
        <is>
          <t>МСК</t>
        </is>
      </c>
      <c r="I34" s="91" t="inlineStr">
        <is>
          <t>ЧЕРЕПОВЕЦ 2</t>
        </is>
      </c>
      <c r="J34" s="91" t="inlineStr">
        <is>
          <t>ВЯЗЬМА-НОВОТ</t>
        </is>
      </c>
      <c r="K34" s="91" t="n">
        <v>907</v>
      </c>
      <c r="L34" s="91" t="inlineStr">
        <is>
          <t>Полувагоны</t>
        </is>
      </c>
      <c r="M34" s="91" t="inlineStr">
        <is>
          <t>Внутр. перевозки</t>
        </is>
      </c>
      <c r="N34" s="91" t="inlineStr">
        <is>
          <t>вагонная</t>
        </is>
      </c>
      <c r="O34" s="91" t="inlineStr">
        <is>
          <t xml:space="preserve">Северо-Западное </t>
        </is>
      </c>
      <c r="P34" s="89" t="inlineStr">
        <is>
          <t>'000000186217</t>
        </is>
      </c>
      <c r="Q34" s="91" t="inlineStr">
        <is>
          <t>ПАО "Северсталь"</t>
        </is>
      </c>
      <c r="R34" s="91" t="inlineStr">
        <is>
          <t>ПАО "СЕВЕРСТАЛЬ"</t>
        </is>
      </c>
      <c r="S34" s="87" t="n">
        <v>23116</v>
      </c>
      <c r="T34" s="87" t="n">
        <v>20966560</v>
      </c>
      <c r="U34" s="88" t="n">
        <v>452</v>
      </c>
      <c r="V34" s="88" t="n">
        <v>0</v>
      </c>
      <c r="W34" s="87" t="n">
        <v>22649349</v>
      </c>
      <c r="X34" s="112" t="n">
        <v>53</v>
      </c>
      <c r="Y34" s="112" t="inlineStr">
        <is>
          <t>групповая</t>
        </is>
      </c>
      <c r="Z34" s="113" t="n">
        <v>6</v>
      </c>
      <c r="AA34" s="113" t="n">
        <v>6</v>
      </c>
      <c r="AB34" s="113" t="n">
        <v>4</v>
      </c>
      <c r="AC34" s="161" t="n">
        <v>1023.58</v>
      </c>
      <c r="AD34" s="161">
        <f>AE34-AC34</f>
        <v/>
      </c>
      <c r="AE34" s="161" t="n">
        <v>1374.49</v>
      </c>
      <c r="AF34" s="162">
        <f>(Z34+AA34+AB34)*'Ставки аренды'!$B$3/X34</f>
        <v/>
      </c>
      <c r="AG34" s="163" t="n">
        <v>0</v>
      </c>
      <c r="AH34" s="164" t="n">
        <v>0</v>
      </c>
      <c r="AI34" s="174">
        <f>507353/712157*AVERAGE(AJ33,AJ34)</f>
        <v/>
      </c>
      <c r="AJ34" s="166">
        <f>Цены!$D$9</f>
        <v/>
      </c>
      <c r="AK34" s="164">
        <f>AJ34/Цены!$B$1</f>
        <v/>
      </c>
      <c r="AL34" s="164">
        <f>AE34+AF34+AG34</f>
        <v/>
      </c>
      <c r="AM34" s="164">
        <f>AJ34-AL34</f>
        <v/>
      </c>
      <c r="AN34" s="164">
        <f>AI34+AH34+AG34+AF34+AE34</f>
        <v/>
      </c>
      <c r="AO34" s="167">
        <f>(AJ34-AN34)/AJ34</f>
        <v/>
      </c>
      <c r="AP34" s="168">
        <f>AL34/AJ34</f>
        <v/>
      </c>
      <c r="AQ34" s="168">
        <f>AE34/AJ34</f>
        <v/>
      </c>
      <c r="AR34" s="168">
        <f>AE34/AL34</f>
        <v/>
      </c>
      <c r="AS34" s="169" t="n">
        <v>1</v>
      </c>
      <c r="AT34" s="121">
        <f>S34*AS34</f>
        <v/>
      </c>
      <c r="AU34" s="83" t="n">
        <v>0.95</v>
      </c>
      <c r="AV34" s="170">
        <f>(AJ34-(AE34*(1+$IS$2)+AF34+AG34+AH34+AI34))/AJ34</f>
        <v/>
      </c>
      <c r="AW34" s="171">
        <f>(AE34*(1+$IS$2)+AF34+AG34)/AJ34</f>
        <v/>
      </c>
      <c r="AX34" s="171">
        <f>(AE34*(1+$IS$2))/AJ34</f>
        <v/>
      </c>
      <c r="AY34" s="171">
        <f>(AE34*(1+$IS$2))/(AE34*(1+$IS$2)+AF34+AG34)</f>
        <v/>
      </c>
      <c r="AZ34" s="172">
        <f>MIN(IF($AU34=100%,1,1+VLOOKUP(($AJ34-$AI34-$AH34-$AG34-$AF34-$AE34*(1+AZ$3))/$AJ34,'Технический лист'!$A:$B,2,1)-VLOOKUP($AO34,'Технический лист'!$A:$B,2,1)),1+(1-$AU34))</f>
        <v/>
      </c>
      <c r="BA34" s="172">
        <f>MIN(IF($AU34=100%,1,1+VLOOKUP(($AJ34-$AI34-$AH34-$AG34-$AF34-$AE34*(1+BA$3))/$AJ34,'Технический лист'!$A:$B,2,1)-VLOOKUP($AO34,'Технический лист'!$A:$B,2,1)),1+(1-$AU34))</f>
        <v/>
      </c>
      <c r="BB34" s="172">
        <f>MIN(IF($AU34=100%,1,1+VLOOKUP(($AJ34-$AI34-$AH34-$AG34-$AF34-$AE34*(1+BB$3))/$AJ34,'Технический лист'!$A:$B,2,1)-VLOOKUP($AO34,'Технический лист'!$A:$B,2,1)),1+(1-$AU34))</f>
        <v/>
      </c>
      <c r="BC34" s="172">
        <f>MIN(IF($AU34=100%,1,1+VLOOKUP(($AJ34-$AI34-$AH34-$AG34-$AF34-$AE34*(1+BC$3))/$AJ34,'Технический лист'!$A:$B,2,1)-VLOOKUP($AO34,'Технический лист'!$A:$B,2,1)),1+(1-$AU34))</f>
        <v/>
      </c>
      <c r="BD34" s="172">
        <f>MIN(IF($AU34=100%,1,1+VLOOKUP(($AJ34-$AI34-$AH34-$AG34-$AF34-$AE34*(1+BD$3))/$AJ34,'Технический лист'!$A:$B,2,1)-VLOOKUP($AO34,'Технический лист'!$A:$B,2,1)),1+(1-$AU34))</f>
        <v/>
      </c>
      <c r="BE34" s="172">
        <f>MIN(IF($AU34=100%,1,1+VLOOKUP(($AJ34-$AI34-$AH34-$AG34-$AF34-$AE34*(1+BE$3))/$AJ34,'Технический лист'!$A:$B,2,1)-VLOOKUP($AO34,'Технический лист'!$A:$B,2,1)),1+(1-$AU34))</f>
        <v/>
      </c>
      <c r="BF34" s="172">
        <f>MIN(IF($AU34=100%,1,1+VLOOKUP(($AJ34-$AI34-$AH34-$AG34-$AF34-$AE34*(1+BF$3))/$AJ34,'Технический лист'!$A:$B,2,1)-VLOOKUP($AO34,'Технический лист'!$A:$B,2,1)),1+(1-$AU34))</f>
        <v/>
      </c>
      <c r="BG34" s="172">
        <f>MIN(IF($AU34=100%,1,1+VLOOKUP(($AJ34-$AI34-$AH34-$AG34-$AF34-$AE34*(1+BG$3))/$AJ34,'Технический лист'!$A:$B,2,1)-VLOOKUP($AO34,'Технический лист'!$A:$B,2,1)),1+(1-$AU34))</f>
        <v/>
      </c>
      <c r="BH34" s="172">
        <f>MIN(IF($AU34=100%,1,1+VLOOKUP(($AJ34-$AI34-$AH34-$AG34-$AF34-$AE34*(1+BH$3))/$AJ34,'Технический лист'!$A:$B,2,1)-VLOOKUP($AO34,'Технический лист'!$A:$B,2,1)),1+(1-$AU34))</f>
        <v/>
      </c>
      <c r="BI34" s="172">
        <f>MIN(IF($AU34=100%,1,1+VLOOKUP(($AJ34-$AI34-$AH34-$AG34-$AF34-$AE34*(1+BI$3))/$AJ34,'Технический лист'!$A:$B,2,1)-VLOOKUP($AO34,'Технический лист'!$A:$B,2,1)),1+(1-$AU34))</f>
        <v/>
      </c>
      <c r="BJ34" s="172">
        <f>MIN(IF($AU34=100%,1,1+VLOOKUP(($AJ34-$AI34-$AH34-$AG34-$AF34-$AE34*(1+BJ$3))/$AJ34,'Технический лист'!$A:$B,2,1)-VLOOKUP($AO34,'Технический лист'!$A:$B,2,1)),1+(1-$AU34))</f>
        <v/>
      </c>
      <c r="BK34" s="172">
        <f>MIN(IF($AU34=100%,1,1+VLOOKUP(($AJ34-$AI34-$AH34-$AG34-$AF34-$AE34*(1+BK$3))/$AJ34,'Технический лист'!$A:$B,2,1)-VLOOKUP($AO34,'Технический лист'!$A:$B,2,1)),1+(1-$AU34))</f>
        <v/>
      </c>
      <c r="BL34" s="172">
        <f>MIN(IF($AU34=100%,1,1+VLOOKUP(($AJ34-$AI34-$AH34-$AG34-$AF34-$AE34*(1+BL$3))/$AJ34,'Технический лист'!$A:$B,2,1)-VLOOKUP($AO34,'Технический лист'!$A:$B,2,1)),1+(1-$AU34))</f>
        <v/>
      </c>
      <c r="BM34" s="172">
        <f>MIN(IF($AU34=100%,1,1+VLOOKUP(($AJ34-$AI34-$AH34-$AG34-$AF34-$AE34*(1+BM$3))/$AJ34,'Технический лист'!$A:$B,2,1)-VLOOKUP($AO34,'Технический лист'!$A:$B,2,1)),1+(1-$AU34))</f>
        <v/>
      </c>
      <c r="BN34" s="172">
        <f>MIN(IF($AU34=100%,1,1+VLOOKUP(($AJ34-$AI34-$AH34-$AG34-$AF34-$AE34*(1+BN$3))/$AJ34,'Технический лист'!$A:$B,2,1)-VLOOKUP($AO34,'Технический лист'!$A:$B,2,1)),1+(1-$AU34))</f>
        <v/>
      </c>
      <c r="BO34" s="172">
        <f>MIN(IF($AU34=100%,1,1+VLOOKUP(($AJ34-$AI34-$AH34-$AG34-$AF34-$AE34*(1+BO$3))/$AJ34,'Технический лист'!$A:$B,2,1)-VLOOKUP($AO34,'Технический лист'!$A:$B,2,1)),1+(1-$AU34))</f>
        <v/>
      </c>
      <c r="BP34" s="172">
        <f>MIN(IF($AU34=100%,1,1+VLOOKUP(($AJ34-$AI34-$AH34-$AG34-$AF34-$AE34*(1+BP$3))/$AJ34,'Технический лист'!$A:$B,2,1)-VLOOKUP($AO34,'Технический лист'!$A:$B,2,1)),1+(1-$AU34))</f>
        <v/>
      </c>
      <c r="BQ34" s="172">
        <f>MIN(IF($AU34=100%,1,1+VLOOKUP(($AJ34-$AI34-$AH34-$AG34-$AF34-$AE34*(1+BQ$3))/$AJ34,'Технический лист'!$A:$B,2,1)-VLOOKUP($AO34,'Технический лист'!$A:$B,2,1)),1+(1-$AU34))</f>
        <v/>
      </c>
      <c r="BR34" s="172">
        <f>MIN(IF($AU34=100%,1,1+VLOOKUP(($AJ34-$AI34-$AH34-$AG34-$AF34-$AE34*(1+BR$3))/$AJ34,'Технический лист'!$A:$B,2,1)-VLOOKUP($AO34,'Технический лист'!$A:$B,2,1)),1+(1-$AU34))</f>
        <v/>
      </c>
      <c r="BS34" s="172">
        <f>MIN(IF($AU34=100%,1,1+VLOOKUP(($AJ34-$AI34-$AH34-$AG34-$AF34-$AE34*(1+BS$3))/$AJ34,'Технический лист'!$A:$B,2,1)-VLOOKUP($AO34,'Технический лист'!$A:$B,2,1)),1+(1-$AU34))</f>
        <v/>
      </c>
      <c r="BT34" s="172">
        <f>MIN(IF($AU34=100%,1,1+VLOOKUP(($AJ34-$AI34-$AH34-$AG34-$AF34-$AE34*(1+BT$3))/$AJ34,'Технический лист'!$A:$B,2,1)-VLOOKUP($AO34,'Технический лист'!$A:$B,2,1)),1+(1-$AU34))</f>
        <v/>
      </c>
      <c r="BU34" s="172">
        <f>MIN(IF($AU34=100%,1,1+VLOOKUP(($AJ34-$AI34-$AH34-$AG34-$AF34-$AE34*(1+BU$3))/$AJ34,'Технический лист'!$A:$B,2,1)-VLOOKUP($AO34,'Технический лист'!$A:$B,2,1)),1+(1-$AU34))</f>
        <v/>
      </c>
      <c r="BV34" s="172">
        <f>MIN(IF($AU34=100%,1,1+VLOOKUP(($AJ34-$AI34-$AH34-$AG34-$AF34-$AE34*(1+BV$3))/$AJ34,'Технический лист'!$A:$B,2,1)-VLOOKUP($AO34,'Технический лист'!$A:$B,2,1)),1+(1-$AU34))</f>
        <v/>
      </c>
      <c r="BW34" s="172">
        <f>MIN(IF($AU34=100%,1,1+VLOOKUP(($AJ34-$AI34-$AH34-$AG34-$AF34-$AE34*(1+BW$3))/$AJ34,'Технический лист'!$A:$B,2,1)-VLOOKUP($AO34,'Технический лист'!$A:$B,2,1)),1+(1-$AU34))</f>
        <v/>
      </c>
      <c r="BX34" s="172">
        <f>MIN(IF($AU34=100%,1,1+VLOOKUP(($AJ34-$AI34-$AH34-$AG34-$AF34-$AE34*(1+BX$3))/$AJ34,'Технический лист'!$A:$B,2,1)-VLOOKUP($AO34,'Технический лист'!$A:$B,2,1)),1+(1-$AU34))</f>
        <v/>
      </c>
      <c r="BY34" s="172">
        <f>MIN(IF($AU34=100%,1,1+VLOOKUP(($AJ34-$AI34-$AH34-$AG34-$AF34-$AE34*(1+BY$3))/$AJ34,'Технический лист'!$A:$B,2,1)-VLOOKUP($AO34,'Технический лист'!$A:$B,2,1)),1+(1-$AU34))</f>
        <v/>
      </c>
      <c r="BZ34" s="172">
        <f>MIN(IF($AU34=100%,1,1+VLOOKUP(($AJ34-$AI34-$AH34-$AG34-$AF34-$AE34*(1+BZ$3))/$AJ34,'Технический лист'!$A:$B,2,1)-VLOOKUP($AO34,'Технический лист'!$A:$B,2,1)),1+(1-$AU34))</f>
        <v/>
      </c>
      <c r="CA34" s="172">
        <f>MIN(IF($AU34=100%,1,1+VLOOKUP(($AJ34-$AI34-$AH34-$AG34-$AF34-$AE34*(1+CA$3))/$AJ34,'Технический лист'!$A:$B,2,1)-VLOOKUP($AO34,'Технический лист'!$A:$B,2,1)),1+(1-$AU34))</f>
        <v/>
      </c>
      <c r="CB34" s="172">
        <f>MIN(IF($AU34=100%,1,1+VLOOKUP(($AJ34-$AI34-$AH34-$AG34-$AF34-$AE34*(1+CB$3))/$AJ34,'Технический лист'!$A:$B,2,1)-VLOOKUP($AO34,'Технический лист'!$A:$B,2,1)),1+(1-$AU34))</f>
        <v/>
      </c>
      <c r="CC34" s="172">
        <f>MIN(IF($AU34=100%,1,1+VLOOKUP(($AJ34-$AI34-$AH34-$AG34-$AF34-$AE34*(1+CC$3))/$AJ34,'Технический лист'!$A:$B,2,1)-VLOOKUP($AO34,'Технический лист'!$A:$B,2,1)),1+(1-$AU34))</f>
        <v/>
      </c>
      <c r="CD34" s="172">
        <f>MIN(IF($AU34=100%,1,1+VLOOKUP(($AJ34-$AI34-$AH34-$AG34-$AF34-$AE34*(1+CD$3))/$AJ34,'Технический лист'!$A:$B,2,1)-VLOOKUP($AO34,'Технический лист'!$A:$B,2,1)),1+(1-$AU34))</f>
        <v/>
      </c>
      <c r="CE34" s="172">
        <f>MIN(IF($AU34=100%,1,1+VLOOKUP(($AJ34-$AI34-$AH34-$AG34-$AF34-$AE34*(1+CE$3))/$AJ34,'Технический лист'!$A:$B,2,1)-VLOOKUP($AO34,'Технический лист'!$A:$B,2,1)),1+(1-$AU34))</f>
        <v/>
      </c>
      <c r="CF34" s="172">
        <f>MIN(IF($AU34=100%,1,1+VLOOKUP(($AJ34-$AI34-$AH34-$AG34-$AF34-$AE34*(1+CF$3))/$AJ34,'Технический лист'!$A:$B,2,1)-VLOOKUP($AO34,'Технический лист'!$A:$B,2,1)),1+(1-$AU34))</f>
        <v/>
      </c>
      <c r="CG34" s="172">
        <f>MIN(IF($AU34=100%,1,1+VLOOKUP(($AJ34-$AI34-$AH34-$AG34-$AF34-$AE34*(1+CG$3))/$AJ34,'Технический лист'!$A:$B,2,1)-VLOOKUP($AO34,'Технический лист'!$A:$B,2,1)),1+(1-$AU34))</f>
        <v/>
      </c>
      <c r="CH34" s="172">
        <f>MIN(IF($AU34=100%,1,1+VLOOKUP(($AJ34-$AI34-$AH34-$AG34-$AF34-$AE34*(1+CH$3))/$AJ34,'Технический лист'!$A:$B,2,1)-VLOOKUP($AO34,'Технический лист'!$A:$B,2,1)),1+(1-$AU34))</f>
        <v/>
      </c>
      <c r="CI34" s="172">
        <f>MIN(IF($AU34=100%,1,1+VLOOKUP(($AJ34-$AI34-$AH34-$AG34-$AF34-$AE34*(1+CI$3))/$AJ34,'Технический лист'!$A:$B,2,1)-VLOOKUP($AO34,'Технический лист'!$A:$B,2,1)),1+(1-$AU34))</f>
        <v/>
      </c>
      <c r="CJ34" s="172">
        <f>MIN(IF($AU34=100%,1,1+VLOOKUP(($AJ34-$AI34-$AH34-$AG34-$AF34-$AE34*(1+CJ$3))/$AJ34,'Технический лист'!$A:$B,2,1)-VLOOKUP($AO34,'Технический лист'!$A:$B,2,1)),1+(1-$AU34))</f>
        <v/>
      </c>
      <c r="CK34" s="172">
        <f>MIN(IF($AU34=100%,1,1+VLOOKUP(($AJ34-$AI34-$AH34-$AG34-$AF34-$AE34*(1+CK$3))/$AJ34,'Технический лист'!$A:$B,2,1)-VLOOKUP($AO34,'Технический лист'!$A:$B,2,1)),1+(1-$AU34))</f>
        <v/>
      </c>
      <c r="CL34" s="172">
        <f>MIN(IF($AU34=100%,1,1+VLOOKUP(($AJ34-$AI34-$AH34-$AG34-$AF34-$AE34*(1+CL$3))/$AJ34,'Технический лист'!$A:$B,2,1)-VLOOKUP($AO34,'Технический лист'!$A:$B,2,1)),1+(1-$AU34))</f>
        <v/>
      </c>
      <c r="CM34" s="172">
        <f>MIN(IF($AU34=100%,1,1+VLOOKUP(($AJ34-$AI34-$AH34-$AG34-$AF34-$AE34*(1+CM$3))/$AJ34,'Технический лист'!$A:$B,2,1)-VLOOKUP($AO34,'Технический лист'!$A:$B,2,1)),1+(1-$AU34))</f>
        <v/>
      </c>
      <c r="CN34" s="172">
        <f>MIN(IF($AU34=100%,1,1+VLOOKUP(($AJ34-$AI34-$AH34-$AG34-$AF34-$AE34*(1+CN$3))/$AJ34,'Технический лист'!$A:$B,2,1)-VLOOKUP($AO34,'Технический лист'!$A:$B,2,1)),1+(1-$AU34))</f>
        <v/>
      </c>
      <c r="CO34" s="172">
        <f>MIN(IF($AU34=100%,1,1+VLOOKUP(($AJ34-$AI34-$AH34-$AG34-$AF34-$AE34*(1+CO$3))/$AJ34,'Технический лист'!$A:$B,2,1)-VLOOKUP($AO34,'Технический лист'!$A:$B,2,1)),1+(1-$AU34))</f>
        <v/>
      </c>
      <c r="CP34" s="172">
        <f>MIN(IF($AU34=100%,1,1+VLOOKUP(($AJ34-$AI34-$AH34-$AG34-$AF34-$AE34*(1+CP$3))/$AJ34,'Технический лист'!$A:$B,2,1)-VLOOKUP($AO34,'Технический лист'!$A:$B,2,1)),1+(1-$AU34))</f>
        <v/>
      </c>
      <c r="CQ34" s="172">
        <f>MIN(IF($AU34=100%,1,1+VLOOKUP(($AJ34-$AI34-$AH34-$AG34-$AF34-$AE34*(1+CQ$3))/$AJ34,'Технический лист'!$A:$B,2,1)-VLOOKUP($AO34,'Технический лист'!$A:$B,2,1)),1+(1-$AU34))</f>
        <v/>
      </c>
      <c r="CR34" s="172">
        <f>MIN(IF($AU34=100%,1,1+VLOOKUP(($AJ34-$AI34-$AH34-$AG34-$AF34-$AE34*(1+CR$3))/$AJ34,'Технический лист'!$A:$B,2,1)-VLOOKUP($AO34,'Технический лист'!$A:$B,2,1)),1+(1-$AU34))</f>
        <v/>
      </c>
      <c r="CS34" s="172">
        <f>MIN(IF($AU34=100%,1,1+VLOOKUP(($AJ34-$AI34-$AH34-$AG34-$AF34-$AE34*(1+CS$3))/$AJ34,'Технический лист'!$A:$B,2,1)-VLOOKUP($AO34,'Технический лист'!$A:$B,2,1)),1+(1-$AU34))</f>
        <v/>
      </c>
      <c r="CT34" s="172">
        <f>MIN(IF($AU34=100%,1,1+VLOOKUP(($AJ34-$AI34-$AH34-$AG34-$AF34-$AE34*(1+CT$3))/$AJ34,'Технический лист'!$A:$B,2,1)-VLOOKUP($AO34,'Технический лист'!$A:$B,2,1)),1+(1-$AU34))</f>
        <v/>
      </c>
      <c r="CU34" s="172">
        <f>MIN(IF($AU34=100%,1,1+VLOOKUP(($AJ34-$AI34-$AH34-$AG34-$AF34-$AE34*(1+CU$3))/$AJ34,'Технический лист'!$A:$B,2,1)-VLOOKUP($AO34,'Технический лист'!$A:$B,2,1)),1+(1-$AU34))</f>
        <v/>
      </c>
      <c r="CV34" s="172">
        <f>MIN(IF($AU34=100%,1,1+VLOOKUP(($AJ34-$AI34-$AH34-$AG34-$AF34-$AE34*(1+CV$3))/$AJ34,'Технический лист'!$A:$B,2,1)-VLOOKUP($AO34,'Технический лист'!$A:$B,2,1)),1+(1-$AU34))</f>
        <v/>
      </c>
      <c r="CW34" s="172">
        <f>MIN(IF($AU34=100%,1,1+VLOOKUP(($AJ34-$AI34-$AH34-$AG34-$AF34-$AE34*(1+CW$3))/$AJ34,'Технический лист'!$A:$B,2,1)-VLOOKUP($AO34,'Технический лист'!$A:$B,2,1)),1+(1-$AU34))</f>
        <v/>
      </c>
      <c r="CX34" s="172">
        <f>MIN(IF($AU34=100%,1,1+VLOOKUP(($AJ34-$AI34-$AH34-$AG34-$AF34-$AE34*(1+CX$3))/$AJ34,'Технический лист'!$A:$B,2,1)-VLOOKUP($AO34,'Технический лист'!$A:$B,2,1)),1+(1-$AU34))</f>
        <v/>
      </c>
      <c r="CY34" s="172">
        <f>MIN(IF($AU34=100%,1,1+VLOOKUP(($AJ34-$AI34-$AH34-$AG34-$AF34-$AE34*(1+CY$3))/$AJ34,'Технический лист'!$A:$B,2,1)-VLOOKUP($AO34,'Технический лист'!$A:$B,2,1)),1+(1-$AU34))</f>
        <v/>
      </c>
      <c r="CZ34" s="172">
        <f>MIN(IF($AU34=100%,1,1+VLOOKUP(($AJ34-$AI34-$AH34-$AG34-$AF34-$AE34*(1+CZ$3))/$AJ34,'Технический лист'!$A:$B,2,1)-VLOOKUP($AO34,'Технический лист'!$A:$B,2,1)),1+(1-$AU34))</f>
        <v/>
      </c>
      <c r="DA34" s="172">
        <f>MIN(IF($AU34=100%,1,1+VLOOKUP(($AJ34-$AI34-$AH34-$AG34-$AF34-$AE34*(1+DA$3))/$AJ34,'Технический лист'!$A:$B,2,1)-VLOOKUP($AO34,'Технический лист'!$A:$B,2,1)),1+(1-$AU34))</f>
        <v/>
      </c>
      <c r="DB34" s="172">
        <f>MIN(IF($AU34=100%,1,1+VLOOKUP(($AJ34-$AI34-$AH34-$AG34-$AF34-$AE34*(1+DB$3))/$AJ34,'Технический лист'!$A:$B,2,1)-VLOOKUP($AO34,'Технический лист'!$A:$B,2,1)),1+(1-$AU34))</f>
        <v/>
      </c>
      <c r="DC34" s="172">
        <f>MIN(IF($AU34=100%,1,1+VLOOKUP(($AJ34-$AI34-$AH34-$AG34-$AF34-$AE34*(1+DC$3))/$AJ34,'Технический лист'!$A:$B,2,1)-VLOOKUP($AO34,'Технический лист'!$A:$B,2,1)),1+(1-$AU34))</f>
        <v/>
      </c>
      <c r="DD34" s="172">
        <f>MIN(IF($AU34=100%,1,1+VLOOKUP(($AJ34-$AI34-$AH34-$AG34-$AF34-$AE34*(1+DD$3))/$AJ34,'Технический лист'!$A:$B,2,1)-VLOOKUP($AO34,'Технический лист'!$A:$B,2,1)),1+(1-$AU34))</f>
        <v/>
      </c>
      <c r="DE34" s="172">
        <f>MIN(IF($AU34=100%,1,1+VLOOKUP(($AJ34-$AI34-$AH34-$AG34-$AF34-$AE34*(1+DE$3))/$AJ34,'Технический лист'!$A:$B,2,1)-VLOOKUP($AO34,'Технический лист'!$A:$B,2,1)),1+(1-$AU34))</f>
        <v/>
      </c>
      <c r="DF34" s="172">
        <f>MIN(IF($AU34=100%,1,1+VLOOKUP(($AJ34-$AI34-$AH34-$AG34-$AF34-$AE34*(1+DF$3))/$AJ34,'Технический лист'!$A:$B,2,1)-VLOOKUP($AO34,'Технический лист'!$A:$B,2,1)),1+(1-$AU34))</f>
        <v/>
      </c>
      <c r="DG34" s="172">
        <f>MIN(IF($AU34=100%,1,1+VLOOKUP(($AJ34-$AI34-$AH34-$AG34-$AF34-$AE34*(1+DG$3))/$AJ34,'Технический лист'!$A:$B,2,1)-VLOOKUP($AO34,'Технический лист'!$A:$B,2,1)),1+(1-$AU34))</f>
        <v/>
      </c>
      <c r="DH34" s="172">
        <f>MIN(IF($AU34=100%,1,1+VLOOKUP(($AJ34-$AI34-$AH34-$AG34-$AF34-$AE34*(1+DH$3))/$AJ34,'Технический лист'!$A:$B,2,1)-VLOOKUP($AO34,'Технический лист'!$A:$B,2,1)),1+(1-$AU34))</f>
        <v/>
      </c>
      <c r="DI34" s="172">
        <f>MIN(IF($AU34=100%,1,1+VLOOKUP(($AJ34-$AI34-$AH34-$AG34-$AF34-$AE34*(1+DI$3))/$AJ34,'Технический лист'!$A:$B,2,1)-VLOOKUP($AO34,'Технический лист'!$A:$B,2,1)),1+(1-$AU34))</f>
        <v/>
      </c>
      <c r="DJ34" s="172">
        <f>MIN(IF($AU34=100%,1,1+VLOOKUP(($AJ34-$AI34-$AH34-$AG34-$AF34-$AE34*(1+DJ$3))/$AJ34,'Технический лист'!$A:$B,2,1)-VLOOKUP($AO34,'Технический лист'!$A:$B,2,1)),1+(1-$AU34))</f>
        <v/>
      </c>
      <c r="DK34" s="172">
        <f>MIN(IF($AU34=100%,1,1+VLOOKUP(($AJ34-$AI34-$AH34-$AG34-$AF34-$AE34*(1+DK$3))/$AJ34,'Технический лист'!$A:$B,2,1)-VLOOKUP($AO34,'Технический лист'!$A:$B,2,1)),1+(1-$AU34))</f>
        <v/>
      </c>
      <c r="DL34" s="172">
        <f>MIN(IF($AU34=100%,1,1+VLOOKUP(($AJ34-$AI34-$AH34-$AG34-$AF34-$AE34*(1+DL$3))/$AJ34,'Технический лист'!$A:$B,2,1)-VLOOKUP($AO34,'Технический лист'!$A:$B,2,1)),1+(1-$AU34))</f>
        <v/>
      </c>
      <c r="DM34" s="172">
        <f>MIN(IF($AU34=100%,1,1+VLOOKUP(($AJ34-$AI34-$AH34-$AG34-$AF34-$AE34*(1+DM$3))/$AJ34,'Технический лист'!$A:$B,2,1)-VLOOKUP($AO34,'Технический лист'!$A:$B,2,1)),1+(1-$AU34))</f>
        <v/>
      </c>
      <c r="DN34" s="172">
        <f>MIN(IF($AU34=100%,1,1+VLOOKUP(($AJ34-$AI34-$AH34-$AG34-$AF34-$AE34*(1+DN$3))/$AJ34,'Технический лист'!$A:$B,2,1)-VLOOKUP($AO34,'Технический лист'!$A:$B,2,1)),1+(1-$AU34))</f>
        <v/>
      </c>
      <c r="DO34" s="172">
        <f>MIN(IF($AU34=100%,1,1+VLOOKUP(($AJ34-$AI34-$AH34-$AG34-$AF34-$AE34*(1+DO$3))/$AJ34,'Технический лист'!$A:$B,2,1)-VLOOKUP($AO34,'Технический лист'!$A:$B,2,1)),1+(1-$AU34))</f>
        <v/>
      </c>
      <c r="DP34" s="172">
        <f>MIN(IF($AU34=100%,1,1+VLOOKUP(($AJ34-$AI34-$AH34-$AG34-$AF34-$AE34*(1+DP$3))/$AJ34,'Технический лист'!$A:$B,2,1)-VLOOKUP($AO34,'Технический лист'!$A:$B,2,1)),1+(1-$AU34))</f>
        <v/>
      </c>
      <c r="DQ34" s="172">
        <f>MIN(IF($AU34=100%,1,1+VLOOKUP(($AJ34-$AI34-$AH34-$AG34-$AF34-$AE34*(1+DQ$3))/$AJ34,'Технический лист'!$A:$B,2,1)-VLOOKUP($AO34,'Технический лист'!$A:$B,2,1)),1+(1-$AU34))</f>
        <v/>
      </c>
      <c r="DR34" s="172">
        <f>MIN(IF($AU34=100%,1,1+VLOOKUP(($AJ34-$AI34-$AH34-$AG34-$AF34-$AE34*(1+DR$3))/$AJ34,'Технический лист'!$A:$B,2,1)-VLOOKUP($AO34,'Технический лист'!$A:$B,2,1)),1+(1-$AU34))</f>
        <v/>
      </c>
      <c r="DS34" s="172">
        <f>MIN(IF($AU34=100%,1,1+VLOOKUP(($AJ34-$AI34-$AH34-$AG34-$AF34-$AE34*(1+DS$3))/$AJ34,'Технический лист'!$A:$B,2,1)-VLOOKUP($AO34,'Технический лист'!$A:$B,2,1)),1+(1-$AU34))</f>
        <v/>
      </c>
      <c r="DT34" s="172">
        <f>MIN(IF($AU34=100%,1,1+VLOOKUP(($AJ34-$AI34-$AH34-$AG34-$AF34-$AE34*(1+DT$3))/$AJ34,'Технический лист'!$A:$B,2,1)-VLOOKUP($AO34,'Технический лист'!$A:$B,2,1)),1+(1-$AU34))</f>
        <v/>
      </c>
      <c r="DU34" s="172">
        <f>MIN(IF($AU34=100%,1,1+VLOOKUP(($AJ34-$AI34-$AH34-$AG34-$AF34-$AE34*(1+DU$3))/$AJ34,'Технический лист'!$A:$B,2,1)-VLOOKUP($AO34,'Технический лист'!$A:$B,2,1)),1+(1-$AU34))</f>
        <v/>
      </c>
      <c r="DV34" s="172">
        <f>MIN(IF($AU34=100%,1,1+VLOOKUP(($AJ34-$AI34-$AH34-$AG34-$AF34-$AE34*(1+DV$3))/$AJ34,'Технический лист'!$A:$B,2,1)-VLOOKUP($AO34,'Технический лист'!$A:$B,2,1)),1+(1-$AU34))</f>
        <v/>
      </c>
      <c r="DW34" s="172">
        <f>MIN(IF($AU34=100%,1,1+VLOOKUP(($AJ34-$AI34-$AH34-$AG34-$AF34-$AE34*(1+DW$3))/$AJ34,'Технический лист'!$A:$B,2,1)-VLOOKUP($AO34,'Технический лист'!$A:$B,2,1)),1+(1-$AU34))</f>
        <v/>
      </c>
      <c r="DX34" s="172">
        <f>MIN(IF($AU34=100%,1,1+VLOOKUP(($AJ34-$AI34-$AH34-$AG34-$AF34-$AE34*(1+DX$3))/$AJ34,'Технический лист'!$A:$B,2,1)-VLOOKUP($AO34,'Технический лист'!$A:$B,2,1)),1+(1-$AU34))</f>
        <v/>
      </c>
      <c r="DY34" s="172">
        <f>MIN(IF($AU34=100%,1,1+VLOOKUP(($AJ34-$AI34-$AH34-$AG34-$AF34-$AE34*(1+DY$3))/$AJ34,'Технический лист'!$A:$B,2,1)-VLOOKUP($AO34,'Технический лист'!$A:$B,2,1)),1+(1-$AU34))</f>
        <v/>
      </c>
      <c r="DZ34" s="172">
        <f>MIN(IF($AU34=100%,1,1+VLOOKUP(($AJ34-$AI34-$AH34-$AG34-$AF34-$AE34*(1+DZ$3))/$AJ34,'Технический лист'!$A:$B,2,1)-VLOOKUP($AO34,'Технический лист'!$A:$B,2,1)),1+(1-$AU34))</f>
        <v/>
      </c>
      <c r="EA34" s="172">
        <f>MIN(IF($AU34=100%,1,1+VLOOKUP(($AJ34-$AI34-$AH34-$AG34-$AF34-$AE34*(1+EA$3))/$AJ34,'Технический лист'!$A:$B,2,1)-VLOOKUP($AO34,'Технический лист'!$A:$B,2,1)),1+(1-$AU34))</f>
        <v/>
      </c>
      <c r="EB34" s="172">
        <f>MIN(IF($AU34=100%,1,1+VLOOKUP(($AJ34-$AI34-$AH34-$AG34-$AF34-$AE34*(1+EB$3))/$AJ34,'Технический лист'!$A:$B,2,1)-VLOOKUP($AO34,'Технический лист'!$A:$B,2,1)),1+(1-$AU34))</f>
        <v/>
      </c>
      <c r="EC34" s="172">
        <f>MIN(IF($AU34=100%,1,1+VLOOKUP(($AJ34-$AI34-$AH34-$AG34-$AF34-$AE34*(1+EC$3))/$AJ34,'Технический лист'!$A:$B,2,1)-VLOOKUP($AO34,'Технический лист'!$A:$B,2,1)),1+(1-$AU34))</f>
        <v/>
      </c>
      <c r="ED34" s="172">
        <f>MIN(IF($AU34=100%,1,1+VLOOKUP(($AJ34-$AI34-$AH34-$AG34-$AF34-$AE34*(1+ED$3))/$AJ34,'Технический лист'!$A:$B,2,1)-VLOOKUP($AO34,'Технический лист'!$A:$B,2,1)),1+(1-$AU34))</f>
        <v/>
      </c>
      <c r="EE34" s="172">
        <f>MIN(IF($AU34=100%,1,1+VLOOKUP(($AJ34-$AI34-$AH34-$AG34-$AF34-$AE34*(1+EE$3))/$AJ34,'Технический лист'!$A:$B,2,1)-VLOOKUP($AO34,'Технический лист'!$A:$B,2,1)),1+(1-$AU34))</f>
        <v/>
      </c>
      <c r="EF34" s="172">
        <f>MIN(IF($AU34=100%,1,1+VLOOKUP(($AJ34-$AI34-$AH34-$AG34-$AF34-$AE34*(1+EF$3))/$AJ34,'Технический лист'!$A:$B,2,1)-VLOOKUP($AO34,'Технический лист'!$A:$B,2,1)),1+(1-$AU34))</f>
        <v/>
      </c>
      <c r="EG34" s="172">
        <f>MIN(IF($AU34=100%,1,1+VLOOKUP(($AJ34-$AI34-$AH34-$AG34-$AF34-$AE34*(1+EG$3))/$AJ34,'Технический лист'!$A:$B,2,1)-VLOOKUP($AO34,'Технический лист'!$A:$B,2,1)),1+(1-$AU34))</f>
        <v/>
      </c>
      <c r="EH34" s="172">
        <f>MIN(IF($AU34=100%,1,1+VLOOKUP(($AJ34-$AI34-$AH34-$AG34-$AF34-$AE34*(1+EH$3))/$AJ34,'Технический лист'!$A:$B,2,1)-VLOOKUP($AO34,'Технический лист'!$A:$B,2,1)),1+(1-$AU34))</f>
        <v/>
      </c>
      <c r="EI34" s="172">
        <f>MIN(IF($AU34=100%,1,1+VLOOKUP(($AJ34-$AI34-$AH34-$AG34-$AF34-$AE34*(1+EI$3))/$AJ34,'Технический лист'!$A:$B,2,1)-VLOOKUP($AO34,'Технический лист'!$A:$B,2,1)),1+(1-$AU34))</f>
        <v/>
      </c>
      <c r="EJ34" s="172">
        <f>MIN(IF($AU34=100%,1,1+VLOOKUP(($AJ34-$AI34-$AH34-$AG34-$AF34-$AE34*(1+EJ$3))/$AJ34,'Технический лист'!$A:$B,2,1)-VLOOKUP($AO34,'Технический лист'!$A:$B,2,1)),1+(1-$AU34))</f>
        <v/>
      </c>
      <c r="EK34" s="172">
        <f>MIN(IF($AU34=100%,1,1+VLOOKUP(($AJ34-$AI34-$AH34-$AG34-$AF34-$AE34*(1+EK$3))/$AJ34,'Технический лист'!$A:$B,2,1)-VLOOKUP($AO34,'Технический лист'!$A:$B,2,1)),1+(1-$AU34))</f>
        <v/>
      </c>
      <c r="EL34" s="172">
        <f>MIN(IF($AU34=100%,1,1+VLOOKUP(($AJ34-$AI34-$AH34-$AG34-$AF34-$AE34*(1+EL$3))/$AJ34,'Технический лист'!$A:$B,2,1)-VLOOKUP($AO34,'Технический лист'!$A:$B,2,1)),1+(1-$AU34))</f>
        <v/>
      </c>
      <c r="EM34" s="172">
        <f>MIN(IF($AU34=100%,1,1+VLOOKUP(($AJ34-$AI34-$AH34-$AG34-$AF34-$AE34*(1+EM$3))/$AJ34,'Технический лист'!$A:$B,2,1)-VLOOKUP($AO34,'Технический лист'!$A:$B,2,1)),1+(1-$AU34))</f>
        <v/>
      </c>
      <c r="EN34" s="172">
        <f>MIN(IF($AU34=100%,1,1+VLOOKUP(($AJ34-$AI34-$AH34-$AG34-$AF34-$AE34*(1+EN$3))/$AJ34,'Технический лист'!$A:$B,2,1)-VLOOKUP($AO34,'Технический лист'!$A:$B,2,1)),1+(1-$AU34))</f>
        <v/>
      </c>
      <c r="EO34" s="172">
        <f>MIN(IF($AU34=100%,1,1+VLOOKUP(($AJ34-$AI34-$AH34-$AG34-$AF34-$AE34*(1+EO$3))/$AJ34,'Технический лист'!$A:$B,2,1)-VLOOKUP($AO34,'Технический лист'!$A:$B,2,1)),1+(1-$AU34))</f>
        <v/>
      </c>
      <c r="EP34" s="172">
        <f>MIN(IF($AU34=100%,1,1+VLOOKUP(($AJ34-$AI34-$AH34-$AG34-$AF34-$AE34*(1+EP$3))/$AJ34,'Технический лист'!$A:$B,2,1)-VLOOKUP($AO34,'Технический лист'!$A:$B,2,1)),1+(1-$AU34))</f>
        <v/>
      </c>
      <c r="EQ34" s="172">
        <f>MIN(IF($AU34=100%,1,1+VLOOKUP(($AJ34-$AI34-$AH34-$AG34-$AF34-$AE34*(1+EQ$3))/$AJ34,'Технический лист'!$A:$B,2,1)-VLOOKUP($AO34,'Технический лист'!$A:$B,2,1)),1+(1-$AU34))</f>
        <v/>
      </c>
      <c r="ER34" s="172">
        <f>MIN(IF($AU34=100%,1,1+VLOOKUP(($AJ34-$AI34-$AH34-$AG34-$AF34-$AE34*(1+ER$3))/$AJ34,'Технический лист'!$A:$B,2,1)-VLOOKUP($AO34,'Технический лист'!$A:$B,2,1)),1+(1-$AU34))</f>
        <v/>
      </c>
      <c r="ES34" s="172">
        <f>MIN(IF($AU34=100%,1,1+VLOOKUP(($AJ34-$AI34-$AH34-$AG34-$AF34-$AE34*(1+ES$3))/$AJ34,'Технический лист'!$A:$B,2,1)-VLOOKUP($AO34,'Технический лист'!$A:$B,2,1)),1+(1-$AU34))</f>
        <v/>
      </c>
      <c r="ET34" s="172">
        <f>MIN(IF($AU34=100%,1,1+VLOOKUP(($AJ34-$AI34-$AH34-$AG34-$AF34-$AE34*(1+ET$3))/$AJ34,'Технический лист'!$A:$B,2,1)-VLOOKUP($AO34,'Технический лист'!$A:$B,2,1)),1+(1-$AU34))</f>
        <v/>
      </c>
      <c r="EU34" s="172">
        <f>MIN(IF($AU34=100%,1,1+VLOOKUP(($AJ34-$AI34-$AH34-$AG34-$AF34-$AE34*(1+EU$3))/$AJ34,'Технический лист'!$A:$B,2,1)-VLOOKUP($AO34,'Технический лист'!$A:$B,2,1)),1+(1-$AU34))</f>
        <v/>
      </c>
      <c r="EV34" s="173" t="n">
        <v>1</v>
      </c>
      <c r="EW34" s="172">
        <f>MIN(1,MAX(VLOOKUP(($AJ34-$AI34-$AH34-$AG34-$AF34-$AE34*(1+EW$3))/$AJ34,'Технический лист'!$A:$B,2,1),(EV34-0.05)))</f>
        <v/>
      </c>
      <c r="EX34" s="172">
        <f>MIN(1,MAX(VLOOKUP(($AJ34-$AI34-$AH34-$AG34-$AF34-$AE34*(1+EX$3))/$AJ34,'Технический лист'!$A:$B,2,1),(EW34-0.05)))</f>
        <v/>
      </c>
      <c r="EY34" s="172">
        <f>MIN(1,MAX(VLOOKUP(($AJ34-$AI34-$AH34-$AG34-$AF34-$AE34*(1+EY$3))/$AJ34,'Технический лист'!$A:$B,2,1),(EX34-0.05)))</f>
        <v/>
      </c>
      <c r="EZ34" s="172">
        <f>MIN(1,MAX(VLOOKUP(($AJ34-$AI34-$AH34-$AG34-$AF34-$AE34*(1+EZ$3))/$AJ34,'Технический лист'!$A:$B,2,1),(EY34-0.05)))</f>
        <v/>
      </c>
      <c r="FA34" s="172">
        <f>MIN(1,MAX(VLOOKUP(($AJ34-$AI34-$AH34-$AG34-$AF34-$AE34*(1+FA$3))/$AJ34,'Технический лист'!$A:$B,2,1),(EZ34-0.05)))</f>
        <v/>
      </c>
      <c r="FB34" s="172">
        <f>MIN(1,MAX(VLOOKUP(($AJ34-$AI34-$AH34-$AG34-$AF34-$AE34*(1+FB$3))/$AJ34,'Технический лист'!$A:$B,2,1),(FA34-0.05)))</f>
        <v/>
      </c>
      <c r="FC34" s="172">
        <f>MIN(1,MAX(VLOOKUP(($AJ34-$AI34-$AH34-$AG34-$AF34-$AE34*(1+FC$3))/$AJ34,'Технический лист'!$A:$B,2,1),(FB34-0.05)))</f>
        <v/>
      </c>
      <c r="FD34" s="172">
        <f>MIN(1,MAX(VLOOKUP(($AJ34-$AI34-$AH34-$AG34-$AF34-$AE34*(1+FD$3))/$AJ34,'Технический лист'!$A:$B,2,1),(FC34-0.05)))</f>
        <v/>
      </c>
      <c r="FE34" s="172">
        <f>MIN(1,MAX(VLOOKUP(($AJ34-$AI34-$AH34-$AG34-$AF34-$AE34*(1+FE$3))/$AJ34,'Технический лист'!$A:$B,2,1),(FD34-0.05)))</f>
        <v/>
      </c>
      <c r="FF34" s="172">
        <f>MIN(1,MAX(VLOOKUP(($AJ34-$AI34-$AH34-$AG34-$AF34-$AE34*(1+FF$3))/$AJ34,'Технический лист'!$A:$B,2,1),(FE34-0.05)))</f>
        <v/>
      </c>
      <c r="FG34" s="172">
        <f>MIN(1,MAX(VLOOKUP(($AJ34-$AI34-$AH34-$AG34-$AF34-$AE34*(1+FG$3))/$AJ34,'Технический лист'!$A:$B,2,1),(FF34-0.05)))</f>
        <v/>
      </c>
      <c r="FH34" s="172">
        <f>MIN(1,MAX(VLOOKUP(($AJ34-$AI34-$AH34-$AG34-$AF34-$AE34*(1+FH$3))/$AJ34,'Технический лист'!$A:$B,2,1),(FG34-0.05)))</f>
        <v/>
      </c>
      <c r="FI34" s="172">
        <f>MIN(1,MAX(VLOOKUP(($AJ34-$AI34-$AH34-$AG34-$AF34-$AE34*(1+FI$3))/$AJ34,'Технический лист'!$A:$B,2,1),(FH34-0.05)))</f>
        <v/>
      </c>
      <c r="FJ34" s="172">
        <f>MIN(1,MAX(VLOOKUP(($AJ34-$AI34-$AH34-$AG34-$AF34-$AE34*(1+FJ$3))/$AJ34,'Технический лист'!$A:$B,2,1),(FI34-0.05)))</f>
        <v/>
      </c>
      <c r="FK34" s="172">
        <f>MIN(1,MAX(VLOOKUP(($AJ34-$AI34-$AH34-$AG34-$AF34-$AE34*(1+FK$3))/$AJ34,'Технический лист'!$A:$B,2,1),(FJ34-0.05)))</f>
        <v/>
      </c>
      <c r="FL34" s="172">
        <f>MIN(1,MAX(VLOOKUP(($AJ34-$AI34-$AH34-$AG34-$AF34-$AE34*(1+FL$3))/$AJ34,'Технический лист'!$A:$B,2,1),(FK34-0.05)))</f>
        <v/>
      </c>
      <c r="FM34" s="172">
        <f>MIN(1,MAX(VLOOKUP(($AJ34-$AI34-$AH34-$AG34-$AF34-$AE34*(1+FM$3))/$AJ34,'Технический лист'!$A:$B,2,1),(FL34-0.05)))</f>
        <v/>
      </c>
      <c r="FN34" s="172">
        <f>MIN(1,MAX(VLOOKUP(($AJ34-$AI34-$AH34-$AG34-$AF34-$AE34*(1+FN$3))/$AJ34,'Технический лист'!$A:$B,2,1),(FM34-0.05)))</f>
        <v/>
      </c>
      <c r="FO34" s="172">
        <f>MIN(1,MAX(VLOOKUP(($AJ34-$AI34-$AH34-$AG34-$AF34-$AE34*(1+FO$3))/$AJ34,'Технический лист'!$A:$B,2,1),(FN34-0.05)))</f>
        <v/>
      </c>
      <c r="FP34" s="172">
        <f>MIN(1,MAX(VLOOKUP(($AJ34-$AI34-$AH34-$AG34-$AF34-$AE34*(1+FP$3))/$AJ34,'Технический лист'!$A:$B,2,1),(FO34-0.05)))</f>
        <v/>
      </c>
      <c r="FQ34" s="172">
        <f>MIN(1,MAX(VLOOKUP(($AJ34-$AI34-$AH34-$AG34-$AF34-$AE34*(1+FQ$3))/$AJ34,'Технический лист'!$A:$B,2,1),(FP34-0.05)))</f>
        <v/>
      </c>
      <c r="FR34" s="172">
        <f>MIN(1,MAX(VLOOKUP(($AJ34-$AI34-$AH34-$AG34-$AF34-$AE34*(1+FR$3))/$AJ34,'Технический лист'!$A:$B,2,1),(FQ34-0.05)))</f>
        <v/>
      </c>
      <c r="FS34" s="172">
        <f>MIN(1,MAX(VLOOKUP(($AJ34-$AI34-$AH34-$AG34-$AF34-$AE34*(1+FS$3))/$AJ34,'Технический лист'!$A:$B,2,1),(FR34-0.05)))</f>
        <v/>
      </c>
      <c r="FT34" s="172">
        <f>MIN(1,MAX(VLOOKUP(($AJ34-$AI34-$AH34-$AG34-$AF34-$AE34*(1+FT$3))/$AJ34,'Технический лист'!$A:$B,2,1),(FS34-0.05)))</f>
        <v/>
      </c>
      <c r="FU34" s="172">
        <f>MIN(1,MAX(VLOOKUP(($AJ34-$AI34-$AH34-$AG34-$AF34-$AE34*(1+FU$3))/$AJ34,'Технический лист'!$A:$B,2,1),(FT34-0.05)))</f>
        <v/>
      </c>
      <c r="FV34" s="172">
        <f>MIN(1,MAX(VLOOKUP(($AJ34-$AI34-$AH34-$AG34-$AF34-$AE34*(1+FV$3))/$AJ34,'Технический лист'!$A:$B,2,1),(FU34-0.05)))</f>
        <v/>
      </c>
      <c r="FW34" s="172">
        <f>MIN(1,MAX(VLOOKUP(($AJ34-$AI34-$AH34-$AG34-$AF34-$AE34*(1+FW$3))/$AJ34,'Технический лист'!$A:$B,2,1),(FV34-0.05)))</f>
        <v/>
      </c>
      <c r="FX34" s="172">
        <f>MIN(1,MAX(VLOOKUP(($AJ34-$AI34-$AH34-$AG34-$AF34-$AE34*(1+FX$3))/$AJ34,'Технический лист'!$A:$B,2,1),(FW34-0.05)))</f>
        <v/>
      </c>
      <c r="FY34" s="172">
        <f>MIN(1,MAX(VLOOKUP(($AJ34-$AI34-$AH34-$AG34-$AF34-$AE34*(1+FY$3))/$AJ34,'Технический лист'!$A:$B,2,1),(FX34-0.05)))</f>
        <v/>
      </c>
      <c r="FZ34" s="172">
        <f>MIN(1,MAX(VLOOKUP(($AJ34-$AI34-$AH34-$AG34-$AF34-$AE34*(1+FZ$3))/$AJ34,'Технический лист'!$A:$B,2,1),(FY34-0.05)))</f>
        <v/>
      </c>
      <c r="GA34" s="172">
        <f>MIN(1,MAX(VLOOKUP(($AJ34-$AI34-$AH34-$AG34-$AF34-$AE34*(1+GA$3))/$AJ34,'Технический лист'!$A:$B,2,1),(FZ34-0.05)))</f>
        <v/>
      </c>
      <c r="GB34" s="172">
        <f>MIN(1,MAX(VLOOKUP(($AJ34-$AI34-$AH34-$AG34-$AF34-$AE34*(1+GB$3))/$AJ34,'Технический лист'!$A:$B,2,1),(GA34-0.05)))</f>
        <v/>
      </c>
      <c r="GC34" s="172">
        <f>MIN(1,MAX(VLOOKUP(($AJ34-$AI34-$AH34-$AG34-$AF34-$AE34*(1+GC$3))/$AJ34,'Технический лист'!$A:$B,2,1),(GB34-0.05)))</f>
        <v/>
      </c>
      <c r="GD34" s="172">
        <f>MIN(1,MAX(VLOOKUP(($AJ34-$AI34-$AH34-$AG34-$AF34-$AE34*(1+GD$3))/$AJ34,'Технический лист'!$A:$B,2,1),(GC34-0.05)))</f>
        <v/>
      </c>
      <c r="GE34" s="172">
        <f>MIN(1,MAX(VLOOKUP(($AJ34-$AI34-$AH34-$AG34-$AF34-$AE34*(1+GE$3))/$AJ34,'Технический лист'!$A:$B,2,1),(GD34-0.05)))</f>
        <v/>
      </c>
      <c r="GF34" s="172">
        <f>MIN(1,MAX(VLOOKUP(($AJ34-$AI34-$AH34-$AG34-$AF34-$AE34*(1+GF$3))/$AJ34,'Технический лист'!$A:$B,2,1),(GE34-0.05)))</f>
        <v/>
      </c>
      <c r="GG34" s="172">
        <f>MIN(1,MAX(VLOOKUP(($AJ34-$AI34-$AH34-$AG34-$AF34-$AE34*(1+GG$3))/$AJ34,'Технический лист'!$A:$B,2,1),(GF34-0.05)))</f>
        <v/>
      </c>
      <c r="GH34" s="172">
        <f>MIN(1,MAX(VLOOKUP(($AJ34-$AI34-$AH34-$AG34-$AF34-$AE34*(1+GH$3))/$AJ34,'Технический лист'!$A:$B,2,1),(GG34-0.05)))</f>
        <v/>
      </c>
      <c r="GI34" s="172">
        <f>MIN(1,MAX(VLOOKUP(($AJ34-$AI34-$AH34-$AG34-$AF34-$AE34*(1+GI$3))/$AJ34,'Технический лист'!$A:$B,2,1),(GH34-0.05)))</f>
        <v/>
      </c>
      <c r="GJ34" s="172">
        <f>MIN(1,MAX(VLOOKUP(($AJ34-$AI34-$AH34-$AG34-$AF34-$AE34*(1+GJ$3))/$AJ34,'Технический лист'!$A:$B,2,1),(GI34-0.05)))</f>
        <v/>
      </c>
      <c r="GK34" s="172">
        <f>MIN(1,MAX(VLOOKUP(($AJ34-$AI34-$AH34-$AG34-$AF34-$AE34*(1+GK$3))/$AJ34,'Технический лист'!$A:$B,2,1),(GJ34-0.05)))</f>
        <v/>
      </c>
      <c r="GL34" s="172">
        <f>MIN(1,MAX(VLOOKUP(($AJ34-$AI34-$AH34-$AG34-$AF34-$AE34*(1+GL$3))/$AJ34,'Технический лист'!$A:$B,2,1),(GK34-0.05)))</f>
        <v/>
      </c>
      <c r="GM34" s="172">
        <f>MIN(1,MAX(VLOOKUP(($AJ34-$AI34-$AH34-$AG34-$AF34-$AE34*(1+GM$3))/$AJ34,'Технический лист'!$A:$B,2,1),(GL34-0.05)))</f>
        <v/>
      </c>
      <c r="GN34" s="172">
        <f>MIN(1,MAX(VLOOKUP(($AJ34-$AI34-$AH34-$AG34-$AF34-$AE34*(1+GN$3))/$AJ34,'Технический лист'!$A:$B,2,1),(GM34-0.05)))</f>
        <v/>
      </c>
      <c r="GO34" s="172">
        <f>MIN(1,MAX(VLOOKUP(($AJ34-$AI34-$AH34-$AG34-$AF34-$AE34*(1+GO$3))/$AJ34,'Технический лист'!$A:$B,2,1),(GN34-0.05)))</f>
        <v/>
      </c>
      <c r="GP34" s="172">
        <f>MIN(1,MAX(VLOOKUP(($AJ34-$AI34-$AH34-$AG34-$AF34-$AE34*(1+GP$3))/$AJ34,'Технический лист'!$A:$B,2,1),(GO34-0.05)))</f>
        <v/>
      </c>
      <c r="GQ34" s="172">
        <f>MIN(1,MAX(VLOOKUP(($AJ34-$AI34-$AH34-$AG34-$AF34-$AE34*(1+GQ$3))/$AJ34,'Технический лист'!$A:$B,2,1),(GP34-0.05)))</f>
        <v/>
      </c>
      <c r="GR34" s="172">
        <f>MIN(1,MAX(VLOOKUP(($AJ34-$AI34-$AH34-$AG34-$AF34-$AE34*(1+GR$3))/$AJ34,'Технический лист'!$A:$B,2,1),(GQ34-0.05)))</f>
        <v/>
      </c>
      <c r="GS34" s="172">
        <f>MIN(1,MAX(VLOOKUP(($AJ34-$AI34-$AH34-$AG34-$AF34-$AE34*(1+GS$3))/$AJ34,'Технический лист'!$A:$B,2,1),(GR34-0.05)))</f>
        <v/>
      </c>
      <c r="GT34" s="172">
        <f>MIN(1,MAX(VLOOKUP(($AJ34-$AI34-$AH34-$AG34-$AF34-$AE34*(1+GT$3))/$AJ34,'Технический лист'!$A:$B,2,1),(GS34-0.05)))</f>
        <v/>
      </c>
      <c r="GU34" s="172">
        <f>MIN(1,MAX(VLOOKUP(($AJ34-$AI34-$AH34-$AG34-$AF34-$AE34*(1+GU$3))/$AJ34,'Технический лист'!$A:$B,2,1),(GT34-0.05)))</f>
        <v/>
      </c>
      <c r="GV34" s="172">
        <f>MIN(1,MAX(VLOOKUP(($AJ34-$AI34-$AH34-$AG34-$AF34-$AE34*(1+GV$3))/$AJ34,'Технический лист'!$A:$B,2,1),(GU34-0.05)))</f>
        <v/>
      </c>
      <c r="GW34" s="172">
        <f>MIN(1,MAX(VLOOKUP(($AJ34-$AI34-$AH34-$AG34-$AF34-$AE34*(1+GW$3))/$AJ34,'Технический лист'!$A:$B,2,1),(GV34-0.05)))</f>
        <v/>
      </c>
      <c r="GX34" s="172">
        <f>MIN(1,MAX(VLOOKUP(($AJ34-$AI34-$AH34-$AG34-$AF34-$AE34*(1+GX$3))/$AJ34,'Технический лист'!$A:$B,2,1),(GW34-0.05)))</f>
        <v/>
      </c>
      <c r="GY34" s="172">
        <f>MIN(1,MAX(VLOOKUP(($AJ34-$AI34-$AH34-$AG34-$AF34-$AE34*(1+GY$3))/$AJ34,'Технический лист'!$A:$B,2,1),(GX34-0.05)))</f>
        <v/>
      </c>
      <c r="GZ34" s="172">
        <f>MIN(1,MAX(VLOOKUP(($AJ34-$AI34-$AH34-$AG34-$AF34-$AE34*(1+GZ$3))/$AJ34,'Технический лист'!$A:$B,2,1),(GY34-0.05)))</f>
        <v/>
      </c>
      <c r="HA34" s="172">
        <f>MIN(1,MAX(VLOOKUP(($AJ34-$AI34-$AH34-$AG34-$AF34-$AE34*(1+HA$3))/$AJ34,'Технический лист'!$A:$B,2,1),(GZ34-0.05)))</f>
        <v/>
      </c>
      <c r="HB34" s="172">
        <f>MIN(1,MAX(VLOOKUP(($AJ34-$AI34-$AH34-$AG34-$AF34-$AE34*(1+HB$3))/$AJ34,'Технический лист'!$A:$B,2,1),(HA34-0.05)))</f>
        <v/>
      </c>
      <c r="HC34" s="172">
        <f>MIN(1,MAX(VLOOKUP(($AJ34-$AI34-$AH34-$AG34-$AF34-$AE34*(1+HC$3))/$AJ34,'Технический лист'!$A:$B,2,1),(HB34-0.05)))</f>
        <v/>
      </c>
      <c r="HD34" s="172">
        <f>MIN(1,MAX(VLOOKUP(($AJ34-$AI34-$AH34-$AG34-$AF34-$AE34*(1+HD$3))/$AJ34,'Технический лист'!$A:$B,2,1),(HC34-0.05)))</f>
        <v/>
      </c>
      <c r="HE34" s="172">
        <f>MIN(1,MAX(VLOOKUP(($AJ34-$AI34-$AH34-$AG34-$AF34-$AE34*(1+HE$3))/$AJ34,'Технический лист'!$A:$B,2,1),(HD34-0.05)))</f>
        <v/>
      </c>
      <c r="HF34" s="172">
        <f>MIN(1,MAX(VLOOKUP(($AJ34-$AI34-$AH34-$AG34-$AF34-$AE34*(1+HF$3))/$AJ34,'Технический лист'!$A:$B,2,1),(HE34-0.05)))</f>
        <v/>
      </c>
      <c r="HG34" s="172">
        <f>MIN(1,MAX(VLOOKUP(($AJ34-$AI34-$AH34-$AG34-$AF34-$AE34*(1+HG$3))/$AJ34,'Технический лист'!$A:$B,2,1),(HF34-0.05)))</f>
        <v/>
      </c>
      <c r="HH34" s="172">
        <f>MIN(1,MAX(VLOOKUP(($AJ34-$AI34-$AH34-$AG34-$AF34-$AE34*(1+HH$3))/$AJ34,'Технический лист'!$A:$B,2,1),(HG34-0.05)))</f>
        <v/>
      </c>
      <c r="HI34" s="172">
        <f>MIN(1,MAX(VLOOKUP(($AJ34-$AI34-$AH34-$AG34-$AF34-$AE34*(1+HI$3))/$AJ34,'Технический лист'!$A:$B,2,1),(HH34-0.05)))</f>
        <v/>
      </c>
      <c r="HJ34" s="172">
        <f>MIN(1,MAX(VLOOKUP(($AJ34-$AI34-$AH34-$AG34-$AF34-$AE34*(1+HJ$3))/$AJ34,'Технический лист'!$A:$B,2,1),(HI34-0.05)))</f>
        <v/>
      </c>
      <c r="HK34" s="172">
        <f>MIN(1,MAX(VLOOKUP(($AJ34-$AI34-$AH34-$AG34-$AF34-$AE34*(1+HK$3))/$AJ34,'Технический лист'!$A:$B,2,1),(HJ34-0.05)))</f>
        <v/>
      </c>
      <c r="HL34" s="172">
        <f>MIN(1,MAX(VLOOKUP(($AJ34-$AI34-$AH34-$AG34-$AF34-$AE34*(1+HL$3))/$AJ34,'Технический лист'!$A:$B,2,1),(HK34-0.05)))</f>
        <v/>
      </c>
      <c r="HM34" s="172">
        <f>MIN(1,MAX(VLOOKUP(($AJ34-$AI34-$AH34-$AG34-$AF34-$AE34*(1+HM$3))/$AJ34,'Технический лист'!$A:$B,2,1),(HL34-0.05)))</f>
        <v/>
      </c>
      <c r="HN34" s="172">
        <f>MIN(1,MAX(VLOOKUP(($AJ34-$AI34-$AH34-$AG34-$AF34-$AE34*(1+HN$3))/$AJ34,'Технический лист'!$A:$B,2,1),(HM34-0.05)))</f>
        <v/>
      </c>
      <c r="HO34" s="172">
        <f>MIN(1,MAX(VLOOKUP(($AJ34-$AI34-$AH34-$AG34-$AF34-$AE34*(1+HO$3))/$AJ34,'Технический лист'!$A:$B,2,1),(HN34-0.05)))</f>
        <v/>
      </c>
      <c r="HP34" s="172">
        <f>MIN(1,MAX(VLOOKUP(($AJ34-$AI34-$AH34-$AG34-$AF34-$AE34*(1+HP$3))/$AJ34,'Технический лист'!$A:$B,2,1),(HO34-0.05)))</f>
        <v/>
      </c>
      <c r="HQ34" s="172">
        <f>MIN(1,MAX(VLOOKUP(($AJ34-$AI34-$AH34-$AG34-$AF34-$AE34*(1+HQ$3))/$AJ34,'Технический лист'!$A:$B,2,1),(HP34-0.05)))</f>
        <v/>
      </c>
      <c r="HR34" s="172">
        <f>MIN(1,MAX(VLOOKUP(($AJ34-$AI34-$AH34-$AG34-$AF34-$AE34*(1+HR$3))/$AJ34,'Технический лист'!$A:$B,2,1),(HQ34-0.05)))</f>
        <v/>
      </c>
      <c r="HS34" s="172">
        <f>MIN(1,MAX(VLOOKUP(($AJ34-$AI34-$AH34-$AG34-$AF34-$AE34*(1+HS$3))/$AJ34,'Технический лист'!$A:$B,2,1),(HR34-0.05)))</f>
        <v/>
      </c>
      <c r="HT34" s="172">
        <f>MIN(1,MAX(VLOOKUP(($AJ34-$AI34-$AH34-$AG34-$AF34-$AE34*(1+HT$3))/$AJ34,'Технический лист'!$A:$B,2,1),(HS34-0.05)))</f>
        <v/>
      </c>
      <c r="HU34" s="172">
        <f>MIN(1,MAX(VLOOKUP(($AJ34-$AI34-$AH34-$AG34-$AF34-$AE34*(1+HU$3))/$AJ34,'Технический лист'!$A:$B,2,1),(HT34-0.05)))</f>
        <v/>
      </c>
      <c r="HV34" s="172">
        <f>MIN(1,MAX(VLOOKUP(($AJ34-$AI34-$AH34-$AG34-$AF34-$AE34*(1+HV$3))/$AJ34,'Технический лист'!$A:$B,2,1),(HU34-0.05)))</f>
        <v/>
      </c>
      <c r="HW34" s="172">
        <f>MIN(1,MAX(VLOOKUP(($AJ34-$AI34-$AH34-$AG34-$AF34-$AE34*(1+HW$3))/$AJ34,'Технический лист'!$A:$B,2,1),(HV34-0.05)))</f>
        <v/>
      </c>
      <c r="HX34" s="172">
        <f>MIN(1,MAX(VLOOKUP(($AJ34-$AI34-$AH34-$AG34-$AF34-$AE34*(1+HX$3))/$AJ34,'Технический лист'!$A:$B,2,1),(HW34-0.05)))</f>
        <v/>
      </c>
      <c r="HY34" s="172">
        <f>MIN(1,MAX(VLOOKUP(($AJ34-$AI34-$AH34-$AG34-$AF34-$AE34*(1+HY$3))/$AJ34,'Технический лист'!$A:$B,2,1),(HX34-0.05)))</f>
        <v/>
      </c>
      <c r="HZ34" s="172">
        <f>MIN(1,MAX(VLOOKUP(($AJ34-$AI34-$AH34-$AG34-$AF34-$AE34*(1+HZ$3))/$AJ34,'Технический лист'!$A:$B,2,1),(HY34-0.05)))</f>
        <v/>
      </c>
      <c r="IA34" s="172">
        <f>MIN(1,MAX(VLOOKUP(($AJ34-$AI34-$AH34-$AG34-$AF34-$AE34*(1+IA$3))/$AJ34,'Технический лист'!$A:$B,2,1),(HZ34-0.05)))</f>
        <v/>
      </c>
      <c r="IB34" s="172">
        <f>MIN(1,MAX(VLOOKUP(($AJ34-$AI34-$AH34-$AG34-$AF34-$AE34*(1+IB$3))/$AJ34,'Технический лист'!$A:$B,2,1),(IA34-0.05)))</f>
        <v/>
      </c>
      <c r="IC34" s="172">
        <f>MIN(1,MAX(VLOOKUP(($AJ34-$AI34-$AH34-$AG34-$AF34-$AE34*(1+IC$3))/$AJ34,'Технический лист'!$A:$B,2,1),(IB34-0.05)))</f>
        <v/>
      </c>
      <c r="ID34" s="172">
        <f>MIN(1,MAX(VLOOKUP(($AJ34-$AI34-$AH34-$AG34-$AF34-$AE34*(1+ID$3))/$AJ34,'Технический лист'!$A:$B,2,1),(IC34-0.05)))</f>
        <v/>
      </c>
      <c r="IE34" s="172">
        <f>MIN(1,MAX(VLOOKUP(($AJ34-$AI34-$AH34-$AG34-$AF34-$AE34*(1+IE$3))/$AJ34,'Технический лист'!$A:$B,2,1),(ID34-0.05)))</f>
        <v/>
      </c>
      <c r="IF34" s="172">
        <f>MIN(1,MAX(VLOOKUP(($AJ34-$AI34-$AH34-$AG34-$AF34-$AE34*(1+IF$3))/$AJ34,'Технический лист'!$A:$B,2,1),(IE34-0.05)))</f>
        <v/>
      </c>
      <c r="IG34" s="172">
        <f>MIN(1,MAX(VLOOKUP(($AJ34-$AI34-$AH34-$AG34-$AF34-$AE34*(1+IG$3))/$AJ34,'Технический лист'!$A:$B,2,1),(IF34-0.05)))</f>
        <v/>
      </c>
      <c r="IH34" s="172">
        <f>MIN(1,MAX(VLOOKUP(($AJ34-$AI34-$AH34-$AG34-$AF34-$AE34*(1+IH$3))/$AJ34,'Технический лист'!$A:$B,2,1),(IG34-0.05)))</f>
        <v/>
      </c>
      <c r="II34" s="172">
        <f>MIN(1,MAX(VLOOKUP(($AJ34-$AI34-$AH34-$AG34-$AF34-$AE34*(1+II$3))/$AJ34,'Технический лист'!$A:$B,2,1),(IH34-0.05)))</f>
        <v/>
      </c>
      <c r="IJ34" s="172">
        <f>MIN(1,MAX(VLOOKUP(($AJ34-$AI34-$AH34-$AG34-$AF34-$AE34*(1+IJ$3))/$AJ34,'Технический лист'!$A:$B,2,1),(II34-0.05)))</f>
        <v/>
      </c>
      <c r="IK34" s="172">
        <f>MIN(1,MAX(VLOOKUP(($AJ34-$AI34-$AH34-$AG34-$AF34-$AE34*(1+IK$3))/$AJ34,'Технический лист'!$A:$B,2,1),(IJ34-0.05)))</f>
        <v/>
      </c>
      <c r="IL34" s="172">
        <f>MIN(1,MAX(VLOOKUP(($AJ34-$AI34-$AH34-$AG34-$AF34-$AE34*(1+IL$3))/$AJ34,'Технический лист'!$A:$B,2,1),(IK34-0.05)))</f>
        <v/>
      </c>
      <c r="IM34" s="172">
        <f>MIN(1,MAX(VLOOKUP(($AJ34-$AI34-$AH34-$AG34-$AF34-$AE34*(1+IM$3))/$AJ34,'Технический лист'!$A:$B,2,1),(IL34-0.05)))</f>
        <v/>
      </c>
      <c r="IN34" s="172">
        <f>MIN(1,MAX(VLOOKUP(($AJ34-$AI34-$AH34-$AG34-$AF34-$AE34*(1+IN$3))/$AJ34,'Технический лист'!$A:$B,2,1),(IM34-0.05)))</f>
        <v/>
      </c>
      <c r="IO34" s="172">
        <f>MIN(1,MAX(VLOOKUP(($AJ34-$AI34-$AH34-$AG34-$AF34-$AE34*(1+IO$3))/$AJ34,'Технический лист'!$A:$B,2,1),(IN34-0.05)))</f>
        <v/>
      </c>
      <c r="IP34" s="172">
        <f>MIN(1,MAX(VLOOKUP(($AJ34-$AI34-$AH34-$AG34-$AF34-$AE34*(1+IP$3))/$AJ34,'Технический лист'!$A:$B,2,1),(IO34-0.05)))</f>
        <v/>
      </c>
      <c r="IQ34" s="172">
        <f>MIN(1,MAX(VLOOKUP(($AJ34-$AI34-$AH34-$AG34-$AF34-$AE34*(1+IQ$3))/$AJ34,'Технический лист'!$A:$B,2,1),(IP34-0.05)))</f>
        <v/>
      </c>
      <c r="IR34" s="172">
        <f>MIN(1,MAX(VLOOKUP(($AJ34-$AI34-$AH34-$AG34-$AF34-$AE34*(1+IR$3))/$AJ34,'Технический лист'!$A:$B,2,1),(IQ34-0.05)))</f>
        <v/>
      </c>
    </row>
    <row r="35" ht="43.75" customHeight="1" s="123">
      <c r="A35" s="89" t="inlineStr">
        <is>
          <t>ЧМ (сырье)</t>
        </is>
      </c>
      <c r="B35" s="90" t="n">
        <v>2</v>
      </c>
      <c r="C35" s="5" t="inlineStr">
        <is>
          <t>Кокс каменноугольный</t>
        </is>
      </c>
      <c r="D35" s="91" t="n">
        <v>17110</v>
      </c>
      <c r="E35" s="91" t="inlineStr">
        <is>
          <t xml:space="preserve">Кокс, не поименованный в алфавите </t>
        </is>
      </c>
      <c r="F35" s="92" t="inlineStr">
        <is>
          <t>КОКС КАМЕННОУГОЛЬНЫЙ</t>
        </is>
      </c>
      <c r="G35" s="91" t="inlineStr">
        <is>
          <t>СЕВ</t>
        </is>
      </c>
      <c r="H35" s="91" t="inlineStr">
        <is>
          <t>ЮУР</t>
        </is>
      </c>
      <c r="I35" s="91" t="inlineStr">
        <is>
          <t>ЧЕРЕПОВЕЦ 2</t>
        </is>
      </c>
      <c r="J35" s="91" t="inlineStr">
        <is>
          <t>КАНИСАЙ-Э(Р)</t>
        </is>
      </c>
      <c r="K35" s="91" t="n">
        <v>2162</v>
      </c>
      <c r="L35" s="91" t="inlineStr">
        <is>
          <t>Полувагоны</t>
        </is>
      </c>
      <c r="M35" s="91" t="inlineStr">
        <is>
          <t>Экспорт</t>
        </is>
      </c>
      <c r="N35" s="91" t="inlineStr">
        <is>
          <t>вагонная</t>
        </is>
      </c>
      <c r="O35" s="91" t="inlineStr">
        <is>
          <t xml:space="preserve">Южное </t>
        </is>
      </c>
      <c r="P35" s="89" t="inlineStr">
        <is>
          <t>'000049183851</t>
        </is>
      </c>
      <c r="Q35" s="91" t="inlineStr">
        <is>
          <t>ПАО "СЕВЕРСТАЛЬ"</t>
        </is>
      </c>
      <c r="R35" s="91" t="inlineStr">
        <is>
          <t>ПАО "СЕВЕРСТАЛЬ"</t>
        </is>
      </c>
      <c r="S35" s="87" t="n">
        <v>34401</v>
      </c>
      <c r="T35" s="87" t="n">
        <v>74359846</v>
      </c>
      <c r="U35" s="88" t="n">
        <v>656</v>
      </c>
      <c r="V35" s="88" t="n">
        <v>0</v>
      </c>
      <c r="W35" s="87" t="n">
        <v>59457600</v>
      </c>
      <c r="X35" s="112" t="n">
        <v>53</v>
      </c>
      <c r="Y35" s="112" t="inlineStr">
        <is>
          <t>групповая</t>
        </is>
      </c>
      <c r="Z35" s="113" t="n">
        <v>12</v>
      </c>
      <c r="AA35" s="113" t="n">
        <v>7</v>
      </c>
      <c r="AB35" s="113" t="n">
        <v>4</v>
      </c>
      <c r="AC35" s="161" t="n">
        <v>1902.09</v>
      </c>
      <c r="AD35" s="161">
        <f>AE35-AC35</f>
        <v/>
      </c>
      <c r="AE35" s="161" t="n">
        <v>2615.13</v>
      </c>
      <c r="AF35" s="162">
        <f>(Z35+AA35+AB35)*'Ставки аренды'!$B$3/X35</f>
        <v/>
      </c>
      <c r="AG35" s="163" t="n">
        <v>0</v>
      </c>
      <c r="AH35" s="164" t="n">
        <v>0</v>
      </c>
      <c r="AI35" s="174">
        <f>507353/712157*AVERAGE(AJ33,AJ34)</f>
        <v/>
      </c>
      <c r="AJ35" s="166">
        <f>Цены!$C$8*'Курсы валют'!$B$2</f>
        <v/>
      </c>
      <c r="AK35" s="164">
        <f>AJ35/Цены!$B$1</f>
        <v/>
      </c>
      <c r="AL35" s="164">
        <f>AE35+AF35+AG35</f>
        <v/>
      </c>
      <c r="AM35" s="164">
        <f>AJ35-AL35</f>
        <v/>
      </c>
      <c r="AN35" s="164">
        <f>AI35+AH35+AG35+AF35+AE35</f>
        <v/>
      </c>
      <c r="AO35" s="167">
        <f>(AJ35-AN35)/AJ35</f>
        <v/>
      </c>
      <c r="AP35" s="168">
        <f>AL35/AJ35</f>
        <v/>
      </c>
      <c r="AQ35" s="168">
        <f>AE35/AJ35</f>
        <v/>
      </c>
      <c r="AR35" s="168">
        <f>AE35/AL35</f>
        <v/>
      </c>
      <c r="AS35" s="169" t="n">
        <v>1</v>
      </c>
      <c r="AT35" s="121">
        <f>S35*AS35</f>
        <v/>
      </c>
      <c r="AU35" s="83" t="n">
        <v>0.95</v>
      </c>
      <c r="AV35" s="170">
        <f>(AJ35-(AE35*(1+$IS$2)+AF35+AG35+AH35+AI35))/AJ35</f>
        <v/>
      </c>
      <c r="AW35" s="171">
        <f>(AE35*(1+$IS$2)+AF35+AG35)/AJ35</f>
        <v/>
      </c>
      <c r="AX35" s="171">
        <f>(AE35*(1+$IS$2))/AJ35</f>
        <v/>
      </c>
      <c r="AY35" s="171">
        <f>(AE35*(1+$IS$2))/(AE35*(1+$IS$2)+AF35+AG35)</f>
        <v/>
      </c>
      <c r="AZ35" s="172">
        <f>MIN(IF($AU35=100%,1,1+VLOOKUP(($AJ35-$AI35-$AH35-$AG35-$AF35-$AE35*(1+AZ$3))/$AJ35,'Технический лист'!$A:$B,2,1)-VLOOKUP($AO35,'Технический лист'!$A:$B,2,1)),1+(1-$AU35))</f>
        <v/>
      </c>
      <c r="BA35" s="172">
        <f>MIN(IF($AU35=100%,1,1+VLOOKUP(($AJ35-$AI35-$AH35-$AG35-$AF35-$AE35*(1+BA$3))/$AJ35,'Технический лист'!$A:$B,2,1)-VLOOKUP($AO35,'Технический лист'!$A:$B,2,1)),1+(1-$AU35))</f>
        <v/>
      </c>
      <c r="BB35" s="172">
        <f>MIN(IF($AU35=100%,1,1+VLOOKUP(($AJ35-$AI35-$AH35-$AG35-$AF35-$AE35*(1+BB$3))/$AJ35,'Технический лист'!$A:$B,2,1)-VLOOKUP($AO35,'Технический лист'!$A:$B,2,1)),1+(1-$AU35))</f>
        <v/>
      </c>
      <c r="BC35" s="172">
        <f>MIN(IF($AU35=100%,1,1+VLOOKUP(($AJ35-$AI35-$AH35-$AG35-$AF35-$AE35*(1+BC$3))/$AJ35,'Технический лист'!$A:$B,2,1)-VLOOKUP($AO35,'Технический лист'!$A:$B,2,1)),1+(1-$AU35))</f>
        <v/>
      </c>
      <c r="BD35" s="172">
        <f>MIN(IF($AU35=100%,1,1+VLOOKUP(($AJ35-$AI35-$AH35-$AG35-$AF35-$AE35*(1+BD$3))/$AJ35,'Технический лист'!$A:$B,2,1)-VLOOKUP($AO35,'Технический лист'!$A:$B,2,1)),1+(1-$AU35))</f>
        <v/>
      </c>
      <c r="BE35" s="172">
        <f>MIN(IF($AU35=100%,1,1+VLOOKUP(($AJ35-$AI35-$AH35-$AG35-$AF35-$AE35*(1+BE$3))/$AJ35,'Технический лист'!$A:$B,2,1)-VLOOKUP($AO35,'Технический лист'!$A:$B,2,1)),1+(1-$AU35))</f>
        <v/>
      </c>
      <c r="BF35" s="172">
        <f>MIN(IF($AU35=100%,1,1+VLOOKUP(($AJ35-$AI35-$AH35-$AG35-$AF35-$AE35*(1+BF$3))/$AJ35,'Технический лист'!$A:$B,2,1)-VLOOKUP($AO35,'Технический лист'!$A:$B,2,1)),1+(1-$AU35))</f>
        <v/>
      </c>
      <c r="BG35" s="172">
        <f>MIN(IF($AU35=100%,1,1+VLOOKUP(($AJ35-$AI35-$AH35-$AG35-$AF35-$AE35*(1+BG$3))/$AJ35,'Технический лист'!$A:$B,2,1)-VLOOKUP($AO35,'Технический лист'!$A:$B,2,1)),1+(1-$AU35))</f>
        <v/>
      </c>
      <c r="BH35" s="172">
        <f>MIN(IF($AU35=100%,1,1+VLOOKUP(($AJ35-$AI35-$AH35-$AG35-$AF35-$AE35*(1+BH$3))/$AJ35,'Технический лист'!$A:$B,2,1)-VLOOKUP($AO35,'Технический лист'!$A:$B,2,1)),1+(1-$AU35))</f>
        <v/>
      </c>
      <c r="BI35" s="172">
        <f>MIN(IF($AU35=100%,1,1+VLOOKUP(($AJ35-$AI35-$AH35-$AG35-$AF35-$AE35*(1+BI$3))/$AJ35,'Технический лист'!$A:$B,2,1)-VLOOKUP($AO35,'Технический лист'!$A:$B,2,1)),1+(1-$AU35))</f>
        <v/>
      </c>
      <c r="BJ35" s="172">
        <f>MIN(IF($AU35=100%,1,1+VLOOKUP(($AJ35-$AI35-$AH35-$AG35-$AF35-$AE35*(1+BJ$3))/$AJ35,'Технический лист'!$A:$B,2,1)-VLOOKUP($AO35,'Технический лист'!$A:$B,2,1)),1+(1-$AU35))</f>
        <v/>
      </c>
      <c r="BK35" s="172">
        <f>MIN(IF($AU35=100%,1,1+VLOOKUP(($AJ35-$AI35-$AH35-$AG35-$AF35-$AE35*(1+BK$3))/$AJ35,'Технический лист'!$A:$B,2,1)-VLOOKUP($AO35,'Технический лист'!$A:$B,2,1)),1+(1-$AU35))</f>
        <v/>
      </c>
      <c r="BL35" s="172">
        <f>MIN(IF($AU35=100%,1,1+VLOOKUP(($AJ35-$AI35-$AH35-$AG35-$AF35-$AE35*(1+BL$3))/$AJ35,'Технический лист'!$A:$B,2,1)-VLOOKUP($AO35,'Технический лист'!$A:$B,2,1)),1+(1-$AU35))</f>
        <v/>
      </c>
      <c r="BM35" s="172">
        <f>MIN(IF($AU35=100%,1,1+VLOOKUP(($AJ35-$AI35-$AH35-$AG35-$AF35-$AE35*(1+BM$3))/$AJ35,'Технический лист'!$A:$B,2,1)-VLOOKUP($AO35,'Технический лист'!$A:$B,2,1)),1+(1-$AU35))</f>
        <v/>
      </c>
      <c r="BN35" s="172">
        <f>MIN(IF($AU35=100%,1,1+VLOOKUP(($AJ35-$AI35-$AH35-$AG35-$AF35-$AE35*(1+BN$3))/$AJ35,'Технический лист'!$A:$B,2,1)-VLOOKUP($AO35,'Технический лист'!$A:$B,2,1)),1+(1-$AU35))</f>
        <v/>
      </c>
      <c r="BO35" s="172">
        <f>MIN(IF($AU35=100%,1,1+VLOOKUP(($AJ35-$AI35-$AH35-$AG35-$AF35-$AE35*(1+BO$3))/$AJ35,'Технический лист'!$A:$B,2,1)-VLOOKUP($AO35,'Технический лист'!$A:$B,2,1)),1+(1-$AU35))</f>
        <v/>
      </c>
      <c r="BP35" s="172">
        <f>MIN(IF($AU35=100%,1,1+VLOOKUP(($AJ35-$AI35-$AH35-$AG35-$AF35-$AE35*(1+BP$3))/$AJ35,'Технический лист'!$A:$B,2,1)-VLOOKUP($AO35,'Технический лист'!$A:$B,2,1)),1+(1-$AU35))</f>
        <v/>
      </c>
      <c r="BQ35" s="172">
        <f>MIN(IF($AU35=100%,1,1+VLOOKUP(($AJ35-$AI35-$AH35-$AG35-$AF35-$AE35*(1+BQ$3))/$AJ35,'Технический лист'!$A:$B,2,1)-VLOOKUP($AO35,'Технический лист'!$A:$B,2,1)),1+(1-$AU35))</f>
        <v/>
      </c>
      <c r="BR35" s="172">
        <f>MIN(IF($AU35=100%,1,1+VLOOKUP(($AJ35-$AI35-$AH35-$AG35-$AF35-$AE35*(1+BR$3))/$AJ35,'Технический лист'!$A:$B,2,1)-VLOOKUP($AO35,'Технический лист'!$A:$B,2,1)),1+(1-$AU35))</f>
        <v/>
      </c>
      <c r="BS35" s="172">
        <f>MIN(IF($AU35=100%,1,1+VLOOKUP(($AJ35-$AI35-$AH35-$AG35-$AF35-$AE35*(1+BS$3))/$AJ35,'Технический лист'!$A:$B,2,1)-VLOOKUP($AO35,'Технический лист'!$A:$B,2,1)),1+(1-$AU35))</f>
        <v/>
      </c>
      <c r="BT35" s="172">
        <f>MIN(IF($AU35=100%,1,1+VLOOKUP(($AJ35-$AI35-$AH35-$AG35-$AF35-$AE35*(1+BT$3))/$AJ35,'Технический лист'!$A:$B,2,1)-VLOOKUP($AO35,'Технический лист'!$A:$B,2,1)),1+(1-$AU35))</f>
        <v/>
      </c>
      <c r="BU35" s="172">
        <f>MIN(IF($AU35=100%,1,1+VLOOKUP(($AJ35-$AI35-$AH35-$AG35-$AF35-$AE35*(1+BU$3))/$AJ35,'Технический лист'!$A:$B,2,1)-VLOOKUP($AO35,'Технический лист'!$A:$B,2,1)),1+(1-$AU35))</f>
        <v/>
      </c>
      <c r="BV35" s="172">
        <f>MIN(IF($AU35=100%,1,1+VLOOKUP(($AJ35-$AI35-$AH35-$AG35-$AF35-$AE35*(1+BV$3))/$AJ35,'Технический лист'!$A:$B,2,1)-VLOOKUP($AO35,'Технический лист'!$A:$B,2,1)),1+(1-$AU35))</f>
        <v/>
      </c>
      <c r="BW35" s="172">
        <f>MIN(IF($AU35=100%,1,1+VLOOKUP(($AJ35-$AI35-$AH35-$AG35-$AF35-$AE35*(1+BW$3))/$AJ35,'Технический лист'!$A:$B,2,1)-VLOOKUP($AO35,'Технический лист'!$A:$B,2,1)),1+(1-$AU35))</f>
        <v/>
      </c>
      <c r="BX35" s="172">
        <f>MIN(IF($AU35=100%,1,1+VLOOKUP(($AJ35-$AI35-$AH35-$AG35-$AF35-$AE35*(1+BX$3))/$AJ35,'Технический лист'!$A:$B,2,1)-VLOOKUP($AO35,'Технический лист'!$A:$B,2,1)),1+(1-$AU35))</f>
        <v/>
      </c>
      <c r="BY35" s="172">
        <f>MIN(IF($AU35=100%,1,1+VLOOKUP(($AJ35-$AI35-$AH35-$AG35-$AF35-$AE35*(1+BY$3))/$AJ35,'Технический лист'!$A:$B,2,1)-VLOOKUP($AO35,'Технический лист'!$A:$B,2,1)),1+(1-$AU35))</f>
        <v/>
      </c>
      <c r="BZ35" s="172">
        <f>MIN(IF($AU35=100%,1,1+VLOOKUP(($AJ35-$AI35-$AH35-$AG35-$AF35-$AE35*(1+BZ$3))/$AJ35,'Технический лист'!$A:$B,2,1)-VLOOKUP($AO35,'Технический лист'!$A:$B,2,1)),1+(1-$AU35))</f>
        <v/>
      </c>
      <c r="CA35" s="172">
        <f>MIN(IF($AU35=100%,1,1+VLOOKUP(($AJ35-$AI35-$AH35-$AG35-$AF35-$AE35*(1+CA$3))/$AJ35,'Технический лист'!$A:$B,2,1)-VLOOKUP($AO35,'Технический лист'!$A:$B,2,1)),1+(1-$AU35))</f>
        <v/>
      </c>
      <c r="CB35" s="172">
        <f>MIN(IF($AU35=100%,1,1+VLOOKUP(($AJ35-$AI35-$AH35-$AG35-$AF35-$AE35*(1+CB$3))/$AJ35,'Технический лист'!$A:$B,2,1)-VLOOKUP($AO35,'Технический лист'!$A:$B,2,1)),1+(1-$AU35))</f>
        <v/>
      </c>
      <c r="CC35" s="172">
        <f>MIN(IF($AU35=100%,1,1+VLOOKUP(($AJ35-$AI35-$AH35-$AG35-$AF35-$AE35*(1+CC$3))/$AJ35,'Технический лист'!$A:$B,2,1)-VLOOKUP($AO35,'Технический лист'!$A:$B,2,1)),1+(1-$AU35))</f>
        <v/>
      </c>
      <c r="CD35" s="172">
        <f>MIN(IF($AU35=100%,1,1+VLOOKUP(($AJ35-$AI35-$AH35-$AG35-$AF35-$AE35*(1+CD$3))/$AJ35,'Технический лист'!$A:$B,2,1)-VLOOKUP($AO35,'Технический лист'!$A:$B,2,1)),1+(1-$AU35))</f>
        <v/>
      </c>
      <c r="CE35" s="172">
        <f>MIN(IF($AU35=100%,1,1+VLOOKUP(($AJ35-$AI35-$AH35-$AG35-$AF35-$AE35*(1+CE$3))/$AJ35,'Технический лист'!$A:$B,2,1)-VLOOKUP($AO35,'Технический лист'!$A:$B,2,1)),1+(1-$AU35))</f>
        <v/>
      </c>
      <c r="CF35" s="172">
        <f>MIN(IF($AU35=100%,1,1+VLOOKUP(($AJ35-$AI35-$AH35-$AG35-$AF35-$AE35*(1+CF$3))/$AJ35,'Технический лист'!$A:$B,2,1)-VLOOKUP($AO35,'Технический лист'!$A:$B,2,1)),1+(1-$AU35))</f>
        <v/>
      </c>
      <c r="CG35" s="172">
        <f>MIN(IF($AU35=100%,1,1+VLOOKUP(($AJ35-$AI35-$AH35-$AG35-$AF35-$AE35*(1+CG$3))/$AJ35,'Технический лист'!$A:$B,2,1)-VLOOKUP($AO35,'Технический лист'!$A:$B,2,1)),1+(1-$AU35))</f>
        <v/>
      </c>
      <c r="CH35" s="172">
        <f>MIN(IF($AU35=100%,1,1+VLOOKUP(($AJ35-$AI35-$AH35-$AG35-$AF35-$AE35*(1+CH$3))/$AJ35,'Технический лист'!$A:$B,2,1)-VLOOKUP($AO35,'Технический лист'!$A:$B,2,1)),1+(1-$AU35))</f>
        <v/>
      </c>
      <c r="CI35" s="172">
        <f>MIN(IF($AU35=100%,1,1+VLOOKUP(($AJ35-$AI35-$AH35-$AG35-$AF35-$AE35*(1+CI$3))/$AJ35,'Технический лист'!$A:$B,2,1)-VLOOKUP($AO35,'Технический лист'!$A:$B,2,1)),1+(1-$AU35))</f>
        <v/>
      </c>
      <c r="CJ35" s="172">
        <f>MIN(IF($AU35=100%,1,1+VLOOKUP(($AJ35-$AI35-$AH35-$AG35-$AF35-$AE35*(1+CJ$3))/$AJ35,'Технический лист'!$A:$B,2,1)-VLOOKUP($AO35,'Технический лист'!$A:$B,2,1)),1+(1-$AU35))</f>
        <v/>
      </c>
      <c r="CK35" s="172">
        <f>MIN(IF($AU35=100%,1,1+VLOOKUP(($AJ35-$AI35-$AH35-$AG35-$AF35-$AE35*(1+CK$3))/$AJ35,'Технический лист'!$A:$B,2,1)-VLOOKUP($AO35,'Технический лист'!$A:$B,2,1)),1+(1-$AU35))</f>
        <v/>
      </c>
      <c r="CL35" s="172">
        <f>MIN(IF($AU35=100%,1,1+VLOOKUP(($AJ35-$AI35-$AH35-$AG35-$AF35-$AE35*(1+CL$3))/$AJ35,'Технический лист'!$A:$B,2,1)-VLOOKUP($AO35,'Технический лист'!$A:$B,2,1)),1+(1-$AU35))</f>
        <v/>
      </c>
      <c r="CM35" s="172">
        <f>MIN(IF($AU35=100%,1,1+VLOOKUP(($AJ35-$AI35-$AH35-$AG35-$AF35-$AE35*(1+CM$3))/$AJ35,'Технический лист'!$A:$B,2,1)-VLOOKUP($AO35,'Технический лист'!$A:$B,2,1)),1+(1-$AU35))</f>
        <v/>
      </c>
      <c r="CN35" s="172">
        <f>MIN(IF($AU35=100%,1,1+VLOOKUP(($AJ35-$AI35-$AH35-$AG35-$AF35-$AE35*(1+CN$3))/$AJ35,'Технический лист'!$A:$B,2,1)-VLOOKUP($AO35,'Технический лист'!$A:$B,2,1)),1+(1-$AU35))</f>
        <v/>
      </c>
      <c r="CO35" s="172">
        <f>MIN(IF($AU35=100%,1,1+VLOOKUP(($AJ35-$AI35-$AH35-$AG35-$AF35-$AE35*(1+CO$3))/$AJ35,'Технический лист'!$A:$B,2,1)-VLOOKUP($AO35,'Технический лист'!$A:$B,2,1)),1+(1-$AU35))</f>
        <v/>
      </c>
      <c r="CP35" s="172">
        <f>MIN(IF($AU35=100%,1,1+VLOOKUP(($AJ35-$AI35-$AH35-$AG35-$AF35-$AE35*(1+CP$3))/$AJ35,'Технический лист'!$A:$B,2,1)-VLOOKUP($AO35,'Технический лист'!$A:$B,2,1)),1+(1-$AU35))</f>
        <v/>
      </c>
      <c r="CQ35" s="172">
        <f>MIN(IF($AU35=100%,1,1+VLOOKUP(($AJ35-$AI35-$AH35-$AG35-$AF35-$AE35*(1+CQ$3))/$AJ35,'Технический лист'!$A:$B,2,1)-VLOOKUP($AO35,'Технический лист'!$A:$B,2,1)),1+(1-$AU35))</f>
        <v/>
      </c>
      <c r="CR35" s="172">
        <f>MIN(IF($AU35=100%,1,1+VLOOKUP(($AJ35-$AI35-$AH35-$AG35-$AF35-$AE35*(1+CR$3))/$AJ35,'Технический лист'!$A:$B,2,1)-VLOOKUP($AO35,'Технический лист'!$A:$B,2,1)),1+(1-$AU35))</f>
        <v/>
      </c>
      <c r="CS35" s="172">
        <f>MIN(IF($AU35=100%,1,1+VLOOKUP(($AJ35-$AI35-$AH35-$AG35-$AF35-$AE35*(1+CS$3))/$AJ35,'Технический лист'!$A:$B,2,1)-VLOOKUP($AO35,'Технический лист'!$A:$B,2,1)),1+(1-$AU35))</f>
        <v/>
      </c>
      <c r="CT35" s="172">
        <f>MIN(IF($AU35=100%,1,1+VLOOKUP(($AJ35-$AI35-$AH35-$AG35-$AF35-$AE35*(1+CT$3))/$AJ35,'Технический лист'!$A:$B,2,1)-VLOOKUP($AO35,'Технический лист'!$A:$B,2,1)),1+(1-$AU35))</f>
        <v/>
      </c>
      <c r="CU35" s="172">
        <f>MIN(IF($AU35=100%,1,1+VLOOKUP(($AJ35-$AI35-$AH35-$AG35-$AF35-$AE35*(1+CU$3))/$AJ35,'Технический лист'!$A:$B,2,1)-VLOOKUP($AO35,'Технический лист'!$A:$B,2,1)),1+(1-$AU35))</f>
        <v/>
      </c>
      <c r="CV35" s="172">
        <f>MIN(IF($AU35=100%,1,1+VLOOKUP(($AJ35-$AI35-$AH35-$AG35-$AF35-$AE35*(1+CV$3))/$AJ35,'Технический лист'!$A:$B,2,1)-VLOOKUP($AO35,'Технический лист'!$A:$B,2,1)),1+(1-$AU35))</f>
        <v/>
      </c>
      <c r="CW35" s="172">
        <f>MIN(IF($AU35=100%,1,1+VLOOKUP(($AJ35-$AI35-$AH35-$AG35-$AF35-$AE35*(1+CW$3))/$AJ35,'Технический лист'!$A:$B,2,1)-VLOOKUP($AO35,'Технический лист'!$A:$B,2,1)),1+(1-$AU35))</f>
        <v/>
      </c>
      <c r="CX35" s="172">
        <f>MIN(IF($AU35=100%,1,1+VLOOKUP(($AJ35-$AI35-$AH35-$AG35-$AF35-$AE35*(1+CX$3))/$AJ35,'Технический лист'!$A:$B,2,1)-VLOOKUP($AO35,'Технический лист'!$A:$B,2,1)),1+(1-$AU35))</f>
        <v/>
      </c>
      <c r="CY35" s="172">
        <f>MIN(IF($AU35=100%,1,1+VLOOKUP(($AJ35-$AI35-$AH35-$AG35-$AF35-$AE35*(1+CY$3))/$AJ35,'Технический лист'!$A:$B,2,1)-VLOOKUP($AO35,'Технический лист'!$A:$B,2,1)),1+(1-$AU35))</f>
        <v/>
      </c>
      <c r="CZ35" s="172">
        <f>MIN(IF($AU35=100%,1,1+VLOOKUP(($AJ35-$AI35-$AH35-$AG35-$AF35-$AE35*(1+CZ$3))/$AJ35,'Технический лист'!$A:$B,2,1)-VLOOKUP($AO35,'Технический лист'!$A:$B,2,1)),1+(1-$AU35))</f>
        <v/>
      </c>
      <c r="DA35" s="172">
        <f>MIN(IF($AU35=100%,1,1+VLOOKUP(($AJ35-$AI35-$AH35-$AG35-$AF35-$AE35*(1+DA$3))/$AJ35,'Технический лист'!$A:$B,2,1)-VLOOKUP($AO35,'Технический лист'!$A:$B,2,1)),1+(1-$AU35))</f>
        <v/>
      </c>
      <c r="DB35" s="172">
        <f>MIN(IF($AU35=100%,1,1+VLOOKUP(($AJ35-$AI35-$AH35-$AG35-$AF35-$AE35*(1+DB$3))/$AJ35,'Технический лист'!$A:$B,2,1)-VLOOKUP($AO35,'Технический лист'!$A:$B,2,1)),1+(1-$AU35))</f>
        <v/>
      </c>
      <c r="DC35" s="172">
        <f>MIN(IF($AU35=100%,1,1+VLOOKUP(($AJ35-$AI35-$AH35-$AG35-$AF35-$AE35*(1+DC$3))/$AJ35,'Технический лист'!$A:$B,2,1)-VLOOKUP($AO35,'Технический лист'!$A:$B,2,1)),1+(1-$AU35))</f>
        <v/>
      </c>
      <c r="DD35" s="172">
        <f>MIN(IF($AU35=100%,1,1+VLOOKUP(($AJ35-$AI35-$AH35-$AG35-$AF35-$AE35*(1+DD$3))/$AJ35,'Технический лист'!$A:$B,2,1)-VLOOKUP($AO35,'Технический лист'!$A:$B,2,1)),1+(1-$AU35))</f>
        <v/>
      </c>
      <c r="DE35" s="172">
        <f>MIN(IF($AU35=100%,1,1+VLOOKUP(($AJ35-$AI35-$AH35-$AG35-$AF35-$AE35*(1+DE$3))/$AJ35,'Технический лист'!$A:$B,2,1)-VLOOKUP($AO35,'Технический лист'!$A:$B,2,1)),1+(1-$AU35))</f>
        <v/>
      </c>
      <c r="DF35" s="172">
        <f>MIN(IF($AU35=100%,1,1+VLOOKUP(($AJ35-$AI35-$AH35-$AG35-$AF35-$AE35*(1+DF$3))/$AJ35,'Технический лист'!$A:$B,2,1)-VLOOKUP($AO35,'Технический лист'!$A:$B,2,1)),1+(1-$AU35))</f>
        <v/>
      </c>
      <c r="DG35" s="172">
        <f>MIN(IF($AU35=100%,1,1+VLOOKUP(($AJ35-$AI35-$AH35-$AG35-$AF35-$AE35*(1+DG$3))/$AJ35,'Технический лист'!$A:$B,2,1)-VLOOKUP($AO35,'Технический лист'!$A:$B,2,1)),1+(1-$AU35))</f>
        <v/>
      </c>
      <c r="DH35" s="172">
        <f>MIN(IF($AU35=100%,1,1+VLOOKUP(($AJ35-$AI35-$AH35-$AG35-$AF35-$AE35*(1+DH$3))/$AJ35,'Технический лист'!$A:$B,2,1)-VLOOKUP($AO35,'Технический лист'!$A:$B,2,1)),1+(1-$AU35))</f>
        <v/>
      </c>
      <c r="DI35" s="172">
        <f>MIN(IF($AU35=100%,1,1+VLOOKUP(($AJ35-$AI35-$AH35-$AG35-$AF35-$AE35*(1+DI$3))/$AJ35,'Технический лист'!$A:$B,2,1)-VLOOKUP($AO35,'Технический лист'!$A:$B,2,1)),1+(1-$AU35))</f>
        <v/>
      </c>
      <c r="DJ35" s="172">
        <f>MIN(IF($AU35=100%,1,1+VLOOKUP(($AJ35-$AI35-$AH35-$AG35-$AF35-$AE35*(1+DJ$3))/$AJ35,'Технический лист'!$A:$B,2,1)-VLOOKUP($AO35,'Технический лист'!$A:$B,2,1)),1+(1-$AU35))</f>
        <v/>
      </c>
      <c r="DK35" s="172">
        <f>MIN(IF($AU35=100%,1,1+VLOOKUP(($AJ35-$AI35-$AH35-$AG35-$AF35-$AE35*(1+DK$3))/$AJ35,'Технический лист'!$A:$B,2,1)-VLOOKUP($AO35,'Технический лист'!$A:$B,2,1)),1+(1-$AU35))</f>
        <v/>
      </c>
      <c r="DL35" s="172">
        <f>MIN(IF($AU35=100%,1,1+VLOOKUP(($AJ35-$AI35-$AH35-$AG35-$AF35-$AE35*(1+DL$3))/$AJ35,'Технический лист'!$A:$B,2,1)-VLOOKUP($AO35,'Технический лист'!$A:$B,2,1)),1+(1-$AU35))</f>
        <v/>
      </c>
      <c r="DM35" s="172">
        <f>MIN(IF($AU35=100%,1,1+VLOOKUP(($AJ35-$AI35-$AH35-$AG35-$AF35-$AE35*(1+DM$3))/$AJ35,'Технический лист'!$A:$B,2,1)-VLOOKUP($AO35,'Технический лист'!$A:$B,2,1)),1+(1-$AU35))</f>
        <v/>
      </c>
      <c r="DN35" s="172">
        <f>MIN(IF($AU35=100%,1,1+VLOOKUP(($AJ35-$AI35-$AH35-$AG35-$AF35-$AE35*(1+DN$3))/$AJ35,'Технический лист'!$A:$B,2,1)-VLOOKUP($AO35,'Технический лист'!$A:$B,2,1)),1+(1-$AU35))</f>
        <v/>
      </c>
      <c r="DO35" s="172">
        <f>MIN(IF($AU35=100%,1,1+VLOOKUP(($AJ35-$AI35-$AH35-$AG35-$AF35-$AE35*(1+DO$3))/$AJ35,'Технический лист'!$A:$B,2,1)-VLOOKUP($AO35,'Технический лист'!$A:$B,2,1)),1+(1-$AU35))</f>
        <v/>
      </c>
      <c r="DP35" s="172">
        <f>MIN(IF($AU35=100%,1,1+VLOOKUP(($AJ35-$AI35-$AH35-$AG35-$AF35-$AE35*(1+DP$3))/$AJ35,'Технический лист'!$A:$B,2,1)-VLOOKUP($AO35,'Технический лист'!$A:$B,2,1)),1+(1-$AU35))</f>
        <v/>
      </c>
      <c r="DQ35" s="172">
        <f>MIN(IF($AU35=100%,1,1+VLOOKUP(($AJ35-$AI35-$AH35-$AG35-$AF35-$AE35*(1+DQ$3))/$AJ35,'Технический лист'!$A:$B,2,1)-VLOOKUP($AO35,'Технический лист'!$A:$B,2,1)),1+(1-$AU35))</f>
        <v/>
      </c>
      <c r="DR35" s="172">
        <f>MIN(IF($AU35=100%,1,1+VLOOKUP(($AJ35-$AI35-$AH35-$AG35-$AF35-$AE35*(1+DR$3))/$AJ35,'Технический лист'!$A:$B,2,1)-VLOOKUP($AO35,'Технический лист'!$A:$B,2,1)),1+(1-$AU35))</f>
        <v/>
      </c>
      <c r="DS35" s="172">
        <f>MIN(IF($AU35=100%,1,1+VLOOKUP(($AJ35-$AI35-$AH35-$AG35-$AF35-$AE35*(1+DS$3))/$AJ35,'Технический лист'!$A:$B,2,1)-VLOOKUP($AO35,'Технический лист'!$A:$B,2,1)),1+(1-$AU35))</f>
        <v/>
      </c>
      <c r="DT35" s="172">
        <f>MIN(IF($AU35=100%,1,1+VLOOKUP(($AJ35-$AI35-$AH35-$AG35-$AF35-$AE35*(1+DT$3))/$AJ35,'Технический лист'!$A:$B,2,1)-VLOOKUP($AO35,'Технический лист'!$A:$B,2,1)),1+(1-$AU35))</f>
        <v/>
      </c>
      <c r="DU35" s="172">
        <f>MIN(IF($AU35=100%,1,1+VLOOKUP(($AJ35-$AI35-$AH35-$AG35-$AF35-$AE35*(1+DU$3))/$AJ35,'Технический лист'!$A:$B,2,1)-VLOOKUP($AO35,'Технический лист'!$A:$B,2,1)),1+(1-$AU35))</f>
        <v/>
      </c>
      <c r="DV35" s="172">
        <f>MIN(IF($AU35=100%,1,1+VLOOKUP(($AJ35-$AI35-$AH35-$AG35-$AF35-$AE35*(1+DV$3))/$AJ35,'Технический лист'!$A:$B,2,1)-VLOOKUP($AO35,'Технический лист'!$A:$B,2,1)),1+(1-$AU35))</f>
        <v/>
      </c>
      <c r="DW35" s="172">
        <f>MIN(IF($AU35=100%,1,1+VLOOKUP(($AJ35-$AI35-$AH35-$AG35-$AF35-$AE35*(1+DW$3))/$AJ35,'Технический лист'!$A:$B,2,1)-VLOOKUP($AO35,'Технический лист'!$A:$B,2,1)),1+(1-$AU35))</f>
        <v/>
      </c>
      <c r="DX35" s="172">
        <f>MIN(IF($AU35=100%,1,1+VLOOKUP(($AJ35-$AI35-$AH35-$AG35-$AF35-$AE35*(1+DX$3))/$AJ35,'Технический лист'!$A:$B,2,1)-VLOOKUP($AO35,'Технический лист'!$A:$B,2,1)),1+(1-$AU35))</f>
        <v/>
      </c>
      <c r="DY35" s="172">
        <f>MIN(IF($AU35=100%,1,1+VLOOKUP(($AJ35-$AI35-$AH35-$AG35-$AF35-$AE35*(1+DY$3))/$AJ35,'Технический лист'!$A:$B,2,1)-VLOOKUP($AO35,'Технический лист'!$A:$B,2,1)),1+(1-$AU35))</f>
        <v/>
      </c>
      <c r="DZ35" s="172">
        <f>MIN(IF($AU35=100%,1,1+VLOOKUP(($AJ35-$AI35-$AH35-$AG35-$AF35-$AE35*(1+DZ$3))/$AJ35,'Технический лист'!$A:$B,2,1)-VLOOKUP($AO35,'Технический лист'!$A:$B,2,1)),1+(1-$AU35))</f>
        <v/>
      </c>
      <c r="EA35" s="172">
        <f>MIN(IF($AU35=100%,1,1+VLOOKUP(($AJ35-$AI35-$AH35-$AG35-$AF35-$AE35*(1+EA$3))/$AJ35,'Технический лист'!$A:$B,2,1)-VLOOKUP($AO35,'Технический лист'!$A:$B,2,1)),1+(1-$AU35))</f>
        <v/>
      </c>
      <c r="EB35" s="172">
        <f>MIN(IF($AU35=100%,1,1+VLOOKUP(($AJ35-$AI35-$AH35-$AG35-$AF35-$AE35*(1+EB$3))/$AJ35,'Технический лист'!$A:$B,2,1)-VLOOKUP($AO35,'Технический лист'!$A:$B,2,1)),1+(1-$AU35))</f>
        <v/>
      </c>
      <c r="EC35" s="172">
        <f>MIN(IF($AU35=100%,1,1+VLOOKUP(($AJ35-$AI35-$AH35-$AG35-$AF35-$AE35*(1+EC$3))/$AJ35,'Технический лист'!$A:$B,2,1)-VLOOKUP($AO35,'Технический лист'!$A:$B,2,1)),1+(1-$AU35))</f>
        <v/>
      </c>
      <c r="ED35" s="172">
        <f>MIN(IF($AU35=100%,1,1+VLOOKUP(($AJ35-$AI35-$AH35-$AG35-$AF35-$AE35*(1+ED$3))/$AJ35,'Технический лист'!$A:$B,2,1)-VLOOKUP($AO35,'Технический лист'!$A:$B,2,1)),1+(1-$AU35))</f>
        <v/>
      </c>
      <c r="EE35" s="172">
        <f>MIN(IF($AU35=100%,1,1+VLOOKUP(($AJ35-$AI35-$AH35-$AG35-$AF35-$AE35*(1+EE$3))/$AJ35,'Технический лист'!$A:$B,2,1)-VLOOKUP($AO35,'Технический лист'!$A:$B,2,1)),1+(1-$AU35))</f>
        <v/>
      </c>
      <c r="EF35" s="172">
        <f>MIN(IF($AU35=100%,1,1+VLOOKUP(($AJ35-$AI35-$AH35-$AG35-$AF35-$AE35*(1+EF$3))/$AJ35,'Технический лист'!$A:$B,2,1)-VLOOKUP($AO35,'Технический лист'!$A:$B,2,1)),1+(1-$AU35))</f>
        <v/>
      </c>
      <c r="EG35" s="172">
        <f>MIN(IF($AU35=100%,1,1+VLOOKUP(($AJ35-$AI35-$AH35-$AG35-$AF35-$AE35*(1+EG$3))/$AJ35,'Технический лист'!$A:$B,2,1)-VLOOKUP($AO35,'Технический лист'!$A:$B,2,1)),1+(1-$AU35))</f>
        <v/>
      </c>
      <c r="EH35" s="172">
        <f>MIN(IF($AU35=100%,1,1+VLOOKUP(($AJ35-$AI35-$AH35-$AG35-$AF35-$AE35*(1+EH$3))/$AJ35,'Технический лист'!$A:$B,2,1)-VLOOKUP($AO35,'Технический лист'!$A:$B,2,1)),1+(1-$AU35))</f>
        <v/>
      </c>
      <c r="EI35" s="172">
        <f>MIN(IF($AU35=100%,1,1+VLOOKUP(($AJ35-$AI35-$AH35-$AG35-$AF35-$AE35*(1+EI$3))/$AJ35,'Технический лист'!$A:$B,2,1)-VLOOKUP($AO35,'Технический лист'!$A:$B,2,1)),1+(1-$AU35))</f>
        <v/>
      </c>
      <c r="EJ35" s="172">
        <f>MIN(IF($AU35=100%,1,1+VLOOKUP(($AJ35-$AI35-$AH35-$AG35-$AF35-$AE35*(1+EJ$3))/$AJ35,'Технический лист'!$A:$B,2,1)-VLOOKUP($AO35,'Технический лист'!$A:$B,2,1)),1+(1-$AU35))</f>
        <v/>
      </c>
      <c r="EK35" s="172">
        <f>MIN(IF($AU35=100%,1,1+VLOOKUP(($AJ35-$AI35-$AH35-$AG35-$AF35-$AE35*(1+EK$3))/$AJ35,'Технический лист'!$A:$B,2,1)-VLOOKUP($AO35,'Технический лист'!$A:$B,2,1)),1+(1-$AU35))</f>
        <v/>
      </c>
      <c r="EL35" s="172">
        <f>MIN(IF($AU35=100%,1,1+VLOOKUP(($AJ35-$AI35-$AH35-$AG35-$AF35-$AE35*(1+EL$3))/$AJ35,'Технический лист'!$A:$B,2,1)-VLOOKUP($AO35,'Технический лист'!$A:$B,2,1)),1+(1-$AU35))</f>
        <v/>
      </c>
      <c r="EM35" s="172">
        <f>MIN(IF($AU35=100%,1,1+VLOOKUP(($AJ35-$AI35-$AH35-$AG35-$AF35-$AE35*(1+EM$3))/$AJ35,'Технический лист'!$A:$B,2,1)-VLOOKUP($AO35,'Технический лист'!$A:$B,2,1)),1+(1-$AU35))</f>
        <v/>
      </c>
      <c r="EN35" s="172">
        <f>MIN(IF($AU35=100%,1,1+VLOOKUP(($AJ35-$AI35-$AH35-$AG35-$AF35-$AE35*(1+EN$3))/$AJ35,'Технический лист'!$A:$B,2,1)-VLOOKUP($AO35,'Технический лист'!$A:$B,2,1)),1+(1-$AU35))</f>
        <v/>
      </c>
      <c r="EO35" s="172">
        <f>MIN(IF($AU35=100%,1,1+VLOOKUP(($AJ35-$AI35-$AH35-$AG35-$AF35-$AE35*(1+EO$3))/$AJ35,'Технический лист'!$A:$B,2,1)-VLOOKUP($AO35,'Технический лист'!$A:$B,2,1)),1+(1-$AU35))</f>
        <v/>
      </c>
      <c r="EP35" s="172">
        <f>MIN(IF($AU35=100%,1,1+VLOOKUP(($AJ35-$AI35-$AH35-$AG35-$AF35-$AE35*(1+EP$3))/$AJ35,'Технический лист'!$A:$B,2,1)-VLOOKUP($AO35,'Технический лист'!$A:$B,2,1)),1+(1-$AU35))</f>
        <v/>
      </c>
      <c r="EQ35" s="172">
        <f>MIN(IF($AU35=100%,1,1+VLOOKUP(($AJ35-$AI35-$AH35-$AG35-$AF35-$AE35*(1+EQ$3))/$AJ35,'Технический лист'!$A:$B,2,1)-VLOOKUP($AO35,'Технический лист'!$A:$B,2,1)),1+(1-$AU35))</f>
        <v/>
      </c>
      <c r="ER35" s="172">
        <f>MIN(IF($AU35=100%,1,1+VLOOKUP(($AJ35-$AI35-$AH35-$AG35-$AF35-$AE35*(1+ER$3))/$AJ35,'Технический лист'!$A:$B,2,1)-VLOOKUP($AO35,'Технический лист'!$A:$B,2,1)),1+(1-$AU35))</f>
        <v/>
      </c>
      <c r="ES35" s="172">
        <f>MIN(IF($AU35=100%,1,1+VLOOKUP(($AJ35-$AI35-$AH35-$AG35-$AF35-$AE35*(1+ES$3))/$AJ35,'Технический лист'!$A:$B,2,1)-VLOOKUP($AO35,'Технический лист'!$A:$B,2,1)),1+(1-$AU35))</f>
        <v/>
      </c>
      <c r="ET35" s="172">
        <f>MIN(IF($AU35=100%,1,1+VLOOKUP(($AJ35-$AI35-$AH35-$AG35-$AF35-$AE35*(1+ET$3))/$AJ35,'Технический лист'!$A:$B,2,1)-VLOOKUP($AO35,'Технический лист'!$A:$B,2,1)),1+(1-$AU35))</f>
        <v/>
      </c>
      <c r="EU35" s="172">
        <f>MIN(IF($AU35=100%,1,1+VLOOKUP(($AJ35-$AI35-$AH35-$AG35-$AF35-$AE35*(1+EU$3))/$AJ35,'Технический лист'!$A:$B,2,1)-VLOOKUP($AO35,'Технический лист'!$A:$B,2,1)),1+(1-$AU35))</f>
        <v/>
      </c>
      <c r="EV35" s="173" t="n">
        <v>1</v>
      </c>
      <c r="EW35" s="172">
        <f>MIN(1,MAX(VLOOKUP(($AJ35-$AI35-$AH35-$AG35-$AF35-$AE35*(1+EW$3))/$AJ35,'Технический лист'!$A:$B,2,1),(EV35-0.05)))</f>
        <v/>
      </c>
      <c r="EX35" s="172">
        <f>MIN(1,MAX(VLOOKUP(($AJ35-$AI35-$AH35-$AG35-$AF35-$AE35*(1+EX$3))/$AJ35,'Технический лист'!$A:$B,2,1),(EW35-0.05)))</f>
        <v/>
      </c>
      <c r="EY35" s="172">
        <f>MIN(1,MAX(VLOOKUP(($AJ35-$AI35-$AH35-$AG35-$AF35-$AE35*(1+EY$3))/$AJ35,'Технический лист'!$A:$B,2,1),(EX35-0.05)))</f>
        <v/>
      </c>
      <c r="EZ35" s="172">
        <f>MIN(1,MAX(VLOOKUP(($AJ35-$AI35-$AH35-$AG35-$AF35-$AE35*(1+EZ$3))/$AJ35,'Технический лист'!$A:$B,2,1),(EY35-0.05)))</f>
        <v/>
      </c>
      <c r="FA35" s="172">
        <f>MIN(1,MAX(VLOOKUP(($AJ35-$AI35-$AH35-$AG35-$AF35-$AE35*(1+FA$3))/$AJ35,'Технический лист'!$A:$B,2,1),(EZ35-0.05)))</f>
        <v/>
      </c>
      <c r="FB35" s="172">
        <f>MIN(1,MAX(VLOOKUP(($AJ35-$AI35-$AH35-$AG35-$AF35-$AE35*(1+FB$3))/$AJ35,'Технический лист'!$A:$B,2,1),(FA35-0.05)))</f>
        <v/>
      </c>
      <c r="FC35" s="172">
        <f>MIN(1,MAX(VLOOKUP(($AJ35-$AI35-$AH35-$AG35-$AF35-$AE35*(1+FC$3))/$AJ35,'Технический лист'!$A:$B,2,1),(FB35-0.05)))</f>
        <v/>
      </c>
      <c r="FD35" s="172">
        <f>MIN(1,MAX(VLOOKUP(($AJ35-$AI35-$AH35-$AG35-$AF35-$AE35*(1+FD$3))/$AJ35,'Технический лист'!$A:$B,2,1),(FC35-0.05)))</f>
        <v/>
      </c>
      <c r="FE35" s="172">
        <f>MIN(1,MAX(VLOOKUP(($AJ35-$AI35-$AH35-$AG35-$AF35-$AE35*(1+FE$3))/$AJ35,'Технический лист'!$A:$B,2,1),(FD35-0.05)))</f>
        <v/>
      </c>
      <c r="FF35" s="172">
        <f>MIN(1,MAX(VLOOKUP(($AJ35-$AI35-$AH35-$AG35-$AF35-$AE35*(1+FF$3))/$AJ35,'Технический лист'!$A:$B,2,1),(FE35-0.05)))</f>
        <v/>
      </c>
      <c r="FG35" s="172">
        <f>MIN(1,MAX(VLOOKUP(($AJ35-$AI35-$AH35-$AG35-$AF35-$AE35*(1+FG$3))/$AJ35,'Технический лист'!$A:$B,2,1),(FF35-0.05)))</f>
        <v/>
      </c>
      <c r="FH35" s="172">
        <f>MIN(1,MAX(VLOOKUP(($AJ35-$AI35-$AH35-$AG35-$AF35-$AE35*(1+FH$3))/$AJ35,'Технический лист'!$A:$B,2,1),(FG35-0.05)))</f>
        <v/>
      </c>
      <c r="FI35" s="172">
        <f>MIN(1,MAX(VLOOKUP(($AJ35-$AI35-$AH35-$AG35-$AF35-$AE35*(1+FI$3))/$AJ35,'Технический лист'!$A:$B,2,1),(FH35-0.05)))</f>
        <v/>
      </c>
      <c r="FJ35" s="172">
        <f>MIN(1,MAX(VLOOKUP(($AJ35-$AI35-$AH35-$AG35-$AF35-$AE35*(1+FJ$3))/$AJ35,'Технический лист'!$A:$B,2,1),(FI35-0.05)))</f>
        <v/>
      </c>
      <c r="FK35" s="172">
        <f>MIN(1,MAX(VLOOKUP(($AJ35-$AI35-$AH35-$AG35-$AF35-$AE35*(1+FK$3))/$AJ35,'Технический лист'!$A:$B,2,1),(FJ35-0.05)))</f>
        <v/>
      </c>
      <c r="FL35" s="172">
        <f>MIN(1,MAX(VLOOKUP(($AJ35-$AI35-$AH35-$AG35-$AF35-$AE35*(1+FL$3))/$AJ35,'Технический лист'!$A:$B,2,1),(FK35-0.05)))</f>
        <v/>
      </c>
      <c r="FM35" s="172">
        <f>MIN(1,MAX(VLOOKUP(($AJ35-$AI35-$AH35-$AG35-$AF35-$AE35*(1+FM$3))/$AJ35,'Технический лист'!$A:$B,2,1),(FL35-0.05)))</f>
        <v/>
      </c>
      <c r="FN35" s="172">
        <f>MIN(1,MAX(VLOOKUP(($AJ35-$AI35-$AH35-$AG35-$AF35-$AE35*(1+FN$3))/$AJ35,'Технический лист'!$A:$B,2,1),(FM35-0.05)))</f>
        <v/>
      </c>
      <c r="FO35" s="172">
        <f>MIN(1,MAX(VLOOKUP(($AJ35-$AI35-$AH35-$AG35-$AF35-$AE35*(1+FO$3))/$AJ35,'Технический лист'!$A:$B,2,1),(FN35-0.05)))</f>
        <v/>
      </c>
      <c r="FP35" s="172">
        <f>MIN(1,MAX(VLOOKUP(($AJ35-$AI35-$AH35-$AG35-$AF35-$AE35*(1+FP$3))/$AJ35,'Технический лист'!$A:$B,2,1),(FO35-0.05)))</f>
        <v/>
      </c>
      <c r="FQ35" s="172">
        <f>MIN(1,MAX(VLOOKUP(($AJ35-$AI35-$AH35-$AG35-$AF35-$AE35*(1+FQ$3))/$AJ35,'Технический лист'!$A:$B,2,1),(FP35-0.05)))</f>
        <v/>
      </c>
      <c r="FR35" s="172">
        <f>MIN(1,MAX(VLOOKUP(($AJ35-$AI35-$AH35-$AG35-$AF35-$AE35*(1+FR$3))/$AJ35,'Технический лист'!$A:$B,2,1),(FQ35-0.05)))</f>
        <v/>
      </c>
      <c r="FS35" s="172">
        <f>MIN(1,MAX(VLOOKUP(($AJ35-$AI35-$AH35-$AG35-$AF35-$AE35*(1+FS$3))/$AJ35,'Технический лист'!$A:$B,2,1),(FR35-0.05)))</f>
        <v/>
      </c>
      <c r="FT35" s="172">
        <f>MIN(1,MAX(VLOOKUP(($AJ35-$AI35-$AH35-$AG35-$AF35-$AE35*(1+FT$3))/$AJ35,'Технический лист'!$A:$B,2,1),(FS35-0.05)))</f>
        <v/>
      </c>
      <c r="FU35" s="172">
        <f>MIN(1,MAX(VLOOKUP(($AJ35-$AI35-$AH35-$AG35-$AF35-$AE35*(1+FU$3))/$AJ35,'Технический лист'!$A:$B,2,1),(FT35-0.05)))</f>
        <v/>
      </c>
      <c r="FV35" s="172">
        <f>MIN(1,MAX(VLOOKUP(($AJ35-$AI35-$AH35-$AG35-$AF35-$AE35*(1+FV$3))/$AJ35,'Технический лист'!$A:$B,2,1),(FU35-0.05)))</f>
        <v/>
      </c>
      <c r="FW35" s="172">
        <f>MIN(1,MAX(VLOOKUP(($AJ35-$AI35-$AH35-$AG35-$AF35-$AE35*(1+FW$3))/$AJ35,'Технический лист'!$A:$B,2,1),(FV35-0.05)))</f>
        <v/>
      </c>
      <c r="FX35" s="172">
        <f>MIN(1,MAX(VLOOKUP(($AJ35-$AI35-$AH35-$AG35-$AF35-$AE35*(1+FX$3))/$AJ35,'Технический лист'!$A:$B,2,1),(FW35-0.05)))</f>
        <v/>
      </c>
      <c r="FY35" s="172">
        <f>MIN(1,MAX(VLOOKUP(($AJ35-$AI35-$AH35-$AG35-$AF35-$AE35*(1+FY$3))/$AJ35,'Технический лист'!$A:$B,2,1),(FX35-0.05)))</f>
        <v/>
      </c>
      <c r="FZ35" s="172">
        <f>MIN(1,MAX(VLOOKUP(($AJ35-$AI35-$AH35-$AG35-$AF35-$AE35*(1+FZ$3))/$AJ35,'Технический лист'!$A:$B,2,1),(FY35-0.05)))</f>
        <v/>
      </c>
      <c r="GA35" s="172">
        <f>MIN(1,MAX(VLOOKUP(($AJ35-$AI35-$AH35-$AG35-$AF35-$AE35*(1+GA$3))/$AJ35,'Технический лист'!$A:$B,2,1),(FZ35-0.05)))</f>
        <v/>
      </c>
      <c r="GB35" s="172">
        <f>MIN(1,MAX(VLOOKUP(($AJ35-$AI35-$AH35-$AG35-$AF35-$AE35*(1+GB$3))/$AJ35,'Технический лист'!$A:$B,2,1),(GA35-0.05)))</f>
        <v/>
      </c>
      <c r="GC35" s="172">
        <f>MIN(1,MAX(VLOOKUP(($AJ35-$AI35-$AH35-$AG35-$AF35-$AE35*(1+GC$3))/$AJ35,'Технический лист'!$A:$B,2,1),(GB35-0.05)))</f>
        <v/>
      </c>
      <c r="GD35" s="172">
        <f>MIN(1,MAX(VLOOKUP(($AJ35-$AI35-$AH35-$AG35-$AF35-$AE35*(1+GD$3))/$AJ35,'Технический лист'!$A:$B,2,1),(GC35-0.05)))</f>
        <v/>
      </c>
      <c r="GE35" s="172">
        <f>MIN(1,MAX(VLOOKUP(($AJ35-$AI35-$AH35-$AG35-$AF35-$AE35*(1+GE$3))/$AJ35,'Технический лист'!$A:$B,2,1),(GD35-0.05)))</f>
        <v/>
      </c>
      <c r="GF35" s="172">
        <f>MIN(1,MAX(VLOOKUP(($AJ35-$AI35-$AH35-$AG35-$AF35-$AE35*(1+GF$3))/$AJ35,'Технический лист'!$A:$B,2,1),(GE35-0.05)))</f>
        <v/>
      </c>
      <c r="GG35" s="172">
        <f>MIN(1,MAX(VLOOKUP(($AJ35-$AI35-$AH35-$AG35-$AF35-$AE35*(1+GG$3))/$AJ35,'Технический лист'!$A:$B,2,1),(GF35-0.05)))</f>
        <v/>
      </c>
      <c r="GH35" s="172">
        <f>MIN(1,MAX(VLOOKUP(($AJ35-$AI35-$AH35-$AG35-$AF35-$AE35*(1+GH$3))/$AJ35,'Технический лист'!$A:$B,2,1),(GG35-0.05)))</f>
        <v/>
      </c>
      <c r="GI35" s="172">
        <f>MIN(1,MAX(VLOOKUP(($AJ35-$AI35-$AH35-$AG35-$AF35-$AE35*(1+GI$3))/$AJ35,'Технический лист'!$A:$B,2,1),(GH35-0.05)))</f>
        <v/>
      </c>
      <c r="GJ35" s="172">
        <f>MIN(1,MAX(VLOOKUP(($AJ35-$AI35-$AH35-$AG35-$AF35-$AE35*(1+GJ$3))/$AJ35,'Технический лист'!$A:$B,2,1),(GI35-0.05)))</f>
        <v/>
      </c>
      <c r="GK35" s="172">
        <f>MIN(1,MAX(VLOOKUP(($AJ35-$AI35-$AH35-$AG35-$AF35-$AE35*(1+GK$3))/$AJ35,'Технический лист'!$A:$B,2,1),(GJ35-0.05)))</f>
        <v/>
      </c>
      <c r="GL35" s="172">
        <f>MIN(1,MAX(VLOOKUP(($AJ35-$AI35-$AH35-$AG35-$AF35-$AE35*(1+GL$3))/$AJ35,'Технический лист'!$A:$B,2,1),(GK35-0.05)))</f>
        <v/>
      </c>
      <c r="GM35" s="172">
        <f>MIN(1,MAX(VLOOKUP(($AJ35-$AI35-$AH35-$AG35-$AF35-$AE35*(1+GM$3))/$AJ35,'Технический лист'!$A:$B,2,1),(GL35-0.05)))</f>
        <v/>
      </c>
      <c r="GN35" s="172">
        <f>MIN(1,MAX(VLOOKUP(($AJ35-$AI35-$AH35-$AG35-$AF35-$AE35*(1+GN$3))/$AJ35,'Технический лист'!$A:$B,2,1),(GM35-0.05)))</f>
        <v/>
      </c>
      <c r="GO35" s="172">
        <f>MIN(1,MAX(VLOOKUP(($AJ35-$AI35-$AH35-$AG35-$AF35-$AE35*(1+GO$3))/$AJ35,'Технический лист'!$A:$B,2,1),(GN35-0.05)))</f>
        <v/>
      </c>
      <c r="GP35" s="172">
        <f>MIN(1,MAX(VLOOKUP(($AJ35-$AI35-$AH35-$AG35-$AF35-$AE35*(1+GP$3))/$AJ35,'Технический лист'!$A:$B,2,1),(GO35-0.05)))</f>
        <v/>
      </c>
      <c r="GQ35" s="172">
        <f>MIN(1,MAX(VLOOKUP(($AJ35-$AI35-$AH35-$AG35-$AF35-$AE35*(1+GQ$3))/$AJ35,'Технический лист'!$A:$B,2,1),(GP35-0.05)))</f>
        <v/>
      </c>
      <c r="GR35" s="172">
        <f>MIN(1,MAX(VLOOKUP(($AJ35-$AI35-$AH35-$AG35-$AF35-$AE35*(1+GR$3))/$AJ35,'Технический лист'!$A:$B,2,1),(GQ35-0.05)))</f>
        <v/>
      </c>
      <c r="GS35" s="172">
        <f>MIN(1,MAX(VLOOKUP(($AJ35-$AI35-$AH35-$AG35-$AF35-$AE35*(1+GS$3))/$AJ35,'Технический лист'!$A:$B,2,1),(GR35-0.05)))</f>
        <v/>
      </c>
      <c r="GT35" s="172">
        <f>MIN(1,MAX(VLOOKUP(($AJ35-$AI35-$AH35-$AG35-$AF35-$AE35*(1+GT$3))/$AJ35,'Технический лист'!$A:$B,2,1),(GS35-0.05)))</f>
        <v/>
      </c>
      <c r="GU35" s="172">
        <f>MIN(1,MAX(VLOOKUP(($AJ35-$AI35-$AH35-$AG35-$AF35-$AE35*(1+GU$3))/$AJ35,'Технический лист'!$A:$B,2,1),(GT35-0.05)))</f>
        <v/>
      </c>
      <c r="GV35" s="172">
        <f>MIN(1,MAX(VLOOKUP(($AJ35-$AI35-$AH35-$AG35-$AF35-$AE35*(1+GV$3))/$AJ35,'Технический лист'!$A:$B,2,1),(GU35-0.05)))</f>
        <v/>
      </c>
      <c r="GW35" s="172">
        <f>MIN(1,MAX(VLOOKUP(($AJ35-$AI35-$AH35-$AG35-$AF35-$AE35*(1+GW$3))/$AJ35,'Технический лист'!$A:$B,2,1),(GV35-0.05)))</f>
        <v/>
      </c>
      <c r="GX35" s="172">
        <f>MIN(1,MAX(VLOOKUP(($AJ35-$AI35-$AH35-$AG35-$AF35-$AE35*(1+GX$3))/$AJ35,'Технический лист'!$A:$B,2,1),(GW35-0.05)))</f>
        <v/>
      </c>
      <c r="GY35" s="172">
        <f>MIN(1,MAX(VLOOKUP(($AJ35-$AI35-$AH35-$AG35-$AF35-$AE35*(1+GY$3))/$AJ35,'Технический лист'!$A:$B,2,1),(GX35-0.05)))</f>
        <v/>
      </c>
      <c r="GZ35" s="172">
        <f>MIN(1,MAX(VLOOKUP(($AJ35-$AI35-$AH35-$AG35-$AF35-$AE35*(1+GZ$3))/$AJ35,'Технический лист'!$A:$B,2,1),(GY35-0.05)))</f>
        <v/>
      </c>
      <c r="HA35" s="172">
        <f>MIN(1,MAX(VLOOKUP(($AJ35-$AI35-$AH35-$AG35-$AF35-$AE35*(1+HA$3))/$AJ35,'Технический лист'!$A:$B,2,1),(GZ35-0.05)))</f>
        <v/>
      </c>
      <c r="HB35" s="172">
        <f>MIN(1,MAX(VLOOKUP(($AJ35-$AI35-$AH35-$AG35-$AF35-$AE35*(1+HB$3))/$AJ35,'Технический лист'!$A:$B,2,1),(HA35-0.05)))</f>
        <v/>
      </c>
      <c r="HC35" s="172">
        <f>MIN(1,MAX(VLOOKUP(($AJ35-$AI35-$AH35-$AG35-$AF35-$AE35*(1+HC$3))/$AJ35,'Технический лист'!$A:$B,2,1),(HB35-0.05)))</f>
        <v/>
      </c>
      <c r="HD35" s="172">
        <f>MIN(1,MAX(VLOOKUP(($AJ35-$AI35-$AH35-$AG35-$AF35-$AE35*(1+HD$3))/$AJ35,'Технический лист'!$A:$B,2,1),(HC35-0.05)))</f>
        <v/>
      </c>
      <c r="HE35" s="172">
        <f>MIN(1,MAX(VLOOKUP(($AJ35-$AI35-$AH35-$AG35-$AF35-$AE35*(1+HE$3))/$AJ35,'Технический лист'!$A:$B,2,1),(HD35-0.05)))</f>
        <v/>
      </c>
      <c r="HF35" s="172">
        <f>MIN(1,MAX(VLOOKUP(($AJ35-$AI35-$AH35-$AG35-$AF35-$AE35*(1+HF$3))/$AJ35,'Технический лист'!$A:$B,2,1),(HE35-0.05)))</f>
        <v/>
      </c>
      <c r="HG35" s="172">
        <f>MIN(1,MAX(VLOOKUP(($AJ35-$AI35-$AH35-$AG35-$AF35-$AE35*(1+HG$3))/$AJ35,'Технический лист'!$A:$B,2,1),(HF35-0.05)))</f>
        <v/>
      </c>
      <c r="HH35" s="172">
        <f>MIN(1,MAX(VLOOKUP(($AJ35-$AI35-$AH35-$AG35-$AF35-$AE35*(1+HH$3))/$AJ35,'Технический лист'!$A:$B,2,1),(HG35-0.05)))</f>
        <v/>
      </c>
      <c r="HI35" s="172">
        <f>MIN(1,MAX(VLOOKUP(($AJ35-$AI35-$AH35-$AG35-$AF35-$AE35*(1+HI$3))/$AJ35,'Технический лист'!$A:$B,2,1),(HH35-0.05)))</f>
        <v/>
      </c>
      <c r="HJ35" s="172">
        <f>MIN(1,MAX(VLOOKUP(($AJ35-$AI35-$AH35-$AG35-$AF35-$AE35*(1+HJ$3))/$AJ35,'Технический лист'!$A:$B,2,1),(HI35-0.05)))</f>
        <v/>
      </c>
      <c r="HK35" s="172">
        <f>MIN(1,MAX(VLOOKUP(($AJ35-$AI35-$AH35-$AG35-$AF35-$AE35*(1+HK$3))/$AJ35,'Технический лист'!$A:$B,2,1),(HJ35-0.05)))</f>
        <v/>
      </c>
      <c r="HL35" s="172">
        <f>MIN(1,MAX(VLOOKUP(($AJ35-$AI35-$AH35-$AG35-$AF35-$AE35*(1+HL$3))/$AJ35,'Технический лист'!$A:$B,2,1),(HK35-0.05)))</f>
        <v/>
      </c>
      <c r="HM35" s="172">
        <f>MIN(1,MAX(VLOOKUP(($AJ35-$AI35-$AH35-$AG35-$AF35-$AE35*(1+HM$3))/$AJ35,'Технический лист'!$A:$B,2,1),(HL35-0.05)))</f>
        <v/>
      </c>
      <c r="HN35" s="172">
        <f>MIN(1,MAX(VLOOKUP(($AJ35-$AI35-$AH35-$AG35-$AF35-$AE35*(1+HN$3))/$AJ35,'Технический лист'!$A:$B,2,1),(HM35-0.05)))</f>
        <v/>
      </c>
      <c r="HO35" s="172">
        <f>MIN(1,MAX(VLOOKUP(($AJ35-$AI35-$AH35-$AG35-$AF35-$AE35*(1+HO$3))/$AJ35,'Технический лист'!$A:$B,2,1),(HN35-0.05)))</f>
        <v/>
      </c>
      <c r="HP35" s="172">
        <f>MIN(1,MAX(VLOOKUP(($AJ35-$AI35-$AH35-$AG35-$AF35-$AE35*(1+HP$3))/$AJ35,'Технический лист'!$A:$B,2,1),(HO35-0.05)))</f>
        <v/>
      </c>
      <c r="HQ35" s="172">
        <f>MIN(1,MAX(VLOOKUP(($AJ35-$AI35-$AH35-$AG35-$AF35-$AE35*(1+HQ$3))/$AJ35,'Технический лист'!$A:$B,2,1),(HP35-0.05)))</f>
        <v/>
      </c>
      <c r="HR35" s="172">
        <f>MIN(1,MAX(VLOOKUP(($AJ35-$AI35-$AH35-$AG35-$AF35-$AE35*(1+HR$3))/$AJ35,'Технический лист'!$A:$B,2,1),(HQ35-0.05)))</f>
        <v/>
      </c>
      <c r="HS35" s="172">
        <f>MIN(1,MAX(VLOOKUP(($AJ35-$AI35-$AH35-$AG35-$AF35-$AE35*(1+HS$3))/$AJ35,'Технический лист'!$A:$B,2,1),(HR35-0.05)))</f>
        <v/>
      </c>
      <c r="HT35" s="172">
        <f>MIN(1,MAX(VLOOKUP(($AJ35-$AI35-$AH35-$AG35-$AF35-$AE35*(1+HT$3))/$AJ35,'Технический лист'!$A:$B,2,1),(HS35-0.05)))</f>
        <v/>
      </c>
      <c r="HU35" s="172">
        <f>MIN(1,MAX(VLOOKUP(($AJ35-$AI35-$AH35-$AG35-$AF35-$AE35*(1+HU$3))/$AJ35,'Технический лист'!$A:$B,2,1),(HT35-0.05)))</f>
        <v/>
      </c>
      <c r="HV35" s="172">
        <f>MIN(1,MAX(VLOOKUP(($AJ35-$AI35-$AH35-$AG35-$AF35-$AE35*(1+HV$3))/$AJ35,'Технический лист'!$A:$B,2,1),(HU35-0.05)))</f>
        <v/>
      </c>
      <c r="HW35" s="172">
        <f>MIN(1,MAX(VLOOKUP(($AJ35-$AI35-$AH35-$AG35-$AF35-$AE35*(1+HW$3))/$AJ35,'Технический лист'!$A:$B,2,1),(HV35-0.05)))</f>
        <v/>
      </c>
      <c r="HX35" s="172">
        <f>MIN(1,MAX(VLOOKUP(($AJ35-$AI35-$AH35-$AG35-$AF35-$AE35*(1+HX$3))/$AJ35,'Технический лист'!$A:$B,2,1),(HW35-0.05)))</f>
        <v/>
      </c>
      <c r="HY35" s="172">
        <f>MIN(1,MAX(VLOOKUP(($AJ35-$AI35-$AH35-$AG35-$AF35-$AE35*(1+HY$3))/$AJ35,'Технический лист'!$A:$B,2,1),(HX35-0.05)))</f>
        <v/>
      </c>
      <c r="HZ35" s="172">
        <f>MIN(1,MAX(VLOOKUP(($AJ35-$AI35-$AH35-$AG35-$AF35-$AE35*(1+HZ$3))/$AJ35,'Технический лист'!$A:$B,2,1),(HY35-0.05)))</f>
        <v/>
      </c>
      <c r="IA35" s="172">
        <f>MIN(1,MAX(VLOOKUP(($AJ35-$AI35-$AH35-$AG35-$AF35-$AE35*(1+IA$3))/$AJ35,'Технический лист'!$A:$B,2,1),(HZ35-0.05)))</f>
        <v/>
      </c>
      <c r="IB35" s="172">
        <f>MIN(1,MAX(VLOOKUP(($AJ35-$AI35-$AH35-$AG35-$AF35-$AE35*(1+IB$3))/$AJ35,'Технический лист'!$A:$B,2,1),(IA35-0.05)))</f>
        <v/>
      </c>
      <c r="IC35" s="172">
        <f>MIN(1,MAX(VLOOKUP(($AJ35-$AI35-$AH35-$AG35-$AF35-$AE35*(1+IC$3))/$AJ35,'Технический лист'!$A:$B,2,1),(IB35-0.05)))</f>
        <v/>
      </c>
      <c r="ID35" s="172">
        <f>MIN(1,MAX(VLOOKUP(($AJ35-$AI35-$AH35-$AG35-$AF35-$AE35*(1+ID$3))/$AJ35,'Технический лист'!$A:$B,2,1),(IC35-0.05)))</f>
        <v/>
      </c>
      <c r="IE35" s="172">
        <f>MIN(1,MAX(VLOOKUP(($AJ35-$AI35-$AH35-$AG35-$AF35-$AE35*(1+IE$3))/$AJ35,'Технический лист'!$A:$B,2,1),(ID35-0.05)))</f>
        <v/>
      </c>
      <c r="IF35" s="172">
        <f>MIN(1,MAX(VLOOKUP(($AJ35-$AI35-$AH35-$AG35-$AF35-$AE35*(1+IF$3))/$AJ35,'Технический лист'!$A:$B,2,1),(IE35-0.05)))</f>
        <v/>
      </c>
      <c r="IG35" s="172">
        <f>MIN(1,MAX(VLOOKUP(($AJ35-$AI35-$AH35-$AG35-$AF35-$AE35*(1+IG$3))/$AJ35,'Технический лист'!$A:$B,2,1),(IF35-0.05)))</f>
        <v/>
      </c>
      <c r="IH35" s="172">
        <f>MIN(1,MAX(VLOOKUP(($AJ35-$AI35-$AH35-$AG35-$AF35-$AE35*(1+IH$3))/$AJ35,'Технический лист'!$A:$B,2,1),(IG35-0.05)))</f>
        <v/>
      </c>
      <c r="II35" s="172">
        <f>MIN(1,MAX(VLOOKUP(($AJ35-$AI35-$AH35-$AG35-$AF35-$AE35*(1+II$3))/$AJ35,'Технический лист'!$A:$B,2,1),(IH35-0.05)))</f>
        <v/>
      </c>
      <c r="IJ35" s="172">
        <f>MIN(1,MAX(VLOOKUP(($AJ35-$AI35-$AH35-$AG35-$AF35-$AE35*(1+IJ$3))/$AJ35,'Технический лист'!$A:$B,2,1),(II35-0.05)))</f>
        <v/>
      </c>
      <c r="IK35" s="172">
        <f>MIN(1,MAX(VLOOKUP(($AJ35-$AI35-$AH35-$AG35-$AF35-$AE35*(1+IK$3))/$AJ35,'Технический лист'!$A:$B,2,1),(IJ35-0.05)))</f>
        <v/>
      </c>
      <c r="IL35" s="172">
        <f>MIN(1,MAX(VLOOKUP(($AJ35-$AI35-$AH35-$AG35-$AF35-$AE35*(1+IL$3))/$AJ35,'Технический лист'!$A:$B,2,1),(IK35-0.05)))</f>
        <v/>
      </c>
      <c r="IM35" s="172">
        <f>MIN(1,MAX(VLOOKUP(($AJ35-$AI35-$AH35-$AG35-$AF35-$AE35*(1+IM$3))/$AJ35,'Технический лист'!$A:$B,2,1),(IL35-0.05)))</f>
        <v/>
      </c>
      <c r="IN35" s="172">
        <f>MIN(1,MAX(VLOOKUP(($AJ35-$AI35-$AH35-$AG35-$AF35-$AE35*(1+IN$3))/$AJ35,'Технический лист'!$A:$B,2,1),(IM35-0.05)))</f>
        <v/>
      </c>
      <c r="IO35" s="172">
        <f>MIN(1,MAX(VLOOKUP(($AJ35-$AI35-$AH35-$AG35-$AF35-$AE35*(1+IO$3))/$AJ35,'Технический лист'!$A:$B,2,1),(IN35-0.05)))</f>
        <v/>
      </c>
      <c r="IP35" s="172">
        <f>MIN(1,MAX(VLOOKUP(($AJ35-$AI35-$AH35-$AG35-$AF35-$AE35*(1+IP$3))/$AJ35,'Технический лист'!$A:$B,2,1),(IO35-0.05)))</f>
        <v/>
      </c>
      <c r="IQ35" s="172">
        <f>MIN(1,MAX(VLOOKUP(($AJ35-$AI35-$AH35-$AG35-$AF35-$AE35*(1+IQ$3))/$AJ35,'Технический лист'!$A:$B,2,1),(IP35-0.05)))</f>
        <v/>
      </c>
      <c r="IR35" s="172">
        <f>MIN(1,MAX(VLOOKUP(($AJ35-$AI35-$AH35-$AG35-$AF35-$AE35*(1+IR$3))/$AJ35,'Технический лист'!$A:$B,2,1),(IQ35-0.05)))</f>
        <v/>
      </c>
    </row>
    <row r="36" ht="45" customHeight="1" s="123">
      <c r="A36" s="89" t="inlineStr">
        <is>
          <t>ЧМ (сырье)</t>
        </is>
      </c>
      <c r="B36" s="90" t="n">
        <v>2</v>
      </c>
      <c r="C36" s="5" t="inlineStr">
        <is>
          <t>Кокс каменноугольный</t>
        </is>
      </c>
      <c r="D36" s="91" t="n">
        <v>17110</v>
      </c>
      <c r="E36" s="91" t="inlineStr">
        <is>
          <t xml:space="preserve">Кокс, не поименованный в алфавите </t>
        </is>
      </c>
      <c r="F36" s="92" t="inlineStr">
        <is>
          <t>КОКС КАМЕННОУГОЛЬНЫЙ</t>
        </is>
      </c>
      <c r="G36" s="91" t="inlineStr">
        <is>
          <t>СЕВ</t>
        </is>
      </c>
      <c r="H36" s="91" t="inlineStr">
        <is>
          <t>ЮВС</t>
        </is>
      </c>
      <c r="I36" s="91" t="inlineStr">
        <is>
          <t>ЧЕРЕПОВЕЦ 2</t>
        </is>
      </c>
      <c r="J36" s="91" t="inlineStr">
        <is>
          <t>ЧУГУН 2</t>
        </is>
      </c>
      <c r="K36" s="91" t="n">
        <v>1062</v>
      </c>
      <c r="L36" s="91" t="inlineStr">
        <is>
          <t>Полувагоны</t>
        </is>
      </c>
      <c r="M36" s="91" t="inlineStr">
        <is>
          <t>Внутр. перевозки</t>
        </is>
      </c>
      <c r="N36" s="91" t="inlineStr">
        <is>
          <t>вагонная</t>
        </is>
      </c>
      <c r="O36" s="91" t="inlineStr">
        <is>
          <t xml:space="preserve">Южное </t>
        </is>
      </c>
      <c r="P36" s="89" t="inlineStr">
        <is>
          <t>'000049183851</t>
        </is>
      </c>
      <c r="Q36" s="91" t="inlineStr">
        <is>
          <t>ПАО "СЕВЕРСТАЛЬ"</t>
        </is>
      </c>
      <c r="R36" s="91" t="inlineStr">
        <is>
          <t>ПАО "СЕВЕРСТАЛЬ"</t>
        </is>
      </c>
      <c r="S36" s="87" t="n">
        <v>21751</v>
      </c>
      <c r="T36" s="87" t="n">
        <v>23102111</v>
      </c>
      <c r="U36" s="88" t="n">
        <v>411</v>
      </c>
      <c r="V36" s="88" t="n">
        <v>0</v>
      </c>
      <c r="W36" s="87" t="n">
        <v>23154405</v>
      </c>
      <c r="X36" s="112" t="n">
        <v>53</v>
      </c>
      <c r="Y36" s="112" t="inlineStr">
        <is>
          <t>групповая</t>
        </is>
      </c>
      <c r="Z36" s="113" t="n">
        <v>6</v>
      </c>
      <c r="AA36" s="113" t="n">
        <v>5</v>
      </c>
      <c r="AB36" s="113" t="n">
        <v>4</v>
      </c>
      <c r="AC36" s="161" t="n">
        <v>1165.77</v>
      </c>
      <c r="AD36" s="161">
        <f>AE36-AC36</f>
        <v/>
      </c>
      <c r="AE36" s="161" t="n">
        <v>1579.38</v>
      </c>
      <c r="AF36" s="162">
        <f>(Z36+AA36+AB36)*'Ставки аренды'!$B$3/X36</f>
        <v/>
      </c>
      <c r="AG36" s="163" t="n">
        <v>0</v>
      </c>
      <c r="AH36" s="164" t="n">
        <v>0</v>
      </c>
      <c r="AI36" s="174">
        <f>507353/712157*AVERAGE(AJ33,AJ34)</f>
        <v/>
      </c>
      <c r="AJ36" s="166">
        <f>Цены!$D$9</f>
        <v/>
      </c>
      <c r="AK36" s="164">
        <f>AJ36/Цены!$B$1</f>
        <v/>
      </c>
      <c r="AL36" s="164">
        <f>AE36+AF36+AG36</f>
        <v/>
      </c>
      <c r="AM36" s="164">
        <f>AJ36-AL36</f>
        <v/>
      </c>
      <c r="AN36" s="164">
        <f>AI36+AH36+AG36+AF36+AE36</f>
        <v/>
      </c>
      <c r="AO36" s="167">
        <f>(AJ36-AN36)/AJ36</f>
        <v/>
      </c>
      <c r="AP36" s="168">
        <f>AL36/AJ36</f>
        <v/>
      </c>
      <c r="AQ36" s="168">
        <f>AE36/AJ36</f>
        <v/>
      </c>
      <c r="AR36" s="168">
        <f>AE36/AL36</f>
        <v/>
      </c>
      <c r="AS36" s="169" t="n">
        <v>1</v>
      </c>
      <c r="AT36" s="121">
        <f>S36*AS36</f>
        <v/>
      </c>
      <c r="AU36" s="83" t="n">
        <v>0.95</v>
      </c>
      <c r="AV36" s="170">
        <f>(AJ36-(AE36*(1+$IS$2)+AF36+AG36+AH36+AI36))/AJ36</f>
        <v/>
      </c>
      <c r="AW36" s="171">
        <f>(AE36*(1+$IS$2)+AF36+AG36)/AJ36</f>
        <v/>
      </c>
      <c r="AX36" s="171">
        <f>(AE36*(1+$IS$2))/AJ36</f>
        <v/>
      </c>
      <c r="AY36" s="171">
        <f>(AE36*(1+$IS$2))/(AE36*(1+$IS$2)+AF36+AG36)</f>
        <v/>
      </c>
      <c r="AZ36" s="172">
        <f>MIN(IF($AU36=100%,1,1+VLOOKUP(($AJ36-$AI36-$AH36-$AG36-$AF36-$AE36*(1+AZ$3))/$AJ36,'Технический лист'!$A:$B,2,1)-VLOOKUP($AO36,'Технический лист'!$A:$B,2,1)),1+(1-$AU36))</f>
        <v/>
      </c>
      <c r="BA36" s="172">
        <f>MIN(IF($AU36=100%,1,1+VLOOKUP(($AJ36-$AI36-$AH36-$AG36-$AF36-$AE36*(1+BA$3))/$AJ36,'Технический лист'!$A:$B,2,1)-VLOOKUP($AO36,'Технический лист'!$A:$B,2,1)),1+(1-$AU36))</f>
        <v/>
      </c>
      <c r="BB36" s="172">
        <f>MIN(IF($AU36=100%,1,1+VLOOKUP(($AJ36-$AI36-$AH36-$AG36-$AF36-$AE36*(1+BB$3))/$AJ36,'Технический лист'!$A:$B,2,1)-VLOOKUP($AO36,'Технический лист'!$A:$B,2,1)),1+(1-$AU36))</f>
        <v/>
      </c>
      <c r="BC36" s="172">
        <f>MIN(IF($AU36=100%,1,1+VLOOKUP(($AJ36-$AI36-$AH36-$AG36-$AF36-$AE36*(1+BC$3))/$AJ36,'Технический лист'!$A:$B,2,1)-VLOOKUP($AO36,'Технический лист'!$A:$B,2,1)),1+(1-$AU36))</f>
        <v/>
      </c>
      <c r="BD36" s="172">
        <f>MIN(IF($AU36=100%,1,1+VLOOKUP(($AJ36-$AI36-$AH36-$AG36-$AF36-$AE36*(1+BD$3))/$AJ36,'Технический лист'!$A:$B,2,1)-VLOOKUP($AO36,'Технический лист'!$A:$B,2,1)),1+(1-$AU36))</f>
        <v/>
      </c>
      <c r="BE36" s="172">
        <f>MIN(IF($AU36=100%,1,1+VLOOKUP(($AJ36-$AI36-$AH36-$AG36-$AF36-$AE36*(1+BE$3))/$AJ36,'Технический лист'!$A:$B,2,1)-VLOOKUP($AO36,'Технический лист'!$A:$B,2,1)),1+(1-$AU36))</f>
        <v/>
      </c>
      <c r="BF36" s="172">
        <f>MIN(IF($AU36=100%,1,1+VLOOKUP(($AJ36-$AI36-$AH36-$AG36-$AF36-$AE36*(1+BF$3))/$AJ36,'Технический лист'!$A:$B,2,1)-VLOOKUP($AO36,'Технический лист'!$A:$B,2,1)),1+(1-$AU36))</f>
        <v/>
      </c>
      <c r="BG36" s="172">
        <f>MIN(IF($AU36=100%,1,1+VLOOKUP(($AJ36-$AI36-$AH36-$AG36-$AF36-$AE36*(1+BG$3))/$AJ36,'Технический лист'!$A:$B,2,1)-VLOOKUP($AO36,'Технический лист'!$A:$B,2,1)),1+(1-$AU36))</f>
        <v/>
      </c>
      <c r="BH36" s="172">
        <f>MIN(IF($AU36=100%,1,1+VLOOKUP(($AJ36-$AI36-$AH36-$AG36-$AF36-$AE36*(1+BH$3))/$AJ36,'Технический лист'!$A:$B,2,1)-VLOOKUP($AO36,'Технический лист'!$A:$B,2,1)),1+(1-$AU36))</f>
        <v/>
      </c>
      <c r="BI36" s="172">
        <f>MIN(IF($AU36=100%,1,1+VLOOKUP(($AJ36-$AI36-$AH36-$AG36-$AF36-$AE36*(1+BI$3))/$AJ36,'Технический лист'!$A:$B,2,1)-VLOOKUP($AO36,'Технический лист'!$A:$B,2,1)),1+(1-$AU36))</f>
        <v/>
      </c>
      <c r="BJ36" s="172">
        <f>MIN(IF($AU36=100%,1,1+VLOOKUP(($AJ36-$AI36-$AH36-$AG36-$AF36-$AE36*(1+BJ$3))/$AJ36,'Технический лист'!$A:$B,2,1)-VLOOKUP($AO36,'Технический лист'!$A:$B,2,1)),1+(1-$AU36))</f>
        <v/>
      </c>
      <c r="BK36" s="172">
        <f>MIN(IF($AU36=100%,1,1+VLOOKUP(($AJ36-$AI36-$AH36-$AG36-$AF36-$AE36*(1+BK$3))/$AJ36,'Технический лист'!$A:$B,2,1)-VLOOKUP($AO36,'Технический лист'!$A:$B,2,1)),1+(1-$AU36))</f>
        <v/>
      </c>
      <c r="BL36" s="172">
        <f>MIN(IF($AU36=100%,1,1+VLOOKUP(($AJ36-$AI36-$AH36-$AG36-$AF36-$AE36*(1+BL$3))/$AJ36,'Технический лист'!$A:$B,2,1)-VLOOKUP($AO36,'Технический лист'!$A:$B,2,1)),1+(1-$AU36))</f>
        <v/>
      </c>
      <c r="BM36" s="172">
        <f>MIN(IF($AU36=100%,1,1+VLOOKUP(($AJ36-$AI36-$AH36-$AG36-$AF36-$AE36*(1+BM$3))/$AJ36,'Технический лист'!$A:$B,2,1)-VLOOKUP($AO36,'Технический лист'!$A:$B,2,1)),1+(1-$AU36))</f>
        <v/>
      </c>
      <c r="BN36" s="172">
        <f>MIN(IF($AU36=100%,1,1+VLOOKUP(($AJ36-$AI36-$AH36-$AG36-$AF36-$AE36*(1+BN$3))/$AJ36,'Технический лист'!$A:$B,2,1)-VLOOKUP($AO36,'Технический лист'!$A:$B,2,1)),1+(1-$AU36))</f>
        <v/>
      </c>
      <c r="BO36" s="172">
        <f>MIN(IF($AU36=100%,1,1+VLOOKUP(($AJ36-$AI36-$AH36-$AG36-$AF36-$AE36*(1+BO$3))/$AJ36,'Технический лист'!$A:$B,2,1)-VLOOKUP($AO36,'Технический лист'!$A:$B,2,1)),1+(1-$AU36))</f>
        <v/>
      </c>
      <c r="BP36" s="172">
        <f>MIN(IF($AU36=100%,1,1+VLOOKUP(($AJ36-$AI36-$AH36-$AG36-$AF36-$AE36*(1+BP$3))/$AJ36,'Технический лист'!$A:$B,2,1)-VLOOKUP($AO36,'Технический лист'!$A:$B,2,1)),1+(1-$AU36))</f>
        <v/>
      </c>
      <c r="BQ36" s="172">
        <f>MIN(IF($AU36=100%,1,1+VLOOKUP(($AJ36-$AI36-$AH36-$AG36-$AF36-$AE36*(1+BQ$3))/$AJ36,'Технический лист'!$A:$B,2,1)-VLOOKUP($AO36,'Технический лист'!$A:$B,2,1)),1+(1-$AU36))</f>
        <v/>
      </c>
      <c r="BR36" s="172">
        <f>MIN(IF($AU36=100%,1,1+VLOOKUP(($AJ36-$AI36-$AH36-$AG36-$AF36-$AE36*(1+BR$3))/$AJ36,'Технический лист'!$A:$B,2,1)-VLOOKUP($AO36,'Технический лист'!$A:$B,2,1)),1+(1-$AU36))</f>
        <v/>
      </c>
      <c r="BS36" s="172">
        <f>MIN(IF($AU36=100%,1,1+VLOOKUP(($AJ36-$AI36-$AH36-$AG36-$AF36-$AE36*(1+BS$3))/$AJ36,'Технический лист'!$A:$B,2,1)-VLOOKUP($AO36,'Технический лист'!$A:$B,2,1)),1+(1-$AU36))</f>
        <v/>
      </c>
      <c r="BT36" s="172">
        <f>MIN(IF($AU36=100%,1,1+VLOOKUP(($AJ36-$AI36-$AH36-$AG36-$AF36-$AE36*(1+BT$3))/$AJ36,'Технический лист'!$A:$B,2,1)-VLOOKUP($AO36,'Технический лист'!$A:$B,2,1)),1+(1-$AU36))</f>
        <v/>
      </c>
      <c r="BU36" s="172">
        <f>MIN(IF($AU36=100%,1,1+VLOOKUP(($AJ36-$AI36-$AH36-$AG36-$AF36-$AE36*(1+BU$3))/$AJ36,'Технический лист'!$A:$B,2,1)-VLOOKUP($AO36,'Технический лист'!$A:$B,2,1)),1+(1-$AU36))</f>
        <v/>
      </c>
      <c r="BV36" s="172">
        <f>MIN(IF($AU36=100%,1,1+VLOOKUP(($AJ36-$AI36-$AH36-$AG36-$AF36-$AE36*(1+BV$3))/$AJ36,'Технический лист'!$A:$B,2,1)-VLOOKUP($AO36,'Технический лист'!$A:$B,2,1)),1+(1-$AU36))</f>
        <v/>
      </c>
      <c r="BW36" s="172">
        <f>MIN(IF($AU36=100%,1,1+VLOOKUP(($AJ36-$AI36-$AH36-$AG36-$AF36-$AE36*(1+BW$3))/$AJ36,'Технический лист'!$A:$B,2,1)-VLOOKUP($AO36,'Технический лист'!$A:$B,2,1)),1+(1-$AU36))</f>
        <v/>
      </c>
      <c r="BX36" s="172">
        <f>MIN(IF($AU36=100%,1,1+VLOOKUP(($AJ36-$AI36-$AH36-$AG36-$AF36-$AE36*(1+BX$3))/$AJ36,'Технический лист'!$A:$B,2,1)-VLOOKUP($AO36,'Технический лист'!$A:$B,2,1)),1+(1-$AU36))</f>
        <v/>
      </c>
      <c r="BY36" s="172">
        <f>MIN(IF($AU36=100%,1,1+VLOOKUP(($AJ36-$AI36-$AH36-$AG36-$AF36-$AE36*(1+BY$3))/$AJ36,'Технический лист'!$A:$B,2,1)-VLOOKUP($AO36,'Технический лист'!$A:$B,2,1)),1+(1-$AU36))</f>
        <v/>
      </c>
      <c r="BZ36" s="172">
        <f>MIN(IF($AU36=100%,1,1+VLOOKUP(($AJ36-$AI36-$AH36-$AG36-$AF36-$AE36*(1+BZ$3))/$AJ36,'Технический лист'!$A:$B,2,1)-VLOOKUP($AO36,'Технический лист'!$A:$B,2,1)),1+(1-$AU36))</f>
        <v/>
      </c>
      <c r="CA36" s="172">
        <f>MIN(IF($AU36=100%,1,1+VLOOKUP(($AJ36-$AI36-$AH36-$AG36-$AF36-$AE36*(1+CA$3))/$AJ36,'Технический лист'!$A:$B,2,1)-VLOOKUP($AO36,'Технический лист'!$A:$B,2,1)),1+(1-$AU36))</f>
        <v/>
      </c>
      <c r="CB36" s="172">
        <f>MIN(IF($AU36=100%,1,1+VLOOKUP(($AJ36-$AI36-$AH36-$AG36-$AF36-$AE36*(1+CB$3))/$AJ36,'Технический лист'!$A:$B,2,1)-VLOOKUP($AO36,'Технический лист'!$A:$B,2,1)),1+(1-$AU36))</f>
        <v/>
      </c>
      <c r="CC36" s="172">
        <f>MIN(IF($AU36=100%,1,1+VLOOKUP(($AJ36-$AI36-$AH36-$AG36-$AF36-$AE36*(1+CC$3))/$AJ36,'Технический лист'!$A:$B,2,1)-VLOOKUP($AO36,'Технический лист'!$A:$B,2,1)),1+(1-$AU36))</f>
        <v/>
      </c>
      <c r="CD36" s="172">
        <f>MIN(IF($AU36=100%,1,1+VLOOKUP(($AJ36-$AI36-$AH36-$AG36-$AF36-$AE36*(1+CD$3))/$AJ36,'Технический лист'!$A:$B,2,1)-VLOOKUP($AO36,'Технический лист'!$A:$B,2,1)),1+(1-$AU36))</f>
        <v/>
      </c>
      <c r="CE36" s="172">
        <f>MIN(IF($AU36=100%,1,1+VLOOKUP(($AJ36-$AI36-$AH36-$AG36-$AF36-$AE36*(1+CE$3))/$AJ36,'Технический лист'!$A:$B,2,1)-VLOOKUP($AO36,'Технический лист'!$A:$B,2,1)),1+(1-$AU36))</f>
        <v/>
      </c>
      <c r="CF36" s="172">
        <f>MIN(IF($AU36=100%,1,1+VLOOKUP(($AJ36-$AI36-$AH36-$AG36-$AF36-$AE36*(1+CF$3))/$AJ36,'Технический лист'!$A:$B,2,1)-VLOOKUP($AO36,'Технический лист'!$A:$B,2,1)),1+(1-$AU36))</f>
        <v/>
      </c>
      <c r="CG36" s="172">
        <f>MIN(IF($AU36=100%,1,1+VLOOKUP(($AJ36-$AI36-$AH36-$AG36-$AF36-$AE36*(1+CG$3))/$AJ36,'Технический лист'!$A:$B,2,1)-VLOOKUP($AO36,'Технический лист'!$A:$B,2,1)),1+(1-$AU36))</f>
        <v/>
      </c>
      <c r="CH36" s="172">
        <f>MIN(IF($AU36=100%,1,1+VLOOKUP(($AJ36-$AI36-$AH36-$AG36-$AF36-$AE36*(1+CH$3))/$AJ36,'Технический лист'!$A:$B,2,1)-VLOOKUP($AO36,'Технический лист'!$A:$B,2,1)),1+(1-$AU36))</f>
        <v/>
      </c>
      <c r="CI36" s="172">
        <f>MIN(IF($AU36=100%,1,1+VLOOKUP(($AJ36-$AI36-$AH36-$AG36-$AF36-$AE36*(1+CI$3))/$AJ36,'Технический лист'!$A:$B,2,1)-VLOOKUP($AO36,'Технический лист'!$A:$B,2,1)),1+(1-$AU36))</f>
        <v/>
      </c>
      <c r="CJ36" s="172">
        <f>MIN(IF($AU36=100%,1,1+VLOOKUP(($AJ36-$AI36-$AH36-$AG36-$AF36-$AE36*(1+CJ$3))/$AJ36,'Технический лист'!$A:$B,2,1)-VLOOKUP($AO36,'Технический лист'!$A:$B,2,1)),1+(1-$AU36))</f>
        <v/>
      </c>
      <c r="CK36" s="172">
        <f>MIN(IF($AU36=100%,1,1+VLOOKUP(($AJ36-$AI36-$AH36-$AG36-$AF36-$AE36*(1+CK$3))/$AJ36,'Технический лист'!$A:$B,2,1)-VLOOKUP($AO36,'Технический лист'!$A:$B,2,1)),1+(1-$AU36))</f>
        <v/>
      </c>
      <c r="CL36" s="172">
        <f>MIN(IF($AU36=100%,1,1+VLOOKUP(($AJ36-$AI36-$AH36-$AG36-$AF36-$AE36*(1+CL$3))/$AJ36,'Технический лист'!$A:$B,2,1)-VLOOKUP($AO36,'Технический лист'!$A:$B,2,1)),1+(1-$AU36))</f>
        <v/>
      </c>
      <c r="CM36" s="172">
        <f>MIN(IF($AU36=100%,1,1+VLOOKUP(($AJ36-$AI36-$AH36-$AG36-$AF36-$AE36*(1+CM$3))/$AJ36,'Технический лист'!$A:$B,2,1)-VLOOKUP($AO36,'Технический лист'!$A:$B,2,1)),1+(1-$AU36))</f>
        <v/>
      </c>
      <c r="CN36" s="172">
        <f>MIN(IF($AU36=100%,1,1+VLOOKUP(($AJ36-$AI36-$AH36-$AG36-$AF36-$AE36*(1+CN$3))/$AJ36,'Технический лист'!$A:$B,2,1)-VLOOKUP($AO36,'Технический лист'!$A:$B,2,1)),1+(1-$AU36))</f>
        <v/>
      </c>
      <c r="CO36" s="172">
        <f>MIN(IF($AU36=100%,1,1+VLOOKUP(($AJ36-$AI36-$AH36-$AG36-$AF36-$AE36*(1+CO$3))/$AJ36,'Технический лист'!$A:$B,2,1)-VLOOKUP($AO36,'Технический лист'!$A:$B,2,1)),1+(1-$AU36))</f>
        <v/>
      </c>
      <c r="CP36" s="172">
        <f>MIN(IF($AU36=100%,1,1+VLOOKUP(($AJ36-$AI36-$AH36-$AG36-$AF36-$AE36*(1+CP$3))/$AJ36,'Технический лист'!$A:$B,2,1)-VLOOKUP($AO36,'Технический лист'!$A:$B,2,1)),1+(1-$AU36))</f>
        <v/>
      </c>
      <c r="CQ36" s="172">
        <f>MIN(IF($AU36=100%,1,1+VLOOKUP(($AJ36-$AI36-$AH36-$AG36-$AF36-$AE36*(1+CQ$3))/$AJ36,'Технический лист'!$A:$B,2,1)-VLOOKUP($AO36,'Технический лист'!$A:$B,2,1)),1+(1-$AU36))</f>
        <v/>
      </c>
      <c r="CR36" s="172">
        <f>MIN(IF($AU36=100%,1,1+VLOOKUP(($AJ36-$AI36-$AH36-$AG36-$AF36-$AE36*(1+CR$3))/$AJ36,'Технический лист'!$A:$B,2,1)-VLOOKUP($AO36,'Технический лист'!$A:$B,2,1)),1+(1-$AU36))</f>
        <v/>
      </c>
      <c r="CS36" s="172">
        <f>MIN(IF($AU36=100%,1,1+VLOOKUP(($AJ36-$AI36-$AH36-$AG36-$AF36-$AE36*(1+CS$3))/$AJ36,'Технический лист'!$A:$B,2,1)-VLOOKUP($AO36,'Технический лист'!$A:$B,2,1)),1+(1-$AU36))</f>
        <v/>
      </c>
      <c r="CT36" s="172">
        <f>MIN(IF($AU36=100%,1,1+VLOOKUP(($AJ36-$AI36-$AH36-$AG36-$AF36-$AE36*(1+CT$3))/$AJ36,'Технический лист'!$A:$B,2,1)-VLOOKUP($AO36,'Технический лист'!$A:$B,2,1)),1+(1-$AU36))</f>
        <v/>
      </c>
      <c r="CU36" s="172">
        <f>MIN(IF($AU36=100%,1,1+VLOOKUP(($AJ36-$AI36-$AH36-$AG36-$AF36-$AE36*(1+CU$3))/$AJ36,'Технический лист'!$A:$B,2,1)-VLOOKUP($AO36,'Технический лист'!$A:$B,2,1)),1+(1-$AU36))</f>
        <v/>
      </c>
      <c r="CV36" s="172">
        <f>MIN(IF($AU36=100%,1,1+VLOOKUP(($AJ36-$AI36-$AH36-$AG36-$AF36-$AE36*(1+CV$3))/$AJ36,'Технический лист'!$A:$B,2,1)-VLOOKUP($AO36,'Технический лист'!$A:$B,2,1)),1+(1-$AU36))</f>
        <v/>
      </c>
      <c r="CW36" s="172">
        <f>MIN(IF($AU36=100%,1,1+VLOOKUP(($AJ36-$AI36-$AH36-$AG36-$AF36-$AE36*(1+CW$3))/$AJ36,'Технический лист'!$A:$B,2,1)-VLOOKUP($AO36,'Технический лист'!$A:$B,2,1)),1+(1-$AU36))</f>
        <v/>
      </c>
      <c r="CX36" s="172">
        <f>MIN(IF($AU36=100%,1,1+VLOOKUP(($AJ36-$AI36-$AH36-$AG36-$AF36-$AE36*(1+CX$3))/$AJ36,'Технический лист'!$A:$B,2,1)-VLOOKUP($AO36,'Технический лист'!$A:$B,2,1)),1+(1-$AU36))</f>
        <v/>
      </c>
      <c r="CY36" s="172">
        <f>MIN(IF($AU36=100%,1,1+VLOOKUP(($AJ36-$AI36-$AH36-$AG36-$AF36-$AE36*(1+CY$3))/$AJ36,'Технический лист'!$A:$B,2,1)-VLOOKUP($AO36,'Технический лист'!$A:$B,2,1)),1+(1-$AU36))</f>
        <v/>
      </c>
      <c r="CZ36" s="172">
        <f>MIN(IF($AU36=100%,1,1+VLOOKUP(($AJ36-$AI36-$AH36-$AG36-$AF36-$AE36*(1+CZ$3))/$AJ36,'Технический лист'!$A:$B,2,1)-VLOOKUP($AO36,'Технический лист'!$A:$B,2,1)),1+(1-$AU36))</f>
        <v/>
      </c>
      <c r="DA36" s="172">
        <f>MIN(IF($AU36=100%,1,1+VLOOKUP(($AJ36-$AI36-$AH36-$AG36-$AF36-$AE36*(1+DA$3))/$AJ36,'Технический лист'!$A:$B,2,1)-VLOOKUP($AO36,'Технический лист'!$A:$B,2,1)),1+(1-$AU36))</f>
        <v/>
      </c>
      <c r="DB36" s="172">
        <f>MIN(IF($AU36=100%,1,1+VLOOKUP(($AJ36-$AI36-$AH36-$AG36-$AF36-$AE36*(1+DB$3))/$AJ36,'Технический лист'!$A:$B,2,1)-VLOOKUP($AO36,'Технический лист'!$A:$B,2,1)),1+(1-$AU36))</f>
        <v/>
      </c>
      <c r="DC36" s="172">
        <f>MIN(IF($AU36=100%,1,1+VLOOKUP(($AJ36-$AI36-$AH36-$AG36-$AF36-$AE36*(1+DC$3))/$AJ36,'Технический лист'!$A:$B,2,1)-VLOOKUP($AO36,'Технический лист'!$A:$B,2,1)),1+(1-$AU36))</f>
        <v/>
      </c>
      <c r="DD36" s="172">
        <f>MIN(IF($AU36=100%,1,1+VLOOKUP(($AJ36-$AI36-$AH36-$AG36-$AF36-$AE36*(1+DD$3))/$AJ36,'Технический лист'!$A:$B,2,1)-VLOOKUP($AO36,'Технический лист'!$A:$B,2,1)),1+(1-$AU36))</f>
        <v/>
      </c>
      <c r="DE36" s="172">
        <f>MIN(IF($AU36=100%,1,1+VLOOKUP(($AJ36-$AI36-$AH36-$AG36-$AF36-$AE36*(1+DE$3))/$AJ36,'Технический лист'!$A:$B,2,1)-VLOOKUP($AO36,'Технический лист'!$A:$B,2,1)),1+(1-$AU36))</f>
        <v/>
      </c>
      <c r="DF36" s="172">
        <f>MIN(IF($AU36=100%,1,1+VLOOKUP(($AJ36-$AI36-$AH36-$AG36-$AF36-$AE36*(1+DF$3))/$AJ36,'Технический лист'!$A:$B,2,1)-VLOOKUP($AO36,'Технический лист'!$A:$B,2,1)),1+(1-$AU36))</f>
        <v/>
      </c>
      <c r="DG36" s="172">
        <f>MIN(IF($AU36=100%,1,1+VLOOKUP(($AJ36-$AI36-$AH36-$AG36-$AF36-$AE36*(1+DG$3))/$AJ36,'Технический лист'!$A:$B,2,1)-VLOOKUP($AO36,'Технический лист'!$A:$B,2,1)),1+(1-$AU36))</f>
        <v/>
      </c>
      <c r="DH36" s="172">
        <f>MIN(IF($AU36=100%,1,1+VLOOKUP(($AJ36-$AI36-$AH36-$AG36-$AF36-$AE36*(1+DH$3))/$AJ36,'Технический лист'!$A:$B,2,1)-VLOOKUP($AO36,'Технический лист'!$A:$B,2,1)),1+(1-$AU36))</f>
        <v/>
      </c>
      <c r="DI36" s="172">
        <f>MIN(IF($AU36=100%,1,1+VLOOKUP(($AJ36-$AI36-$AH36-$AG36-$AF36-$AE36*(1+DI$3))/$AJ36,'Технический лист'!$A:$B,2,1)-VLOOKUP($AO36,'Технический лист'!$A:$B,2,1)),1+(1-$AU36))</f>
        <v/>
      </c>
      <c r="DJ36" s="172">
        <f>MIN(IF($AU36=100%,1,1+VLOOKUP(($AJ36-$AI36-$AH36-$AG36-$AF36-$AE36*(1+DJ$3))/$AJ36,'Технический лист'!$A:$B,2,1)-VLOOKUP($AO36,'Технический лист'!$A:$B,2,1)),1+(1-$AU36))</f>
        <v/>
      </c>
      <c r="DK36" s="172">
        <f>MIN(IF($AU36=100%,1,1+VLOOKUP(($AJ36-$AI36-$AH36-$AG36-$AF36-$AE36*(1+DK$3))/$AJ36,'Технический лист'!$A:$B,2,1)-VLOOKUP($AO36,'Технический лист'!$A:$B,2,1)),1+(1-$AU36))</f>
        <v/>
      </c>
      <c r="DL36" s="172">
        <f>MIN(IF($AU36=100%,1,1+VLOOKUP(($AJ36-$AI36-$AH36-$AG36-$AF36-$AE36*(1+DL$3))/$AJ36,'Технический лист'!$A:$B,2,1)-VLOOKUP($AO36,'Технический лист'!$A:$B,2,1)),1+(1-$AU36))</f>
        <v/>
      </c>
      <c r="DM36" s="172">
        <f>MIN(IF($AU36=100%,1,1+VLOOKUP(($AJ36-$AI36-$AH36-$AG36-$AF36-$AE36*(1+DM$3))/$AJ36,'Технический лист'!$A:$B,2,1)-VLOOKUP($AO36,'Технический лист'!$A:$B,2,1)),1+(1-$AU36))</f>
        <v/>
      </c>
      <c r="DN36" s="172">
        <f>MIN(IF($AU36=100%,1,1+VLOOKUP(($AJ36-$AI36-$AH36-$AG36-$AF36-$AE36*(1+DN$3))/$AJ36,'Технический лист'!$A:$B,2,1)-VLOOKUP($AO36,'Технический лист'!$A:$B,2,1)),1+(1-$AU36))</f>
        <v/>
      </c>
      <c r="DO36" s="172">
        <f>MIN(IF($AU36=100%,1,1+VLOOKUP(($AJ36-$AI36-$AH36-$AG36-$AF36-$AE36*(1+DO$3))/$AJ36,'Технический лист'!$A:$B,2,1)-VLOOKUP($AO36,'Технический лист'!$A:$B,2,1)),1+(1-$AU36))</f>
        <v/>
      </c>
      <c r="DP36" s="172">
        <f>MIN(IF($AU36=100%,1,1+VLOOKUP(($AJ36-$AI36-$AH36-$AG36-$AF36-$AE36*(1+DP$3))/$AJ36,'Технический лист'!$A:$B,2,1)-VLOOKUP($AO36,'Технический лист'!$A:$B,2,1)),1+(1-$AU36))</f>
        <v/>
      </c>
      <c r="DQ36" s="172">
        <f>MIN(IF($AU36=100%,1,1+VLOOKUP(($AJ36-$AI36-$AH36-$AG36-$AF36-$AE36*(1+DQ$3))/$AJ36,'Технический лист'!$A:$B,2,1)-VLOOKUP($AO36,'Технический лист'!$A:$B,2,1)),1+(1-$AU36))</f>
        <v/>
      </c>
      <c r="DR36" s="172">
        <f>MIN(IF($AU36=100%,1,1+VLOOKUP(($AJ36-$AI36-$AH36-$AG36-$AF36-$AE36*(1+DR$3))/$AJ36,'Технический лист'!$A:$B,2,1)-VLOOKUP($AO36,'Технический лист'!$A:$B,2,1)),1+(1-$AU36))</f>
        <v/>
      </c>
      <c r="DS36" s="172">
        <f>MIN(IF($AU36=100%,1,1+VLOOKUP(($AJ36-$AI36-$AH36-$AG36-$AF36-$AE36*(1+DS$3))/$AJ36,'Технический лист'!$A:$B,2,1)-VLOOKUP($AO36,'Технический лист'!$A:$B,2,1)),1+(1-$AU36))</f>
        <v/>
      </c>
      <c r="DT36" s="172">
        <f>MIN(IF($AU36=100%,1,1+VLOOKUP(($AJ36-$AI36-$AH36-$AG36-$AF36-$AE36*(1+DT$3))/$AJ36,'Технический лист'!$A:$B,2,1)-VLOOKUP($AO36,'Технический лист'!$A:$B,2,1)),1+(1-$AU36))</f>
        <v/>
      </c>
      <c r="DU36" s="172">
        <f>MIN(IF($AU36=100%,1,1+VLOOKUP(($AJ36-$AI36-$AH36-$AG36-$AF36-$AE36*(1+DU$3))/$AJ36,'Технический лист'!$A:$B,2,1)-VLOOKUP($AO36,'Технический лист'!$A:$B,2,1)),1+(1-$AU36))</f>
        <v/>
      </c>
      <c r="DV36" s="172">
        <f>MIN(IF($AU36=100%,1,1+VLOOKUP(($AJ36-$AI36-$AH36-$AG36-$AF36-$AE36*(1+DV$3))/$AJ36,'Технический лист'!$A:$B,2,1)-VLOOKUP($AO36,'Технический лист'!$A:$B,2,1)),1+(1-$AU36))</f>
        <v/>
      </c>
      <c r="DW36" s="172">
        <f>MIN(IF($AU36=100%,1,1+VLOOKUP(($AJ36-$AI36-$AH36-$AG36-$AF36-$AE36*(1+DW$3))/$AJ36,'Технический лист'!$A:$B,2,1)-VLOOKUP($AO36,'Технический лист'!$A:$B,2,1)),1+(1-$AU36))</f>
        <v/>
      </c>
      <c r="DX36" s="172">
        <f>MIN(IF($AU36=100%,1,1+VLOOKUP(($AJ36-$AI36-$AH36-$AG36-$AF36-$AE36*(1+DX$3))/$AJ36,'Технический лист'!$A:$B,2,1)-VLOOKUP($AO36,'Технический лист'!$A:$B,2,1)),1+(1-$AU36))</f>
        <v/>
      </c>
      <c r="DY36" s="172">
        <f>MIN(IF($AU36=100%,1,1+VLOOKUP(($AJ36-$AI36-$AH36-$AG36-$AF36-$AE36*(1+DY$3))/$AJ36,'Технический лист'!$A:$B,2,1)-VLOOKUP($AO36,'Технический лист'!$A:$B,2,1)),1+(1-$AU36))</f>
        <v/>
      </c>
      <c r="DZ36" s="172">
        <f>MIN(IF($AU36=100%,1,1+VLOOKUP(($AJ36-$AI36-$AH36-$AG36-$AF36-$AE36*(1+DZ$3))/$AJ36,'Технический лист'!$A:$B,2,1)-VLOOKUP($AO36,'Технический лист'!$A:$B,2,1)),1+(1-$AU36))</f>
        <v/>
      </c>
      <c r="EA36" s="172">
        <f>MIN(IF($AU36=100%,1,1+VLOOKUP(($AJ36-$AI36-$AH36-$AG36-$AF36-$AE36*(1+EA$3))/$AJ36,'Технический лист'!$A:$B,2,1)-VLOOKUP($AO36,'Технический лист'!$A:$B,2,1)),1+(1-$AU36))</f>
        <v/>
      </c>
      <c r="EB36" s="172">
        <f>MIN(IF($AU36=100%,1,1+VLOOKUP(($AJ36-$AI36-$AH36-$AG36-$AF36-$AE36*(1+EB$3))/$AJ36,'Технический лист'!$A:$B,2,1)-VLOOKUP($AO36,'Технический лист'!$A:$B,2,1)),1+(1-$AU36))</f>
        <v/>
      </c>
      <c r="EC36" s="172">
        <f>MIN(IF($AU36=100%,1,1+VLOOKUP(($AJ36-$AI36-$AH36-$AG36-$AF36-$AE36*(1+EC$3))/$AJ36,'Технический лист'!$A:$B,2,1)-VLOOKUP($AO36,'Технический лист'!$A:$B,2,1)),1+(1-$AU36))</f>
        <v/>
      </c>
      <c r="ED36" s="172">
        <f>MIN(IF($AU36=100%,1,1+VLOOKUP(($AJ36-$AI36-$AH36-$AG36-$AF36-$AE36*(1+ED$3))/$AJ36,'Технический лист'!$A:$B,2,1)-VLOOKUP($AO36,'Технический лист'!$A:$B,2,1)),1+(1-$AU36))</f>
        <v/>
      </c>
      <c r="EE36" s="172">
        <f>MIN(IF($AU36=100%,1,1+VLOOKUP(($AJ36-$AI36-$AH36-$AG36-$AF36-$AE36*(1+EE$3))/$AJ36,'Технический лист'!$A:$B,2,1)-VLOOKUP($AO36,'Технический лист'!$A:$B,2,1)),1+(1-$AU36))</f>
        <v/>
      </c>
      <c r="EF36" s="172">
        <f>MIN(IF($AU36=100%,1,1+VLOOKUP(($AJ36-$AI36-$AH36-$AG36-$AF36-$AE36*(1+EF$3))/$AJ36,'Технический лист'!$A:$B,2,1)-VLOOKUP($AO36,'Технический лист'!$A:$B,2,1)),1+(1-$AU36))</f>
        <v/>
      </c>
      <c r="EG36" s="172">
        <f>MIN(IF($AU36=100%,1,1+VLOOKUP(($AJ36-$AI36-$AH36-$AG36-$AF36-$AE36*(1+EG$3))/$AJ36,'Технический лист'!$A:$B,2,1)-VLOOKUP($AO36,'Технический лист'!$A:$B,2,1)),1+(1-$AU36))</f>
        <v/>
      </c>
      <c r="EH36" s="172">
        <f>MIN(IF($AU36=100%,1,1+VLOOKUP(($AJ36-$AI36-$AH36-$AG36-$AF36-$AE36*(1+EH$3))/$AJ36,'Технический лист'!$A:$B,2,1)-VLOOKUP($AO36,'Технический лист'!$A:$B,2,1)),1+(1-$AU36))</f>
        <v/>
      </c>
      <c r="EI36" s="172">
        <f>MIN(IF($AU36=100%,1,1+VLOOKUP(($AJ36-$AI36-$AH36-$AG36-$AF36-$AE36*(1+EI$3))/$AJ36,'Технический лист'!$A:$B,2,1)-VLOOKUP($AO36,'Технический лист'!$A:$B,2,1)),1+(1-$AU36))</f>
        <v/>
      </c>
      <c r="EJ36" s="172">
        <f>MIN(IF($AU36=100%,1,1+VLOOKUP(($AJ36-$AI36-$AH36-$AG36-$AF36-$AE36*(1+EJ$3))/$AJ36,'Технический лист'!$A:$B,2,1)-VLOOKUP($AO36,'Технический лист'!$A:$B,2,1)),1+(1-$AU36))</f>
        <v/>
      </c>
      <c r="EK36" s="172">
        <f>MIN(IF($AU36=100%,1,1+VLOOKUP(($AJ36-$AI36-$AH36-$AG36-$AF36-$AE36*(1+EK$3))/$AJ36,'Технический лист'!$A:$B,2,1)-VLOOKUP($AO36,'Технический лист'!$A:$B,2,1)),1+(1-$AU36))</f>
        <v/>
      </c>
      <c r="EL36" s="172">
        <f>MIN(IF($AU36=100%,1,1+VLOOKUP(($AJ36-$AI36-$AH36-$AG36-$AF36-$AE36*(1+EL$3))/$AJ36,'Технический лист'!$A:$B,2,1)-VLOOKUP($AO36,'Технический лист'!$A:$B,2,1)),1+(1-$AU36))</f>
        <v/>
      </c>
      <c r="EM36" s="172">
        <f>MIN(IF($AU36=100%,1,1+VLOOKUP(($AJ36-$AI36-$AH36-$AG36-$AF36-$AE36*(1+EM$3))/$AJ36,'Технический лист'!$A:$B,2,1)-VLOOKUP($AO36,'Технический лист'!$A:$B,2,1)),1+(1-$AU36))</f>
        <v/>
      </c>
      <c r="EN36" s="172">
        <f>MIN(IF($AU36=100%,1,1+VLOOKUP(($AJ36-$AI36-$AH36-$AG36-$AF36-$AE36*(1+EN$3))/$AJ36,'Технический лист'!$A:$B,2,1)-VLOOKUP($AO36,'Технический лист'!$A:$B,2,1)),1+(1-$AU36))</f>
        <v/>
      </c>
      <c r="EO36" s="172">
        <f>MIN(IF($AU36=100%,1,1+VLOOKUP(($AJ36-$AI36-$AH36-$AG36-$AF36-$AE36*(1+EO$3))/$AJ36,'Технический лист'!$A:$B,2,1)-VLOOKUP($AO36,'Технический лист'!$A:$B,2,1)),1+(1-$AU36))</f>
        <v/>
      </c>
      <c r="EP36" s="172">
        <f>MIN(IF($AU36=100%,1,1+VLOOKUP(($AJ36-$AI36-$AH36-$AG36-$AF36-$AE36*(1+EP$3))/$AJ36,'Технический лист'!$A:$B,2,1)-VLOOKUP($AO36,'Технический лист'!$A:$B,2,1)),1+(1-$AU36))</f>
        <v/>
      </c>
      <c r="EQ36" s="172">
        <f>MIN(IF($AU36=100%,1,1+VLOOKUP(($AJ36-$AI36-$AH36-$AG36-$AF36-$AE36*(1+EQ$3))/$AJ36,'Технический лист'!$A:$B,2,1)-VLOOKUP($AO36,'Технический лист'!$A:$B,2,1)),1+(1-$AU36))</f>
        <v/>
      </c>
      <c r="ER36" s="172">
        <f>MIN(IF($AU36=100%,1,1+VLOOKUP(($AJ36-$AI36-$AH36-$AG36-$AF36-$AE36*(1+ER$3))/$AJ36,'Технический лист'!$A:$B,2,1)-VLOOKUP($AO36,'Технический лист'!$A:$B,2,1)),1+(1-$AU36))</f>
        <v/>
      </c>
      <c r="ES36" s="172">
        <f>MIN(IF($AU36=100%,1,1+VLOOKUP(($AJ36-$AI36-$AH36-$AG36-$AF36-$AE36*(1+ES$3))/$AJ36,'Технический лист'!$A:$B,2,1)-VLOOKUP($AO36,'Технический лист'!$A:$B,2,1)),1+(1-$AU36))</f>
        <v/>
      </c>
      <c r="ET36" s="172">
        <f>MIN(IF($AU36=100%,1,1+VLOOKUP(($AJ36-$AI36-$AH36-$AG36-$AF36-$AE36*(1+ET$3))/$AJ36,'Технический лист'!$A:$B,2,1)-VLOOKUP($AO36,'Технический лист'!$A:$B,2,1)),1+(1-$AU36))</f>
        <v/>
      </c>
      <c r="EU36" s="172">
        <f>MIN(IF($AU36=100%,1,1+VLOOKUP(($AJ36-$AI36-$AH36-$AG36-$AF36-$AE36*(1+EU$3))/$AJ36,'Технический лист'!$A:$B,2,1)-VLOOKUP($AO36,'Технический лист'!$A:$B,2,1)),1+(1-$AU36))</f>
        <v/>
      </c>
      <c r="EV36" s="173" t="n">
        <v>1</v>
      </c>
      <c r="EW36" s="172">
        <f>MIN(1,MAX(VLOOKUP(($AJ36-$AI36-$AH36-$AG36-$AF36-$AE36*(1+EW$3))/$AJ36,'Технический лист'!$A:$B,2,1),(EV36-0.05)))</f>
        <v/>
      </c>
      <c r="EX36" s="172">
        <f>MIN(1,MAX(VLOOKUP(($AJ36-$AI36-$AH36-$AG36-$AF36-$AE36*(1+EX$3))/$AJ36,'Технический лист'!$A:$B,2,1),(EW36-0.05)))</f>
        <v/>
      </c>
      <c r="EY36" s="172">
        <f>MIN(1,MAX(VLOOKUP(($AJ36-$AI36-$AH36-$AG36-$AF36-$AE36*(1+EY$3))/$AJ36,'Технический лист'!$A:$B,2,1),(EX36-0.05)))</f>
        <v/>
      </c>
      <c r="EZ36" s="172">
        <f>MIN(1,MAX(VLOOKUP(($AJ36-$AI36-$AH36-$AG36-$AF36-$AE36*(1+EZ$3))/$AJ36,'Технический лист'!$A:$B,2,1),(EY36-0.05)))</f>
        <v/>
      </c>
      <c r="FA36" s="172">
        <f>MIN(1,MAX(VLOOKUP(($AJ36-$AI36-$AH36-$AG36-$AF36-$AE36*(1+FA$3))/$AJ36,'Технический лист'!$A:$B,2,1),(EZ36-0.05)))</f>
        <v/>
      </c>
      <c r="FB36" s="172">
        <f>MIN(1,MAX(VLOOKUP(($AJ36-$AI36-$AH36-$AG36-$AF36-$AE36*(1+FB$3))/$AJ36,'Технический лист'!$A:$B,2,1),(FA36-0.05)))</f>
        <v/>
      </c>
      <c r="FC36" s="172">
        <f>MIN(1,MAX(VLOOKUP(($AJ36-$AI36-$AH36-$AG36-$AF36-$AE36*(1+FC$3))/$AJ36,'Технический лист'!$A:$B,2,1),(FB36-0.05)))</f>
        <v/>
      </c>
      <c r="FD36" s="172">
        <f>MIN(1,MAX(VLOOKUP(($AJ36-$AI36-$AH36-$AG36-$AF36-$AE36*(1+FD$3))/$AJ36,'Технический лист'!$A:$B,2,1),(FC36-0.05)))</f>
        <v/>
      </c>
      <c r="FE36" s="172">
        <f>MIN(1,MAX(VLOOKUP(($AJ36-$AI36-$AH36-$AG36-$AF36-$AE36*(1+FE$3))/$AJ36,'Технический лист'!$A:$B,2,1),(FD36-0.05)))</f>
        <v/>
      </c>
      <c r="FF36" s="172">
        <f>MIN(1,MAX(VLOOKUP(($AJ36-$AI36-$AH36-$AG36-$AF36-$AE36*(1+FF$3))/$AJ36,'Технический лист'!$A:$B,2,1),(FE36-0.05)))</f>
        <v/>
      </c>
      <c r="FG36" s="172">
        <f>MIN(1,MAX(VLOOKUP(($AJ36-$AI36-$AH36-$AG36-$AF36-$AE36*(1+FG$3))/$AJ36,'Технический лист'!$A:$B,2,1),(FF36-0.05)))</f>
        <v/>
      </c>
      <c r="FH36" s="172">
        <f>MIN(1,MAX(VLOOKUP(($AJ36-$AI36-$AH36-$AG36-$AF36-$AE36*(1+FH$3))/$AJ36,'Технический лист'!$A:$B,2,1),(FG36-0.05)))</f>
        <v/>
      </c>
      <c r="FI36" s="172">
        <f>MIN(1,MAX(VLOOKUP(($AJ36-$AI36-$AH36-$AG36-$AF36-$AE36*(1+FI$3))/$AJ36,'Технический лист'!$A:$B,2,1),(FH36-0.05)))</f>
        <v/>
      </c>
      <c r="FJ36" s="172">
        <f>MIN(1,MAX(VLOOKUP(($AJ36-$AI36-$AH36-$AG36-$AF36-$AE36*(1+FJ$3))/$AJ36,'Технический лист'!$A:$B,2,1),(FI36-0.05)))</f>
        <v/>
      </c>
      <c r="FK36" s="172">
        <f>MIN(1,MAX(VLOOKUP(($AJ36-$AI36-$AH36-$AG36-$AF36-$AE36*(1+FK$3))/$AJ36,'Технический лист'!$A:$B,2,1),(FJ36-0.05)))</f>
        <v/>
      </c>
      <c r="FL36" s="172">
        <f>MIN(1,MAX(VLOOKUP(($AJ36-$AI36-$AH36-$AG36-$AF36-$AE36*(1+FL$3))/$AJ36,'Технический лист'!$A:$B,2,1),(FK36-0.05)))</f>
        <v/>
      </c>
      <c r="FM36" s="172">
        <f>MIN(1,MAX(VLOOKUP(($AJ36-$AI36-$AH36-$AG36-$AF36-$AE36*(1+FM$3))/$AJ36,'Технический лист'!$A:$B,2,1),(FL36-0.05)))</f>
        <v/>
      </c>
      <c r="FN36" s="172">
        <f>MIN(1,MAX(VLOOKUP(($AJ36-$AI36-$AH36-$AG36-$AF36-$AE36*(1+FN$3))/$AJ36,'Технический лист'!$A:$B,2,1),(FM36-0.05)))</f>
        <v/>
      </c>
      <c r="FO36" s="172">
        <f>MIN(1,MAX(VLOOKUP(($AJ36-$AI36-$AH36-$AG36-$AF36-$AE36*(1+FO$3))/$AJ36,'Технический лист'!$A:$B,2,1),(FN36-0.05)))</f>
        <v/>
      </c>
      <c r="FP36" s="172">
        <f>MIN(1,MAX(VLOOKUP(($AJ36-$AI36-$AH36-$AG36-$AF36-$AE36*(1+FP$3))/$AJ36,'Технический лист'!$A:$B,2,1),(FO36-0.05)))</f>
        <v/>
      </c>
      <c r="FQ36" s="172">
        <f>MIN(1,MAX(VLOOKUP(($AJ36-$AI36-$AH36-$AG36-$AF36-$AE36*(1+FQ$3))/$AJ36,'Технический лист'!$A:$B,2,1),(FP36-0.05)))</f>
        <v/>
      </c>
      <c r="FR36" s="172">
        <f>MIN(1,MAX(VLOOKUP(($AJ36-$AI36-$AH36-$AG36-$AF36-$AE36*(1+FR$3))/$AJ36,'Технический лист'!$A:$B,2,1),(FQ36-0.05)))</f>
        <v/>
      </c>
      <c r="FS36" s="172">
        <f>MIN(1,MAX(VLOOKUP(($AJ36-$AI36-$AH36-$AG36-$AF36-$AE36*(1+FS$3))/$AJ36,'Технический лист'!$A:$B,2,1),(FR36-0.05)))</f>
        <v/>
      </c>
      <c r="FT36" s="172">
        <f>MIN(1,MAX(VLOOKUP(($AJ36-$AI36-$AH36-$AG36-$AF36-$AE36*(1+FT$3))/$AJ36,'Технический лист'!$A:$B,2,1),(FS36-0.05)))</f>
        <v/>
      </c>
      <c r="FU36" s="172">
        <f>MIN(1,MAX(VLOOKUP(($AJ36-$AI36-$AH36-$AG36-$AF36-$AE36*(1+FU$3))/$AJ36,'Технический лист'!$A:$B,2,1),(FT36-0.05)))</f>
        <v/>
      </c>
      <c r="FV36" s="172">
        <f>MIN(1,MAX(VLOOKUP(($AJ36-$AI36-$AH36-$AG36-$AF36-$AE36*(1+FV$3))/$AJ36,'Технический лист'!$A:$B,2,1),(FU36-0.05)))</f>
        <v/>
      </c>
      <c r="FW36" s="172">
        <f>MIN(1,MAX(VLOOKUP(($AJ36-$AI36-$AH36-$AG36-$AF36-$AE36*(1+FW$3))/$AJ36,'Технический лист'!$A:$B,2,1),(FV36-0.05)))</f>
        <v/>
      </c>
      <c r="FX36" s="172">
        <f>MIN(1,MAX(VLOOKUP(($AJ36-$AI36-$AH36-$AG36-$AF36-$AE36*(1+FX$3))/$AJ36,'Технический лист'!$A:$B,2,1),(FW36-0.05)))</f>
        <v/>
      </c>
      <c r="FY36" s="172">
        <f>MIN(1,MAX(VLOOKUP(($AJ36-$AI36-$AH36-$AG36-$AF36-$AE36*(1+FY$3))/$AJ36,'Технический лист'!$A:$B,2,1),(FX36-0.05)))</f>
        <v/>
      </c>
      <c r="FZ36" s="172">
        <f>MIN(1,MAX(VLOOKUP(($AJ36-$AI36-$AH36-$AG36-$AF36-$AE36*(1+FZ$3))/$AJ36,'Технический лист'!$A:$B,2,1),(FY36-0.05)))</f>
        <v/>
      </c>
      <c r="GA36" s="172">
        <f>MIN(1,MAX(VLOOKUP(($AJ36-$AI36-$AH36-$AG36-$AF36-$AE36*(1+GA$3))/$AJ36,'Технический лист'!$A:$B,2,1),(FZ36-0.05)))</f>
        <v/>
      </c>
      <c r="GB36" s="172">
        <f>MIN(1,MAX(VLOOKUP(($AJ36-$AI36-$AH36-$AG36-$AF36-$AE36*(1+GB$3))/$AJ36,'Технический лист'!$A:$B,2,1),(GA36-0.05)))</f>
        <v/>
      </c>
      <c r="GC36" s="172">
        <f>MIN(1,MAX(VLOOKUP(($AJ36-$AI36-$AH36-$AG36-$AF36-$AE36*(1+GC$3))/$AJ36,'Технический лист'!$A:$B,2,1),(GB36-0.05)))</f>
        <v/>
      </c>
      <c r="GD36" s="172">
        <f>MIN(1,MAX(VLOOKUP(($AJ36-$AI36-$AH36-$AG36-$AF36-$AE36*(1+GD$3))/$AJ36,'Технический лист'!$A:$B,2,1),(GC36-0.05)))</f>
        <v/>
      </c>
      <c r="GE36" s="172">
        <f>MIN(1,MAX(VLOOKUP(($AJ36-$AI36-$AH36-$AG36-$AF36-$AE36*(1+GE$3))/$AJ36,'Технический лист'!$A:$B,2,1),(GD36-0.05)))</f>
        <v/>
      </c>
      <c r="GF36" s="172">
        <f>MIN(1,MAX(VLOOKUP(($AJ36-$AI36-$AH36-$AG36-$AF36-$AE36*(1+GF$3))/$AJ36,'Технический лист'!$A:$B,2,1),(GE36-0.05)))</f>
        <v/>
      </c>
      <c r="GG36" s="172">
        <f>MIN(1,MAX(VLOOKUP(($AJ36-$AI36-$AH36-$AG36-$AF36-$AE36*(1+GG$3))/$AJ36,'Технический лист'!$A:$B,2,1),(GF36-0.05)))</f>
        <v/>
      </c>
      <c r="GH36" s="172">
        <f>MIN(1,MAX(VLOOKUP(($AJ36-$AI36-$AH36-$AG36-$AF36-$AE36*(1+GH$3))/$AJ36,'Технический лист'!$A:$B,2,1),(GG36-0.05)))</f>
        <v/>
      </c>
      <c r="GI36" s="172">
        <f>MIN(1,MAX(VLOOKUP(($AJ36-$AI36-$AH36-$AG36-$AF36-$AE36*(1+GI$3))/$AJ36,'Технический лист'!$A:$B,2,1),(GH36-0.05)))</f>
        <v/>
      </c>
      <c r="GJ36" s="172">
        <f>MIN(1,MAX(VLOOKUP(($AJ36-$AI36-$AH36-$AG36-$AF36-$AE36*(1+GJ$3))/$AJ36,'Технический лист'!$A:$B,2,1),(GI36-0.05)))</f>
        <v/>
      </c>
      <c r="GK36" s="172">
        <f>MIN(1,MAX(VLOOKUP(($AJ36-$AI36-$AH36-$AG36-$AF36-$AE36*(1+GK$3))/$AJ36,'Технический лист'!$A:$B,2,1),(GJ36-0.05)))</f>
        <v/>
      </c>
      <c r="GL36" s="172">
        <f>MIN(1,MAX(VLOOKUP(($AJ36-$AI36-$AH36-$AG36-$AF36-$AE36*(1+GL$3))/$AJ36,'Технический лист'!$A:$B,2,1),(GK36-0.05)))</f>
        <v/>
      </c>
      <c r="GM36" s="172">
        <f>MIN(1,MAX(VLOOKUP(($AJ36-$AI36-$AH36-$AG36-$AF36-$AE36*(1+GM$3))/$AJ36,'Технический лист'!$A:$B,2,1),(GL36-0.05)))</f>
        <v/>
      </c>
      <c r="GN36" s="172">
        <f>MIN(1,MAX(VLOOKUP(($AJ36-$AI36-$AH36-$AG36-$AF36-$AE36*(1+GN$3))/$AJ36,'Технический лист'!$A:$B,2,1),(GM36-0.05)))</f>
        <v/>
      </c>
      <c r="GO36" s="172">
        <f>MIN(1,MAX(VLOOKUP(($AJ36-$AI36-$AH36-$AG36-$AF36-$AE36*(1+GO$3))/$AJ36,'Технический лист'!$A:$B,2,1),(GN36-0.05)))</f>
        <v/>
      </c>
      <c r="GP36" s="172">
        <f>MIN(1,MAX(VLOOKUP(($AJ36-$AI36-$AH36-$AG36-$AF36-$AE36*(1+GP$3))/$AJ36,'Технический лист'!$A:$B,2,1),(GO36-0.05)))</f>
        <v/>
      </c>
      <c r="GQ36" s="172">
        <f>MIN(1,MAX(VLOOKUP(($AJ36-$AI36-$AH36-$AG36-$AF36-$AE36*(1+GQ$3))/$AJ36,'Технический лист'!$A:$B,2,1),(GP36-0.05)))</f>
        <v/>
      </c>
      <c r="GR36" s="172">
        <f>MIN(1,MAX(VLOOKUP(($AJ36-$AI36-$AH36-$AG36-$AF36-$AE36*(1+GR$3))/$AJ36,'Технический лист'!$A:$B,2,1),(GQ36-0.05)))</f>
        <v/>
      </c>
      <c r="GS36" s="172">
        <f>MIN(1,MAX(VLOOKUP(($AJ36-$AI36-$AH36-$AG36-$AF36-$AE36*(1+GS$3))/$AJ36,'Технический лист'!$A:$B,2,1),(GR36-0.05)))</f>
        <v/>
      </c>
      <c r="GT36" s="172">
        <f>MIN(1,MAX(VLOOKUP(($AJ36-$AI36-$AH36-$AG36-$AF36-$AE36*(1+GT$3))/$AJ36,'Технический лист'!$A:$B,2,1),(GS36-0.05)))</f>
        <v/>
      </c>
      <c r="GU36" s="172">
        <f>MIN(1,MAX(VLOOKUP(($AJ36-$AI36-$AH36-$AG36-$AF36-$AE36*(1+GU$3))/$AJ36,'Технический лист'!$A:$B,2,1),(GT36-0.05)))</f>
        <v/>
      </c>
      <c r="GV36" s="172">
        <f>MIN(1,MAX(VLOOKUP(($AJ36-$AI36-$AH36-$AG36-$AF36-$AE36*(1+GV$3))/$AJ36,'Технический лист'!$A:$B,2,1),(GU36-0.05)))</f>
        <v/>
      </c>
      <c r="GW36" s="172">
        <f>MIN(1,MAX(VLOOKUP(($AJ36-$AI36-$AH36-$AG36-$AF36-$AE36*(1+GW$3))/$AJ36,'Технический лист'!$A:$B,2,1),(GV36-0.05)))</f>
        <v/>
      </c>
      <c r="GX36" s="172">
        <f>MIN(1,MAX(VLOOKUP(($AJ36-$AI36-$AH36-$AG36-$AF36-$AE36*(1+GX$3))/$AJ36,'Технический лист'!$A:$B,2,1),(GW36-0.05)))</f>
        <v/>
      </c>
      <c r="GY36" s="172">
        <f>MIN(1,MAX(VLOOKUP(($AJ36-$AI36-$AH36-$AG36-$AF36-$AE36*(1+GY$3))/$AJ36,'Технический лист'!$A:$B,2,1),(GX36-0.05)))</f>
        <v/>
      </c>
      <c r="GZ36" s="172">
        <f>MIN(1,MAX(VLOOKUP(($AJ36-$AI36-$AH36-$AG36-$AF36-$AE36*(1+GZ$3))/$AJ36,'Технический лист'!$A:$B,2,1),(GY36-0.05)))</f>
        <v/>
      </c>
      <c r="HA36" s="172">
        <f>MIN(1,MAX(VLOOKUP(($AJ36-$AI36-$AH36-$AG36-$AF36-$AE36*(1+HA$3))/$AJ36,'Технический лист'!$A:$B,2,1),(GZ36-0.05)))</f>
        <v/>
      </c>
      <c r="HB36" s="172">
        <f>MIN(1,MAX(VLOOKUP(($AJ36-$AI36-$AH36-$AG36-$AF36-$AE36*(1+HB$3))/$AJ36,'Технический лист'!$A:$B,2,1),(HA36-0.05)))</f>
        <v/>
      </c>
      <c r="HC36" s="172">
        <f>MIN(1,MAX(VLOOKUP(($AJ36-$AI36-$AH36-$AG36-$AF36-$AE36*(1+HC$3))/$AJ36,'Технический лист'!$A:$B,2,1),(HB36-0.05)))</f>
        <v/>
      </c>
      <c r="HD36" s="172">
        <f>MIN(1,MAX(VLOOKUP(($AJ36-$AI36-$AH36-$AG36-$AF36-$AE36*(1+HD$3))/$AJ36,'Технический лист'!$A:$B,2,1),(HC36-0.05)))</f>
        <v/>
      </c>
      <c r="HE36" s="172">
        <f>MIN(1,MAX(VLOOKUP(($AJ36-$AI36-$AH36-$AG36-$AF36-$AE36*(1+HE$3))/$AJ36,'Технический лист'!$A:$B,2,1),(HD36-0.05)))</f>
        <v/>
      </c>
      <c r="HF36" s="172">
        <f>MIN(1,MAX(VLOOKUP(($AJ36-$AI36-$AH36-$AG36-$AF36-$AE36*(1+HF$3))/$AJ36,'Технический лист'!$A:$B,2,1),(HE36-0.05)))</f>
        <v/>
      </c>
      <c r="HG36" s="172">
        <f>MIN(1,MAX(VLOOKUP(($AJ36-$AI36-$AH36-$AG36-$AF36-$AE36*(1+HG$3))/$AJ36,'Технический лист'!$A:$B,2,1),(HF36-0.05)))</f>
        <v/>
      </c>
      <c r="HH36" s="172">
        <f>MIN(1,MAX(VLOOKUP(($AJ36-$AI36-$AH36-$AG36-$AF36-$AE36*(1+HH$3))/$AJ36,'Технический лист'!$A:$B,2,1),(HG36-0.05)))</f>
        <v/>
      </c>
      <c r="HI36" s="172">
        <f>MIN(1,MAX(VLOOKUP(($AJ36-$AI36-$AH36-$AG36-$AF36-$AE36*(1+HI$3))/$AJ36,'Технический лист'!$A:$B,2,1),(HH36-0.05)))</f>
        <v/>
      </c>
      <c r="HJ36" s="172">
        <f>MIN(1,MAX(VLOOKUP(($AJ36-$AI36-$AH36-$AG36-$AF36-$AE36*(1+HJ$3))/$AJ36,'Технический лист'!$A:$B,2,1),(HI36-0.05)))</f>
        <v/>
      </c>
      <c r="HK36" s="172">
        <f>MIN(1,MAX(VLOOKUP(($AJ36-$AI36-$AH36-$AG36-$AF36-$AE36*(1+HK$3))/$AJ36,'Технический лист'!$A:$B,2,1),(HJ36-0.05)))</f>
        <v/>
      </c>
      <c r="HL36" s="172">
        <f>MIN(1,MAX(VLOOKUP(($AJ36-$AI36-$AH36-$AG36-$AF36-$AE36*(1+HL$3))/$AJ36,'Технический лист'!$A:$B,2,1),(HK36-0.05)))</f>
        <v/>
      </c>
      <c r="HM36" s="172">
        <f>MIN(1,MAX(VLOOKUP(($AJ36-$AI36-$AH36-$AG36-$AF36-$AE36*(1+HM$3))/$AJ36,'Технический лист'!$A:$B,2,1),(HL36-0.05)))</f>
        <v/>
      </c>
      <c r="HN36" s="172">
        <f>MIN(1,MAX(VLOOKUP(($AJ36-$AI36-$AH36-$AG36-$AF36-$AE36*(1+HN$3))/$AJ36,'Технический лист'!$A:$B,2,1),(HM36-0.05)))</f>
        <v/>
      </c>
      <c r="HO36" s="172">
        <f>MIN(1,MAX(VLOOKUP(($AJ36-$AI36-$AH36-$AG36-$AF36-$AE36*(1+HO$3))/$AJ36,'Технический лист'!$A:$B,2,1),(HN36-0.05)))</f>
        <v/>
      </c>
      <c r="HP36" s="172">
        <f>MIN(1,MAX(VLOOKUP(($AJ36-$AI36-$AH36-$AG36-$AF36-$AE36*(1+HP$3))/$AJ36,'Технический лист'!$A:$B,2,1),(HO36-0.05)))</f>
        <v/>
      </c>
      <c r="HQ36" s="172">
        <f>MIN(1,MAX(VLOOKUP(($AJ36-$AI36-$AH36-$AG36-$AF36-$AE36*(1+HQ$3))/$AJ36,'Технический лист'!$A:$B,2,1),(HP36-0.05)))</f>
        <v/>
      </c>
      <c r="HR36" s="172">
        <f>MIN(1,MAX(VLOOKUP(($AJ36-$AI36-$AH36-$AG36-$AF36-$AE36*(1+HR$3))/$AJ36,'Технический лист'!$A:$B,2,1),(HQ36-0.05)))</f>
        <v/>
      </c>
      <c r="HS36" s="172">
        <f>MIN(1,MAX(VLOOKUP(($AJ36-$AI36-$AH36-$AG36-$AF36-$AE36*(1+HS$3))/$AJ36,'Технический лист'!$A:$B,2,1),(HR36-0.05)))</f>
        <v/>
      </c>
      <c r="HT36" s="172">
        <f>MIN(1,MAX(VLOOKUP(($AJ36-$AI36-$AH36-$AG36-$AF36-$AE36*(1+HT$3))/$AJ36,'Технический лист'!$A:$B,2,1),(HS36-0.05)))</f>
        <v/>
      </c>
      <c r="HU36" s="172">
        <f>MIN(1,MAX(VLOOKUP(($AJ36-$AI36-$AH36-$AG36-$AF36-$AE36*(1+HU$3))/$AJ36,'Технический лист'!$A:$B,2,1),(HT36-0.05)))</f>
        <v/>
      </c>
      <c r="HV36" s="172">
        <f>MIN(1,MAX(VLOOKUP(($AJ36-$AI36-$AH36-$AG36-$AF36-$AE36*(1+HV$3))/$AJ36,'Технический лист'!$A:$B,2,1),(HU36-0.05)))</f>
        <v/>
      </c>
      <c r="HW36" s="172">
        <f>MIN(1,MAX(VLOOKUP(($AJ36-$AI36-$AH36-$AG36-$AF36-$AE36*(1+HW$3))/$AJ36,'Технический лист'!$A:$B,2,1),(HV36-0.05)))</f>
        <v/>
      </c>
      <c r="HX36" s="172">
        <f>MIN(1,MAX(VLOOKUP(($AJ36-$AI36-$AH36-$AG36-$AF36-$AE36*(1+HX$3))/$AJ36,'Технический лист'!$A:$B,2,1),(HW36-0.05)))</f>
        <v/>
      </c>
      <c r="HY36" s="172">
        <f>MIN(1,MAX(VLOOKUP(($AJ36-$AI36-$AH36-$AG36-$AF36-$AE36*(1+HY$3))/$AJ36,'Технический лист'!$A:$B,2,1),(HX36-0.05)))</f>
        <v/>
      </c>
      <c r="HZ36" s="172">
        <f>MIN(1,MAX(VLOOKUP(($AJ36-$AI36-$AH36-$AG36-$AF36-$AE36*(1+HZ$3))/$AJ36,'Технический лист'!$A:$B,2,1),(HY36-0.05)))</f>
        <v/>
      </c>
      <c r="IA36" s="172">
        <f>MIN(1,MAX(VLOOKUP(($AJ36-$AI36-$AH36-$AG36-$AF36-$AE36*(1+IA$3))/$AJ36,'Технический лист'!$A:$B,2,1),(HZ36-0.05)))</f>
        <v/>
      </c>
      <c r="IB36" s="172">
        <f>MIN(1,MAX(VLOOKUP(($AJ36-$AI36-$AH36-$AG36-$AF36-$AE36*(1+IB$3))/$AJ36,'Технический лист'!$A:$B,2,1),(IA36-0.05)))</f>
        <v/>
      </c>
      <c r="IC36" s="172">
        <f>MIN(1,MAX(VLOOKUP(($AJ36-$AI36-$AH36-$AG36-$AF36-$AE36*(1+IC$3))/$AJ36,'Технический лист'!$A:$B,2,1),(IB36-0.05)))</f>
        <v/>
      </c>
      <c r="ID36" s="172">
        <f>MIN(1,MAX(VLOOKUP(($AJ36-$AI36-$AH36-$AG36-$AF36-$AE36*(1+ID$3))/$AJ36,'Технический лист'!$A:$B,2,1),(IC36-0.05)))</f>
        <v/>
      </c>
      <c r="IE36" s="172">
        <f>MIN(1,MAX(VLOOKUP(($AJ36-$AI36-$AH36-$AG36-$AF36-$AE36*(1+IE$3))/$AJ36,'Технический лист'!$A:$B,2,1),(ID36-0.05)))</f>
        <v/>
      </c>
      <c r="IF36" s="172">
        <f>MIN(1,MAX(VLOOKUP(($AJ36-$AI36-$AH36-$AG36-$AF36-$AE36*(1+IF$3))/$AJ36,'Технический лист'!$A:$B,2,1),(IE36-0.05)))</f>
        <v/>
      </c>
      <c r="IG36" s="172">
        <f>MIN(1,MAX(VLOOKUP(($AJ36-$AI36-$AH36-$AG36-$AF36-$AE36*(1+IG$3))/$AJ36,'Технический лист'!$A:$B,2,1),(IF36-0.05)))</f>
        <v/>
      </c>
      <c r="IH36" s="172">
        <f>MIN(1,MAX(VLOOKUP(($AJ36-$AI36-$AH36-$AG36-$AF36-$AE36*(1+IH$3))/$AJ36,'Технический лист'!$A:$B,2,1),(IG36-0.05)))</f>
        <v/>
      </c>
      <c r="II36" s="172">
        <f>MIN(1,MAX(VLOOKUP(($AJ36-$AI36-$AH36-$AG36-$AF36-$AE36*(1+II$3))/$AJ36,'Технический лист'!$A:$B,2,1),(IH36-0.05)))</f>
        <v/>
      </c>
      <c r="IJ36" s="172">
        <f>MIN(1,MAX(VLOOKUP(($AJ36-$AI36-$AH36-$AG36-$AF36-$AE36*(1+IJ$3))/$AJ36,'Технический лист'!$A:$B,2,1),(II36-0.05)))</f>
        <v/>
      </c>
      <c r="IK36" s="172">
        <f>MIN(1,MAX(VLOOKUP(($AJ36-$AI36-$AH36-$AG36-$AF36-$AE36*(1+IK$3))/$AJ36,'Технический лист'!$A:$B,2,1),(IJ36-0.05)))</f>
        <v/>
      </c>
      <c r="IL36" s="172">
        <f>MIN(1,MAX(VLOOKUP(($AJ36-$AI36-$AH36-$AG36-$AF36-$AE36*(1+IL$3))/$AJ36,'Технический лист'!$A:$B,2,1),(IK36-0.05)))</f>
        <v/>
      </c>
      <c r="IM36" s="172">
        <f>MIN(1,MAX(VLOOKUP(($AJ36-$AI36-$AH36-$AG36-$AF36-$AE36*(1+IM$3))/$AJ36,'Технический лист'!$A:$B,2,1),(IL36-0.05)))</f>
        <v/>
      </c>
      <c r="IN36" s="172">
        <f>MIN(1,MAX(VLOOKUP(($AJ36-$AI36-$AH36-$AG36-$AF36-$AE36*(1+IN$3))/$AJ36,'Технический лист'!$A:$B,2,1),(IM36-0.05)))</f>
        <v/>
      </c>
      <c r="IO36" s="172">
        <f>MIN(1,MAX(VLOOKUP(($AJ36-$AI36-$AH36-$AG36-$AF36-$AE36*(1+IO$3))/$AJ36,'Технический лист'!$A:$B,2,1),(IN36-0.05)))</f>
        <v/>
      </c>
      <c r="IP36" s="172">
        <f>MIN(1,MAX(VLOOKUP(($AJ36-$AI36-$AH36-$AG36-$AF36-$AE36*(1+IP$3))/$AJ36,'Технический лист'!$A:$B,2,1),(IO36-0.05)))</f>
        <v/>
      </c>
      <c r="IQ36" s="172">
        <f>MIN(1,MAX(VLOOKUP(($AJ36-$AI36-$AH36-$AG36-$AF36-$AE36*(1+IQ$3))/$AJ36,'Технический лист'!$A:$B,2,1),(IP36-0.05)))</f>
        <v/>
      </c>
      <c r="IR36" s="172">
        <f>MIN(1,MAX(VLOOKUP(($AJ36-$AI36-$AH36-$AG36-$AF36-$AE36*(1+IR$3))/$AJ36,'Технический лист'!$A:$B,2,1),(IQ36-0.05)))</f>
        <v/>
      </c>
    </row>
    <row r="37" ht="29.15" customHeight="1" s="123">
      <c r="A37" s="89" t="inlineStr">
        <is>
          <t>ЧМ (сырье)</t>
        </is>
      </c>
      <c r="B37" s="90" t="n">
        <v>4</v>
      </c>
      <c r="C37" s="5" t="inlineStr">
        <is>
          <t>Руды  всякие</t>
        </is>
      </c>
      <c r="D37" s="91" t="n">
        <v>14109</v>
      </c>
      <c r="E37" s="91" t="inlineStr">
        <is>
          <t xml:space="preserve">Концентрат железорудный (гематит) </t>
        </is>
      </c>
      <c r="F37" s="92" t="inlineStr">
        <is>
          <t>РУДЫ И КОНЦЕНТРАТЫ ЖЕЛЕЗН</t>
        </is>
      </c>
      <c r="G37" s="91" t="inlineStr">
        <is>
          <t>ОКТ</t>
        </is>
      </c>
      <c r="H37" s="91" t="inlineStr">
        <is>
          <t>ОКТ</t>
        </is>
      </c>
      <c r="I37" s="91" t="inlineStr">
        <is>
          <t>КОВДОР</t>
        </is>
      </c>
      <c r="J37" s="91" t="inlineStr">
        <is>
          <t>МУРМАНСК-ЭКС</t>
        </is>
      </c>
      <c r="K37" s="91" t="n">
        <v>368</v>
      </c>
      <c r="L37" s="91" t="inlineStr">
        <is>
          <t>Полувагоны</t>
        </is>
      </c>
      <c r="M37" s="91" t="inlineStr">
        <is>
          <t>Экспорт</t>
        </is>
      </c>
      <c r="N37" s="91" t="inlineStr">
        <is>
          <t>вагонная</t>
        </is>
      </c>
      <c r="O37" s="91" t="inlineStr">
        <is>
          <t xml:space="preserve">Северо-Западное </t>
        </is>
      </c>
      <c r="P37" s="89" t="inlineStr">
        <is>
          <t>'000000186759</t>
        </is>
      </c>
      <c r="Q37" s="91" t="inlineStr">
        <is>
          <t>'АО "Ковдорский ГОК"</t>
        </is>
      </c>
      <c r="R37" s="91" t="inlineStr">
        <is>
          <t>АО "МХК "ЕвроХим"</t>
        </is>
      </c>
      <c r="S37" s="87" t="n">
        <v>1888121</v>
      </c>
      <c r="T37" s="87" t="n">
        <v>694828174</v>
      </c>
      <c r="U37" s="88" t="n">
        <v>26331</v>
      </c>
      <c r="V37" s="88" t="n">
        <v>0</v>
      </c>
      <c r="W37" s="87" t="n">
        <v>769417041</v>
      </c>
      <c r="X37" s="112" t="n">
        <v>72</v>
      </c>
      <c r="Y37" s="112" t="inlineStr">
        <is>
          <t>маршрутная</t>
        </is>
      </c>
      <c r="Z37" s="113" t="n">
        <v>3</v>
      </c>
      <c r="AA37" s="113" t="n">
        <v>3</v>
      </c>
      <c r="AB37" s="113" t="n">
        <v>4</v>
      </c>
      <c r="AC37" s="161" t="n">
        <v>439.96</v>
      </c>
      <c r="AD37" s="161">
        <f>AE37-AC37</f>
        <v/>
      </c>
      <c r="AE37" s="161" t="n">
        <v>589.86</v>
      </c>
      <c r="AF37" s="162">
        <f>(Z37+AA37+AB37)*'Ставки аренды'!$B$2/X37</f>
        <v/>
      </c>
      <c r="AG37" s="163">
        <f>'Ставки перевалки'!$B$13</f>
        <v/>
      </c>
      <c r="AH37" s="164" t="n">
        <v>0</v>
      </c>
      <c r="AI37" s="165">
        <f>0.5*AVERAGE(AJ37,AJ38)</f>
        <v/>
      </c>
      <c r="AJ37" s="166">
        <f>Цены!C15*'Курсы валют'!B2</f>
        <v/>
      </c>
      <c r="AK37" s="164">
        <f>AJ37/Цены!$B$1</f>
        <v/>
      </c>
      <c r="AL37" s="164">
        <f>AE37+AF37+AG37</f>
        <v/>
      </c>
      <c r="AM37" s="164">
        <f>AJ37-AL37</f>
        <v/>
      </c>
      <c r="AN37" s="164">
        <f>AI37+AH37+AG37+AF37+AE37</f>
        <v/>
      </c>
      <c r="AO37" s="167">
        <f>(AJ37-AN37)/AJ37</f>
        <v/>
      </c>
      <c r="AP37" s="168">
        <f>AL37/AJ37</f>
        <v/>
      </c>
      <c r="AQ37" s="168">
        <f>AE37/AJ37</f>
        <v/>
      </c>
      <c r="AR37" s="168">
        <f>AE37/AL37</f>
        <v/>
      </c>
      <c r="AS37" s="169" t="n">
        <v>1</v>
      </c>
      <c r="AT37" s="121">
        <f>S37*AS37</f>
        <v/>
      </c>
      <c r="AU37" s="7" t="n">
        <v>0.98</v>
      </c>
      <c r="AV37" s="170">
        <f>(AJ37-(AE37*(1+$IS$2)+AF37+AG37+AH37+AI37))/AJ37</f>
        <v/>
      </c>
      <c r="AW37" s="171">
        <f>(AE37*(1+$IS$2)+AF37+AG37)/AJ37</f>
        <v/>
      </c>
      <c r="AX37" s="171">
        <f>(AE37*(1+$IS$2))/AJ37</f>
        <v/>
      </c>
      <c r="AY37" s="171">
        <f>(AE37*(1+$IS$2))/(AE37*(1+$IS$2)+AF37+AG37)</f>
        <v/>
      </c>
      <c r="AZ37" s="172">
        <f>MIN(IF($AU37=100%,1,1+VLOOKUP(($AJ37-$AI37-$AH37-$AG37-$AF37-$AE37*(1+AZ$3))/$AJ37,'Технический лист'!$M:$N,2,1)-VLOOKUP($AO37,'Технический лист'!$M:$N,2,1)),1+(1-$AU37))</f>
        <v/>
      </c>
      <c r="BA37" s="172">
        <f>MIN(IF($AU37=100%,1,1+VLOOKUP(($AJ37-$AI37-$AH37-$AG37-$AF37-$AE37*(1+BA$3))/$AJ37,'Технический лист'!$M:$N,2,1)-VLOOKUP($AO37,'Технический лист'!$M:$N,2,1)),1+(1-$AU37))</f>
        <v/>
      </c>
      <c r="BB37" s="172">
        <f>MIN(IF($AU37=100%,1,1+VLOOKUP(($AJ37-$AI37-$AH37-$AG37-$AF37-$AE37*(1+BB$3))/$AJ37,'Технический лист'!$M:$N,2,1)-VLOOKUP($AO37,'Технический лист'!$M:$N,2,1)),1+(1-$AU37))</f>
        <v/>
      </c>
      <c r="BC37" s="172">
        <f>MIN(IF($AU37=100%,1,1+VLOOKUP(($AJ37-$AI37-$AH37-$AG37-$AF37-$AE37*(1+BC$3))/$AJ37,'Технический лист'!$M:$N,2,1)-VLOOKUP($AO37,'Технический лист'!$M:$N,2,1)),1+(1-$AU37))</f>
        <v/>
      </c>
      <c r="BD37" s="172">
        <f>MIN(IF($AU37=100%,1,1+VLOOKUP(($AJ37-$AI37-$AH37-$AG37-$AF37-$AE37*(1+BD$3))/$AJ37,'Технический лист'!$M:$N,2,1)-VLOOKUP($AO37,'Технический лист'!$M:$N,2,1)),1+(1-$AU37))</f>
        <v/>
      </c>
      <c r="BE37" s="172">
        <f>MIN(IF($AU37=100%,1,1+VLOOKUP(($AJ37-$AI37-$AH37-$AG37-$AF37-$AE37*(1+BE$3))/$AJ37,'Технический лист'!$M:$N,2,1)-VLOOKUP($AO37,'Технический лист'!$M:$N,2,1)),1+(1-$AU37))</f>
        <v/>
      </c>
      <c r="BF37" s="172">
        <f>MIN(IF($AU37=100%,1,1+VLOOKUP(($AJ37-$AI37-$AH37-$AG37-$AF37-$AE37*(1+BF$3))/$AJ37,'Технический лист'!$M:$N,2,1)-VLOOKUP($AO37,'Технический лист'!$M:$N,2,1)),1+(1-$AU37))</f>
        <v/>
      </c>
      <c r="BG37" s="172">
        <f>MIN(IF($AU37=100%,1,1+VLOOKUP(($AJ37-$AI37-$AH37-$AG37-$AF37-$AE37*(1+BG$3))/$AJ37,'Технический лист'!$M:$N,2,1)-VLOOKUP($AO37,'Технический лист'!$M:$N,2,1)),1+(1-$AU37))</f>
        <v/>
      </c>
      <c r="BH37" s="172">
        <f>MIN(IF($AU37=100%,1,1+VLOOKUP(($AJ37-$AI37-$AH37-$AG37-$AF37-$AE37*(1+BH$3))/$AJ37,'Технический лист'!$M:$N,2,1)-VLOOKUP($AO37,'Технический лист'!$M:$N,2,1)),1+(1-$AU37))</f>
        <v/>
      </c>
      <c r="BI37" s="172">
        <f>MIN(IF($AU37=100%,1,1+VLOOKUP(($AJ37-$AI37-$AH37-$AG37-$AF37-$AE37*(1+BI$3))/$AJ37,'Технический лист'!$M:$N,2,1)-VLOOKUP($AO37,'Технический лист'!$M:$N,2,1)),1+(1-$AU37))</f>
        <v/>
      </c>
      <c r="BJ37" s="172">
        <f>MIN(IF($AU37=100%,1,1+VLOOKUP(($AJ37-$AI37-$AH37-$AG37-$AF37-$AE37*(1+BJ$3))/$AJ37,'Технический лист'!$M:$N,2,1)-VLOOKUP($AO37,'Технический лист'!$M:$N,2,1)),1+(1-$AU37))</f>
        <v/>
      </c>
      <c r="BK37" s="172">
        <f>MIN(IF($AU37=100%,1,1+VLOOKUP(($AJ37-$AI37-$AH37-$AG37-$AF37-$AE37*(1+BK$3))/$AJ37,'Технический лист'!$M:$N,2,1)-VLOOKUP($AO37,'Технический лист'!$M:$N,2,1)),1+(1-$AU37))</f>
        <v/>
      </c>
      <c r="BL37" s="172">
        <f>MIN(IF($AU37=100%,1,1+VLOOKUP(($AJ37-$AI37-$AH37-$AG37-$AF37-$AE37*(1+BL$3))/$AJ37,'Технический лист'!$M:$N,2,1)-VLOOKUP($AO37,'Технический лист'!$M:$N,2,1)),1+(1-$AU37))</f>
        <v/>
      </c>
      <c r="BM37" s="172">
        <f>MIN(IF($AU37=100%,1,1+VLOOKUP(($AJ37-$AI37-$AH37-$AG37-$AF37-$AE37*(1+BM$3))/$AJ37,'Технический лист'!$M:$N,2,1)-VLOOKUP($AO37,'Технический лист'!$M:$N,2,1)),1+(1-$AU37))</f>
        <v/>
      </c>
      <c r="BN37" s="172">
        <f>MIN(IF($AU37=100%,1,1+VLOOKUP(($AJ37-$AI37-$AH37-$AG37-$AF37-$AE37*(1+BN$3))/$AJ37,'Технический лист'!$M:$N,2,1)-VLOOKUP($AO37,'Технический лист'!$M:$N,2,1)),1+(1-$AU37))</f>
        <v/>
      </c>
      <c r="BO37" s="172">
        <f>MIN(IF($AU37=100%,1,1+VLOOKUP(($AJ37-$AI37-$AH37-$AG37-$AF37-$AE37*(1+BO$3))/$AJ37,'Технический лист'!$M:$N,2,1)-VLOOKUP($AO37,'Технический лист'!$M:$N,2,1)),1+(1-$AU37))</f>
        <v/>
      </c>
      <c r="BP37" s="172">
        <f>MIN(IF($AU37=100%,1,1+VLOOKUP(($AJ37-$AI37-$AH37-$AG37-$AF37-$AE37*(1+BP$3))/$AJ37,'Технический лист'!$M:$N,2,1)-VLOOKUP($AO37,'Технический лист'!$M:$N,2,1)),1+(1-$AU37))</f>
        <v/>
      </c>
      <c r="BQ37" s="172">
        <f>MIN(IF($AU37=100%,1,1+VLOOKUP(($AJ37-$AI37-$AH37-$AG37-$AF37-$AE37*(1+BQ$3))/$AJ37,'Технический лист'!$M:$N,2,1)-VLOOKUP($AO37,'Технический лист'!$M:$N,2,1)),1+(1-$AU37))</f>
        <v/>
      </c>
      <c r="BR37" s="172">
        <f>MIN(IF($AU37=100%,1,1+VLOOKUP(($AJ37-$AI37-$AH37-$AG37-$AF37-$AE37*(1+BR$3))/$AJ37,'Технический лист'!$M:$N,2,1)-VLOOKUP($AO37,'Технический лист'!$M:$N,2,1)),1+(1-$AU37))</f>
        <v/>
      </c>
      <c r="BS37" s="172">
        <f>MIN(IF($AU37=100%,1,1+VLOOKUP(($AJ37-$AI37-$AH37-$AG37-$AF37-$AE37*(1+BS$3))/$AJ37,'Технический лист'!$M:$N,2,1)-VLOOKUP($AO37,'Технический лист'!$M:$N,2,1)),1+(1-$AU37))</f>
        <v/>
      </c>
      <c r="BT37" s="172">
        <f>MIN(IF($AU37=100%,1,1+VLOOKUP(($AJ37-$AI37-$AH37-$AG37-$AF37-$AE37*(1+BT$3))/$AJ37,'Технический лист'!$M:$N,2,1)-VLOOKUP($AO37,'Технический лист'!$M:$N,2,1)),1+(1-$AU37))</f>
        <v/>
      </c>
      <c r="BU37" s="172">
        <f>MIN(IF($AU37=100%,1,1+VLOOKUP(($AJ37-$AI37-$AH37-$AG37-$AF37-$AE37*(1+BU$3))/$AJ37,'Технический лист'!$M:$N,2,1)-VLOOKUP($AO37,'Технический лист'!$M:$N,2,1)),1+(1-$AU37))</f>
        <v/>
      </c>
      <c r="BV37" s="172">
        <f>MIN(IF($AU37=100%,1,1+VLOOKUP(($AJ37-$AI37-$AH37-$AG37-$AF37-$AE37*(1+BV$3))/$AJ37,'Технический лист'!$M:$N,2,1)-VLOOKUP($AO37,'Технический лист'!$M:$N,2,1)),1+(1-$AU37))</f>
        <v/>
      </c>
      <c r="BW37" s="172">
        <f>MIN(IF($AU37=100%,1,1+VLOOKUP(($AJ37-$AI37-$AH37-$AG37-$AF37-$AE37*(1+BW$3))/$AJ37,'Технический лист'!$M:$N,2,1)-VLOOKUP($AO37,'Технический лист'!$M:$N,2,1)),1+(1-$AU37))</f>
        <v/>
      </c>
      <c r="BX37" s="172">
        <f>MIN(IF($AU37=100%,1,1+VLOOKUP(($AJ37-$AI37-$AH37-$AG37-$AF37-$AE37*(1+BX$3))/$AJ37,'Технический лист'!$M:$N,2,1)-VLOOKUP($AO37,'Технический лист'!$M:$N,2,1)),1+(1-$AU37))</f>
        <v/>
      </c>
      <c r="BY37" s="172">
        <f>MIN(IF($AU37=100%,1,1+VLOOKUP(($AJ37-$AI37-$AH37-$AG37-$AF37-$AE37*(1+BY$3))/$AJ37,'Технический лист'!$M:$N,2,1)-VLOOKUP($AO37,'Технический лист'!$M:$N,2,1)),1+(1-$AU37))</f>
        <v/>
      </c>
      <c r="BZ37" s="172">
        <f>MIN(IF($AU37=100%,1,1+VLOOKUP(($AJ37-$AI37-$AH37-$AG37-$AF37-$AE37*(1+BZ$3))/$AJ37,'Технический лист'!$M:$N,2,1)-VLOOKUP($AO37,'Технический лист'!$M:$N,2,1)),1+(1-$AU37))</f>
        <v/>
      </c>
      <c r="CA37" s="172">
        <f>MIN(IF($AU37=100%,1,1+VLOOKUP(($AJ37-$AI37-$AH37-$AG37-$AF37-$AE37*(1+CA$3))/$AJ37,'Технический лист'!$M:$N,2,1)-VLOOKUP($AO37,'Технический лист'!$M:$N,2,1)),1+(1-$AU37))</f>
        <v/>
      </c>
      <c r="CB37" s="172">
        <f>MIN(IF($AU37=100%,1,1+VLOOKUP(($AJ37-$AI37-$AH37-$AG37-$AF37-$AE37*(1+CB$3))/$AJ37,'Технический лист'!$M:$N,2,1)-VLOOKUP($AO37,'Технический лист'!$M:$N,2,1)),1+(1-$AU37))</f>
        <v/>
      </c>
      <c r="CC37" s="172">
        <f>MIN(IF($AU37=100%,1,1+VLOOKUP(($AJ37-$AI37-$AH37-$AG37-$AF37-$AE37*(1+CC$3))/$AJ37,'Технический лист'!$M:$N,2,1)-VLOOKUP($AO37,'Технический лист'!$M:$N,2,1)),1+(1-$AU37))</f>
        <v/>
      </c>
      <c r="CD37" s="172">
        <f>MIN(IF($AU37=100%,1,1+VLOOKUP(($AJ37-$AI37-$AH37-$AG37-$AF37-$AE37*(1+CD$3))/$AJ37,'Технический лист'!$M:$N,2,1)-VLOOKUP($AO37,'Технический лист'!$M:$N,2,1)),1+(1-$AU37))</f>
        <v/>
      </c>
      <c r="CE37" s="172">
        <f>MIN(IF($AU37=100%,1,1+VLOOKUP(($AJ37-$AI37-$AH37-$AG37-$AF37-$AE37*(1+CE$3))/$AJ37,'Технический лист'!$M:$N,2,1)-VLOOKUP($AO37,'Технический лист'!$M:$N,2,1)),1+(1-$AU37))</f>
        <v/>
      </c>
      <c r="CF37" s="172">
        <f>MIN(IF($AU37=100%,1,1+VLOOKUP(($AJ37-$AI37-$AH37-$AG37-$AF37-$AE37*(1+CF$3))/$AJ37,'Технический лист'!$M:$N,2,1)-VLOOKUP($AO37,'Технический лист'!$M:$N,2,1)),1+(1-$AU37))</f>
        <v/>
      </c>
      <c r="CG37" s="172">
        <f>MIN(IF($AU37=100%,1,1+VLOOKUP(($AJ37-$AI37-$AH37-$AG37-$AF37-$AE37*(1+CG$3))/$AJ37,'Технический лист'!$M:$N,2,1)-VLOOKUP($AO37,'Технический лист'!$M:$N,2,1)),1+(1-$AU37))</f>
        <v/>
      </c>
      <c r="CH37" s="172">
        <f>MIN(IF($AU37=100%,1,1+VLOOKUP(($AJ37-$AI37-$AH37-$AG37-$AF37-$AE37*(1+CH$3))/$AJ37,'Технический лист'!$M:$N,2,1)-VLOOKUP($AO37,'Технический лист'!$M:$N,2,1)),1+(1-$AU37))</f>
        <v/>
      </c>
      <c r="CI37" s="172">
        <f>MIN(IF($AU37=100%,1,1+VLOOKUP(($AJ37-$AI37-$AH37-$AG37-$AF37-$AE37*(1+CI$3))/$AJ37,'Технический лист'!$M:$N,2,1)-VLOOKUP($AO37,'Технический лист'!$M:$N,2,1)),1+(1-$AU37))</f>
        <v/>
      </c>
      <c r="CJ37" s="172">
        <f>MIN(IF($AU37=100%,1,1+VLOOKUP(($AJ37-$AI37-$AH37-$AG37-$AF37-$AE37*(1+CJ$3))/$AJ37,'Технический лист'!$M:$N,2,1)-VLOOKUP($AO37,'Технический лист'!$M:$N,2,1)),1+(1-$AU37))</f>
        <v/>
      </c>
      <c r="CK37" s="172">
        <f>MIN(IF($AU37=100%,1,1+VLOOKUP(($AJ37-$AI37-$AH37-$AG37-$AF37-$AE37*(1+CK$3))/$AJ37,'Технический лист'!$M:$N,2,1)-VLOOKUP($AO37,'Технический лист'!$M:$N,2,1)),1+(1-$AU37))</f>
        <v/>
      </c>
      <c r="CL37" s="172">
        <f>MIN(IF($AU37=100%,1,1+VLOOKUP(($AJ37-$AI37-$AH37-$AG37-$AF37-$AE37*(1+CL$3))/$AJ37,'Технический лист'!$M:$N,2,1)-VLOOKUP($AO37,'Технический лист'!$M:$N,2,1)),1+(1-$AU37))</f>
        <v/>
      </c>
      <c r="CM37" s="172">
        <f>MIN(IF($AU37=100%,1,1+VLOOKUP(($AJ37-$AI37-$AH37-$AG37-$AF37-$AE37*(1+CM$3))/$AJ37,'Технический лист'!$M:$N,2,1)-VLOOKUP($AO37,'Технический лист'!$M:$N,2,1)),1+(1-$AU37))</f>
        <v/>
      </c>
      <c r="CN37" s="172">
        <f>MIN(IF($AU37=100%,1,1+VLOOKUP(($AJ37-$AI37-$AH37-$AG37-$AF37-$AE37*(1+CN$3))/$AJ37,'Технический лист'!$M:$N,2,1)-VLOOKUP($AO37,'Технический лист'!$M:$N,2,1)),1+(1-$AU37))</f>
        <v/>
      </c>
      <c r="CO37" s="172">
        <f>MIN(IF($AU37=100%,1,1+VLOOKUP(($AJ37-$AI37-$AH37-$AG37-$AF37-$AE37*(1+CO$3))/$AJ37,'Технический лист'!$M:$N,2,1)-VLOOKUP($AO37,'Технический лист'!$M:$N,2,1)),1+(1-$AU37))</f>
        <v/>
      </c>
      <c r="CP37" s="172">
        <f>MIN(IF($AU37=100%,1,1+VLOOKUP(($AJ37-$AI37-$AH37-$AG37-$AF37-$AE37*(1+CP$3))/$AJ37,'Технический лист'!$M:$N,2,1)-VLOOKUP($AO37,'Технический лист'!$M:$N,2,1)),1+(1-$AU37))</f>
        <v/>
      </c>
      <c r="CQ37" s="172">
        <f>MIN(IF($AU37=100%,1,1+VLOOKUP(($AJ37-$AI37-$AH37-$AG37-$AF37-$AE37*(1+CQ$3))/$AJ37,'Технический лист'!$M:$N,2,1)-VLOOKUP($AO37,'Технический лист'!$M:$N,2,1)),1+(1-$AU37))</f>
        <v/>
      </c>
      <c r="CR37" s="172">
        <f>MIN(IF($AU37=100%,1,1+VLOOKUP(($AJ37-$AI37-$AH37-$AG37-$AF37-$AE37*(1+CR$3))/$AJ37,'Технический лист'!$M:$N,2,1)-VLOOKUP($AO37,'Технический лист'!$M:$N,2,1)),1+(1-$AU37))</f>
        <v/>
      </c>
      <c r="CS37" s="172">
        <f>MIN(IF($AU37=100%,1,1+VLOOKUP(($AJ37-$AI37-$AH37-$AG37-$AF37-$AE37*(1+CS$3))/$AJ37,'Технический лист'!$M:$N,2,1)-VLOOKUP($AO37,'Технический лист'!$M:$N,2,1)),1+(1-$AU37))</f>
        <v/>
      </c>
      <c r="CT37" s="172">
        <f>MIN(IF($AU37=100%,1,1+VLOOKUP(($AJ37-$AI37-$AH37-$AG37-$AF37-$AE37*(1+CT$3))/$AJ37,'Технический лист'!$M:$N,2,1)-VLOOKUP($AO37,'Технический лист'!$M:$N,2,1)),1+(1-$AU37))</f>
        <v/>
      </c>
      <c r="CU37" s="172">
        <f>MIN(IF($AU37=100%,1,1+VLOOKUP(($AJ37-$AI37-$AH37-$AG37-$AF37-$AE37*(1+CU$3))/$AJ37,'Технический лист'!$M:$N,2,1)-VLOOKUP($AO37,'Технический лист'!$M:$N,2,1)),1+(1-$AU37))</f>
        <v/>
      </c>
      <c r="CV37" s="172">
        <f>MIN(IF($AU37=100%,1,1+VLOOKUP(($AJ37-$AI37-$AH37-$AG37-$AF37-$AE37*(1+CV$3))/$AJ37,'Технический лист'!$M:$N,2,1)-VLOOKUP($AO37,'Технический лист'!$M:$N,2,1)),1+(1-$AU37))</f>
        <v/>
      </c>
      <c r="CW37" s="172">
        <f>MIN(IF($AU37=100%,1,1+VLOOKUP(($AJ37-$AI37-$AH37-$AG37-$AF37-$AE37*(1+CW$3))/$AJ37,'Технический лист'!$M:$N,2,1)-VLOOKUP($AO37,'Технический лист'!$M:$N,2,1)),1+(1-$AU37))</f>
        <v/>
      </c>
      <c r="CX37" s="172">
        <f>MIN(IF($AU37=100%,1,1+VLOOKUP(($AJ37-$AI37-$AH37-$AG37-$AF37-$AE37*(1+CX$3))/$AJ37,'Технический лист'!$M:$N,2,1)-VLOOKUP($AO37,'Технический лист'!$M:$N,2,1)),1+(1-$AU37))</f>
        <v/>
      </c>
      <c r="CY37" s="172">
        <f>MIN(IF($AU37=100%,1,1+VLOOKUP(($AJ37-$AI37-$AH37-$AG37-$AF37-$AE37*(1+CY$3))/$AJ37,'Технический лист'!$M:$N,2,1)-VLOOKUP($AO37,'Технический лист'!$M:$N,2,1)),1+(1-$AU37))</f>
        <v/>
      </c>
      <c r="CZ37" s="172">
        <f>MIN(IF($AU37=100%,1,1+VLOOKUP(($AJ37-$AI37-$AH37-$AG37-$AF37-$AE37*(1+CZ$3))/$AJ37,'Технический лист'!$M:$N,2,1)-VLOOKUP($AO37,'Технический лист'!$M:$N,2,1)),1+(1-$AU37))</f>
        <v/>
      </c>
      <c r="DA37" s="172">
        <f>MIN(IF($AU37=100%,1,1+VLOOKUP(($AJ37-$AI37-$AH37-$AG37-$AF37-$AE37*(1+DA$3))/$AJ37,'Технический лист'!$M:$N,2,1)-VLOOKUP($AO37,'Технический лист'!$M:$N,2,1)),1+(1-$AU37))</f>
        <v/>
      </c>
      <c r="DB37" s="172">
        <f>MIN(IF($AU37=100%,1,1+VLOOKUP(($AJ37-$AI37-$AH37-$AG37-$AF37-$AE37*(1+DB$3))/$AJ37,'Технический лист'!$M:$N,2,1)-VLOOKUP($AO37,'Технический лист'!$M:$N,2,1)),1+(1-$AU37))</f>
        <v/>
      </c>
      <c r="DC37" s="172">
        <f>MIN(IF($AU37=100%,1,1+VLOOKUP(($AJ37-$AI37-$AH37-$AG37-$AF37-$AE37*(1+DC$3))/$AJ37,'Технический лист'!$M:$N,2,1)-VLOOKUP($AO37,'Технический лист'!$M:$N,2,1)),1+(1-$AU37))</f>
        <v/>
      </c>
      <c r="DD37" s="172">
        <f>MIN(IF($AU37=100%,1,1+VLOOKUP(($AJ37-$AI37-$AH37-$AG37-$AF37-$AE37*(1+DD$3))/$AJ37,'Технический лист'!$M:$N,2,1)-VLOOKUP($AO37,'Технический лист'!$M:$N,2,1)),1+(1-$AU37))</f>
        <v/>
      </c>
      <c r="DE37" s="172">
        <f>MIN(IF($AU37=100%,1,1+VLOOKUP(($AJ37-$AI37-$AH37-$AG37-$AF37-$AE37*(1+DE$3))/$AJ37,'Технический лист'!$M:$N,2,1)-VLOOKUP($AO37,'Технический лист'!$M:$N,2,1)),1+(1-$AU37))</f>
        <v/>
      </c>
      <c r="DF37" s="172">
        <f>MIN(IF($AU37=100%,1,1+VLOOKUP(($AJ37-$AI37-$AH37-$AG37-$AF37-$AE37*(1+DF$3))/$AJ37,'Технический лист'!$M:$N,2,1)-VLOOKUP($AO37,'Технический лист'!$M:$N,2,1)),1+(1-$AU37))</f>
        <v/>
      </c>
      <c r="DG37" s="172">
        <f>MIN(IF($AU37=100%,1,1+VLOOKUP(($AJ37-$AI37-$AH37-$AG37-$AF37-$AE37*(1+DG$3))/$AJ37,'Технический лист'!$M:$N,2,1)-VLOOKUP($AO37,'Технический лист'!$M:$N,2,1)),1+(1-$AU37))</f>
        <v/>
      </c>
      <c r="DH37" s="172">
        <f>MIN(IF($AU37=100%,1,1+VLOOKUP(($AJ37-$AI37-$AH37-$AG37-$AF37-$AE37*(1+DH$3))/$AJ37,'Технический лист'!$M:$N,2,1)-VLOOKUP($AO37,'Технический лист'!$M:$N,2,1)),1+(1-$AU37))</f>
        <v/>
      </c>
      <c r="DI37" s="172">
        <f>MIN(IF($AU37=100%,1,1+VLOOKUP(($AJ37-$AI37-$AH37-$AG37-$AF37-$AE37*(1+DI$3))/$AJ37,'Технический лист'!$M:$N,2,1)-VLOOKUP($AO37,'Технический лист'!$M:$N,2,1)),1+(1-$AU37))</f>
        <v/>
      </c>
      <c r="DJ37" s="172">
        <f>MIN(IF($AU37=100%,1,1+VLOOKUP(($AJ37-$AI37-$AH37-$AG37-$AF37-$AE37*(1+DJ$3))/$AJ37,'Технический лист'!$M:$N,2,1)-VLOOKUP($AO37,'Технический лист'!$M:$N,2,1)),1+(1-$AU37))</f>
        <v/>
      </c>
      <c r="DK37" s="172">
        <f>MIN(IF($AU37=100%,1,1+VLOOKUP(($AJ37-$AI37-$AH37-$AG37-$AF37-$AE37*(1+DK$3))/$AJ37,'Технический лист'!$M:$N,2,1)-VLOOKUP($AO37,'Технический лист'!$M:$N,2,1)),1+(1-$AU37))</f>
        <v/>
      </c>
      <c r="DL37" s="172">
        <f>MIN(IF($AU37=100%,1,1+VLOOKUP(($AJ37-$AI37-$AH37-$AG37-$AF37-$AE37*(1+DL$3))/$AJ37,'Технический лист'!$M:$N,2,1)-VLOOKUP($AO37,'Технический лист'!$M:$N,2,1)),1+(1-$AU37))</f>
        <v/>
      </c>
      <c r="DM37" s="172">
        <f>MIN(IF($AU37=100%,1,1+VLOOKUP(($AJ37-$AI37-$AH37-$AG37-$AF37-$AE37*(1+DM$3))/$AJ37,'Технический лист'!$M:$N,2,1)-VLOOKUP($AO37,'Технический лист'!$M:$N,2,1)),1+(1-$AU37))</f>
        <v/>
      </c>
      <c r="DN37" s="172">
        <f>MIN(IF($AU37=100%,1,1+VLOOKUP(($AJ37-$AI37-$AH37-$AG37-$AF37-$AE37*(1+DN$3))/$AJ37,'Технический лист'!$M:$N,2,1)-VLOOKUP($AO37,'Технический лист'!$M:$N,2,1)),1+(1-$AU37))</f>
        <v/>
      </c>
      <c r="DO37" s="172">
        <f>MIN(IF($AU37=100%,1,1+VLOOKUP(($AJ37-$AI37-$AH37-$AG37-$AF37-$AE37*(1+DO$3))/$AJ37,'Технический лист'!$M:$N,2,1)-VLOOKUP($AO37,'Технический лист'!$M:$N,2,1)),1+(1-$AU37))</f>
        <v/>
      </c>
      <c r="DP37" s="172">
        <f>MIN(IF($AU37=100%,1,1+VLOOKUP(($AJ37-$AI37-$AH37-$AG37-$AF37-$AE37*(1+DP$3))/$AJ37,'Технический лист'!$M:$N,2,1)-VLOOKUP($AO37,'Технический лист'!$M:$N,2,1)),1+(1-$AU37))</f>
        <v/>
      </c>
      <c r="DQ37" s="172">
        <f>MIN(IF($AU37=100%,1,1+VLOOKUP(($AJ37-$AI37-$AH37-$AG37-$AF37-$AE37*(1+DQ$3))/$AJ37,'Технический лист'!$M:$N,2,1)-VLOOKUP($AO37,'Технический лист'!$M:$N,2,1)),1+(1-$AU37))</f>
        <v/>
      </c>
      <c r="DR37" s="172">
        <f>MIN(IF($AU37=100%,1,1+VLOOKUP(($AJ37-$AI37-$AH37-$AG37-$AF37-$AE37*(1+DR$3))/$AJ37,'Технический лист'!$M:$N,2,1)-VLOOKUP($AO37,'Технический лист'!$M:$N,2,1)),1+(1-$AU37))</f>
        <v/>
      </c>
      <c r="DS37" s="172">
        <f>MIN(IF($AU37=100%,1,1+VLOOKUP(($AJ37-$AI37-$AH37-$AG37-$AF37-$AE37*(1+DS$3))/$AJ37,'Технический лист'!$M:$N,2,1)-VLOOKUP($AO37,'Технический лист'!$M:$N,2,1)),1+(1-$AU37))</f>
        <v/>
      </c>
      <c r="DT37" s="172">
        <f>MIN(IF($AU37=100%,1,1+VLOOKUP(($AJ37-$AI37-$AH37-$AG37-$AF37-$AE37*(1+DT$3))/$AJ37,'Технический лист'!$M:$N,2,1)-VLOOKUP($AO37,'Технический лист'!$M:$N,2,1)),1+(1-$AU37))</f>
        <v/>
      </c>
      <c r="DU37" s="172">
        <f>MIN(IF($AU37=100%,1,1+VLOOKUP(($AJ37-$AI37-$AH37-$AG37-$AF37-$AE37*(1+DU$3))/$AJ37,'Технический лист'!$M:$N,2,1)-VLOOKUP($AO37,'Технический лист'!$M:$N,2,1)),1+(1-$AU37))</f>
        <v/>
      </c>
      <c r="DV37" s="172">
        <f>MIN(IF($AU37=100%,1,1+VLOOKUP(($AJ37-$AI37-$AH37-$AG37-$AF37-$AE37*(1+DV$3))/$AJ37,'Технический лист'!$M:$N,2,1)-VLOOKUP($AO37,'Технический лист'!$M:$N,2,1)),1+(1-$AU37))</f>
        <v/>
      </c>
      <c r="DW37" s="172">
        <f>MIN(IF($AU37=100%,1,1+VLOOKUP(($AJ37-$AI37-$AH37-$AG37-$AF37-$AE37*(1+DW$3))/$AJ37,'Технический лист'!$M:$N,2,1)-VLOOKUP($AO37,'Технический лист'!$M:$N,2,1)),1+(1-$AU37))</f>
        <v/>
      </c>
      <c r="DX37" s="172">
        <f>MIN(IF($AU37=100%,1,1+VLOOKUP(($AJ37-$AI37-$AH37-$AG37-$AF37-$AE37*(1+DX$3))/$AJ37,'Технический лист'!$M:$N,2,1)-VLOOKUP($AO37,'Технический лист'!$M:$N,2,1)),1+(1-$AU37))</f>
        <v/>
      </c>
      <c r="DY37" s="172">
        <f>MIN(IF($AU37=100%,1,1+VLOOKUP(($AJ37-$AI37-$AH37-$AG37-$AF37-$AE37*(1+DY$3))/$AJ37,'Технический лист'!$M:$N,2,1)-VLOOKUP($AO37,'Технический лист'!$M:$N,2,1)),1+(1-$AU37))</f>
        <v/>
      </c>
      <c r="DZ37" s="172">
        <f>MIN(IF($AU37=100%,1,1+VLOOKUP(($AJ37-$AI37-$AH37-$AG37-$AF37-$AE37*(1+DZ$3))/$AJ37,'Технический лист'!$M:$N,2,1)-VLOOKUP($AO37,'Технический лист'!$M:$N,2,1)),1+(1-$AU37))</f>
        <v/>
      </c>
      <c r="EA37" s="172">
        <f>MIN(IF($AU37=100%,1,1+VLOOKUP(($AJ37-$AI37-$AH37-$AG37-$AF37-$AE37*(1+EA$3))/$AJ37,'Технический лист'!$M:$N,2,1)-VLOOKUP($AO37,'Технический лист'!$M:$N,2,1)),1+(1-$AU37))</f>
        <v/>
      </c>
      <c r="EB37" s="172">
        <f>MIN(IF($AU37=100%,1,1+VLOOKUP(($AJ37-$AI37-$AH37-$AG37-$AF37-$AE37*(1+EB$3))/$AJ37,'Технический лист'!$M:$N,2,1)-VLOOKUP($AO37,'Технический лист'!$M:$N,2,1)),1+(1-$AU37))</f>
        <v/>
      </c>
      <c r="EC37" s="172">
        <f>MIN(IF($AU37=100%,1,1+VLOOKUP(($AJ37-$AI37-$AH37-$AG37-$AF37-$AE37*(1+EC$3))/$AJ37,'Технический лист'!$M:$N,2,1)-VLOOKUP($AO37,'Технический лист'!$M:$N,2,1)),1+(1-$AU37))</f>
        <v/>
      </c>
      <c r="ED37" s="172">
        <f>MIN(IF($AU37=100%,1,1+VLOOKUP(($AJ37-$AI37-$AH37-$AG37-$AF37-$AE37*(1+ED$3))/$AJ37,'Технический лист'!$M:$N,2,1)-VLOOKUP($AO37,'Технический лист'!$M:$N,2,1)),1+(1-$AU37))</f>
        <v/>
      </c>
      <c r="EE37" s="172">
        <f>MIN(IF($AU37=100%,1,1+VLOOKUP(($AJ37-$AI37-$AH37-$AG37-$AF37-$AE37*(1+EE$3))/$AJ37,'Технический лист'!$M:$N,2,1)-VLOOKUP($AO37,'Технический лист'!$M:$N,2,1)),1+(1-$AU37))</f>
        <v/>
      </c>
      <c r="EF37" s="172">
        <f>MIN(IF($AU37=100%,1,1+VLOOKUP(($AJ37-$AI37-$AH37-$AG37-$AF37-$AE37*(1+EF$3))/$AJ37,'Технический лист'!$M:$N,2,1)-VLOOKUP($AO37,'Технический лист'!$M:$N,2,1)),1+(1-$AU37))</f>
        <v/>
      </c>
      <c r="EG37" s="172">
        <f>MIN(IF($AU37=100%,1,1+VLOOKUP(($AJ37-$AI37-$AH37-$AG37-$AF37-$AE37*(1+EG$3))/$AJ37,'Технический лист'!$M:$N,2,1)-VLOOKUP($AO37,'Технический лист'!$M:$N,2,1)),1+(1-$AU37))</f>
        <v/>
      </c>
      <c r="EH37" s="172">
        <f>MIN(IF($AU37=100%,1,1+VLOOKUP(($AJ37-$AI37-$AH37-$AG37-$AF37-$AE37*(1+EH$3))/$AJ37,'Технический лист'!$M:$N,2,1)-VLOOKUP($AO37,'Технический лист'!$M:$N,2,1)),1+(1-$AU37))</f>
        <v/>
      </c>
      <c r="EI37" s="172">
        <f>MIN(IF($AU37=100%,1,1+VLOOKUP(($AJ37-$AI37-$AH37-$AG37-$AF37-$AE37*(1+EI$3))/$AJ37,'Технический лист'!$M:$N,2,1)-VLOOKUP($AO37,'Технический лист'!$M:$N,2,1)),1+(1-$AU37))</f>
        <v/>
      </c>
      <c r="EJ37" s="172">
        <f>MIN(IF($AU37=100%,1,1+VLOOKUP(($AJ37-$AI37-$AH37-$AG37-$AF37-$AE37*(1+EJ$3))/$AJ37,'Технический лист'!$M:$N,2,1)-VLOOKUP($AO37,'Технический лист'!$M:$N,2,1)),1+(1-$AU37))</f>
        <v/>
      </c>
      <c r="EK37" s="172">
        <f>MIN(IF($AU37=100%,1,1+VLOOKUP(($AJ37-$AI37-$AH37-$AG37-$AF37-$AE37*(1+EK$3))/$AJ37,'Технический лист'!$M:$N,2,1)-VLOOKUP($AO37,'Технический лист'!$M:$N,2,1)),1+(1-$AU37))</f>
        <v/>
      </c>
      <c r="EL37" s="172">
        <f>MIN(IF($AU37=100%,1,1+VLOOKUP(($AJ37-$AI37-$AH37-$AG37-$AF37-$AE37*(1+EL$3))/$AJ37,'Технический лист'!$M:$N,2,1)-VLOOKUP($AO37,'Технический лист'!$M:$N,2,1)),1+(1-$AU37))</f>
        <v/>
      </c>
      <c r="EM37" s="172">
        <f>MIN(IF($AU37=100%,1,1+VLOOKUP(($AJ37-$AI37-$AH37-$AG37-$AF37-$AE37*(1+EM$3))/$AJ37,'Технический лист'!$M:$N,2,1)-VLOOKUP($AO37,'Технический лист'!$M:$N,2,1)),1+(1-$AU37))</f>
        <v/>
      </c>
      <c r="EN37" s="172">
        <f>MIN(IF($AU37=100%,1,1+VLOOKUP(($AJ37-$AI37-$AH37-$AG37-$AF37-$AE37*(1+EN$3))/$AJ37,'Технический лист'!$M:$N,2,1)-VLOOKUP($AO37,'Технический лист'!$M:$N,2,1)),1+(1-$AU37))</f>
        <v/>
      </c>
      <c r="EO37" s="172">
        <f>MIN(IF($AU37=100%,1,1+VLOOKUP(($AJ37-$AI37-$AH37-$AG37-$AF37-$AE37*(1+EO$3))/$AJ37,'Технический лист'!$M:$N,2,1)-VLOOKUP($AO37,'Технический лист'!$M:$N,2,1)),1+(1-$AU37))</f>
        <v/>
      </c>
      <c r="EP37" s="172">
        <f>MIN(IF($AU37=100%,1,1+VLOOKUP(($AJ37-$AI37-$AH37-$AG37-$AF37-$AE37*(1+EP$3))/$AJ37,'Технический лист'!$M:$N,2,1)-VLOOKUP($AO37,'Технический лист'!$M:$N,2,1)),1+(1-$AU37))</f>
        <v/>
      </c>
      <c r="EQ37" s="172">
        <f>MIN(IF($AU37=100%,1,1+VLOOKUP(($AJ37-$AI37-$AH37-$AG37-$AF37-$AE37*(1+EQ$3))/$AJ37,'Технический лист'!$M:$N,2,1)-VLOOKUP($AO37,'Технический лист'!$M:$N,2,1)),1+(1-$AU37))</f>
        <v/>
      </c>
      <c r="ER37" s="172">
        <f>MIN(IF($AU37=100%,1,1+VLOOKUP(($AJ37-$AI37-$AH37-$AG37-$AF37-$AE37*(1+ER$3))/$AJ37,'Технический лист'!$M:$N,2,1)-VLOOKUP($AO37,'Технический лист'!$M:$N,2,1)),1+(1-$AU37))</f>
        <v/>
      </c>
      <c r="ES37" s="172">
        <f>MIN(IF($AU37=100%,1,1+VLOOKUP(($AJ37-$AI37-$AH37-$AG37-$AF37-$AE37*(1+ES$3))/$AJ37,'Технический лист'!$M:$N,2,1)-VLOOKUP($AO37,'Технический лист'!$M:$N,2,1)),1+(1-$AU37))</f>
        <v/>
      </c>
      <c r="ET37" s="172">
        <f>MIN(IF($AU37=100%,1,1+VLOOKUP(($AJ37-$AI37-$AH37-$AG37-$AF37-$AE37*(1+ET$3))/$AJ37,'Технический лист'!$M:$N,2,1)-VLOOKUP($AO37,'Технический лист'!$M:$N,2,1)),1+(1-$AU37))</f>
        <v/>
      </c>
      <c r="EU37" s="172">
        <f>MIN(IF($AU37=100%,1,1+VLOOKUP(($AJ37-$AI37-$AH37-$AG37-$AF37-$AE37*(1+EU$3))/$AJ37,'Технический лист'!$M:$N,2,1)-VLOOKUP($AO37,'Технический лист'!$M:$N,2,1)),1+(1-$AU37))</f>
        <v/>
      </c>
      <c r="EV37" s="173" t="n">
        <v>1</v>
      </c>
      <c r="EW37" s="172">
        <f>MIN(1,MAX(VLOOKUP(($AJ37-$AI37-$AH37-$AG37-$AF37-$AE37*(1+EW$3))/$AJ37,'Технический лист'!$M:$N,2,1),(EV37-0.05)))</f>
        <v/>
      </c>
      <c r="EX37" s="172">
        <f>MIN(1,MAX(VLOOKUP(($AJ37-$AI37-$AH37-$AG37-$AF37-$AE37*(1+EX$3))/$AJ37,'Технический лист'!$M:$N,2,1),(EW37-0.05)))</f>
        <v/>
      </c>
      <c r="EY37" s="172">
        <f>MIN(1,MAX(VLOOKUP(($AJ37-$AI37-$AH37-$AG37-$AF37-$AE37*(1+EY$3))/$AJ37,'Технический лист'!$M:$N,2,1),(EX37-0.05)))</f>
        <v/>
      </c>
      <c r="EZ37" s="172">
        <f>MIN(1,MAX(VLOOKUP(($AJ37-$AI37-$AH37-$AG37-$AF37-$AE37*(1+EZ$3))/$AJ37,'Технический лист'!$M:$N,2,1),(EY37-0.05)))</f>
        <v/>
      </c>
      <c r="FA37" s="172">
        <f>MIN(1,MAX(VLOOKUP(($AJ37-$AI37-$AH37-$AG37-$AF37-$AE37*(1+FA$3))/$AJ37,'Технический лист'!$M:$N,2,1),(EZ37-0.05)))</f>
        <v/>
      </c>
      <c r="FB37" s="172">
        <f>MIN(1,MAX(VLOOKUP(($AJ37-$AI37-$AH37-$AG37-$AF37-$AE37*(1+FB$3))/$AJ37,'Технический лист'!$M:$N,2,1),(FA37-0.05)))</f>
        <v/>
      </c>
      <c r="FC37" s="172">
        <f>MIN(1,MAX(VLOOKUP(($AJ37-$AI37-$AH37-$AG37-$AF37-$AE37*(1+FC$3))/$AJ37,'Технический лист'!$M:$N,2,1),(FB37-0.05)))</f>
        <v/>
      </c>
      <c r="FD37" s="172">
        <f>MIN(1,MAX(VLOOKUP(($AJ37-$AI37-$AH37-$AG37-$AF37-$AE37*(1+FD$3))/$AJ37,'Технический лист'!$M:$N,2,1),(FC37-0.05)))</f>
        <v/>
      </c>
      <c r="FE37" s="172">
        <f>MIN(1,MAX(VLOOKUP(($AJ37-$AI37-$AH37-$AG37-$AF37-$AE37*(1+FE$3))/$AJ37,'Технический лист'!$M:$N,2,1),(FD37-0.05)))</f>
        <v/>
      </c>
      <c r="FF37" s="172">
        <f>MIN(1,MAX(VLOOKUP(($AJ37-$AI37-$AH37-$AG37-$AF37-$AE37*(1+FF$3))/$AJ37,'Технический лист'!$M:$N,2,1),(FE37-0.05)))</f>
        <v/>
      </c>
      <c r="FG37" s="172">
        <f>MIN(1,MAX(VLOOKUP(($AJ37-$AI37-$AH37-$AG37-$AF37-$AE37*(1+FG$3))/$AJ37,'Технический лист'!$M:$N,2,1),(FF37-0.05)))</f>
        <v/>
      </c>
      <c r="FH37" s="172">
        <f>MIN(1,MAX(VLOOKUP(($AJ37-$AI37-$AH37-$AG37-$AF37-$AE37*(1+FH$3))/$AJ37,'Технический лист'!$M:$N,2,1),(FG37-0.05)))</f>
        <v/>
      </c>
      <c r="FI37" s="172">
        <f>MIN(1,MAX(VLOOKUP(($AJ37-$AI37-$AH37-$AG37-$AF37-$AE37*(1+FI$3))/$AJ37,'Технический лист'!$M:$N,2,1),(FH37-0.05)))</f>
        <v/>
      </c>
      <c r="FJ37" s="172">
        <f>MIN(1,MAX(VLOOKUP(($AJ37-$AI37-$AH37-$AG37-$AF37-$AE37*(1+FJ$3))/$AJ37,'Технический лист'!$M:$N,2,1),(FI37-0.05)))</f>
        <v/>
      </c>
      <c r="FK37" s="172">
        <f>MIN(1,MAX(VLOOKUP(($AJ37-$AI37-$AH37-$AG37-$AF37-$AE37*(1+FK$3))/$AJ37,'Технический лист'!$M:$N,2,1),(FJ37-0.05)))</f>
        <v/>
      </c>
      <c r="FL37" s="172">
        <f>MIN(1,MAX(VLOOKUP(($AJ37-$AI37-$AH37-$AG37-$AF37-$AE37*(1+FL$3))/$AJ37,'Технический лист'!$M:$N,2,1),(FK37-0.05)))</f>
        <v/>
      </c>
      <c r="FM37" s="172">
        <f>MIN(1,MAX(VLOOKUP(($AJ37-$AI37-$AH37-$AG37-$AF37-$AE37*(1+FM$3))/$AJ37,'Технический лист'!$M:$N,2,1),(FL37-0.05)))</f>
        <v/>
      </c>
      <c r="FN37" s="172">
        <f>MIN(1,MAX(VLOOKUP(($AJ37-$AI37-$AH37-$AG37-$AF37-$AE37*(1+FN$3))/$AJ37,'Технический лист'!$M:$N,2,1),(FM37-0.05)))</f>
        <v/>
      </c>
      <c r="FO37" s="172">
        <f>MIN(1,MAX(VLOOKUP(($AJ37-$AI37-$AH37-$AG37-$AF37-$AE37*(1+FO$3))/$AJ37,'Технический лист'!$M:$N,2,1),(FN37-0.05)))</f>
        <v/>
      </c>
      <c r="FP37" s="172">
        <f>MIN(1,MAX(VLOOKUP(($AJ37-$AI37-$AH37-$AG37-$AF37-$AE37*(1+FP$3))/$AJ37,'Технический лист'!$M:$N,2,1),(FO37-0.05)))</f>
        <v/>
      </c>
      <c r="FQ37" s="172">
        <f>MIN(1,MAX(VLOOKUP(($AJ37-$AI37-$AH37-$AG37-$AF37-$AE37*(1+FQ$3))/$AJ37,'Технический лист'!$M:$N,2,1),(FP37-0.05)))</f>
        <v/>
      </c>
      <c r="FR37" s="172">
        <f>MIN(1,MAX(VLOOKUP(($AJ37-$AI37-$AH37-$AG37-$AF37-$AE37*(1+FR$3))/$AJ37,'Технический лист'!$M:$N,2,1),(FQ37-0.05)))</f>
        <v/>
      </c>
      <c r="FS37" s="172">
        <f>MIN(1,MAX(VLOOKUP(($AJ37-$AI37-$AH37-$AG37-$AF37-$AE37*(1+FS$3))/$AJ37,'Технический лист'!$M:$N,2,1),(FR37-0.05)))</f>
        <v/>
      </c>
      <c r="FT37" s="172">
        <f>MIN(1,MAX(VLOOKUP(($AJ37-$AI37-$AH37-$AG37-$AF37-$AE37*(1+FT$3))/$AJ37,'Технический лист'!$M:$N,2,1),(FS37-0.05)))</f>
        <v/>
      </c>
      <c r="FU37" s="172">
        <f>MIN(1,MAX(VLOOKUP(($AJ37-$AI37-$AH37-$AG37-$AF37-$AE37*(1+FU$3))/$AJ37,'Технический лист'!$M:$N,2,1),(FT37-0.05)))</f>
        <v/>
      </c>
      <c r="FV37" s="172">
        <f>MIN(1,MAX(VLOOKUP(($AJ37-$AI37-$AH37-$AG37-$AF37-$AE37*(1+FV$3))/$AJ37,'Технический лист'!$M:$N,2,1),(FU37-0.05)))</f>
        <v/>
      </c>
      <c r="FW37" s="172">
        <f>MIN(1,MAX(VLOOKUP(($AJ37-$AI37-$AH37-$AG37-$AF37-$AE37*(1+FW$3))/$AJ37,'Технический лист'!$M:$N,2,1),(FV37-0.05)))</f>
        <v/>
      </c>
      <c r="FX37" s="172">
        <f>MIN(1,MAX(VLOOKUP(($AJ37-$AI37-$AH37-$AG37-$AF37-$AE37*(1+FX$3))/$AJ37,'Технический лист'!$M:$N,2,1),(FW37-0.05)))</f>
        <v/>
      </c>
      <c r="FY37" s="172">
        <f>MIN(1,MAX(VLOOKUP(($AJ37-$AI37-$AH37-$AG37-$AF37-$AE37*(1+FY$3))/$AJ37,'Технический лист'!$M:$N,2,1),(FX37-0.05)))</f>
        <v/>
      </c>
      <c r="FZ37" s="172">
        <f>MIN(1,MAX(VLOOKUP(($AJ37-$AI37-$AH37-$AG37-$AF37-$AE37*(1+FZ$3))/$AJ37,'Технический лист'!$M:$N,2,1),(FY37-0.05)))</f>
        <v/>
      </c>
      <c r="GA37" s="172">
        <f>MIN(1,MAX(VLOOKUP(($AJ37-$AI37-$AH37-$AG37-$AF37-$AE37*(1+GA$3))/$AJ37,'Технический лист'!$M:$N,2,1),(FZ37-0.05)))</f>
        <v/>
      </c>
      <c r="GB37" s="172">
        <f>MIN(1,MAX(VLOOKUP(($AJ37-$AI37-$AH37-$AG37-$AF37-$AE37*(1+GB$3))/$AJ37,'Технический лист'!$M:$N,2,1),(GA37-0.05)))</f>
        <v/>
      </c>
      <c r="GC37" s="172">
        <f>MIN(1,MAX(VLOOKUP(($AJ37-$AI37-$AH37-$AG37-$AF37-$AE37*(1+GC$3))/$AJ37,'Технический лист'!$M:$N,2,1),(GB37-0.05)))</f>
        <v/>
      </c>
      <c r="GD37" s="172">
        <f>MIN(1,MAX(VLOOKUP(($AJ37-$AI37-$AH37-$AG37-$AF37-$AE37*(1+GD$3))/$AJ37,'Технический лист'!$M:$N,2,1),(GC37-0.05)))</f>
        <v/>
      </c>
      <c r="GE37" s="172">
        <f>MIN(1,MAX(VLOOKUP(($AJ37-$AI37-$AH37-$AG37-$AF37-$AE37*(1+GE$3))/$AJ37,'Технический лист'!$M:$N,2,1),(GD37-0.05)))</f>
        <v/>
      </c>
      <c r="GF37" s="172">
        <f>MIN(1,MAX(VLOOKUP(($AJ37-$AI37-$AH37-$AG37-$AF37-$AE37*(1+GF$3))/$AJ37,'Технический лист'!$M:$N,2,1),(GE37-0.05)))</f>
        <v/>
      </c>
      <c r="GG37" s="172">
        <f>MIN(1,MAX(VLOOKUP(($AJ37-$AI37-$AH37-$AG37-$AF37-$AE37*(1+GG$3))/$AJ37,'Технический лист'!$M:$N,2,1),(GF37-0.05)))</f>
        <v/>
      </c>
      <c r="GH37" s="172">
        <f>MIN(1,MAX(VLOOKUP(($AJ37-$AI37-$AH37-$AG37-$AF37-$AE37*(1+GH$3))/$AJ37,'Технический лист'!$M:$N,2,1),(GG37-0.05)))</f>
        <v/>
      </c>
      <c r="GI37" s="172">
        <f>MIN(1,MAX(VLOOKUP(($AJ37-$AI37-$AH37-$AG37-$AF37-$AE37*(1+GI$3))/$AJ37,'Технический лист'!$M:$N,2,1),(GH37-0.05)))</f>
        <v/>
      </c>
      <c r="GJ37" s="172">
        <f>MIN(1,MAX(VLOOKUP(($AJ37-$AI37-$AH37-$AG37-$AF37-$AE37*(1+GJ$3))/$AJ37,'Технический лист'!$M:$N,2,1),(GI37-0.05)))</f>
        <v/>
      </c>
      <c r="GK37" s="172">
        <f>MIN(1,MAX(VLOOKUP(($AJ37-$AI37-$AH37-$AG37-$AF37-$AE37*(1+GK$3))/$AJ37,'Технический лист'!$M:$N,2,1),(GJ37-0.05)))</f>
        <v/>
      </c>
      <c r="GL37" s="172">
        <f>MIN(1,MAX(VLOOKUP(($AJ37-$AI37-$AH37-$AG37-$AF37-$AE37*(1+GL$3))/$AJ37,'Технический лист'!$M:$N,2,1),(GK37-0.05)))</f>
        <v/>
      </c>
      <c r="GM37" s="172">
        <f>MIN(1,MAX(VLOOKUP(($AJ37-$AI37-$AH37-$AG37-$AF37-$AE37*(1+GM$3))/$AJ37,'Технический лист'!$M:$N,2,1),(GL37-0.05)))</f>
        <v/>
      </c>
      <c r="GN37" s="172">
        <f>MIN(1,MAX(VLOOKUP(($AJ37-$AI37-$AH37-$AG37-$AF37-$AE37*(1+GN$3))/$AJ37,'Технический лист'!$M:$N,2,1),(GM37-0.05)))</f>
        <v/>
      </c>
      <c r="GO37" s="172">
        <f>MIN(1,MAX(VLOOKUP(($AJ37-$AI37-$AH37-$AG37-$AF37-$AE37*(1+GO$3))/$AJ37,'Технический лист'!$M:$N,2,1),(GN37-0.05)))</f>
        <v/>
      </c>
      <c r="GP37" s="172">
        <f>MIN(1,MAX(VLOOKUP(($AJ37-$AI37-$AH37-$AG37-$AF37-$AE37*(1+GP$3))/$AJ37,'Технический лист'!$M:$N,2,1),(GO37-0.05)))</f>
        <v/>
      </c>
      <c r="GQ37" s="172">
        <f>MIN(1,MAX(VLOOKUP(($AJ37-$AI37-$AH37-$AG37-$AF37-$AE37*(1+GQ$3))/$AJ37,'Технический лист'!$M:$N,2,1),(GP37-0.05)))</f>
        <v/>
      </c>
      <c r="GR37" s="172">
        <f>MIN(1,MAX(VLOOKUP(($AJ37-$AI37-$AH37-$AG37-$AF37-$AE37*(1+GR$3))/$AJ37,'Технический лист'!$M:$N,2,1),(GQ37-0.05)))</f>
        <v/>
      </c>
      <c r="GS37" s="172">
        <f>MIN(1,MAX(VLOOKUP(($AJ37-$AI37-$AH37-$AG37-$AF37-$AE37*(1+GS$3))/$AJ37,'Технический лист'!$M:$N,2,1),(GR37-0.05)))</f>
        <v/>
      </c>
      <c r="GT37" s="172">
        <f>MIN(1,MAX(VLOOKUP(($AJ37-$AI37-$AH37-$AG37-$AF37-$AE37*(1+GT$3))/$AJ37,'Технический лист'!$M:$N,2,1),(GS37-0.05)))</f>
        <v/>
      </c>
      <c r="GU37" s="172">
        <f>MIN(1,MAX(VLOOKUP(($AJ37-$AI37-$AH37-$AG37-$AF37-$AE37*(1+GU$3))/$AJ37,'Технический лист'!$M:$N,2,1),(GT37-0.05)))</f>
        <v/>
      </c>
      <c r="GV37" s="172">
        <f>MIN(1,MAX(VLOOKUP(($AJ37-$AI37-$AH37-$AG37-$AF37-$AE37*(1+GV$3))/$AJ37,'Технический лист'!$M:$N,2,1),(GU37-0.05)))</f>
        <v/>
      </c>
      <c r="GW37" s="172">
        <f>MIN(1,MAX(VLOOKUP(($AJ37-$AI37-$AH37-$AG37-$AF37-$AE37*(1+GW$3))/$AJ37,'Технический лист'!$M:$N,2,1),(GV37-0.05)))</f>
        <v/>
      </c>
      <c r="GX37" s="172">
        <f>MIN(1,MAX(VLOOKUP(($AJ37-$AI37-$AH37-$AG37-$AF37-$AE37*(1+GX$3))/$AJ37,'Технический лист'!$M:$N,2,1),(GW37-0.05)))</f>
        <v/>
      </c>
      <c r="GY37" s="172">
        <f>MIN(1,MAX(VLOOKUP(($AJ37-$AI37-$AH37-$AG37-$AF37-$AE37*(1+GY$3))/$AJ37,'Технический лист'!$M:$N,2,1),(GX37-0.05)))</f>
        <v/>
      </c>
      <c r="GZ37" s="172">
        <f>MIN(1,MAX(VLOOKUP(($AJ37-$AI37-$AH37-$AG37-$AF37-$AE37*(1+GZ$3))/$AJ37,'Технический лист'!$M:$N,2,1),(GY37-0.05)))</f>
        <v/>
      </c>
      <c r="HA37" s="172">
        <f>MIN(1,MAX(VLOOKUP(($AJ37-$AI37-$AH37-$AG37-$AF37-$AE37*(1+HA$3))/$AJ37,'Технический лист'!$M:$N,2,1),(GZ37-0.05)))</f>
        <v/>
      </c>
      <c r="HB37" s="172">
        <f>MIN(1,MAX(VLOOKUP(($AJ37-$AI37-$AH37-$AG37-$AF37-$AE37*(1+HB$3))/$AJ37,'Технический лист'!$M:$N,2,1),(HA37-0.05)))</f>
        <v/>
      </c>
      <c r="HC37" s="172">
        <f>MIN(1,MAX(VLOOKUP(($AJ37-$AI37-$AH37-$AG37-$AF37-$AE37*(1+HC$3))/$AJ37,'Технический лист'!$M:$N,2,1),(HB37-0.05)))</f>
        <v/>
      </c>
      <c r="HD37" s="172">
        <f>MIN(1,MAX(VLOOKUP(($AJ37-$AI37-$AH37-$AG37-$AF37-$AE37*(1+HD$3))/$AJ37,'Технический лист'!$M:$N,2,1),(HC37-0.05)))</f>
        <v/>
      </c>
      <c r="HE37" s="172">
        <f>MIN(1,MAX(VLOOKUP(($AJ37-$AI37-$AH37-$AG37-$AF37-$AE37*(1+HE$3))/$AJ37,'Технический лист'!$M:$N,2,1),(HD37-0.05)))</f>
        <v/>
      </c>
      <c r="HF37" s="172">
        <f>MIN(1,MAX(VLOOKUP(($AJ37-$AI37-$AH37-$AG37-$AF37-$AE37*(1+HF$3))/$AJ37,'Технический лист'!$M:$N,2,1),(HE37-0.05)))</f>
        <v/>
      </c>
      <c r="HG37" s="172">
        <f>MIN(1,MAX(VLOOKUP(($AJ37-$AI37-$AH37-$AG37-$AF37-$AE37*(1+HG$3))/$AJ37,'Технический лист'!$M:$N,2,1),(HF37-0.05)))</f>
        <v/>
      </c>
      <c r="HH37" s="172">
        <f>MIN(1,MAX(VLOOKUP(($AJ37-$AI37-$AH37-$AG37-$AF37-$AE37*(1+HH$3))/$AJ37,'Технический лист'!$M:$N,2,1),(HG37-0.05)))</f>
        <v/>
      </c>
      <c r="HI37" s="172">
        <f>MIN(1,MAX(VLOOKUP(($AJ37-$AI37-$AH37-$AG37-$AF37-$AE37*(1+HI$3))/$AJ37,'Технический лист'!$M:$N,2,1),(HH37-0.05)))</f>
        <v/>
      </c>
      <c r="HJ37" s="172">
        <f>MIN(1,MAX(VLOOKUP(($AJ37-$AI37-$AH37-$AG37-$AF37-$AE37*(1+HJ$3))/$AJ37,'Технический лист'!$M:$N,2,1),(HI37-0.05)))</f>
        <v/>
      </c>
      <c r="HK37" s="172">
        <f>MIN(1,MAX(VLOOKUP(($AJ37-$AI37-$AH37-$AG37-$AF37-$AE37*(1+HK$3))/$AJ37,'Технический лист'!$M:$N,2,1),(HJ37-0.05)))</f>
        <v/>
      </c>
      <c r="HL37" s="172">
        <f>MIN(1,MAX(VLOOKUP(($AJ37-$AI37-$AH37-$AG37-$AF37-$AE37*(1+HL$3))/$AJ37,'Технический лист'!$M:$N,2,1),(HK37-0.05)))</f>
        <v/>
      </c>
      <c r="HM37" s="172">
        <f>MIN(1,MAX(VLOOKUP(($AJ37-$AI37-$AH37-$AG37-$AF37-$AE37*(1+HM$3))/$AJ37,'Технический лист'!$M:$N,2,1),(HL37-0.05)))</f>
        <v/>
      </c>
      <c r="HN37" s="172">
        <f>MIN(1,MAX(VLOOKUP(($AJ37-$AI37-$AH37-$AG37-$AF37-$AE37*(1+HN$3))/$AJ37,'Технический лист'!$M:$N,2,1),(HM37-0.05)))</f>
        <v/>
      </c>
      <c r="HO37" s="172">
        <f>MIN(1,MAX(VLOOKUP(($AJ37-$AI37-$AH37-$AG37-$AF37-$AE37*(1+HO$3))/$AJ37,'Технический лист'!$M:$N,2,1),(HN37-0.05)))</f>
        <v/>
      </c>
      <c r="HP37" s="172">
        <f>MIN(1,MAX(VLOOKUP(($AJ37-$AI37-$AH37-$AG37-$AF37-$AE37*(1+HP$3))/$AJ37,'Технический лист'!$M:$N,2,1),(HO37-0.05)))</f>
        <v/>
      </c>
      <c r="HQ37" s="172">
        <f>MIN(1,MAX(VLOOKUP(($AJ37-$AI37-$AH37-$AG37-$AF37-$AE37*(1+HQ$3))/$AJ37,'Технический лист'!$M:$N,2,1),(HP37-0.05)))</f>
        <v/>
      </c>
      <c r="HR37" s="172">
        <f>MIN(1,MAX(VLOOKUP(($AJ37-$AI37-$AH37-$AG37-$AF37-$AE37*(1+HR$3))/$AJ37,'Технический лист'!$M:$N,2,1),(HQ37-0.05)))</f>
        <v/>
      </c>
      <c r="HS37" s="172">
        <f>MIN(1,MAX(VLOOKUP(($AJ37-$AI37-$AH37-$AG37-$AF37-$AE37*(1+HS$3))/$AJ37,'Технический лист'!$M:$N,2,1),(HR37-0.05)))</f>
        <v/>
      </c>
      <c r="HT37" s="172">
        <f>MIN(1,MAX(VLOOKUP(($AJ37-$AI37-$AH37-$AG37-$AF37-$AE37*(1+HT$3))/$AJ37,'Технический лист'!$M:$N,2,1),(HS37-0.05)))</f>
        <v/>
      </c>
      <c r="HU37" s="172">
        <f>MIN(1,MAX(VLOOKUP(($AJ37-$AI37-$AH37-$AG37-$AF37-$AE37*(1+HU$3))/$AJ37,'Технический лист'!$M:$N,2,1),(HT37-0.05)))</f>
        <v/>
      </c>
      <c r="HV37" s="172">
        <f>MIN(1,MAX(VLOOKUP(($AJ37-$AI37-$AH37-$AG37-$AF37-$AE37*(1+HV$3))/$AJ37,'Технический лист'!$M:$N,2,1),(HU37-0.05)))</f>
        <v/>
      </c>
      <c r="HW37" s="172">
        <f>MIN(1,MAX(VLOOKUP(($AJ37-$AI37-$AH37-$AG37-$AF37-$AE37*(1+HW$3))/$AJ37,'Технический лист'!$M:$N,2,1),(HV37-0.05)))</f>
        <v/>
      </c>
      <c r="HX37" s="172">
        <f>MIN(1,MAX(VLOOKUP(($AJ37-$AI37-$AH37-$AG37-$AF37-$AE37*(1+HX$3))/$AJ37,'Технический лист'!$M:$N,2,1),(HW37-0.05)))</f>
        <v/>
      </c>
      <c r="HY37" s="172">
        <f>MIN(1,MAX(VLOOKUP(($AJ37-$AI37-$AH37-$AG37-$AF37-$AE37*(1+HY$3))/$AJ37,'Технический лист'!$M:$N,2,1),(HX37-0.05)))</f>
        <v/>
      </c>
      <c r="HZ37" s="172">
        <f>MIN(1,MAX(VLOOKUP(($AJ37-$AI37-$AH37-$AG37-$AF37-$AE37*(1+HZ$3))/$AJ37,'Технический лист'!$M:$N,2,1),(HY37-0.05)))</f>
        <v/>
      </c>
      <c r="IA37" s="172">
        <f>MIN(1,MAX(VLOOKUP(($AJ37-$AI37-$AH37-$AG37-$AF37-$AE37*(1+IA$3))/$AJ37,'Технический лист'!$M:$N,2,1),(HZ37-0.05)))</f>
        <v/>
      </c>
      <c r="IB37" s="172">
        <f>MIN(1,MAX(VLOOKUP(($AJ37-$AI37-$AH37-$AG37-$AF37-$AE37*(1+IB$3))/$AJ37,'Технический лист'!$M:$N,2,1),(IA37-0.05)))</f>
        <v/>
      </c>
      <c r="IC37" s="172">
        <f>MIN(1,MAX(VLOOKUP(($AJ37-$AI37-$AH37-$AG37-$AF37-$AE37*(1+IC$3))/$AJ37,'Технический лист'!$M:$N,2,1),(IB37-0.05)))</f>
        <v/>
      </c>
      <c r="ID37" s="172">
        <f>MIN(1,MAX(VLOOKUP(($AJ37-$AI37-$AH37-$AG37-$AF37-$AE37*(1+ID$3))/$AJ37,'Технический лист'!$M:$N,2,1),(IC37-0.05)))</f>
        <v/>
      </c>
      <c r="IE37" s="172">
        <f>MIN(1,MAX(VLOOKUP(($AJ37-$AI37-$AH37-$AG37-$AF37-$AE37*(1+IE$3))/$AJ37,'Технический лист'!$M:$N,2,1),(ID37-0.05)))</f>
        <v/>
      </c>
      <c r="IF37" s="172">
        <f>MIN(1,MAX(VLOOKUP(($AJ37-$AI37-$AH37-$AG37-$AF37-$AE37*(1+IF$3))/$AJ37,'Технический лист'!$M:$N,2,1),(IE37-0.05)))</f>
        <v/>
      </c>
      <c r="IG37" s="172">
        <f>MIN(1,MAX(VLOOKUP(($AJ37-$AI37-$AH37-$AG37-$AF37-$AE37*(1+IG$3))/$AJ37,'Технический лист'!$M:$N,2,1),(IF37-0.05)))</f>
        <v/>
      </c>
      <c r="IH37" s="172">
        <f>MIN(1,MAX(VLOOKUP(($AJ37-$AI37-$AH37-$AG37-$AF37-$AE37*(1+IH$3))/$AJ37,'Технический лист'!$M:$N,2,1),(IG37-0.05)))</f>
        <v/>
      </c>
      <c r="II37" s="172">
        <f>MIN(1,MAX(VLOOKUP(($AJ37-$AI37-$AH37-$AG37-$AF37-$AE37*(1+II$3))/$AJ37,'Технический лист'!$M:$N,2,1),(IH37-0.05)))</f>
        <v/>
      </c>
      <c r="IJ37" s="172">
        <f>MIN(1,MAX(VLOOKUP(($AJ37-$AI37-$AH37-$AG37-$AF37-$AE37*(1+IJ$3))/$AJ37,'Технический лист'!$M:$N,2,1),(II37-0.05)))</f>
        <v/>
      </c>
      <c r="IK37" s="172">
        <f>MIN(1,MAX(VLOOKUP(($AJ37-$AI37-$AH37-$AG37-$AF37-$AE37*(1+IK$3))/$AJ37,'Технический лист'!$M:$N,2,1),(IJ37-0.05)))</f>
        <v/>
      </c>
      <c r="IL37" s="172">
        <f>MIN(1,MAX(VLOOKUP(($AJ37-$AI37-$AH37-$AG37-$AF37-$AE37*(1+IL$3))/$AJ37,'Технический лист'!$M:$N,2,1),(IK37-0.05)))</f>
        <v/>
      </c>
      <c r="IM37" s="172">
        <f>MIN(1,MAX(VLOOKUP(($AJ37-$AI37-$AH37-$AG37-$AF37-$AE37*(1+IM$3))/$AJ37,'Технический лист'!$M:$N,2,1),(IL37-0.05)))</f>
        <v/>
      </c>
      <c r="IN37" s="172">
        <f>MIN(1,MAX(VLOOKUP(($AJ37-$AI37-$AH37-$AG37-$AF37-$AE37*(1+IN$3))/$AJ37,'Технический лист'!$M:$N,2,1),(IM37-0.05)))</f>
        <v/>
      </c>
      <c r="IO37" s="172">
        <f>MIN(1,MAX(VLOOKUP(($AJ37-$AI37-$AH37-$AG37-$AF37-$AE37*(1+IO$3))/$AJ37,'Технический лист'!$M:$N,2,1),(IN37-0.05)))</f>
        <v/>
      </c>
      <c r="IP37" s="172">
        <f>MIN(1,MAX(VLOOKUP(($AJ37-$AI37-$AH37-$AG37-$AF37-$AE37*(1+IP$3))/$AJ37,'Технический лист'!$M:$N,2,1),(IO37-0.05)))</f>
        <v/>
      </c>
      <c r="IQ37" s="172">
        <f>MIN(1,MAX(VLOOKUP(($AJ37-$AI37-$AH37-$AG37-$AF37-$AE37*(1+IQ$3))/$AJ37,'Технический лист'!$M:$N,2,1),(IP37-0.05)))</f>
        <v/>
      </c>
      <c r="IR37" s="172">
        <f>MIN(1,MAX(VLOOKUP(($AJ37-$AI37-$AH37-$AG37-$AF37-$AE37*(1+IR$3))/$AJ37,'Технический лист'!$M:$N,2,1),(IQ37-0.05)))</f>
        <v/>
      </c>
    </row>
    <row r="38" ht="29.15" customHeight="1" s="123">
      <c r="A38" s="89" t="inlineStr">
        <is>
          <t>ЧМ (сырье)</t>
        </is>
      </c>
      <c r="B38" s="90" t="n">
        <v>4</v>
      </c>
      <c r="C38" s="5" t="inlineStr">
        <is>
          <t>Руды  всякие</t>
        </is>
      </c>
      <c r="D38" s="91" t="n">
        <v>14109</v>
      </c>
      <c r="E38" s="91" t="inlineStr">
        <is>
          <t xml:space="preserve">Концентрат железорудный (гематит) </t>
        </is>
      </c>
      <c r="F38" s="92" t="inlineStr">
        <is>
          <t>РУДЫ И КОНЦЕНТРАТЫ ЖЕЛЕЗН</t>
        </is>
      </c>
      <c r="G38" s="91" t="inlineStr">
        <is>
          <t>ОКТ</t>
        </is>
      </c>
      <c r="H38" s="91" t="inlineStr">
        <is>
          <t>ЮУР</t>
        </is>
      </c>
      <c r="I38" s="91" t="inlineStr">
        <is>
          <t>КОВДОР</t>
        </is>
      </c>
      <c r="J38" s="91" t="inlineStr">
        <is>
          <t>КУЙБАС</t>
        </is>
      </c>
      <c r="K38" s="91" t="n">
        <v>3795</v>
      </c>
      <c r="L38" s="91" t="inlineStr">
        <is>
          <t>Полувагоны</t>
        </is>
      </c>
      <c r="M38" s="91" t="inlineStr">
        <is>
          <t>Внутр. перевозки</t>
        </is>
      </c>
      <c r="N38" s="91" t="inlineStr">
        <is>
          <t>вагонная</t>
        </is>
      </c>
      <c r="O38" s="91" t="inlineStr">
        <is>
          <t xml:space="preserve">Южное </t>
        </is>
      </c>
      <c r="P38" s="89" t="inlineStr">
        <is>
          <t>'000000186759</t>
        </is>
      </c>
      <c r="Q38" s="91" t="inlineStr">
        <is>
          <t>'АО "Ковдорский ГОК"</t>
        </is>
      </c>
      <c r="R38" s="91" t="inlineStr">
        <is>
          <t>АО "МХК "ЕвроХим"</t>
        </is>
      </c>
      <c r="S38" s="87" t="n">
        <v>789059</v>
      </c>
      <c r="T38" s="87" t="n">
        <v>2994562366</v>
      </c>
      <c r="U38" s="88" t="n">
        <v>10980</v>
      </c>
      <c r="V38" s="88" t="n">
        <v>0</v>
      </c>
      <c r="W38" s="87" t="n">
        <v>971906367</v>
      </c>
      <c r="X38" s="112" t="n">
        <v>72</v>
      </c>
      <c r="Y38" s="112" t="inlineStr">
        <is>
          <t>маршрутная</t>
        </is>
      </c>
      <c r="Z38" s="113" t="n">
        <v>8</v>
      </c>
      <c r="AA38" s="113" t="n">
        <v>8</v>
      </c>
      <c r="AB38" s="113" t="n">
        <v>4</v>
      </c>
      <c r="AC38" s="161" t="n">
        <v>1338.31</v>
      </c>
      <c r="AD38" s="161">
        <f>AE38-AC38</f>
        <v/>
      </c>
      <c r="AE38" s="161" t="n">
        <v>2087.75</v>
      </c>
      <c r="AF38" s="162">
        <f>(Z38+AA38+AB38)*'Ставки аренды'!$B$2/X38</f>
        <v/>
      </c>
      <c r="AG38" s="163" t="n">
        <v>0</v>
      </c>
      <c r="AH38" s="164" t="n">
        <v>0</v>
      </c>
      <c r="AI38" s="165">
        <f>0.5*AVERAGE(AJ37,AJ38)</f>
        <v/>
      </c>
      <c r="AJ38" s="166">
        <f>Цены!$D$14</f>
        <v/>
      </c>
      <c r="AK38" s="164">
        <f>AJ38/Цены!$B$1</f>
        <v/>
      </c>
      <c r="AL38" s="164">
        <f>AE38+AF38+AG38</f>
        <v/>
      </c>
      <c r="AM38" s="164">
        <f>AJ38-AL38</f>
        <v/>
      </c>
      <c r="AN38" s="164">
        <f>AI38+AH38+AG38+AF38+AE38</f>
        <v/>
      </c>
      <c r="AO38" s="167">
        <f>(AJ38-AN38)/AJ38</f>
        <v/>
      </c>
      <c r="AP38" s="168">
        <f>AL38/AJ38</f>
        <v/>
      </c>
      <c r="AQ38" s="168">
        <f>AE38/AJ38</f>
        <v/>
      </c>
      <c r="AR38" s="168">
        <f>AE38/AL38</f>
        <v/>
      </c>
      <c r="AS38" s="169" t="n">
        <v>1</v>
      </c>
      <c r="AT38" s="121">
        <f>S38*AS38</f>
        <v/>
      </c>
      <c r="AU38" s="7" t="n">
        <v>0.98</v>
      </c>
      <c r="AV38" s="170">
        <f>(AJ38-(AE38*(1+$IS$2)+AF38+AG38+AH38+AI38))/AJ38</f>
        <v/>
      </c>
      <c r="AW38" s="171">
        <f>(AE38*(1+$IS$2)+AF38+AG38)/AJ38</f>
        <v/>
      </c>
      <c r="AX38" s="171">
        <f>(AE38*(1+$IS$2))/AJ38</f>
        <v/>
      </c>
      <c r="AY38" s="171">
        <f>(AE38*(1+$IS$2))/(AE38*(1+$IS$2)+AF38+AG38)</f>
        <v/>
      </c>
      <c r="AZ38" s="172">
        <f>MIN(IF($AU38=100%,1,1+VLOOKUP(($AJ38-$AI38-$AH38-$AG38-$AF38-$AE38*(1+AZ$3))/$AJ38,'Технический лист'!$M:$N,2,1)-VLOOKUP($AO38,'Технический лист'!$M:$N,2,1)),1+(1-$AU38))</f>
        <v/>
      </c>
      <c r="BA38" s="172">
        <f>MIN(IF($AU38=100%,1,1+VLOOKUP(($AJ38-$AI38-$AH38-$AG38-$AF38-$AE38*(1+BA$3))/$AJ38,'Технический лист'!$M:$N,2,1)-VLOOKUP($AO38,'Технический лист'!$M:$N,2,1)),1+(1-$AU38))</f>
        <v/>
      </c>
      <c r="BB38" s="172">
        <f>MIN(IF($AU38=100%,1,1+VLOOKUP(($AJ38-$AI38-$AH38-$AG38-$AF38-$AE38*(1+BB$3))/$AJ38,'Технический лист'!$M:$N,2,1)-VLOOKUP($AO38,'Технический лист'!$M:$N,2,1)),1+(1-$AU38))</f>
        <v/>
      </c>
      <c r="BC38" s="172">
        <f>MIN(IF($AU38=100%,1,1+VLOOKUP(($AJ38-$AI38-$AH38-$AG38-$AF38-$AE38*(1+BC$3))/$AJ38,'Технический лист'!$M:$N,2,1)-VLOOKUP($AO38,'Технический лист'!$M:$N,2,1)),1+(1-$AU38))</f>
        <v/>
      </c>
      <c r="BD38" s="172">
        <f>MIN(IF($AU38=100%,1,1+VLOOKUP(($AJ38-$AI38-$AH38-$AG38-$AF38-$AE38*(1+BD$3))/$AJ38,'Технический лист'!$M:$N,2,1)-VLOOKUP($AO38,'Технический лист'!$M:$N,2,1)),1+(1-$AU38))</f>
        <v/>
      </c>
      <c r="BE38" s="172">
        <f>MIN(IF($AU38=100%,1,1+VLOOKUP(($AJ38-$AI38-$AH38-$AG38-$AF38-$AE38*(1+BE$3))/$AJ38,'Технический лист'!$M:$N,2,1)-VLOOKUP($AO38,'Технический лист'!$M:$N,2,1)),1+(1-$AU38))</f>
        <v/>
      </c>
      <c r="BF38" s="172">
        <f>MIN(IF($AU38=100%,1,1+VLOOKUP(($AJ38-$AI38-$AH38-$AG38-$AF38-$AE38*(1+BF$3))/$AJ38,'Технический лист'!$M:$N,2,1)-VLOOKUP($AO38,'Технический лист'!$M:$N,2,1)),1+(1-$AU38))</f>
        <v/>
      </c>
      <c r="BG38" s="172">
        <f>MIN(IF($AU38=100%,1,1+VLOOKUP(($AJ38-$AI38-$AH38-$AG38-$AF38-$AE38*(1+BG$3))/$AJ38,'Технический лист'!$M:$N,2,1)-VLOOKUP($AO38,'Технический лист'!$M:$N,2,1)),1+(1-$AU38))</f>
        <v/>
      </c>
      <c r="BH38" s="172">
        <f>MIN(IF($AU38=100%,1,1+VLOOKUP(($AJ38-$AI38-$AH38-$AG38-$AF38-$AE38*(1+BH$3))/$AJ38,'Технический лист'!$M:$N,2,1)-VLOOKUP($AO38,'Технический лист'!$M:$N,2,1)),1+(1-$AU38))</f>
        <v/>
      </c>
      <c r="BI38" s="172">
        <f>MIN(IF($AU38=100%,1,1+VLOOKUP(($AJ38-$AI38-$AH38-$AG38-$AF38-$AE38*(1+BI$3))/$AJ38,'Технический лист'!$M:$N,2,1)-VLOOKUP($AO38,'Технический лист'!$M:$N,2,1)),1+(1-$AU38))</f>
        <v/>
      </c>
      <c r="BJ38" s="172">
        <f>MIN(IF($AU38=100%,1,1+VLOOKUP(($AJ38-$AI38-$AH38-$AG38-$AF38-$AE38*(1+BJ$3))/$AJ38,'Технический лист'!$M:$N,2,1)-VLOOKUP($AO38,'Технический лист'!$M:$N,2,1)),1+(1-$AU38))</f>
        <v/>
      </c>
      <c r="BK38" s="172">
        <f>MIN(IF($AU38=100%,1,1+VLOOKUP(($AJ38-$AI38-$AH38-$AG38-$AF38-$AE38*(1+BK$3))/$AJ38,'Технический лист'!$M:$N,2,1)-VLOOKUP($AO38,'Технический лист'!$M:$N,2,1)),1+(1-$AU38))</f>
        <v/>
      </c>
      <c r="BL38" s="172">
        <f>MIN(IF($AU38=100%,1,1+VLOOKUP(($AJ38-$AI38-$AH38-$AG38-$AF38-$AE38*(1+BL$3))/$AJ38,'Технический лист'!$M:$N,2,1)-VLOOKUP($AO38,'Технический лист'!$M:$N,2,1)),1+(1-$AU38))</f>
        <v/>
      </c>
      <c r="BM38" s="172">
        <f>MIN(IF($AU38=100%,1,1+VLOOKUP(($AJ38-$AI38-$AH38-$AG38-$AF38-$AE38*(1+BM$3))/$AJ38,'Технический лист'!$M:$N,2,1)-VLOOKUP($AO38,'Технический лист'!$M:$N,2,1)),1+(1-$AU38))</f>
        <v/>
      </c>
      <c r="BN38" s="172">
        <f>MIN(IF($AU38=100%,1,1+VLOOKUP(($AJ38-$AI38-$AH38-$AG38-$AF38-$AE38*(1+BN$3))/$AJ38,'Технический лист'!$M:$N,2,1)-VLOOKUP($AO38,'Технический лист'!$M:$N,2,1)),1+(1-$AU38))</f>
        <v/>
      </c>
      <c r="BO38" s="172">
        <f>MIN(IF($AU38=100%,1,1+VLOOKUP(($AJ38-$AI38-$AH38-$AG38-$AF38-$AE38*(1+BO$3))/$AJ38,'Технический лист'!$M:$N,2,1)-VLOOKUP($AO38,'Технический лист'!$M:$N,2,1)),1+(1-$AU38))</f>
        <v/>
      </c>
      <c r="BP38" s="172">
        <f>MIN(IF($AU38=100%,1,1+VLOOKUP(($AJ38-$AI38-$AH38-$AG38-$AF38-$AE38*(1+BP$3))/$AJ38,'Технический лист'!$M:$N,2,1)-VLOOKUP($AO38,'Технический лист'!$M:$N,2,1)),1+(1-$AU38))</f>
        <v/>
      </c>
      <c r="BQ38" s="172">
        <f>MIN(IF($AU38=100%,1,1+VLOOKUP(($AJ38-$AI38-$AH38-$AG38-$AF38-$AE38*(1+BQ$3))/$AJ38,'Технический лист'!$M:$N,2,1)-VLOOKUP($AO38,'Технический лист'!$M:$N,2,1)),1+(1-$AU38))</f>
        <v/>
      </c>
      <c r="BR38" s="172">
        <f>MIN(IF($AU38=100%,1,1+VLOOKUP(($AJ38-$AI38-$AH38-$AG38-$AF38-$AE38*(1+BR$3))/$AJ38,'Технический лист'!$M:$N,2,1)-VLOOKUP($AO38,'Технический лист'!$M:$N,2,1)),1+(1-$AU38))</f>
        <v/>
      </c>
      <c r="BS38" s="172">
        <f>MIN(IF($AU38=100%,1,1+VLOOKUP(($AJ38-$AI38-$AH38-$AG38-$AF38-$AE38*(1+BS$3))/$AJ38,'Технический лист'!$M:$N,2,1)-VLOOKUP($AO38,'Технический лист'!$M:$N,2,1)),1+(1-$AU38))</f>
        <v/>
      </c>
      <c r="BT38" s="172">
        <f>MIN(IF($AU38=100%,1,1+VLOOKUP(($AJ38-$AI38-$AH38-$AG38-$AF38-$AE38*(1+BT$3))/$AJ38,'Технический лист'!$M:$N,2,1)-VLOOKUP($AO38,'Технический лист'!$M:$N,2,1)),1+(1-$AU38))</f>
        <v/>
      </c>
      <c r="BU38" s="172">
        <f>MIN(IF($AU38=100%,1,1+VLOOKUP(($AJ38-$AI38-$AH38-$AG38-$AF38-$AE38*(1+BU$3))/$AJ38,'Технический лист'!$M:$N,2,1)-VLOOKUP($AO38,'Технический лист'!$M:$N,2,1)),1+(1-$AU38))</f>
        <v/>
      </c>
      <c r="BV38" s="172">
        <f>MIN(IF($AU38=100%,1,1+VLOOKUP(($AJ38-$AI38-$AH38-$AG38-$AF38-$AE38*(1+BV$3))/$AJ38,'Технический лист'!$M:$N,2,1)-VLOOKUP($AO38,'Технический лист'!$M:$N,2,1)),1+(1-$AU38))</f>
        <v/>
      </c>
      <c r="BW38" s="172">
        <f>MIN(IF($AU38=100%,1,1+VLOOKUP(($AJ38-$AI38-$AH38-$AG38-$AF38-$AE38*(1+BW$3))/$AJ38,'Технический лист'!$M:$N,2,1)-VLOOKUP($AO38,'Технический лист'!$M:$N,2,1)),1+(1-$AU38))</f>
        <v/>
      </c>
      <c r="BX38" s="172">
        <f>MIN(IF($AU38=100%,1,1+VLOOKUP(($AJ38-$AI38-$AH38-$AG38-$AF38-$AE38*(1+BX$3))/$AJ38,'Технический лист'!$M:$N,2,1)-VLOOKUP($AO38,'Технический лист'!$M:$N,2,1)),1+(1-$AU38))</f>
        <v/>
      </c>
      <c r="BY38" s="172">
        <f>MIN(IF($AU38=100%,1,1+VLOOKUP(($AJ38-$AI38-$AH38-$AG38-$AF38-$AE38*(1+BY$3))/$AJ38,'Технический лист'!$M:$N,2,1)-VLOOKUP($AO38,'Технический лист'!$M:$N,2,1)),1+(1-$AU38))</f>
        <v/>
      </c>
      <c r="BZ38" s="172">
        <f>MIN(IF($AU38=100%,1,1+VLOOKUP(($AJ38-$AI38-$AH38-$AG38-$AF38-$AE38*(1+BZ$3))/$AJ38,'Технический лист'!$M:$N,2,1)-VLOOKUP($AO38,'Технический лист'!$M:$N,2,1)),1+(1-$AU38))</f>
        <v/>
      </c>
      <c r="CA38" s="172">
        <f>MIN(IF($AU38=100%,1,1+VLOOKUP(($AJ38-$AI38-$AH38-$AG38-$AF38-$AE38*(1+CA$3))/$AJ38,'Технический лист'!$M:$N,2,1)-VLOOKUP($AO38,'Технический лист'!$M:$N,2,1)),1+(1-$AU38))</f>
        <v/>
      </c>
      <c r="CB38" s="172">
        <f>MIN(IF($AU38=100%,1,1+VLOOKUP(($AJ38-$AI38-$AH38-$AG38-$AF38-$AE38*(1+CB$3))/$AJ38,'Технический лист'!$M:$N,2,1)-VLOOKUP($AO38,'Технический лист'!$M:$N,2,1)),1+(1-$AU38))</f>
        <v/>
      </c>
      <c r="CC38" s="172">
        <f>MIN(IF($AU38=100%,1,1+VLOOKUP(($AJ38-$AI38-$AH38-$AG38-$AF38-$AE38*(1+CC$3))/$AJ38,'Технический лист'!$M:$N,2,1)-VLOOKUP($AO38,'Технический лист'!$M:$N,2,1)),1+(1-$AU38))</f>
        <v/>
      </c>
      <c r="CD38" s="172">
        <f>MIN(IF($AU38=100%,1,1+VLOOKUP(($AJ38-$AI38-$AH38-$AG38-$AF38-$AE38*(1+CD$3))/$AJ38,'Технический лист'!$M:$N,2,1)-VLOOKUP($AO38,'Технический лист'!$M:$N,2,1)),1+(1-$AU38))</f>
        <v/>
      </c>
      <c r="CE38" s="172">
        <f>MIN(IF($AU38=100%,1,1+VLOOKUP(($AJ38-$AI38-$AH38-$AG38-$AF38-$AE38*(1+CE$3))/$AJ38,'Технический лист'!$M:$N,2,1)-VLOOKUP($AO38,'Технический лист'!$M:$N,2,1)),1+(1-$AU38))</f>
        <v/>
      </c>
      <c r="CF38" s="172">
        <f>MIN(IF($AU38=100%,1,1+VLOOKUP(($AJ38-$AI38-$AH38-$AG38-$AF38-$AE38*(1+CF$3))/$AJ38,'Технический лист'!$M:$N,2,1)-VLOOKUP($AO38,'Технический лист'!$M:$N,2,1)),1+(1-$AU38))</f>
        <v/>
      </c>
      <c r="CG38" s="172">
        <f>MIN(IF($AU38=100%,1,1+VLOOKUP(($AJ38-$AI38-$AH38-$AG38-$AF38-$AE38*(1+CG$3))/$AJ38,'Технический лист'!$M:$N,2,1)-VLOOKUP($AO38,'Технический лист'!$M:$N,2,1)),1+(1-$AU38))</f>
        <v/>
      </c>
      <c r="CH38" s="172">
        <f>MIN(IF($AU38=100%,1,1+VLOOKUP(($AJ38-$AI38-$AH38-$AG38-$AF38-$AE38*(1+CH$3))/$AJ38,'Технический лист'!$M:$N,2,1)-VLOOKUP($AO38,'Технический лист'!$M:$N,2,1)),1+(1-$AU38))</f>
        <v/>
      </c>
      <c r="CI38" s="172">
        <f>MIN(IF($AU38=100%,1,1+VLOOKUP(($AJ38-$AI38-$AH38-$AG38-$AF38-$AE38*(1+CI$3))/$AJ38,'Технический лист'!$M:$N,2,1)-VLOOKUP($AO38,'Технический лист'!$M:$N,2,1)),1+(1-$AU38))</f>
        <v/>
      </c>
      <c r="CJ38" s="172">
        <f>MIN(IF($AU38=100%,1,1+VLOOKUP(($AJ38-$AI38-$AH38-$AG38-$AF38-$AE38*(1+CJ$3))/$AJ38,'Технический лист'!$M:$N,2,1)-VLOOKUP($AO38,'Технический лист'!$M:$N,2,1)),1+(1-$AU38))</f>
        <v/>
      </c>
      <c r="CK38" s="172">
        <f>MIN(IF($AU38=100%,1,1+VLOOKUP(($AJ38-$AI38-$AH38-$AG38-$AF38-$AE38*(1+CK$3))/$AJ38,'Технический лист'!$M:$N,2,1)-VLOOKUP($AO38,'Технический лист'!$M:$N,2,1)),1+(1-$AU38))</f>
        <v/>
      </c>
      <c r="CL38" s="172">
        <f>MIN(IF($AU38=100%,1,1+VLOOKUP(($AJ38-$AI38-$AH38-$AG38-$AF38-$AE38*(1+CL$3))/$AJ38,'Технический лист'!$M:$N,2,1)-VLOOKUP($AO38,'Технический лист'!$M:$N,2,1)),1+(1-$AU38))</f>
        <v/>
      </c>
      <c r="CM38" s="172">
        <f>MIN(IF($AU38=100%,1,1+VLOOKUP(($AJ38-$AI38-$AH38-$AG38-$AF38-$AE38*(1+CM$3))/$AJ38,'Технический лист'!$M:$N,2,1)-VLOOKUP($AO38,'Технический лист'!$M:$N,2,1)),1+(1-$AU38))</f>
        <v/>
      </c>
      <c r="CN38" s="172">
        <f>MIN(IF($AU38=100%,1,1+VLOOKUP(($AJ38-$AI38-$AH38-$AG38-$AF38-$AE38*(1+CN$3))/$AJ38,'Технический лист'!$M:$N,2,1)-VLOOKUP($AO38,'Технический лист'!$M:$N,2,1)),1+(1-$AU38))</f>
        <v/>
      </c>
      <c r="CO38" s="172">
        <f>MIN(IF($AU38=100%,1,1+VLOOKUP(($AJ38-$AI38-$AH38-$AG38-$AF38-$AE38*(1+CO$3))/$AJ38,'Технический лист'!$M:$N,2,1)-VLOOKUP($AO38,'Технический лист'!$M:$N,2,1)),1+(1-$AU38))</f>
        <v/>
      </c>
      <c r="CP38" s="172">
        <f>MIN(IF($AU38=100%,1,1+VLOOKUP(($AJ38-$AI38-$AH38-$AG38-$AF38-$AE38*(1+CP$3))/$AJ38,'Технический лист'!$M:$N,2,1)-VLOOKUP($AO38,'Технический лист'!$M:$N,2,1)),1+(1-$AU38))</f>
        <v/>
      </c>
      <c r="CQ38" s="172">
        <f>MIN(IF($AU38=100%,1,1+VLOOKUP(($AJ38-$AI38-$AH38-$AG38-$AF38-$AE38*(1+CQ$3))/$AJ38,'Технический лист'!$M:$N,2,1)-VLOOKUP($AO38,'Технический лист'!$M:$N,2,1)),1+(1-$AU38))</f>
        <v/>
      </c>
      <c r="CR38" s="172">
        <f>MIN(IF($AU38=100%,1,1+VLOOKUP(($AJ38-$AI38-$AH38-$AG38-$AF38-$AE38*(1+CR$3))/$AJ38,'Технический лист'!$M:$N,2,1)-VLOOKUP($AO38,'Технический лист'!$M:$N,2,1)),1+(1-$AU38))</f>
        <v/>
      </c>
      <c r="CS38" s="172">
        <f>MIN(IF($AU38=100%,1,1+VLOOKUP(($AJ38-$AI38-$AH38-$AG38-$AF38-$AE38*(1+CS$3))/$AJ38,'Технический лист'!$M:$N,2,1)-VLOOKUP($AO38,'Технический лист'!$M:$N,2,1)),1+(1-$AU38))</f>
        <v/>
      </c>
      <c r="CT38" s="172">
        <f>MIN(IF($AU38=100%,1,1+VLOOKUP(($AJ38-$AI38-$AH38-$AG38-$AF38-$AE38*(1+CT$3))/$AJ38,'Технический лист'!$M:$N,2,1)-VLOOKUP($AO38,'Технический лист'!$M:$N,2,1)),1+(1-$AU38))</f>
        <v/>
      </c>
      <c r="CU38" s="172">
        <f>MIN(IF($AU38=100%,1,1+VLOOKUP(($AJ38-$AI38-$AH38-$AG38-$AF38-$AE38*(1+CU$3))/$AJ38,'Технический лист'!$M:$N,2,1)-VLOOKUP($AO38,'Технический лист'!$M:$N,2,1)),1+(1-$AU38))</f>
        <v/>
      </c>
      <c r="CV38" s="172">
        <f>MIN(IF($AU38=100%,1,1+VLOOKUP(($AJ38-$AI38-$AH38-$AG38-$AF38-$AE38*(1+CV$3))/$AJ38,'Технический лист'!$M:$N,2,1)-VLOOKUP($AO38,'Технический лист'!$M:$N,2,1)),1+(1-$AU38))</f>
        <v/>
      </c>
      <c r="CW38" s="172">
        <f>MIN(IF($AU38=100%,1,1+VLOOKUP(($AJ38-$AI38-$AH38-$AG38-$AF38-$AE38*(1+CW$3))/$AJ38,'Технический лист'!$M:$N,2,1)-VLOOKUP($AO38,'Технический лист'!$M:$N,2,1)),1+(1-$AU38))</f>
        <v/>
      </c>
      <c r="CX38" s="172">
        <f>MIN(IF($AU38=100%,1,1+VLOOKUP(($AJ38-$AI38-$AH38-$AG38-$AF38-$AE38*(1+CX$3))/$AJ38,'Технический лист'!$M:$N,2,1)-VLOOKUP($AO38,'Технический лист'!$M:$N,2,1)),1+(1-$AU38))</f>
        <v/>
      </c>
      <c r="CY38" s="172">
        <f>MIN(IF($AU38=100%,1,1+VLOOKUP(($AJ38-$AI38-$AH38-$AG38-$AF38-$AE38*(1+CY$3))/$AJ38,'Технический лист'!$M:$N,2,1)-VLOOKUP($AO38,'Технический лист'!$M:$N,2,1)),1+(1-$AU38))</f>
        <v/>
      </c>
      <c r="CZ38" s="172">
        <f>MIN(IF($AU38=100%,1,1+VLOOKUP(($AJ38-$AI38-$AH38-$AG38-$AF38-$AE38*(1+CZ$3))/$AJ38,'Технический лист'!$M:$N,2,1)-VLOOKUP($AO38,'Технический лист'!$M:$N,2,1)),1+(1-$AU38))</f>
        <v/>
      </c>
      <c r="DA38" s="172">
        <f>MIN(IF($AU38=100%,1,1+VLOOKUP(($AJ38-$AI38-$AH38-$AG38-$AF38-$AE38*(1+DA$3))/$AJ38,'Технический лист'!$M:$N,2,1)-VLOOKUP($AO38,'Технический лист'!$M:$N,2,1)),1+(1-$AU38))</f>
        <v/>
      </c>
      <c r="DB38" s="172">
        <f>MIN(IF($AU38=100%,1,1+VLOOKUP(($AJ38-$AI38-$AH38-$AG38-$AF38-$AE38*(1+DB$3))/$AJ38,'Технический лист'!$M:$N,2,1)-VLOOKUP($AO38,'Технический лист'!$M:$N,2,1)),1+(1-$AU38))</f>
        <v/>
      </c>
      <c r="DC38" s="172">
        <f>MIN(IF($AU38=100%,1,1+VLOOKUP(($AJ38-$AI38-$AH38-$AG38-$AF38-$AE38*(1+DC$3))/$AJ38,'Технический лист'!$M:$N,2,1)-VLOOKUP($AO38,'Технический лист'!$M:$N,2,1)),1+(1-$AU38))</f>
        <v/>
      </c>
      <c r="DD38" s="172">
        <f>MIN(IF($AU38=100%,1,1+VLOOKUP(($AJ38-$AI38-$AH38-$AG38-$AF38-$AE38*(1+DD$3))/$AJ38,'Технический лист'!$M:$N,2,1)-VLOOKUP($AO38,'Технический лист'!$M:$N,2,1)),1+(1-$AU38))</f>
        <v/>
      </c>
      <c r="DE38" s="172">
        <f>MIN(IF($AU38=100%,1,1+VLOOKUP(($AJ38-$AI38-$AH38-$AG38-$AF38-$AE38*(1+DE$3))/$AJ38,'Технический лист'!$M:$N,2,1)-VLOOKUP($AO38,'Технический лист'!$M:$N,2,1)),1+(1-$AU38))</f>
        <v/>
      </c>
      <c r="DF38" s="172">
        <f>MIN(IF($AU38=100%,1,1+VLOOKUP(($AJ38-$AI38-$AH38-$AG38-$AF38-$AE38*(1+DF$3))/$AJ38,'Технический лист'!$M:$N,2,1)-VLOOKUP($AO38,'Технический лист'!$M:$N,2,1)),1+(1-$AU38))</f>
        <v/>
      </c>
      <c r="DG38" s="172">
        <f>MIN(IF($AU38=100%,1,1+VLOOKUP(($AJ38-$AI38-$AH38-$AG38-$AF38-$AE38*(1+DG$3))/$AJ38,'Технический лист'!$M:$N,2,1)-VLOOKUP($AO38,'Технический лист'!$M:$N,2,1)),1+(1-$AU38))</f>
        <v/>
      </c>
      <c r="DH38" s="172">
        <f>MIN(IF($AU38=100%,1,1+VLOOKUP(($AJ38-$AI38-$AH38-$AG38-$AF38-$AE38*(1+DH$3))/$AJ38,'Технический лист'!$M:$N,2,1)-VLOOKUP($AO38,'Технический лист'!$M:$N,2,1)),1+(1-$AU38))</f>
        <v/>
      </c>
      <c r="DI38" s="172">
        <f>MIN(IF($AU38=100%,1,1+VLOOKUP(($AJ38-$AI38-$AH38-$AG38-$AF38-$AE38*(1+DI$3))/$AJ38,'Технический лист'!$M:$N,2,1)-VLOOKUP($AO38,'Технический лист'!$M:$N,2,1)),1+(1-$AU38))</f>
        <v/>
      </c>
      <c r="DJ38" s="172">
        <f>MIN(IF($AU38=100%,1,1+VLOOKUP(($AJ38-$AI38-$AH38-$AG38-$AF38-$AE38*(1+DJ$3))/$AJ38,'Технический лист'!$M:$N,2,1)-VLOOKUP($AO38,'Технический лист'!$M:$N,2,1)),1+(1-$AU38))</f>
        <v/>
      </c>
      <c r="DK38" s="172">
        <f>MIN(IF($AU38=100%,1,1+VLOOKUP(($AJ38-$AI38-$AH38-$AG38-$AF38-$AE38*(1+DK$3))/$AJ38,'Технический лист'!$M:$N,2,1)-VLOOKUP($AO38,'Технический лист'!$M:$N,2,1)),1+(1-$AU38))</f>
        <v/>
      </c>
      <c r="DL38" s="172">
        <f>MIN(IF($AU38=100%,1,1+VLOOKUP(($AJ38-$AI38-$AH38-$AG38-$AF38-$AE38*(1+DL$3))/$AJ38,'Технический лист'!$M:$N,2,1)-VLOOKUP($AO38,'Технический лист'!$M:$N,2,1)),1+(1-$AU38))</f>
        <v/>
      </c>
      <c r="DM38" s="172">
        <f>MIN(IF($AU38=100%,1,1+VLOOKUP(($AJ38-$AI38-$AH38-$AG38-$AF38-$AE38*(1+DM$3))/$AJ38,'Технический лист'!$M:$N,2,1)-VLOOKUP($AO38,'Технический лист'!$M:$N,2,1)),1+(1-$AU38))</f>
        <v/>
      </c>
      <c r="DN38" s="172">
        <f>MIN(IF($AU38=100%,1,1+VLOOKUP(($AJ38-$AI38-$AH38-$AG38-$AF38-$AE38*(1+DN$3))/$AJ38,'Технический лист'!$M:$N,2,1)-VLOOKUP($AO38,'Технический лист'!$M:$N,2,1)),1+(1-$AU38))</f>
        <v/>
      </c>
      <c r="DO38" s="172">
        <f>MIN(IF($AU38=100%,1,1+VLOOKUP(($AJ38-$AI38-$AH38-$AG38-$AF38-$AE38*(1+DO$3))/$AJ38,'Технический лист'!$M:$N,2,1)-VLOOKUP($AO38,'Технический лист'!$M:$N,2,1)),1+(1-$AU38))</f>
        <v/>
      </c>
      <c r="DP38" s="172">
        <f>MIN(IF($AU38=100%,1,1+VLOOKUP(($AJ38-$AI38-$AH38-$AG38-$AF38-$AE38*(1+DP$3))/$AJ38,'Технический лист'!$M:$N,2,1)-VLOOKUP($AO38,'Технический лист'!$M:$N,2,1)),1+(1-$AU38))</f>
        <v/>
      </c>
      <c r="DQ38" s="172">
        <f>MIN(IF($AU38=100%,1,1+VLOOKUP(($AJ38-$AI38-$AH38-$AG38-$AF38-$AE38*(1+DQ$3))/$AJ38,'Технический лист'!$M:$N,2,1)-VLOOKUP($AO38,'Технический лист'!$M:$N,2,1)),1+(1-$AU38))</f>
        <v/>
      </c>
      <c r="DR38" s="172">
        <f>MIN(IF($AU38=100%,1,1+VLOOKUP(($AJ38-$AI38-$AH38-$AG38-$AF38-$AE38*(1+DR$3))/$AJ38,'Технический лист'!$M:$N,2,1)-VLOOKUP($AO38,'Технический лист'!$M:$N,2,1)),1+(1-$AU38))</f>
        <v/>
      </c>
      <c r="DS38" s="172">
        <f>MIN(IF($AU38=100%,1,1+VLOOKUP(($AJ38-$AI38-$AH38-$AG38-$AF38-$AE38*(1+DS$3))/$AJ38,'Технический лист'!$M:$N,2,1)-VLOOKUP($AO38,'Технический лист'!$M:$N,2,1)),1+(1-$AU38))</f>
        <v/>
      </c>
      <c r="DT38" s="172">
        <f>MIN(IF($AU38=100%,1,1+VLOOKUP(($AJ38-$AI38-$AH38-$AG38-$AF38-$AE38*(1+DT$3))/$AJ38,'Технический лист'!$M:$N,2,1)-VLOOKUP($AO38,'Технический лист'!$M:$N,2,1)),1+(1-$AU38))</f>
        <v/>
      </c>
      <c r="DU38" s="172">
        <f>MIN(IF($AU38=100%,1,1+VLOOKUP(($AJ38-$AI38-$AH38-$AG38-$AF38-$AE38*(1+DU$3))/$AJ38,'Технический лист'!$M:$N,2,1)-VLOOKUP($AO38,'Технический лист'!$M:$N,2,1)),1+(1-$AU38))</f>
        <v/>
      </c>
      <c r="DV38" s="172">
        <f>MIN(IF($AU38=100%,1,1+VLOOKUP(($AJ38-$AI38-$AH38-$AG38-$AF38-$AE38*(1+DV$3))/$AJ38,'Технический лист'!$M:$N,2,1)-VLOOKUP($AO38,'Технический лист'!$M:$N,2,1)),1+(1-$AU38))</f>
        <v/>
      </c>
      <c r="DW38" s="172">
        <f>MIN(IF($AU38=100%,1,1+VLOOKUP(($AJ38-$AI38-$AH38-$AG38-$AF38-$AE38*(1+DW$3))/$AJ38,'Технический лист'!$M:$N,2,1)-VLOOKUP($AO38,'Технический лист'!$M:$N,2,1)),1+(1-$AU38))</f>
        <v/>
      </c>
      <c r="DX38" s="172">
        <f>MIN(IF($AU38=100%,1,1+VLOOKUP(($AJ38-$AI38-$AH38-$AG38-$AF38-$AE38*(1+DX$3))/$AJ38,'Технический лист'!$M:$N,2,1)-VLOOKUP($AO38,'Технический лист'!$M:$N,2,1)),1+(1-$AU38))</f>
        <v/>
      </c>
      <c r="DY38" s="172">
        <f>MIN(IF($AU38=100%,1,1+VLOOKUP(($AJ38-$AI38-$AH38-$AG38-$AF38-$AE38*(1+DY$3))/$AJ38,'Технический лист'!$M:$N,2,1)-VLOOKUP($AO38,'Технический лист'!$M:$N,2,1)),1+(1-$AU38))</f>
        <v/>
      </c>
      <c r="DZ38" s="172">
        <f>MIN(IF($AU38=100%,1,1+VLOOKUP(($AJ38-$AI38-$AH38-$AG38-$AF38-$AE38*(1+DZ$3))/$AJ38,'Технический лист'!$M:$N,2,1)-VLOOKUP($AO38,'Технический лист'!$M:$N,2,1)),1+(1-$AU38))</f>
        <v/>
      </c>
      <c r="EA38" s="172">
        <f>MIN(IF($AU38=100%,1,1+VLOOKUP(($AJ38-$AI38-$AH38-$AG38-$AF38-$AE38*(1+EA$3))/$AJ38,'Технический лист'!$M:$N,2,1)-VLOOKUP($AO38,'Технический лист'!$M:$N,2,1)),1+(1-$AU38))</f>
        <v/>
      </c>
      <c r="EB38" s="172">
        <f>MIN(IF($AU38=100%,1,1+VLOOKUP(($AJ38-$AI38-$AH38-$AG38-$AF38-$AE38*(1+EB$3))/$AJ38,'Технический лист'!$M:$N,2,1)-VLOOKUP($AO38,'Технический лист'!$M:$N,2,1)),1+(1-$AU38))</f>
        <v/>
      </c>
      <c r="EC38" s="172">
        <f>MIN(IF($AU38=100%,1,1+VLOOKUP(($AJ38-$AI38-$AH38-$AG38-$AF38-$AE38*(1+EC$3))/$AJ38,'Технический лист'!$M:$N,2,1)-VLOOKUP($AO38,'Технический лист'!$M:$N,2,1)),1+(1-$AU38))</f>
        <v/>
      </c>
      <c r="ED38" s="172">
        <f>MIN(IF($AU38=100%,1,1+VLOOKUP(($AJ38-$AI38-$AH38-$AG38-$AF38-$AE38*(1+ED$3))/$AJ38,'Технический лист'!$M:$N,2,1)-VLOOKUP($AO38,'Технический лист'!$M:$N,2,1)),1+(1-$AU38))</f>
        <v/>
      </c>
      <c r="EE38" s="172">
        <f>MIN(IF($AU38=100%,1,1+VLOOKUP(($AJ38-$AI38-$AH38-$AG38-$AF38-$AE38*(1+EE$3))/$AJ38,'Технический лист'!$M:$N,2,1)-VLOOKUP($AO38,'Технический лист'!$M:$N,2,1)),1+(1-$AU38))</f>
        <v/>
      </c>
      <c r="EF38" s="172">
        <f>MIN(IF($AU38=100%,1,1+VLOOKUP(($AJ38-$AI38-$AH38-$AG38-$AF38-$AE38*(1+EF$3))/$AJ38,'Технический лист'!$M:$N,2,1)-VLOOKUP($AO38,'Технический лист'!$M:$N,2,1)),1+(1-$AU38))</f>
        <v/>
      </c>
      <c r="EG38" s="172">
        <f>MIN(IF($AU38=100%,1,1+VLOOKUP(($AJ38-$AI38-$AH38-$AG38-$AF38-$AE38*(1+EG$3))/$AJ38,'Технический лист'!$M:$N,2,1)-VLOOKUP($AO38,'Технический лист'!$M:$N,2,1)),1+(1-$AU38))</f>
        <v/>
      </c>
      <c r="EH38" s="172">
        <f>MIN(IF($AU38=100%,1,1+VLOOKUP(($AJ38-$AI38-$AH38-$AG38-$AF38-$AE38*(1+EH$3))/$AJ38,'Технический лист'!$M:$N,2,1)-VLOOKUP($AO38,'Технический лист'!$M:$N,2,1)),1+(1-$AU38))</f>
        <v/>
      </c>
      <c r="EI38" s="172">
        <f>MIN(IF($AU38=100%,1,1+VLOOKUP(($AJ38-$AI38-$AH38-$AG38-$AF38-$AE38*(1+EI$3))/$AJ38,'Технический лист'!$M:$N,2,1)-VLOOKUP($AO38,'Технический лист'!$M:$N,2,1)),1+(1-$AU38))</f>
        <v/>
      </c>
      <c r="EJ38" s="172">
        <f>MIN(IF($AU38=100%,1,1+VLOOKUP(($AJ38-$AI38-$AH38-$AG38-$AF38-$AE38*(1+EJ$3))/$AJ38,'Технический лист'!$M:$N,2,1)-VLOOKUP($AO38,'Технический лист'!$M:$N,2,1)),1+(1-$AU38))</f>
        <v/>
      </c>
      <c r="EK38" s="172">
        <f>MIN(IF($AU38=100%,1,1+VLOOKUP(($AJ38-$AI38-$AH38-$AG38-$AF38-$AE38*(1+EK$3))/$AJ38,'Технический лист'!$M:$N,2,1)-VLOOKUP($AO38,'Технический лист'!$M:$N,2,1)),1+(1-$AU38))</f>
        <v/>
      </c>
      <c r="EL38" s="172">
        <f>MIN(IF($AU38=100%,1,1+VLOOKUP(($AJ38-$AI38-$AH38-$AG38-$AF38-$AE38*(1+EL$3))/$AJ38,'Технический лист'!$M:$N,2,1)-VLOOKUP($AO38,'Технический лист'!$M:$N,2,1)),1+(1-$AU38))</f>
        <v/>
      </c>
      <c r="EM38" s="172">
        <f>MIN(IF($AU38=100%,1,1+VLOOKUP(($AJ38-$AI38-$AH38-$AG38-$AF38-$AE38*(1+EM$3))/$AJ38,'Технический лист'!$M:$N,2,1)-VLOOKUP($AO38,'Технический лист'!$M:$N,2,1)),1+(1-$AU38))</f>
        <v/>
      </c>
      <c r="EN38" s="172">
        <f>MIN(IF($AU38=100%,1,1+VLOOKUP(($AJ38-$AI38-$AH38-$AG38-$AF38-$AE38*(1+EN$3))/$AJ38,'Технический лист'!$M:$N,2,1)-VLOOKUP($AO38,'Технический лист'!$M:$N,2,1)),1+(1-$AU38))</f>
        <v/>
      </c>
      <c r="EO38" s="172">
        <f>MIN(IF($AU38=100%,1,1+VLOOKUP(($AJ38-$AI38-$AH38-$AG38-$AF38-$AE38*(1+EO$3))/$AJ38,'Технический лист'!$M:$N,2,1)-VLOOKUP($AO38,'Технический лист'!$M:$N,2,1)),1+(1-$AU38))</f>
        <v/>
      </c>
      <c r="EP38" s="172">
        <f>MIN(IF($AU38=100%,1,1+VLOOKUP(($AJ38-$AI38-$AH38-$AG38-$AF38-$AE38*(1+EP$3))/$AJ38,'Технический лист'!$M:$N,2,1)-VLOOKUP($AO38,'Технический лист'!$M:$N,2,1)),1+(1-$AU38))</f>
        <v/>
      </c>
      <c r="EQ38" s="172">
        <f>MIN(IF($AU38=100%,1,1+VLOOKUP(($AJ38-$AI38-$AH38-$AG38-$AF38-$AE38*(1+EQ$3))/$AJ38,'Технический лист'!$M:$N,2,1)-VLOOKUP($AO38,'Технический лист'!$M:$N,2,1)),1+(1-$AU38))</f>
        <v/>
      </c>
      <c r="ER38" s="172">
        <f>MIN(IF($AU38=100%,1,1+VLOOKUP(($AJ38-$AI38-$AH38-$AG38-$AF38-$AE38*(1+ER$3))/$AJ38,'Технический лист'!$M:$N,2,1)-VLOOKUP($AO38,'Технический лист'!$M:$N,2,1)),1+(1-$AU38))</f>
        <v/>
      </c>
      <c r="ES38" s="172">
        <f>MIN(IF($AU38=100%,1,1+VLOOKUP(($AJ38-$AI38-$AH38-$AG38-$AF38-$AE38*(1+ES$3))/$AJ38,'Технический лист'!$M:$N,2,1)-VLOOKUP($AO38,'Технический лист'!$M:$N,2,1)),1+(1-$AU38))</f>
        <v/>
      </c>
      <c r="ET38" s="172">
        <f>MIN(IF($AU38=100%,1,1+VLOOKUP(($AJ38-$AI38-$AH38-$AG38-$AF38-$AE38*(1+ET$3))/$AJ38,'Технический лист'!$M:$N,2,1)-VLOOKUP($AO38,'Технический лист'!$M:$N,2,1)),1+(1-$AU38))</f>
        <v/>
      </c>
      <c r="EU38" s="172">
        <f>MIN(IF($AU38=100%,1,1+VLOOKUP(($AJ38-$AI38-$AH38-$AG38-$AF38-$AE38*(1+EU$3))/$AJ38,'Технический лист'!$M:$N,2,1)-VLOOKUP($AO38,'Технический лист'!$M:$N,2,1)),1+(1-$AU38))</f>
        <v/>
      </c>
      <c r="EV38" s="173" t="n">
        <v>1</v>
      </c>
      <c r="EW38" s="172">
        <f>MIN(1,MAX(VLOOKUP(($AJ38-$AI38-$AH38-$AG38-$AF38-$AE38*(1+EW$3))/$AJ38,'Технический лист'!$M:$N,2,1),(EV38-0.05)))</f>
        <v/>
      </c>
      <c r="EX38" s="172">
        <f>MIN(1,MAX(VLOOKUP(($AJ38-$AI38-$AH38-$AG38-$AF38-$AE38*(1+EX$3))/$AJ38,'Технический лист'!$M:$N,2,1),(EW38-0.05)))</f>
        <v/>
      </c>
      <c r="EY38" s="172">
        <f>MIN(1,MAX(VLOOKUP(($AJ38-$AI38-$AH38-$AG38-$AF38-$AE38*(1+EY$3))/$AJ38,'Технический лист'!$M:$N,2,1),(EX38-0.05)))</f>
        <v/>
      </c>
      <c r="EZ38" s="172">
        <f>MIN(1,MAX(VLOOKUP(($AJ38-$AI38-$AH38-$AG38-$AF38-$AE38*(1+EZ$3))/$AJ38,'Технический лист'!$M:$N,2,1),(EY38-0.05)))</f>
        <v/>
      </c>
      <c r="FA38" s="172">
        <f>MIN(1,MAX(VLOOKUP(($AJ38-$AI38-$AH38-$AG38-$AF38-$AE38*(1+FA$3))/$AJ38,'Технический лист'!$M:$N,2,1),(EZ38-0.05)))</f>
        <v/>
      </c>
      <c r="FB38" s="172">
        <f>MIN(1,MAX(VLOOKUP(($AJ38-$AI38-$AH38-$AG38-$AF38-$AE38*(1+FB$3))/$AJ38,'Технический лист'!$M:$N,2,1),(FA38-0.05)))</f>
        <v/>
      </c>
      <c r="FC38" s="172">
        <f>MIN(1,MAX(VLOOKUP(($AJ38-$AI38-$AH38-$AG38-$AF38-$AE38*(1+FC$3))/$AJ38,'Технический лист'!$M:$N,2,1),(FB38-0.05)))</f>
        <v/>
      </c>
      <c r="FD38" s="172">
        <f>MIN(1,MAX(VLOOKUP(($AJ38-$AI38-$AH38-$AG38-$AF38-$AE38*(1+FD$3))/$AJ38,'Технический лист'!$M:$N,2,1),(FC38-0.05)))</f>
        <v/>
      </c>
      <c r="FE38" s="172">
        <f>MIN(1,MAX(VLOOKUP(($AJ38-$AI38-$AH38-$AG38-$AF38-$AE38*(1+FE$3))/$AJ38,'Технический лист'!$M:$N,2,1),(FD38-0.05)))</f>
        <v/>
      </c>
      <c r="FF38" s="172">
        <f>MIN(1,MAX(VLOOKUP(($AJ38-$AI38-$AH38-$AG38-$AF38-$AE38*(1+FF$3))/$AJ38,'Технический лист'!$M:$N,2,1),(FE38-0.05)))</f>
        <v/>
      </c>
      <c r="FG38" s="172">
        <f>MIN(1,MAX(VLOOKUP(($AJ38-$AI38-$AH38-$AG38-$AF38-$AE38*(1+FG$3))/$AJ38,'Технический лист'!$M:$N,2,1),(FF38-0.05)))</f>
        <v/>
      </c>
      <c r="FH38" s="172">
        <f>MIN(1,MAX(VLOOKUP(($AJ38-$AI38-$AH38-$AG38-$AF38-$AE38*(1+FH$3))/$AJ38,'Технический лист'!$M:$N,2,1),(FG38-0.05)))</f>
        <v/>
      </c>
      <c r="FI38" s="172">
        <f>MIN(1,MAX(VLOOKUP(($AJ38-$AI38-$AH38-$AG38-$AF38-$AE38*(1+FI$3))/$AJ38,'Технический лист'!$M:$N,2,1),(FH38-0.05)))</f>
        <v/>
      </c>
      <c r="FJ38" s="172">
        <f>MIN(1,MAX(VLOOKUP(($AJ38-$AI38-$AH38-$AG38-$AF38-$AE38*(1+FJ$3))/$AJ38,'Технический лист'!$M:$N,2,1),(FI38-0.05)))</f>
        <v/>
      </c>
      <c r="FK38" s="172">
        <f>MIN(1,MAX(VLOOKUP(($AJ38-$AI38-$AH38-$AG38-$AF38-$AE38*(1+FK$3))/$AJ38,'Технический лист'!$M:$N,2,1),(FJ38-0.05)))</f>
        <v/>
      </c>
      <c r="FL38" s="172">
        <f>MIN(1,MAX(VLOOKUP(($AJ38-$AI38-$AH38-$AG38-$AF38-$AE38*(1+FL$3))/$AJ38,'Технический лист'!$M:$N,2,1),(FK38-0.05)))</f>
        <v/>
      </c>
      <c r="FM38" s="172">
        <f>MIN(1,MAX(VLOOKUP(($AJ38-$AI38-$AH38-$AG38-$AF38-$AE38*(1+FM$3))/$AJ38,'Технический лист'!$M:$N,2,1),(FL38-0.05)))</f>
        <v/>
      </c>
      <c r="FN38" s="172">
        <f>MIN(1,MAX(VLOOKUP(($AJ38-$AI38-$AH38-$AG38-$AF38-$AE38*(1+FN$3))/$AJ38,'Технический лист'!$M:$N,2,1),(FM38-0.05)))</f>
        <v/>
      </c>
      <c r="FO38" s="172">
        <f>MIN(1,MAX(VLOOKUP(($AJ38-$AI38-$AH38-$AG38-$AF38-$AE38*(1+FO$3))/$AJ38,'Технический лист'!$M:$N,2,1),(FN38-0.05)))</f>
        <v/>
      </c>
      <c r="FP38" s="172">
        <f>MIN(1,MAX(VLOOKUP(($AJ38-$AI38-$AH38-$AG38-$AF38-$AE38*(1+FP$3))/$AJ38,'Технический лист'!$M:$N,2,1),(FO38-0.05)))</f>
        <v/>
      </c>
      <c r="FQ38" s="172">
        <f>MIN(1,MAX(VLOOKUP(($AJ38-$AI38-$AH38-$AG38-$AF38-$AE38*(1+FQ$3))/$AJ38,'Технический лист'!$M:$N,2,1),(FP38-0.05)))</f>
        <v/>
      </c>
      <c r="FR38" s="172">
        <f>MIN(1,MAX(VLOOKUP(($AJ38-$AI38-$AH38-$AG38-$AF38-$AE38*(1+FR$3))/$AJ38,'Технический лист'!$M:$N,2,1),(FQ38-0.05)))</f>
        <v/>
      </c>
      <c r="FS38" s="172">
        <f>MIN(1,MAX(VLOOKUP(($AJ38-$AI38-$AH38-$AG38-$AF38-$AE38*(1+FS$3))/$AJ38,'Технический лист'!$M:$N,2,1),(FR38-0.05)))</f>
        <v/>
      </c>
      <c r="FT38" s="172">
        <f>MIN(1,MAX(VLOOKUP(($AJ38-$AI38-$AH38-$AG38-$AF38-$AE38*(1+FT$3))/$AJ38,'Технический лист'!$M:$N,2,1),(FS38-0.05)))</f>
        <v/>
      </c>
      <c r="FU38" s="172">
        <f>MIN(1,MAX(VLOOKUP(($AJ38-$AI38-$AH38-$AG38-$AF38-$AE38*(1+FU$3))/$AJ38,'Технический лист'!$M:$N,2,1),(FT38-0.05)))</f>
        <v/>
      </c>
      <c r="FV38" s="172">
        <f>MIN(1,MAX(VLOOKUP(($AJ38-$AI38-$AH38-$AG38-$AF38-$AE38*(1+FV$3))/$AJ38,'Технический лист'!$M:$N,2,1),(FU38-0.05)))</f>
        <v/>
      </c>
      <c r="FW38" s="172">
        <f>MIN(1,MAX(VLOOKUP(($AJ38-$AI38-$AH38-$AG38-$AF38-$AE38*(1+FW$3))/$AJ38,'Технический лист'!$M:$N,2,1),(FV38-0.05)))</f>
        <v/>
      </c>
      <c r="FX38" s="172">
        <f>MIN(1,MAX(VLOOKUP(($AJ38-$AI38-$AH38-$AG38-$AF38-$AE38*(1+FX$3))/$AJ38,'Технический лист'!$M:$N,2,1),(FW38-0.05)))</f>
        <v/>
      </c>
      <c r="FY38" s="172">
        <f>MIN(1,MAX(VLOOKUP(($AJ38-$AI38-$AH38-$AG38-$AF38-$AE38*(1+FY$3))/$AJ38,'Технический лист'!$M:$N,2,1),(FX38-0.05)))</f>
        <v/>
      </c>
      <c r="FZ38" s="172">
        <f>MIN(1,MAX(VLOOKUP(($AJ38-$AI38-$AH38-$AG38-$AF38-$AE38*(1+FZ$3))/$AJ38,'Технический лист'!$M:$N,2,1),(FY38-0.05)))</f>
        <v/>
      </c>
      <c r="GA38" s="172">
        <f>MIN(1,MAX(VLOOKUP(($AJ38-$AI38-$AH38-$AG38-$AF38-$AE38*(1+GA$3))/$AJ38,'Технический лист'!$M:$N,2,1),(FZ38-0.05)))</f>
        <v/>
      </c>
      <c r="GB38" s="172">
        <f>MIN(1,MAX(VLOOKUP(($AJ38-$AI38-$AH38-$AG38-$AF38-$AE38*(1+GB$3))/$AJ38,'Технический лист'!$M:$N,2,1),(GA38-0.05)))</f>
        <v/>
      </c>
      <c r="GC38" s="172">
        <f>MIN(1,MAX(VLOOKUP(($AJ38-$AI38-$AH38-$AG38-$AF38-$AE38*(1+GC$3))/$AJ38,'Технический лист'!$M:$N,2,1),(GB38-0.05)))</f>
        <v/>
      </c>
      <c r="GD38" s="172">
        <f>MIN(1,MAX(VLOOKUP(($AJ38-$AI38-$AH38-$AG38-$AF38-$AE38*(1+GD$3))/$AJ38,'Технический лист'!$M:$N,2,1),(GC38-0.05)))</f>
        <v/>
      </c>
      <c r="GE38" s="172">
        <f>MIN(1,MAX(VLOOKUP(($AJ38-$AI38-$AH38-$AG38-$AF38-$AE38*(1+GE$3))/$AJ38,'Технический лист'!$M:$N,2,1),(GD38-0.05)))</f>
        <v/>
      </c>
      <c r="GF38" s="172">
        <f>MIN(1,MAX(VLOOKUP(($AJ38-$AI38-$AH38-$AG38-$AF38-$AE38*(1+GF$3))/$AJ38,'Технический лист'!$M:$N,2,1),(GE38-0.05)))</f>
        <v/>
      </c>
      <c r="GG38" s="172">
        <f>MIN(1,MAX(VLOOKUP(($AJ38-$AI38-$AH38-$AG38-$AF38-$AE38*(1+GG$3))/$AJ38,'Технический лист'!$M:$N,2,1),(GF38-0.05)))</f>
        <v/>
      </c>
      <c r="GH38" s="172">
        <f>MIN(1,MAX(VLOOKUP(($AJ38-$AI38-$AH38-$AG38-$AF38-$AE38*(1+GH$3))/$AJ38,'Технический лист'!$M:$N,2,1),(GG38-0.05)))</f>
        <v/>
      </c>
      <c r="GI38" s="172">
        <f>MIN(1,MAX(VLOOKUP(($AJ38-$AI38-$AH38-$AG38-$AF38-$AE38*(1+GI$3))/$AJ38,'Технический лист'!$M:$N,2,1),(GH38-0.05)))</f>
        <v/>
      </c>
      <c r="GJ38" s="172">
        <f>MIN(1,MAX(VLOOKUP(($AJ38-$AI38-$AH38-$AG38-$AF38-$AE38*(1+GJ$3))/$AJ38,'Технический лист'!$M:$N,2,1),(GI38-0.05)))</f>
        <v/>
      </c>
      <c r="GK38" s="172">
        <f>MIN(1,MAX(VLOOKUP(($AJ38-$AI38-$AH38-$AG38-$AF38-$AE38*(1+GK$3))/$AJ38,'Технический лист'!$M:$N,2,1),(GJ38-0.05)))</f>
        <v/>
      </c>
      <c r="GL38" s="172">
        <f>MIN(1,MAX(VLOOKUP(($AJ38-$AI38-$AH38-$AG38-$AF38-$AE38*(1+GL$3))/$AJ38,'Технический лист'!$M:$N,2,1),(GK38-0.05)))</f>
        <v/>
      </c>
      <c r="GM38" s="172">
        <f>MIN(1,MAX(VLOOKUP(($AJ38-$AI38-$AH38-$AG38-$AF38-$AE38*(1+GM$3))/$AJ38,'Технический лист'!$M:$N,2,1),(GL38-0.05)))</f>
        <v/>
      </c>
      <c r="GN38" s="172">
        <f>MIN(1,MAX(VLOOKUP(($AJ38-$AI38-$AH38-$AG38-$AF38-$AE38*(1+GN$3))/$AJ38,'Технический лист'!$M:$N,2,1),(GM38-0.05)))</f>
        <v/>
      </c>
      <c r="GO38" s="172">
        <f>MIN(1,MAX(VLOOKUP(($AJ38-$AI38-$AH38-$AG38-$AF38-$AE38*(1+GO$3))/$AJ38,'Технический лист'!$M:$N,2,1),(GN38-0.05)))</f>
        <v/>
      </c>
      <c r="GP38" s="172">
        <f>MIN(1,MAX(VLOOKUP(($AJ38-$AI38-$AH38-$AG38-$AF38-$AE38*(1+GP$3))/$AJ38,'Технический лист'!$M:$N,2,1),(GO38-0.05)))</f>
        <v/>
      </c>
      <c r="GQ38" s="172">
        <f>MIN(1,MAX(VLOOKUP(($AJ38-$AI38-$AH38-$AG38-$AF38-$AE38*(1+GQ$3))/$AJ38,'Технический лист'!$M:$N,2,1),(GP38-0.05)))</f>
        <v/>
      </c>
      <c r="GR38" s="172">
        <f>MIN(1,MAX(VLOOKUP(($AJ38-$AI38-$AH38-$AG38-$AF38-$AE38*(1+GR$3))/$AJ38,'Технический лист'!$M:$N,2,1),(GQ38-0.05)))</f>
        <v/>
      </c>
      <c r="GS38" s="172">
        <f>MIN(1,MAX(VLOOKUP(($AJ38-$AI38-$AH38-$AG38-$AF38-$AE38*(1+GS$3))/$AJ38,'Технический лист'!$M:$N,2,1),(GR38-0.05)))</f>
        <v/>
      </c>
      <c r="GT38" s="172">
        <f>MIN(1,MAX(VLOOKUP(($AJ38-$AI38-$AH38-$AG38-$AF38-$AE38*(1+GT$3))/$AJ38,'Технический лист'!$M:$N,2,1),(GS38-0.05)))</f>
        <v/>
      </c>
      <c r="GU38" s="172">
        <f>MIN(1,MAX(VLOOKUP(($AJ38-$AI38-$AH38-$AG38-$AF38-$AE38*(1+GU$3))/$AJ38,'Технический лист'!$M:$N,2,1),(GT38-0.05)))</f>
        <v/>
      </c>
      <c r="GV38" s="172">
        <f>MIN(1,MAX(VLOOKUP(($AJ38-$AI38-$AH38-$AG38-$AF38-$AE38*(1+GV$3))/$AJ38,'Технический лист'!$M:$N,2,1),(GU38-0.05)))</f>
        <v/>
      </c>
      <c r="GW38" s="172">
        <f>MIN(1,MAX(VLOOKUP(($AJ38-$AI38-$AH38-$AG38-$AF38-$AE38*(1+GW$3))/$AJ38,'Технический лист'!$M:$N,2,1),(GV38-0.05)))</f>
        <v/>
      </c>
      <c r="GX38" s="172">
        <f>MIN(1,MAX(VLOOKUP(($AJ38-$AI38-$AH38-$AG38-$AF38-$AE38*(1+GX$3))/$AJ38,'Технический лист'!$M:$N,2,1),(GW38-0.05)))</f>
        <v/>
      </c>
      <c r="GY38" s="172">
        <f>MIN(1,MAX(VLOOKUP(($AJ38-$AI38-$AH38-$AG38-$AF38-$AE38*(1+GY$3))/$AJ38,'Технический лист'!$M:$N,2,1),(GX38-0.05)))</f>
        <v/>
      </c>
      <c r="GZ38" s="172">
        <f>MIN(1,MAX(VLOOKUP(($AJ38-$AI38-$AH38-$AG38-$AF38-$AE38*(1+GZ$3))/$AJ38,'Технический лист'!$M:$N,2,1),(GY38-0.05)))</f>
        <v/>
      </c>
      <c r="HA38" s="172">
        <f>MIN(1,MAX(VLOOKUP(($AJ38-$AI38-$AH38-$AG38-$AF38-$AE38*(1+HA$3))/$AJ38,'Технический лист'!$M:$N,2,1),(GZ38-0.05)))</f>
        <v/>
      </c>
      <c r="HB38" s="172">
        <f>MIN(1,MAX(VLOOKUP(($AJ38-$AI38-$AH38-$AG38-$AF38-$AE38*(1+HB$3))/$AJ38,'Технический лист'!$M:$N,2,1),(HA38-0.05)))</f>
        <v/>
      </c>
      <c r="HC38" s="172">
        <f>MIN(1,MAX(VLOOKUP(($AJ38-$AI38-$AH38-$AG38-$AF38-$AE38*(1+HC$3))/$AJ38,'Технический лист'!$M:$N,2,1),(HB38-0.05)))</f>
        <v/>
      </c>
      <c r="HD38" s="172">
        <f>MIN(1,MAX(VLOOKUP(($AJ38-$AI38-$AH38-$AG38-$AF38-$AE38*(1+HD$3))/$AJ38,'Технический лист'!$M:$N,2,1),(HC38-0.05)))</f>
        <v/>
      </c>
      <c r="HE38" s="172">
        <f>MIN(1,MAX(VLOOKUP(($AJ38-$AI38-$AH38-$AG38-$AF38-$AE38*(1+HE$3))/$AJ38,'Технический лист'!$M:$N,2,1),(HD38-0.05)))</f>
        <v/>
      </c>
      <c r="HF38" s="172">
        <f>MIN(1,MAX(VLOOKUP(($AJ38-$AI38-$AH38-$AG38-$AF38-$AE38*(1+HF$3))/$AJ38,'Технический лист'!$M:$N,2,1),(HE38-0.05)))</f>
        <v/>
      </c>
      <c r="HG38" s="172">
        <f>MIN(1,MAX(VLOOKUP(($AJ38-$AI38-$AH38-$AG38-$AF38-$AE38*(1+HG$3))/$AJ38,'Технический лист'!$M:$N,2,1),(HF38-0.05)))</f>
        <v/>
      </c>
      <c r="HH38" s="172">
        <f>MIN(1,MAX(VLOOKUP(($AJ38-$AI38-$AH38-$AG38-$AF38-$AE38*(1+HH$3))/$AJ38,'Технический лист'!$M:$N,2,1),(HG38-0.05)))</f>
        <v/>
      </c>
      <c r="HI38" s="172">
        <f>MIN(1,MAX(VLOOKUP(($AJ38-$AI38-$AH38-$AG38-$AF38-$AE38*(1+HI$3))/$AJ38,'Технический лист'!$M:$N,2,1),(HH38-0.05)))</f>
        <v/>
      </c>
      <c r="HJ38" s="172">
        <f>MIN(1,MAX(VLOOKUP(($AJ38-$AI38-$AH38-$AG38-$AF38-$AE38*(1+HJ$3))/$AJ38,'Технический лист'!$M:$N,2,1),(HI38-0.05)))</f>
        <v/>
      </c>
      <c r="HK38" s="172">
        <f>MIN(1,MAX(VLOOKUP(($AJ38-$AI38-$AH38-$AG38-$AF38-$AE38*(1+HK$3))/$AJ38,'Технический лист'!$M:$N,2,1),(HJ38-0.05)))</f>
        <v/>
      </c>
      <c r="HL38" s="172">
        <f>MIN(1,MAX(VLOOKUP(($AJ38-$AI38-$AH38-$AG38-$AF38-$AE38*(1+HL$3))/$AJ38,'Технический лист'!$M:$N,2,1),(HK38-0.05)))</f>
        <v/>
      </c>
      <c r="HM38" s="172">
        <f>MIN(1,MAX(VLOOKUP(($AJ38-$AI38-$AH38-$AG38-$AF38-$AE38*(1+HM$3))/$AJ38,'Технический лист'!$M:$N,2,1),(HL38-0.05)))</f>
        <v/>
      </c>
      <c r="HN38" s="172">
        <f>MIN(1,MAX(VLOOKUP(($AJ38-$AI38-$AH38-$AG38-$AF38-$AE38*(1+HN$3))/$AJ38,'Технический лист'!$M:$N,2,1),(HM38-0.05)))</f>
        <v/>
      </c>
      <c r="HO38" s="172">
        <f>MIN(1,MAX(VLOOKUP(($AJ38-$AI38-$AH38-$AG38-$AF38-$AE38*(1+HO$3))/$AJ38,'Технический лист'!$M:$N,2,1),(HN38-0.05)))</f>
        <v/>
      </c>
      <c r="HP38" s="172">
        <f>MIN(1,MAX(VLOOKUP(($AJ38-$AI38-$AH38-$AG38-$AF38-$AE38*(1+HP$3))/$AJ38,'Технический лист'!$M:$N,2,1),(HO38-0.05)))</f>
        <v/>
      </c>
      <c r="HQ38" s="172">
        <f>MIN(1,MAX(VLOOKUP(($AJ38-$AI38-$AH38-$AG38-$AF38-$AE38*(1+HQ$3))/$AJ38,'Технический лист'!$M:$N,2,1),(HP38-0.05)))</f>
        <v/>
      </c>
      <c r="HR38" s="172">
        <f>MIN(1,MAX(VLOOKUP(($AJ38-$AI38-$AH38-$AG38-$AF38-$AE38*(1+HR$3))/$AJ38,'Технический лист'!$M:$N,2,1),(HQ38-0.05)))</f>
        <v/>
      </c>
      <c r="HS38" s="172">
        <f>MIN(1,MAX(VLOOKUP(($AJ38-$AI38-$AH38-$AG38-$AF38-$AE38*(1+HS$3))/$AJ38,'Технический лист'!$M:$N,2,1),(HR38-0.05)))</f>
        <v/>
      </c>
      <c r="HT38" s="172">
        <f>MIN(1,MAX(VLOOKUP(($AJ38-$AI38-$AH38-$AG38-$AF38-$AE38*(1+HT$3))/$AJ38,'Технический лист'!$M:$N,2,1),(HS38-0.05)))</f>
        <v/>
      </c>
      <c r="HU38" s="172">
        <f>MIN(1,MAX(VLOOKUP(($AJ38-$AI38-$AH38-$AG38-$AF38-$AE38*(1+HU$3))/$AJ38,'Технический лист'!$M:$N,2,1),(HT38-0.05)))</f>
        <v/>
      </c>
      <c r="HV38" s="172">
        <f>MIN(1,MAX(VLOOKUP(($AJ38-$AI38-$AH38-$AG38-$AF38-$AE38*(1+HV$3))/$AJ38,'Технический лист'!$M:$N,2,1),(HU38-0.05)))</f>
        <v/>
      </c>
      <c r="HW38" s="172">
        <f>MIN(1,MAX(VLOOKUP(($AJ38-$AI38-$AH38-$AG38-$AF38-$AE38*(1+HW$3))/$AJ38,'Технический лист'!$M:$N,2,1),(HV38-0.05)))</f>
        <v/>
      </c>
      <c r="HX38" s="172">
        <f>MIN(1,MAX(VLOOKUP(($AJ38-$AI38-$AH38-$AG38-$AF38-$AE38*(1+HX$3))/$AJ38,'Технический лист'!$M:$N,2,1),(HW38-0.05)))</f>
        <v/>
      </c>
      <c r="HY38" s="172">
        <f>MIN(1,MAX(VLOOKUP(($AJ38-$AI38-$AH38-$AG38-$AF38-$AE38*(1+HY$3))/$AJ38,'Технический лист'!$M:$N,2,1),(HX38-0.05)))</f>
        <v/>
      </c>
      <c r="HZ38" s="172">
        <f>MIN(1,MAX(VLOOKUP(($AJ38-$AI38-$AH38-$AG38-$AF38-$AE38*(1+HZ$3))/$AJ38,'Технический лист'!$M:$N,2,1),(HY38-0.05)))</f>
        <v/>
      </c>
      <c r="IA38" s="172">
        <f>MIN(1,MAX(VLOOKUP(($AJ38-$AI38-$AH38-$AG38-$AF38-$AE38*(1+IA$3))/$AJ38,'Технический лист'!$M:$N,2,1),(HZ38-0.05)))</f>
        <v/>
      </c>
      <c r="IB38" s="172">
        <f>MIN(1,MAX(VLOOKUP(($AJ38-$AI38-$AH38-$AG38-$AF38-$AE38*(1+IB$3))/$AJ38,'Технический лист'!$M:$N,2,1),(IA38-0.05)))</f>
        <v/>
      </c>
      <c r="IC38" s="172">
        <f>MIN(1,MAX(VLOOKUP(($AJ38-$AI38-$AH38-$AG38-$AF38-$AE38*(1+IC$3))/$AJ38,'Технический лист'!$M:$N,2,1),(IB38-0.05)))</f>
        <v/>
      </c>
      <c r="ID38" s="172">
        <f>MIN(1,MAX(VLOOKUP(($AJ38-$AI38-$AH38-$AG38-$AF38-$AE38*(1+ID$3))/$AJ38,'Технический лист'!$M:$N,2,1),(IC38-0.05)))</f>
        <v/>
      </c>
      <c r="IE38" s="172">
        <f>MIN(1,MAX(VLOOKUP(($AJ38-$AI38-$AH38-$AG38-$AF38-$AE38*(1+IE$3))/$AJ38,'Технический лист'!$M:$N,2,1),(ID38-0.05)))</f>
        <v/>
      </c>
      <c r="IF38" s="172">
        <f>MIN(1,MAX(VLOOKUP(($AJ38-$AI38-$AH38-$AG38-$AF38-$AE38*(1+IF$3))/$AJ38,'Технический лист'!$M:$N,2,1),(IE38-0.05)))</f>
        <v/>
      </c>
      <c r="IG38" s="172">
        <f>MIN(1,MAX(VLOOKUP(($AJ38-$AI38-$AH38-$AG38-$AF38-$AE38*(1+IG$3))/$AJ38,'Технический лист'!$M:$N,2,1),(IF38-0.05)))</f>
        <v/>
      </c>
      <c r="IH38" s="172">
        <f>MIN(1,MAX(VLOOKUP(($AJ38-$AI38-$AH38-$AG38-$AF38-$AE38*(1+IH$3))/$AJ38,'Технический лист'!$M:$N,2,1),(IG38-0.05)))</f>
        <v/>
      </c>
      <c r="II38" s="172">
        <f>MIN(1,MAX(VLOOKUP(($AJ38-$AI38-$AH38-$AG38-$AF38-$AE38*(1+II$3))/$AJ38,'Технический лист'!$M:$N,2,1),(IH38-0.05)))</f>
        <v/>
      </c>
      <c r="IJ38" s="172">
        <f>MIN(1,MAX(VLOOKUP(($AJ38-$AI38-$AH38-$AG38-$AF38-$AE38*(1+IJ$3))/$AJ38,'Технический лист'!$M:$N,2,1),(II38-0.05)))</f>
        <v/>
      </c>
      <c r="IK38" s="172">
        <f>MIN(1,MAX(VLOOKUP(($AJ38-$AI38-$AH38-$AG38-$AF38-$AE38*(1+IK$3))/$AJ38,'Технический лист'!$M:$N,2,1),(IJ38-0.05)))</f>
        <v/>
      </c>
      <c r="IL38" s="172">
        <f>MIN(1,MAX(VLOOKUP(($AJ38-$AI38-$AH38-$AG38-$AF38-$AE38*(1+IL$3))/$AJ38,'Технический лист'!$M:$N,2,1),(IK38-0.05)))</f>
        <v/>
      </c>
      <c r="IM38" s="172">
        <f>MIN(1,MAX(VLOOKUP(($AJ38-$AI38-$AH38-$AG38-$AF38-$AE38*(1+IM$3))/$AJ38,'Технический лист'!$M:$N,2,1),(IL38-0.05)))</f>
        <v/>
      </c>
      <c r="IN38" s="172">
        <f>MIN(1,MAX(VLOOKUP(($AJ38-$AI38-$AH38-$AG38-$AF38-$AE38*(1+IN$3))/$AJ38,'Технический лист'!$M:$N,2,1),(IM38-0.05)))</f>
        <v/>
      </c>
      <c r="IO38" s="172">
        <f>MIN(1,MAX(VLOOKUP(($AJ38-$AI38-$AH38-$AG38-$AF38-$AE38*(1+IO$3))/$AJ38,'Технический лист'!$M:$N,2,1),(IN38-0.05)))</f>
        <v/>
      </c>
      <c r="IP38" s="172">
        <f>MIN(1,MAX(VLOOKUP(($AJ38-$AI38-$AH38-$AG38-$AF38-$AE38*(1+IP$3))/$AJ38,'Технический лист'!$M:$N,2,1),(IO38-0.05)))</f>
        <v/>
      </c>
      <c r="IQ38" s="172">
        <f>MIN(1,MAX(VLOOKUP(($AJ38-$AI38-$AH38-$AG38-$AF38-$AE38*(1+IQ$3))/$AJ38,'Технический лист'!$M:$N,2,1),(IP38-0.05)))</f>
        <v/>
      </c>
      <c r="IR38" s="172">
        <f>MIN(1,MAX(VLOOKUP(($AJ38-$AI38-$AH38-$AG38-$AF38-$AE38*(1+IR$3))/$AJ38,'Технический лист'!$M:$N,2,1),(IQ38-0.05)))</f>
        <v/>
      </c>
    </row>
    <row r="39" ht="29.15" customHeight="1" s="123">
      <c r="A39" s="89" t="inlineStr">
        <is>
          <t>ЧМ (сырье)</t>
        </is>
      </c>
      <c r="B39" s="90" t="n">
        <v>4</v>
      </c>
      <c r="C39" s="5" t="inlineStr">
        <is>
          <t>Руды  всякие</t>
        </is>
      </c>
      <c r="D39" s="91" t="n">
        <v>14109</v>
      </c>
      <c r="E39" s="91" t="inlineStr">
        <is>
          <t xml:space="preserve">Концентрат железорудный (гематит) </t>
        </is>
      </c>
      <c r="F39" s="92" t="inlineStr">
        <is>
          <t>РУДЫ И КОНЦЕНТРАТЫ ЖЕЛЕЗН</t>
        </is>
      </c>
      <c r="G39" s="91" t="inlineStr">
        <is>
          <t>ОКТ</t>
        </is>
      </c>
      <c r="H39" s="91" t="inlineStr">
        <is>
          <t>СЕВ</t>
        </is>
      </c>
      <c r="I39" s="91" t="inlineStr">
        <is>
          <t>КОВДОР</t>
        </is>
      </c>
      <c r="J39" s="91" t="inlineStr">
        <is>
          <t>ЧЕРЕПОВЕЦ 2</t>
        </is>
      </c>
      <c r="K39" s="91" t="n">
        <v>1506</v>
      </c>
      <c r="L39" s="91" t="inlineStr">
        <is>
          <t>Полувагоны</t>
        </is>
      </c>
      <c r="M39" s="91" t="inlineStr">
        <is>
          <t>Внутр. перевозки</t>
        </is>
      </c>
      <c r="N39" s="91" t="inlineStr">
        <is>
          <t>вагонная</t>
        </is>
      </c>
      <c r="O39" s="91" t="inlineStr">
        <is>
          <t xml:space="preserve">Северо-Западное </t>
        </is>
      </c>
      <c r="P39" s="89" t="inlineStr">
        <is>
          <t>'000000186759</t>
        </is>
      </c>
      <c r="Q39" s="91" t="inlineStr">
        <is>
          <t>'АО "Ковдорский ГОК"</t>
        </is>
      </c>
      <c r="R39" s="91" t="inlineStr">
        <is>
          <t>АО "МХК "ЕвроХим"</t>
        </is>
      </c>
      <c r="S39" s="87" t="n">
        <v>709894</v>
      </c>
      <c r="T39" s="87" t="n">
        <v>1069339403</v>
      </c>
      <c r="U39" s="88" t="n">
        <v>9904</v>
      </c>
      <c r="V39" s="88" t="n">
        <v>0</v>
      </c>
      <c r="W39" s="87" t="n">
        <v>603175640</v>
      </c>
      <c r="X39" s="112" t="n">
        <v>72</v>
      </c>
      <c r="Y39" s="112" t="inlineStr">
        <is>
          <t>маршрутная</t>
        </is>
      </c>
      <c r="Z39" s="113" t="n">
        <v>5</v>
      </c>
      <c r="AA39" s="113" t="n">
        <v>5</v>
      </c>
      <c r="AB39" s="113" t="n">
        <v>4</v>
      </c>
      <c r="AC39" s="161" t="n">
        <v>926.58</v>
      </c>
      <c r="AD39" s="161">
        <f>AE39-AC39</f>
        <v/>
      </c>
      <c r="AE39" s="161" t="n">
        <v>1441.39</v>
      </c>
      <c r="AF39" s="162">
        <f>(Z39+AA39+AB39)*'Ставки аренды'!$B$2/X39</f>
        <v/>
      </c>
      <c r="AG39" s="163" t="n">
        <v>0</v>
      </c>
      <c r="AH39" s="164" t="n">
        <v>0</v>
      </c>
      <c r="AI39" s="165">
        <f>0.5*AVERAGE(AJ37,AJ38)</f>
        <v/>
      </c>
      <c r="AJ39" s="166">
        <f>Цены!$D$14</f>
        <v/>
      </c>
      <c r="AK39" s="164">
        <f>AJ39/Цены!$B$1</f>
        <v/>
      </c>
      <c r="AL39" s="164">
        <f>AE39+AF39+AG39</f>
        <v/>
      </c>
      <c r="AM39" s="164">
        <f>AJ39-AL39</f>
        <v/>
      </c>
      <c r="AN39" s="164">
        <f>AI39+AH39+AG39+AF39+AE39</f>
        <v/>
      </c>
      <c r="AO39" s="167">
        <f>(AJ39-AN39)/AJ39</f>
        <v/>
      </c>
      <c r="AP39" s="168">
        <f>AL39/AJ39</f>
        <v/>
      </c>
      <c r="AQ39" s="168">
        <f>AE39/AJ39</f>
        <v/>
      </c>
      <c r="AR39" s="168">
        <f>AE39/AL39</f>
        <v/>
      </c>
      <c r="AS39" s="169" t="n">
        <v>1</v>
      </c>
      <c r="AT39" s="121">
        <f>S39*AS39</f>
        <v/>
      </c>
      <c r="AU39" s="7" t="n">
        <v>0.98</v>
      </c>
      <c r="AV39" s="170">
        <f>(AJ39-(AE39*(1+$IS$2)+AF39+AG39+AH39+AI39))/AJ39</f>
        <v/>
      </c>
      <c r="AW39" s="171">
        <f>(AE39*(1+$IS$2)+AF39+AG39)/AJ39</f>
        <v/>
      </c>
      <c r="AX39" s="171">
        <f>(AE39*(1+$IS$2))/AJ39</f>
        <v/>
      </c>
      <c r="AY39" s="171">
        <f>(AE39*(1+$IS$2))/(AE39*(1+$IS$2)+AF39+AG39)</f>
        <v/>
      </c>
      <c r="AZ39" s="172">
        <f>MIN(IF($AU39=100%,1,1+VLOOKUP(($AJ39-$AI39-$AH39-$AG39-$AF39-$AE39*(1+AZ$3))/$AJ39,'Технический лист'!$M:$N,2,1)-VLOOKUP($AO39,'Технический лист'!$M:$N,2,1)),1+(1-$AU39))</f>
        <v/>
      </c>
      <c r="BA39" s="172">
        <f>MIN(IF($AU39=100%,1,1+VLOOKUP(($AJ39-$AI39-$AH39-$AG39-$AF39-$AE39*(1+BA$3))/$AJ39,'Технический лист'!$M:$N,2,1)-VLOOKUP($AO39,'Технический лист'!$M:$N,2,1)),1+(1-$AU39))</f>
        <v/>
      </c>
      <c r="BB39" s="172">
        <f>MIN(IF($AU39=100%,1,1+VLOOKUP(($AJ39-$AI39-$AH39-$AG39-$AF39-$AE39*(1+BB$3))/$AJ39,'Технический лист'!$M:$N,2,1)-VLOOKUP($AO39,'Технический лист'!$M:$N,2,1)),1+(1-$AU39))</f>
        <v/>
      </c>
      <c r="BC39" s="172">
        <f>MIN(IF($AU39=100%,1,1+VLOOKUP(($AJ39-$AI39-$AH39-$AG39-$AF39-$AE39*(1+BC$3))/$AJ39,'Технический лист'!$M:$N,2,1)-VLOOKUP($AO39,'Технический лист'!$M:$N,2,1)),1+(1-$AU39))</f>
        <v/>
      </c>
      <c r="BD39" s="172">
        <f>MIN(IF($AU39=100%,1,1+VLOOKUP(($AJ39-$AI39-$AH39-$AG39-$AF39-$AE39*(1+BD$3))/$AJ39,'Технический лист'!$M:$N,2,1)-VLOOKUP($AO39,'Технический лист'!$M:$N,2,1)),1+(1-$AU39))</f>
        <v/>
      </c>
      <c r="BE39" s="172">
        <f>MIN(IF($AU39=100%,1,1+VLOOKUP(($AJ39-$AI39-$AH39-$AG39-$AF39-$AE39*(1+BE$3))/$AJ39,'Технический лист'!$M:$N,2,1)-VLOOKUP($AO39,'Технический лист'!$M:$N,2,1)),1+(1-$AU39))</f>
        <v/>
      </c>
      <c r="BF39" s="172">
        <f>MIN(IF($AU39=100%,1,1+VLOOKUP(($AJ39-$AI39-$AH39-$AG39-$AF39-$AE39*(1+BF$3))/$AJ39,'Технический лист'!$M:$N,2,1)-VLOOKUP($AO39,'Технический лист'!$M:$N,2,1)),1+(1-$AU39))</f>
        <v/>
      </c>
      <c r="BG39" s="172">
        <f>MIN(IF($AU39=100%,1,1+VLOOKUP(($AJ39-$AI39-$AH39-$AG39-$AF39-$AE39*(1+BG$3))/$AJ39,'Технический лист'!$M:$N,2,1)-VLOOKUP($AO39,'Технический лист'!$M:$N,2,1)),1+(1-$AU39))</f>
        <v/>
      </c>
      <c r="BH39" s="172">
        <f>MIN(IF($AU39=100%,1,1+VLOOKUP(($AJ39-$AI39-$AH39-$AG39-$AF39-$AE39*(1+BH$3))/$AJ39,'Технический лист'!$M:$N,2,1)-VLOOKUP($AO39,'Технический лист'!$M:$N,2,1)),1+(1-$AU39))</f>
        <v/>
      </c>
      <c r="BI39" s="172">
        <f>MIN(IF($AU39=100%,1,1+VLOOKUP(($AJ39-$AI39-$AH39-$AG39-$AF39-$AE39*(1+BI$3))/$AJ39,'Технический лист'!$M:$N,2,1)-VLOOKUP($AO39,'Технический лист'!$M:$N,2,1)),1+(1-$AU39))</f>
        <v/>
      </c>
      <c r="BJ39" s="172">
        <f>MIN(IF($AU39=100%,1,1+VLOOKUP(($AJ39-$AI39-$AH39-$AG39-$AF39-$AE39*(1+BJ$3))/$AJ39,'Технический лист'!$M:$N,2,1)-VLOOKUP($AO39,'Технический лист'!$M:$N,2,1)),1+(1-$AU39))</f>
        <v/>
      </c>
      <c r="BK39" s="172">
        <f>MIN(IF($AU39=100%,1,1+VLOOKUP(($AJ39-$AI39-$AH39-$AG39-$AF39-$AE39*(1+BK$3))/$AJ39,'Технический лист'!$M:$N,2,1)-VLOOKUP($AO39,'Технический лист'!$M:$N,2,1)),1+(1-$AU39))</f>
        <v/>
      </c>
      <c r="BL39" s="172">
        <f>MIN(IF($AU39=100%,1,1+VLOOKUP(($AJ39-$AI39-$AH39-$AG39-$AF39-$AE39*(1+BL$3))/$AJ39,'Технический лист'!$M:$N,2,1)-VLOOKUP($AO39,'Технический лист'!$M:$N,2,1)),1+(1-$AU39))</f>
        <v/>
      </c>
      <c r="BM39" s="172">
        <f>MIN(IF($AU39=100%,1,1+VLOOKUP(($AJ39-$AI39-$AH39-$AG39-$AF39-$AE39*(1+BM$3))/$AJ39,'Технический лист'!$M:$N,2,1)-VLOOKUP($AO39,'Технический лист'!$M:$N,2,1)),1+(1-$AU39))</f>
        <v/>
      </c>
      <c r="BN39" s="172">
        <f>MIN(IF($AU39=100%,1,1+VLOOKUP(($AJ39-$AI39-$AH39-$AG39-$AF39-$AE39*(1+BN$3))/$AJ39,'Технический лист'!$M:$N,2,1)-VLOOKUP($AO39,'Технический лист'!$M:$N,2,1)),1+(1-$AU39))</f>
        <v/>
      </c>
      <c r="BO39" s="172">
        <f>MIN(IF($AU39=100%,1,1+VLOOKUP(($AJ39-$AI39-$AH39-$AG39-$AF39-$AE39*(1+BO$3))/$AJ39,'Технический лист'!$M:$N,2,1)-VLOOKUP($AO39,'Технический лист'!$M:$N,2,1)),1+(1-$AU39))</f>
        <v/>
      </c>
      <c r="BP39" s="172">
        <f>MIN(IF($AU39=100%,1,1+VLOOKUP(($AJ39-$AI39-$AH39-$AG39-$AF39-$AE39*(1+BP$3))/$AJ39,'Технический лист'!$M:$N,2,1)-VLOOKUP($AO39,'Технический лист'!$M:$N,2,1)),1+(1-$AU39))</f>
        <v/>
      </c>
      <c r="BQ39" s="172">
        <f>MIN(IF($AU39=100%,1,1+VLOOKUP(($AJ39-$AI39-$AH39-$AG39-$AF39-$AE39*(1+BQ$3))/$AJ39,'Технический лист'!$M:$N,2,1)-VLOOKUP($AO39,'Технический лист'!$M:$N,2,1)),1+(1-$AU39))</f>
        <v/>
      </c>
      <c r="BR39" s="172">
        <f>MIN(IF($AU39=100%,1,1+VLOOKUP(($AJ39-$AI39-$AH39-$AG39-$AF39-$AE39*(1+BR$3))/$AJ39,'Технический лист'!$M:$N,2,1)-VLOOKUP($AO39,'Технический лист'!$M:$N,2,1)),1+(1-$AU39))</f>
        <v/>
      </c>
      <c r="BS39" s="172">
        <f>MIN(IF($AU39=100%,1,1+VLOOKUP(($AJ39-$AI39-$AH39-$AG39-$AF39-$AE39*(1+BS$3))/$AJ39,'Технический лист'!$M:$N,2,1)-VLOOKUP($AO39,'Технический лист'!$M:$N,2,1)),1+(1-$AU39))</f>
        <v/>
      </c>
      <c r="BT39" s="172">
        <f>MIN(IF($AU39=100%,1,1+VLOOKUP(($AJ39-$AI39-$AH39-$AG39-$AF39-$AE39*(1+BT$3))/$AJ39,'Технический лист'!$M:$N,2,1)-VLOOKUP($AO39,'Технический лист'!$M:$N,2,1)),1+(1-$AU39))</f>
        <v/>
      </c>
      <c r="BU39" s="172">
        <f>MIN(IF($AU39=100%,1,1+VLOOKUP(($AJ39-$AI39-$AH39-$AG39-$AF39-$AE39*(1+BU$3))/$AJ39,'Технический лист'!$M:$N,2,1)-VLOOKUP($AO39,'Технический лист'!$M:$N,2,1)),1+(1-$AU39))</f>
        <v/>
      </c>
      <c r="BV39" s="172">
        <f>MIN(IF($AU39=100%,1,1+VLOOKUP(($AJ39-$AI39-$AH39-$AG39-$AF39-$AE39*(1+BV$3))/$AJ39,'Технический лист'!$M:$N,2,1)-VLOOKUP($AO39,'Технический лист'!$M:$N,2,1)),1+(1-$AU39))</f>
        <v/>
      </c>
      <c r="BW39" s="172">
        <f>MIN(IF($AU39=100%,1,1+VLOOKUP(($AJ39-$AI39-$AH39-$AG39-$AF39-$AE39*(1+BW$3))/$AJ39,'Технический лист'!$M:$N,2,1)-VLOOKUP($AO39,'Технический лист'!$M:$N,2,1)),1+(1-$AU39))</f>
        <v/>
      </c>
      <c r="BX39" s="172">
        <f>MIN(IF($AU39=100%,1,1+VLOOKUP(($AJ39-$AI39-$AH39-$AG39-$AF39-$AE39*(1+BX$3))/$AJ39,'Технический лист'!$M:$N,2,1)-VLOOKUP($AO39,'Технический лист'!$M:$N,2,1)),1+(1-$AU39))</f>
        <v/>
      </c>
      <c r="BY39" s="172">
        <f>MIN(IF($AU39=100%,1,1+VLOOKUP(($AJ39-$AI39-$AH39-$AG39-$AF39-$AE39*(1+BY$3))/$AJ39,'Технический лист'!$M:$N,2,1)-VLOOKUP($AO39,'Технический лист'!$M:$N,2,1)),1+(1-$AU39))</f>
        <v/>
      </c>
      <c r="BZ39" s="172">
        <f>MIN(IF($AU39=100%,1,1+VLOOKUP(($AJ39-$AI39-$AH39-$AG39-$AF39-$AE39*(1+BZ$3))/$AJ39,'Технический лист'!$M:$N,2,1)-VLOOKUP($AO39,'Технический лист'!$M:$N,2,1)),1+(1-$AU39))</f>
        <v/>
      </c>
      <c r="CA39" s="172">
        <f>MIN(IF($AU39=100%,1,1+VLOOKUP(($AJ39-$AI39-$AH39-$AG39-$AF39-$AE39*(1+CA$3))/$AJ39,'Технический лист'!$M:$N,2,1)-VLOOKUP($AO39,'Технический лист'!$M:$N,2,1)),1+(1-$AU39))</f>
        <v/>
      </c>
      <c r="CB39" s="172">
        <f>MIN(IF($AU39=100%,1,1+VLOOKUP(($AJ39-$AI39-$AH39-$AG39-$AF39-$AE39*(1+CB$3))/$AJ39,'Технический лист'!$M:$N,2,1)-VLOOKUP($AO39,'Технический лист'!$M:$N,2,1)),1+(1-$AU39))</f>
        <v/>
      </c>
      <c r="CC39" s="172">
        <f>MIN(IF($AU39=100%,1,1+VLOOKUP(($AJ39-$AI39-$AH39-$AG39-$AF39-$AE39*(1+CC$3))/$AJ39,'Технический лист'!$M:$N,2,1)-VLOOKUP($AO39,'Технический лист'!$M:$N,2,1)),1+(1-$AU39))</f>
        <v/>
      </c>
      <c r="CD39" s="172">
        <f>MIN(IF($AU39=100%,1,1+VLOOKUP(($AJ39-$AI39-$AH39-$AG39-$AF39-$AE39*(1+CD$3))/$AJ39,'Технический лист'!$M:$N,2,1)-VLOOKUP($AO39,'Технический лист'!$M:$N,2,1)),1+(1-$AU39))</f>
        <v/>
      </c>
      <c r="CE39" s="172">
        <f>MIN(IF($AU39=100%,1,1+VLOOKUP(($AJ39-$AI39-$AH39-$AG39-$AF39-$AE39*(1+CE$3))/$AJ39,'Технический лист'!$M:$N,2,1)-VLOOKUP($AO39,'Технический лист'!$M:$N,2,1)),1+(1-$AU39))</f>
        <v/>
      </c>
      <c r="CF39" s="172">
        <f>MIN(IF($AU39=100%,1,1+VLOOKUP(($AJ39-$AI39-$AH39-$AG39-$AF39-$AE39*(1+CF$3))/$AJ39,'Технический лист'!$M:$N,2,1)-VLOOKUP($AO39,'Технический лист'!$M:$N,2,1)),1+(1-$AU39))</f>
        <v/>
      </c>
      <c r="CG39" s="172">
        <f>MIN(IF($AU39=100%,1,1+VLOOKUP(($AJ39-$AI39-$AH39-$AG39-$AF39-$AE39*(1+CG$3))/$AJ39,'Технический лист'!$M:$N,2,1)-VLOOKUP($AO39,'Технический лист'!$M:$N,2,1)),1+(1-$AU39))</f>
        <v/>
      </c>
      <c r="CH39" s="172">
        <f>MIN(IF($AU39=100%,1,1+VLOOKUP(($AJ39-$AI39-$AH39-$AG39-$AF39-$AE39*(1+CH$3))/$AJ39,'Технический лист'!$M:$N,2,1)-VLOOKUP($AO39,'Технический лист'!$M:$N,2,1)),1+(1-$AU39))</f>
        <v/>
      </c>
      <c r="CI39" s="172">
        <f>MIN(IF($AU39=100%,1,1+VLOOKUP(($AJ39-$AI39-$AH39-$AG39-$AF39-$AE39*(1+CI$3))/$AJ39,'Технический лист'!$M:$N,2,1)-VLOOKUP($AO39,'Технический лист'!$M:$N,2,1)),1+(1-$AU39))</f>
        <v/>
      </c>
      <c r="CJ39" s="172">
        <f>MIN(IF($AU39=100%,1,1+VLOOKUP(($AJ39-$AI39-$AH39-$AG39-$AF39-$AE39*(1+CJ$3))/$AJ39,'Технический лист'!$M:$N,2,1)-VLOOKUP($AO39,'Технический лист'!$M:$N,2,1)),1+(1-$AU39))</f>
        <v/>
      </c>
      <c r="CK39" s="172">
        <f>MIN(IF($AU39=100%,1,1+VLOOKUP(($AJ39-$AI39-$AH39-$AG39-$AF39-$AE39*(1+CK$3))/$AJ39,'Технический лист'!$M:$N,2,1)-VLOOKUP($AO39,'Технический лист'!$M:$N,2,1)),1+(1-$AU39))</f>
        <v/>
      </c>
      <c r="CL39" s="172">
        <f>MIN(IF($AU39=100%,1,1+VLOOKUP(($AJ39-$AI39-$AH39-$AG39-$AF39-$AE39*(1+CL$3))/$AJ39,'Технический лист'!$M:$N,2,1)-VLOOKUP($AO39,'Технический лист'!$M:$N,2,1)),1+(1-$AU39))</f>
        <v/>
      </c>
      <c r="CM39" s="172">
        <f>MIN(IF($AU39=100%,1,1+VLOOKUP(($AJ39-$AI39-$AH39-$AG39-$AF39-$AE39*(1+CM$3))/$AJ39,'Технический лист'!$M:$N,2,1)-VLOOKUP($AO39,'Технический лист'!$M:$N,2,1)),1+(1-$AU39))</f>
        <v/>
      </c>
      <c r="CN39" s="172">
        <f>MIN(IF($AU39=100%,1,1+VLOOKUP(($AJ39-$AI39-$AH39-$AG39-$AF39-$AE39*(1+CN$3))/$AJ39,'Технический лист'!$M:$N,2,1)-VLOOKUP($AO39,'Технический лист'!$M:$N,2,1)),1+(1-$AU39))</f>
        <v/>
      </c>
      <c r="CO39" s="172">
        <f>MIN(IF($AU39=100%,1,1+VLOOKUP(($AJ39-$AI39-$AH39-$AG39-$AF39-$AE39*(1+CO$3))/$AJ39,'Технический лист'!$M:$N,2,1)-VLOOKUP($AO39,'Технический лист'!$M:$N,2,1)),1+(1-$AU39))</f>
        <v/>
      </c>
      <c r="CP39" s="172">
        <f>MIN(IF($AU39=100%,1,1+VLOOKUP(($AJ39-$AI39-$AH39-$AG39-$AF39-$AE39*(1+CP$3))/$AJ39,'Технический лист'!$M:$N,2,1)-VLOOKUP($AO39,'Технический лист'!$M:$N,2,1)),1+(1-$AU39))</f>
        <v/>
      </c>
      <c r="CQ39" s="172">
        <f>MIN(IF($AU39=100%,1,1+VLOOKUP(($AJ39-$AI39-$AH39-$AG39-$AF39-$AE39*(1+CQ$3))/$AJ39,'Технический лист'!$M:$N,2,1)-VLOOKUP($AO39,'Технический лист'!$M:$N,2,1)),1+(1-$AU39))</f>
        <v/>
      </c>
      <c r="CR39" s="172">
        <f>MIN(IF($AU39=100%,1,1+VLOOKUP(($AJ39-$AI39-$AH39-$AG39-$AF39-$AE39*(1+CR$3))/$AJ39,'Технический лист'!$M:$N,2,1)-VLOOKUP($AO39,'Технический лист'!$M:$N,2,1)),1+(1-$AU39))</f>
        <v/>
      </c>
      <c r="CS39" s="172">
        <f>MIN(IF($AU39=100%,1,1+VLOOKUP(($AJ39-$AI39-$AH39-$AG39-$AF39-$AE39*(1+CS$3))/$AJ39,'Технический лист'!$M:$N,2,1)-VLOOKUP($AO39,'Технический лист'!$M:$N,2,1)),1+(1-$AU39))</f>
        <v/>
      </c>
      <c r="CT39" s="172">
        <f>MIN(IF($AU39=100%,1,1+VLOOKUP(($AJ39-$AI39-$AH39-$AG39-$AF39-$AE39*(1+CT$3))/$AJ39,'Технический лист'!$M:$N,2,1)-VLOOKUP($AO39,'Технический лист'!$M:$N,2,1)),1+(1-$AU39))</f>
        <v/>
      </c>
      <c r="CU39" s="172">
        <f>MIN(IF($AU39=100%,1,1+VLOOKUP(($AJ39-$AI39-$AH39-$AG39-$AF39-$AE39*(1+CU$3))/$AJ39,'Технический лист'!$M:$N,2,1)-VLOOKUP($AO39,'Технический лист'!$M:$N,2,1)),1+(1-$AU39))</f>
        <v/>
      </c>
      <c r="CV39" s="172">
        <f>MIN(IF($AU39=100%,1,1+VLOOKUP(($AJ39-$AI39-$AH39-$AG39-$AF39-$AE39*(1+CV$3))/$AJ39,'Технический лист'!$M:$N,2,1)-VLOOKUP($AO39,'Технический лист'!$M:$N,2,1)),1+(1-$AU39))</f>
        <v/>
      </c>
      <c r="CW39" s="172">
        <f>MIN(IF($AU39=100%,1,1+VLOOKUP(($AJ39-$AI39-$AH39-$AG39-$AF39-$AE39*(1+CW$3))/$AJ39,'Технический лист'!$M:$N,2,1)-VLOOKUP($AO39,'Технический лист'!$M:$N,2,1)),1+(1-$AU39))</f>
        <v/>
      </c>
      <c r="CX39" s="172">
        <f>MIN(IF($AU39=100%,1,1+VLOOKUP(($AJ39-$AI39-$AH39-$AG39-$AF39-$AE39*(1+CX$3))/$AJ39,'Технический лист'!$M:$N,2,1)-VLOOKUP($AO39,'Технический лист'!$M:$N,2,1)),1+(1-$AU39))</f>
        <v/>
      </c>
      <c r="CY39" s="172">
        <f>MIN(IF($AU39=100%,1,1+VLOOKUP(($AJ39-$AI39-$AH39-$AG39-$AF39-$AE39*(1+CY$3))/$AJ39,'Технический лист'!$M:$N,2,1)-VLOOKUP($AO39,'Технический лист'!$M:$N,2,1)),1+(1-$AU39))</f>
        <v/>
      </c>
      <c r="CZ39" s="172">
        <f>MIN(IF($AU39=100%,1,1+VLOOKUP(($AJ39-$AI39-$AH39-$AG39-$AF39-$AE39*(1+CZ$3))/$AJ39,'Технический лист'!$M:$N,2,1)-VLOOKUP($AO39,'Технический лист'!$M:$N,2,1)),1+(1-$AU39))</f>
        <v/>
      </c>
      <c r="DA39" s="172">
        <f>MIN(IF($AU39=100%,1,1+VLOOKUP(($AJ39-$AI39-$AH39-$AG39-$AF39-$AE39*(1+DA$3))/$AJ39,'Технический лист'!$M:$N,2,1)-VLOOKUP($AO39,'Технический лист'!$M:$N,2,1)),1+(1-$AU39))</f>
        <v/>
      </c>
      <c r="DB39" s="172">
        <f>MIN(IF($AU39=100%,1,1+VLOOKUP(($AJ39-$AI39-$AH39-$AG39-$AF39-$AE39*(1+DB$3))/$AJ39,'Технический лист'!$M:$N,2,1)-VLOOKUP($AO39,'Технический лист'!$M:$N,2,1)),1+(1-$AU39))</f>
        <v/>
      </c>
      <c r="DC39" s="172">
        <f>MIN(IF($AU39=100%,1,1+VLOOKUP(($AJ39-$AI39-$AH39-$AG39-$AF39-$AE39*(1+DC$3))/$AJ39,'Технический лист'!$M:$N,2,1)-VLOOKUP($AO39,'Технический лист'!$M:$N,2,1)),1+(1-$AU39))</f>
        <v/>
      </c>
      <c r="DD39" s="172">
        <f>MIN(IF($AU39=100%,1,1+VLOOKUP(($AJ39-$AI39-$AH39-$AG39-$AF39-$AE39*(1+DD$3))/$AJ39,'Технический лист'!$M:$N,2,1)-VLOOKUP($AO39,'Технический лист'!$M:$N,2,1)),1+(1-$AU39))</f>
        <v/>
      </c>
      <c r="DE39" s="172">
        <f>MIN(IF($AU39=100%,1,1+VLOOKUP(($AJ39-$AI39-$AH39-$AG39-$AF39-$AE39*(1+DE$3))/$AJ39,'Технический лист'!$M:$N,2,1)-VLOOKUP($AO39,'Технический лист'!$M:$N,2,1)),1+(1-$AU39))</f>
        <v/>
      </c>
      <c r="DF39" s="172">
        <f>MIN(IF($AU39=100%,1,1+VLOOKUP(($AJ39-$AI39-$AH39-$AG39-$AF39-$AE39*(1+DF$3))/$AJ39,'Технический лист'!$M:$N,2,1)-VLOOKUP($AO39,'Технический лист'!$M:$N,2,1)),1+(1-$AU39))</f>
        <v/>
      </c>
      <c r="DG39" s="172">
        <f>MIN(IF($AU39=100%,1,1+VLOOKUP(($AJ39-$AI39-$AH39-$AG39-$AF39-$AE39*(1+DG$3))/$AJ39,'Технический лист'!$M:$N,2,1)-VLOOKUP($AO39,'Технический лист'!$M:$N,2,1)),1+(1-$AU39))</f>
        <v/>
      </c>
      <c r="DH39" s="172">
        <f>MIN(IF($AU39=100%,1,1+VLOOKUP(($AJ39-$AI39-$AH39-$AG39-$AF39-$AE39*(1+DH$3))/$AJ39,'Технический лист'!$M:$N,2,1)-VLOOKUP($AO39,'Технический лист'!$M:$N,2,1)),1+(1-$AU39))</f>
        <v/>
      </c>
      <c r="DI39" s="172">
        <f>MIN(IF($AU39=100%,1,1+VLOOKUP(($AJ39-$AI39-$AH39-$AG39-$AF39-$AE39*(1+DI$3))/$AJ39,'Технический лист'!$M:$N,2,1)-VLOOKUP($AO39,'Технический лист'!$M:$N,2,1)),1+(1-$AU39))</f>
        <v/>
      </c>
      <c r="DJ39" s="172">
        <f>MIN(IF($AU39=100%,1,1+VLOOKUP(($AJ39-$AI39-$AH39-$AG39-$AF39-$AE39*(1+DJ$3))/$AJ39,'Технический лист'!$M:$N,2,1)-VLOOKUP($AO39,'Технический лист'!$M:$N,2,1)),1+(1-$AU39))</f>
        <v/>
      </c>
      <c r="DK39" s="172">
        <f>MIN(IF($AU39=100%,1,1+VLOOKUP(($AJ39-$AI39-$AH39-$AG39-$AF39-$AE39*(1+DK$3))/$AJ39,'Технический лист'!$M:$N,2,1)-VLOOKUP($AO39,'Технический лист'!$M:$N,2,1)),1+(1-$AU39))</f>
        <v/>
      </c>
      <c r="DL39" s="172">
        <f>MIN(IF($AU39=100%,1,1+VLOOKUP(($AJ39-$AI39-$AH39-$AG39-$AF39-$AE39*(1+DL$3))/$AJ39,'Технический лист'!$M:$N,2,1)-VLOOKUP($AO39,'Технический лист'!$M:$N,2,1)),1+(1-$AU39))</f>
        <v/>
      </c>
      <c r="DM39" s="172">
        <f>MIN(IF($AU39=100%,1,1+VLOOKUP(($AJ39-$AI39-$AH39-$AG39-$AF39-$AE39*(1+DM$3))/$AJ39,'Технический лист'!$M:$N,2,1)-VLOOKUP($AO39,'Технический лист'!$M:$N,2,1)),1+(1-$AU39))</f>
        <v/>
      </c>
      <c r="DN39" s="172">
        <f>MIN(IF($AU39=100%,1,1+VLOOKUP(($AJ39-$AI39-$AH39-$AG39-$AF39-$AE39*(1+DN$3))/$AJ39,'Технический лист'!$M:$N,2,1)-VLOOKUP($AO39,'Технический лист'!$M:$N,2,1)),1+(1-$AU39))</f>
        <v/>
      </c>
      <c r="DO39" s="172">
        <f>MIN(IF($AU39=100%,1,1+VLOOKUP(($AJ39-$AI39-$AH39-$AG39-$AF39-$AE39*(1+DO$3))/$AJ39,'Технический лист'!$M:$N,2,1)-VLOOKUP($AO39,'Технический лист'!$M:$N,2,1)),1+(1-$AU39))</f>
        <v/>
      </c>
      <c r="DP39" s="172">
        <f>MIN(IF($AU39=100%,1,1+VLOOKUP(($AJ39-$AI39-$AH39-$AG39-$AF39-$AE39*(1+DP$3))/$AJ39,'Технический лист'!$M:$N,2,1)-VLOOKUP($AO39,'Технический лист'!$M:$N,2,1)),1+(1-$AU39))</f>
        <v/>
      </c>
      <c r="DQ39" s="172">
        <f>MIN(IF($AU39=100%,1,1+VLOOKUP(($AJ39-$AI39-$AH39-$AG39-$AF39-$AE39*(1+DQ$3))/$AJ39,'Технический лист'!$M:$N,2,1)-VLOOKUP($AO39,'Технический лист'!$M:$N,2,1)),1+(1-$AU39))</f>
        <v/>
      </c>
      <c r="DR39" s="172">
        <f>MIN(IF($AU39=100%,1,1+VLOOKUP(($AJ39-$AI39-$AH39-$AG39-$AF39-$AE39*(1+DR$3))/$AJ39,'Технический лист'!$M:$N,2,1)-VLOOKUP($AO39,'Технический лист'!$M:$N,2,1)),1+(1-$AU39))</f>
        <v/>
      </c>
      <c r="DS39" s="172">
        <f>MIN(IF($AU39=100%,1,1+VLOOKUP(($AJ39-$AI39-$AH39-$AG39-$AF39-$AE39*(1+DS$3))/$AJ39,'Технический лист'!$M:$N,2,1)-VLOOKUP($AO39,'Технический лист'!$M:$N,2,1)),1+(1-$AU39))</f>
        <v/>
      </c>
      <c r="DT39" s="172">
        <f>MIN(IF($AU39=100%,1,1+VLOOKUP(($AJ39-$AI39-$AH39-$AG39-$AF39-$AE39*(1+DT$3))/$AJ39,'Технический лист'!$M:$N,2,1)-VLOOKUP($AO39,'Технический лист'!$M:$N,2,1)),1+(1-$AU39))</f>
        <v/>
      </c>
      <c r="DU39" s="172">
        <f>MIN(IF($AU39=100%,1,1+VLOOKUP(($AJ39-$AI39-$AH39-$AG39-$AF39-$AE39*(1+DU$3))/$AJ39,'Технический лист'!$M:$N,2,1)-VLOOKUP($AO39,'Технический лист'!$M:$N,2,1)),1+(1-$AU39))</f>
        <v/>
      </c>
      <c r="DV39" s="172">
        <f>MIN(IF($AU39=100%,1,1+VLOOKUP(($AJ39-$AI39-$AH39-$AG39-$AF39-$AE39*(1+DV$3))/$AJ39,'Технический лист'!$M:$N,2,1)-VLOOKUP($AO39,'Технический лист'!$M:$N,2,1)),1+(1-$AU39))</f>
        <v/>
      </c>
      <c r="DW39" s="172">
        <f>MIN(IF($AU39=100%,1,1+VLOOKUP(($AJ39-$AI39-$AH39-$AG39-$AF39-$AE39*(1+DW$3))/$AJ39,'Технический лист'!$M:$N,2,1)-VLOOKUP($AO39,'Технический лист'!$M:$N,2,1)),1+(1-$AU39))</f>
        <v/>
      </c>
      <c r="DX39" s="172">
        <f>MIN(IF($AU39=100%,1,1+VLOOKUP(($AJ39-$AI39-$AH39-$AG39-$AF39-$AE39*(1+DX$3))/$AJ39,'Технический лист'!$M:$N,2,1)-VLOOKUP($AO39,'Технический лист'!$M:$N,2,1)),1+(1-$AU39))</f>
        <v/>
      </c>
      <c r="DY39" s="172">
        <f>MIN(IF($AU39=100%,1,1+VLOOKUP(($AJ39-$AI39-$AH39-$AG39-$AF39-$AE39*(1+DY$3))/$AJ39,'Технический лист'!$M:$N,2,1)-VLOOKUP($AO39,'Технический лист'!$M:$N,2,1)),1+(1-$AU39))</f>
        <v/>
      </c>
      <c r="DZ39" s="172">
        <f>MIN(IF($AU39=100%,1,1+VLOOKUP(($AJ39-$AI39-$AH39-$AG39-$AF39-$AE39*(1+DZ$3))/$AJ39,'Технический лист'!$M:$N,2,1)-VLOOKUP($AO39,'Технический лист'!$M:$N,2,1)),1+(1-$AU39))</f>
        <v/>
      </c>
      <c r="EA39" s="172">
        <f>MIN(IF($AU39=100%,1,1+VLOOKUP(($AJ39-$AI39-$AH39-$AG39-$AF39-$AE39*(1+EA$3))/$AJ39,'Технический лист'!$M:$N,2,1)-VLOOKUP($AO39,'Технический лист'!$M:$N,2,1)),1+(1-$AU39))</f>
        <v/>
      </c>
      <c r="EB39" s="172">
        <f>MIN(IF($AU39=100%,1,1+VLOOKUP(($AJ39-$AI39-$AH39-$AG39-$AF39-$AE39*(1+EB$3))/$AJ39,'Технический лист'!$M:$N,2,1)-VLOOKUP($AO39,'Технический лист'!$M:$N,2,1)),1+(1-$AU39))</f>
        <v/>
      </c>
      <c r="EC39" s="172">
        <f>MIN(IF($AU39=100%,1,1+VLOOKUP(($AJ39-$AI39-$AH39-$AG39-$AF39-$AE39*(1+EC$3))/$AJ39,'Технический лист'!$M:$N,2,1)-VLOOKUP($AO39,'Технический лист'!$M:$N,2,1)),1+(1-$AU39))</f>
        <v/>
      </c>
      <c r="ED39" s="172">
        <f>MIN(IF($AU39=100%,1,1+VLOOKUP(($AJ39-$AI39-$AH39-$AG39-$AF39-$AE39*(1+ED$3))/$AJ39,'Технический лист'!$M:$N,2,1)-VLOOKUP($AO39,'Технический лист'!$M:$N,2,1)),1+(1-$AU39))</f>
        <v/>
      </c>
      <c r="EE39" s="172">
        <f>MIN(IF($AU39=100%,1,1+VLOOKUP(($AJ39-$AI39-$AH39-$AG39-$AF39-$AE39*(1+EE$3))/$AJ39,'Технический лист'!$M:$N,2,1)-VLOOKUP($AO39,'Технический лист'!$M:$N,2,1)),1+(1-$AU39))</f>
        <v/>
      </c>
      <c r="EF39" s="172">
        <f>MIN(IF($AU39=100%,1,1+VLOOKUP(($AJ39-$AI39-$AH39-$AG39-$AF39-$AE39*(1+EF$3))/$AJ39,'Технический лист'!$M:$N,2,1)-VLOOKUP($AO39,'Технический лист'!$M:$N,2,1)),1+(1-$AU39))</f>
        <v/>
      </c>
      <c r="EG39" s="172">
        <f>MIN(IF($AU39=100%,1,1+VLOOKUP(($AJ39-$AI39-$AH39-$AG39-$AF39-$AE39*(1+EG$3))/$AJ39,'Технический лист'!$M:$N,2,1)-VLOOKUP($AO39,'Технический лист'!$M:$N,2,1)),1+(1-$AU39))</f>
        <v/>
      </c>
      <c r="EH39" s="172">
        <f>MIN(IF($AU39=100%,1,1+VLOOKUP(($AJ39-$AI39-$AH39-$AG39-$AF39-$AE39*(1+EH$3))/$AJ39,'Технический лист'!$M:$N,2,1)-VLOOKUP($AO39,'Технический лист'!$M:$N,2,1)),1+(1-$AU39))</f>
        <v/>
      </c>
      <c r="EI39" s="172">
        <f>MIN(IF($AU39=100%,1,1+VLOOKUP(($AJ39-$AI39-$AH39-$AG39-$AF39-$AE39*(1+EI$3))/$AJ39,'Технический лист'!$M:$N,2,1)-VLOOKUP($AO39,'Технический лист'!$M:$N,2,1)),1+(1-$AU39))</f>
        <v/>
      </c>
      <c r="EJ39" s="172">
        <f>MIN(IF($AU39=100%,1,1+VLOOKUP(($AJ39-$AI39-$AH39-$AG39-$AF39-$AE39*(1+EJ$3))/$AJ39,'Технический лист'!$M:$N,2,1)-VLOOKUP($AO39,'Технический лист'!$M:$N,2,1)),1+(1-$AU39))</f>
        <v/>
      </c>
      <c r="EK39" s="172">
        <f>MIN(IF($AU39=100%,1,1+VLOOKUP(($AJ39-$AI39-$AH39-$AG39-$AF39-$AE39*(1+EK$3))/$AJ39,'Технический лист'!$M:$N,2,1)-VLOOKUP($AO39,'Технический лист'!$M:$N,2,1)),1+(1-$AU39))</f>
        <v/>
      </c>
      <c r="EL39" s="172">
        <f>MIN(IF($AU39=100%,1,1+VLOOKUP(($AJ39-$AI39-$AH39-$AG39-$AF39-$AE39*(1+EL$3))/$AJ39,'Технический лист'!$M:$N,2,1)-VLOOKUP($AO39,'Технический лист'!$M:$N,2,1)),1+(1-$AU39))</f>
        <v/>
      </c>
      <c r="EM39" s="172">
        <f>MIN(IF($AU39=100%,1,1+VLOOKUP(($AJ39-$AI39-$AH39-$AG39-$AF39-$AE39*(1+EM$3))/$AJ39,'Технический лист'!$M:$N,2,1)-VLOOKUP($AO39,'Технический лист'!$M:$N,2,1)),1+(1-$AU39))</f>
        <v/>
      </c>
      <c r="EN39" s="172">
        <f>MIN(IF($AU39=100%,1,1+VLOOKUP(($AJ39-$AI39-$AH39-$AG39-$AF39-$AE39*(1+EN$3))/$AJ39,'Технический лист'!$M:$N,2,1)-VLOOKUP($AO39,'Технический лист'!$M:$N,2,1)),1+(1-$AU39))</f>
        <v/>
      </c>
      <c r="EO39" s="172">
        <f>MIN(IF($AU39=100%,1,1+VLOOKUP(($AJ39-$AI39-$AH39-$AG39-$AF39-$AE39*(1+EO$3))/$AJ39,'Технический лист'!$M:$N,2,1)-VLOOKUP($AO39,'Технический лист'!$M:$N,2,1)),1+(1-$AU39))</f>
        <v/>
      </c>
      <c r="EP39" s="172">
        <f>MIN(IF($AU39=100%,1,1+VLOOKUP(($AJ39-$AI39-$AH39-$AG39-$AF39-$AE39*(1+EP$3))/$AJ39,'Технический лист'!$M:$N,2,1)-VLOOKUP($AO39,'Технический лист'!$M:$N,2,1)),1+(1-$AU39))</f>
        <v/>
      </c>
      <c r="EQ39" s="172">
        <f>MIN(IF($AU39=100%,1,1+VLOOKUP(($AJ39-$AI39-$AH39-$AG39-$AF39-$AE39*(1+EQ$3))/$AJ39,'Технический лист'!$M:$N,2,1)-VLOOKUP($AO39,'Технический лист'!$M:$N,2,1)),1+(1-$AU39))</f>
        <v/>
      </c>
      <c r="ER39" s="172">
        <f>MIN(IF($AU39=100%,1,1+VLOOKUP(($AJ39-$AI39-$AH39-$AG39-$AF39-$AE39*(1+ER$3))/$AJ39,'Технический лист'!$M:$N,2,1)-VLOOKUP($AO39,'Технический лист'!$M:$N,2,1)),1+(1-$AU39))</f>
        <v/>
      </c>
      <c r="ES39" s="172">
        <f>MIN(IF($AU39=100%,1,1+VLOOKUP(($AJ39-$AI39-$AH39-$AG39-$AF39-$AE39*(1+ES$3))/$AJ39,'Технический лист'!$M:$N,2,1)-VLOOKUP($AO39,'Технический лист'!$M:$N,2,1)),1+(1-$AU39))</f>
        <v/>
      </c>
      <c r="ET39" s="172">
        <f>MIN(IF($AU39=100%,1,1+VLOOKUP(($AJ39-$AI39-$AH39-$AG39-$AF39-$AE39*(1+ET$3))/$AJ39,'Технический лист'!$M:$N,2,1)-VLOOKUP($AO39,'Технический лист'!$M:$N,2,1)),1+(1-$AU39))</f>
        <v/>
      </c>
      <c r="EU39" s="172">
        <f>MIN(IF($AU39=100%,1,1+VLOOKUP(($AJ39-$AI39-$AH39-$AG39-$AF39-$AE39*(1+EU$3))/$AJ39,'Технический лист'!$M:$N,2,1)-VLOOKUP($AO39,'Технический лист'!$M:$N,2,1)),1+(1-$AU39))</f>
        <v/>
      </c>
      <c r="EV39" s="173" t="n">
        <v>1</v>
      </c>
      <c r="EW39" s="172">
        <f>MIN(1,MAX(VLOOKUP(($AJ39-$AI39-$AH39-$AG39-$AF39-$AE39*(1+EW$3))/$AJ39,'Технический лист'!$M:$N,2,1),(EV39-0.05)))</f>
        <v/>
      </c>
      <c r="EX39" s="172">
        <f>MIN(1,MAX(VLOOKUP(($AJ39-$AI39-$AH39-$AG39-$AF39-$AE39*(1+EX$3))/$AJ39,'Технический лист'!$M:$N,2,1),(EW39-0.05)))</f>
        <v/>
      </c>
      <c r="EY39" s="172">
        <f>MIN(1,MAX(VLOOKUP(($AJ39-$AI39-$AH39-$AG39-$AF39-$AE39*(1+EY$3))/$AJ39,'Технический лист'!$M:$N,2,1),(EX39-0.05)))</f>
        <v/>
      </c>
      <c r="EZ39" s="172">
        <f>MIN(1,MAX(VLOOKUP(($AJ39-$AI39-$AH39-$AG39-$AF39-$AE39*(1+EZ$3))/$AJ39,'Технический лист'!$M:$N,2,1),(EY39-0.05)))</f>
        <v/>
      </c>
      <c r="FA39" s="172">
        <f>MIN(1,MAX(VLOOKUP(($AJ39-$AI39-$AH39-$AG39-$AF39-$AE39*(1+FA$3))/$AJ39,'Технический лист'!$M:$N,2,1),(EZ39-0.05)))</f>
        <v/>
      </c>
      <c r="FB39" s="172">
        <f>MIN(1,MAX(VLOOKUP(($AJ39-$AI39-$AH39-$AG39-$AF39-$AE39*(1+FB$3))/$AJ39,'Технический лист'!$M:$N,2,1),(FA39-0.05)))</f>
        <v/>
      </c>
      <c r="FC39" s="172">
        <f>MIN(1,MAX(VLOOKUP(($AJ39-$AI39-$AH39-$AG39-$AF39-$AE39*(1+FC$3))/$AJ39,'Технический лист'!$M:$N,2,1),(FB39-0.05)))</f>
        <v/>
      </c>
      <c r="FD39" s="172">
        <f>MIN(1,MAX(VLOOKUP(($AJ39-$AI39-$AH39-$AG39-$AF39-$AE39*(1+FD$3))/$AJ39,'Технический лист'!$M:$N,2,1),(FC39-0.05)))</f>
        <v/>
      </c>
      <c r="FE39" s="172">
        <f>MIN(1,MAX(VLOOKUP(($AJ39-$AI39-$AH39-$AG39-$AF39-$AE39*(1+FE$3))/$AJ39,'Технический лист'!$M:$N,2,1),(FD39-0.05)))</f>
        <v/>
      </c>
      <c r="FF39" s="172">
        <f>MIN(1,MAX(VLOOKUP(($AJ39-$AI39-$AH39-$AG39-$AF39-$AE39*(1+FF$3))/$AJ39,'Технический лист'!$M:$N,2,1),(FE39-0.05)))</f>
        <v/>
      </c>
      <c r="FG39" s="172">
        <f>MIN(1,MAX(VLOOKUP(($AJ39-$AI39-$AH39-$AG39-$AF39-$AE39*(1+FG$3))/$AJ39,'Технический лист'!$M:$N,2,1),(FF39-0.05)))</f>
        <v/>
      </c>
      <c r="FH39" s="172">
        <f>MIN(1,MAX(VLOOKUP(($AJ39-$AI39-$AH39-$AG39-$AF39-$AE39*(1+FH$3))/$AJ39,'Технический лист'!$M:$N,2,1),(FG39-0.05)))</f>
        <v/>
      </c>
      <c r="FI39" s="172">
        <f>MIN(1,MAX(VLOOKUP(($AJ39-$AI39-$AH39-$AG39-$AF39-$AE39*(1+FI$3))/$AJ39,'Технический лист'!$M:$N,2,1),(FH39-0.05)))</f>
        <v/>
      </c>
      <c r="FJ39" s="172">
        <f>MIN(1,MAX(VLOOKUP(($AJ39-$AI39-$AH39-$AG39-$AF39-$AE39*(1+FJ$3))/$AJ39,'Технический лист'!$M:$N,2,1),(FI39-0.05)))</f>
        <v/>
      </c>
      <c r="FK39" s="172">
        <f>MIN(1,MAX(VLOOKUP(($AJ39-$AI39-$AH39-$AG39-$AF39-$AE39*(1+FK$3))/$AJ39,'Технический лист'!$M:$N,2,1),(FJ39-0.05)))</f>
        <v/>
      </c>
      <c r="FL39" s="172">
        <f>MIN(1,MAX(VLOOKUP(($AJ39-$AI39-$AH39-$AG39-$AF39-$AE39*(1+FL$3))/$AJ39,'Технический лист'!$M:$N,2,1),(FK39-0.05)))</f>
        <v/>
      </c>
      <c r="FM39" s="172">
        <f>MIN(1,MAX(VLOOKUP(($AJ39-$AI39-$AH39-$AG39-$AF39-$AE39*(1+FM$3))/$AJ39,'Технический лист'!$M:$N,2,1),(FL39-0.05)))</f>
        <v/>
      </c>
      <c r="FN39" s="172">
        <f>MIN(1,MAX(VLOOKUP(($AJ39-$AI39-$AH39-$AG39-$AF39-$AE39*(1+FN$3))/$AJ39,'Технический лист'!$M:$N,2,1),(FM39-0.05)))</f>
        <v/>
      </c>
      <c r="FO39" s="172">
        <f>MIN(1,MAX(VLOOKUP(($AJ39-$AI39-$AH39-$AG39-$AF39-$AE39*(1+FO$3))/$AJ39,'Технический лист'!$M:$N,2,1),(FN39-0.05)))</f>
        <v/>
      </c>
      <c r="FP39" s="172">
        <f>MIN(1,MAX(VLOOKUP(($AJ39-$AI39-$AH39-$AG39-$AF39-$AE39*(1+FP$3))/$AJ39,'Технический лист'!$M:$N,2,1),(FO39-0.05)))</f>
        <v/>
      </c>
      <c r="FQ39" s="172">
        <f>MIN(1,MAX(VLOOKUP(($AJ39-$AI39-$AH39-$AG39-$AF39-$AE39*(1+FQ$3))/$AJ39,'Технический лист'!$M:$N,2,1),(FP39-0.05)))</f>
        <v/>
      </c>
      <c r="FR39" s="172">
        <f>MIN(1,MAX(VLOOKUP(($AJ39-$AI39-$AH39-$AG39-$AF39-$AE39*(1+FR$3))/$AJ39,'Технический лист'!$M:$N,2,1),(FQ39-0.05)))</f>
        <v/>
      </c>
      <c r="FS39" s="172">
        <f>MIN(1,MAX(VLOOKUP(($AJ39-$AI39-$AH39-$AG39-$AF39-$AE39*(1+FS$3))/$AJ39,'Технический лист'!$M:$N,2,1),(FR39-0.05)))</f>
        <v/>
      </c>
      <c r="FT39" s="172">
        <f>MIN(1,MAX(VLOOKUP(($AJ39-$AI39-$AH39-$AG39-$AF39-$AE39*(1+FT$3))/$AJ39,'Технический лист'!$M:$N,2,1),(FS39-0.05)))</f>
        <v/>
      </c>
      <c r="FU39" s="172">
        <f>MIN(1,MAX(VLOOKUP(($AJ39-$AI39-$AH39-$AG39-$AF39-$AE39*(1+FU$3))/$AJ39,'Технический лист'!$M:$N,2,1),(FT39-0.05)))</f>
        <v/>
      </c>
      <c r="FV39" s="172">
        <f>MIN(1,MAX(VLOOKUP(($AJ39-$AI39-$AH39-$AG39-$AF39-$AE39*(1+FV$3))/$AJ39,'Технический лист'!$M:$N,2,1),(FU39-0.05)))</f>
        <v/>
      </c>
      <c r="FW39" s="172">
        <f>MIN(1,MAX(VLOOKUP(($AJ39-$AI39-$AH39-$AG39-$AF39-$AE39*(1+FW$3))/$AJ39,'Технический лист'!$M:$N,2,1),(FV39-0.05)))</f>
        <v/>
      </c>
      <c r="FX39" s="172">
        <f>MIN(1,MAX(VLOOKUP(($AJ39-$AI39-$AH39-$AG39-$AF39-$AE39*(1+FX$3))/$AJ39,'Технический лист'!$M:$N,2,1),(FW39-0.05)))</f>
        <v/>
      </c>
      <c r="FY39" s="172">
        <f>MIN(1,MAX(VLOOKUP(($AJ39-$AI39-$AH39-$AG39-$AF39-$AE39*(1+FY$3))/$AJ39,'Технический лист'!$M:$N,2,1),(FX39-0.05)))</f>
        <v/>
      </c>
      <c r="FZ39" s="172">
        <f>MIN(1,MAX(VLOOKUP(($AJ39-$AI39-$AH39-$AG39-$AF39-$AE39*(1+FZ$3))/$AJ39,'Технический лист'!$M:$N,2,1),(FY39-0.05)))</f>
        <v/>
      </c>
      <c r="GA39" s="172">
        <f>MIN(1,MAX(VLOOKUP(($AJ39-$AI39-$AH39-$AG39-$AF39-$AE39*(1+GA$3))/$AJ39,'Технический лист'!$M:$N,2,1),(FZ39-0.05)))</f>
        <v/>
      </c>
      <c r="GB39" s="172">
        <f>MIN(1,MAX(VLOOKUP(($AJ39-$AI39-$AH39-$AG39-$AF39-$AE39*(1+GB$3))/$AJ39,'Технический лист'!$M:$N,2,1),(GA39-0.05)))</f>
        <v/>
      </c>
      <c r="GC39" s="172">
        <f>MIN(1,MAX(VLOOKUP(($AJ39-$AI39-$AH39-$AG39-$AF39-$AE39*(1+GC$3))/$AJ39,'Технический лист'!$M:$N,2,1),(GB39-0.05)))</f>
        <v/>
      </c>
      <c r="GD39" s="172">
        <f>MIN(1,MAX(VLOOKUP(($AJ39-$AI39-$AH39-$AG39-$AF39-$AE39*(1+GD$3))/$AJ39,'Технический лист'!$M:$N,2,1),(GC39-0.05)))</f>
        <v/>
      </c>
      <c r="GE39" s="172">
        <f>MIN(1,MAX(VLOOKUP(($AJ39-$AI39-$AH39-$AG39-$AF39-$AE39*(1+GE$3))/$AJ39,'Технический лист'!$M:$N,2,1),(GD39-0.05)))</f>
        <v/>
      </c>
      <c r="GF39" s="172">
        <f>MIN(1,MAX(VLOOKUP(($AJ39-$AI39-$AH39-$AG39-$AF39-$AE39*(1+GF$3))/$AJ39,'Технический лист'!$M:$N,2,1),(GE39-0.05)))</f>
        <v/>
      </c>
      <c r="GG39" s="172">
        <f>MIN(1,MAX(VLOOKUP(($AJ39-$AI39-$AH39-$AG39-$AF39-$AE39*(1+GG$3))/$AJ39,'Технический лист'!$M:$N,2,1),(GF39-0.05)))</f>
        <v/>
      </c>
      <c r="GH39" s="172">
        <f>MIN(1,MAX(VLOOKUP(($AJ39-$AI39-$AH39-$AG39-$AF39-$AE39*(1+GH$3))/$AJ39,'Технический лист'!$M:$N,2,1),(GG39-0.05)))</f>
        <v/>
      </c>
      <c r="GI39" s="172">
        <f>MIN(1,MAX(VLOOKUP(($AJ39-$AI39-$AH39-$AG39-$AF39-$AE39*(1+GI$3))/$AJ39,'Технический лист'!$M:$N,2,1),(GH39-0.05)))</f>
        <v/>
      </c>
      <c r="GJ39" s="172">
        <f>MIN(1,MAX(VLOOKUP(($AJ39-$AI39-$AH39-$AG39-$AF39-$AE39*(1+GJ$3))/$AJ39,'Технический лист'!$M:$N,2,1),(GI39-0.05)))</f>
        <v/>
      </c>
      <c r="GK39" s="172">
        <f>MIN(1,MAX(VLOOKUP(($AJ39-$AI39-$AH39-$AG39-$AF39-$AE39*(1+GK$3))/$AJ39,'Технический лист'!$M:$N,2,1),(GJ39-0.05)))</f>
        <v/>
      </c>
      <c r="GL39" s="172">
        <f>MIN(1,MAX(VLOOKUP(($AJ39-$AI39-$AH39-$AG39-$AF39-$AE39*(1+GL$3))/$AJ39,'Технический лист'!$M:$N,2,1),(GK39-0.05)))</f>
        <v/>
      </c>
      <c r="GM39" s="172">
        <f>MIN(1,MAX(VLOOKUP(($AJ39-$AI39-$AH39-$AG39-$AF39-$AE39*(1+GM$3))/$AJ39,'Технический лист'!$M:$N,2,1),(GL39-0.05)))</f>
        <v/>
      </c>
      <c r="GN39" s="172">
        <f>MIN(1,MAX(VLOOKUP(($AJ39-$AI39-$AH39-$AG39-$AF39-$AE39*(1+GN$3))/$AJ39,'Технический лист'!$M:$N,2,1),(GM39-0.05)))</f>
        <v/>
      </c>
      <c r="GO39" s="172">
        <f>MIN(1,MAX(VLOOKUP(($AJ39-$AI39-$AH39-$AG39-$AF39-$AE39*(1+GO$3))/$AJ39,'Технический лист'!$M:$N,2,1),(GN39-0.05)))</f>
        <v/>
      </c>
      <c r="GP39" s="172">
        <f>MIN(1,MAX(VLOOKUP(($AJ39-$AI39-$AH39-$AG39-$AF39-$AE39*(1+GP$3))/$AJ39,'Технический лист'!$M:$N,2,1),(GO39-0.05)))</f>
        <v/>
      </c>
      <c r="GQ39" s="172">
        <f>MIN(1,MAX(VLOOKUP(($AJ39-$AI39-$AH39-$AG39-$AF39-$AE39*(1+GQ$3))/$AJ39,'Технический лист'!$M:$N,2,1),(GP39-0.05)))</f>
        <v/>
      </c>
      <c r="GR39" s="172">
        <f>MIN(1,MAX(VLOOKUP(($AJ39-$AI39-$AH39-$AG39-$AF39-$AE39*(1+GR$3))/$AJ39,'Технический лист'!$M:$N,2,1),(GQ39-0.05)))</f>
        <v/>
      </c>
      <c r="GS39" s="172">
        <f>MIN(1,MAX(VLOOKUP(($AJ39-$AI39-$AH39-$AG39-$AF39-$AE39*(1+GS$3))/$AJ39,'Технический лист'!$M:$N,2,1),(GR39-0.05)))</f>
        <v/>
      </c>
      <c r="GT39" s="172">
        <f>MIN(1,MAX(VLOOKUP(($AJ39-$AI39-$AH39-$AG39-$AF39-$AE39*(1+GT$3))/$AJ39,'Технический лист'!$M:$N,2,1),(GS39-0.05)))</f>
        <v/>
      </c>
      <c r="GU39" s="172">
        <f>MIN(1,MAX(VLOOKUP(($AJ39-$AI39-$AH39-$AG39-$AF39-$AE39*(1+GU$3))/$AJ39,'Технический лист'!$M:$N,2,1),(GT39-0.05)))</f>
        <v/>
      </c>
      <c r="GV39" s="172">
        <f>MIN(1,MAX(VLOOKUP(($AJ39-$AI39-$AH39-$AG39-$AF39-$AE39*(1+GV$3))/$AJ39,'Технический лист'!$M:$N,2,1),(GU39-0.05)))</f>
        <v/>
      </c>
      <c r="GW39" s="172">
        <f>MIN(1,MAX(VLOOKUP(($AJ39-$AI39-$AH39-$AG39-$AF39-$AE39*(1+GW$3))/$AJ39,'Технический лист'!$M:$N,2,1),(GV39-0.05)))</f>
        <v/>
      </c>
      <c r="GX39" s="172">
        <f>MIN(1,MAX(VLOOKUP(($AJ39-$AI39-$AH39-$AG39-$AF39-$AE39*(1+GX$3))/$AJ39,'Технический лист'!$M:$N,2,1),(GW39-0.05)))</f>
        <v/>
      </c>
      <c r="GY39" s="172">
        <f>MIN(1,MAX(VLOOKUP(($AJ39-$AI39-$AH39-$AG39-$AF39-$AE39*(1+GY$3))/$AJ39,'Технический лист'!$M:$N,2,1),(GX39-0.05)))</f>
        <v/>
      </c>
      <c r="GZ39" s="172">
        <f>MIN(1,MAX(VLOOKUP(($AJ39-$AI39-$AH39-$AG39-$AF39-$AE39*(1+GZ$3))/$AJ39,'Технический лист'!$M:$N,2,1),(GY39-0.05)))</f>
        <v/>
      </c>
      <c r="HA39" s="172">
        <f>MIN(1,MAX(VLOOKUP(($AJ39-$AI39-$AH39-$AG39-$AF39-$AE39*(1+HA$3))/$AJ39,'Технический лист'!$M:$N,2,1),(GZ39-0.05)))</f>
        <v/>
      </c>
      <c r="HB39" s="172">
        <f>MIN(1,MAX(VLOOKUP(($AJ39-$AI39-$AH39-$AG39-$AF39-$AE39*(1+HB$3))/$AJ39,'Технический лист'!$M:$N,2,1),(HA39-0.05)))</f>
        <v/>
      </c>
      <c r="HC39" s="172">
        <f>MIN(1,MAX(VLOOKUP(($AJ39-$AI39-$AH39-$AG39-$AF39-$AE39*(1+HC$3))/$AJ39,'Технический лист'!$M:$N,2,1),(HB39-0.05)))</f>
        <v/>
      </c>
      <c r="HD39" s="172">
        <f>MIN(1,MAX(VLOOKUP(($AJ39-$AI39-$AH39-$AG39-$AF39-$AE39*(1+HD$3))/$AJ39,'Технический лист'!$M:$N,2,1),(HC39-0.05)))</f>
        <v/>
      </c>
      <c r="HE39" s="172">
        <f>MIN(1,MAX(VLOOKUP(($AJ39-$AI39-$AH39-$AG39-$AF39-$AE39*(1+HE$3))/$AJ39,'Технический лист'!$M:$N,2,1),(HD39-0.05)))</f>
        <v/>
      </c>
      <c r="HF39" s="172">
        <f>MIN(1,MAX(VLOOKUP(($AJ39-$AI39-$AH39-$AG39-$AF39-$AE39*(1+HF$3))/$AJ39,'Технический лист'!$M:$N,2,1),(HE39-0.05)))</f>
        <v/>
      </c>
      <c r="HG39" s="172">
        <f>MIN(1,MAX(VLOOKUP(($AJ39-$AI39-$AH39-$AG39-$AF39-$AE39*(1+HG$3))/$AJ39,'Технический лист'!$M:$N,2,1),(HF39-0.05)))</f>
        <v/>
      </c>
      <c r="HH39" s="172">
        <f>MIN(1,MAX(VLOOKUP(($AJ39-$AI39-$AH39-$AG39-$AF39-$AE39*(1+HH$3))/$AJ39,'Технический лист'!$M:$N,2,1),(HG39-0.05)))</f>
        <v/>
      </c>
      <c r="HI39" s="172">
        <f>MIN(1,MAX(VLOOKUP(($AJ39-$AI39-$AH39-$AG39-$AF39-$AE39*(1+HI$3))/$AJ39,'Технический лист'!$M:$N,2,1),(HH39-0.05)))</f>
        <v/>
      </c>
      <c r="HJ39" s="172">
        <f>MIN(1,MAX(VLOOKUP(($AJ39-$AI39-$AH39-$AG39-$AF39-$AE39*(1+HJ$3))/$AJ39,'Технический лист'!$M:$N,2,1),(HI39-0.05)))</f>
        <v/>
      </c>
      <c r="HK39" s="172">
        <f>MIN(1,MAX(VLOOKUP(($AJ39-$AI39-$AH39-$AG39-$AF39-$AE39*(1+HK$3))/$AJ39,'Технический лист'!$M:$N,2,1),(HJ39-0.05)))</f>
        <v/>
      </c>
      <c r="HL39" s="172">
        <f>MIN(1,MAX(VLOOKUP(($AJ39-$AI39-$AH39-$AG39-$AF39-$AE39*(1+HL$3))/$AJ39,'Технический лист'!$M:$N,2,1),(HK39-0.05)))</f>
        <v/>
      </c>
      <c r="HM39" s="172">
        <f>MIN(1,MAX(VLOOKUP(($AJ39-$AI39-$AH39-$AG39-$AF39-$AE39*(1+HM$3))/$AJ39,'Технический лист'!$M:$N,2,1),(HL39-0.05)))</f>
        <v/>
      </c>
      <c r="HN39" s="172">
        <f>MIN(1,MAX(VLOOKUP(($AJ39-$AI39-$AH39-$AG39-$AF39-$AE39*(1+HN$3))/$AJ39,'Технический лист'!$M:$N,2,1),(HM39-0.05)))</f>
        <v/>
      </c>
      <c r="HO39" s="172">
        <f>MIN(1,MAX(VLOOKUP(($AJ39-$AI39-$AH39-$AG39-$AF39-$AE39*(1+HO$3))/$AJ39,'Технический лист'!$M:$N,2,1),(HN39-0.05)))</f>
        <v/>
      </c>
      <c r="HP39" s="172">
        <f>MIN(1,MAX(VLOOKUP(($AJ39-$AI39-$AH39-$AG39-$AF39-$AE39*(1+HP$3))/$AJ39,'Технический лист'!$M:$N,2,1),(HO39-0.05)))</f>
        <v/>
      </c>
      <c r="HQ39" s="172">
        <f>MIN(1,MAX(VLOOKUP(($AJ39-$AI39-$AH39-$AG39-$AF39-$AE39*(1+HQ$3))/$AJ39,'Технический лист'!$M:$N,2,1),(HP39-0.05)))</f>
        <v/>
      </c>
      <c r="HR39" s="172">
        <f>MIN(1,MAX(VLOOKUP(($AJ39-$AI39-$AH39-$AG39-$AF39-$AE39*(1+HR$3))/$AJ39,'Технический лист'!$M:$N,2,1),(HQ39-0.05)))</f>
        <v/>
      </c>
      <c r="HS39" s="172">
        <f>MIN(1,MAX(VLOOKUP(($AJ39-$AI39-$AH39-$AG39-$AF39-$AE39*(1+HS$3))/$AJ39,'Технический лист'!$M:$N,2,1),(HR39-0.05)))</f>
        <v/>
      </c>
      <c r="HT39" s="172">
        <f>MIN(1,MAX(VLOOKUP(($AJ39-$AI39-$AH39-$AG39-$AF39-$AE39*(1+HT$3))/$AJ39,'Технический лист'!$M:$N,2,1),(HS39-0.05)))</f>
        <v/>
      </c>
      <c r="HU39" s="172">
        <f>MIN(1,MAX(VLOOKUP(($AJ39-$AI39-$AH39-$AG39-$AF39-$AE39*(1+HU$3))/$AJ39,'Технический лист'!$M:$N,2,1),(HT39-0.05)))</f>
        <v/>
      </c>
      <c r="HV39" s="172">
        <f>MIN(1,MAX(VLOOKUP(($AJ39-$AI39-$AH39-$AG39-$AF39-$AE39*(1+HV$3))/$AJ39,'Технический лист'!$M:$N,2,1),(HU39-0.05)))</f>
        <v/>
      </c>
      <c r="HW39" s="172">
        <f>MIN(1,MAX(VLOOKUP(($AJ39-$AI39-$AH39-$AG39-$AF39-$AE39*(1+HW$3))/$AJ39,'Технический лист'!$M:$N,2,1),(HV39-0.05)))</f>
        <v/>
      </c>
      <c r="HX39" s="172">
        <f>MIN(1,MAX(VLOOKUP(($AJ39-$AI39-$AH39-$AG39-$AF39-$AE39*(1+HX$3))/$AJ39,'Технический лист'!$M:$N,2,1),(HW39-0.05)))</f>
        <v/>
      </c>
      <c r="HY39" s="172">
        <f>MIN(1,MAX(VLOOKUP(($AJ39-$AI39-$AH39-$AG39-$AF39-$AE39*(1+HY$3))/$AJ39,'Технический лист'!$M:$N,2,1),(HX39-0.05)))</f>
        <v/>
      </c>
      <c r="HZ39" s="172">
        <f>MIN(1,MAX(VLOOKUP(($AJ39-$AI39-$AH39-$AG39-$AF39-$AE39*(1+HZ$3))/$AJ39,'Технический лист'!$M:$N,2,1),(HY39-0.05)))</f>
        <v/>
      </c>
      <c r="IA39" s="172">
        <f>MIN(1,MAX(VLOOKUP(($AJ39-$AI39-$AH39-$AG39-$AF39-$AE39*(1+IA$3))/$AJ39,'Технический лист'!$M:$N,2,1),(HZ39-0.05)))</f>
        <v/>
      </c>
      <c r="IB39" s="172">
        <f>MIN(1,MAX(VLOOKUP(($AJ39-$AI39-$AH39-$AG39-$AF39-$AE39*(1+IB$3))/$AJ39,'Технический лист'!$M:$N,2,1),(IA39-0.05)))</f>
        <v/>
      </c>
      <c r="IC39" s="172">
        <f>MIN(1,MAX(VLOOKUP(($AJ39-$AI39-$AH39-$AG39-$AF39-$AE39*(1+IC$3))/$AJ39,'Технический лист'!$M:$N,2,1),(IB39-0.05)))</f>
        <v/>
      </c>
      <c r="ID39" s="172">
        <f>MIN(1,MAX(VLOOKUP(($AJ39-$AI39-$AH39-$AG39-$AF39-$AE39*(1+ID$3))/$AJ39,'Технический лист'!$M:$N,2,1),(IC39-0.05)))</f>
        <v/>
      </c>
      <c r="IE39" s="172">
        <f>MIN(1,MAX(VLOOKUP(($AJ39-$AI39-$AH39-$AG39-$AF39-$AE39*(1+IE$3))/$AJ39,'Технический лист'!$M:$N,2,1),(ID39-0.05)))</f>
        <v/>
      </c>
      <c r="IF39" s="172">
        <f>MIN(1,MAX(VLOOKUP(($AJ39-$AI39-$AH39-$AG39-$AF39-$AE39*(1+IF$3))/$AJ39,'Технический лист'!$M:$N,2,1),(IE39-0.05)))</f>
        <v/>
      </c>
      <c r="IG39" s="172">
        <f>MIN(1,MAX(VLOOKUP(($AJ39-$AI39-$AH39-$AG39-$AF39-$AE39*(1+IG$3))/$AJ39,'Технический лист'!$M:$N,2,1),(IF39-0.05)))</f>
        <v/>
      </c>
      <c r="IH39" s="172">
        <f>MIN(1,MAX(VLOOKUP(($AJ39-$AI39-$AH39-$AG39-$AF39-$AE39*(1+IH$3))/$AJ39,'Технический лист'!$M:$N,2,1),(IG39-0.05)))</f>
        <v/>
      </c>
      <c r="II39" s="172">
        <f>MIN(1,MAX(VLOOKUP(($AJ39-$AI39-$AH39-$AG39-$AF39-$AE39*(1+II$3))/$AJ39,'Технический лист'!$M:$N,2,1),(IH39-0.05)))</f>
        <v/>
      </c>
      <c r="IJ39" s="172">
        <f>MIN(1,MAX(VLOOKUP(($AJ39-$AI39-$AH39-$AG39-$AF39-$AE39*(1+IJ$3))/$AJ39,'Технический лист'!$M:$N,2,1),(II39-0.05)))</f>
        <v/>
      </c>
      <c r="IK39" s="172">
        <f>MIN(1,MAX(VLOOKUP(($AJ39-$AI39-$AH39-$AG39-$AF39-$AE39*(1+IK$3))/$AJ39,'Технический лист'!$M:$N,2,1),(IJ39-0.05)))</f>
        <v/>
      </c>
      <c r="IL39" s="172">
        <f>MIN(1,MAX(VLOOKUP(($AJ39-$AI39-$AH39-$AG39-$AF39-$AE39*(1+IL$3))/$AJ39,'Технический лист'!$M:$N,2,1),(IK39-0.05)))</f>
        <v/>
      </c>
      <c r="IM39" s="172">
        <f>MIN(1,MAX(VLOOKUP(($AJ39-$AI39-$AH39-$AG39-$AF39-$AE39*(1+IM$3))/$AJ39,'Технический лист'!$M:$N,2,1),(IL39-0.05)))</f>
        <v/>
      </c>
      <c r="IN39" s="172">
        <f>MIN(1,MAX(VLOOKUP(($AJ39-$AI39-$AH39-$AG39-$AF39-$AE39*(1+IN$3))/$AJ39,'Технический лист'!$M:$N,2,1),(IM39-0.05)))</f>
        <v/>
      </c>
      <c r="IO39" s="172">
        <f>MIN(1,MAX(VLOOKUP(($AJ39-$AI39-$AH39-$AG39-$AF39-$AE39*(1+IO$3))/$AJ39,'Технический лист'!$M:$N,2,1),(IN39-0.05)))</f>
        <v/>
      </c>
      <c r="IP39" s="172">
        <f>MIN(1,MAX(VLOOKUP(($AJ39-$AI39-$AH39-$AG39-$AF39-$AE39*(1+IP$3))/$AJ39,'Технический лист'!$M:$N,2,1),(IO39-0.05)))</f>
        <v/>
      </c>
      <c r="IQ39" s="172">
        <f>MIN(1,MAX(VLOOKUP(($AJ39-$AI39-$AH39-$AG39-$AF39-$AE39*(1+IQ$3))/$AJ39,'Технический лист'!$M:$N,2,1),(IP39-0.05)))</f>
        <v/>
      </c>
      <c r="IR39" s="172">
        <f>MIN(1,MAX(VLOOKUP(($AJ39-$AI39-$AH39-$AG39-$AF39-$AE39*(1+IR$3))/$AJ39,'Технический лист'!$M:$N,2,1),(IQ39-0.05)))</f>
        <v/>
      </c>
    </row>
    <row r="40" ht="29.15" customHeight="1" s="123">
      <c r="A40" s="89" t="inlineStr">
        <is>
          <t>ЧМ (сырье)</t>
        </is>
      </c>
      <c r="B40" s="90" t="n">
        <v>4</v>
      </c>
      <c r="C40" s="5" t="inlineStr">
        <is>
          <t>Руды  всякие</t>
        </is>
      </c>
      <c r="D40" s="91" t="n">
        <v>14109</v>
      </c>
      <c r="E40" s="91" t="inlineStr">
        <is>
          <t xml:space="preserve">Концентрат железорудный (гематит) </t>
        </is>
      </c>
      <c r="F40" s="92" t="inlineStr">
        <is>
          <t>РУДЫ И КОНЦЕНТРАТЫ ЖЕЛЕЗН</t>
        </is>
      </c>
      <c r="G40" s="91" t="inlineStr">
        <is>
          <t>ДВС</t>
        </is>
      </c>
      <c r="H40" s="91" t="inlineStr">
        <is>
          <t>ИФР</t>
        </is>
      </c>
      <c r="I40" s="91" t="inlineStr">
        <is>
          <t>ИЗВЕСТКОВАЯ</t>
        </is>
      </c>
      <c r="J40" s="91" t="inlineStr">
        <is>
          <t>МИХ-СЕМ-Э</t>
        </is>
      </c>
      <c r="K40" s="91" t="n">
        <v>244</v>
      </c>
      <c r="L40" s="91" t="inlineStr">
        <is>
          <t>Полувагоны</t>
        </is>
      </c>
      <c r="M40" s="91" t="inlineStr">
        <is>
          <t>Экспорт</t>
        </is>
      </c>
      <c r="N40" s="91" t="inlineStr">
        <is>
          <t>вагонная</t>
        </is>
      </c>
      <c r="O40" s="91" t="inlineStr">
        <is>
          <t>Восточное</t>
        </is>
      </c>
      <c r="P40" s="89" t="inlineStr">
        <is>
          <t>'000073844898</t>
        </is>
      </c>
      <c r="Q40" s="93" t="inlineStr">
        <is>
          <t>ООО "Кимкано-Сутарский ГОК"</t>
        </is>
      </c>
      <c r="R40" s="91" t="inlineStr">
        <is>
          <t>ГК "Петропавловск"</t>
        </is>
      </c>
      <c r="S40" s="87" t="n">
        <v>1588316</v>
      </c>
      <c r="T40" s="87" t="n">
        <v>387549218</v>
      </c>
      <c r="U40" s="88" t="n">
        <v>22239</v>
      </c>
      <c r="V40" s="88" t="n">
        <v>0</v>
      </c>
      <c r="W40" s="87" t="n">
        <v>1326258461</v>
      </c>
      <c r="X40" s="112" t="n">
        <v>72</v>
      </c>
      <c r="Y40" s="112" t="inlineStr">
        <is>
          <t>маршрутная</t>
        </is>
      </c>
      <c r="Z40" s="113" t="n">
        <v>3</v>
      </c>
      <c r="AA40" s="113" t="n">
        <v>2</v>
      </c>
      <c r="AB40" s="113" t="n">
        <v>4</v>
      </c>
      <c r="AC40" s="161" t="n">
        <v>360.42</v>
      </c>
      <c r="AD40" s="161">
        <f>AE40-AC40</f>
        <v/>
      </c>
      <c r="AE40" s="161" t="n">
        <v>464.92</v>
      </c>
      <c r="AF40" s="162">
        <f>(Z40+AA40+AB40)*'Ставки аренды'!$B$2/X40</f>
        <v/>
      </c>
      <c r="AG40" s="163">
        <f>'Ставки перевалки'!$B$13</f>
        <v/>
      </c>
      <c r="AH40" s="164" t="n">
        <v>0</v>
      </c>
      <c r="AI40" s="165">
        <f>14214890/21228111*AVERAGE(AJ40,AJ41)</f>
        <v/>
      </c>
      <c r="AJ40" s="166">
        <f>Цены!C15*'Курсы валют'!B2</f>
        <v/>
      </c>
      <c r="AK40" s="164">
        <f>AJ40/Цены!$B$1</f>
        <v/>
      </c>
      <c r="AL40" s="164">
        <f>AE40+AF40+AG40</f>
        <v/>
      </c>
      <c r="AM40" s="164">
        <f>AJ40-AL40</f>
        <v/>
      </c>
      <c r="AN40" s="164">
        <f>AI40+AH40+AG40+AF40+AE40</f>
        <v/>
      </c>
      <c r="AO40" s="167">
        <f>(AJ40-AN40)/AJ40</f>
        <v/>
      </c>
      <c r="AP40" s="168">
        <f>AL40/AJ40</f>
        <v/>
      </c>
      <c r="AQ40" s="168">
        <f>AE40/AJ40</f>
        <v/>
      </c>
      <c r="AR40" s="168">
        <f>AE40/AL40</f>
        <v/>
      </c>
      <c r="AS40" s="169" t="n">
        <v>1</v>
      </c>
      <c r="AT40" s="121">
        <f>S40*AS40</f>
        <v/>
      </c>
      <c r="AU40" s="83" t="n">
        <v>0.75</v>
      </c>
      <c r="AV40" s="170">
        <f>(AJ40-(AE40*(1+$IS$2)+AF40+AG40+AH40+AI40))/AJ40</f>
        <v/>
      </c>
      <c r="AW40" s="171">
        <f>(AE40*(1+$IS$2)+AF40+AG40)/AJ40</f>
        <v/>
      </c>
      <c r="AX40" s="171">
        <f>(AE40*(1+$IS$2))/AJ40</f>
        <v/>
      </c>
      <c r="AY40" s="171">
        <f>(AE40*(1+$IS$2))/(AE40*(1+$IS$2)+AF40+AG40)</f>
        <v/>
      </c>
      <c r="AZ40" s="172">
        <f>MIN(IF($AU40=100%,1,1+VLOOKUP(($AJ40-$AI40-$AH40-$AG40-$AF40-$AE40*(1+AZ$3))/$AJ40,'Технический лист'!$M:$N,2,1)-VLOOKUP($AO40,'Технический лист'!$M:$N,2,1)),1+(1-$AU40))</f>
        <v/>
      </c>
      <c r="BA40" s="172">
        <f>MIN(IF($AU40=100%,1,1+VLOOKUP(($AJ40-$AI40-$AH40-$AG40-$AF40-$AE40*(1+BA$3))/$AJ40,'Технический лист'!$M:$N,2,1)-VLOOKUP($AO40,'Технический лист'!$M:$N,2,1)),1+(1-$AU40))</f>
        <v/>
      </c>
      <c r="BB40" s="172">
        <f>MIN(IF($AU40=100%,1,1+VLOOKUP(($AJ40-$AI40-$AH40-$AG40-$AF40-$AE40*(1+BB$3))/$AJ40,'Технический лист'!$M:$N,2,1)-VLOOKUP($AO40,'Технический лист'!$M:$N,2,1)),1+(1-$AU40))</f>
        <v/>
      </c>
      <c r="BC40" s="172">
        <f>MIN(IF($AU40=100%,1,1+VLOOKUP(($AJ40-$AI40-$AH40-$AG40-$AF40-$AE40*(1+BC$3))/$AJ40,'Технический лист'!$M:$N,2,1)-VLOOKUP($AO40,'Технический лист'!$M:$N,2,1)),1+(1-$AU40))</f>
        <v/>
      </c>
      <c r="BD40" s="172">
        <f>MIN(IF($AU40=100%,1,1+VLOOKUP(($AJ40-$AI40-$AH40-$AG40-$AF40-$AE40*(1+BD$3))/$AJ40,'Технический лист'!$M:$N,2,1)-VLOOKUP($AO40,'Технический лист'!$M:$N,2,1)),1+(1-$AU40))</f>
        <v/>
      </c>
      <c r="BE40" s="172">
        <f>MIN(IF($AU40=100%,1,1+VLOOKUP(($AJ40-$AI40-$AH40-$AG40-$AF40-$AE40*(1+BE$3))/$AJ40,'Технический лист'!$M:$N,2,1)-VLOOKUP($AO40,'Технический лист'!$M:$N,2,1)),1+(1-$AU40))</f>
        <v/>
      </c>
      <c r="BF40" s="172">
        <f>MIN(IF($AU40=100%,1,1+VLOOKUP(($AJ40-$AI40-$AH40-$AG40-$AF40-$AE40*(1+BF$3))/$AJ40,'Технический лист'!$M:$N,2,1)-VLOOKUP($AO40,'Технический лист'!$M:$N,2,1)),1+(1-$AU40))</f>
        <v/>
      </c>
      <c r="BG40" s="172">
        <f>MIN(IF($AU40=100%,1,1+VLOOKUP(($AJ40-$AI40-$AH40-$AG40-$AF40-$AE40*(1+BG$3))/$AJ40,'Технический лист'!$M:$N,2,1)-VLOOKUP($AO40,'Технический лист'!$M:$N,2,1)),1+(1-$AU40))</f>
        <v/>
      </c>
      <c r="BH40" s="172">
        <f>MIN(IF($AU40=100%,1,1+VLOOKUP(($AJ40-$AI40-$AH40-$AG40-$AF40-$AE40*(1+BH$3))/$AJ40,'Технический лист'!$M:$N,2,1)-VLOOKUP($AO40,'Технический лист'!$M:$N,2,1)),1+(1-$AU40))</f>
        <v/>
      </c>
      <c r="BI40" s="172">
        <f>MIN(IF($AU40=100%,1,1+VLOOKUP(($AJ40-$AI40-$AH40-$AG40-$AF40-$AE40*(1+BI$3))/$AJ40,'Технический лист'!$M:$N,2,1)-VLOOKUP($AO40,'Технический лист'!$M:$N,2,1)),1+(1-$AU40))</f>
        <v/>
      </c>
      <c r="BJ40" s="172">
        <f>MIN(IF($AU40=100%,1,1+VLOOKUP(($AJ40-$AI40-$AH40-$AG40-$AF40-$AE40*(1+BJ$3))/$AJ40,'Технический лист'!$M:$N,2,1)-VLOOKUP($AO40,'Технический лист'!$M:$N,2,1)),1+(1-$AU40))</f>
        <v/>
      </c>
      <c r="BK40" s="172">
        <f>MIN(IF($AU40=100%,1,1+VLOOKUP(($AJ40-$AI40-$AH40-$AG40-$AF40-$AE40*(1+BK$3))/$AJ40,'Технический лист'!$M:$N,2,1)-VLOOKUP($AO40,'Технический лист'!$M:$N,2,1)),1+(1-$AU40))</f>
        <v/>
      </c>
      <c r="BL40" s="172">
        <f>MIN(IF($AU40=100%,1,1+VLOOKUP(($AJ40-$AI40-$AH40-$AG40-$AF40-$AE40*(1+BL$3))/$AJ40,'Технический лист'!$M:$N,2,1)-VLOOKUP($AO40,'Технический лист'!$M:$N,2,1)),1+(1-$AU40))</f>
        <v/>
      </c>
      <c r="BM40" s="172">
        <f>MIN(IF($AU40=100%,1,1+VLOOKUP(($AJ40-$AI40-$AH40-$AG40-$AF40-$AE40*(1+BM$3))/$AJ40,'Технический лист'!$M:$N,2,1)-VLOOKUP($AO40,'Технический лист'!$M:$N,2,1)),1+(1-$AU40))</f>
        <v/>
      </c>
      <c r="BN40" s="172">
        <f>MIN(IF($AU40=100%,1,1+VLOOKUP(($AJ40-$AI40-$AH40-$AG40-$AF40-$AE40*(1+BN$3))/$AJ40,'Технический лист'!$M:$N,2,1)-VLOOKUP($AO40,'Технический лист'!$M:$N,2,1)),1+(1-$AU40))</f>
        <v/>
      </c>
      <c r="BO40" s="172">
        <f>MIN(IF($AU40=100%,1,1+VLOOKUP(($AJ40-$AI40-$AH40-$AG40-$AF40-$AE40*(1+BO$3))/$AJ40,'Технический лист'!$M:$N,2,1)-VLOOKUP($AO40,'Технический лист'!$M:$N,2,1)),1+(1-$AU40))</f>
        <v/>
      </c>
      <c r="BP40" s="172">
        <f>MIN(IF($AU40=100%,1,1+VLOOKUP(($AJ40-$AI40-$AH40-$AG40-$AF40-$AE40*(1+BP$3))/$AJ40,'Технический лист'!$M:$N,2,1)-VLOOKUP($AO40,'Технический лист'!$M:$N,2,1)),1+(1-$AU40))</f>
        <v/>
      </c>
      <c r="BQ40" s="172">
        <f>MIN(IF($AU40=100%,1,1+VLOOKUP(($AJ40-$AI40-$AH40-$AG40-$AF40-$AE40*(1+BQ$3))/$AJ40,'Технический лист'!$M:$N,2,1)-VLOOKUP($AO40,'Технический лист'!$M:$N,2,1)),1+(1-$AU40))</f>
        <v/>
      </c>
      <c r="BR40" s="172">
        <f>MIN(IF($AU40=100%,1,1+VLOOKUP(($AJ40-$AI40-$AH40-$AG40-$AF40-$AE40*(1+BR$3))/$AJ40,'Технический лист'!$M:$N,2,1)-VLOOKUP($AO40,'Технический лист'!$M:$N,2,1)),1+(1-$AU40))</f>
        <v/>
      </c>
      <c r="BS40" s="172">
        <f>MIN(IF($AU40=100%,1,1+VLOOKUP(($AJ40-$AI40-$AH40-$AG40-$AF40-$AE40*(1+BS$3))/$AJ40,'Технический лист'!$M:$N,2,1)-VLOOKUP($AO40,'Технический лист'!$M:$N,2,1)),1+(1-$AU40))</f>
        <v/>
      </c>
      <c r="BT40" s="172">
        <f>MIN(IF($AU40=100%,1,1+VLOOKUP(($AJ40-$AI40-$AH40-$AG40-$AF40-$AE40*(1+BT$3))/$AJ40,'Технический лист'!$M:$N,2,1)-VLOOKUP($AO40,'Технический лист'!$M:$N,2,1)),1+(1-$AU40))</f>
        <v/>
      </c>
      <c r="BU40" s="172">
        <f>MIN(IF($AU40=100%,1,1+VLOOKUP(($AJ40-$AI40-$AH40-$AG40-$AF40-$AE40*(1+BU$3))/$AJ40,'Технический лист'!$M:$N,2,1)-VLOOKUP($AO40,'Технический лист'!$M:$N,2,1)),1+(1-$AU40))</f>
        <v/>
      </c>
      <c r="BV40" s="172">
        <f>MIN(IF($AU40=100%,1,1+VLOOKUP(($AJ40-$AI40-$AH40-$AG40-$AF40-$AE40*(1+BV$3))/$AJ40,'Технический лист'!$M:$N,2,1)-VLOOKUP($AO40,'Технический лист'!$M:$N,2,1)),1+(1-$AU40))</f>
        <v/>
      </c>
      <c r="BW40" s="172">
        <f>MIN(IF($AU40=100%,1,1+VLOOKUP(($AJ40-$AI40-$AH40-$AG40-$AF40-$AE40*(1+BW$3))/$AJ40,'Технический лист'!$M:$N,2,1)-VLOOKUP($AO40,'Технический лист'!$M:$N,2,1)),1+(1-$AU40))</f>
        <v/>
      </c>
      <c r="BX40" s="172">
        <f>MIN(IF($AU40=100%,1,1+VLOOKUP(($AJ40-$AI40-$AH40-$AG40-$AF40-$AE40*(1+BX$3))/$AJ40,'Технический лист'!$M:$N,2,1)-VLOOKUP($AO40,'Технический лист'!$M:$N,2,1)),1+(1-$AU40))</f>
        <v/>
      </c>
      <c r="BY40" s="172">
        <f>MIN(IF($AU40=100%,1,1+VLOOKUP(($AJ40-$AI40-$AH40-$AG40-$AF40-$AE40*(1+BY$3))/$AJ40,'Технический лист'!$M:$N,2,1)-VLOOKUP($AO40,'Технический лист'!$M:$N,2,1)),1+(1-$AU40))</f>
        <v/>
      </c>
      <c r="BZ40" s="172">
        <f>MIN(IF($AU40=100%,1,1+VLOOKUP(($AJ40-$AI40-$AH40-$AG40-$AF40-$AE40*(1+BZ$3))/$AJ40,'Технический лист'!$M:$N,2,1)-VLOOKUP($AO40,'Технический лист'!$M:$N,2,1)),1+(1-$AU40))</f>
        <v/>
      </c>
      <c r="CA40" s="172">
        <f>MIN(IF($AU40=100%,1,1+VLOOKUP(($AJ40-$AI40-$AH40-$AG40-$AF40-$AE40*(1+CA$3))/$AJ40,'Технический лист'!$M:$N,2,1)-VLOOKUP($AO40,'Технический лист'!$M:$N,2,1)),1+(1-$AU40))</f>
        <v/>
      </c>
      <c r="CB40" s="172">
        <f>MIN(IF($AU40=100%,1,1+VLOOKUP(($AJ40-$AI40-$AH40-$AG40-$AF40-$AE40*(1+CB$3))/$AJ40,'Технический лист'!$M:$N,2,1)-VLOOKUP($AO40,'Технический лист'!$M:$N,2,1)),1+(1-$AU40))</f>
        <v/>
      </c>
      <c r="CC40" s="172">
        <f>MIN(IF($AU40=100%,1,1+VLOOKUP(($AJ40-$AI40-$AH40-$AG40-$AF40-$AE40*(1+CC$3))/$AJ40,'Технический лист'!$M:$N,2,1)-VLOOKUP($AO40,'Технический лист'!$M:$N,2,1)),1+(1-$AU40))</f>
        <v/>
      </c>
      <c r="CD40" s="172">
        <f>MIN(IF($AU40=100%,1,1+VLOOKUP(($AJ40-$AI40-$AH40-$AG40-$AF40-$AE40*(1+CD$3))/$AJ40,'Технический лист'!$M:$N,2,1)-VLOOKUP($AO40,'Технический лист'!$M:$N,2,1)),1+(1-$AU40))</f>
        <v/>
      </c>
      <c r="CE40" s="172">
        <f>MIN(IF($AU40=100%,1,1+VLOOKUP(($AJ40-$AI40-$AH40-$AG40-$AF40-$AE40*(1+CE$3))/$AJ40,'Технический лист'!$M:$N,2,1)-VLOOKUP($AO40,'Технический лист'!$M:$N,2,1)),1+(1-$AU40))</f>
        <v/>
      </c>
      <c r="CF40" s="172">
        <f>MIN(IF($AU40=100%,1,1+VLOOKUP(($AJ40-$AI40-$AH40-$AG40-$AF40-$AE40*(1+CF$3))/$AJ40,'Технический лист'!$M:$N,2,1)-VLOOKUP($AO40,'Технический лист'!$M:$N,2,1)),1+(1-$AU40))</f>
        <v/>
      </c>
      <c r="CG40" s="172">
        <f>MIN(IF($AU40=100%,1,1+VLOOKUP(($AJ40-$AI40-$AH40-$AG40-$AF40-$AE40*(1+CG$3))/$AJ40,'Технический лист'!$M:$N,2,1)-VLOOKUP($AO40,'Технический лист'!$M:$N,2,1)),1+(1-$AU40))</f>
        <v/>
      </c>
      <c r="CH40" s="172">
        <f>MIN(IF($AU40=100%,1,1+VLOOKUP(($AJ40-$AI40-$AH40-$AG40-$AF40-$AE40*(1+CH$3))/$AJ40,'Технический лист'!$M:$N,2,1)-VLOOKUP($AO40,'Технический лист'!$M:$N,2,1)),1+(1-$AU40))</f>
        <v/>
      </c>
      <c r="CI40" s="172">
        <f>MIN(IF($AU40=100%,1,1+VLOOKUP(($AJ40-$AI40-$AH40-$AG40-$AF40-$AE40*(1+CI$3))/$AJ40,'Технический лист'!$M:$N,2,1)-VLOOKUP($AO40,'Технический лист'!$M:$N,2,1)),1+(1-$AU40))</f>
        <v/>
      </c>
      <c r="CJ40" s="172">
        <f>MIN(IF($AU40=100%,1,1+VLOOKUP(($AJ40-$AI40-$AH40-$AG40-$AF40-$AE40*(1+CJ$3))/$AJ40,'Технический лист'!$M:$N,2,1)-VLOOKUP($AO40,'Технический лист'!$M:$N,2,1)),1+(1-$AU40))</f>
        <v/>
      </c>
      <c r="CK40" s="172">
        <f>MIN(IF($AU40=100%,1,1+VLOOKUP(($AJ40-$AI40-$AH40-$AG40-$AF40-$AE40*(1+CK$3))/$AJ40,'Технический лист'!$M:$N,2,1)-VLOOKUP($AO40,'Технический лист'!$M:$N,2,1)),1+(1-$AU40))</f>
        <v/>
      </c>
      <c r="CL40" s="172">
        <f>MIN(IF($AU40=100%,1,1+VLOOKUP(($AJ40-$AI40-$AH40-$AG40-$AF40-$AE40*(1+CL$3))/$AJ40,'Технический лист'!$M:$N,2,1)-VLOOKUP($AO40,'Технический лист'!$M:$N,2,1)),1+(1-$AU40))</f>
        <v/>
      </c>
      <c r="CM40" s="172">
        <f>MIN(IF($AU40=100%,1,1+VLOOKUP(($AJ40-$AI40-$AH40-$AG40-$AF40-$AE40*(1+CM$3))/$AJ40,'Технический лист'!$M:$N,2,1)-VLOOKUP($AO40,'Технический лист'!$M:$N,2,1)),1+(1-$AU40))</f>
        <v/>
      </c>
      <c r="CN40" s="172">
        <f>MIN(IF($AU40=100%,1,1+VLOOKUP(($AJ40-$AI40-$AH40-$AG40-$AF40-$AE40*(1+CN$3))/$AJ40,'Технический лист'!$M:$N,2,1)-VLOOKUP($AO40,'Технический лист'!$M:$N,2,1)),1+(1-$AU40))</f>
        <v/>
      </c>
      <c r="CO40" s="172">
        <f>MIN(IF($AU40=100%,1,1+VLOOKUP(($AJ40-$AI40-$AH40-$AG40-$AF40-$AE40*(1+CO$3))/$AJ40,'Технический лист'!$M:$N,2,1)-VLOOKUP($AO40,'Технический лист'!$M:$N,2,1)),1+(1-$AU40))</f>
        <v/>
      </c>
      <c r="CP40" s="172">
        <f>MIN(IF($AU40=100%,1,1+VLOOKUP(($AJ40-$AI40-$AH40-$AG40-$AF40-$AE40*(1+CP$3))/$AJ40,'Технический лист'!$M:$N,2,1)-VLOOKUP($AO40,'Технический лист'!$M:$N,2,1)),1+(1-$AU40))</f>
        <v/>
      </c>
      <c r="CQ40" s="172">
        <f>MIN(IF($AU40=100%,1,1+VLOOKUP(($AJ40-$AI40-$AH40-$AG40-$AF40-$AE40*(1+CQ$3))/$AJ40,'Технический лист'!$M:$N,2,1)-VLOOKUP($AO40,'Технический лист'!$M:$N,2,1)),1+(1-$AU40))</f>
        <v/>
      </c>
      <c r="CR40" s="172">
        <f>MIN(IF($AU40=100%,1,1+VLOOKUP(($AJ40-$AI40-$AH40-$AG40-$AF40-$AE40*(1+CR$3))/$AJ40,'Технический лист'!$M:$N,2,1)-VLOOKUP($AO40,'Технический лист'!$M:$N,2,1)),1+(1-$AU40))</f>
        <v/>
      </c>
      <c r="CS40" s="172">
        <f>MIN(IF($AU40=100%,1,1+VLOOKUP(($AJ40-$AI40-$AH40-$AG40-$AF40-$AE40*(1+CS$3))/$AJ40,'Технический лист'!$M:$N,2,1)-VLOOKUP($AO40,'Технический лист'!$M:$N,2,1)),1+(1-$AU40))</f>
        <v/>
      </c>
      <c r="CT40" s="172">
        <f>MIN(IF($AU40=100%,1,1+VLOOKUP(($AJ40-$AI40-$AH40-$AG40-$AF40-$AE40*(1+CT$3))/$AJ40,'Технический лист'!$M:$N,2,1)-VLOOKUP($AO40,'Технический лист'!$M:$N,2,1)),1+(1-$AU40))</f>
        <v/>
      </c>
      <c r="CU40" s="172">
        <f>MIN(IF($AU40=100%,1,1+VLOOKUP(($AJ40-$AI40-$AH40-$AG40-$AF40-$AE40*(1+CU$3))/$AJ40,'Технический лист'!$M:$N,2,1)-VLOOKUP($AO40,'Технический лист'!$M:$N,2,1)),1+(1-$AU40))</f>
        <v/>
      </c>
      <c r="CV40" s="172">
        <f>MIN(IF($AU40=100%,1,1+VLOOKUP(($AJ40-$AI40-$AH40-$AG40-$AF40-$AE40*(1+CV$3))/$AJ40,'Технический лист'!$M:$N,2,1)-VLOOKUP($AO40,'Технический лист'!$M:$N,2,1)),1+(1-$AU40))</f>
        <v/>
      </c>
      <c r="CW40" s="172">
        <f>MIN(IF($AU40=100%,1,1+VLOOKUP(($AJ40-$AI40-$AH40-$AG40-$AF40-$AE40*(1+CW$3))/$AJ40,'Технический лист'!$M:$N,2,1)-VLOOKUP($AO40,'Технический лист'!$M:$N,2,1)),1+(1-$AU40))</f>
        <v/>
      </c>
      <c r="CX40" s="172">
        <f>MIN(IF($AU40=100%,1,1+VLOOKUP(($AJ40-$AI40-$AH40-$AG40-$AF40-$AE40*(1+CX$3))/$AJ40,'Технический лист'!$M:$N,2,1)-VLOOKUP($AO40,'Технический лист'!$M:$N,2,1)),1+(1-$AU40))</f>
        <v/>
      </c>
      <c r="CY40" s="172">
        <f>MIN(IF($AU40=100%,1,1+VLOOKUP(($AJ40-$AI40-$AH40-$AG40-$AF40-$AE40*(1+CY$3))/$AJ40,'Технический лист'!$M:$N,2,1)-VLOOKUP($AO40,'Технический лист'!$M:$N,2,1)),1+(1-$AU40))</f>
        <v/>
      </c>
      <c r="CZ40" s="172">
        <f>MIN(IF($AU40=100%,1,1+VLOOKUP(($AJ40-$AI40-$AH40-$AG40-$AF40-$AE40*(1+CZ$3))/$AJ40,'Технический лист'!$M:$N,2,1)-VLOOKUP($AO40,'Технический лист'!$M:$N,2,1)),1+(1-$AU40))</f>
        <v/>
      </c>
      <c r="DA40" s="172">
        <f>MIN(IF($AU40=100%,1,1+VLOOKUP(($AJ40-$AI40-$AH40-$AG40-$AF40-$AE40*(1+DA$3))/$AJ40,'Технический лист'!$M:$N,2,1)-VLOOKUP($AO40,'Технический лист'!$M:$N,2,1)),1+(1-$AU40))</f>
        <v/>
      </c>
      <c r="DB40" s="172">
        <f>MIN(IF($AU40=100%,1,1+VLOOKUP(($AJ40-$AI40-$AH40-$AG40-$AF40-$AE40*(1+DB$3))/$AJ40,'Технический лист'!$M:$N,2,1)-VLOOKUP($AO40,'Технический лист'!$M:$N,2,1)),1+(1-$AU40))</f>
        <v/>
      </c>
      <c r="DC40" s="172">
        <f>MIN(IF($AU40=100%,1,1+VLOOKUP(($AJ40-$AI40-$AH40-$AG40-$AF40-$AE40*(1+DC$3))/$AJ40,'Технический лист'!$M:$N,2,1)-VLOOKUP($AO40,'Технический лист'!$M:$N,2,1)),1+(1-$AU40))</f>
        <v/>
      </c>
      <c r="DD40" s="172">
        <f>MIN(IF($AU40=100%,1,1+VLOOKUP(($AJ40-$AI40-$AH40-$AG40-$AF40-$AE40*(1+DD$3))/$AJ40,'Технический лист'!$M:$N,2,1)-VLOOKUP($AO40,'Технический лист'!$M:$N,2,1)),1+(1-$AU40))</f>
        <v/>
      </c>
      <c r="DE40" s="172">
        <f>MIN(IF($AU40=100%,1,1+VLOOKUP(($AJ40-$AI40-$AH40-$AG40-$AF40-$AE40*(1+DE$3))/$AJ40,'Технический лист'!$M:$N,2,1)-VLOOKUP($AO40,'Технический лист'!$M:$N,2,1)),1+(1-$AU40))</f>
        <v/>
      </c>
      <c r="DF40" s="172">
        <f>MIN(IF($AU40=100%,1,1+VLOOKUP(($AJ40-$AI40-$AH40-$AG40-$AF40-$AE40*(1+DF$3))/$AJ40,'Технический лист'!$M:$N,2,1)-VLOOKUP($AO40,'Технический лист'!$M:$N,2,1)),1+(1-$AU40))</f>
        <v/>
      </c>
      <c r="DG40" s="172">
        <f>MIN(IF($AU40=100%,1,1+VLOOKUP(($AJ40-$AI40-$AH40-$AG40-$AF40-$AE40*(1+DG$3))/$AJ40,'Технический лист'!$M:$N,2,1)-VLOOKUP($AO40,'Технический лист'!$M:$N,2,1)),1+(1-$AU40))</f>
        <v/>
      </c>
      <c r="DH40" s="172">
        <f>MIN(IF($AU40=100%,1,1+VLOOKUP(($AJ40-$AI40-$AH40-$AG40-$AF40-$AE40*(1+DH$3))/$AJ40,'Технический лист'!$M:$N,2,1)-VLOOKUP($AO40,'Технический лист'!$M:$N,2,1)),1+(1-$AU40))</f>
        <v/>
      </c>
      <c r="DI40" s="172">
        <f>MIN(IF($AU40=100%,1,1+VLOOKUP(($AJ40-$AI40-$AH40-$AG40-$AF40-$AE40*(1+DI$3))/$AJ40,'Технический лист'!$M:$N,2,1)-VLOOKUP($AO40,'Технический лист'!$M:$N,2,1)),1+(1-$AU40))</f>
        <v/>
      </c>
      <c r="DJ40" s="172">
        <f>MIN(IF($AU40=100%,1,1+VLOOKUP(($AJ40-$AI40-$AH40-$AG40-$AF40-$AE40*(1+DJ$3))/$AJ40,'Технический лист'!$M:$N,2,1)-VLOOKUP($AO40,'Технический лист'!$M:$N,2,1)),1+(1-$AU40))</f>
        <v/>
      </c>
      <c r="DK40" s="172">
        <f>MIN(IF($AU40=100%,1,1+VLOOKUP(($AJ40-$AI40-$AH40-$AG40-$AF40-$AE40*(1+DK$3))/$AJ40,'Технический лист'!$M:$N,2,1)-VLOOKUP($AO40,'Технический лист'!$M:$N,2,1)),1+(1-$AU40))</f>
        <v/>
      </c>
      <c r="DL40" s="172">
        <f>MIN(IF($AU40=100%,1,1+VLOOKUP(($AJ40-$AI40-$AH40-$AG40-$AF40-$AE40*(1+DL$3))/$AJ40,'Технический лист'!$M:$N,2,1)-VLOOKUP($AO40,'Технический лист'!$M:$N,2,1)),1+(1-$AU40))</f>
        <v/>
      </c>
      <c r="DM40" s="172">
        <f>MIN(IF($AU40=100%,1,1+VLOOKUP(($AJ40-$AI40-$AH40-$AG40-$AF40-$AE40*(1+DM$3))/$AJ40,'Технический лист'!$M:$N,2,1)-VLOOKUP($AO40,'Технический лист'!$M:$N,2,1)),1+(1-$AU40))</f>
        <v/>
      </c>
      <c r="DN40" s="172">
        <f>MIN(IF($AU40=100%,1,1+VLOOKUP(($AJ40-$AI40-$AH40-$AG40-$AF40-$AE40*(1+DN$3))/$AJ40,'Технический лист'!$M:$N,2,1)-VLOOKUP($AO40,'Технический лист'!$M:$N,2,1)),1+(1-$AU40))</f>
        <v/>
      </c>
      <c r="DO40" s="172">
        <f>MIN(IF($AU40=100%,1,1+VLOOKUP(($AJ40-$AI40-$AH40-$AG40-$AF40-$AE40*(1+DO$3))/$AJ40,'Технический лист'!$M:$N,2,1)-VLOOKUP($AO40,'Технический лист'!$M:$N,2,1)),1+(1-$AU40))</f>
        <v/>
      </c>
      <c r="DP40" s="172">
        <f>MIN(IF($AU40=100%,1,1+VLOOKUP(($AJ40-$AI40-$AH40-$AG40-$AF40-$AE40*(1+DP$3))/$AJ40,'Технический лист'!$M:$N,2,1)-VLOOKUP($AO40,'Технический лист'!$M:$N,2,1)),1+(1-$AU40))</f>
        <v/>
      </c>
      <c r="DQ40" s="172">
        <f>MIN(IF($AU40=100%,1,1+VLOOKUP(($AJ40-$AI40-$AH40-$AG40-$AF40-$AE40*(1+DQ$3))/$AJ40,'Технический лист'!$M:$N,2,1)-VLOOKUP($AO40,'Технический лист'!$M:$N,2,1)),1+(1-$AU40))</f>
        <v/>
      </c>
      <c r="DR40" s="172">
        <f>MIN(IF($AU40=100%,1,1+VLOOKUP(($AJ40-$AI40-$AH40-$AG40-$AF40-$AE40*(1+DR$3))/$AJ40,'Технический лист'!$M:$N,2,1)-VLOOKUP($AO40,'Технический лист'!$M:$N,2,1)),1+(1-$AU40))</f>
        <v/>
      </c>
      <c r="DS40" s="172">
        <f>MIN(IF($AU40=100%,1,1+VLOOKUP(($AJ40-$AI40-$AH40-$AG40-$AF40-$AE40*(1+DS$3))/$AJ40,'Технический лист'!$M:$N,2,1)-VLOOKUP($AO40,'Технический лист'!$M:$N,2,1)),1+(1-$AU40))</f>
        <v/>
      </c>
      <c r="DT40" s="172">
        <f>MIN(IF($AU40=100%,1,1+VLOOKUP(($AJ40-$AI40-$AH40-$AG40-$AF40-$AE40*(1+DT$3))/$AJ40,'Технический лист'!$M:$N,2,1)-VLOOKUP($AO40,'Технический лист'!$M:$N,2,1)),1+(1-$AU40))</f>
        <v/>
      </c>
      <c r="DU40" s="172">
        <f>MIN(IF($AU40=100%,1,1+VLOOKUP(($AJ40-$AI40-$AH40-$AG40-$AF40-$AE40*(1+DU$3))/$AJ40,'Технический лист'!$M:$N,2,1)-VLOOKUP($AO40,'Технический лист'!$M:$N,2,1)),1+(1-$AU40))</f>
        <v/>
      </c>
      <c r="DV40" s="172">
        <f>MIN(IF($AU40=100%,1,1+VLOOKUP(($AJ40-$AI40-$AH40-$AG40-$AF40-$AE40*(1+DV$3))/$AJ40,'Технический лист'!$M:$N,2,1)-VLOOKUP($AO40,'Технический лист'!$M:$N,2,1)),1+(1-$AU40))</f>
        <v/>
      </c>
      <c r="DW40" s="172">
        <f>MIN(IF($AU40=100%,1,1+VLOOKUP(($AJ40-$AI40-$AH40-$AG40-$AF40-$AE40*(1+DW$3))/$AJ40,'Технический лист'!$M:$N,2,1)-VLOOKUP($AO40,'Технический лист'!$M:$N,2,1)),1+(1-$AU40))</f>
        <v/>
      </c>
      <c r="DX40" s="172">
        <f>MIN(IF($AU40=100%,1,1+VLOOKUP(($AJ40-$AI40-$AH40-$AG40-$AF40-$AE40*(1+DX$3))/$AJ40,'Технический лист'!$M:$N,2,1)-VLOOKUP($AO40,'Технический лист'!$M:$N,2,1)),1+(1-$AU40))</f>
        <v/>
      </c>
      <c r="DY40" s="172">
        <f>MIN(IF($AU40=100%,1,1+VLOOKUP(($AJ40-$AI40-$AH40-$AG40-$AF40-$AE40*(1+DY$3))/$AJ40,'Технический лист'!$M:$N,2,1)-VLOOKUP($AO40,'Технический лист'!$M:$N,2,1)),1+(1-$AU40))</f>
        <v/>
      </c>
      <c r="DZ40" s="172">
        <f>MIN(IF($AU40=100%,1,1+VLOOKUP(($AJ40-$AI40-$AH40-$AG40-$AF40-$AE40*(1+DZ$3))/$AJ40,'Технический лист'!$M:$N,2,1)-VLOOKUP($AO40,'Технический лист'!$M:$N,2,1)),1+(1-$AU40))</f>
        <v/>
      </c>
      <c r="EA40" s="172">
        <f>MIN(IF($AU40=100%,1,1+VLOOKUP(($AJ40-$AI40-$AH40-$AG40-$AF40-$AE40*(1+EA$3))/$AJ40,'Технический лист'!$M:$N,2,1)-VLOOKUP($AO40,'Технический лист'!$M:$N,2,1)),1+(1-$AU40))</f>
        <v/>
      </c>
      <c r="EB40" s="172">
        <f>MIN(IF($AU40=100%,1,1+VLOOKUP(($AJ40-$AI40-$AH40-$AG40-$AF40-$AE40*(1+EB$3))/$AJ40,'Технический лист'!$M:$N,2,1)-VLOOKUP($AO40,'Технический лист'!$M:$N,2,1)),1+(1-$AU40))</f>
        <v/>
      </c>
      <c r="EC40" s="172">
        <f>MIN(IF($AU40=100%,1,1+VLOOKUP(($AJ40-$AI40-$AH40-$AG40-$AF40-$AE40*(1+EC$3))/$AJ40,'Технический лист'!$M:$N,2,1)-VLOOKUP($AO40,'Технический лист'!$M:$N,2,1)),1+(1-$AU40))</f>
        <v/>
      </c>
      <c r="ED40" s="172">
        <f>MIN(IF($AU40=100%,1,1+VLOOKUP(($AJ40-$AI40-$AH40-$AG40-$AF40-$AE40*(1+ED$3))/$AJ40,'Технический лист'!$M:$N,2,1)-VLOOKUP($AO40,'Технический лист'!$M:$N,2,1)),1+(1-$AU40))</f>
        <v/>
      </c>
      <c r="EE40" s="172">
        <f>MIN(IF($AU40=100%,1,1+VLOOKUP(($AJ40-$AI40-$AH40-$AG40-$AF40-$AE40*(1+EE$3))/$AJ40,'Технический лист'!$M:$N,2,1)-VLOOKUP($AO40,'Технический лист'!$M:$N,2,1)),1+(1-$AU40))</f>
        <v/>
      </c>
      <c r="EF40" s="172">
        <f>MIN(IF($AU40=100%,1,1+VLOOKUP(($AJ40-$AI40-$AH40-$AG40-$AF40-$AE40*(1+EF$3))/$AJ40,'Технический лист'!$M:$N,2,1)-VLOOKUP($AO40,'Технический лист'!$M:$N,2,1)),1+(1-$AU40))</f>
        <v/>
      </c>
      <c r="EG40" s="172">
        <f>MIN(IF($AU40=100%,1,1+VLOOKUP(($AJ40-$AI40-$AH40-$AG40-$AF40-$AE40*(1+EG$3))/$AJ40,'Технический лист'!$M:$N,2,1)-VLOOKUP($AO40,'Технический лист'!$M:$N,2,1)),1+(1-$AU40))</f>
        <v/>
      </c>
      <c r="EH40" s="172">
        <f>MIN(IF($AU40=100%,1,1+VLOOKUP(($AJ40-$AI40-$AH40-$AG40-$AF40-$AE40*(1+EH$3))/$AJ40,'Технический лист'!$M:$N,2,1)-VLOOKUP($AO40,'Технический лист'!$M:$N,2,1)),1+(1-$AU40))</f>
        <v/>
      </c>
      <c r="EI40" s="172">
        <f>MIN(IF($AU40=100%,1,1+VLOOKUP(($AJ40-$AI40-$AH40-$AG40-$AF40-$AE40*(1+EI$3))/$AJ40,'Технический лист'!$M:$N,2,1)-VLOOKUP($AO40,'Технический лист'!$M:$N,2,1)),1+(1-$AU40))</f>
        <v/>
      </c>
      <c r="EJ40" s="172">
        <f>MIN(IF($AU40=100%,1,1+VLOOKUP(($AJ40-$AI40-$AH40-$AG40-$AF40-$AE40*(1+EJ$3))/$AJ40,'Технический лист'!$M:$N,2,1)-VLOOKUP($AO40,'Технический лист'!$M:$N,2,1)),1+(1-$AU40))</f>
        <v/>
      </c>
      <c r="EK40" s="172">
        <f>MIN(IF($AU40=100%,1,1+VLOOKUP(($AJ40-$AI40-$AH40-$AG40-$AF40-$AE40*(1+EK$3))/$AJ40,'Технический лист'!$M:$N,2,1)-VLOOKUP($AO40,'Технический лист'!$M:$N,2,1)),1+(1-$AU40))</f>
        <v/>
      </c>
      <c r="EL40" s="172">
        <f>MIN(IF($AU40=100%,1,1+VLOOKUP(($AJ40-$AI40-$AH40-$AG40-$AF40-$AE40*(1+EL$3))/$AJ40,'Технический лист'!$M:$N,2,1)-VLOOKUP($AO40,'Технический лист'!$M:$N,2,1)),1+(1-$AU40))</f>
        <v/>
      </c>
      <c r="EM40" s="172">
        <f>MIN(IF($AU40=100%,1,1+VLOOKUP(($AJ40-$AI40-$AH40-$AG40-$AF40-$AE40*(1+EM$3))/$AJ40,'Технический лист'!$M:$N,2,1)-VLOOKUP($AO40,'Технический лист'!$M:$N,2,1)),1+(1-$AU40))</f>
        <v/>
      </c>
      <c r="EN40" s="172">
        <f>MIN(IF($AU40=100%,1,1+VLOOKUP(($AJ40-$AI40-$AH40-$AG40-$AF40-$AE40*(1+EN$3))/$AJ40,'Технический лист'!$M:$N,2,1)-VLOOKUP($AO40,'Технический лист'!$M:$N,2,1)),1+(1-$AU40))</f>
        <v/>
      </c>
      <c r="EO40" s="172">
        <f>MIN(IF($AU40=100%,1,1+VLOOKUP(($AJ40-$AI40-$AH40-$AG40-$AF40-$AE40*(1+EO$3))/$AJ40,'Технический лист'!$M:$N,2,1)-VLOOKUP($AO40,'Технический лист'!$M:$N,2,1)),1+(1-$AU40))</f>
        <v/>
      </c>
      <c r="EP40" s="172">
        <f>MIN(IF($AU40=100%,1,1+VLOOKUP(($AJ40-$AI40-$AH40-$AG40-$AF40-$AE40*(1+EP$3))/$AJ40,'Технический лист'!$M:$N,2,1)-VLOOKUP($AO40,'Технический лист'!$M:$N,2,1)),1+(1-$AU40))</f>
        <v/>
      </c>
      <c r="EQ40" s="172">
        <f>MIN(IF($AU40=100%,1,1+VLOOKUP(($AJ40-$AI40-$AH40-$AG40-$AF40-$AE40*(1+EQ$3))/$AJ40,'Технический лист'!$M:$N,2,1)-VLOOKUP($AO40,'Технический лист'!$M:$N,2,1)),1+(1-$AU40))</f>
        <v/>
      </c>
      <c r="ER40" s="172">
        <f>MIN(IF($AU40=100%,1,1+VLOOKUP(($AJ40-$AI40-$AH40-$AG40-$AF40-$AE40*(1+ER$3))/$AJ40,'Технический лист'!$M:$N,2,1)-VLOOKUP($AO40,'Технический лист'!$M:$N,2,1)),1+(1-$AU40))</f>
        <v/>
      </c>
      <c r="ES40" s="172">
        <f>MIN(IF($AU40=100%,1,1+VLOOKUP(($AJ40-$AI40-$AH40-$AG40-$AF40-$AE40*(1+ES$3))/$AJ40,'Технический лист'!$M:$N,2,1)-VLOOKUP($AO40,'Технический лист'!$M:$N,2,1)),1+(1-$AU40))</f>
        <v/>
      </c>
      <c r="ET40" s="172">
        <f>MIN(IF($AU40=100%,1,1+VLOOKUP(($AJ40-$AI40-$AH40-$AG40-$AF40-$AE40*(1+ET$3))/$AJ40,'Технический лист'!$M:$N,2,1)-VLOOKUP($AO40,'Технический лист'!$M:$N,2,1)),1+(1-$AU40))</f>
        <v/>
      </c>
      <c r="EU40" s="172">
        <f>MIN(IF($AU40=100%,1,1+VLOOKUP(($AJ40-$AI40-$AH40-$AG40-$AF40-$AE40*(1+EU$3))/$AJ40,'Технический лист'!$M:$N,2,1)-VLOOKUP($AO40,'Технический лист'!$M:$N,2,1)),1+(1-$AU40))</f>
        <v/>
      </c>
      <c r="EV40" s="173" t="n">
        <v>1</v>
      </c>
      <c r="EW40" s="172">
        <f>MIN(1,MAX(VLOOKUP(($AJ40-$AI40-$AH40-$AG40-$AF40-$AE40*(1+EW$3))/$AJ40,'Технический лист'!$M:$N,2,1),(EV40-0.05)))</f>
        <v/>
      </c>
      <c r="EX40" s="172">
        <f>MIN(1,MAX(VLOOKUP(($AJ40-$AI40-$AH40-$AG40-$AF40-$AE40*(1+EX$3))/$AJ40,'Технический лист'!$M:$N,2,1),(EW40-0.05)))</f>
        <v/>
      </c>
      <c r="EY40" s="172">
        <f>MIN(1,MAX(VLOOKUP(($AJ40-$AI40-$AH40-$AG40-$AF40-$AE40*(1+EY$3))/$AJ40,'Технический лист'!$M:$N,2,1),(EX40-0.05)))</f>
        <v/>
      </c>
      <c r="EZ40" s="172">
        <f>MIN(1,MAX(VLOOKUP(($AJ40-$AI40-$AH40-$AG40-$AF40-$AE40*(1+EZ$3))/$AJ40,'Технический лист'!$M:$N,2,1),(EY40-0.05)))</f>
        <v/>
      </c>
      <c r="FA40" s="172">
        <f>MIN(1,MAX(VLOOKUP(($AJ40-$AI40-$AH40-$AG40-$AF40-$AE40*(1+FA$3))/$AJ40,'Технический лист'!$M:$N,2,1),(EZ40-0.05)))</f>
        <v/>
      </c>
      <c r="FB40" s="172">
        <f>MIN(1,MAX(VLOOKUP(($AJ40-$AI40-$AH40-$AG40-$AF40-$AE40*(1+FB$3))/$AJ40,'Технический лист'!$M:$N,2,1),(FA40-0.05)))</f>
        <v/>
      </c>
      <c r="FC40" s="172">
        <f>MIN(1,MAX(VLOOKUP(($AJ40-$AI40-$AH40-$AG40-$AF40-$AE40*(1+FC$3))/$AJ40,'Технический лист'!$M:$N,2,1),(FB40-0.05)))</f>
        <v/>
      </c>
      <c r="FD40" s="172">
        <f>MIN(1,MAX(VLOOKUP(($AJ40-$AI40-$AH40-$AG40-$AF40-$AE40*(1+FD$3))/$AJ40,'Технический лист'!$M:$N,2,1),(FC40-0.05)))</f>
        <v/>
      </c>
      <c r="FE40" s="172">
        <f>MIN(1,MAX(VLOOKUP(($AJ40-$AI40-$AH40-$AG40-$AF40-$AE40*(1+FE$3))/$AJ40,'Технический лист'!$M:$N,2,1),(FD40-0.05)))</f>
        <v/>
      </c>
      <c r="FF40" s="172">
        <f>MIN(1,MAX(VLOOKUP(($AJ40-$AI40-$AH40-$AG40-$AF40-$AE40*(1+FF$3))/$AJ40,'Технический лист'!$M:$N,2,1),(FE40-0.05)))</f>
        <v/>
      </c>
      <c r="FG40" s="172">
        <f>MIN(1,MAX(VLOOKUP(($AJ40-$AI40-$AH40-$AG40-$AF40-$AE40*(1+FG$3))/$AJ40,'Технический лист'!$M:$N,2,1),(FF40-0.05)))</f>
        <v/>
      </c>
      <c r="FH40" s="172">
        <f>MIN(1,MAX(VLOOKUP(($AJ40-$AI40-$AH40-$AG40-$AF40-$AE40*(1+FH$3))/$AJ40,'Технический лист'!$M:$N,2,1),(FG40-0.05)))</f>
        <v/>
      </c>
      <c r="FI40" s="172">
        <f>MIN(1,MAX(VLOOKUP(($AJ40-$AI40-$AH40-$AG40-$AF40-$AE40*(1+FI$3))/$AJ40,'Технический лист'!$M:$N,2,1),(FH40-0.05)))</f>
        <v/>
      </c>
      <c r="FJ40" s="172">
        <f>MIN(1,MAX(VLOOKUP(($AJ40-$AI40-$AH40-$AG40-$AF40-$AE40*(1+FJ$3))/$AJ40,'Технический лист'!$M:$N,2,1),(FI40-0.05)))</f>
        <v/>
      </c>
      <c r="FK40" s="172">
        <f>MIN(1,MAX(VLOOKUP(($AJ40-$AI40-$AH40-$AG40-$AF40-$AE40*(1+FK$3))/$AJ40,'Технический лист'!$M:$N,2,1),(FJ40-0.05)))</f>
        <v/>
      </c>
      <c r="FL40" s="172">
        <f>MIN(1,MAX(VLOOKUP(($AJ40-$AI40-$AH40-$AG40-$AF40-$AE40*(1+FL$3))/$AJ40,'Технический лист'!$M:$N,2,1),(FK40-0.05)))</f>
        <v/>
      </c>
      <c r="FM40" s="172">
        <f>MIN(1,MAX(VLOOKUP(($AJ40-$AI40-$AH40-$AG40-$AF40-$AE40*(1+FM$3))/$AJ40,'Технический лист'!$M:$N,2,1),(FL40-0.05)))</f>
        <v/>
      </c>
      <c r="FN40" s="172">
        <f>MIN(1,MAX(VLOOKUP(($AJ40-$AI40-$AH40-$AG40-$AF40-$AE40*(1+FN$3))/$AJ40,'Технический лист'!$M:$N,2,1),(FM40-0.05)))</f>
        <v/>
      </c>
      <c r="FO40" s="172">
        <f>MIN(1,MAX(VLOOKUP(($AJ40-$AI40-$AH40-$AG40-$AF40-$AE40*(1+FO$3))/$AJ40,'Технический лист'!$M:$N,2,1),(FN40-0.05)))</f>
        <v/>
      </c>
      <c r="FP40" s="172">
        <f>MIN(1,MAX(VLOOKUP(($AJ40-$AI40-$AH40-$AG40-$AF40-$AE40*(1+FP$3))/$AJ40,'Технический лист'!$M:$N,2,1),(FO40-0.05)))</f>
        <v/>
      </c>
      <c r="FQ40" s="172">
        <f>MIN(1,MAX(VLOOKUP(($AJ40-$AI40-$AH40-$AG40-$AF40-$AE40*(1+FQ$3))/$AJ40,'Технический лист'!$M:$N,2,1),(FP40-0.05)))</f>
        <v/>
      </c>
      <c r="FR40" s="172">
        <f>MIN(1,MAX(VLOOKUP(($AJ40-$AI40-$AH40-$AG40-$AF40-$AE40*(1+FR$3))/$AJ40,'Технический лист'!$M:$N,2,1),(FQ40-0.05)))</f>
        <v/>
      </c>
      <c r="FS40" s="172">
        <f>MIN(1,MAX(VLOOKUP(($AJ40-$AI40-$AH40-$AG40-$AF40-$AE40*(1+FS$3))/$AJ40,'Технический лист'!$M:$N,2,1),(FR40-0.05)))</f>
        <v/>
      </c>
      <c r="FT40" s="172">
        <f>MIN(1,MAX(VLOOKUP(($AJ40-$AI40-$AH40-$AG40-$AF40-$AE40*(1+FT$3))/$AJ40,'Технический лист'!$M:$N,2,1),(FS40-0.05)))</f>
        <v/>
      </c>
      <c r="FU40" s="172">
        <f>MIN(1,MAX(VLOOKUP(($AJ40-$AI40-$AH40-$AG40-$AF40-$AE40*(1+FU$3))/$AJ40,'Технический лист'!$M:$N,2,1),(FT40-0.05)))</f>
        <v/>
      </c>
      <c r="FV40" s="172">
        <f>MIN(1,MAX(VLOOKUP(($AJ40-$AI40-$AH40-$AG40-$AF40-$AE40*(1+FV$3))/$AJ40,'Технический лист'!$M:$N,2,1),(FU40-0.05)))</f>
        <v/>
      </c>
      <c r="FW40" s="172">
        <f>MIN(1,MAX(VLOOKUP(($AJ40-$AI40-$AH40-$AG40-$AF40-$AE40*(1+FW$3))/$AJ40,'Технический лист'!$M:$N,2,1),(FV40-0.05)))</f>
        <v/>
      </c>
      <c r="FX40" s="172">
        <f>MIN(1,MAX(VLOOKUP(($AJ40-$AI40-$AH40-$AG40-$AF40-$AE40*(1+FX$3))/$AJ40,'Технический лист'!$M:$N,2,1),(FW40-0.05)))</f>
        <v/>
      </c>
      <c r="FY40" s="172">
        <f>MIN(1,MAX(VLOOKUP(($AJ40-$AI40-$AH40-$AG40-$AF40-$AE40*(1+FY$3))/$AJ40,'Технический лист'!$M:$N,2,1),(FX40-0.05)))</f>
        <v/>
      </c>
      <c r="FZ40" s="172">
        <f>MIN(1,MAX(VLOOKUP(($AJ40-$AI40-$AH40-$AG40-$AF40-$AE40*(1+FZ$3))/$AJ40,'Технический лист'!$M:$N,2,1),(FY40-0.05)))</f>
        <v/>
      </c>
      <c r="GA40" s="172">
        <f>MIN(1,MAX(VLOOKUP(($AJ40-$AI40-$AH40-$AG40-$AF40-$AE40*(1+GA$3))/$AJ40,'Технический лист'!$M:$N,2,1),(FZ40-0.05)))</f>
        <v/>
      </c>
      <c r="GB40" s="172">
        <f>MIN(1,MAX(VLOOKUP(($AJ40-$AI40-$AH40-$AG40-$AF40-$AE40*(1+GB$3))/$AJ40,'Технический лист'!$M:$N,2,1),(GA40-0.05)))</f>
        <v/>
      </c>
      <c r="GC40" s="172">
        <f>MIN(1,MAX(VLOOKUP(($AJ40-$AI40-$AH40-$AG40-$AF40-$AE40*(1+GC$3))/$AJ40,'Технический лист'!$M:$N,2,1),(GB40-0.05)))</f>
        <v/>
      </c>
      <c r="GD40" s="172">
        <f>MIN(1,MAX(VLOOKUP(($AJ40-$AI40-$AH40-$AG40-$AF40-$AE40*(1+GD$3))/$AJ40,'Технический лист'!$M:$N,2,1),(GC40-0.05)))</f>
        <v/>
      </c>
      <c r="GE40" s="172">
        <f>MIN(1,MAX(VLOOKUP(($AJ40-$AI40-$AH40-$AG40-$AF40-$AE40*(1+GE$3))/$AJ40,'Технический лист'!$M:$N,2,1),(GD40-0.05)))</f>
        <v/>
      </c>
      <c r="GF40" s="172">
        <f>MIN(1,MAX(VLOOKUP(($AJ40-$AI40-$AH40-$AG40-$AF40-$AE40*(1+GF$3))/$AJ40,'Технический лист'!$M:$N,2,1),(GE40-0.05)))</f>
        <v/>
      </c>
      <c r="GG40" s="172">
        <f>MIN(1,MAX(VLOOKUP(($AJ40-$AI40-$AH40-$AG40-$AF40-$AE40*(1+GG$3))/$AJ40,'Технический лист'!$M:$N,2,1),(GF40-0.05)))</f>
        <v/>
      </c>
      <c r="GH40" s="172">
        <f>MIN(1,MAX(VLOOKUP(($AJ40-$AI40-$AH40-$AG40-$AF40-$AE40*(1+GH$3))/$AJ40,'Технический лист'!$M:$N,2,1),(GG40-0.05)))</f>
        <v/>
      </c>
      <c r="GI40" s="172">
        <f>MIN(1,MAX(VLOOKUP(($AJ40-$AI40-$AH40-$AG40-$AF40-$AE40*(1+GI$3))/$AJ40,'Технический лист'!$M:$N,2,1),(GH40-0.05)))</f>
        <v/>
      </c>
      <c r="GJ40" s="172">
        <f>MIN(1,MAX(VLOOKUP(($AJ40-$AI40-$AH40-$AG40-$AF40-$AE40*(1+GJ$3))/$AJ40,'Технический лист'!$M:$N,2,1),(GI40-0.05)))</f>
        <v/>
      </c>
      <c r="GK40" s="172">
        <f>MIN(1,MAX(VLOOKUP(($AJ40-$AI40-$AH40-$AG40-$AF40-$AE40*(1+GK$3))/$AJ40,'Технический лист'!$M:$N,2,1),(GJ40-0.05)))</f>
        <v/>
      </c>
      <c r="GL40" s="172">
        <f>MIN(1,MAX(VLOOKUP(($AJ40-$AI40-$AH40-$AG40-$AF40-$AE40*(1+GL$3))/$AJ40,'Технический лист'!$M:$N,2,1),(GK40-0.05)))</f>
        <v/>
      </c>
      <c r="GM40" s="172">
        <f>MIN(1,MAX(VLOOKUP(($AJ40-$AI40-$AH40-$AG40-$AF40-$AE40*(1+GM$3))/$AJ40,'Технический лист'!$M:$N,2,1),(GL40-0.05)))</f>
        <v/>
      </c>
      <c r="GN40" s="172">
        <f>MIN(1,MAX(VLOOKUP(($AJ40-$AI40-$AH40-$AG40-$AF40-$AE40*(1+GN$3))/$AJ40,'Технический лист'!$M:$N,2,1),(GM40-0.05)))</f>
        <v/>
      </c>
      <c r="GO40" s="172">
        <f>MIN(1,MAX(VLOOKUP(($AJ40-$AI40-$AH40-$AG40-$AF40-$AE40*(1+GO$3))/$AJ40,'Технический лист'!$M:$N,2,1),(GN40-0.05)))</f>
        <v/>
      </c>
      <c r="GP40" s="172">
        <f>MIN(1,MAX(VLOOKUP(($AJ40-$AI40-$AH40-$AG40-$AF40-$AE40*(1+GP$3))/$AJ40,'Технический лист'!$M:$N,2,1),(GO40-0.05)))</f>
        <v/>
      </c>
      <c r="GQ40" s="172">
        <f>MIN(1,MAX(VLOOKUP(($AJ40-$AI40-$AH40-$AG40-$AF40-$AE40*(1+GQ$3))/$AJ40,'Технический лист'!$M:$N,2,1),(GP40-0.05)))</f>
        <v/>
      </c>
      <c r="GR40" s="172">
        <f>MIN(1,MAX(VLOOKUP(($AJ40-$AI40-$AH40-$AG40-$AF40-$AE40*(1+GR$3))/$AJ40,'Технический лист'!$M:$N,2,1),(GQ40-0.05)))</f>
        <v/>
      </c>
      <c r="GS40" s="172">
        <f>MIN(1,MAX(VLOOKUP(($AJ40-$AI40-$AH40-$AG40-$AF40-$AE40*(1+GS$3))/$AJ40,'Технический лист'!$M:$N,2,1),(GR40-0.05)))</f>
        <v/>
      </c>
      <c r="GT40" s="172">
        <f>MIN(1,MAX(VLOOKUP(($AJ40-$AI40-$AH40-$AG40-$AF40-$AE40*(1+GT$3))/$AJ40,'Технический лист'!$M:$N,2,1),(GS40-0.05)))</f>
        <v/>
      </c>
      <c r="GU40" s="172">
        <f>MIN(1,MAX(VLOOKUP(($AJ40-$AI40-$AH40-$AG40-$AF40-$AE40*(1+GU$3))/$AJ40,'Технический лист'!$M:$N,2,1),(GT40-0.05)))</f>
        <v/>
      </c>
      <c r="GV40" s="172">
        <f>MIN(1,MAX(VLOOKUP(($AJ40-$AI40-$AH40-$AG40-$AF40-$AE40*(1+GV$3))/$AJ40,'Технический лист'!$M:$N,2,1),(GU40-0.05)))</f>
        <v/>
      </c>
      <c r="GW40" s="172">
        <f>MIN(1,MAX(VLOOKUP(($AJ40-$AI40-$AH40-$AG40-$AF40-$AE40*(1+GW$3))/$AJ40,'Технический лист'!$M:$N,2,1),(GV40-0.05)))</f>
        <v/>
      </c>
      <c r="GX40" s="172">
        <f>MIN(1,MAX(VLOOKUP(($AJ40-$AI40-$AH40-$AG40-$AF40-$AE40*(1+GX$3))/$AJ40,'Технический лист'!$M:$N,2,1),(GW40-0.05)))</f>
        <v/>
      </c>
      <c r="GY40" s="172">
        <f>MIN(1,MAX(VLOOKUP(($AJ40-$AI40-$AH40-$AG40-$AF40-$AE40*(1+GY$3))/$AJ40,'Технический лист'!$M:$N,2,1),(GX40-0.05)))</f>
        <v/>
      </c>
      <c r="GZ40" s="172">
        <f>MIN(1,MAX(VLOOKUP(($AJ40-$AI40-$AH40-$AG40-$AF40-$AE40*(1+GZ$3))/$AJ40,'Технический лист'!$M:$N,2,1),(GY40-0.05)))</f>
        <v/>
      </c>
      <c r="HA40" s="172">
        <f>MIN(1,MAX(VLOOKUP(($AJ40-$AI40-$AH40-$AG40-$AF40-$AE40*(1+HA$3))/$AJ40,'Технический лист'!$M:$N,2,1),(GZ40-0.05)))</f>
        <v/>
      </c>
      <c r="HB40" s="172">
        <f>MIN(1,MAX(VLOOKUP(($AJ40-$AI40-$AH40-$AG40-$AF40-$AE40*(1+HB$3))/$AJ40,'Технический лист'!$M:$N,2,1),(HA40-0.05)))</f>
        <v/>
      </c>
      <c r="HC40" s="172">
        <f>MIN(1,MAX(VLOOKUP(($AJ40-$AI40-$AH40-$AG40-$AF40-$AE40*(1+HC$3))/$AJ40,'Технический лист'!$M:$N,2,1),(HB40-0.05)))</f>
        <v/>
      </c>
      <c r="HD40" s="172">
        <f>MIN(1,MAX(VLOOKUP(($AJ40-$AI40-$AH40-$AG40-$AF40-$AE40*(1+HD$3))/$AJ40,'Технический лист'!$M:$N,2,1),(HC40-0.05)))</f>
        <v/>
      </c>
      <c r="HE40" s="172">
        <f>MIN(1,MAX(VLOOKUP(($AJ40-$AI40-$AH40-$AG40-$AF40-$AE40*(1+HE$3))/$AJ40,'Технический лист'!$M:$N,2,1),(HD40-0.05)))</f>
        <v/>
      </c>
      <c r="HF40" s="172">
        <f>MIN(1,MAX(VLOOKUP(($AJ40-$AI40-$AH40-$AG40-$AF40-$AE40*(1+HF$3))/$AJ40,'Технический лист'!$M:$N,2,1),(HE40-0.05)))</f>
        <v/>
      </c>
      <c r="HG40" s="172">
        <f>MIN(1,MAX(VLOOKUP(($AJ40-$AI40-$AH40-$AG40-$AF40-$AE40*(1+HG$3))/$AJ40,'Технический лист'!$M:$N,2,1),(HF40-0.05)))</f>
        <v/>
      </c>
      <c r="HH40" s="172">
        <f>MIN(1,MAX(VLOOKUP(($AJ40-$AI40-$AH40-$AG40-$AF40-$AE40*(1+HH$3))/$AJ40,'Технический лист'!$M:$N,2,1),(HG40-0.05)))</f>
        <v/>
      </c>
      <c r="HI40" s="172">
        <f>MIN(1,MAX(VLOOKUP(($AJ40-$AI40-$AH40-$AG40-$AF40-$AE40*(1+HI$3))/$AJ40,'Технический лист'!$M:$N,2,1),(HH40-0.05)))</f>
        <v/>
      </c>
      <c r="HJ40" s="172">
        <f>MIN(1,MAX(VLOOKUP(($AJ40-$AI40-$AH40-$AG40-$AF40-$AE40*(1+HJ$3))/$AJ40,'Технический лист'!$M:$N,2,1),(HI40-0.05)))</f>
        <v/>
      </c>
      <c r="HK40" s="172">
        <f>MIN(1,MAX(VLOOKUP(($AJ40-$AI40-$AH40-$AG40-$AF40-$AE40*(1+HK$3))/$AJ40,'Технический лист'!$M:$N,2,1),(HJ40-0.05)))</f>
        <v/>
      </c>
      <c r="HL40" s="172">
        <f>MIN(1,MAX(VLOOKUP(($AJ40-$AI40-$AH40-$AG40-$AF40-$AE40*(1+HL$3))/$AJ40,'Технический лист'!$M:$N,2,1),(HK40-0.05)))</f>
        <v/>
      </c>
      <c r="HM40" s="172">
        <f>MIN(1,MAX(VLOOKUP(($AJ40-$AI40-$AH40-$AG40-$AF40-$AE40*(1+HM$3))/$AJ40,'Технический лист'!$M:$N,2,1),(HL40-0.05)))</f>
        <v/>
      </c>
      <c r="HN40" s="172">
        <f>MIN(1,MAX(VLOOKUP(($AJ40-$AI40-$AH40-$AG40-$AF40-$AE40*(1+HN$3))/$AJ40,'Технический лист'!$M:$N,2,1),(HM40-0.05)))</f>
        <v/>
      </c>
      <c r="HO40" s="172">
        <f>MIN(1,MAX(VLOOKUP(($AJ40-$AI40-$AH40-$AG40-$AF40-$AE40*(1+HO$3))/$AJ40,'Технический лист'!$M:$N,2,1),(HN40-0.05)))</f>
        <v/>
      </c>
      <c r="HP40" s="172">
        <f>MIN(1,MAX(VLOOKUP(($AJ40-$AI40-$AH40-$AG40-$AF40-$AE40*(1+HP$3))/$AJ40,'Технический лист'!$M:$N,2,1),(HO40-0.05)))</f>
        <v/>
      </c>
      <c r="HQ40" s="172">
        <f>MIN(1,MAX(VLOOKUP(($AJ40-$AI40-$AH40-$AG40-$AF40-$AE40*(1+HQ$3))/$AJ40,'Технический лист'!$M:$N,2,1),(HP40-0.05)))</f>
        <v/>
      </c>
      <c r="HR40" s="172">
        <f>MIN(1,MAX(VLOOKUP(($AJ40-$AI40-$AH40-$AG40-$AF40-$AE40*(1+HR$3))/$AJ40,'Технический лист'!$M:$N,2,1),(HQ40-0.05)))</f>
        <v/>
      </c>
      <c r="HS40" s="172">
        <f>MIN(1,MAX(VLOOKUP(($AJ40-$AI40-$AH40-$AG40-$AF40-$AE40*(1+HS$3))/$AJ40,'Технический лист'!$M:$N,2,1),(HR40-0.05)))</f>
        <v/>
      </c>
      <c r="HT40" s="172">
        <f>MIN(1,MAX(VLOOKUP(($AJ40-$AI40-$AH40-$AG40-$AF40-$AE40*(1+HT$3))/$AJ40,'Технический лист'!$M:$N,2,1),(HS40-0.05)))</f>
        <v/>
      </c>
      <c r="HU40" s="172">
        <f>MIN(1,MAX(VLOOKUP(($AJ40-$AI40-$AH40-$AG40-$AF40-$AE40*(1+HU$3))/$AJ40,'Технический лист'!$M:$N,2,1),(HT40-0.05)))</f>
        <v/>
      </c>
      <c r="HV40" s="172">
        <f>MIN(1,MAX(VLOOKUP(($AJ40-$AI40-$AH40-$AG40-$AF40-$AE40*(1+HV$3))/$AJ40,'Технический лист'!$M:$N,2,1),(HU40-0.05)))</f>
        <v/>
      </c>
      <c r="HW40" s="172">
        <f>MIN(1,MAX(VLOOKUP(($AJ40-$AI40-$AH40-$AG40-$AF40-$AE40*(1+HW$3))/$AJ40,'Технический лист'!$M:$N,2,1),(HV40-0.05)))</f>
        <v/>
      </c>
      <c r="HX40" s="172">
        <f>MIN(1,MAX(VLOOKUP(($AJ40-$AI40-$AH40-$AG40-$AF40-$AE40*(1+HX$3))/$AJ40,'Технический лист'!$M:$N,2,1),(HW40-0.05)))</f>
        <v/>
      </c>
      <c r="HY40" s="172">
        <f>MIN(1,MAX(VLOOKUP(($AJ40-$AI40-$AH40-$AG40-$AF40-$AE40*(1+HY$3))/$AJ40,'Технический лист'!$M:$N,2,1),(HX40-0.05)))</f>
        <v/>
      </c>
      <c r="HZ40" s="172">
        <f>MIN(1,MAX(VLOOKUP(($AJ40-$AI40-$AH40-$AG40-$AF40-$AE40*(1+HZ$3))/$AJ40,'Технический лист'!$M:$N,2,1),(HY40-0.05)))</f>
        <v/>
      </c>
      <c r="IA40" s="172">
        <f>MIN(1,MAX(VLOOKUP(($AJ40-$AI40-$AH40-$AG40-$AF40-$AE40*(1+IA$3))/$AJ40,'Технический лист'!$M:$N,2,1),(HZ40-0.05)))</f>
        <v/>
      </c>
      <c r="IB40" s="172">
        <f>MIN(1,MAX(VLOOKUP(($AJ40-$AI40-$AH40-$AG40-$AF40-$AE40*(1+IB$3))/$AJ40,'Технический лист'!$M:$N,2,1),(IA40-0.05)))</f>
        <v/>
      </c>
      <c r="IC40" s="172">
        <f>MIN(1,MAX(VLOOKUP(($AJ40-$AI40-$AH40-$AG40-$AF40-$AE40*(1+IC$3))/$AJ40,'Технический лист'!$M:$N,2,1),(IB40-0.05)))</f>
        <v/>
      </c>
      <c r="ID40" s="172">
        <f>MIN(1,MAX(VLOOKUP(($AJ40-$AI40-$AH40-$AG40-$AF40-$AE40*(1+ID$3))/$AJ40,'Технический лист'!$M:$N,2,1),(IC40-0.05)))</f>
        <v/>
      </c>
      <c r="IE40" s="172">
        <f>MIN(1,MAX(VLOOKUP(($AJ40-$AI40-$AH40-$AG40-$AF40-$AE40*(1+IE$3))/$AJ40,'Технический лист'!$M:$N,2,1),(ID40-0.05)))</f>
        <v/>
      </c>
      <c r="IF40" s="172">
        <f>MIN(1,MAX(VLOOKUP(($AJ40-$AI40-$AH40-$AG40-$AF40-$AE40*(1+IF$3))/$AJ40,'Технический лист'!$M:$N,2,1),(IE40-0.05)))</f>
        <v/>
      </c>
      <c r="IG40" s="172">
        <f>MIN(1,MAX(VLOOKUP(($AJ40-$AI40-$AH40-$AG40-$AF40-$AE40*(1+IG$3))/$AJ40,'Технический лист'!$M:$N,2,1),(IF40-0.05)))</f>
        <v/>
      </c>
      <c r="IH40" s="172">
        <f>MIN(1,MAX(VLOOKUP(($AJ40-$AI40-$AH40-$AG40-$AF40-$AE40*(1+IH$3))/$AJ40,'Технический лист'!$M:$N,2,1),(IG40-0.05)))</f>
        <v/>
      </c>
      <c r="II40" s="172">
        <f>MIN(1,MAX(VLOOKUP(($AJ40-$AI40-$AH40-$AG40-$AF40-$AE40*(1+II$3))/$AJ40,'Технический лист'!$M:$N,2,1),(IH40-0.05)))</f>
        <v/>
      </c>
      <c r="IJ40" s="172">
        <f>MIN(1,MAX(VLOOKUP(($AJ40-$AI40-$AH40-$AG40-$AF40-$AE40*(1+IJ$3))/$AJ40,'Технический лист'!$M:$N,2,1),(II40-0.05)))</f>
        <v/>
      </c>
      <c r="IK40" s="172">
        <f>MIN(1,MAX(VLOOKUP(($AJ40-$AI40-$AH40-$AG40-$AF40-$AE40*(1+IK$3))/$AJ40,'Технический лист'!$M:$N,2,1),(IJ40-0.05)))</f>
        <v/>
      </c>
      <c r="IL40" s="172">
        <f>MIN(1,MAX(VLOOKUP(($AJ40-$AI40-$AH40-$AG40-$AF40-$AE40*(1+IL$3))/$AJ40,'Технический лист'!$M:$N,2,1),(IK40-0.05)))</f>
        <v/>
      </c>
      <c r="IM40" s="172">
        <f>MIN(1,MAX(VLOOKUP(($AJ40-$AI40-$AH40-$AG40-$AF40-$AE40*(1+IM$3))/$AJ40,'Технический лист'!$M:$N,2,1),(IL40-0.05)))</f>
        <v/>
      </c>
      <c r="IN40" s="172">
        <f>MIN(1,MAX(VLOOKUP(($AJ40-$AI40-$AH40-$AG40-$AF40-$AE40*(1+IN$3))/$AJ40,'Технический лист'!$M:$N,2,1),(IM40-0.05)))</f>
        <v/>
      </c>
      <c r="IO40" s="172">
        <f>MIN(1,MAX(VLOOKUP(($AJ40-$AI40-$AH40-$AG40-$AF40-$AE40*(1+IO$3))/$AJ40,'Технический лист'!$M:$N,2,1),(IN40-0.05)))</f>
        <v/>
      </c>
      <c r="IP40" s="172">
        <f>MIN(1,MAX(VLOOKUP(($AJ40-$AI40-$AH40-$AG40-$AF40-$AE40*(1+IP$3))/$AJ40,'Технический лист'!$M:$N,2,1),(IO40-0.05)))</f>
        <v/>
      </c>
      <c r="IQ40" s="172">
        <f>MIN(1,MAX(VLOOKUP(($AJ40-$AI40-$AH40-$AG40-$AF40-$AE40*(1+IQ$3))/$AJ40,'Технический лист'!$M:$N,2,1),(IP40-0.05)))</f>
        <v/>
      </c>
      <c r="IR40" s="172">
        <f>MIN(1,MAX(VLOOKUP(($AJ40-$AI40-$AH40-$AG40-$AF40-$AE40*(1+IR$3))/$AJ40,'Технический лист'!$M:$N,2,1),(IQ40-0.05)))</f>
        <v/>
      </c>
    </row>
    <row r="41" ht="29.15" customHeight="1" s="123">
      <c r="A41" s="89" t="inlineStr">
        <is>
          <t>ЧМ (сырье)</t>
        </is>
      </c>
      <c r="B41" s="90" t="n">
        <v>4</v>
      </c>
      <c r="C41" s="5" t="inlineStr">
        <is>
          <t>Руды  всякие</t>
        </is>
      </c>
      <c r="D41" s="91" t="n">
        <v>14109</v>
      </c>
      <c r="E41" s="91" t="inlineStr">
        <is>
          <t xml:space="preserve">Концентрат железорудный (гематит) </t>
        </is>
      </c>
      <c r="F41" s="92" t="inlineStr">
        <is>
          <t>РУДЫ И КОНЦЕНТРАТЫ ЖЕЛЕЗН</t>
        </is>
      </c>
      <c r="G41" s="91" t="inlineStr">
        <is>
          <t>ДВС</t>
        </is>
      </c>
      <c r="H41" s="91" t="inlineStr">
        <is>
          <t>ВСБ</t>
        </is>
      </c>
      <c r="I41" s="91" t="inlineStr">
        <is>
          <t>ИЗВЕСТКОВАЯ</t>
        </is>
      </c>
      <c r="J41" s="91" t="inlineStr">
        <is>
          <t>ЧЕЛУТАЙ</t>
        </is>
      </c>
      <c r="K41" s="91" t="n">
        <v>2524</v>
      </c>
      <c r="L41" s="91" t="inlineStr">
        <is>
          <t>Полувагоны</t>
        </is>
      </c>
      <c r="M41" s="91" t="inlineStr">
        <is>
          <t>Внутр. перевозки</t>
        </is>
      </c>
      <c r="N41" s="91" t="inlineStr">
        <is>
          <t>вагонная</t>
        </is>
      </c>
      <c r="O41" s="91" t="inlineStr">
        <is>
          <t xml:space="preserve">Восточное </t>
        </is>
      </c>
      <c r="P41" s="89" t="inlineStr">
        <is>
          <t>'000073844898</t>
        </is>
      </c>
      <c r="Q41" s="91" t="inlineStr">
        <is>
          <t>'ООО "Кимкано-Сутарский ГОК"</t>
        </is>
      </c>
      <c r="R41" s="91" t="inlineStr">
        <is>
          <t>ГК "Петропавловск"</t>
        </is>
      </c>
      <c r="S41" s="87" t="n">
        <v>37843</v>
      </c>
      <c r="T41" s="87" t="n">
        <v>95516374</v>
      </c>
      <c r="U41" s="88" t="n">
        <v>512</v>
      </c>
      <c r="V41" s="88" t="n">
        <v>0</v>
      </c>
      <c r="W41" s="87" t="n">
        <v>42894811</v>
      </c>
      <c r="X41" s="112" t="n">
        <v>72</v>
      </c>
      <c r="Y41" s="112" t="inlineStr">
        <is>
          <t>маршрутная</t>
        </is>
      </c>
      <c r="Z41" s="113" t="n">
        <v>7</v>
      </c>
      <c r="AA41" s="113" t="n">
        <v>7</v>
      </c>
      <c r="AB41" s="113" t="n">
        <v>4</v>
      </c>
      <c r="AC41" s="161" t="n">
        <v>1194.32</v>
      </c>
      <c r="AD41" s="161">
        <f>AE41-AC41</f>
        <v/>
      </c>
      <c r="AE41" s="161" t="n">
        <v>1848.13</v>
      </c>
      <c r="AF41" s="162">
        <f>(Z41+AA41+AB41)*'Ставки аренды'!$B$2/X41</f>
        <v/>
      </c>
      <c r="AG41" s="163" t="n">
        <v>0</v>
      </c>
      <c r="AH41" s="164" t="n">
        <v>0</v>
      </c>
      <c r="AI41" s="165">
        <f>14214890/21228111*AVERAGE(AJ40,AJ41)</f>
        <v/>
      </c>
      <c r="AJ41" s="166">
        <f>Цены!$D$14</f>
        <v/>
      </c>
      <c r="AK41" s="164">
        <f>AJ41/Цены!$B$1</f>
        <v/>
      </c>
      <c r="AL41" s="164">
        <f>AE41+AF41+AG41</f>
        <v/>
      </c>
      <c r="AM41" s="164">
        <f>AJ41-AL41</f>
        <v/>
      </c>
      <c r="AN41" s="164">
        <f>AI41+AH41+AG41+AF41+AE41</f>
        <v/>
      </c>
      <c r="AO41" s="167">
        <f>(AJ41-AN41)/AJ41</f>
        <v/>
      </c>
      <c r="AP41" s="168">
        <f>AL41/AJ41</f>
        <v/>
      </c>
      <c r="AQ41" s="168">
        <f>AE41/AJ41</f>
        <v/>
      </c>
      <c r="AR41" s="168">
        <f>AE41/AL41</f>
        <v/>
      </c>
      <c r="AS41" s="169" t="n">
        <v>1</v>
      </c>
      <c r="AT41" s="121">
        <f>S41*AS41</f>
        <v/>
      </c>
      <c r="AU41" s="83" t="n">
        <v>0.75</v>
      </c>
      <c r="AV41" s="170">
        <f>(AJ41-(AE41*(1+$IS$2)+AF41+AG41+AH41+AI41))/AJ41</f>
        <v/>
      </c>
      <c r="AW41" s="171">
        <f>(AE41*(1+$IS$2)+AF41+AG41)/AJ41</f>
        <v/>
      </c>
      <c r="AX41" s="171">
        <f>(AE41*(1+$IS$2))/AJ41</f>
        <v/>
      </c>
      <c r="AY41" s="171">
        <f>(AE41*(1+$IS$2))/(AE41*(1+$IS$2)+AF41+AG41)</f>
        <v/>
      </c>
      <c r="AZ41" s="172">
        <f>MIN(IF($AU41=100%,1,1+VLOOKUP(($AJ41-$AI41-$AH41-$AG41-$AF41-$AE41*(1+AZ$3))/$AJ41,'Технический лист'!$M:$N,2,1)-VLOOKUP($AO41,'Технический лист'!$M:$N,2,1)),1+(1-$AU41))</f>
        <v/>
      </c>
      <c r="BA41" s="172">
        <f>MIN(IF($AU41=100%,1,1+VLOOKUP(($AJ41-$AI41-$AH41-$AG41-$AF41-$AE41*(1+BA$3))/$AJ41,'Технический лист'!$M:$N,2,1)-VLOOKUP($AO41,'Технический лист'!$M:$N,2,1)),1+(1-$AU41))</f>
        <v/>
      </c>
      <c r="BB41" s="172">
        <f>MIN(IF($AU41=100%,1,1+VLOOKUP(($AJ41-$AI41-$AH41-$AG41-$AF41-$AE41*(1+BB$3))/$AJ41,'Технический лист'!$M:$N,2,1)-VLOOKUP($AO41,'Технический лист'!$M:$N,2,1)),1+(1-$AU41))</f>
        <v/>
      </c>
      <c r="BC41" s="172">
        <f>MIN(IF($AU41=100%,1,1+VLOOKUP(($AJ41-$AI41-$AH41-$AG41-$AF41-$AE41*(1+BC$3))/$AJ41,'Технический лист'!$M:$N,2,1)-VLOOKUP($AO41,'Технический лист'!$M:$N,2,1)),1+(1-$AU41))</f>
        <v/>
      </c>
      <c r="BD41" s="172">
        <f>MIN(IF($AU41=100%,1,1+VLOOKUP(($AJ41-$AI41-$AH41-$AG41-$AF41-$AE41*(1+BD$3))/$AJ41,'Технический лист'!$M:$N,2,1)-VLOOKUP($AO41,'Технический лист'!$M:$N,2,1)),1+(1-$AU41))</f>
        <v/>
      </c>
      <c r="BE41" s="172">
        <f>MIN(IF($AU41=100%,1,1+VLOOKUP(($AJ41-$AI41-$AH41-$AG41-$AF41-$AE41*(1+BE$3))/$AJ41,'Технический лист'!$M:$N,2,1)-VLOOKUP($AO41,'Технический лист'!$M:$N,2,1)),1+(1-$AU41))</f>
        <v/>
      </c>
      <c r="BF41" s="172">
        <f>MIN(IF($AU41=100%,1,1+VLOOKUP(($AJ41-$AI41-$AH41-$AG41-$AF41-$AE41*(1+BF$3))/$AJ41,'Технический лист'!$M:$N,2,1)-VLOOKUP($AO41,'Технический лист'!$M:$N,2,1)),1+(1-$AU41))</f>
        <v/>
      </c>
      <c r="BG41" s="172">
        <f>MIN(IF($AU41=100%,1,1+VLOOKUP(($AJ41-$AI41-$AH41-$AG41-$AF41-$AE41*(1+BG$3))/$AJ41,'Технический лист'!$M:$N,2,1)-VLOOKUP($AO41,'Технический лист'!$M:$N,2,1)),1+(1-$AU41))</f>
        <v/>
      </c>
      <c r="BH41" s="172">
        <f>MIN(IF($AU41=100%,1,1+VLOOKUP(($AJ41-$AI41-$AH41-$AG41-$AF41-$AE41*(1+BH$3))/$AJ41,'Технический лист'!$M:$N,2,1)-VLOOKUP($AO41,'Технический лист'!$M:$N,2,1)),1+(1-$AU41))</f>
        <v/>
      </c>
      <c r="BI41" s="172">
        <f>MIN(IF($AU41=100%,1,1+VLOOKUP(($AJ41-$AI41-$AH41-$AG41-$AF41-$AE41*(1+BI$3))/$AJ41,'Технический лист'!$M:$N,2,1)-VLOOKUP($AO41,'Технический лист'!$M:$N,2,1)),1+(1-$AU41))</f>
        <v/>
      </c>
      <c r="BJ41" s="172">
        <f>MIN(IF($AU41=100%,1,1+VLOOKUP(($AJ41-$AI41-$AH41-$AG41-$AF41-$AE41*(1+BJ$3))/$AJ41,'Технический лист'!$M:$N,2,1)-VLOOKUP($AO41,'Технический лист'!$M:$N,2,1)),1+(1-$AU41))</f>
        <v/>
      </c>
      <c r="BK41" s="172">
        <f>MIN(IF($AU41=100%,1,1+VLOOKUP(($AJ41-$AI41-$AH41-$AG41-$AF41-$AE41*(1+BK$3))/$AJ41,'Технический лист'!$M:$N,2,1)-VLOOKUP($AO41,'Технический лист'!$M:$N,2,1)),1+(1-$AU41))</f>
        <v/>
      </c>
      <c r="BL41" s="172">
        <f>MIN(IF($AU41=100%,1,1+VLOOKUP(($AJ41-$AI41-$AH41-$AG41-$AF41-$AE41*(1+BL$3))/$AJ41,'Технический лист'!$M:$N,2,1)-VLOOKUP($AO41,'Технический лист'!$M:$N,2,1)),1+(1-$AU41))</f>
        <v/>
      </c>
      <c r="BM41" s="172">
        <f>MIN(IF($AU41=100%,1,1+VLOOKUP(($AJ41-$AI41-$AH41-$AG41-$AF41-$AE41*(1+BM$3))/$AJ41,'Технический лист'!$M:$N,2,1)-VLOOKUP($AO41,'Технический лист'!$M:$N,2,1)),1+(1-$AU41))</f>
        <v/>
      </c>
      <c r="BN41" s="172">
        <f>MIN(IF($AU41=100%,1,1+VLOOKUP(($AJ41-$AI41-$AH41-$AG41-$AF41-$AE41*(1+BN$3))/$AJ41,'Технический лист'!$M:$N,2,1)-VLOOKUP($AO41,'Технический лист'!$M:$N,2,1)),1+(1-$AU41))</f>
        <v/>
      </c>
      <c r="BO41" s="172">
        <f>MIN(IF($AU41=100%,1,1+VLOOKUP(($AJ41-$AI41-$AH41-$AG41-$AF41-$AE41*(1+BO$3))/$AJ41,'Технический лист'!$M:$N,2,1)-VLOOKUP($AO41,'Технический лист'!$M:$N,2,1)),1+(1-$AU41))</f>
        <v/>
      </c>
      <c r="BP41" s="172">
        <f>MIN(IF($AU41=100%,1,1+VLOOKUP(($AJ41-$AI41-$AH41-$AG41-$AF41-$AE41*(1+BP$3))/$AJ41,'Технический лист'!$M:$N,2,1)-VLOOKUP($AO41,'Технический лист'!$M:$N,2,1)),1+(1-$AU41))</f>
        <v/>
      </c>
      <c r="BQ41" s="172">
        <f>MIN(IF($AU41=100%,1,1+VLOOKUP(($AJ41-$AI41-$AH41-$AG41-$AF41-$AE41*(1+BQ$3))/$AJ41,'Технический лист'!$M:$N,2,1)-VLOOKUP($AO41,'Технический лист'!$M:$N,2,1)),1+(1-$AU41))</f>
        <v/>
      </c>
      <c r="BR41" s="172">
        <f>MIN(IF($AU41=100%,1,1+VLOOKUP(($AJ41-$AI41-$AH41-$AG41-$AF41-$AE41*(1+BR$3))/$AJ41,'Технический лист'!$M:$N,2,1)-VLOOKUP($AO41,'Технический лист'!$M:$N,2,1)),1+(1-$AU41))</f>
        <v/>
      </c>
      <c r="BS41" s="172">
        <f>MIN(IF($AU41=100%,1,1+VLOOKUP(($AJ41-$AI41-$AH41-$AG41-$AF41-$AE41*(1+BS$3))/$AJ41,'Технический лист'!$M:$N,2,1)-VLOOKUP($AO41,'Технический лист'!$M:$N,2,1)),1+(1-$AU41))</f>
        <v/>
      </c>
      <c r="BT41" s="172">
        <f>MIN(IF($AU41=100%,1,1+VLOOKUP(($AJ41-$AI41-$AH41-$AG41-$AF41-$AE41*(1+BT$3))/$AJ41,'Технический лист'!$M:$N,2,1)-VLOOKUP($AO41,'Технический лист'!$M:$N,2,1)),1+(1-$AU41))</f>
        <v/>
      </c>
      <c r="BU41" s="172">
        <f>MIN(IF($AU41=100%,1,1+VLOOKUP(($AJ41-$AI41-$AH41-$AG41-$AF41-$AE41*(1+BU$3))/$AJ41,'Технический лист'!$M:$N,2,1)-VLOOKUP($AO41,'Технический лист'!$M:$N,2,1)),1+(1-$AU41))</f>
        <v/>
      </c>
      <c r="BV41" s="172">
        <f>MIN(IF($AU41=100%,1,1+VLOOKUP(($AJ41-$AI41-$AH41-$AG41-$AF41-$AE41*(1+BV$3))/$AJ41,'Технический лист'!$M:$N,2,1)-VLOOKUP($AO41,'Технический лист'!$M:$N,2,1)),1+(1-$AU41))</f>
        <v/>
      </c>
      <c r="BW41" s="172">
        <f>MIN(IF($AU41=100%,1,1+VLOOKUP(($AJ41-$AI41-$AH41-$AG41-$AF41-$AE41*(1+BW$3))/$AJ41,'Технический лист'!$M:$N,2,1)-VLOOKUP($AO41,'Технический лист'!$M:$N,2,1)),1+(1-$AU41))</f>
        <v/>
      </c>
      <c r="BX41" s="172">
        <f>MIN(IF($AU41=100%,1,1+VLOOKUP(($AJ41-$AI41-$AH41-$AG41-$AF41-$AE41*(1+BX$3))/$AJ41,'Технический лист'!$M:$N,2,1)-VLOOKUP($AO41,'Технический лист'!$M:$N,2,1)),1+(1-$AU41))</f>
        <v/>
      </c>
      <c r="BY41" s="172">
        <f>MIN(IF($AU41=100%,1,1+VLOOKUP(($AJ41-$AI41-$AH41-$AG41-$AF41-$AE41*(1+BY$3))/$AJ41,'Технический лист'!$M:$N,2,1)-VLOOKUP($AO41,'Технический лист'!$M:$N,2,1)),1+(1-$AU41))</f>
        <v/>
      </c>
      <c r="BZ41" s="172">
        <f>MIN(IF($AU41=100%,1,1+VLOOKUP(($AJ41-$AI41-$AH41-$AG41-$AF41-$AE41*(1+BZ$3))/$AJ41,'Технический лист'!$M:$N,2,1)-VLOOKUP($AO41,'Технический лист'!$M:$N,2,1)),1+(1-$AU41))</f>
        <v/>
      </c>
      <c r="CA41" s="172">
        <f>MIN(IF($AU41=100%,1,1+VLOOKUP(($AJ41-$AI41-$AH41-$AG41-$AF41-$AE41*(1+CA$3))/$AJ41,'Технический лист'!$M:$N,2,1)-VLOOKUP($AO41,'Технический лист'!$M:$N,2,1)),1+(1-$AU41))</f>
        <v/>
      </c>
      <c r="CB41" s="172">
        <f>MIN(IF($AU41=100%,1,1+VLOOKUP(($AJ41-$AI41-$AH41-$AG41-$AF41-$AE41*(1+CB$3))/$AJ41,'Технический лист'!$M:$N,2,1)-VLOOKUP($AO41,'Технический лист'!$M:$N,2,1)),1+(1-$AU41))</f>
        <v/>
      </c>
      <c r="CC41" s="172">
        <f>MIN(IF($AU41=100%,1,1+VLOOKUP(($AJ41-$AI41-$AH41-$AG41-$AF41-$AE41*(1+CC$3))/$AJ41,'Технический лист'!$M:$N,2,1)-VLOOKUP($AO41,'Технический лист'!$M:$N,2,1)),1+(1-$AU41))</f>
        <v/>
      </c>
      <c r="CD41" s="172">
        <f>MIN(IF($AU41=100%,1,1+VLOOKUP(($AJ41-$AI41-$AH41-$AG41-$AF41-$AE41*(1+CD$3))/$AJ41,'Технический лист'!$M:$N,2,1)-VLOOKUP($AO41,'Технический лист'!$M:$N,2,1)),1+(1-$AU41))</f>
        <v/>
      </c>
      <c r="CE41" s="172">
        <f>MIN(IF($AU41=100%,1,1+VLOOKUP(($AJ41-$AI41-$AH41-$AG41-$AF41-$AE41*(1+CE$3))/$AJ41,'Технический лист'!$M:$N,2,1)-VLOOKUP($AO41,'Технический лист'!$M:$N,2,1)),1+(1-$AU41))</f>
        <v/>
      </c>
      <c r="CF41" s="172">
        <f>MIN(IF($AU41=100%,1,1+VLOOKUP(($AJ41-$AI41-$AH41-$AG41-$AF41-$AE41*(1+CF$3))/$AJ41,'Технический лист'!$M:$N,2,1)-VLOOKUP($AO41,'Технический лист'!$M:$N,2,1)),1+(1-$AU41))</f>
        <v/>
      </c>
      <c r="CG41" s="172">
        <f>MIN(IF($AU41=100%,1,1+VLOOKUP(($AJ41-$AI41-$AH41-$AG41-$AF41-$AE41*(1+CG$3))/$AJ41,'Технический лист'!$M:$N,2,1)-VLOOKUP($AO41,'Технический лист'!$M:$N,2,1)),1+(1-$AU41))</f>
        <v/>
      </c>
      <c r="CH41" s="172">
        <f>MIN(IF($AU41=100%,1,1+VLOOKUP(($AJ41-$AI41-$AH41-$AG41-$AF41-$AE41*(1+CH$3))/$AJ41,'Технический лист'!$M:$N,2,1)-VLOOKUP($AO41,'Технический лист'!$M:$N,2,1)),1+(1-$AU41))</f>
        <v/>
      </c>
      <c r="CI41" s="172">
        <f>MIN(IF($AU41=100%,1,1+VLOOKUP(($AJ41-$AI41-$AH41-$AG41-$AF41-$AE41*(1+CI$3))/$AJ41,'Технический лист'!$M:$N,2,1)-VLOOKUP($AO41,'Технический лист'!$M:$N,2,1)),1+(1-$AU41))</f>
        <v/>
      </c>
      <c r="CJ41" s="172">
        <f>MIN(IF($AU41=100%,1,1+VLOOKUP(($AJ41-$AI41-$AH41-$AG41-$AF41-$AE41*(1+CJ$3))/$AJ41,'Технический лист'!$M:$N,2,1)-VLOOKUP($AO41,'Технический лист'!$M:$N,2,1)),1+(1-$AU41))</f>
        <v/>
      </c>
      <c r="CK41" s="172">
        <f>MIN(IF($AU41=100%,1,1+VLOOKUP(($AJ41-$AI41-$AH41-$AG41-$AF41-$AE41*(1+CK$3))/$AJ41,'Технический лист'!$M:$N,2,1)-VLOOKUP($AO41,'Технический лист'!$M:$N,2,1)),1+(1-$AU41))</f>
        <v/>
      </c>
      <c r="CL41" s="172">
        <f>MIN(IF($AU41=100%,1,1+VLOOKUP(($AJ41-$AI41-$AH41-$AG41-$AF41-$AE41*(1+CL$3))/$AJ41,'Технический лист'!$M:$N,2,1)-VLOOKUP($AO41,'Технический лист'!$M:$N,2,1)),1+(1-$AU41))</f>
        <v/>
      </c>
      <c r="CM41" s="172">
        <f>MIN(IF($AU41=100%,1,1+VLOOKUP(($AJ41-$AI41-$AH41-$AG41-$AF41-$AE41*(1+CM$3))/$AJ41,'Технический лист'!$M:$N,2,1)-VLOOKUP($AO41,'Технический лист'!$M:$N,2,1)),1+(1-$AU41))</f>
        <v/>
      </c>
      <c r="CN41" s="172">
        <f>MIN(IF($AU41=100%,1,1+VLOOKUP(($AJ41-$AI41-$AH41-$AG41-$AF41-$AE41*(1+CN$3))/$AJ41,'Технический лист'!$M:$N,2,1)-VLOOKUP($AO41,'Технический лист'!$M:$N,2,1)),1+(1-$AU41))</f>
        <v/>
      </c>
      <c r="CO41" s="172">
        <f>MIN(IF($AU41=100%,1,1+VLOOKUP(($AJ41-$AI41-$AH41-$AG41-$AF41-$AE41*(1+CO$3))/$AJ41,'Технический лист'!$M:$N,2,1)-VLOOKUP($AO41,'Технический лист'!$M:$N,2,1)),1+(1-$AU41))</f>
        <v/>
      </c>
      <c r="CP41" s="172">
        <f>MIN(IF($AU41=100%,1,1+VLOOKUP(($AJ41-$AI41-$AH41-$AG41-$AF41-$AE41*(1+CP$3))/$AJ41,'Технический лист'!$M:$N,2,1)-VLOOKUP($AO41,'Технический лист'!$M:$N,2,1)),1+(1-$AU41))</f>
        <v/>
      </c>
      <c r="CQ41" s="172">
        <f>MIN(IF($AU41=100%,1,1+VLOOKUP(($AJ41-$AI41-$AH41-$AG41-$AF41-$AE41*(1+CQ$3))/$AJ41,'Технический лист'!$M:$N,2,1)-VLOOKUP($AO41,'Технический лист'!$M:$N,2,1)),1+(1-$AU41))</f>
        <v/>
      </c>
      <c r="CR41" s="172">
        <f>MIN(IF($AU41=100%,1,1+VLOOKUP(($AJ41-$AI41-$AH41-$AG41-$AF41-$AE41*(1+CR$3))/$AJ41,'Технический лист'!$M:$N,2,1)-VLOOKUP($AO41,'Технический лист'!$M:$N,2,1)),1+(1-$AU41))</f>
        <v/>
      </c>
      <c r="CS41" s="172">
        <f>MIN(IF($AU41=100%,1,1+VLOOKUP(($AJ41-$AI41-$AH41-$AG41-$AF41-$AE41*(1+CS$3))/$AJ41,'Технический лист'!$M:$N,2,1)-VLOOKUP($AO41,'Технический лист'!$M:$N,2,1)),1+(1-$AU41))</f>
        <v/>
      </c>
      <c r="CT41" s="172">
        <f>MIN(IF($AU41=100%,1,1+VLOOKUP(($AJ41-$AI41-$AH41-$AG41-$AF41-$AE41*(1+CT$3))/$AJ41,'Технический лист'!$M:$N,2,1)-VLOOKUP($AO41,'Технический лист'!$M:$N,2,1)),1+(1-$AU41))</f>
        <v/>
      </c>
      <c r="CU41" s="172">
        <f>MIN(IF($AU41=100%,1,1+VLOOKUP(($AJ41-$AI41-$AH41-$AG41-$AF41-$AE41*(1+CU$3))/$AJ41,'Технический лист'!$M:$N,2,1)-VLOOKUP($AO41,'Технический лист'!$M:$N,2,1)),1+(1-$AU41))</f>
        <v/>
      </c>
      <c r="CV41" s="172">
        <f>MIN(IF($AU41=100%,1,1+VLOOKUP(($AJ41-$AI41-$AH41-$AG41-$AF41-$AE41*(1+CV$3))/$AJ41,'Технический лист'!$M:$N,2,1)-VLOOKUP($AO41,'Технический лист'!$M:$N,2,1)),1+(1-$AU41))</f>
        <v/>
      </c>
      <c r="CW41" s="172">
        <f>MIN(IF($AU41=100%,1,1+VLOOKUP(($AJ41-$AI41-$AH41-$AG41-$AF41-$AE41*(1+CW$3))/$AJ41,'Технический лист'!$M:$N,2,1)-VLOOKUP($AO41,'Технический лист'!$M:$N,2,1)),1+(1-$AU41))</f>
        <v/>
      </c>
      <c r="CX41" s="172">
        <f>MIN(IF($AU41=100%,1,1+VLOOKUP(($AJ41-$AI41-$AH41-$AG41-$AF41-$AE41*(1+CX$3))/$AJ41,'Технический лист'!$M:$N,2,1)-VLOOKUP($AO41,'Технический лист'!$M:$N,2,1)),1+(1-$AU41))</f>
        <v/>
      </c>
      <c r="CY41" s="172">
        <f>MIN(IF($AU41=100%,1,1+VLOOKUP(($AJ41-$AI41-$AH41-$AG41-$AF41-$AE41*(1+CY$3))/$AJ41,'Технический лист'!$M:$N,2,1)-VLOOKUP($AO41,'Технический лист'!$M:$N,2,1)),1+(1-$AU41))</f>
        <v/>
      </c>
      <c r="CZ41" s="172">
        <f>MIN(IF($AU41=100%,1,1+VLOOKUP(($AJ41-$AI41-$AH41-$AG41-$AF41-$AE41*(1+CZ$3))/$AJ41,'Технический лист'!$M:$N,2,1)-VLOOKUP($AO41,'Технический лист'!$M:$N,2,1)),1+(1-$AU41))</f>
        <v/>
      </c>
      <c r="DA41" s="172">
        <f>MIN(IF($AU41=100%,1,1+VLOOKUP(($AJ41-$AI41-$AH41-$AG41-$AF41-$AE41*(1+DA$3))/$AJ41,'Технический лист'!$M:$N,2,1)-VLOOKUP($AO41,'Технический лист'!$M:$N,2,1)),1+(1-$AU41))</f>
        <v/>
      </c>
      <c r="DB41" s="172">
        <f>MIN(IF($AU41=100%,1,1+VLOOKUP(($AJ41-$AI41-$AH41-$AG41-$AF41-$AE41*(1+DB$3))/$AJ41,'Технический лист'!$M:$N,2,1)-VLOOKUP($AO41,'Технический лист'!$M:$N,2,1)),1+(1-$AU41))</f>
        <v/>
      </c>
      <c r="DC41" s="172">
        <f>MIN(IF($AU41=100%,1,1+VLOOKUP(($AJ41-$AI41-$AH41-$AG41-$AF41-$AE41*(1+DC$3))/$AJ41,'Технический лист'!$M:$N,2,1)-VLOOKUP($AO41,'Технический лист'!$M:$N,2,1)),1+(1-$AU41))</f>
        <v/>
      </c>
      <c r="DD41" s="172">
        <f>MIN(IF($AU41=100%,1,1+VLOOKUP(($AJ41-$AI41-$AH41-$AG41-$AF41-$AE41*(1+DD$3))/$AJ41,'Технический лист'!$M:$N,2,1)-VLOOKUP($AO41,'Технический лист'!$M:$N,2,1)),1+(1-$AU41))</f>
        <v/>
      </c>
      <c r="DE41" s="172">
        <f>MIN(IF($AU41=100%,1,1+VLOOKUP(($AJ41-$AI41-$AH41-$AG41-$AF41-$AE41*(1+DE$3))/$AJ41,'Технический лист'!$M:$N,2,1)-VLOOKUP($AO41,'Технический лист'!$M:$N,2,1)),1+(1-$AU41))</f>
        <v/>
      </c>
      <c r="DF41" s="172">
        <f>MIN(IF($AU41=100%,1,1+VLOOKUP(($AJ41-$AI41-$AH41-$AG41-$AF41-$AE41*(1+DF$3))/$AJ41,'Технический лист'!$M:$N,2,1)-VLOOKUP($AO41,'Технический лист'!$M:$N,2,1)),1+(1-$AU41))</f>
        <v/>
      </c>
      <c r="DG41" s="172">
        <f>MIN(IF($AU41=100%,1,1+VLOOKUP(($AJ41-$AI41-$AH41-$AG41-$AF41-$AE41*(1+DG$3))/$AJ41,'Технический лист'!$M:$N,2,1)-VLOOKUP($AO41,'Технический лист'!$M:$N,2,1)),1+(1-$AU41))</f>
        <v/>
      </c>
      <c r="DH41" s="172">
        <f>MIN(IF($AU41=100%,1,1+VLOOKUP(($AJ41-$AI41-$AH41-$AG41-$AF41-$AE41*(1+DH$3))/$AJ41,'Технический лист'!$M:$N,2,1)-VLOOKUP($AO41,'Технический лист'!$M:$N,2,1)),1+(1-$AU41))</f>
        <v/>
      </c>
      <c r="DI41" s="172">
        <f>MIN(IF($AU41=100%,1,1+VLOOKUP(($AJ41-$AI41-$AH41-$AG41-$AF41-$AE41*(1+DI$3))/$AJ41,'Технический лист'!$M:$N,2,1)-VLOOKUP($AO41,'Технический лист'!$M:$N,2,1)),1+(1-$AU41))</f>
        <v/>
      </c>
      <c r="DJ41" s="172">
        <f>MIN(IF($AU41=100%,1,1+VLOOKUP(($AJ41-$AI41-$AH41-$AG41-$AF41-$AE41*(1+DJ$3))/$AJ41,'Технический лист'!$M:$N,2,1)-VLOOKUP($AO41,'Технический лист'!$M:$N,2,1)),1+(1-$AU41))</f>
        <v/>
      </c>
      <c r="DK41" s="172">
        <f>MIN(IF($AU41=100%,1,1+VLOOKUP(($AJ41-$AI41-$AH41-$AG41-$AF41-$AE41*(1+DK$3))/$AJ41,'Технический лист'!$M:$N,2,1)-VLOOKUP($AO41,'Технический лист'!$M:$N,2,1)),1+(1-$AU41))</f>
        <v/>
      </c>
      <c r="DL41" s="172">
        <f>MIN(IF($AU41=100%,1,1+VLOOKUP(($AJ41-$AI41-$AH41-$AG41-$AF41-$AE41*(1+DL$3))/$AJ41,'Технический лист'!$M:$N,2,1)-VLOOKUP($AO41,'Технический лист'!$M:$N,2,1)),1+(1-$AU41))</f>
        <v/>
      </c>
      <c r="DM41" s="172">
        <f>MIN(IF($AU41=100%,1,1+VLOOKUP(($AJ41-$AI41-$AH41-$AG41-$AF41-$AE41*(1+DM$3))/$AJ41,'Технический лист'!$M:$N,2,1)-VLOOKUP($AO41,'Технический лист'!$M:$N,2,1)),1+(1-$AU41))</f>
        <v/>
      </c>
      <c r="DN41" s="172">
        <f>MIN(IF($AU41=100%,1,1+VLOOKUP(($AJ41-$AI41-$AH41-$AG41-$AF41-$AE41*(1+DN$3))/$AJ41,'Технический лист'!$M:$N,2,1)-VLOOKUP($AO41,'Технический лист'!$M:$N,2,1)),1+(1-$AU41))</f>
        <v/>
      </c>
      <c r="DO41" s="172">
        <f>MIN(IF($AU41=100%,1,1+VLOOKUP(($AJ41-$AI41-$AH41-$AG41-$AF41-$AE41*(1+DO$3))/$AJ41,'Технический лист'!$M:$N,2,1)-VLOOKUP($AO41,'Технический лист'!$M:$N,2,1)),1+(1-$AU41))</f>
        <v/>
      </c>
      <c r="DP41" s="172">
        <f>MIN(IF($AU41=100%,1,1+VLOOKUP(($AJ41-$AI41-$AH41-$AG41-$AF41-$AE41*(1+DP$3))/$AJ41,'Технический лист'!$M:$N,2,1)-VLOOKUP($AO41,'Технический лист'!$M:$N,2,1)),1+(1-$AU41))</f>
        <v/>
      </c>
      <c r="DQ41" s="172">
        <f>MIN(IF($AU41=100%,1,1+VLOOKUP(($AJ41-$AI41-$AH41-$AG41-$AF41-$AE41*(1+DQ$3))/$AJ41,'Технический лист'!$M:$N,2,1)-VLOOKUP($AO41,'Технический лист'!$M:$N,2,1)),1+(1-$AU41))</f>
        <v/>
      </c>
      <c r="DR41" s="172">
        <f>MIN(IF($AU41=100%,1,1+VLOOKUP(($AJ41-$AI41-$AH41-$AG41-$AF41-$AE41*(1+DR$3))/$AJ41,'Технический лист'!$M:$N,2,1)-VLOOKUP($AO41,'Технический лист'!$M:$N,2,1)),1+(1-$AU41))</f>
        <v/>
      </c>
      <c r="DS41" s="172">
        <f>MIN(IF($AU41=100%,1,1+VLOOKUP(($AJ41-$AI41-$AH41-$AG41-$AF41-$AE41*(1+DS$3))/$AJ41,'Технический лист'!$M:$N,2,1)-VLOOKUP($AO41,'Технический лист'!$M:$N,2,1)),1+(1-$AU41))</f>
        <v/>
      </c>
      <c r="DT41" s="172">
        <f>MIN(IF($AU41=100%,1,1+VLOOKUP(($AJ41-$AI41-$AH41-$AG41-$AF41-$AE41*(1+DT$3))/$AJ41,'Технический лист'!$M:$N,2,1)-VLOOKUP($AO41,'Технический лист'!$M:$N,2,1)),1+(1-$AU41))</f>
        <v/>
      </c>
      <c r="DU41" s="172">
        <f>MIN(IF($AU41=100%,1,1+VLOOKUP(($AJ41-$AI41-$AH41-$AG41-$AF41-$AE41*(1+DU$3))/$AJ41,'Технический лист'!$M:$N,2,1)-VLOOKUP($AO41,'Технический лист'!$M:$N,2,1)),1+(1-$AU41))</f>
        <v/>
      </c>
      <c r="DV41" s="172">
        <f>MIN(IF($AU41=100%,1,1+VLOOKUP(($AJ41-$AI41-$AH41-$AG41-$AF41-$AE41*(1+DV$3))/$AJ41,'Технический лист'!$M:$N,2,1)-VLOOKUP($AO41,'Технический лист'!$M:$N,2,1)),1+(1-$AU41))</f>
        <v/>
      </c>
      <c r="DW41" s="172">
        <f>MIN(IF($AU41=100%,1,1+VLOOKUP(($AJ41-$AI41-$AH41-$AG41-$AF41-$AE41*(1+DW$3))/$AJ41,'Технический лист'!$M:$N,2,1)-VLOOKUP($AO41,'Технический лист'!$M:$N,2,1)),1+(1-$AU41))</f>
        <v/>
      </c>
      <c r="DX41" s="172">
        <f>MIN(IF($AU41=100%,1,1+VLOOKUP(($AJ41-$AI41-$AH41-$AG41-$AF41-$AE41*(1+DX$3))/$AJ41,'Технический лист'!$M:$N,2,1)-VLOOKUP($AO41,'Технический лист'!$M:$N,2,1)),1+(1-$AU41))</f>
        <v/>
      </c>
      <c r="DY41" s="172">
        <f>MIN(IF($AU41=100%,1,1+VLOOKUP(($AJ41-$AI41-$AH41-$AG41-$AF41-$AE41*(1+DY$3))/$AJ41,'Технический лист'!$M:$N,2,1)-VLOOKUP($AO41,'Технический лист'!$M:$N,2,1)),1+(1-$AU41))</f>
        <v/>
      </c>
      <c r="DZ41" s="172">
        <f>MIN(IF($AU41=100%,1,1+VLOOKUP(($AJ41-$AI41-$AH41-$AG41-$AF41-$AE41*(1+DZ$3))/$AJ41,'Технический лист'!$M:$N,2,1)-VLOOKUP($AO41,'Технический лист'!$M:$N,2,1)),1+(1-$AU41))</f>
        <v/>
      </c>
      <c r="EA41" s="172">
        <f>MIN(IF($AU41=100%,1,1+VLOOKUP(($AJ41-$AI41-$AH41-$AG41-$AF41-$AE41*(1+EA$3))/$AJ41,'Технический лист'!$M:$N,2,1)-VLOOKUP($AO41,'Технический лист'!$M:$N,2,1)),1+(1-$AU41))</f>
        <v/>
      </c>
      <c r="EB41" s="172">
        <f>MIN(IF($AU41=100%,1,1+VLOOKUP(($AJ41-$AI41-$AH41-$AG41-$AF41-$AE41*(1+EB$3))/$AJ41,'Технический лист'!$M:$N,2,1)-VLOOKUP($AO41,'Технический лист'!$M:$N,2,1)),1+(1-$AU41))</f>
        <v/>
      </c>
      <c r="EC41" s="172">
        <f>MIN(IF($AU41=100%,1,1+VLOOKUP(($AJ41-$AI41-$AH41-$AG41-$AF41-$AE41*(1+EC$3))/$AJ41,'Технический лист'!$M:$N,2,1)-VLOOKUP($AO41,'Технический лист'!$M:$N,2,1)),1+(1-$AU41))</f>
        <v/>
      </c>
      <c r="ED41" s="172">
        <f>MIN(IF($AU41=100%,1,1+VLOOKUP(($AJ41-$AI41-$AH41-$AG41-$AF41-$AE41*(1+ED$3))/$AJ41,'Технический лист'!$M:$N,2,1)-VLOOKUP($AO41,'Технический лист'!$M:$N,2,1)),1+(1-$AU41))</f>
        <v/>
      </c>
      <c r="EE41" s="172">
        <f>MIN(IF($AU41=100%,1,1+VLOOKUP(($AJ41-$AI41-$AH41-$AG41-$AF41-$AE41*(1+EE$3))/$AJ41,'Технический лист'!$M:$N,2,1)-VLOOKUP($AO41,'Технический лист'!$M:$N,2,1)),1+(1-$AU41))</f>
        <v/>
      </c>
      <c r="EF41" s="172">
        <f>MIN(IF($AU41=100%,1,1+VLOOKUP(($AJ41-$AI41-$AH41-$AG41-$AF41-$AE41*(1+EF$3))/$AJ41,'Технический лист'!$M:$N,2,1)-VLOOKUP($AO41,'Технический лист'!$M:$N,2,1)),1+(1-$AU41))</f>
        <v/>
      </c>
      <c r="EG41" s="172">
        <f>MIN(IF($AU41=100%,1,1+VLOOKUP(($AJ41-$AI41-$AH41-$AG41-$AF41-$AE41*(1+EG$3))/$AJ41,'Технический лист'!$M:$N,2,1)-VLOOKUP($AO41,'Технический лист'!$M:$N,2,1)),1+(1-$AU41))</f>
        <v/>
      </c>
      <c r="EH41" s="172">
        <f>MIN(IF($AU41=100%,1,1+VLOOKUP(($AJ41-$AI41-$AH41-$AG41-$AF41-$AE41*(1+EH$3))/$AJ41,'Технический лист'!$M:$N,2,1)-VLOOKUP($AO41,'Технический лист'!$M:$N,2,1)),1+(1-$AU41))</f>
        <v/>
      </c>
      <c r="EI41" s="172">
        <f>MIN(IF($AU41=100%,1,1+VLOOKUP(($AJ41-$AI41-$AH41-$AG41-$AF41-$AE41*(1+EI$3))/$AJ41,'Технический лист'!$M:$N,2,1)-VLOOKUP($AO41,'Технический лист'!$M:$N,2,1)),1+(1-$AU41))</f>
        <v/>
      </c>
      <c r="EJ41" s="172">
        <f>MIN(IF($AU41=100%,1,1+VLOOKUP(($AJ41-$AI41-$AH41-$AG41-$AF41-$AE41*(1+EJ$3))/$AJ41,'Технический лист'!$M:$N,2,1)-VLOOKUP($AO41,'Технический лист'!$M:$N,2,1)),1+(1-$AU41))</f>
        <v/>
      </c>
      <c r="EK41" s="172">
        <f>MIN(IF($AU41=100%,1,1+VLOOKUP(($AJ41-$AI41-$AH41-$AG41-$AF41-$AE41*(1+EK$3))/$AJ41,'Технический лист'!$M:$N,2,1)-VLOOKUP($AO41,'Технический лист'!$M:$N,2,1)),1+(1-$AU41))</f>
        <v/>
      </c>
      <c r="EL41" s="172">
        <f>MIN(IF($AU41=100%,1,1+VLOOKUP(($AJ41-$AI41-$AH41-$AG41-$AF41-$AE41*(1+EL$3))/$AJ41,'Технический лист'!$M:$N,2,1)-VLOOKUP($AO41,'Технический лист'!$M:$N,2,1)),1+(1-$AU41))</f>
        <v/>
      </c>
      <c r="EM41" s="172">
        <f>MIN(IF($AU41=100%,1,1+VLOOKUP(($AJ41-$AI41-$AH41-$AG41-$AF41-$AE41*(1+EM$3))/$AJ41,'Технический лист'!$M:$N,2,1)-VLOOKUP($AO41,'Технический лист'!$M:$N,2,1)),1+(1-$AU41))</f>
        <v/>
      </c>
      <c r="EN41" s="172">
        <f>MIN(IF($AU41=100%,1,1+VLOOKUP(($AJ41-$AI41-$AH41-$AG41-$AF41-$AE41*(1+EN$3))/$AJ41,'Технический лист'!$M:$N,2,1)-VLOOKUP($AO41,'Технический лист'!$M:$N,2,1)),1+(1-$AU41))</f>
        <v/>
      </c>
      <c r="EO41" s="172">
        <f>MIN(IF($AU41=100%,1,1+VLOOKUP(($AJ41-$AI41-$AH41-$AG41-$AF41-$AE41*(1+EO$3))/$AJ41,'Технический лист'!$M:$N,2,1)-VLOOKUP($AO41,'Технический лист'!$M:$N,2,1)),1+(1-$AU41))</f>
        <v/>
      </c>
      <c r="EP41" s="172">
        <f>MIN(IF($AU41=100%,1,1+VLOOKUP(($AJ41-$AI41-$AH41-$AG41-$AF41-$AE41*(1+EP$3))/$AJ41,'Технический лист'!$M:$N,2,1)-VLOOKUP($AO41,'Технический лист'!$M:$N,2,1)),1+(1-$AU41))</f>
        <v/>
      </c>
      <c r="EQ41" s="172">
        <f>MIN(IF($AU41=100%,1,1+VLOOKUP(($AJ41-$AI41-$AH41-$AG41-$AF41-$AE41*(1+EQ$3))/$AJ41,'Технический лист'!$M:$N,2,1)-VLOOKUP($AO41,'Технический лист'!$M:$N,2,1)),1+(1-$AU41))</f>
        <v/>
      </c>
      <c r="ER41" s="172">
        <f>MIN(IF($AU41=100%,1,1+VLOOKUP(($AJ41-$AI41-$AH41-$AG41-$AF41-$AE41*(1+ER$3))/$AJ41,'Технический лист'!$M:$N,2,1)-VLOOKUP($AO41,'Технический лист'!$M:$N,2,1)),1+(1-$AU41))</f>
        <v/>
      </c>
      <c r="ES41" s="172">
        <f>MIN(IF($AU41=100%,1,1+VLOOKUP(($AJ41-$AI41-$AH41-$AG41-$AF41-$AE41*(1+ES$3))/$AJ41,'Технический лист'!$M:$N,2,1)-VLOOKUP($AO41,'Технический лист'!$M:$N,2,1)),1+(1-$AU41))</f>
        <v/>
      </c>
      <c r="ET41" s="172">
        <f>MIN(IF($AU41=100%,1,1+VLOOKUP(($AJ41-$AI41-$AH41-$AG41-$AF41-$AE41*(1+ET$3))/$AJ41,'Технический лист'!$M:$N,2,1)-VLOOKUP($AO41,'Технический лист'!$M:$N,2,1)),1+(1-$AU41))</f>
        <v/>
      </c>
      <c r="EU41" s="172">
        <f>MIN(IF($AU41=100%,1,1+VLOOKUP(($AJ41-$AI41-$AH41-$AG41-$AF41-$AE41*(1+EU$3))/$AJ41,'Технический лист'!$M:$N,2,1)-VLOOKUP($AO41,'Технический лист'!$M:$N,2,1)),1+(1-$AU41))</f>
        <v/>
      </c>
      <c r="EV41" s="173" t="n">
        <v>1</v>
      </c>
      <c r="EW41" s="172">
        <f>MIN(1,MAX(VLOOKUP(($AJ41-$AI41-$AH41-$AG41-$AF41-$AE41*(1+EW$3))/$AJ41,'Технический лист'!$M:$N,2,1),(EV41-0.05)))</f>
        <v/>
      </c>
      <c r="EX41" s="172">
        <f>MIN(1,MAX(VLOOKUP(($AJ41-$AI41-$AH41-$AG41-$AF41-$AE41*(1+EX$3))/$AJ41,'Технический лист'!$M:$N,2,1),(EW41-0.05)))</f>
        <v/>
      </c>
      <c r="EY41" s="172">
        <f>MIN(1,MAX(VLOOKUP(($AJ41-$AI41-$AH41-$AG41-$AF41-$AE41*(1+EY$3))/$AJ41,'Технический лист'!$M:$N,2,1),(EX41-0.05)))</f>
        <v/>
      </c>
      <c r="EZ41" s="172">
        <f>MIN(1,MAX(VLOOKUP(($AJ41-$AI41-$AH41-$AG41-$AF41-$AE41*(1+EZ$3))/$AJ41,'Технический лист'!$M:$N,2,1),(EY41-0.05)))</f>
        <v/>
      </c>
      <c r="FA41" s="172">
        <f>MIN(1,MAX(VLOOKUP(($AJ41-$AI41-$AH41-$AG41-$AF41-$AE41*(1+FA$3))/$AJ41,'Технический лист'!$M:$N,2,1),(EZ41-0.05)))</f>
        <v/>
      </c>
      <c r="FB41" s="172">
        <f>MIN(1,MAX(VLOOKUP(($AJ41-$AI41-$AH41-$AG41-$AF41-$AE41*(1+FB$3))/$AJ41,'Технический лист'!$M:$N,2,1),(FA41-0.05)))</f>
        <v/>
      </c>
      <c r="FC41" s="172">
        <f>MIN(1,MAX(VLOOKUP(($AJ41-$AI41-$AH41-$AG41-$AF41-$AE41*(1+FC$3))/$AJ41,'Технический лист'!$M:$N,2,1),(FB41-0.05)))</f>
        <v/>
      </c>
      <c r="FD41" s="172">
        <f>MIN(1,MAX(VLOOKUP(($AJ41-$AI41-$AH41-$AG41-$AF41-$AE41*(1+FD$3))/$AJ41,'Технический лист'!$M:$N,2,1),(FC41-0.05)))</f>
        <v/>
      </c>
      <c r="FE41" s="172">
        <f>MIN(1,MAX(VLOOKUP(($AJ41-$AI41-$AH41-$AG41-$AF41-$AE41*(1+FE$3))/$AJ41,'Технический лист'!$M:$N,2,1),(FD41-0.05)))</f>
        <v/>
      </c>
      <c r="FF41" s="172">
        <f>MIN(1,MAX(VLOOKUP(($AJ41-$AI41-$AH41-$AG41-$AF41-$AE41*(1+FF$3))/$AJ41,'Технический лист'!$M:$N,2,1),(FE41-0.05)))</f>
        <v/>
      </c>
      <c r="FG41" s="172">
        <f>MIN(1,MAX(VLOOKUP(($AJ41-$AI41-$AH41-$AG41-$AF41-$AE41*(1+FG$3))/$AJ41,'Технический лист'!$M:$N,2,1),(FF41-0.05)))</f>
        <v/>
      </c>
      <c r="FH41" s="172">
        <f>MIN(1,MAX(VLOOKUP(($AJ41-$AI41-$AH41-$AG41-$AF41-$AE41*(1+FH$3))/$AJ41,'Технический лист'!$M:$N,2,1),(FG41-0.05)))</f>
        <v/>
      </c>
      <c r="FI41" s="172">
        <f>MIN(1,MAX(VLOOKUP(($AJ41-$AI41-$AH41-$AG41-$AF41-$AE41*(1+FI$3))/$AJ41,'Технический лист'!$M:$N,2,1),(FH41-0.05)))</f>
        <v/>
      </c>
      <c r="FJ41" s="172">
        <f>MIN(1,MAX(VLOOKUP(($AJ41-$AI41-$AH41-$AG41-$AF41-$AE41*(1+FJ$3))/$AJ41,'Технический лист'!$M:$N,2,1),(FI41-0.05)))</f>
        <v/>
      </c>
      <c r="FK41" s="172">
        <f>MIN(1,MAX(VLOOKUP(($AJ41-$AI41-$AH41-$AG41-$AF41-$AE41*(1+FK$3))/$AJ41,'Технический лист'!$M:$N,2,1),(FJ41-0.05)))</f>
        <v/>
      </c>
      <c r="FL41" s="172">
        <f>MIN(1,MAX(VLOOKUP(($AJ41-$AI41-$AH41-$AG41-$AF41-$AE41*(1+FL$3))/$AJ41,'Технический лист'!$M:$N,2,1),(FK41-0.05)))</f>
        <v/>
      </c>
      <c r="FM41" s="172">
        <f>MIN(1,MAX(VLOOKUP(($AJ41-$AI41-$AH41-$AG41-$AF41-$AE41*(1+FM$3))/$AJ41,'Технический лист'!$M:$N,2,1),(FL41-0.05)))</f>
        <v/>
      </c>
      <c r="FN41" s="172">
        <f>MIN(1,MAX(VLOOKUP(($AJ41-$AI41-$AH41-$AG41-$AF41-$AE41*(1+FN$3))/$AJ41,'Технический лист'!$M:$N,2,1),(FM41-0.05)))</f>
        <v/>
      </c>
      <c r="FO41" s="172">
        <f>MIN(1,MAX(VLOOKUP(($AJ41-$AI41-$AH41-$AG41-$AF41-$AE41*(1+FO$3))/$AJ41,'Технический лист'!$M:$N,2,1),(FN41-0.05)))</f>
        <v/>
      </c>
      <c r="FP41" s="172">
        <f>MIN(1,MAX(VLOOKUP(($AJ41-$AI41-$AH41-$AG41-$AF41-$AE41*(1+FP$3))/$AJ41,'Технический лист'!$M:$N,2,1),(FO41-0.05)))</f>
        <v/>
      </c>
      <c r="FQ41" s="172">
        <f>MIN(1,MAX(VLOOKUP(($AJ41-$AI41-$AH41-$AG41-$AF41-$AE41*(1+FQ$3))/$AJ41,'Технический лист'!$M:$N,2,1),(FP41-0.05)))</f>
        <v/>
      </c>
      <c r="FR41" s="172">
        <f>MIN(1,MAX(VLOOKUP(($AJ41-$AI41-$AH41-$AG41-$AF41-$AE41*(1+FR$3))/$AJ41,'Технический лист'!$M:$N,2,1),(FQ41-0.05)))</f>
        <v/>
      </c>
      <c r="FS41" s="172">
        <f>MIN(1,MAX(VLOOKUP(($AJ41-$AI41-$AH41-$AG41-$AF41-$AE41*(1+FS$3))/$AJ41,'Технический лист'!$M:$N,2,1),(FR41-0.05)))</f>
        <v/>
      </c>
      <c r="FT41" s="172">
        <f>MIN(1,MAX(VLOOKUP(($AJ41-$AI41-$AH41-$AG41-$AF41-$AE41*(1+FT$3))/$AJ41,'Технический лист'!$M:$N,2,1),(FS41-0.05)))</f>
        <v/>
      </c>
      <c r="FU41" s="172">
        <f>MIN(1,MAX(VLOOKUP(($AJ41-$AI41-$AH41-$AG41-$AF41-$AE41*(1+FU$3))/$AJ41,'Технический лист'!$M:$N,2,1),(FT41-0.05)))</f>
        <v/>
      </c>
      <c r="FV41" s="172">
        <f>MIN(1,MAX(VLOOKUP(($AJ41-$AI41-$AH41-$AG41-$AF41-$AE41*(1+FV$3))/$AJ41,'Технический лист'!$M:$N,2,1),(FU41-0.05)))</f>
        <v/>
      </c>
      <c r="FW41" s="172">
        <f>MIN(1,MAX(VLOOKUP(($AJ41-$AI41-$AH41-$AG41-$AF41-$AE41*(1+FW$3))/$AJ41,'Технический лист'!$M:$N,2,1),(FV41-0.05)))</f>
        <v/>
      </c>
      <c r="FX41" s="172">
        <f>MIN(1,MAX(VLOOKUP(($AJ41-$AI41-$AH41-$AG41-$AF41-$AE41*(1+FX$3))/$AJ41,'Технический лист'!$M:$N,2,1),(FW41-0.05)))</f>
        <v/>
      </c>
      <c r="FY41" s="172">
        <f>MIN(1,MAX(VLOOKUP(($AJ41-$AI41-$AH41-$AG41-$AF41-$AE41*(1+FY$3))/$AJ41,'Технический лист'!$M:$N,2,1),(FX41-0.05)))</f>
        <v/>
      </c>
      <c r="FZ41" s="172">
        <f>MIN(1,MAX(VLOOKUP(($AJ41-$AI41-$AH41-$AG41-$AF41-$AE41*(1+FZ$3))/$AJ41,'Технический лист'!$M:$N,2,1),(FY41-0.05)))</f>
        <v/>
      </c>
      <c r="GA41" s="172">
        <f>MIN(1,MAX(VLOOKUP(($AJ41-$AI41-$AH41-$AG41-$AF41-$AE41*(1+GA$3))/$AJ41,'Технический лист'!$M:$N,2,1),(FZ41-0.05)))</f>
        <v/>
      </c>
      <c r="GB41" s="172">
        <f>MIN(1,MAX(VLOOKUP(($AJ41-$AI41-$AH41-$AG41-$AF41-$AE41*(1+GB$3))/$AJ41,'Технический лист'!$M:$N,2,1),(GA41-0.05)))</f>
        <v/>
      </c>
      <c r="GC41" s="172">
        <f>MIN(1,MAX(VLOOKUP(($AJ41-$AI41-$AH41-$AG41-$AF41-$AE41*(1+GC$3))/$AJ41,'Технический лист'!$M:$N,2,1),(GB41-0.05)))</f>
        <v/>
      </c>
      <c r="GD41" s="172">
        <f>MIN(1,MAX(VLOOKUP(($AJ41-$AI41-$AH41-$AG41-$AF41-$AE41*(1+GD$3))/$AJ41,'Технический лист'!$M:$N,2,1),(GC41-0.05)))</f>
        <v/>
      </c>
      <c r="GE41" s="172">
        <f>MIN(1,MAX(VLOOKUP(($AJ41-$AI41-$AH41-$AG41-$AF41-$AE41*(1+GE$3))/$AJ41,'Технический лист'!$M:$N,2,1),(GD41-0.05)))</f>
        <v/>
      </c>
      <c r="GF41" s="172">
        <f>MIN(1,MAX(VLOOKUP(($AJ41-$AI41-$AH41-$AG41-$AF41-$AE41*(1+GF$3))/$AJ41,'Технический лист'!$M:$N,2,1),(GE41-0.05)))</f>
        <v/>
      </c>
      <c r="GG41" s="172">
        <f>MIN(1,MAX(VLOOKUP(($AJ41-$AI41-$AH41-$AG41-$AF41-$AE41*(1+GG$3))/$AJ41,'Технический лист'!$M:$N,2,1),(GF41-0.05)))</f>
        <v/>
      </c>
      <c r="GH41" s="172">
        <f>MIN(1,MAX(VLOOKUP(($AJ41-$AI41-$AH41-$AG41-$AF41-$AE41*(1+GH$3))/$AJ41,'Технический лист'!$M:$N,2,1),(GG41-0.05)))</f>
        <v/>
      </c>
      <c r="GI41" s="172">
        <f>MIN(1,MAX(VLOOKUP(($AJ41-$AI41-$AH41-$AG41-$AF41-$AE41*(1+GI$3))/$AJ41,'Технический лист'!$M:$N,2,1),(GH41-0.05)))</f>
        <v/>
      </c>
      <c r="GJ41" s="172">
        <f>MIN(1,MAX(VLOOKUP(($AJ41-$AI41-$AH41-$AG41-$AF41-$AE41*(1+GJ$3))/$AJ41,'Технический лист'!$M:$N,2,1),(GI41-0.05)))</f>
        <v/>
      </c>
      <c r="GK41" s="172">
        <f>MIN(1,MAX(VLOOKUP(($AJ41-$AI41-$AH41-$AG41-$AF41-$AE41*(1+GK$3))/$AJ41,'Технический лист'!$M:$N,2,1),(GJ41-0.05)))</f>
        <v/>
      </c>
      <c r="GL41" s="172">
        <f>MIN(1,MAX(VLOOKUP(($AJ41-$AI41-$AH41-$AG41-$AF41-$AE41*(1+GL$3))/$AJ41,'Технический лист'!$M:$N,2,1),(GK41-0.05)))</f>
        <v/>
      </c>
      <c r="GM41" s="172">
        <f>MIN(1,MAX(VLOOKUP(($AJ41-$AI41-$AH41-$AG41-$AF41-$AE41*(1+GM$3))/$AJ41,'Технический лист'!$M:$N,2,1),(GL41-0.05)))</f>
        <v/>
      </c>
      <c r="GN41" s="172">
        <f>MIN(1,MAX(VLOOKUP(($AJ41-$AI41-$AH41-$AG41-$AF41-$AE41*(1+GN$3))/$AJ41,'Технический лист'!$M:$N,2,1),(GM41-0.05)))</f>
        <v/>
      </c>
      <c r="GO41" s="172">
        <f>MIN(1,MAX(VLOOKUP(($AJ41-$AI41-$AH41-$AG41-$AF41-$AE41*(1+GO$3))/$AJ41,'Технический лист'!$M:$N,2,1),(GN41-0.05)))</f>
        <v/>
      </c>
      <c r="GP41" s="172">
        <f>MIN(1,MAX(VLOOKUP(($AJ41-$AI41-$AH41-$AG41-$AF41-$AE41*(1+GP$3))/$AJ41,'Технический лист'!$M:$N,2,1),(GO41-0.05)))</f>
        <v/>
      </c>
      <c r="GQ41" s="172">
        <f>MIN(1,MAX(VLOOKUP(($AJ41-$AI41-$AH41-$AG41-$AF41-$AE41*(1+GQ$3))/$AJ41,'Технический лист'!$M:$N,2,1),(GP41-0.05)))</f>
        <v/>
      </c>
      <c r="GR41" s="172">
        <f>MIN(1,MAX(VLOOKUP(($AJ41-$AI41-$AH41-$AG41-$AF41-$AE41*(1+GR$3))/$AJ41,'Технический лист'!$M:$N,2,1),(GQ41-0.05)))</f>
        <v/>
      </c>
      <c r="GS41" s="172">
        <f>MIN(1,MAX(VLOOKUP(($AJ41-$AI41-$AH41-$AG41-$AF41-$AE41*(1+GS$3))/$AJ41,'Технический лист'!$M:$N,2,1),(GR41-0.05)))</f>
        <v/>
      </c>
      <c r="GT41" s="172">
        <f>MIN(1,MAX(VLOOKUP(($AJ41-$AI41-$AH41-$AG41-$AF41-$AE41*(1+GT$3))/$AJ41,'Технический лист'!$M:$N,2,1),(GS41-0.05)))</f>
        <v/>
      </c>
      <c r="GU41" s="172">
        <f>MIN(1,MAX(VLOOKUP(($AJ41-$AI41-$AH41-$AG41-$AF41-$AE41*(1+GU$3))/$AJ41,'Технический лист'!$M:$N,2,1),(GT41-0.05)))</f>
        <v/>
      </c>
      <c r="GV41" s="172">
        <f>MIN(1,MAX(VLOOKUP(($AJ41-$AI41-$AH41-$AG41-$AF41-$AE41*(1+GV$3))/$AJ41,'Технический лист'!$M:$N,2,1),(GU41-0.05)))</f>
        <v/>
      </c>
      <c r="GW41" s="172">
        <f>MIN(1,MAX(VLOOKUP(($AJ41-$AI41-$AH41-$AG41-$AF41-$AE41*(1+GW$3))/$AJ41,'Технический лист'!$M:$N,2,1),(GV41-0.05)))</f>
        <v/>
      </c>
      <c r="GX41" s="172">
        <f>MIN(1,MAX(VLOOKUP(($AJ41-$AI41-$AH41-$AG41-$AF41-$AE41*(1+GX$3))/$AJ41,'Технический лист'!$M:$N,2,1),(GW41-0.05)))</f>
        <v/>
      </c>
      <c r="GY41" s="172">
        <f>MIN(1,MAX(VLOOKUP(($AJ41-$AI41-$AH41-$AG41-$AF41-$AE41*(1+GY$3))/$AJ41,'Технический лист'!$M:$N,2,1),(GX41-0.05)))</f>
        <v/>
      </c>
      <c r="GZ41" s="172">
        <f>MIN(1,MAX(VLOOKUP(($AJ41-$AI41-$AH41-$AG41-$AF41-$AE41*(1+GZ$3))/$AJ41,'Технический лист'!$M:$N,2,1),(GY41-0.05)))</f>
        <v/>
      </c>
      <c r="HA41" s="172">
        <f>MIN(1,MAX(VLOOKUP(($AJ41-$AI41-$AH41-$AG41-$AF41-$AE41*(1+HA$3))/$AJ41,'Технический лист'!$M:$N,2,1),(GZ41-0.05)))</f>
        <v/>
      </c>
      <c r="HB41" s="172">
        <f>MIN(1,MAX(VLOOKUP(($AJ41-$AI41-$AH41-$AG41-$AF41-$AE41*(1+HB$3))/$AJ41,'Технический лист'!$M:$N,2,1),(HA41-0.05)))</f>
        <v/>
      </c>
      <c r="HC41" s="172">
        <f>MIN(1,MAX(VLOOKUP(($AJ41-$AI41-$AH41-$AG41-$AF41-$AE41*(1+HC$3))/$AJ41,'Технический лист'!$M:$N,2,1),(HB41-0.05)))</f>
        <v/>
      </c>
      <c r="HD41" s="172">
        <f>MIN(1,MAX(VLOOKUP(($AJ41-$AI41-$AH41-$AG41-$AF41-$AE41*(1+HD$3))/$AJ41,'Технический лист'!$M:$N,2,1),(HC41-0.05)))</f>
        <v/>
      </c>
      <c r="HE41" s="172">
        <f>MIN(1,MAX(VLOOKUP(($AJ41-$AI41-$AH41-$AG41-$AF41-$AE41*(1+HE$3))/$AJ41,'Технический лист'!$M:$N,2,1),(HD41-0.05)))</f>
        <v/>
      </c>
      <c r="HF41" s="172">
        <f>MIN(1,MAX(VLOOKUP(($AJ41-$AI41-$AH41-$AG41-$AF41-$AE41*(1+HF$3))/$AJ41,'Технический лист'!$M:$N,2,1),(HE41-0.05)))</f>
        <v/>
      </c>
      <c r="HG41" s="172">
        <f>MIN(1,MAX(VLOOKUP(($AJ41-$AI41-$AH41-$AG41-$AF41-$AE41*(1+HG$3))/$AJ41,'Технический лист'!$M:$N,2,1),(HF41-0.05)))</f>
        <v/>
      </c>
      <c r="HH41" s="172">
        <f>MIN(1,MAX(VLOOKUP(($AJ41-$AI41-$AH41-$AG41-$AF41-$AE41*(1+HH$3))/$AJ41,'Технический лист'!$M:$N,2,1),(HG41-0.05)))</f>
        <v/>
      </c>
      <c r="HI41" s="172">
        <f>MIN(1,MAX(VLOOKUP(($AJ41-$AI41-$AH41-$AG41-$AF41-$AE41*(1+HI$3))/$AJ41,'Технический лист'!$M:$N,2,1),(HH41-0.05)))</f>
        <v/>
      </c>
      <c r="HJ41" s="172">
        <f>MIN(1,MAX(VLOOKUP(($AJ41-$AI41-$AH41-$AG41-$AF41-$AE41*(1+HJ$3))/$AJ41,'Технический лист'!$M:$N,2,1),(HI41-0.05)))</f>
        <v/>
      </c>
      <c r="HK41" s="172">
        <f>MIN(1,MAX(VLOOKUP(($AJ41-$AI41-$AH41-$AG41-$AF41-$AE41*(1+HK$3))/$AJ41,'Технический лист'!$M:$N,2,1),(HJ41-0.05)))</f>
        <v/>
      </c>
      <c r="HL41" s="172">
        <f>MIN(1,MAX(VLOOKUP(($AJ41-$AI41-$AH41-$AG41-$AF41-$AE41*(1+HL$3))/$AJ41,'Технический лист'!$M:$N,2,1),(HK41-0.05)))</f>
        <v/>
      </c>
      <c r="HM41" s="172">
        <f>MIN(1,MAX(VLOOKUP(($AJ41-$AI41-$AH41-$AG41-$AF41-$AE41*(1+HM$3))/$AJ41,'Технический лист'!$M:$N,2,1),(HL41-0.05)))</f>
        <v/>
      </c>
      <c r="HN41" s="172">
        <f>MIN(1,MAX(VLOOKUP(($AJ41-$AI41-$AH41-$AG41-$AF41-$AE41*(1+HN$3))/$AJ41,'Технический лист'!$M:$N,2,1),(HM41-0.05)))</f>
        <v/>
      </c>
      <c r="HO41" s="172">
        <f>MIN(1,MAX(VLOOKUP(($AJ41-$AI41-$AH41-$AG41-$AF41-$AE41*(1+HO$3))/$AJ41,'Технический лист'!$M:$N,2,1),(HN41-0.05)))</f>
        <v/>
      </c>
      <c r="HP41" s="172">
        <f>MIN(1,MAX(VLOOKUP(($AJ41-$AI41-$AH41-$AG41-$AF41-$AE41*(1+HP$3))/$AJ41,'Технический лист'!$M:$N,2,1),(HO41-0.05)))</f>
        <v/>
      </c>
      <c r="HQ41" s="172">
        <f>MIN(1,MAX(VLOOKUP(($AJ41-$AI41-$AH41-$AG41-$AF41-$AE41*(1+HQ$3))/$AJ41,'Технический лист'!$M:$N,2,1),(HP41-0.05)))</f>
        <v/>
      </c>
      <c r="HR41" s="172">
        <f>MIN(1,MAX(VLOOKUP(($AJ41-$AI41-$AH41-$AG41-$AF41-$AE41*(1+HR$3))/$AJ41,'Технический лист'!$M:$N,2,1),(HQ41-0.05)))</f>
        <v/>
      </c>
      <c r="HS41" s="172">
        <f>MIN(1,MAX(VLOOKUP(($AJ41-$AI41-$AH41-$AG41-$AF41-$AE41*(1+HS$3))/$AJ41,'Технический лист'!$M:$N,2,1),(HR41-0.05)))</f>
        <v/>
      </c>
      <c r="HT41" s="172">
        <f>MIN(1,MAX(VLOOKUP(($AJ41-$AI41-$AH41-$AG41-$AF41-$AE41*(1+HT$3))/$AJ41,'Технический лист'!$M:$N,2,1),(HS41-0.05)))</f>
        <v/>
      </c>
      <c r="HU41" s="172">
        <f>MIN(1,MAX(VLOOKUP(($AJ41-$AI41-$AH41-$AG41-$AF41-$AE41*(1+HU$3))/$AJ41,'Технический лист'!$M:$N,2,1),(HT41-0.05)))</f>
        <v/>
      </c>
      <c r="HV41" s="172">
        <f>MIN(1,MAX(VLOOKUP(($AJ41-$AI41-$AH41-$AG41-$AF41-$AE41*(1+HV$3))/$AJ41,'Технический лист'!$M:$N,2,1),(HU41-0.05)))</f>
        <v/>
      </c>
      <c r="HW41" s="172">
        <f>MIN(1,MAX(VLOOKUP(($AJ41-$AI41-$AH41-$AG41-$AF41-$AE41*(1+HW$3))/$AJ41,'Технический лист'!$M:$N,2,1),(HV41-0.05)))</f>
        <v/>
      </c>
      <c r="HX41" s="172">
        <f>MIN(1,MAX(VLOOKUP(($AJ41-$AI41-$AH41-$AG41-$AF41-$AE41*(1+HX$3))/$AJ41,'Технический лист'!$M:$N,2,1),(HW41-0.05)))</f>
        <v/>
      </c>
      <c r="HY41" s="172">
        <f>MIN(1,MAX(VLOOKUP(($AJ41-$AI41-$AH41-$AG41-$AF41-$AE41*(1+HY$3))/$AJ41,'Технический лист'!$M:$N,2,1),(HX41-0.05)))</f>
        <v/>
      </c>
      <c r="HZ41" s="172">
        <f>MIN(1,MAX(VLOOKUP(($AJ41-$AI41-$AH41-$AG41-$AF41-$AE41*(1+HZ$3))/$AJ41,'Технический лист'!$M:$N,2,1),(HY41-0.05)))</f>
        <v/>
      </c>
      <c r="IA41" s="172">
        <f>MIN(1,MAX(VLOOKUP(($AJ41-$AI41-$AH41-$AG41-$AF41-$AE41*(1+IA$3))/$AJ41,'Технический лист'!$M:$N,2,1),(HZ41-0.05)))</f>
        <v/>
      </c>
      <c r="IB41" s="172">
        <f>MIN(1,MAX(VLOOKUP(($AJ41-$AI41-$AH41-$AG41-$AF41-$AE41*(1+IB$3))/$AJ41,'Технический лист'!$M:$N,2,1),(IA41-0.05)))</f>
        <v/>
      </c>
      <c r="IC41" s="172">
        <f>MIN(1,MAX(VLOOKUP(($AJ41-$AI41-$AH41-$AG41-$AF41-$AE41*(1+IC$3))/$AJ41,'Технический лист'!$M:$N,2,1),(IB41-0.05)))</f>
        <v/>
      </c>
      <c r="ID41" s="172">
        <f>MIN(1,MAX(VLOOKUP(($AJ41-$AI41-$AH41-$AG41-$AF41-$AE41*(1+ID$3))/$AJ41,'Технический лист'!$M:$N,2,1),(IC41-0.05)))</f>
        <v/>
      </c>
      <c r="IE41" s="172">
        <f>MIN(1,MAX(VLOOKUP(($AJ41-$AI41-$AH41-$AG41-$AF41-$AE41*(1+IE$3))/$AJ41,'Технический лист'!$M:$N,2,1),(ID41-0.05)))</f>
        <v/>
      </c>
      <c r="IF41" s="172">
        <f>MIN(1,MAX(VLOOKUP(($AJ41-$AI41-$AH41-$AG41-$AF41-$AE41*(1+IF$3))/$AJ41,'Технический лист'!$M:$N,2,1),(IE41-0.05)))</f>
        <v/>
      </c>
      <c r="IG41" s="172">
        <f>MIN(1,MAX(VLOOKUP(($AJ41-$AI41-$AH41-$AG41-$AF41-$AE41*(1+IG$3))/$AJ41,'Технический лист'!$M:$N,2,1),(IF41-0.05)))</f>
        <v/>
      </c>
      <c r="IH41" s="172">
        <f>MIN(1,MAX(VLOOKUP(($AJ41-$AI41-$AH41-$AG41-$AF41-$AE41*(1+IH$3))/$AJ41,'Технический лист'!$M:$N,2,1),(IG41-0.05)))</f>
        <v/>
      </c>
      <c r="II41" s="172">
        <f>MIN(1,MAX(VLOOKUP(($AJ41-$AI41-$AH41-$AG41-$AF41-$AE41*(1+II$3))/$AJ41,'Технический лист'!$M:$N,2,1),(IH41-0.05)))</f>
        <v/>
      </c>
      <c r="IJ41" s="172">
        <f>MIN(1,MAX(VLOOKUP(($AJ41-$AI41-$AH41-$AG41-$AF41-$AE41*(1+IJ$3))/$AJ41,'Технический лист'!$M:$N,2,1),(II41-0.05)))</f>
        <v/>
      </c>
      <c r="IK41" s="172">
        <f>MIN(1,MAX(VLOOKUP(($AJ41-$AI41-$AH41-$AG41-$AF41-$AE41*(1+IK$3))/$AJ41,'Технический лист'!$M:$N,2,1),(IJ41-0.05)))</f>
        <v/>
      </c>
      <c r="IL41" s="172">
        <f>MIN(1,MAX(VLOOKUP(($AJ41-$AI41-$AH41-$AG41-$AF41-$AE41*(1+IL$3))/$AJ41,'Технический лист'!$M:$N,2,1),(IK41-0.05)))</f>
        <v/>
      </c>
      <c r="IM41" s="172">
        <f>MIN(1,MAX(VLOOKUP(($AJ41-$AI41-$AH41-$AG41-$AF41-$AE41*(1+IM$3))/$AJ41,'Технический лист'!$M:$N,2,1),(IL41-0.05)))</f>
        <v/>
      </c>
      <c r="IN41" s="172">
        <f>MIN(1,MAX(VLOOKUP(($AJ41-$AI41-$AH41-$AG41-$AF41-$AE41*(1+IN$3))/$AJ41,'Технический лист'!$M:$N,2,1),(IM41-0.05)))</f>
        <v/>
      </c>
      <c r="IO41" s="172">
        <f>MIN(1,MAX(VLOOKUP(($AJ41-$AI41-$AH41-$AG41-$AF41-$AE41*(1+IO$3))/$AJ41,'Технический лист'!$M:$N,2,1),(IN41-0.05)))</f>
        <v/>
      </c>
      <c r="IP41" s="172">
        <f>MIN(1,MAX(VLOOKUP(($AJ41-$AI41-$AH41-$AG41-$AF41-$AE41*(1+IP$3))/$AJ41,'Технический лист'!$M:$N,2,1),(IO41-0.05)))</f>
        <v/>
      </c>
      <c r="IQ41" s="172">
        <f>MIN(1,MAX(VLOOKUP(($AJ41-$AI41-$AH41-$AG41-$AF41-$AE41*(1+IQ$3))/$AJ41,'Технический лист'!$M:$N,2,1),(IP41-0.05)))</f>
        <v/>
      </c>
      <c r="IR41" s="172">
        <f>MIN(1,MAX(VLOOKUP(($AJ41-$AI41-$AH41-$AG41-$AF41-$AE41*(1+IR$3))/$AJ41,'Технический лист'!$M:$N,2,1),(IQ41-0.05)))</f>
        <v/>
      </c>
    </row>
    <row r="42" ht="29.15" customHeight="1" s="123">
      <c r="A42" s="89" t="inlineStr">
        <is>
          <t>ЧМ (сырье)</t>
        </is>
      </c>
      <c r="B42" s="90" t="n">
        <v>4</v>
      </c>
      <c r="C42" s="5" t="inlineStr">
        <is>
          <t>Руды  всякие</t>
        </is>
      </c>
      <c r="D42" s="91" t="n">
        <v>14109</v>
      </c>
      <c r="E42" s="91" t="inlineStr">
        <is>
          <t xml:space="preserve">Концентрат железорудный (гематит) </t>
        </is>
      </c>
      <c r="F42" s="92" t="inlineStr">
        <is>
          <t>РУДЫ И КОНЦЕНТРАТЫ ЖЕЛЕЗН</t>
        </is>
      </c>
      <c r="G42" s="91" t="inlineStr">
        <is>
          <t>ДВС</t>
        </is>
      </c>
      <c r="H42" s="91" t="inlineStr">
        <is>
          <t>ЗСБ</t>
        </is>
      </c>
      <c r="I42" s="91" t="inlineStr">
        <is>
          <t>ИЗВЕСТКОВАЯ</t>
        </is>
      </c>
      <c r="J42" s="91" t="inlineStr">
        <is>
          <t>НОВОКУЗ.-СЕВ</t>
        </is>
      </c>
      <c r="K42" s="91" t="n">
        <v>4862</v>
      </c>
      <c r="L42" s="91" t="inlineStr">
        <is>
          <t>Полувагоны</t>
        </is>
      </c>
      <c r="M42" s="91" t="inlineStr">
        <is>
          <t>Внутр. перевозки</t>
        </is>
      </c>
      <c r="N42" s="91" t="inlineStr">
        <is>
          <t>вагонная</t>
        </is>
      </c>
      <c r="O42" s="91" t="inlineStr">
        <is>
          <t xml:space="preserve">Южное </t>
        </is>
      </c>
      <c r="P42" s="89" t="inlineStr">
        <is>
          <t>'000073844898</t>
        </is>
      </c>
      <c r="Q42" s="91" t="inlineStr">
        <is>
          <t>'ООО "Кимкано-Сутарский ГОК"</t>
        </is>
      </c>
      <c r="R42" s="91" t="inlineStr">
        <is>
          <t>ГК "Петропавловск"</t>
        </is>
      </c>
      <c r="S42" s="87" t="n">
        <v>14113</v>
      </c>
      <c r="T42" s="87" t="n">
        <v>68615954</v>
      </c>
      <c r="U42" s="88" t="n">
        <v>198</v>
      </c>
      <c r="V42" s="88" t="n">
        <v>0</v>
      </c>
      <c r="W42" s="87" t="n">
        <v>21496288</v>
      </c>
      <c r="X42" s="112" t="n">
        <v>72</v>
      </c>
      <c r="Y42" s="112" t="inlineStr">
        <is>
          <t>маршрутная</t>
        </is>
      </c>
      <c r="Z42" s="113" t="n">
        <v>11</v>
      </c>
      <c r="AA42" s="113" t="n">
        <v>11</v>
      </c>
      <c r="AB42" s="113" t="n">
        <v>4</v>
      </c>
      <c r="AC42" s="161" t="n">
        <v>1645.58</v>
      </c>
      <c r="AD42" s="161">
        <f>AE42-AC42</f>
        <v/>
      </c>
      <c r="AE42" s="161" t="n">
        <v>2627.33</v>
      </c>
      <c r="AF42" s="162">
        <f>(Z42+AA42+AB42)*'Ставки аренды'!$B$2/X42</f>
        <v/>
      </c>
      <c r="AG42" s="163" t="n">
        <v>0</v>
      </c>
      <c r="AH42" s="164" t="n">
        <v>0</v>
      </c>
      <c r="AI42" s="165">
        <f>14214890/21228111*AVERAGE(AJ40,AJ41)</f>
        <v/>
      </c>
      <c r="AJ42" s="166">
        <f>Цены!$D$14</f>
        <v/>
      </c>
      <c r="AK42" s="164">
        <f>AJ42/Цены!$B$1</f>
        <v/>
      </c>
      <c r="AL42" s="164">
        <f>AE42+AF42+AG42</f>
        <v/>
      </c>
      <c r="AM42" s="164">
        <f>AJ42-AL42</f>
        <v/>
      </c>
      <c r="AN42" s="164">
        <f>AI42+AH42+AG42+AF42+AE42</f>
        <v/>
      </c>
      <c r="AO42" s="167">
        <f>(AJ42-AN42)/AJ42</f>
        <v/>
      </c>
      <c r="AP42" s="168">
        <f>AL42/AJ42</f>
        <v/>
      </c>
      <c r="AQ42" s="168">
        <f>AE42/AJ42</f>
        <v/>
      </c>
      <c r="AR42" s="168">
        <f>AE42/AL42</f>
        <v/>
      </c>
      <c r="AS42" s="169" t="n">
        <v>1</v>
      </c>
      <c r="AT42" s="121">
        <f>S42*AS42</f>
        <v/>
      </c>
      <c r="AU42" s="83" t="n">
        <v>0.75</v>
      </c>
      <c r="AV42" s="170">
        <f>(AJ42-(AE42*(1+$IS$2)+AF42+AG42+AH42+AI42))/AJ42</f>
        <v/>
      </c>
      <c r="AW42" s="171">
        <f>(AE42*(1+$IS$2)+AF42+AG42)/AJ42</f>
        <v/>
      </c>
      <c r="AX42" s="171">
        <f>(AE42*(1+$IS$2))/AJ42</f>
        <v/>
      </c>
      <c r="AY42" s="171">
        <f>(AE42*(1+$IS$2))/(AE42*(1+$IS$2)+AF42+AG42)</f>
        <v/>
      </c>
      <c r="AZ42" s="172">
        <f>MIN(IF($AU42=100%,1,1+VLOOKUP(($AJ42-$AI42-$AH42-$AG42-$AF42-$AE42*(1+AZ$3))/$AJ42,'Технический лист'!$M:$N,2,1)-VLOOKUP($AO42,'Технический лист'!$M:$N,2,1)),1+(1-$AU42))</f>
        <v/>
      </c>
      <c r="BA42" s="172">
        <f>MIN(IF($AU42=100%,1,1+VLOOKUP(($AJ42-$AI42-$AH42-$AG42-$AF42-$AE42*(1+BA$3))/$AJ42,'Технический лист'!$M:$N,2,1)-VLOOKUP($AO42,'Технический лист'!$M:$N,2,1)),1+(1-$AU42))</f>
        <v/>
      </c>
      <c r="BB42" s="172">
        <f>MIN(IF($AU42=100%,1,1+VLOOKUP(($AJ42-$AI42-$AH42-$AG42-$AF42-$AE42*(1+BB$3))/$AJ42,'Технический лист'!$M:$N,2,1)-VLOOKUP($AO42,'Технический лист'!$M:$N,2,1)),1+(1-$AU42))</f>
        <v/>
      </c>
      <c r="BC42" s="172">
        <f>MIN(IF($AU42=100%,1,1+VLOOKUP(($AJ42-$AI42-$AH42-$AG42-$AF42-$AE42*(1+BC$3))/$AJ42,'Технический лист'!$M:$N,2,1)-VLOOKUP($AO42,'Технический лист'!$M:$N,2,1)),1+(1-$AU42))</f>
        <v/>
      </c>
      <c r="BD42" s="172">
        <f>MIN(IF($AU42=100%,1,1+VLOOKUP(($AJ42-$AI42-$AH42-$AG42-$AF42-$AE42*(1+BD$3))/$AJ42,'Технический лист'!$M:$N,2,1)-VLOOKUP($AO42,'Технический лист'!$M:$N,2,1)),1+(1-$AU42))</f>
        <v/>
      </c>
      <c r="BE42" s="172">
        <f>MIN(IF($AU42=100%,1,1+VLOOKUP(($AJ42-$AI42-$AH42-$AG42-$AF42-$AE42*(1+BE$3))/$AJ42,'Технический лист'!$M:$N,2,1)-VLOOKUP($AO42,'Технический лист'!$M:$N,2,1)),1+(1-$AU42))</f>
        <v/>
      </c>
      <c r="BF42" s="172">
        <f>MIN(IF($AU42=100%,1,1+VLOOKUP(($AJ42-$AI42-$AH42-$AG42-$AF42-$AE42*(1+BF$3))/$AJ42,'Технический лист'!$M:$N,2,1)-VLOOKUP($AO42,'Технический лист'!$M:$N,2,1)),1+(1-$AU42))</f>
        <v/>
      </c>
      <c r="BG42" s="172">
        <f>MIN(IF($AU42=100%,1,1+VLOOKUP(($AJ42-$AI42-$AH42-$AG42-$AF42-$AE42*(1+BG$3))/$AJ42,'Технический лист'!$M:$N,2,1)-VLOOKUP($AO42,'Технический лист'!$M:$N,2,1)),1+(1-$AU42))</f>
        <v/>
      </c>
      <c r="BH42" s="172">
        <f>MIN(IF($AU42=100%,1,1+VLOOKUP(($AJ42-$AI42-$AH42-$AG42-$AF42-$AE42*(1+BH$3))/$AJ42,'Технический лист'!$M:$N,2,1)-VLOOKUP($AO42,'Технический лист'!$M:$N,2,1)),1+(1-$AU42))</f>
        <v/>
      </c>
      <c r="BI42" s="172">
        <f>MIN(IF($AU42=100%,1,1+VLOOKUP(($AJ42-$AI42-$AH42-$AG42-$AF42-$AE42*(1+BI$3))/$AJ42,'Технический лист'!$M:$N,2,1)-VLOOKUP($AO42,'Технический лист'!$M:$N,2,1)),1+(1-$AU42))</f>
        <v/>
      </c>
      <c r="BJ42" s="172">
        <f>MIN(IF($AU42=100%,1,1+VLOOKUP(($AJ42-$AI42-$AH42-$AG42-$AF42-$AE42*(1+BJ$3))/$AJ42,'Технический лист'!$M:$N,2,1)-VLOOKUP($AO42,'Технический лист'!$M:$N,2,1)),1+(1-$AU42))</f>
        <v/>
      </c>
      <c r="BK42" s="172">
        <f>MIN(IF($AU42=100%,1,1+VLOOKUP(($AJ42-$AI42-$AH42-$AG42-$AF42-$AE42*(1+BK$3))/$AJ42,'Технический лист'!$M:$N,2,1)-VLOOKUP($AO42,'Технический лист'!$M:$N,2,1)),1+(1-$AU42))</f>
        <v/>
      </c>
      <c r="BL42" s="172">
        <f>MIN(IF($AU42=100%,1,1+VLOOKUP(($AJ42-$AI42-$AH42-$AG42-$AF42-$AE42*(1+BL$3))/$AJ42,'Технический лист'!$M:$N,2,1)-VLOOKUP($AO42,'Технический лист'!$M:$N,2,1)),1+(1-$AU42))</f>
        <v/>
      </c>
      <c r="BM42" s="172">
        <f>MIN(IF($AU42=100%,1,1+VLOOKUP(($AJ42-$AI42-$AH42-$AG42-$AF42-$AE42*(1+BM$3))/$AJ42,'Технический лист'!$M:$N,2,1)-VLOOKUP($AO42,'Технический лист'!$M:$N,2,1)),1+(1-$AU42))</f>
        <v/>
      </c>
      <c r="BN42" s="172">
        <f>MIN(IF($AU42=100%,1,1+VLOOKUP(($AJ42-$AI42-$AH42-$AG42-$AF42-$AE42*(1+BN$3))/$AJ42,'Технический лист'!$M:$N,2,1)-VLOOKUP($AO42,'Технический лист'!$M:$N,2,1)),1+(1-$AU42))</f>
        <v/>
      </c>
      <c r="BO42" s="172">
        <f>MIN(IF($AU42=100%,1,1+VLOOKUP(($AJ42-$AI42-$AH42-$AG42-$AF42-$AE42*(1+BO$3))/$AJ42,'Технический лист'!$M:$N,2,1)-VLOOKUP($AO42,'Технический лист'!$M:$N,2,1)),1+(1-$AU42))</f>
        <v/>
      </c>
      <c r="BP42" s="172">
        <f>MIN(IF($AU42=100%,1,1+VLOOKUP(($AJ42-$AI42-$AH42-$AG42-$AF42-$AE42*(1+BP$3))/$AJ42,'Технический лист'!$M:$N,2,1)-VLOOKUP($AO42,'Технический лист'!$M:$N,2,1)),1+(1-$AU42))</f>
        <v/>
      </c>
      <c r="BQ42" s="172">
        <f>MIN(IF($AU42=100%,1,1+VLOOKUP(($AJ42-$AI42-$AH42-$AG42-$AF42-$AE42*(1+BQ$3))/$AJ42,'Технический лист'!$M:$N,2,1)-VLOOKUP($AO42,'Технический лист'!$M:$N,2,1)),1+(1-$AU42))</f>
        <v/>
      </c>
      <c r="BR42" s="172">
        <f>MIN(IF($AU42=100%,1,1+VLOOKUP(($AJ42-$AI42-$AH42-$AG42-$AF42-$AE42*(1+BR$3))/$AJ42,'Технический лист'!$M:$N,2,1)-VLOOKUP($AO42,'Технический лист'!$M:$N,2,1)),1+(1-$AU42))</f>
        <v/>
      </c>
      <c r="BS42" s="172">
        <f>MIN(IF($AU42=100%,1,1+VLOOKUP(($AJ42-$AI42-$AH42-$AG42-$AF42-$AE42*(1+BS$3))/$AJ42,'Технический лист'!$M:$N,2,1)-VLOOKUP($AO42,'Технический лист'!$M:$N,2,1)),1+(1-$AU42))</f>
        <v/>
      </c>
      <c r="BT42" s="172">
        <f>MIN(IF($AU42=100%,1,1+VLOOKUP(($AJ42-$AI42-$AH42-$AG42-$AF42-$AE42*(1+BT$3))/$AJ42,'Технический лист'!$M:$N,2,1)-VLOOKUP($AO42,'Технический лист'!$M:$N,2,1)),1+(1-$AU42))</f>
        <v/>
      </c>
      <c r="BU42" s="172">
        <f>MIN(IF($AU42=100%,1,1+VLOOKUP(($AJ42-$AI42-$AH42-$AG42-$AF42-$AE42*(1+BU$3))/$AJ42,'Технический лист'!$M:$N,2,1)-VLOOKUP($AO42,'Технический лист'!$M:$N,2,1)),1+(1-$AU42))</f>
        <v/>
      </c>
      <c r="BV42" s="172">
        <f>MIN(IF($AU42=100%,1,1+VLOOKUP(($AJ42-$AI42-$AH42-$AG42-$AF42-$AE42*(1+BV$3))/$AJ42,'Технический лист'!$M:$N,2,1)-VLOOKUP($AO42,'Технический лист'!$M:$N,2,1)),1+(1-$AU42))</f>
        <v/>
      </c>
      <c r="BW42" s="172">
        <f>MIN(IF($AU42=100%,1,1+VLOOKUP(($AJ42-$AI42-$AH42-$AG42-$AF42-$AE42*(1+BW$3))/$AJ42,'Технический лист'!$M:$N,2,1)-VLOOKUP($AO42,'Технический лист'!$M:$N,2,1)),1+(1-$AU42))</f>
        <v/>
      </c>
      <c r="BX42" s="172">
        <f>MIN(IF($AU42=100%,1,1+VLOOKUP(($AJ42-$AI42-$AH42-$AG42-$AF42-$AE42*(1+BX$3))/$AJ42,'Технический лист'!$M:$N,2,1)-VLOOKUP($AO42,'Технический лист'!$M:$N,2,1)),1+(1-$AU42))</f>
        <v/>
      </c>
      <c r="BY42" s="172">
        <f>MIN(IF($AU42=100%,1,1+VLOOKUP(($AJ42-$AI42-$AH42-$AG42-$AF42-$AE42*(1+BY$3))/$AJ42,'Технический лист'!$M:$N,2,1)-VLOOKUP($AO42,'Технический лист'!$M:$N,2,1)),1+(1-$AU42))</f>
        <v/>
      </c>
      <c r="BZ42" s="172">
        <f>MIN(IF($AU42=100%,1,1+VLOOKUP(($AJ42-$AI42-$AH42-$AG42-$AF42-$AE42*(1+BZ$3))/$AJ42,'Технический лист'!$M:$N,2,1)-VLOOKUP($AO42,'Технический лист'!$M:$N,2,1)),1+(1-$AU42))</f>
        <v/>
      </c>
      <c r="CA42" s="172">
        <f>MIN(IF($AU42=100%,1,1+VLOOKUP(($AJ42-$AI42-$AH42-$AG42-$AF42-$AE42*(1+CA$3))/$AJ42,'Технический лист'!$M:$N,2,1)-VLOOKUP($AO42,'Технический лист'!$M:$N,2,1)),1+(1-$AU42))</f>
        <v/>
      </c>
      <c r="CB42" s="172">
        <f>MIN(IF($AU42=100%,1,1+VLOOKUP(($AJ42-$AI42-$AH42-$AG42-$AF42-$AE42*(1+CB$3))/$AJ42,'Технический лист'!$M:$N,2,1)-VLOOKUP($AO42,'Технический лист'!$M:$N,2,1)),1+(1-$AU42))</f>
        <v/>
      </c>
      <c r="CC42" s="172">
        <f>MIN(IF($AU42=100%,1,1+VLOOKUP(($AJ42-$AI42-$AH42-$AG42-$AF42-$AE42*(1+CC$3))/$AJ42,'Технический лист'!$M:$N,2,1)-VLOOKUP($AO42,'Технический лист'!$M:$N,2,1)),1+(1-$AU42))</f>
        <v/>
      </c>
      <c r="CD42" s="172">
        <f>MIN(IF($AU42=100%,1,1+VLOOKUP(($AJ42-$AI42-$AH42-$AG42-$AF42-$AE42*(1+CD$3))/$AJ42,'Технический лист'!$M:$N,2,1)-VLOOKUP($AO42,'Технический лист'!$M:$N,2,1)),1+(1-$AU42))</f>
        <v/>
      </c>
      <c r="CE42" s="172">
        <f>MIN(IF($AU42=100%,1,1+VLOOKUP(($AJ42-$AI42-$AH42-$AG42-$AF42-$AE42*(1+CE$3))/$AJ42,'Технический лист'!$M:$N,2,1)-VLOOKUP($AO42,'Технический лист'!$M:$N,2,1)),1+(1-$AU42))</f>
        <v/>
      </c>
      <c r="CF42" s="172">
        <f>MIN(IF($AU42=100%,1,1+VLOOKUP(($AJ42-$AI42-$AH42-$AG42-$AF42-$AE42*(1+CF$3))/$AJ42,'Технический лист'!$M:$N,2,1)-VLOOKUP($AO42,'Технический лист'!$M:$N,2,1)),1+(1-$AU42))</f>
        <v/>
      </c>
      <c r="CG42" s="172">
        <f>MIN(IF($AU42=100%,1,1+VLOOKUP(($AJ42-$AI42-$AH42-$AG42-$AF42-$AE42*(1+CG$3))/$AJ42,'Технический лист'!$M:$N,2,1)-VLOOKUP($AO42,'Технический лист'!$M:$N,2,1)),1+(1-$AU42))</f>
        <v/>
      </c>
      <c r="CH42" s="172">
        <f>MIN(IF($AU42=100%,1,1+VLOOKUP(($AJ42-$AI42-$AH42-$AG42-$AF42-$AE42*(1+CH$3))/$AJ42,'Технический лист'!$M:$N,2,1)-VLOOKUP($AO42,'Технический лист'!$M:$N,2,1)),1+(1-$AU42))</f>
        <v/>
      </c>
      <c r="CI42" s="172">
        <f>MIN(IF($AU42=100%,1,1+VLOOKUP(($AJ42-$AI42-$AH42-$AG42-$AF42-$AE42*(1+CI$3))/$AJ42,'Технический лист'!$M:$N,2,1)-VLOOKUP($AO42,'Технический лист'!$M:$N,2,1)),1+(1-$AU42))</f>
        <v/>
      </c>
      <c r="CJ42" s="172">
        <f>MIN(IF($AU42=100%,1,1+VLOOKUP(($AJ42-$AI42-$AH42-$AG42-$AF42-$AE42*(1+CJ$3))/$AJ42,'Технический лист'!$M:$N,2,1)-VLOOKUP($AO42,'Технический лист'!$M:$N,2,1)),1+(1-$AU42))</f>
        <v/>
      </c>
      <c r="CK42" s="172">
        <f>MIN(IF($AU42=100%,1,1+VLOOKUP(($AJ42-$AI42-$AH42-$AG42-$AF42-$AE42*(1+CK$3))/$AJ42,'Технический лист'!$M:$N,2,1)-VLOOKUP($AO42,'Технический лист'!$M:$N,2,1)),1+(1-$AU42))</f>
        <v/>
      </c>
      <c r="CL42" s="172">
        <f>MIN(IF($AU42=100%,1,1+VLOOKUP(($AJ42-$AI42-$AH42-$AG42-$AF42-$AE42*(1+CL$3))/$AJ42,'Технический лист'!$M:$N,2,1)-VLOOKUP($AO42,'Технический лист'!$M:$N,2,1)),1+(1-$AU42))</f>
        <v/>
      </c>
      <c r="CM42" s="172">
        <f>MIN(IF($AU42=100%,1,1+VLOOKUP(($AJ42-$AI42-$AH42-$AG42-$AF42-$AE42*(1+CM$3))/$AJ42,'Технический лист'!$M:$N,2,1)-VLOOKUP($AO42,'Технический лист'!$M:$N,2,1)),1+(1-$AU42))</f>
        <v/>
      </c>
      <c r="CN42" s="172">
        <f>MIN(IF($AU42=100%,1,1+VLOOKUP(($AJ42-$AI42-$AH42-$AG42-$AF42-$AE42*(1+CN$3))/$AJ42,'Технический лист'!$M:$N,2,1)-VLOOKUP($AO42,'Технический лист'!$M:$N,2,1)),1+(1-$AU42))</f>
        <v/>
      </c>
      <c r="CO42" s="172">
        <f>MIN(IF($AU42=100%,1,1+VLOOKUP(($AJ42-$AI42-$AH42-$AG42-$AF42-$AE42*(1+CO$3))/$AJ42,'Технический лист'!$M:$N,2,1)-VLOOKUP($AO42,'Технический лист'!$M:$N,2,1)),1+(1-$AU42))</f>
        <v/>
      </c>
      <c r="CP42" s="172">
        <f>MIN(IF($AU42=100%,1,1+VLOOKUP(($AJ42-$AI42-$AH42-$AG42-$AF42-$AE42*(1+CP$3))/$AJ42,'Технический лист'!$M:$N,2,1)-VLOOKUP($AO42,'Технический лист'!$M:$N,2,1)),1+(1-$AU42))</f>
        <v/>
      </c>
      <c r="CQ42" s="172">
        <f>MIN(IF($AU42=100%,1,1+VLOOKUP(($AJ42-$AI42-$AH42-$AG42-$AF42-$AE42*(1+CQ$3))/$AJ42,'Технический лист'!$M:$N,2,1)-VLOOKUP($AO42,'Технический лист'!$M:$N,2,1)),1+(1-$AU42))</f>
        <v/>
      </c>
      <c r="CR42" s="172">
        <f>MIN(IF($AU42=100%,1,1+VLOOKUP(($AJ42-$AI42-$AH42-$AG42-$AF42-$AE42*(1+CR$3))/$AJ42,'Технический лист'!$M:$N,2,1)-VLOOKUP($AO42,'Технический лист'!$M:$N,2,1)),1+(1-$AU42))</f>
        <v/>
      </c>
      <c r="CS42" s="172">
        <f>MIN(IF($AU42=100%,1,1+VLOOKUP(($AJ42-$AI42-$AH42-$AG42-$AF42-$AE42*(1+CS$3))/$AJ42,'Технический лист'!$M:$N,2,1)-VLOOKUP($AO42,'Технический лист'!$M:$N,2,1)),1+(1-$AU42))</f>
        <v/>
      </c>
      <c r="CT42" s="172">
        <f>MIN(IF($AU42=100%,1,1+VLOOKUP(($AJ42-$AI42-$AH42-$AG42-$AF42-$AE42*(1+CT$3))/$AJ42,'Технический лист'!$M:$N,2,1)-VLOOKUP($AO42,'Технический лист'!$M:$N,2,1)),1+(1-$AU42))</f>
        <v/>
      </c>
      <c r="CU42" s="172">
        <f>MIN(IF($AU42=100%,1,1+VLOOKUP(($AJ42-$AI42-$AH42-$AG42-$AF42-$AE42*(1+CU$3))/$AJ42,'Технический лист'!$M:$N,2,1)-VLOOKUP($AO42,'Технический лист'!$M:$N,2,1)),1+(1-$AU42))</f>
        <v/>
      </c>
      <c r="CV42" s="172">
        <f>MIN(IF($AU42=100%,1,1+VLOOKUP(($AJ42-$AI42-$AH42-$AG42-$AF42-$AE42*(1+CV$3))/$AJ42,'Технический лист'!$M:$N,2,1)-VLOOKUP($AO42,'Технический лист'!$M:$N,2,1)),1+(1-$AU42))</f>
        <v/>
      </c>
      <c r="CW42" s="172">
        <f>MIN(IF($AU42=100%,1,1+VLOOKUP(($AJ42-$AI42-$AH42-$AG42-$AF42-$AE42*(1+CW$3))/$AJ42,'Технический лист'!$M:$N,2,1)-VLOOKUP($AO42,'Технический лист'!$M:$N,2,1)),1+(1-$AU42))</f>
        <v/>
      </c>
      <c r="CX42" s="172">
        <f>MIN(IF($AU42=100%,1,1+VLOOKUP(($AJ42-$AI42-$AH42-$AG42-$AF42-$AE42*(1+CX$3))/$AJ42,'Технический лист'!$M:$N,2,1)-VLOOKUP($AO42,'Технический лист'!$M:$N,2,1)),1+(1-$AU42))</f>
        <v/>
      </c>
      <c r="CY42" s="172">
        <f>MIN(IF($AU42=100%,1,1+VLOOKUP(($AJ42-$AI42-$AH42-$AG42-$AF42-$AE42*(1+CY$3))/$AJ42,'Технический лист'!$M:$N,2,1)-VLOOKUP($AO42,'Технический лист'!$M:$N,2,1)),1+(1-$AU42))</f>
        <v/>
      </c>
      <c r="CZ42" s="172">
        <f>MIN(IF($AU42=100%,1,1+VLOOKUP(($AJ42-$AI42-$AH42-$AG42-$AF42-$AE42*(1+CZ$3))/$AJ42,'Технический лист'!$M:$N,2,1)-VLOOKUP($AO42,'Технический лист'!$M:$N,2,1)),1+(1-$AU42))</f>
        <v/>
      </c>
      <c r="DA42" s="172">
        <f>MIN(IF($AU42=100%,1,1+VLOOKUP(($AJ42-$AI42-$AH42-$AG42-$AF42-$AE42*(1+DA$3))/$AJ42,'Технический лист'!$M:$N,2,1)-VLOOKUP($AO42,'Технический лист'!$M:$N,2,1)),1+(1-$AU42))</f>
        <v/>
      </c>
      <c r="DB42" s="172">
        <f>MIN(IF($AU42=100%,1,1+VLOOKUP(($AJ42-$AI42-$AH42-$AG42-$AF42-$AE42*(1+DB$3))/$AJ42,'Технический лист'!$M:$N,2,1)-VLOOKUP($AO42,'Технический лист'!$M:$N,2,1)),1+(1-$AU42))</f>
        <v/>
      </c>
      <c r="DC42" s="172">
        <f>MIN(IF($AU42=100%,1,1+VLOOKUP(($AJ42-$AI42-$AH42-$AG42-$AF42-$AE42*(1+DC$3))/$AJ42,'Технический лист'!$M:$N,2,1)-VLOOKUP($AO42,'Технический лист'!$M:$N,2,1)),1+(1-$AU42))</f>
        <v/>
      </c>
      <c r="DD42" s="172">
        <f>MIN(IF($AU42=100%,1,1+VLOOKUP(($AJ42-$AI42-$AH42-$AG42-$AF42-$AE42*(1+DD$3))/$AJ42,'Технический лист'!$M:$N,2,1)-VLOOKUP($AO42,'Технический лист'!$M:$N,2,1)),1+(1-$AU42))</f>
        <v/>
      </c>
      <c r="DE42" s="172">
        <f>MIN(IF($AU42=100%,1,1+VLOOKUP(($AJ42-$AI42-$AH42-$AG42-$AF42-$AE42*(1+DE$3))/$AJ42,'Технический лист'!$M:$N,2,1)-VLOOKUP($AO42,'Технический лист'!$M:$N,2,1)),1+(1-$AU42))</f>
        <v/>
      </c>
      <c r="DF42" s="172">
        <f>MIN(IF($AU42=100%,1,1+VLOOKUP(($AJ42-$AI42-$AH42-$AG42-$AF42-$AE42*(1+DF$3))/$AJ42,'Технический лист'!$M:$N,2,1)-VLOOKUP($AO42,'Технический лист'!$M:$N,2,1)),1+(1-$AU42))</f>
        <v/>
      </c>
      <c r="DG42" s="172">
        <f>MIN(IF($AU42=100%,1,1+VLOOKUP(($AJ42-$AI42-$AH42-$AG42-$AF42-$AE42*(1+DG$3))/$AJ42,'Технический лист'!$M:$N,2,1)-VLOOKUP($AO42,'Технический лист'!$M:$N,2,1)),1+(1-$AU42))</f>
        <v/>
      </c>
      <c r="DH42" s="172">
        <f>MIN(IF($AU42=100%,1,1+VLOOKUP(($AJ42-$AI42-$AH42-$AG42-$AF42-$AE42*(1+DH$3))/$AJ42,'Технический лист'!$M:$N,2,1)-VLOOKUP($AO42,'Технический лист'!$M:$N,2,1)),1+(1-$AU42))</f>
        <v/>
      </c>
      <c r="DI42" s="172">
        <f>MIN(IF($AU42=100%,1,1+VLOOKUP(($AJ42-$AI42-$AH42-$AG42-$AF42-$AE42*(1+DI$3))/$AJ42,'Технический лист'!$M:$N,2,1)-VLOOKUP($AO42,'Технический лист'!$M:$N,2,1)),1+(1-$AU42))</f>
        <v/>
      </c>
      <c r="DJ42" s="172">
        <f>MIN(IF($AU42=100%,1,1+VLOOKUP(($AJ42-$AI42-$AH42-$AG42-$AF42-$AE42*(1+DJ$3))/$AJ42,'Технический лист'!$M:$N,2,1)-VLOOKUP($AO42,'Технический лист'!$M:$N,2,1)),1+(1-$AU42))</f>
        <v/>
      </c>
      <c r="DK42" s="172">
        <f>MIN(IF($AU42=100%,1,1+VLOOKUP(($AJ42-$AI42-$AH42-$AG42-$AF42-$AE42*(1+DK$3))/$AJ42,'Технический лист'!$M:$N,2,1)-VLOOKUP($AO42,'Технический лист'!$M:$N,2,1)),1+(1-$AU42))</f>
        <v/>
      </c>
      <c r="DL42" s="172">
        <f>MIN(IF($AU42=100%,1,1+VLOOKUP(($AJ42-$AI42-$AH42-$AG42-$AF42-$AE42*(1+DL$3))/$AJ42,'Технический лист'!$M:$N,2,1)-VLOOKUP($AO42,'Технический лист'!$M:$N,2,1)),1+(1-$AU42))</f>
        <v/>
      </c>
      <c r="DM42" s="172">
        <f>MIN(IF($AU42=100%,1,1+VLOOKUP(($AJ42-$AI42-$AH42-$AG42-$AF42-$AE42*(1+DM$3))/$AJ42,'Технический лист'!$M:$N,2,1)-VLOOKUP($AO42,'Технический лист'!$M:$N,2,1)),1+(1-$AU42))</f>
        <v/>
      </c>
      <c r="DN42" s="172">
        <f>MIN(IF($AU42=100%,1,1+VLOOKUP(($AJ42-$AI42-$AH42-$AG42-$AF42-$AE42*(1+DN$3))/$AJ42,'Технический лист'!$M:$N,2,1)-VLOOKUP($AO42,'Технический лист'!$M:$N,2,1)),1+(1-$AU42))</f>
        <v/>
      </c>
      <c r="DO42" s="172">
        <f>MIN(IF($AU42=100%,1,1+VLOOKUP(($AJ42-$AI42-$AH42-$AG42-$AF42-$AE42*(1+DO$3))/$AJ42,'Технический лист'!$M:$N,2,1)-VLOOKUP($AO42,'Технический лист'!$M:$N,2,1)),1+(1-$AU42))</f>
        <v/>
      </c>
      <c r="DP42" s="172">
        <f>MIN(IF($AU42=100%,1,1+VLOOKUP(($AJ42-$AI42-$AH42-$AG42-$AF42-$AE42*(1+DP$3))/$AJ42,'Технический лист'!$M:$N,2,1)-VLOOKUP($AO42,'Технический лист'!$M:$N,2,1)),1+(1-$AU42))</f>
        <v/>
      </c>
      <c r="DQ42" s="172">
        <f>MIN(IF($AU42=100%,1,1+VLOOKUP(($AJ42-$AI42-$AH42-$AG42-$AF42-$AE42*(1+DQ$3))/$AJ42,'Технический лист'!$M:$N,2,1)-VLOOKUP($AO42,'Технический лист'!$M:$N,2,1)),1+(1-$AU42))</f>
        <v/>
      </c>
      <c r="DR42" s="172">
        <f>MIN(IF($AU42=100%,1,1+VLOOKUP(($AJ42-$AI42-$AH42-$AG42-$AF42-$AE42*(1+DR$3))/$AJ42,'Технический лист'!$M:$N,2,1)-VLOOKUP($AO42,'Технический лист'!$M:$N,2,1)),1+(1-$AU42))</f>
        <v/>
      </c>
      <c r="DS42" s="172">
        <f>MIN(IF($AU42=100%,1,1+VLOOKUP(($AJ42-$AI42-$AH42-$AG42-$AF42-$AE42*(1+DS$3))/$AJ42,'Технический лист'!$M:$N,2,1)-VLOOKUP($AO42,'Технический лист'!$M:$N,2,1)),1+(1-$AU42))</f>
        <v/>
      </c>
      <c r="DT42" s="172">
        <f>MIN(IF($AU42=100%,1,1+VLOOKUP(($AJ42-$AI42-$AH42-$AG42-$AF42-$AE42*(1+DT$3))/$AJ42,'Технический лист'!$M:$N,2,1)-VLOOKUP($AO42,'Технический лист'!$M:$N,2,1)),1+(1-$AU42))</f>
        <v/>
      </c>
      <c r="DU42" s="172">
        <f>MIN(IF($AU42=100%,1,1+VLOOKUP(($AJ42-$AI42-$AH42-$AG42-$AF42-$AE42*(1+DU$3))/$AJ42,'Технический лист'!$M:$N,2,1)-VLOOKUP($AO42,'Технический лист'!$M:$N,2,1)),1+(1-$AU42))</f>
        <v/>
      </c>
      <c r="DV42" s="172">
        <f>MIN(IF($AU42=100%,1,1+VLOOKUP(($AJ42-$AI42-$AH42-$AG42-$AF42-$AE42*(1+DV$3))/$AJ42,'Технический лист'!$M:$N,2,1)-VLOOKUP($AO42,'Технический лист'!$M:$N,2,1)),1+(1-$AU42))</f>
        <v/>
      </c>
      <c r="DW42" s="172">
        <f>MIN(IF($AU42=100%,1,1+VLOOKUP(($AJ42-$AI42-$AH42-$AG42-$AF42-$AE42*(1+DW$3))/$AJ42,'Технический лист'!$M:$N,2,1)-VLOOKUP($AO42,'Технический лист'!$M:$N,2,1)),1+(1-$AU42))</f>
        <v/>
      </c>
      <c r="DX42" s="172">
        <f>MIN(IF($AU42=100%,1,1+VLOOKUP(($AJ42-$AI42-$AH42-$AG42-$AF42-$AE42*(1+DX$3))/$AJ42,'Технический лист'!$M:$N,2,1)-VLOOKUP($AO42,'Технический лист'!$M:$N,2,1)),1+(1-$AU42))</f>
        <v/>
      </c>
      <c r="DY42" s="172">
        <f>MIN(IF($AU42=100%,1,1+VLOOKUP(($AJ42-$AI42-$AH42-$AG42-$AF42-$AE42*(1+DY$3))/$AJ42,'Технический лист'!$M:$N,2,1)-VLOOKUP($AO42,'Технический лист'!$M:$N,2,1)),1+(1-$AU42))</f>
        <v/>
      </c>
      <c r="DZ42" s="172">
        <f>MIN(IF($AU42=100%,1,1+VLOOKUP(($AJ42-$AI42-$AH42-$AG42-$AF42-$AE42*(1+DZ$3))/$AJ42,'Технический лист'!$M:$N,2,1)-VLOOKUP($AO42,'Технический лист'!$M:$N,2,1)),1+(1-$AU42))</f>
        <v/>
      </c>
      <c r="EA42" s="172">
        <f>MIN(IF($AU42=100%,1,1+VLOOKUP(($AJ42-$AI42-$AH42-$AG42-$AF42-$AE42*(1+EA$3))/$AJ42,'Технический лист'!$M:$N,2,1)-VLOOKUP($AO42,'Технический лист'!$M:$N,2,1)),1+(1-$AU42))</f>
        <v/>
      </c>
      <c r="EB42" s="172">
        <f>MIN(IF($AU42=100%,1,1+VLOOKUP(($AJ42-$AI42-$AH42-$AG42-$AF42-$AE42*(1+EB$3))/$AJ42,'Технический лист'!$M:$N,2,1)-VLOOKUP($AO42,'Технический лист'!$M:$N,2,1)),1+(1-$AU42))</f>
        <v/>
      </c>
      <c r="EC42" s="172">
        <f>MIN(IF($AU42=100%,1,1+VLOOKUP(($AJ42-$AI42-$AH42-$AG42-$AF42-$AE42*(1+EC$3))/$AJ42,'Технический лист'!$M:$N,2,1)-VLOOKUP($AO42,'Технический лист'!$M:$N,2,1)),1+(1-$AU42))</f>
        <v/>
      </c>
      <c r="ED42" s="172">
        <f>MIN(IF($AU42=100%,1,1+VLOOKUP(($AJ42-$AI42-$AH42-$AG42-$AF42-$AE42*(1+ED$3))/$AJ42,'Технический лист'!$M:$N,2,1)-VLOOKUP($AO42,'Технический лист'!$M:$N,2,1)),1+(1-$AU42))</f>
        <v/>
      </c>
      <c r="EE42" s="172">
        <f>MIN(IF($AU42=100%,1,1+VLOOKUP(($AJ42-$AI42-$AH42-$AG42-$AF42-$AE42*(1+EE$3))/$AJ42,'Технический лист'!$M:$N,2,1)-VLOOKUP($AO42,'Технический лист'!$M:$N,2,1)),1+(1-$AU42))</f>
        <v/>
      </c>
      <c r="EF42" s="172">
        <f>MIN(IF($AU42=100%,1,1+VLOOKUP(($AJ42-$AI42-$AH42-$AG42-$AF42-$AE42*(1+EF$3))/$AJ42,'Технический лист'!$M:$N,2,1)-VLOOKUP($AO42,'Технический лист'!$M:$N,2,1)),1+(1-$AU42))</f>
        <v/>
      </c>
      <c r="EG42" s="172">
        <f>MIN(IF($AU42=100%,1,1+VLOOKUP(($AJ42-$AI42-$AH42-$AG42-$AF42-$AE42*(1+EG$3))/$AJ42,'Технический лист'!$M:$N,2,1)-VLOOKUP($AO42,'Технический лист'!$M:$N,2,1)),1+(1-$AU42))</f>
        <v/>
      </c>
      <c r="EH42" s="172">
        <f>MIN(IF($AU42=100%,1,1+VLOOKUP(($AJ42-$AI42-$AH42-$AG42-$AF42-$AE42*(1+EH$3))/$AJ42,'Технический лист'!$M:$N,2,1)-VLOOKUP($AO42,'Технический лист'!$M:$N,2,1)),1+(1-$AU42))</f>
        <v/>
      </c>
      <c r="EI42" s="172">
        <f>MIN(IF($AU42=100%,1,1+VLOOKUP(($AJ42-$AI42-$AH42-$AG42-$AF42-$AE42*(1+EI$3))/$AJ42,'Технический лист'!$M:$N,2,1)-VLOOKUP($AO42,'Технический лист'!$M:$N,2,1)),1+(1-$AU42))</f>
        <v/>
      </c>
      <c r="EJ42" s="172">
        <f>MIN(IF($AU42=100%,1,1+VLOOKUP(($AJ42-$AI42-$AH42-$AG42-$AF42-$AE42*(1+EJ$3))/$AJ42,'Технический лист'!$M:$N,2,1)-VLOOKUP($AO42,'Технический лист'!$M:$N,2,1)),1+(1-$AU42))</f>
        <v/>
      </c>
      <c r="EK42" s="172">
        <f>MIN(IF($AU42=100%,1,1+VLOOKUP(($AJ42-$AI42-$AH42-$AG42-$AF42-$AE42*(1+EK$3))/$AJ42,'Технический лист'!$M:$N,2,1)-VLOOKUP($AO42,'Технический лист'!$M:$N,2,1)),1+(1-$AU42))</f>
        <v/>
      </c>
      <c r="EL42" s="172">
        <f>MIN(IF($AU42=100%,1,1+VLOOKUP(($AJ42-$AI42-$AH42-$AG42-$AF42-$AE42*(1+EL$3))/$AJ42,'Технический лист'!$M:$N,2,1)-VLOOKUP($AO42,'Технический лист'!$M:$N,2,1)),1+(1-$AU42))</f>
        <v/>
      </c>
      <c r="EM42" s="172">
        <f>MIN(IF($AU42=100%,1,1+VLOOKUP(($AJ42-$AI42-$AH42-$AG42-$AF42-$AE42*(1+EM$3))/$AJ42,'Технический лист'!$M:$N,2,1)-VLOOKUP($AO42,'Технический лист'!$M:$N,2,1)),1+(1-$AU42))</f>
        <v/>
      </c>
      <c r="EN42" s="172">
        <f>MIN(IF($AU42=100%,1,1+VLOOKUP(($AJ42-$AI42-$AH42-$AG42-$AF42-$AE42*(1+EN$3))/$AJ42,'Технический лист'!$M:$N,2,1)-VLOOKUP($AO42,'Технический лист'!$M:$N,2,1)),1+(1-$AU42))</f>
        <v/>
      </c>
      <c r="EO42" s="172">
        <f>MIN(IF($AU42=100%,1,1+VLOOKUP(($AJ42-$AI42-$AH42-$AG42-$AF42-$AE42*(1+EO$3))/$AJ42,'Технический лист'!$M:$N,2,1)-VLOOKUP($AO42,'Технический лист'!$M:$N,2,1)),1+(1-$AU42))</f>
        <v/>
      </c>
      <c r="EP42" s="172">
        <f>MIN(IF($AU42=100%,1,1+VLOOKUP(($AJ42-$AI42-$AH42-$AG42-$AF42-$AE42*(1+EP$3))/$AJ42,'Технический лист'!$M:$N,2,1)-VLOOKUP($AO42,'Технический лист'!$M:$N,2,1)),1+(1-$AU42))</f>
        <v/>
      </c>
      <c r="EQ42" s="172">
        <f>MIN(IF($AU42=100%,1,1+VLOOKUP(($AJ42-$AI42-$AH42-$AG42-$AF42-$AE42*(1+EQ$3))/$AJ42,'Технический лист'!$M:$N,2,1)-VLOOKUP($AO42,'Технический лист'!$M:$N,2,1)),1+(1-$AU42))</f>
        <v/>
      </c>
      <c r="ER42" s="172">
        <f>MIN(IF($AU42=100%,1,1+VLOOKUP(($AJ42-$AI42-$AH42-$AG42-$AF42-$AE42*(1+ER$3))/$AJ42,'Технический лист'!$M:$N,2,1)-VLOOKUP($AO42,'Технический лист'!$M:$N,2,1)),1+(1-$AU42))</f>
        <v/>
      </c>
      <c r="ES42" s="172">
        <f>MIN(IF($AU42=100%,1,1+VLOOKUP(($AJ42-$AI42-$AH42-$AG42-$AF42-$AE42*(1+ES$3))/$AJ42,'Технический лист'!$M:$N,2,1)-VLOOKUP($AO42,'Технический лист'!$M:$N,2,1)),1+(1-$AU42))</f>
        <v/>
      </c>
      <c r="ET42" s="172">
        <f>MIN(IF($AU42=100%,1,1+VLOOKUP(($AJ42-$AI42-$AH42-$AG42-$AF42-$AE42*(1+ET$3))/$AJ42,'Технический лист'!$M:$N,2,1)-VLOOKUP($AO42,'Технический лист'!$M:$N,2,1)),1+(1-$AU42))</f>
        <v/>
      </c>
      <c r="EU42" s="172">
        <f>MIN(IF($AU42=100%,1,1+VLOOKUP(($AJ42-$AI42-$AH42-$AG42-$AF42-$AE42*(1+EU$3))/$AJ42,'Технический лист'!$M:$N,2,1)-VLOOKUP($AO42,'Технический лист'!$M:$N,2,1)),1+(1-$AU42))</f>
        <v/>
      </c>
      <c r="EV42" s="173" t="n">
        <v>1</v>
      </c>
      <c r="EW42" s="172">
        <f>MIN(1,MAX(VLOOKUP(($AJ42-$AI42-$AH42-$AG42-$AF42-$AE42*(1+EW$3))/$AJ42,'Технический лист'!$M:$N,2,1),(EV42-0.05)))</f>
        <v/>
      </c>
      <c r="EX42" s="172">
        <f>MIN(1,MAX(VLOOKUP(($AJ42-$AI42-$AH42-$AG42-$AF42-$AE42*(1+EX$3))/$AJ42,'Технический лист'!$M:$N,2,1),(EW42-0.05)))</f>
        <v/>
      </c>
      <c r="EY42" s="172">
        <f>MIN(1,MAX(VLOOKUP(($AJ42-$AI42-$AH42-$AG42-$AF42-$AE42*(1+EY$3))/$AJ42,'Технический лист'!$M:$N,2,1),(EX42-0.05)))</f>
        <v/>
      </c>
      <c r="EZ42" s="172">
        <f>MIN(1,MAX(VLOOKUP(($AJ42-$AI42-$AH42-$AG42-$AF42-$AE42*(1+EZ$3))/$AJ42,'Технический лист'!$M:$N,2,1),(EY42-0.05)))</f>
        <v/>
      </c>
      <c r="FA42" s="172">
        <f>MIN(1,MAX(VLOOKUP(($AJ42-$AI42-$AH42-$AG42-$AF42-$AE42*(1+FA$3))/$AJ42,'Технический лист'!$M:$N,2,1),(EZ42-0.05)))</f>
        <v/>
      </c>
      <c r="FB42" s="172">
        <f>MIN(1,MAX(VLOOKUP(($AJ42-$AI42-$AH42-$AG42-$AF42-$AE42*(1+FB$3))/$AJ42,'Технический лист'!$M:$N,2,1),(FA42-0.05)))</f>
        <v/>
      </c>
      <c r="FC42" s="172">
        <f>MIN(1,MAX(VLOOKUP(($AJ42-$AI42-$AH42-$AG42-$AF42-$AE42*(1+FC$3))/$AJ42,'Технический лист'!$M:$N,2,1),(FB42-0.05)))</f>
        <v/>
      </c>
      <c r="FD42" s="172">
        <f>MIN(1,MAX(VLOOKUP(($AJ42-$AI42-$AH42-$AG42-$AF42-$AE42*(1+FD$3))/$AJ42,'Технический лист'!$M:$N,2,1),(FC42-0.05)))</f>
        <v/>
      </c>
      <c r="FE42" s="172">
        <f>MIN(1,MAX(VLOOKUP(($AJ42-$AI42-$AH42-$AG42-$AF42-$AE42*(1+FE$3))/$AJ42,'Технический лист'!$M:$N,2,1),(FD42-0.05)))</f>
        <v/>
      </c>
      <c r="FF42" s="172">
        <f>MIN(1,MAX(VLOOKUP(($AJ42-$AI42-$AH42-$AG42-$AF42-$AE42*(1+FF$3))/$AJ42,'Технический лист'!$M:$N,2,1),(FE42-0.05)))</f>
        <v/>
      </c>
      <c r="FG42" s="172">
        <f>MIN(1,MAX(VLOOKUP(($AJ42-$AI42-$AH42-$AG42-$AF42-$AE42*(1+FG$3))/$AJ42,'Технический лист'!$M:$N,2,1),(FF42-0.05)))</f>
        <v/>
      </c>
      <c r="FH42" s="172">
        <f>MIN(1,MAX(VLOOKUP(($AJ42-$AI42-$AH42-$AG42-$AF42-$AE42*(1+FH$3))/$AJ42,'Технический лист'!$M:$N,2,1),(FG42-0.05)))</f>
        <v/>
      </c>
      <c r="FI42" s="172">
        <f>MIN(1,MAX(VLOOKUP(($AJ42-$AI42-$AH42-$AG42-$AF42-$AE42*(1+FI$3))/$AJ42,'Технический лист'!$M:$N,2,1),(FH42-0.05)))</f>
        <v/>
      </c>
      <c r="FJ42" s="172">
        <f>MIN(1,MAX(VLOOKUP(($AJ42-$AI42-$AH42-$AG42-$AF42-$AE42*(1+FJ$3))/$AJ42,'Технический лист'!$M:$N,2,1),(FI42-0.05)))</f>
        <v/>
      </c>
      <c r="FK42" s="172">
        <f>MIN(1,MAX(VLOOKUP(($AJ42-$AI42-$AH42-$AG42-$AF42-$AE42*(1+FK$3))/$AJ42,'Технический лист'!$M:$N,2,1),(FJ42-0.05)))</f>
        <v/>
      </c>
      <c r="FL42" s="172">
        <f>MIN(1,MAX(VLOOKUP(($AJ42-$AI42-$AH42-$AG42-$AF42-$AE42*(1+FL$3))/$AJ42,'Технический лист'!$M:$N,2,1),(FK42-0.05)))</f>
        <v/>
      </c>
      <c r="FM42" s="172">
        <f>MIN(1,MAX(VLOOKUP(($AJ42-$AI42-$AH42-$AG42-$AF42-$AE42*(1+FM$3))/$AJ42,'Технический лист'!$M:$N,2,1),(FL42-0.05)))</f>
        <v/>
      </c>
      <c r="FN42" s="172">
        <f>MIN(1,MAX(VLOOKUP(($AJ42-$AI42-$AH42-$AG42-$AF42-$AE42*(1+FN$3))/$AJ42,'Технический лист'!$M:$N,2,1),(FM42-0.05)))</f>
        <v/>
      </c>
      <c r="FO42" s="172">
        <f>MIN(1,MAX(VLOOKUP(($AJ42-$AI42-$AH42-$AG42-$AF42-$AE42*(1+FO$3))/$AJ42,'Технический лист'!$M:$N,2,1),(FN42-0.05)))</f>
        <v/>
      </c>
      <c r="FP42" s="172">
        <f>MIN(1,MAX(VLOOKUP(($AJ42-$AI42-$AH42-$AG42-$AF42-$AE42*(1+FP$3))/$AJ42,'Технический лист'!$M:$N,2,1),(FO42-0.05)))</f>
        <v/>
      </c>
      <c r="FQ42" s="172">
        <f>MIN(1,MAX(VLOOKUP(($AJ42-$AI42-$AH42-$AG42-$AF42-$AE42*(1+FQ$3))/$AJ42,'Технический лист'!$M:$N,2,1),(FP42-0.05)))</f>
        <v/>
      </c>
      <c r="FR42" s="172">
        <f>MIN(1,MAX(VLOOKUP(($AJ42-$AI42-$AH42-$AG42-$AF42-$AE42*(1+FR$3))/$AJ42,'Технический лист'!$M:$N,2,1),(FQ42-0.05)))</f>
        <v/>
      </c>
      <c r="FS42" s="172">
        <f>MIN(1,MAX(VLOOKUP(($AJ42-$AI42-$AH42-$AG42-$AF42-$AE42*(1+FS$3))/$AJ42,'Технический лист'!$M:$N,2,1),(FR42-0.05)))</f>
        <v/>
      </c>
      <c r="FT42" s="172">
        <f>MIN(1,MAX(VLOOKUP(($AJ42-$AI42-$AH42-$AG42-$AF42-$AE42*(1+FT$3))/$AJ42,'Технический лист'!$M:$N,2,1),(FS42-0.05)))</f>
        <v/>
      </c>
      <c r="FU42" s="172">
        <f>MIN(1,MAX(VLOOKUP(($AJ42-$AI42-$AH42-$AG42-$AF42-$AE42*(1+FU$3))/$AJ42,'Технический лист'!$M:$N,2,1),(FT42-0.05)))</f>
        <v/>
      </c>
      <c r="FV42" s="172">
        <f>MIN(1,MAX(VLOOKUP(($AJ42-$AI42-$AH42-$AG42-$AF42-$AE42*(1+FV$3))/$AJ42,'Технический лист'!$M:$N,2,1),(FU42-0.05)))</f>
        <v/>
      </c>
      <c r="FW42" s="172">
        <f>MIN(1,MAX(VLOOKUP(($AJ42-$AI42-$AH42-$AG42-$AF42-$AE42*(1+FW$3))/$AJ42,'Технический лист'!$M:$N,2,1),(FV42-0.05)))</f>
        <v/>
      </c>
      <c r="FX42" s="172">
        <f>MIN(1,MAX(VLOOKUP(($AJ42-$AI42-$AH42-$AG42-$AF42-$AE42*(1+FX$3))/$AJ42,'Технический лист'!$M:$N,2,1),(FW42-0.05)))</f>
        <v/>
      </c>
      <c r="FY42" s="172">
        <f>MIN(1,MAX(VLOOKUP(($AJ42-$AI42-$AH42-$AG42-$AF42-$AE42*(1+FY$3))/$AJ42,'Технический лист'!$M:$N,2,1),(FX42-0.05)))</f>
        <v/>
      </c>
      <c r="FZ42" s="172">
        <f>MIN(1,MAX(VLOOKUP(($AJ42-$AI42-$AH42-$AG42-$AF42-$AE42*(1+FZ$3))/$AJ42,'Технический лист'!$M:$N,2,1),(FY42-0.05)))</f>
        <v/>
      </c>
      <c r="GA42" s="172">
        <f>MIN(1,MAX(VLOOKUP(($AJ42-$AI42-$AH42-$AG42-$AF42-$AE42*(1+GA$3))/$AJ42,'Технический лист'!$M:$N,2,1),(FZ42-0.05)))</f>
        <v/>
      </c>
      <c r="GB42" s="172">
        <f>MIN(1,MAX(VLOOKUP(($AJ42-$AI42-$AH42-$AG42-$AF42-$AE42*(1+GB$3))/$AJ42,'Технический лист'!$M:$N,2,1),(GA42-0.05)))</f>
        <v/>
      </c>
      <c r="GC42" s="172">
        <f>MIN(1,MAX(VLOOKUP(($AJ42-$AI42-$AH42-$AG42-$AF42-$AE42*(1+GC$3))/$AJ42,'Технический лист'!$M:$N,2,1),(GB42-0.05)))</f>
        <v/>
      </c>
      <c r="GD42" s="172">
        <f>MIN(1,MAX(VLOOKUP(($AJ42-$AI42-$AH42-$AG42-$AF42-$AE42*(1+GD$3))/$AJ42,'Технический лист'!$M:$N,2,1),(GC42-0.05)))</f>
        <v/>
      </c>
      <c r="GE42" s="172">
        <f>MIN(1,MAX(VLOOKUP(($AJ42-$AI42-$AH42-$AG42-$AF42-$AE42*(1+GE$3))/$AJ42,'Технический лист'!$M:$N,2,1),(GD42-0.05)))</f>
        <v/>
      </c>
      <c r="GF42" s="172">
        <f>MIN(1,MAX(VLOOKUP(($AJ42-$AI42-$AH42-$AG42-$AF42-$AE42*(1+GF$3))/$AJ42,'Технический лист'!$M:$N,2,1),(GE42-0.05)))</f>
        <v/>
      </c>
      <c r="GG42" s="172">
        <f>MIN(1,MAX(VLOOKUP(($AJ42-$AI42-$AH42-$AG42-$AF42-$AE42*(1+GG$3))/$AJ42,'Технический лист'!$M:$N,2,1),(GF42-0.05)))</f>
        <v/>
      </c>
      <c r="GH42" s="172">
        <f>MIN(1,MAX(VLOOKUP(($AJ42-$AI42-$AH42-$AG42-$AF42-$AE42*(1+GH$3))/$AJ42,'Технический лист'!$M:$N,2,1),(GG42-0.05)))</f>
        <v/>
      </c>
      <c r="GI42" s="172">
        <f>MIN(1,MAX(VLOOKUP(($AJ42-$AI42-$AH42-$AG42-$AF42-$AE42*(1+GI$3))/$AJ42,'Технический лист'!$M:$N,2,1),(GH42-0.05)))</f>
        <v/>
      </c>
      <c r="GJ42" s="172">
        <f>MIN(1,MAX(VLOOKUP(($AJ42-$AI42-$AH42-$AG42-$AF42-$AE42*(1+GJ$3))/$AJ42,'Технический лист'!$M:$N,2,1),(GI42-0.05)))</f>
        <v/>
      </c>
      <c r="GK42" s="172">
        <f>MIN(1,MAX(VLOOKUP(($AJ42-$AI42-$AH42-$AG42-$AF42-$AE42*(1+GK$3))/$AJ42,'Технический лист'!$M:$N,2,1),(GJ42-0.05)))</f>
        <v/>
      </c>
      <c r="GL42" s="172">
        <f>MIN(1,MAX(VLOOKUP(($AJ42-$AI42-$AH42-$AG42-$AF42-$AE42*(1+GL$3))/$AJ42,'Технический лист'!$M:$N,2,1),(GK42-0.05)))</f>
        <v/>
      </c>
      <c r="GM42" s="172">
        <f>MIN(1,MAX(VLOOKUP(($AJ42-$AI42-$AH42-$AG42-$AF42-$AE42*(1+GM$3))/$AJ42,'Технический лист'!$M:$N,2,1),(GL42-0.05)))</f>
        <v/>
      </c>
      <c r="GN42" s="172">
        <f>MIN(1,MAX(VLOOKUP(($AJ42-$AI42-$AH42-$AG42-$AF42-$AE42*(1+GN$3))/$AJ42,'Технический лист'!$M:$N,2,1),(GM42-0.05)))</f>
        <v/>
      </c>
      <c r="GO42" s="172">
        <f>MIN(1,MAX(VLOOKUP(($AJ42-$AI42-$AH42-$AG42-$AF42-$AE42*(1+GO$3))/$AJ42,'Технический лист'!$M:$N,2,1),(GN42-0.05)))</f>
        <v/>
      </c>
      <c r="GP42" s="172">
        <f>MIN(1,MAX(VLOOKUP(($AJ42-$AI42-$AH42-$AG42-$AF42-$AE42*(1+GP$3))/$AJ42,'Технический лист'!$M:$N,2,1),(GO42-0.05)))</f>
        <v/>
      </c>
      <c r="GQ42" s="172">
        <f>MIN(1,MAX(VLOOKUP(($AJ42-$AI42-$AH42-$AG42-$AF42-$AE42*(1+GQ$3))/$AJ42,'Технический лист'!$M:$N,2,1),(GP42-0.05)))</f>
        <v/>
      </c>
      <c r="GR42" s="172">
        <f>MIN(1,MAX(VLOOKUP(($AJ42-$AI42-$AH42-$AG42-$AF42-$AE42*(1+GR$3))/$AJ42,'Технический лист'!$M:$N,2,1),(GQ42-0.05)))</f>
        <v/>
      </c>
      <c r="GS42" s="172">
        <f>MIN(1,MAX(VLOOKUP(($AJ42-$AI42-$AH42-$AG42-$AF42-$AE42*(1+GS$3))/$AJ42,'Технический лист'!$M:$N,2,1),(GR42-0.05)))</f>
        <v/>
      </c>
      <c r="GT42" s="172">
        <f>MIN(1,MAX(VLOOKUP(($AJ42-$AI42-$AH42-$AG42-$AF42-$AE42*(1+GT$3))/$AJ42,'Технический лист'!$M:$N,2,1),(GS42-0.05)))</f>
        <v/>
      </c>
      <c r="GU42" s="172">
        <f>MIN(1,MAX(VLOOKUP(($AJ42-$AI42-$AH42-$AG42-$AF42-$AE42*(1+GU$3))/$AJ42,'Технический лист'!$M:$N,2,1),(GT42-0.05)))</f>
        <v/>
      </c>
      <c r="GV42" s="172">
        <f>MIN(1,MAX(VLOOKUP(($AJ42-$AI42-$AH42-$AG42-$AF42-$AE42*(1+GV$3))/$AJ42,'Технический лист'!$M:$N,2,1),(GU42-0.05)))</f>
        <v/>
      </c>
      <c r="GW42" s="172">
        <f>MIN(1,MAX(VLOOKUP(($AJ42-$AI42-$AH42-$AG42-$AF42-$AE42*(1+GW$3))/$AJ42,'Технический лист'!$M:$N,2,1),(GV42-0.05)))</f>
        <v/>
      </c>
      <c r="GX42" s="172">
        <f>MIN(1,MAX(VLOOKUP(($AJ42-$AI42-$AH42-$AG42-$AF42-$AE42*(1+GX$3))/$AJ42,'Технический лист'!$M:$N,2,1),(GW42-0.05)))</f>
        <v/>
      </c>
      <c r="GY42" s="172">
        <f>MIN(1,MAX(VLOOKUP(($AJ42-$AI42-$AH42-$AG42-$AF42-$AE42*(1+GY$3))/$AJ42,'Технический лист'!$M:$N,2,1),(GX42-0.05)))</f>
        <v/>
      </c>
      <c r="GZ42" s="172">
        <f>MIN(1,MAX(VLOOKUP(($AJ42-$AI42-$AH42-$AG42-$AF42-$AE42*(1+GZ$3))/$AJ42,'Технический лист'!$M:$N,2,1),(GY42-0.05)))</f>
        <v/>
      </c>
      <c r="HA42" s="172">
        <f>MIN(1,MAX(VLOOKUP(($AJ42-$AI42-$AH42-$AG42-$AF42-$AE42*(1+HA$3))/$AJ42,'Технический лист'!$M:$N,2,1),(GZ42-0.05)))</f>
        <v/>
      </c>
      <c r="HB42" s="172">
        <f>MIN(1,MAX(VLOOKUP(($AJ42-$AI42-$AH42-$AG42-$AF42-$AE42*(1+HB$3))/$AJ42,'Технический лист'!$M:$N,2,1),(HA42-0.05)))</f>
        <v/>
      </c>
      <c r="HC42" s="172">
        <f>MIN(1,MAX(VLOOKUP(($AJ42-$AI42-$AH42-$AG42-$AF42-$AE42*(1+HC$3))/$AJ42,'Технический лист'!$M:$N,2,1),(HB42-0.05)))</f>
        <v/>
      </c>
      <c r="HD42" s="172">
        <f>MIN(1,MAX(VLOOKUP(($AJ42-$AI42-$AH42-$AG42-$AF42-$AE42*(1+HD$3))/$AJ42,'Технический лист'!$M:$N,2,1),(HC42-0.05)))</f>
        <v/>
      </c>
      <c r="HE42" s="172">
        <f>MIN(1,MAX(VLOOKUP(($AJ42-$AI42-$AH42-$AG42-$AF42-$AE42*(1+HE$3))/$AJ42,'Технический лист'!$M:$N,2,1),(HD42-0.05)))</f>
        <v/>
      </c>
      <c r="HF42" s="172">
        <f>MIN(1,MAX(VLOOKUP(($AJ42-$AI42-$AH42-$AG42-$AF42-$AE42*(1+HF$3))/$AJ42,'Технический лист'!$M:$N,2,1),(HE42-0.05)))</f>
        <v/>
      </c>
      <c r="HG42" s="172">
        <f>MIN(1,MAX(VLOOKUP(($AJ42-$AI42-$AH42-$AG42-$AF42-$AE42*(1+HG$3))/$AJ42,'Технический лист'!$M:$N,2,1),(HF42-0.05)))</f>
        <v/>
      </c>
      <c r="HH42" s="172">
        <f>MIN(1,MAX(VLOOKUP(($AJ42-$AI42-$AH42-$AG42-$AF42-$AE42*(1+HH$3))/$AJ42,'Технический лист'!$M:$N,2,1),(HG42-0.05)))</f>
        <v/>
      </c>
      <c r="HI42" s="172">
        <f>MIN(1,MAX(VLOOKUP(($AJ42-$AI42-$AH42-$AG42-$AF42-$AE42*(1+HI$3))/$AJ42,'Технический лист'!$M:$N,2,1),(HH42-0.05)))</f>
        <v/>
      </c>
      <c r="HJ42" s="172">
        <f>MIN(1,MAX(VLOOKUP(($AJ42-$AI42-$AH42-$AG42-$AF42-$AE42*(1+HJ$3))/$AJ42,'Технический лист'!$M:$N,2,1),(HI42-0.05)))</f>
        <v/>
      </c>
      <c r="HK42" s="172">
        <f>MIN(1,MAX(VLOOKUP(($AJ42-$AI42-$AH42-$AG42-$AF42-$AE42*(1+HK$3))/$AJ42,'Технический лист'!$M:$N,2,1),(HJ42-0.05)))</f>
        <v/>
      </c>
      <c r="HL42" s="172">
        <f>MIN(1,MAX(VLOOKUP(($AJ42-$AI42-$AH42-$AG42-$AF42-$AE42*(1+HL$3))/$AJ42,'Технический лист'!$M:$N,2,1),(HK42-0.05)))</f>
        <v/>
      </c>
      <c r="HM42" s="172">
        <f>MIN(1,MAX(VLOOKUP(($AJ42-$AI42-$AH42-$AG42-$AF42-$AE42*(1+HM$3))/$AJ42,'Технический лист'!$M:$N,2,1),(HL42-0.05)))</f>
        <v/>
      </c>
      <c r="HN42" s="172">
        <f>MIN(1,MAX(VLOOKUP(($AJ42-$AI42-$AH42-$AG42-$AF42-$AE42*(1+HN$3))/$AJ42,'Технический лист'!$M:$N,2,1),(HM42-0.05)))</f>
        <v/>
      </c>
      <c r="HO42" s="172">
        <f>MIN(1,MAX(VLOOKUP(($AJ42-$AI42-$AH42-$AG42-$AF42-$AE42*(1+HO$3))/$AJ42,'Технический лист'!$M:$N,2,1),(HN42-0.05)))</f>
        <v/>
      </c>
      <c r="HP42" s="172">
        <f>MIN(1,MAX(VLOOKUP(($AJ42-$AI42-$AH42-$AG42-$AF42-$AE42*(1+HP$3))/$AJ42,'Технический лист'!$M:$N,2,1),(HO42-0.05)))</f>
        <v/>
      </c>
      <c r="HQ42" s="172">
        <f>MIN(1,MAX(VLOOKUP(($AJ42-$AI42-$AH42-$AG42-$AF42-$AE42*(1+HQ$3))/$AJ42,'Технический лист'!$M:$N,2,1),(HP42-0.05)))</f>
        <v/>
      </c>
      <c r="HR42" s="172">
        <f>MIN(1,MAX(VLOOKUP(($AJ42-$AI42-$AH42-$AG42-$AF42-$AE42*(1+HR$3))/$AJ42,'Технический лист'!$M:$N,2,1),(HQ42-0.05)))</f>
        <v/>
      </c>
      <c r="HS42" s="172">
        <f>MIN(1,MAX(VLOOKUP(($AJ42-$AI42-$AH42-$AG42-$AF42-$AE42*(1+HS$3))/$AJ42,'Технический лист'!$M:$N,2,1),(HR42-0.05)))</f>
        <v/>
      </c>
      <c r="HT42" s="172">
        <f>MIN(1,MAX(VLOOKUP(($AJ42-$AI42-$AH42-$AG42-$AF42-$AE42*(1+HT$3))/$AJ42,'Технический лист'!$M:$N,2,1),(HS42-0.05)))</f>
        <v/>
      </c>
      <c r="HU42" s="172">
        <f>MIN(1,MAX(VLOOKUP(($AJ42-$AI42-$AH42-$AG42-$AF42-$AE42*(1+HU$3))/$AJ42,'Технический лист'!$M:$N,2,1),(HT42-0.05)))</f>
        <v/>
      </c>
      <c r="HV42" s="172">
        <f>MIN(1,MAX(VLOOKUP(($AJ42-$AI42-$AH42-$AG42-$AF42-$AE42*(1+HV$3))/$AJ42,'Технический лист'!$M:$N,2,1),(HU42-0.05)))</f>
        <v/>
      </c>
      <c r="HW42" s="172">
        <f>MIN(1,MAX(VLOOKUP(($AJ42-$AI42-$AH42-$AG42-$AF42-$AE42*(1+HW$3))/$AJ42,'Технический лист'!$M:$N,2,1),(HV42-0.05)))</f>
        <v/>
      </c>
      <c r="HX42" s="172">
        <f>MIN(1,MAX(VLOOKUP(($AJ42-$AI42-$AH42-$AG42-$AF42-$AE42*(1+HX$3))/$AJ42,'Технический лист'!$M:$N,2,1),(HW42-0.05)))</f>
        <v/>
      </c>
      <c r="HY42" s="172">
        <f>MIN(1,MAX(VLOOKUP(($AJ42-$AI42-$AH42-$AG42-$AF42-$AE42*(1+HY$3))/$AJ42,'Технический лист'!$M:$N,2,1),(HX42-0.05)))</f>
        <v/>
      </c>
      <c r="HZ42" s="172">
        <f>MIN(1,MAX(VLOOKUP(($AJ42-$AI42-$AH42-$AG42-$AF42-$AE42*(1+HZ$3))/$AJ42,'Технический лист'!$M:$N,2,1),(HY42-0.05)))</f>
        <v/>
      </c>
      <c r="IA42" s="172">
        <f>MIN(1,MAX(VLOOKUP(($AJ42-$AI42-$AH42-$AG42-$AF42-$AE42*(1+IA$3))/$AJ42,'Технический лист'!$M:$N,2,1),(HZ42-0.05)))</f>
        <v/>
      </c>
      <c r="IB42" s="172">
        <f>MIN(1,MAX(VLOOKUP(($AJ42-$AI42-$AH42-$AG42-$AF42-$AE42*(1+IB$3))/$AJ42,'Технический лист'!$M:$N,2,1),(IA42-0.05)))</f>
        <v/>
      </c>
      <c r="IC42" s="172">
        <f>MIN(1,MAX(VLOOKUP(($AJ42-$AI42-$AH42-$AG42-$AF42-$AE42*(1+IC$3))/$AJ42,'Технический лист'!$M:$N,2,1),(IB42-0.05)))</f>
        <v/>
      </c>
      <c r="ID42" s="172">
        <f>MIN(1,MAX(VLOOKUP(($AJ42-$AI42-$AH42-$AG42-$AF42-$AE42*(1+ID$3))/$AJ42,'Технический лист'!$M:$N,2,1),(IC42-0.05)))</f>
        <v/>
      </c>
      <c r="IE42" s="172">
        <f>MIN(1,MAX(VLOOKUP(($AJ42-$AI42-$AH42-$AG42-$AF42-$AE42*(1+IE$3))/$AJ42,'Технический лист'!$M:$N,2,1),(ID42-0.05)))</f>
        <v/>
      </c>
      <c r="IF42" s="172">
        <f>MIN(1,MAX(VLOOKUP(($AJ42-$AI42-$AH42-$AG42-$AF42-$AE42*(1+IF$3))/$AJ42,'Технический лист'!$M:$N,2,1),(IE42-0.05)))</f>
        <v/>
      </c>
      <c r="IG42" s="172">
        <f>MIN(1,MAX(VLOOKUP(($AJ42-$AI42-$AH42-$AG42-$AF42-$AE42*(1+IG$3))/$AJ42,'Технический лист'!$M:$N,2,1),(IF42-0.05)))</f>
        <v/>
      </c>
      <c r="IH42" s="172">
        <f>MIN(1,MAX(VLOOKUP(($AJ42-$AI42-$AH42-$AG42-$AF42-$AE42*(1+IH$3))/$AJ42,'Технический лист'!$M:$N,2,1),(IG42-0.05)))</f>
        <v/>
      </c>
      <c r="II42" s="172">
        <f>MIN(1,MAX(VLOOKUP(($AJ42-$AI42-$AH42-$AG42-$AF42-$AE42*(1+II$3))/$AJ42,'Технический лист'!$M:$N,2,1),(IH42-0.05)))</f>
        <v/>
      </c>
      <c r="IJ42" s="172">
        <f>MIN(1,MAX(VLOOKUP(($AJ42-$AI42-$AH42-$AG42-$AF42-$AE42*(1+IJ$3))/$AJ42,'Технический лист'!$M:$N,2,1),(II42-0.05)))</f>
        <v/>
      </c>
      <c r="IK42" s="172">
        <f>MIN(1,MAX(VLOOKUP(($AJ42-$AI42-$AH42-$AG42-$AF42-$AE42*(1+IK$3))/$AJ42,'Технический лист'!$M:$N,2,1),(IJ42-0.05)))</f>
        <v/>
      </c>
      <c r="IL42" s="172">
        <f>MIN(1,MAX(VLOOKUP(($AJ42-$AI42-$AH42-$AG42-$AF42-$AE42*(1+IL$3))/$AJ42,'Технический лист'!$M:$N,2,1),(IK42-0.05)))</f>
        <v/>
      </c>
      <c r="IM42" s="172">
        <f>MIN(1,MAX(VLOOKUP(($AJ42-$AI42-$AH42-$AG42-$AF42-$AE42*(1+IM$3))/$AJ42,'Технический лист'!$M:$N,2,1),(IL42-0.05)))</f>
        <v/>
      </c>
      <c r="IN42" s="172">
        <f>MIN(1,MAX(VLOOKUP(($AJ42-$AI42-$AH42-$AG42-$AF42-$AE42*(1+IN$3))/$AJ42,'Технический лист'!$M:$N,2,1),(IM42-0.05)))</f>
        <v/>
      </c>
      <c r="IO42" s="172">
        <f>MIN(1,MAX(VLOOKUP(($AJ42-$AI42-$AH42-$AG42-$AF42-$AE42*(1+IO$3))/$AJ42,'Технический лист'!$M:$N,2,1),(IN42-0.05)))</f>
        <v/>
      </c>
      <c r="IP42" s="172">
        <f>MIN(1,MAX(VLOOKUP(($AJ42-$AI42-$AH42-$AG42-$AF42-$AE42*(1+IP$3))/$AJ42,'Технический лист'!$M:$N,2,1),(IO42-0.05)))</f>
        <v/>
      </c>
      <c r="IQ42" s="172">
        <f>MIN(1,MAX(VLOOKUP(($AJ42-$AI42-$AH42-$AG42-$AF42-$AE42*(1+IQ$3))/$AJ42,'Технический лист'!$M:$N,2,1),(IP42-0.05)))</f>
        <v/>
      </c>
      <c r="IR42" s="172">
        <f>MIN(1,MAX(VLOOKUP(($AJ42-$AI42-$AH42-$AG42-$AF42-$AE42*(1+IR$3))/$AJ42,'Технический лист'!$M:$N,2,1),(IQ42-0.05)))</f>
        <v/>
      </c>
    </row>
    <row r="43">
      <c r="A43" s="89" t="inlineStr">
        <is>
          <t>ЧМ (сырье)</t>
        </is>
      </c>
      <c r="B43" s="90" t="n">
        <v>4</v>
      </c>
      <c r="C43" s="5" t="inlineStr">
        <is>
          <t>Руды  всякие</t>
        </is>
      </c>
      <c r="D43" s="91" t="n">
        <v>14111</v>
      </c>
      <c r="E43" s="91" t="inlineStr">
        <is>
          <t xml:space="preserve">Окатыши железорудные </t>
        </is>
      </c>
      <c r="F43" s="92" t="inlineStr">
        <is>
          <t>РУДЫ И КОНЦЕНТРАТЫ ЖЕЛЕЗН</t>
        </is>
      </c>
      <c r="G43" s="91" t="inlineStr">
        <is>
          <t>СВР</t>
        </is>
      </c>
      <c r="H43" s="91" t="inlineStr">
        <is>
          <t>СВР</t>
        </is>
      </c>
      <c r="I43" s="91" t="inlineStr">
        <is>
          <t>КАЧКАНАР</t>
        </is>
      </c>
      <c r="J43" s="91" t="inlineStr">
        <is>
          <t>СМЫЧКА</t>
        </is>
      </c>
      <c r="K43" s="91" t="n">
        <v>103</v>
      </c>
      <c r="L43" s="91" t="inlineStr">
        <is>
          <t>Полувагоны</t>
        </is>
      </c>
      <c r="M43" s="91" t="inlineStr">
        <is>
          <t>Внутр. перевозки</t>
        </is>
      </c>
      <c r="N43" s="91" t="inlineStr">
        <is>
          <t>вагонная</t>
        </is>
      </c>
      <c r="O43" s="91" t="inlineStr">
        <is>
          <t xml:space="preserve">Южное </t>
        </is>
      </c>
      <c r="P43" s="89" t="inlineStr">
        <is>
          <t>'000000186938</t>
        </is>
      </c>
      <c r="Q43" s="91" t="inlineStr">
        <is>
          <t>'АО "ЕВРАЗ КГОК"</t>
        </is>
      </c>
      <c r="R43" s="91" t="inlineStr">
        <is>
          <t>ООО "ЕвразХолдинг"</t>
        </is>
      </c>
      <c r="S43" s="87" t="n">
        <v>4335263</v>
      </c>
      <c r="T43" s="87" t="n">
        <v>446525789</v>
      </c>
      <c r="U43" s="88" t="n">
        <v>57758</v>
      </c>
      <c r="V43" s="88" t="n">
        <v>0</v>
      </c>
      <c r="W43" s="87" t="n">
        <v>856392600</v>
      </c>
      <c r="X43" s="112" t="n">
        <v>75</v>
      </c>
      <c r="Y43" s="112" t="inlineStr">
        <is>
          <t>маршрутная</t>
        </is>
      </c>
      <c r="Z43" s="113" t="n">
        <v>3</v>
      </c>
      <c r="AA43" s="113" t="n">
        <v>3</v>
      </c>
      <c r="AB43" s="113" t="n">
        <v>4</v>
      </c>
      <c r="AC43" s="161" t="n">
        <v>203.69</v>
      </c>
      <c r="AD43" s="161">
        <f>AE43-AC43</f>
        <v/>
      </c>
      <c r="AE43" s="161" t="n">
        <v>250.92</v>
      </c>
      <c r="AF43" s="162">
        <f>(Z43+AA43+AB43)*'Ставки аренды'!$B$2/X43</f>
        <v/>
      </c>
      <c r="AG43" s="163" t="n">
        <v>0</v>
      </c>
      <c r="AH43" s="164" t="n">
        <v>0</v>
      </c>
      <c r="AI43" s="165">
        <f>0.71*AVERAGE(AJ43,AJ44)</f>
        <v/>
      </c>
      <c r="AJ43" s="166">
        <f>Цены!$D$12</f>
        <v/>
      </c>
      <c r="AK43" s="164">
        <f>AJ43/Цены!$B$1</f>
        <v/>
      </c>
      <c r="AL43" s="164">
        <f>AE43+AF43+AG43</f>
        <v/>
      </c>
      <c r="AM43" s="164">
        <f>AJ43-AL43</f>
        <v/>
      </c>
      <c r="AN43" s="164">
        <f>AI43+AH43+AG43+AF43+AE43</f>
        <v/>
      </c>
      <c r="AO43" s="167">
        <f>(AJ43-AN43)/AJ43</f>
        <v/>
      </c>
      <c r="AP43" s="168">
        <f>AL43/AJ43</f>
        <v/>
      </c>
      <c r="AQ43" s="168">
        <f>AE43/AJ43</f>
        <v/>
      </c>
      <c r="AR43" s="168">
        <f>AE43/AL43</f>
        <v/>
      </c>
      <c r="AS43" s="169" t="n">
        <v>1</v>
      </c>
      <c r="AT43" s="121">
        <f>S43*AS43</f>
        <v/>
      </c>
      <c r="AU43" s="83" t="inlineStr">
        <is>
          <t>Внутренняя логистика</t>
        </is>
      </c>
      <c r="AV43" s="170">
        <f>(AJ43-(AE43*(1+$IS$2)+AF43+AG43+AH43+AI43))/AJ43</f>
        <v/>
      </c>
      <c r="AW43" s="171">
        <f>(AE43*(1+$IS$2)+AF43+AG43)/AJ43</f>
        <v/>
      </c>
      <c r="AX43" s="171">
        <f>(AE43*(1+$IS$2))/AJ43</f>
        <v/>
      </c>
      <c r="AY43" s="171">
        <f>(AE43*(1+$IS$2))/(AE43*(1+$IS$2)+AF43+AG43)</f>
        <v/>
      </c>
      <c r="AZ43" s="172" t="n">
        <v>1</v>
      </c>
      <c r="BA43" s="172" t="n">
        <v>1</v>
      </c>
      <c r="BB43" s="172" t="n">
        <v>1</v>
      </c>
      <c r="BC43" s="172" t="n">
        <v>1</v>
      </c>
      <c r="BD43" s="172" t="n">
        <v>1</v>
      </c>
      <c r="BE43" s="172" t="n">
        <v>1</v>
      </c>
      <c r="BF43" s="172" t="n">
        <v>1</v>
      </c>
      <c r="BG43" s="172" t="n">
        <v>1</v>
      </c>
      <c r="BH43" s="172" t="n">
        <v>1</v>
      </c>
      <c r="BI43" s="172" t="n">
        <v>1</v>
      </c>
      <c r="BJ43" s="172" t="n">
        <v>1</v>
      </c>
      <c r="BK43" s="172" t="n">
        <v>1</v>
      </c>
      <c r="BL43" s="172" t="n">
        <v>1</v>
      </c>
      <c r="BM43" s="172" t="n">
        <v>1</v>
      </c>
      <c r="BN43" s="172" t="n">
        <v>1</v>
      </c>
      <c r="BO43" s="172" t="n">
        <v>1</v>
      </c>
      <c r="BP43" s="172" t="n">
        <v>1</v>
      </c>
      <c r="BQ43" s="172" t="n">
        <v>1</v>
      </c>
      <c r="BR43" s="172" t="n">
        <v>1</v>
      </c>
      <c r="BS43" s="172" t="n">
        <v>1</v>
      </c>
      <c r="BT43" s="172" t="n">
        <v>1</v>
      </c>
      <c r="BU43" s="172" t="n">
        <v>1</v>
      </c>
      <c r="BV43" s="172" t="n">
        <v>1</v>
      </c>
      <c r="BW43" s="172" t="n">
        <v>1</v>
      </c>
      <c r="BX43" s="172" t="n">
        <v>1</v>
      </c>
      <c r="BY43" s="172" t="n">
        <v>1</v>
      </c>
      <c r="BZ43" s="172" t="n">
        <v>1</v>
      </c>
      <c r="CA43" s="172" t="n">
        <v>1</v>
      </c>
      <c r="CB43" s="172" t="n">
        <v>1</v>
      </c>
      <c r="CC43" s="172" t="n">
        <v>1</v>
      </c>
      <c r="CD43" s="172" t="n">
        <v>1</v>
      </c>
      <c r="CE43" s="172" t="n">
        <v>1</v>
      </c>
      <c r="CF43" s="172" t="n">
        <v>1</v>
      </c>
      <c r="CG43" s="172" t="n">
        <v>1</v>
      </c>
      <c r="CH43" s="172" t="n">
        <v>1</v>
      </c>
      <c r="CI43" s="172" t="n">
        <v>1</v>
      </c>
      <c r="CJ43" s="172" t="n">
        <v>1</v>
      </c>
      <c r="CK43" s="172" t="n">
        <v>1</v>
      </c>
      <c r="CL43" s="172" t="n">
        <v>1</v>
      </c>
      <c r="CM43" s="172" t="n">
        <v>1</v>
      </c>
      <c r="CN43" s="172" t="n">
        <v>1</v>
      </c>
      <c r="CO43" s="172" t="n">
        <v>1</v>
      </c>
      <c r="CP43" s="172" t="n">
        <v>1</v>
      </c>
      <c r="CQ43" s="172" t="n">
        <v>1</v>
      </c>
      <c r="CR43" s="172" t="n">
        <v>1</v>
      </c>
      <c r="CS43" s="172" t="n">
        <v>1</v>
      </c>
      <c r="CT43" s="172" t="n">
        <v>1</v>
      </c>
      <c r="CU43" s="172" t="n">
        <v>1</v>
      </c>
      <c r="CV43" s="172" t="n">
        <v>1</v>
      </c>
      <c r="CW43" s="172" t="n">
        <v>1</v>
      </c>
      <c r="CX43" s="172" t="n">
        <v>1</v>
      </c>
      <c r="CY43" s="172" t="n">
        <v>1</v>
      </c>
      <c r="CZ43" s="172" t="n">
        <v>1</v>
      </c>
      <c r="DA43" s="172" t="n">
        <v>1</v>
      </c>
      <c r="DB43" s="172" t="n">
        <v>1</v>
      </c>
      <c r="DC43" s="172" t="n">
        <v>1</v>
      </c>
      <c r="DD43" s="172" t="n">
        <v>1</v>
      </c>
      <c r="DE43" s="172" t="n">
        <v>1</v>
      </c>
      <c r="DF43" s="172" t="n">
        <v>1</v>
      </c>
      <c r="DG43" s="172" t="n">
        <v>1</v>
      </c>
      <c r="DH43" s="172" t="n">
        <v>1</v>
      </c>
      <c r="DI43" s="172" t="n">
        <v>1</v>
      </c>
      <c r="DJ43" s="172" t="n">
        <v>1</v>
      </c>
      <c r="DK43" s="172" t="n">
        <v>1</v>
      </c>
      <c r="DL43" s="172" t="n">
        <v>1</v>
      </c>
      <c r="DM43" s="172" t="n">
        <v>1</v>
      </c>
      <c r="DN43" s="172" t="n">
        <v>1</v>
      </c>
      <c r="DO43" s="172" t="n">
        <v>1</v>
      </c>
      <c r="DP43" s="172" t="n">
        <v>1</v>
      </c>
      <c r="DQ43" s="172" t="n">
        <v>1</v>
      </c>
      <c r="DR43" s="172" t="n">
        <v>1</v>
      </c>
      <c r="DS43" s="172" t="n">
        <v>1</v>
      </c>
      <c r="DT43" s="172" t="n">
        <v>1</v>
      </c>
      <c r="DU43" s="172" t="n">
        <v>1</v>
      </c>
      <c r="DV43" s="172" t="n">
        <v>1</v>
      </c>
      <c r="DW43" s="172" t="n">
        <v>1</v>
      </c>
      <c r="DX43" s="172" t="n">
        <v>1</v>
      </c>
      <c r="DY43" s="172" t="n">
        <v>1</v>
      </c>
      <c r="DZ43" s="172" t="n">
        <v>1</v>
      </c>
      <c r="EA43" s="172" t="n">
        <v>1</v>
      </c>
      <c r="EB43" s="172" t="n">
        <v>1</v>
      </c>
      <c r="EC43" s="172" t="n">
        <v>1</v>
      </c>
      <c r="ED43" s="172" t="n">
        <v>1</v>
      </c>
      <c r="EE43" s="172" t="n">
        <v>1</v>
      </c>
      <c r="EF43" s="172" t="n">
        <v>1</v>
      </c>
      <c r="EG43" s="172" t="n">
        <v>1</v>
      </c>
      <c r="EH43" s="172" t="n">
        <v>1</v>
      </c>
      <c r="EI43" s="172" t="n">
        <v>1</v>
      </c>
      <c r="EJ43" s="172" t="n">
        <v>1</v>
      </c>
      <c r="EK43" s="172" t="n">
        <v>1</v>
      </c>
      <c r="EL43" s="172" t="n">
        <v>1</v>
      </c>
      <c r="EM43" s="172" t="n">
        <v>1</v>
      </c>
      <c r="EN43" s="172" t="n">
        <v>1</v>
      </c>
      <c r="EO43" s="172" t="n">
        <v>1</v>
      </c>
      <c r="EP43" s="172" t="n">
        <v>1</v>
      </c>
      <c r="EQ43" s="172" t="n">
        <v>1</v>
      </c>
      <c r="ER43" s="172" t="n">
        <v>1</v>
      </c>
      <c r="ES43" s="172" t="n">
        <v>1</v>
      </c>
      <c r="ET43" s="172" t="n">
        <v>1</v>
      </c>
      <c r="EU43" s="172" t="n">
        <v>1</v>
      </c>
      <c r="EV43" s="173" t="n">
        <v>1</v>
      </c>
      <c r="EW43" s="172" t="n">
        <v>1</v>
      </c>
      <c r="EX43" s="172" t="n">
        <v>1</v>
      </c>
      <c r="EY43" s="172" t="n">
        <v>1</v>
      </c>
      <c r="EZ43" s="172" t="n">
        <v>1</v>
      </c>
      <c r="FA43" s="172" t="n">
        <v>1</v>
      </c>
      <c r="FB43" s="172" t="n">
        <v>1</v>
      </c>
      <c r="FC43" s="172" t="n">
        <v>1</v>
      </c>
      <c r="FD43" s="172" t="n">
        <v>1</v>
      </c>
      <c r="FE43" s="172" t="n">
        <v>1</v>
      </c>
      <c r="FF43" s="172" t="n">
        <v>1</v>
      </c>
      <c r="FG43" s="172" t="n">
        <v>1</v>
      </c>
      <c r="FH43" s="172" t="n">
        <v>1</v>
      </c>
      <c r="FI43" s="172" t="n">
        <v>1</v>
      </c>
      <c r="FJ43" s="172" t="n">
        <v>1</v>
      </c>
      <c r="FK43" s="172" t="n">
        <v>1</v>
      </c>
      <c r="FL43" s="172" t="n">
        <v>1</v>
      </c>
      <c r="FM43" s="172" t="n">
        <v>1</v>
      </c>
      <c r="FN43" s="172" t="n">
        <v>1</v>
      </c>
      <c r="FO43" s="172" t="n">
        <v>1</v>
      </c>
      <c r="FP43" s="172" t="n">
        <v>1</v>
      </c>
      <c r="FQ43" s="172" t="n">
        <v>1</v>
      </c>
      <c r="FR43" s="172" t="n">
        <v>1</v>
      </c>
      <c r="FS43" s="172" t="n">
        <v>1</v>
      </c>
      <c r="FT43" s="172" t="n">
        <v>1</v>
      </c>
      <c r="FU43" s="172" t="n">
        <v>1</v>
      </c>
      <c r="FV43" s="172" t="n">
        <v>1</v>
      </c>
      <c r="FW43" s="172" t="n">
        <v>1</v>
      </c>
      <c r="FX43" s="172" t="n">
        <v>1</v>
      </c>
      <c r="FY43" s="172" t="n">
        <v>1</v>
      </c>
      <c r="FZ43" s="172" t="n">
        <v>1</v>
      </c>
      <c r="GA43" s="172" t="n">
        <v>1</v>
      </c>
      <c r="GB43" s="172" t="n">
        <v>1</v>
      </c>
      <c r="GC43" s="172" t="n">
        <v>1</v>
      </c>
      <c r="GD43" s="172" t="n">
        <v>1</v>
      </c>
      <c r="GE43" s="172" t="n">
        <v>1</v>
      </c>
      <c r="GF43" s="172" t="n">
        <v>1</v>
      </c>
      <c r="GG43" s="172" t="n">
        <v>1</v>
      </c>
      <c r="GH43" s="172" t="n">
        <v>1</v>
      </c>
      <c r="GI43" s="172" t="n">
        <v>1</v>
      </c>
      <c r="GJ43" s="172" t="n">
        <v>1</v>
      </c>
      <c r="GK43" s="172" t="n">
        <v>1</v>
      </c>
      <c r="GL43" s="172" t="n">
        <v>1</v>
      </c>
      <c r="GM43" s="172" t="n">
        <v>1</v>
      </c>
      <c r="GN43" s="172" t="n">
        <v>1</v>
      </c>
      <c r="GO43" s="172" t="n">
        <v>1</v>
      </c>
      <c r="GP43" s="172" t="n">
        <v>1</v>
      </c>
      <c r="GQ43" s="172" t="n">
        <v>1</v>
      </c>
      <c r="GR43" s="172" t="n">
        <v>1</v>
      </c>
      <c r="GS43" s="172" t="n">
        <v>1</v>
      </c>
      <c r="GT43" s="172" t="n">
        <v>1</v>
      </c>
      <c r="GU43" s="172" t="n">
        <v>1</v>
      </c>
      <c r="GV43" s="172" t="n">
        <v>1</v>
      </c>
      <c r="GW43" s="172" t="n">
        <v>1</v>
      </c>
      <c r="GX43" s="172" t="n">
        <v>1</v>
      </c>
      <c r="GY43" s="172" t="n">
        <v>1</v>
      </c>
      <c r="GZ43" s="172" t="n">
        <v>1</v>
      </c>
      <c r="HA43" s="172" t="n">
        <v>1</v>
      </c>
      <c r="HB43" s="172" t="n">
        <v>1</v>
      </c>
      <c r="HC43" s="172" t="n">
        <v>1</v>
      </c>
      <c r="HD43" s="172" t="n">
        <v>1</v>
      </c>
      <c r="HE43" s="172" t="n">
        <v>1</v>
      </c>
      <c r="HF43" s="172" t="n">
        <v>1</v>
      </c>
      <c r="HG43" s="172" t="n">
        <v>1</v>
      </c>
      <c r="HH43" s="172" t="n">
        <v>1</v>
      </c>
      <c r="HI43" s="172" t="n">
        <v>1</v>
      </c>
      <c r="HJ43" s="172" t="n">
        <v>1</v>
      </c>
      <c r="HK43" s="172" t="n">
        <v>1</v>
      </c>
      <c r="HL43" s="172" t="n">
        <v>1</v>
      </c>
      <c r="HM43" s="172" t="n">
        <v>1</v>
      </c>
      <c r="HN43" s="172" t="n">
        <v>1</v>
      </c>
      <c r="HO43" s="172" t="n">
        <v>1</v>
      </c>
      <c r="HP43" s="172" t="n">
        <v>1</v>
      </c>
      <c r="HQ43" s="172" t="n">
        <v>1</v>
      </c>
      <c r="HR43" s="172" t="n">
        <v>1</v>
      </c>
      <c r="HS43" s="172" t="n">
        <v>1</v>
      </c>
      <c r="HT43" s="172" t="n">
        <v>1</v>
      </c>
      <c r="HU43" s="172" t="n">
        <v>1</v>
      </c>
      <c r="HV43" s="172" t="n">
        <v>1</v>
      </c>
      <c r="HW43" s="172" t="n">
        <v>1</v>
      </c>
      <c r="HX43" s="172" t="n">
        <v>1</v>
      </c>
      <c r="HY43" s="172" t="n">
        <v>1</v>
      </c>
      <c r="HZ43" s="172" t="n">
        <v>1</v>
      </c>
      <c r="IA43" s="172" t="n">
        <v>1</v>
      </c>
      <c r="IB43" s="172" t="n">
        <v>1</v>
      </c>
      <c r="IC43" s="172" t="n">
        <v>1</v>
      </c>
      <c r="ID43" s="172" t="n">
        <v>1</v>
      </c>
      <c r="IE43" s="172" t="n">
        <v>1</v>
      </c>
      <c r="IF43" s="172" t="n">
        <v>1</v>
      </c>
      <c r="IG43" s="172" t="n">
        <v>1</v>
      </c>
      <c r="IH43" s="172" t="n">
        <v>1</v>
      </c>
      <c r="II43" s="172" t="n">
        <v>1</v>
      </c>
      <c r="IJ43" s="172" t="n">
        <v>1</v>
      </c>
      <c r="IK43" s="172" t="n">
        <v>1</v>
      </c>
      <c r="IL43" s="172" t="n">
        <v>1</v>
      </c>
      <c r="IM43" s="172" t="n">
        <v>1</v>
      </c>
      <c r="IN43" s="172" t="n">
        <v>1</v>
      </c>
      <c r="IO43" s="172" t="n">
        <v>1</v>
      </c>
      <c r="IP43" s="172" t="n">
        <v>1</v>
      </c>
      <c r="IQ43" s="172" t="n">
        <v>1</v>
      </c>
      <c r="IR43" s="172" t="n">
        <v>1</v>
      </c>
    </row>
    <row r="44">
      <c r="A44" s="89" t="inlineStr">
        <is>
          <t>ЧМ (сырье)</t>
        </is>
      </c>
      <c r="B44" s="90" t="n">
        <v>4</v>
      </c>
      <c r="C44" s="5" t="inlineStr">
        <is>
          <t>Руды  всякие</t>
        </is>
      </c>
      <c r="D44" s="91" t="n">
        <v>14111</v>
      </c>
      <c r="E44" s="91" t="inlineStr">
        <is>
          <t xml:space="preserve">Окатыши железорудные </t>
        </is>
      </c>
      <c r="F44" s="92" t="inlineStr">
        <is>
          <t>РУДЫ И КОНЦЕНТРАТЫ ЖЕЛЕЗН</t>
        </is>
      </c>
      <c r="G44" s="91" t="inlineStr">
        <is>
          <t>СВР</t>
        </is>
      </c>
      <c r="H44" s="91" t="inlineStr">
        <is>
          <t>СКВ</t>
        </is>
      </c>
      <c r="I44" s="91" t="inlineStr">
        <is>
          <t>КАЧКАНАР</t>
        </is>
      </c>
      <c r="J44" s="91" t="inlineStr">
        <is>
          <t>НОВОРОСС-ЭКС</t>
        </is>
      </c>
      <c r="K44" s="91" t="n">
        <v>3329</v>
      </c>
      <c r="L44" s="91" t="inlineStr">
        <is>
          <t>Полувагоны</t>
        </is>
      </c>
      <c r="M44" s="91" t="inlineStr">
        <is>
          <t>Экспорт</t>
        </is>
      </c>
      <c r="N44" s="91" t="inlineStr">
        <is>
          <t>вагонная</t>
        </is>
      </c>
      <c r="O44" s="91" t="inlineStr">
        <is>
          <t xml:space="preserve">Южное </t>
        </is>
      </c>
      <c r="P44" s="89" t="inlineStr">
        <is>
          <t>'000000186938</t>
        </is>
      </c>
      <c r="Q44" s="91" t="inlineStr">
        <is>
          <t>'АО "ЕВРАЗ КГОК"</t>
        </is>
      </c>
      <c r="R44" s="91" t="inlineStr">
        <is>
          <t>ООО "ЕвразХолдинг"</t>
        </is>
      </c>
      <c r="S44" s="87" t="n">
        <v>113151</v>
      </c>
      <c r="T44" s="87" t="n">
        <v>376707164</v>
      </c>
      <c r="U44" s="88" t="n">
        <v>1575</v>
      </c>
      <c r="V44" s="88" t="n">
        <v>0</v>
      </c>
      <c r="W44" s="87" t="n">
        <v>148594135</v>
      </c>
      <c r="X44" s="112" t="n">
        <v>69</v>
      </c>
      <c r="Y44" s="112" t="inlineStr">
        <is>
          <t>маршрутная</t>
        </is>
      </c>
      <c r="Z44" s="113" t="n">
        <v>8</v>
      </c>
      <c r="AA44" s="113" t="n">
        <v>8</v>
      </c>
      <c r="AB44" s="113" t="n">
        <v>4</v>
      </c>
      <c r="AC44" s="161" t="n">
        <v>1458.97</v>
      </c>
      <c r="AD44" s="161">
        <f>AE44-AC44</f>
        <v/>
      </c>
      <c r="AE44" s="161" t="n">
        <v>2192.1</v>
      </c>
      <c r="AF44" s="162">
        <f>(Z44+AA44+AB44)*'Ставки аренды'!$B$3/X44</f>
        <v/>
      </c>
      <c r="AG44" s="163">
        <f>'Ставки перевалки'!$B$13</f>
        <v/>
      </c>
      <c r="AH44" s="164" t="n">
        <v>0</v>
      </c>
      <c r="AI44" s="165">
        <f>0.71*AVERAGE(AJ43,AJ44)</f>
        <v/>
      </c>
      <c r="AJ44" s="166">
        <f>Цены!D13</f>
        <v/>
      </c>
      <c r="AK44" s="164">
        <f>AJ44/Цены!$B$1</f>
        <v/>
      </c>
      <c r="AL44" s="164">
        <f>AE44+AF44+AG44</f>
        <v/>
      </c>
      <c r="AM44" s="164">
        <f>AJ44-AL44</f>
        <v/>
      </c>
      <c r="AN44" s="164">
        <f>AI44+AH44+AG44+AF44+AE44</f>
        <v/>
      </c>
      <c r="AO44" s="167">
        <f>(AJ44-AN44)/AJ44</f>
        <v/>
      </c>
      <c r="AP44" s="168">
        <f>AL44/AJ44</f>
        <v/>
      </c>
      <c r="AQ44" s="168">
        <f>AE44/AJ44</f>
        <v/>
      </c>
      <c r="AR44" s="168">
        <f>AE44/AL44</f>
        <v/>
      </c>
      <c r="AS44" s="169" t="n">
        <v>1</v>
      </c>
      <c r="AT44" s="121">
        <f>S44*AS44</f>
        <v/>
      </c>
      <c r="AU44" s="83" t="n">
        <v>0.85</v>
      </c>
      <c r="AV44" s="170">
        <f>(AJ44-(AE44*(1+$IS$2)+AF44+AG44+AH44+AI44))/AJ44</f>
        <v/>
      </c>
      <c r="AW44" s="171">
        <f>(AE44*(1+$IS$2)+AF44+AG44)/AJ44</f>
        <v/>
      </c>
      <c r="AX44" s="171">
        <f>(AE44*(1+$IS$2))/AJ44</f>
        <v/>
      </c>
      <c r="AY44" s="171">
        <f>(AE44*(1+$IS$2))/(AE44*(1+$IS$2)+AF44+AG44)</f>
        <v/>
      </c>
      <c r="AZ44" s="172">
        <f>MIN(IF($AU44=100%,1,1+VLOOKUP(($AJ44-$AI44-$AH44-$AG44-$AF44-$AE44*(1+AZ$3))/$AJ44,'Технический лист'!$M:$N,2,1)-VLOOKUP($AO44,'Технический лист'!$M:$N,2,1)),1+(1-$AU44))</f>
        <v/>
      </c>
      <c r="BA44" s="172">
        <f>MIN(IF($AU44=100%,1,1+VLOOKUP(($AJ44-$AI44-$AH44-$AG44-$AF44-$AE44*(1+BA$3))/$AJ44,'Технический лист'!$M:$N,2,1)-VLOOKUP($AO44,'Технический лист'!$M:$N,2,1)),1+(1-$AU44))</f>
        <v/>
      </c>
      <c r="BB44" s="172">
        <f>MIN(IF($AU44=100%,1,1+VLOOKUP(($AJ44-$AI44-$AH44-$AG44-$AF44-$AE44*(1+BB$3))/$AJ44,'Технический лист'!$M:$N,2,1)-VLOOKUP($AO44,'Технический лист'!$M:$N,2,1)),1+(1-$AU44))</f>
        <v/>
      </c>
      <c r="BC44" s="172">
        <f>MIN(IF($AU44=100%,1,1+VLOOKUP(($AJ44-$AI44-$AH44-$AG44-$AF44-$AE44*(1+BC$3))/$AJ44,'Технический лист'!$M:$N,2,1)-VLOOKUP($AO44,'Технический лист'!$M:$N,2,1)),1+(1-$AU44))</f>
        <v/>
      </c>
      <c r="BD44" s="172">
        <f>MIN(IF($AU44=100%,1,1+VLOOKUP(($AJ44-$AI44-$AH44-$AG44-$AF44-$AE44*(1+BD$3))/$AJ44,'Технический лист'!$M:$N,2,1)-VLOOKUP($AO44,'Технический лист'!$M:$N,2,1)),1+(1-$AU44))</f>
        <v/>
      </c>
      <c r="BE44" s="172">
        <f>MIN(IF($AU44=100%,1,1+VLOOKUP(($AJ44-$AI44-$AH44-$AG44-$AF44-$AE44*(1+BE$3))/$AJ44,'Технический лист'!$M:$N,2,1)-VLOOKUP($AO44,'Технический лист'!$M:$N,2,1)),1+(1-$AU44))</f>
        <v/>
      </c>
      <c r="BF44" s="172">
        <f>MIN(IF($AU44=100%,1,1+VLOOKUP(($AJ44-$AI44-$AH44-$AG44-$AF44-$AE44*(1+BF$3))/$AJ44,'Технический лист'!$M:$N,2,1)-VLOOKUP($AO44,'Технический лист'!$M:$N,2,1)),1+(1-$AU44))</f>
        <v/>
      </c>
      <c r="BG44" s="172">
        <f>MIN(IF($AU44=100%,1,1+VLOOKUP(($AJ44-$AI44-$AH44-$AG44-$AF44-$AE44*(1+BG$3))/$AJ44,'Технический лист'!$M:$N,2,1)-VLOOKUP($AO44,'Технический лист'!$M:$N,2,1)),1+(1-$AU44))</f>
        <v/>
      </c>
      <c r="BH44" s="172">
        <f>MIN(IF($AU44=100%,1,1+VLOOKUP(($AJ44-$AI44-$AH44-$AG44-$AF44-$AE44*(1+BH$3))/$AJ44,'Технический лист'!$M:$N,2,1)-VLOOKUP($AO44,'Технический лист'!$M:$N,2,1)),1+(1-$AU44))</f>
        <v/>
      </c>
      <c r="BI44" s="172">
        <f>MIN(IF($AU44=100%,1,1+VLOOKUP(($AJ44-$AI44-$AH44-$AG44-$AF44-$AE44*(1+BI$3))/$AJ44,'Технический лист'!$M:$N,2,1)-VLOOKUP($AO44,'Технический лист'!$M:$N,2,1)),1+(1-$AU44))</f>
        <v/>
      </c>
      <c r="BJ44" s="172">
        <f>MIN(IF($AU44=100%,1,1+VLOOKUP(($AJ44-$AI44-$AH44-$AG44-$AF44-$AE44*(1+BJ$3))/$AJ44,'Технический лист'!$M:$N,2,1)-VLOOKUP($AO44,'Технический лист'!$M:$N,2,1)),1+(1-$AU44))</f>
        <v/>
      </c>
      <c r="BK44" s="172">
        <f>MIN(IF($AU44=100%,1,1+VLOOKUP(($AJ44-$AI44-$AH44-$AG44-$AF44-$AE44*(1+BK$3))/$AJ44,'Технический лист'!$M:$N,2,1)-VLOOKUP($AO44,'Технический лист'!$M:$N,2,1)),1+(1-$AU44))</f>
        <v/>
      </c>
      <c r="BL44" s="172">
        <f>MIN(IF($AU44=100%,1,1+VLOOKUP(($AJ44-$AI44-$AH44-$AG44-$AF44-$AE44*(1+BL$3))/$AJ44,'Технический лист'!$M:$N,2,1)-VLOOKUP($AO44,'Технический лист'!$M:$N,2,1)),1+(1-$AU44))</f>
        <v/>
      </c>
      <c r="BM44" s="172">
        <f>MIN(IF($AU44=100%,1,1+VLOOKUP(($AJ44-$AI44-$AH44-$AG44-$AF44-$AE44*(1+BM$3))/$AJ44,'Технический лист'!$M:$N,2,1)-VLOOKUP($AO44,'Технический лист'!$M:$N,2,1)),1+(1-$AU44))</f>
        <v/>
      </c>
      <c r="BN44" s="172">
        <f>MIN(IF($AU44=100%,1,1+VLOOKUP(($AJ44-$AI44-$AH44-$AG44-$AF44-$AE44*(1+BN$3))/$AJ44,'Технический лист'!$M:$N,2,1)-VLOOKUP($AO44,'Технический лист'!$M:$N,2,1)),1+(1-$AU44))</f>
        <v/>
      </c>
      <c r="BO44" s="172">
        <f>MIN(IF($AU44=100%,1,1+VLOOKUP(($AJ44-$AI44-$AH44-$AG44-$AF44-$AE44*(1+BO$3))/$AJ44,'Технический лист'!$M:$N,2,1)-VLOOKUP($AO44,'Технический лист'!$M:$N,2,1)),1+(1-$AU44))</f>
        <v/>
      </c>
      <c r="BP44" s="172">
        <f>MIN(IF($AU44=100%,1,1+VLOOKUP(($AJ44-$AI44-$AH44-$AG44-$AF44-$AE44*(1+BP$3))/$AJ44,'Технический лист'!$M:$N,2,1)-VLOOKUP($AO44,'Технический лист'!$M:$N,2,1)),1+(1-$AU44))</f>
        <v/>
      </c>
      <c r="BQ44" s="172">
        <f>MIN(IF($AU44=100%,1,1+VLOOKUP(($AJ44-$AI44-$AH44-$AG44-$AF44-$AE44*(1+BQ$3))/$AJ44,'Технический лист'!$M:$N,2,1)-VLOOKUP($AO44,'Технический лист'!$M:$N,2,1)),1+(1-$AU44))</f>
        <v/>
      </c>
      <c r="BR44" s="172">
        <f>MIN(IF($AU44=100%,1,1+VLOOKUP(($AJ44-$AI44-$AH44-$AG44-$AF44-$AE44*(1+BR$3))/$AJ44,'Технический лист'!$M:$N,2,1)-VLOOKUP($AO44,'Технический лист'!$M:$N,2,1)),1+(1-$AU44))</f>
        <v/>
      </c>
      <c r="BS44" s="172">
        <f>MIN(IF($AU44=100%,1,1+VLOOKUP(($AJ44-$AI44-$AH44-$AG44-$AF44-$AE44*(1+BS$3))/$AJ44,'Технический лист'!$M:$N,2,1)-VLOOKUP($AO44,'Технический лист'!$M:$N,2,1)),1+(1-$AU44))</f>
        <v/>
      </c>
      <c r="BT44" s="172">
        <f>MIN(IF($AU44=100%,1,1+VLOOKUP(($AJ44-$AI44-$AH44-$AG44-$AF44-$AE44*(1+BT$3))/$AJ44,'Технический лист'!$M:$N,2,1)-VLOOKUP($AO44,'Технический лист'!$M:$N,2,1)),1+(1-$AU44))</f>
        <v/>
      </c>
      <c r="BU44" s="172">
        <f>MIN(IF($AU44=100%,1,1+VLOOKUP(($AJ44-$AI44-$AH44-$AG44-$AF44-$AE44*(1+BU$3))/$AJ44,'Технический лист'!$M:$N,2,1)-VLOOKUP($AO44,'Технический лист'!$M:$N,2,1)),1+(1-$AU44))</f>
        <v/>
      </c>
      <c r="BV44" s="172">
        <f>MIN(IF($AU44=100%,1,1+VLOOKUP(($AJ44-$AI44-$AH44-$AG44-$AF44-$AE44*(1+BV$3))/$AJ44,'Технический лист'!$M:$N,2,1)-VLOOKUP($AO44,'Технический лист'!$M:$N,2,1)),1+(1-$AU44))</f>
        <v/>
      </c>
      <c r="BW44" s="172">
        <f>MIN(IF($AU44=100%,1,1+VLOOKUP(($AJ44-$AI44-$AH44-$AG44-$AF44-$AE44*(1+BW$3))/$AJ44,'Технический лист'!$M:$N,2,1)-VLOOKUP($AO44,'Технический лист'!$M:$N,2,1)),1+(1-$AU44))</f>
        <v/>
      </c>
      <c r="BX44" s="172">
        <f>MIN(IF($AU44=100%,1,1+VLOOKUP(($AJ44-$AI44-$AH44-$AG44-$AF44-$AE44*(1+BX$3))/$AJ44,'Технический лист'!$M:$N,2,1)-VLOOKUP($AO44,'Технический лист'!$M:$N,2,1)),1+(1-$AU44))</f>
        <v/>
      </c>
      <c r="BY44" s="172">
        <f>MIN(IF($AU44=100%,1,1+VLOOKUP(($AJ44-$AI44-$AH44-$AG44-$AF44-$AE44*(1+BY$3))/$AJ44,'Технический лист'!$M:$N,2,1)-VLOOKUP($AO44,'Технический лист'!$M:$N,2,1)),1+(1-$AU44))</f>
        <v/>
      </c>
      <c r="BZ44" s="172">
        <f>MIN(IF($AU44=100%,1,1+VLOOKUP(($AJ44-$AI44-$AH44-$AG44-$AF44-$AE44*(1+BZ$3))/$AJ44,'Технический лист'!$M:$N,2,1)-VLOOKUP($AO44,'Технический лист'!$M:$N,2,1)),1+(1-$AU44))</f>
        <v/>
      </c>
      <c r="CA44" s="172">
        <f>MIN(IF($AU44=100%,1,1+VLOOKUP(($AJ44-$AI44-$AH44-$AG44-$AF44-$AE44*(1+CA$3))/$AJ44,'Технический лист'!$M:$N,2,1)-VLOOKUP($AO44,'Технический лист'!$M:$N,2,1)),1+(1-$AU44))</f>
        <v/>
      </c>
      <c r="CB44" s="172">
        <f>MIN(IF($AU44=100%,1,1+VLOOKUP(($AJ44-$AI44-$AH44-$AG44-$AF44-$AE44*(1+CB$3))/$AJ44,'Технический лист'!$M:$N,2,1)-VLOOKUP($AO44,'Технический лист'!$M:$N,2,1)),1+(1-$AU44))</f>
        <v/>
      </c>
      <c r="CC44" s="172">
        <f>MIN(IF($AU44=100%,1,1+VLOOKUP(($AJ44-$AI44-$AH44-$AG44-$AF44-$AE44*(1+CC$3))/$AJ44,'Технический лист'!$M:$N,2,1)-VLOOKUP($AO44,'Технический лист'!$M:$N,2,1)),1+(1-$AU44))</f>
        <v/>
      </c>
      <c r="CD44" s="172">
        <f>MIN(IF($AU44=100%,1,1+VLOOKUP(($AJ44-$AI44-$AH44-$AG44-$AF44-$AE44*(1+CD$3))/$AJ44,'Технический лист'!$M:$N,2,1)-VLOOKUP($AO44,'Технический лист'!$M:$N,2,1)),1+(1-$AU44))</f>
        <v/>
      </c>
      <c r="CE44" s="172">
        <f>MIN(IF($AU44=100%,1,1+VLOOKUP(($AJ44-$AI44-$AH44-$AG44-$AF44-$AE44*(1+CE$3))/$AJ44,'Технический лист'!$M:$N,2,1)-VLOOKUP($AO44,'Технический лист'!$M:$N,2,1)),1+(1-$AU44))</f>
        <v/>
      </c>
      <c r="CF44" s="172">
        <f>MIN(IF($AU44=100%,1,1+VLOOKUP(($AJ44-$AI44-$AH44-$AG44-$AF44-$AE44*(1+CF$3))/$AJ44,'Технический лист'!$M:$N,2,1)-VLOOKUP($AO44,'Технический лист'!$M:$N,2,1)),1+(1-$AU44))</f>
        <v/>
      </c>
      <c r="CG44" s="172">
        <f>MIN(IF($AU44=100%,1,1+VLOOKUP(($AJ44-$AI44-$AH44-$AG44-$AF44-$AE44*(1+CG$3))/$AJ44,'Технический лист'!$M:$N,2,1)-VLOOKUP($AO44,'Технический лист'!$M:$N,2,1)),1+(1-$AU44))</f>
        <v/>
      </c>
      <c r="CH44" s="172">
        <f>MIN(IF($AU44=100%,1,1+VLOOKUP(($AJ44-$AI44-$AH44-$AG44-$AF44-$AE44*(1+CH$3))/$AJ44,'Технический лист'!$M:$N,2,1)-VLOOKUP($AO44,'Технический лист'!$M:$N,2,1)),1+(1-$AU44))</f>
        <v/>
      </c>
      <c r="CI44" s="172">
        <f>MIN(IF($AU44=100%,1,1+VLOOKUP(($AJ44-$AI44-$AH44-$AG44-$AF44-$AE44*(1+CI$3))/$AJ44,'Технический лист'!$M:$N,2,1)-VLOOKUP($AO44,'Технический лист'!$M:$N,2,1)),1+(1-$AU44))</f>
        <v/>
      </c>
      <c r="CJ44" s="172">
        <f>MIN(IF($AU44=100%,1,1+VLOOKUP(($AJ44-$AI44-$AH44-$AG44-$AF44-$AE44*(1+CJ$3))/$AJ44,'Технический лист'!$M:$N,2,1)-VLOOKUP($AO44,'Технический лист'!$M:$N,2,1)),1+(1-$AU44))</f>
        <v/>
      </c>
      <c r="CK44" s="172">
        <f>MIN(IF($AU44=100%,1,1+VLOOKUP(($AJ44-$AI44-$AH44-$AG44-$AF44-$AE44*(1+CK$3))/$AJ44,'Технический лист'!$M:$N,2,1)-VLOOKUP($AO44,'Технический лист'!$M:$N,2,1)),1+(1-$AU44))</f>
        <v/>
      </c>
      <c r="CL44" s="172">
        <f>MIN(IF($AU44=100%,1,1+VLOOKUP(($AJ44-$AI44-$AH44-$AG44-$AF44-$AE44*(1+CL$3))/$AJ44,'Технический лист'!$M:$N,2,1)-VLOOKUP($AO44,'Технический лист'!$M:$N,2,1)),1+(1-$AU44))</f>
        <v/>
      </c>
      <c r="CM44" s="172">
        <f>MIN(IF($AU44=100%,1,1+VLOOKUP(($AJ44-$AI44-$AH44-$AG44-$AF44-$AE44*(1+CM$3))/$AJ44,'Технический лист'!$M:$N,2,1)-VLOOKUP($AO44,'Технический лист'!$M:$N,2,1)),1+(1-$AU44))</f>
        <v/>
      </c>
      <c r="CN44" s="172">
        <f>MIN(IF($AU44=100%,1,1+VLOOKUP(($AJ44-$AI44-$AH44-$AG44-$AF44-$AE44*(1+CN$3))/$AJ44,'Технический лист'!$M:$N,2,1)-VLOOKUP($AO44,'Технический лист'!$M:$N,2,1)),1+(1-$AU44))</f>
        <v/>
      </c>
      <c r="CO44" s="172">
        <f>MIN(IF($AU44=100%,1,1+VLOOKUP(($AJ44-$AI44-$AH44-$AG44-$AF44-$AE44*(1+CO$3))/$AJ44,'Технический лист'!$M:$N,2,1)-VLOOKUP($AO44,'Технический лист'!$M:$N,2,1)),1+(1-$AU44))</f>
        <v/>
      </c>
      <c r="CP44" s="172">
        <f>MIN(IF($AU44=100%,1,1+VLOOKUP(($AJ44-$AI44-$AH44-$AG44-$AF44-$AE44*(1+CP$3))/$AJ44,'Технический лист'!$M:$N,2,1)-VLOOKUP($AO44,'Технический лист'!$M:$N,2,1)),1+(1-$AU44))</f>
        <v/>
      </c>
      <c r="CQ44" s="172">
        <f>MIN(IF($AU44=100%,1,1+VLOOKUP(($AJ44-$AI44-$AH44-$AG44-$AF44-$AE44*(1+CQ$3))/$AJ44,'Технический лист'!$M:$N,2,1)-VLOOKUP($AO44,'Технический лист'!$M:$N,2,1)),1+(1-$AU44))</f>
        <v/>
      </c>
      <c r="CR44" s="172">
        <f>MIN(IF($AU44=100%,1,1+VLOOKUP(($AJ44-$AI44-$AH44-$AG44-$AF44-$AE44*(1+CR$3))/$AJ44,'Технический лист'!$M:$N,2,1)-VLOOKUP($AO44,'Технический лист'!$M:$N,2,1)),1+(1-$AU44))</f>
        <v/>
      </c>
      <c r="CS44" s="172">
        <f>MIN(IF($AU44=100%,1,1+VLOOKUP(($AJ44-$AI44-$AH44-$AG44-$AF44-$AE44*(1+CS$3))/$AJ44,'Технический лист'!$M:$N,2,1)-VLOOKUP($AO44,'Технический лист'!$M:$N,2,1)),1+(1-$AU44))</f>
        <v/>
      </c>
      <c r="CT44" s="172">
        <f>MIN(IF($AU44=100%,1,1+VLOOKUP(($AJ44-$AI44-$AH44-$AG44-$AF44-$AE44*(1+CT$3))/$AJ44,'Технический лист'!$M:$N,2,1)-VLOOKUP($AO44,'Технический лист'!$M:$N,2,1)),1+(1-$AU44))</f>
        <v/>
      </c>
      <c r="CU44" s="172">
        <f>MIN(IF($AU44=100%,1,1+VLOOKUP(($AJ44-$AI44-$AH44-$AG44-$AF44-$AE44*(1+CU$3))/$AJ44,'Технический лист'!$M:$N,2,1)-VLOOKUP($AO44,'Технический лист'!$M:$N,2,1)),1+(1-$AU44))</f>
        <v/>
      </c>
      <c r="CV44" s="172">
        <f>MIN(IF($AU44=100%,1,1+VLOOKUP(($AJ44-$AI44-$AH44-$AG44-$AF44-$AE44*(1+CV$3))/$AJ44,'Технический лист'!$M:$N,2,1)-VLOOKUP($AO44,'Технический лист'!$M:$N,2,1)),1+(1-$AU44))</f>
        <v/>
      </c>
      <c r="CW44" s="172">
        <f>MIN(IF($AU44=100%,1,1+VLOOKUP(($AJ44-$AI44-$AH44-$AG44-$AF44-$AE44*(1+CW$3))/$AJ44,'Технический лист'!$M:$N,2,1)-VLOOKUP($AO44,'Технический лист'!$M:$N,2,1)),1+(1-$AU44))</f>
        <v/>
      </c>
      <c r="CX44" s="172">
        <f>MIN(IF($AU44=100%,1,1+VLOOKUP(($AJ44-$AI44-$AH44-$AG44-$AF44-$AE44*(1+CX$3))/$AJ44,'Технический лист'!$M:$N,2,1)-VLOOKUP($AO44,'Технический лист'!$M:$N,2,1)),1+(1-$AU44))</f>
        <v/>
      </c>
      <c r="CY44" s="172">
        <f>MIN(IF($AU44=100%,1,1+VLOOKUP(($AJ44-$AI44-$AH44-$AG44-$AF44-$AE44*(1+CY$3))/$AJ44,'Технический лист'!$M:$N,2,1)-VLOOKUP($AO44,'Технический лист'!$M:$N,2,1)),1+(1-$AU44))</f>
        <v/>
      </c>
      <c r="CZ44" s="172">
        <f>MIN(IF($AU44=100%,1,1+VLOOKUP(($AJ44-$AI44-$AH44-$AG44-$AF44-$AE44*(1+CZ$3))/$AJ44,'Технический лист'!$M:$N,2,1)-VLOOKUP($AO44,'Технический лист'!$M:$N,2,1)),1+(1-$AU44))</f>
        <v/>
      </c>
      <c r="DA44" s="172">
        <f>MIN(IF($AU44=100%,1,1+VLOOKUP(($AJ44-$AI44-$AH44-$AG44-$AF44-$AE44*(1+DA$3))/$AJ44,'Технический лист'!$M:$N,2,1)-VLOOKUP($AO44,'Технический лист'!$M:$N,2,1)),1+(1-$AU44))</f>
        <v/>
      </c>
      <c r="DB44" s="172">
        <f>MIN(IF($AU44=100%,1,1+VLOOKUP(($AJ44-$AI44-$AH44-$AG44-$AF44-$AE44*(1+DB$3))/$AJ44,'Технический лист'!$M:$N,2,1)-VLOOKUP($AO44,'Технический лист'!$M:$N,2,1)),1+(1-$AU44))</f>
        <v/>
      </c>
      <c r="DC44" s="172">
        <f>MIN(IF($AU44=100%,1,1+VLOOKUP(($AJ44-$AI44-$AH44-$AG44-$AF44-$AE44*(1+DC$3))/$AJ44,'Технический лист'!$M:$N,2,1)-VLOOKUP($AO44,'Технический лист'!$M:$N,2,1)),1+(1-$AU44))</f>
        <v/>
      </c>
      <c r="DD44" s="172">
        <f>MIN(IF($AU44=100%,1,1+VLOOKUP(($AJ44-$AI44-$AH44-$AG44-$AF44-$AE44*(1+DD$3))/$AJ44,'Технический лист'!$M:$N,2,1)-VLOOKUP($AO44,'Технический лист'!$M:$N,2,1)),1+(1-$AU44))</f>
        <v/>
      </c>
      <c r="DE44" s="172">
        <f>MIN(IF($AU44=100%,1,1+VLOOKUP(($AJ44-$AI44-$AH44-$AG44-$AF44-$AE44*(1+DE$3))/$AJ44,'Технический лист'!$M:$N,2,1)-VLOOKUP($AO44,'Технический лист'!$M:$N,2,1)),1+(1-$AU44))</f>
        <v/>
      </c>
      <c r="DF44" s="172">
        <f>MIN(IF($AU44=100%,1,1+VLOOKUP(($AJ44-$AI44-$AH44-$AG44-$AF44-$AE44*(1+DF$3))/$AJ44,'Технический лист'!$M:$N,2,1)-VLOOKUP($AO44,'Технический лист'!$M:$N,2,1)),1+(1-$AU44))</f>
        <v/>
      </c>
      <c r="DG44" s="172">
        <f>MIN(IF($AU44=100%,1,1+VLOOKUP(($AJ44-$AI44-$AH44-$AG44-$AF44-$AE44*(1+DG$3))/$AJ44,'Технический лист'!$M:$N,2,1)-VLOOKUP($AO44,'Технический лист'!$M:$N,2,1)),1+(1-$AU44))</f>
        <v/>
      </c>
      <c r="DH44" s="172">
        <f>MIN(IF($AU44=100%,1,1+VLOOKUP(($AJ44-$AI44-$AH44-$AG44-$AF44-$AE44*(1+DH$3))/$AJ44,'Технический лист'!$M:$N,2,1)-VLOOKUP($AO44,'Технический лист'!$M:$N,2,1)),1+(1-$AU44))</f>
        <v/>
      </c>
      <c r="DI44" s="172">
        <f>MIN(IF($AU44=100%,1,1+VLOOKUP(($AJ44-$AI44-$AH44-$AG44-$AF44-$AE44*(1+DI$3))/$AJ44,'Технический лист'!$M:$N,2,1)-VLOOKUP($AO44,'Технический лист'!$M:$N,2,1)),1+(1-$AU44))</f>
        <v/>
      </c>
      <c r="DJ44" s="172">
        <f>MIN(IF($AU44=100%,1,1+VLOOKUP(($AJ44-$AI44-$AH44-$AG44-$AF44-$AE44*(1+DJ$3))/$AJ44,'Технический лист'!$M:$N,2,1)-VLOOKUP($AO44,'Технический лист'!$M:$N,2,1)),1+(1-$AU44))</f>
        <v/>
      </c>
      <c r="DK44" s="172">
        <f>MIN(IF($AU44=100%,1,1+VLOOKUP(($AJ44-$AI44-$AH44-$AG44-$AF44-$AE44*(1+DK$3))/$AJ44,'Технический лист'!$M:$N,2,1)-VLOOKUP($AO44,'Технический лист'!$M:$N,2,1)),1+(1-$AU44))</f>
        <v/>
      </c>
      <c r="DL44" s="172">
        <f>MIN(IF($AU44=100%,1,1+VLOOKUP(($AJ44-$AI44-$AH44-$AG44-$AF44-$AE44*(1+DL$3))/$AJ44,'Технический лист'!$M:$N,2,1)-VLOOKUP($AO44,'Технический лист'!$M:$N,2,1)),1+(1-$AU44))</f>
        <v/>
      </c>
      <c r="DM44" s="172">
        <f>MIN(IF($AU44=100%,1,1+VLOOKUP(($AJ44-$AI44-$AH44-$AG44-$AF44-$AE44*(1+DM$3))/$AJ44,'Технический лист'!$M:$N,2,1)-VLOOKUP($AO44,'Технический лист'!$M:$N,2,1)),1+(1-$AU44))</f>
        <v/>
      </c>
      <c r="DN44" s="172">
        <f>MIN(IF($AU44=100%,1,1+VLOOKUP(($AJ44-$AI44-$AH44-$AG44-$AF44-$AE44*(1+DN$3))/$AJ44,'Технический лист'!$M:$N,2,1)-VLOOKUP($AO44,'Технический лист'!$M:$N,2,1)),1+(1-$AU44))</f>
        <v/>
      </c>
      <c r="DO44" s="172">
        <f>MIN(IF($AU44=100%,1,1+VLOOKUP(($AJ44-$AI44-$AH44-$AG44-$AF44-$AE44*(1+DO$3))/$AJ44,'Технический лист'!$M:$N,2,1)-VLOOKUP($AO44,'Технический лист'!$M:$N,2,1)),1+(1-$AU44))</f>
        <v/>
      </c>
      <c r="DP44" s="172">
        <f>MIN(IF($AU44=100%,1,1+VLOOKUP(($AJ44-$AI44-$AH44-$AG44-$AF44-$AE44*(1+DP$3))/$AJ44,'Технический лист'!$M:$N,2,1)-VLOOKUP($AO44,'Технический лист'!$M:$N,2,1)),1+(1-$AU44))</f>
        <v/>
      </c>
      <c r="DQ44" s="172">
        <f>MIN(IF($AU44=100%,1,1+VLOOKUP(($AJ44-$AI44-$AH44-$AG44-$AF44-$AE44*(1+DQ$3))/$AJ44,'Технический лист'!$M:$N,2,1)-VLOOKUP($AO44,'Технический лист'!$M:$N,2,1)),1+(1-$AU44))</f>
        <v/>
      </c>
      <c r="DR44" s="172">
        <f>MIN(IF($AU44=100%,1,1+VLOOKUP(($AJ44-$AI44-$AH44-$AG44-$AF44-$AE44*(1+DR$3))/$AJ44,'Технический лист'!$M:$N,2,1)-VLOOKUP($AO44,'Технический лист'!$M:$N,2,1)),1+(1-$AU44))</f>
        <v/>
      </c>
      <c r="DS44" s="172">
        <f>MIN(IF($AU44=100%,1,1+VLOOKUP(($AJ44-$AI44-$AH44-$AG44-$AF44-$AE44*(1+DS$3))/$AJ44,'Технический лист'!$M:$N,2,1)-VLOOKUP($AO44,'Технический лист'!$M:$N,2,1)),1+(1-$AU44))</f>
        <v/>
      </c>
      <c r="DT44" s="172">
        <f>MIN(IF($AU44=100%,1,1+VLOOKUP(($AJ44-$AI44-$AH44-$AG44-$AF44-$AE44*(1+DT$3))/$AJ44,'Технический лист'!$M:$N,2,1)-VLOOKUP($AO44,'Технический лист'!$M:$N,2,1)),1+(1-$AU44))</f>
        <v/>
      </c>
      <c r="DU44" s="172">
        <f>MIN(IF($AU44=100%,1,1+VLOOKUP(($AJ44-$AI44-$AH44-$AG44-$AF44-$AE44*(1+DU$3))/$AJ44,'Технический лист'!$M:$N,2,1)-VLOOKUP($AO44,'Технический лист'!$M:$N,2,1)),1+(1-$AU44))</f>
        <v/>
      </c>
      <c r="DV44" s="172">
        <f>MIN(IF($AU44=100%,1,1+VLOOKUP(($AJ44-$AI44-$AH44-$AG44-$AF44-$AE44*(1+DV$3))/$AJ44,'Технический лист'!$M:$N,2,1)-VLOOKUP($AO44,'Технический лист'!$M:$N,2,1)),1+(1-$AU44))</f>
        <v/>
      </c>
      <c r="DW44" s="172">
        <f>MIN(IF($AU44=100%,1,1+VLOOKUP(($AJ44-$AI44-$AH44-$AG44-$AF44-$AE44*(1+DW$3))/$AJ44,'Технический лист'!$M:$N,2,1)-VLOOKUP($AO44,'Технический лист'!$M:$N,2,1)),1+(1-$AU44))</f>
        <v/>
      </c>
      <c r="DX44" s="172">
        <f>MIN(IF($AU44=100%,1,1+VLOOKUP(($AJ44-$AI44-$AH44-$AG44-$AF44-$AE44*(1+DX$3))/$AJ44,'Технический лист'!$M:$N,2,1)-VLOOKUP($AO44,'Технический лист'!$M:$N,2,1)),1+(1-$AU44))</f>
        <v/>
      </c>
      <c r="DY44" s="172">
        <f>MIN(IF($AU44=100%,1,1+VLOOKUP(($AJ44-$AI44-$AH44-$AG44-$AF44-$AE44*(1+DY$3))/$AJ44,'Технический лист'!$M:$N,2,1)-VLOOKUP($AO44,'Технический лист'!$M:$N,2,1)),1+(1-$AU44))</f>
        <v/>
      </c>
      <c r="DZ44" s="172">
        <f>MIN(IF($AU44=100%,1,1+VLOOKUP(($AJ44-$AI44-$AH44-$AG44-$AF44-$AE44*(1+DZ$3))/$AJ44,'Технический лист'!$M:$N,2,1)-VLOOKUP($AO44,'Технический лист'!$M:$N,2,1)),1+(1-$AU44))</f>
        <v/>
      </c>
      <c r="EA44" s="172">
        <f>MIN(IF($AU44=100%,1,1+VLOOKUP(($AJ44-$AI44-$AH44-$AG44-$AF44-$AE44*(1+EA$3))/$AJ44,'Технический лист'!$M:$N,2,1)-VLOOKUP($AO44,'Технический лист'!$M:$N,2,1)),1+(1-$AU44))</f>
        <v/>
      </c>
      <c r="EB44" s="172">
        <f>MIN(IF($AU44=100%,1,1+VLOOKUP(($AJ44-$AI44-$AH44-$AG44-$AF44-$AE44*(1+EB$3))/$AJ44,'Технический лист'!$M:$N,2,1)-VLOOKUP($AO44,'Технический лист'!$M:$N,2,1)),1+(1-$AU44))</f>
        <v/>
      </c>
      <c r="EC44" s="172">
        <f>MIN(IF($AU44=100%,1,1+VLOOKUP(($AJ44-$AI44-$AH44-$AG44-$AF44-$AE44*(1+EC$3))/$AJ44,'Технический лист'!$M:$N,2,1)-VLOOKUP($AO44,'Технический лист'!$M:$N,2,1)),1+(1-$AU44))</f>
        <v/>
      </c>
      <c r="ED44" s="172">
        <f>MIN(IF($AU44=100%,1,1+VLOOKUP(($AJ44-$AI44-$AH44-$AG44-$AF44-$AE44*(1+ED$3))/$AJ44,'Технический лист'!$M:$N,2,1)-VLOOKUP($AO44,'Технический лист'!$M:$N,2,1)),1+(1-$AU44))</f>
        <v/>
      </c>
      <c r="EE44" s="172">
        <f>MIN(IF($AU44=100%,1,1+VLOOKUP(($AJ44-$AI44-$AH44-$AG44-$AF44-$AE44*(1+EE$3))/$AJ44,'Технический лист'!$M:$N,2,1)-VLOOKUP($AO44,'Технический лист'!$M:$N,2,1)),1+(1-$AU44))</f>
        <v/>
      </c>
      <c r="EF44" s="172">
        <f>MIN(IF($AU44=100%,1,1+VLOOKUP(($AJ44-$AI44-$AH44-$AG44-$AF44-$AE44*(1+EF$3))/$AJ44,'Технический лист'!$M:$N,2,1)-VLOOKUP($AO44,'Технический лист'!$M:$N,2,1)),1+(1-$AU44))</f>
        <v/>
      </c>
      <c r="EG44" s="172">
        <f>MIN(IF($AU44=100%,1,1+VLOOKUP(($AJ44-$AI44-$AH44-$AG44-$AF44-$AE44*(1+EG$3))/$AJ44,'Технический лист'!$M:$N,2,1)-VLOOKUP($AO44,'Технический лист'!$M:$N,2,1)),1+(1-$AU44))</f>
        <v/>
      </c>
      <c r="EH44" s="172">
        <f>MIN(IF($AU44=100%,1,1+VLOOKUP(($AJ44-$AI44-$AH44-$AG44-$AF44-$AE44*(1+EH$3))/$AJ44,'Технический лист'!$M:$N,2,1)-VLOOKUP($AO44,'Технический лист'!$M:$N,2,1)),1+(1-$AU44))</f>
        <v/>
      </c>
      <c r="EI44" s="172">
        <f>MIN(IF($AU44=100%,1,1+VLOOKUP(($AJ44-$AI44-$AH44-$AG44-$AF44-$AE44*(1+EI$3))/$AJ44,'Технический лист'!$M:$N,2,1)-VLOOKUP($AO44,'Технический лист'!$M:$N,2,1)),1+(1-$AU44))</f>
        <v/>
      </c>
      <c r="EJ44" s="172">
        <f>MIN(IF($AU44=100%,1,1+VLOOKUP(($AJ44-$AI44-$AH44-$AG44-$AF44-$AE44*(1+EJ$3))/$AJ44,'Технический лист'!$M:$N,2,1)-VLOOKUP($AO44,'Технический лист'!$M:$N,2,1)),1+(1-$AU44))</f>
        <v/>
      </c>
      <c r="EK44" s="172">
        <f>MIN(IF($AU44=100%,1,1+VLOOKUP(($AJ44-$AI44-$AH44-$AG44-$AF44-$AE44*(1+EK$3))/$AJ44,'Технический лист'!$M:$N,2,1)-VLOOKUP($AO44,'Технический лист'!$M:$N,2,1)),1+(1-$AU44))</f>
        <v/>
      </c>
      <c r="EL44" s="172">
        <f>MIN(IF($AU44=100%,1,1+VLOOKUP(($AJ44-$AI44-$AH44-$AG44-$AF44-$AE44*(1+EL$3))/$AJ44,'Технический лист'!$M:$N,2,1)-VLOOKUP($AO44,'Технический лист'!$M:$N,2,1)),1+(1-$AU44))</f>
        <v/>
      </c>
      <c r="EM44" s="172">
        <f>MIN(IF($AU44=100%,1,1+VLOOKUP(($AJ44-$AI44-$AH44-$AG44-$AF44-$AE44*(1+EM$3))/$AJ44,'Технический лист'!$M:$N,2,1)-VLOOKUP($AO44,'Технический лист'!$M:$N,2,1)),1+(1-$AU44))</f>
        <v/>
      </c>
      <c r="EN44" s="172">
        <f>MIN(IF($AU44=100%,1,1+VLOOKUP(($AJ44-$AI44-$AH44-$AG44-$AF44-$AE44*(1+EN$3))/$AJ44,'Технический лист'!$M:$N,2,1)-VLOOKUP($AO44,'Технический лист'!$M:$N,2,1)),1+(1-$AU44))</f>
        <v/>
      </c>
      <c r="EO44" s="172">
        <f>MIN(IF($AU44=100%,1,1+VLOOKUP(($AJ44-$AI44-$AH44-$AG44-$AF44-$AE44*(1+EO$3))/$AJ44,'Технический лист'!$M:$N,2,1)-VLOOKUP($AO44,'Технический лист'!$M:$N,2,1)),1+(1-$AU44))</f>
        <v/>
      </c>
      <c r="EP44" s="172">
        <f>MIN(IF($AU44=100%,1,1+VLOOKUP(($AJ44-$AI44-$AH44-$AG44-$AF44-$AE44*(1+EP$3))/$AJ44,'Технический лист'!$M:$N,2,1)-VLOOKUP($AO44,'Технический лист'!$M:$N,2,1)),1+(1-$AU44))</f>
        <v/>
      </c>
      <c r="EQ44" s="172">
        <f>MIN(IF($AU44=100%,1,1+VLOOKUP(($AJ44-$AI44-$AH44-$AG44-$AF44-$AE44*(1+EQ$3))/$AJ44,'Технический лист'!$M:$N,2,1)-VLOOKUP($AO44,'Технический лист'!$M:$N,2,1)),1+(1-$AU44))</f>
        <v/>
      </c>
      <c r="ER44" s="172">
        <f>MIN(IF($AU44=100%,1,1+VLOOKUP(($AJ44-$AI44-$AH44-$AG44-$AF44-$AE44*(1+ER$3))/$AJ44,'Технический лист'!$M:$N,2,1)-VLOOKUP($AO44,'Технический лист'!$M:$N,2,1)),1+(1-$AU44))</f>
        <v/>
      </c>
      <c r="ES44" s="172">
        <f>MIN(IF($AU44=100%,1,1+VLOOKUP(($AJ44-$AI44-$AH44-$AG44-$AF44-$AE44*(1+ES$3))/$AJ44,'Технический лист'!$M:$N,2,1)-VLOOKUP($AO44,'Технический лист'!$M:$N,2,1)),1+(1-$AU44))</f>
        <v/>
      </c>
      <c r="ET44" s="172">
        <f>MIN(IF($AU44=100%,1,1+VLOOKUP(($AJ44-$AI44-$AH44-$AG44-$AF44-$AE44*(1+ET$3))/$AJ44,'Технический лист'!$M:$N,2,1)-VLOOKUP($AO44,'Технический лист'!$M:$N,2,1)),1+(1-$AU44))</f>
        <v/>
      </c>
      <c r="EU44" s="172">
        <f>MIN(IF($AU44=100%,1,1+VLOOKUP(($AJ44-$AI44-$AH44-$AG44-$AF44-$AE44*(1+EU$3))/$AJ44,'Технический лист'!$M:$N,2,1)-VLOOKUP($AO44,'Технический лист'!$M:$N,2,1)),1+(1-$AU44))</f>
        <v/>
      </c>
      <c r="EV44" s="173" t="n">
        <v>1</v>
      </c>
      <c r="EW44" s="172">
        <f>MIN(1,MAX(VLOOKUP(($AJ44-$AI44-$AH44-$AG44-$AF44-$AE44*(1+EW$3))/$AJ44,'Технический лист'!$M:$N,2,1),(EV44-0.05)))</f>
        <v/>
      </c>
      <c r="EX44" s="172">
        <f>MIN(1,MAX(VLOOKUP(($AJ44-$AI44-$AH44-$AG44-$AF44-$AE44*(1+EX$3))/$AJ44,'Технический лист'!$M:$N,2,1),(EW44-0.05)))</f>
        <v/>
      </c>
      <c r="EY44" s="172">
        <f>MIN(1,MAX(VLOOKUP(($AJ44-$AI44-$AH44-$AG44-$AF44-$AE44*(1+EY$3))/$AJ44,'Технический лист'!$M:$N,2,1),(EX44-0.05)))</f>
        <v/>
      </c>
      <c r="EZ44" s="172">
        <f>MIN(1,MAX(VLOOKUP(($AJ44-$AI44-$AH44-$AG44-$AF44-$AE44*(1+EZ$3))/$AJ44,'Технический лист'!$M:$N,2,1),(EY44-0.05)))</f>
        <v/>
      </c>
      <c r="FA44" s="172">
        <f>MIN(1,MAX(VLOOKUP(($AJ44-$AI44-$AH44-$AG44-$AF44-$AE44*(1+FA$3))/$AJ44,'Технический лист'!$M:$N,2,1),(EZ44-0.05)))</f>
        <v/>
      </c>
      <c r="FB44" s="172">
        <f>MIN(1,MAX(VLOOKUP(($AJ44-$AI44-$AH44-$AG44-$AF44-$AE44*(1+FB$3))/$AJ44,'Технический лист'!$M:$N,2,1),(FA44-0.05)))</f>
        <v/>
      </c>
      <c r="FC44" s="172">
        <f>MIN(1,MAX(VLOOKUP(($AJ44-$AI44-$AH44-$AG44-$AF44-$AE44*(1+FC$3))/$AJ44,'Технический лист'!$M:$N,2,1),(FB44-0.05)))</f>
        <v/>
      </c>
      <c r="FD44" s="172">
        <f>MIN(1,MAX(VLOOKUP(($AJ44-$AI44-$AH44-$AG44-$AF44-$AE44*(1+FD$3))/$AJ44,'Технический лист'!$M:$N,2,1),(FC44-0.05)))</f>
        <v/>
      </c>
      <c r="FE44" s="172">
        <f>MIN(1,MAX(VLOOKUP(($AJ44-$AI44-$AH44-$AG44-$AF44-$AE44*(1+FE$3))/$AJ44,'Технический лист'!$M:$N,2,1),(FD44-0.05)))</f>
        <v/>
      </c>
      <c r="FF44" s="172">
        <f>MIN(1,MAX(VLOOKUP(($AJ44-$AI44-$AH44-$AG44-$AF44-$AE44*(1+FF$3))/$AJ44,'Технический лист'!$M:$N,2,1),(FE44-0.05)))</f>
        <v/>
      </c>
      <c r="FG44" s="172">
        <f>MIN(1,MAX(VLOOKUP(($AJ44-$AI44-$AH44-$AG44-$AF44-$AE44*(1+FG$3))/$AJ44,'Технический лист'!$M:$N,2,1),(FF44-0.05)))</f>
        <v/>
      </c>
      <c r="FH44" s="172">
        <f>MIN(1,MAX(VLOOKUP(($AJ44-$AI44-$AH44-$AG44-$AF44-$AE44*(1+FH$3))/$AJ44,'Технический лист'!$M:$N,2,1),(FG44-0.05)))</f>
        <v/>
      </c>
      <c r="FI44" s="172">
        <f>MIN(1,MAX(VLOOKUP(($AJ44-$AI44-$AH44-$AG44-$AF44-$AE44*(1+FI$3))/$AJ44,'Технический лист'!$M:$N,2,1),(FH44-0.05)))</f>
        <v/>
      </c>
      <c r="FJ44" s="172">
        <f>MIN(1,MAX(VLOOKUP(($AJ44-$AI44-$AH44-$AG44-$AF44-$AE44*(1+FJ$3))/$AJ44,'Технический лист'!$M:$N,2,1),(FI44-0.05)))</f>
        <v/>
      </c>
      <c r="FK44" s="172">
        <f>MIN(1,MAX(VLOOKUP(($AJ44-$AI44-$AH44-$AG44-$AF44-$AE44*(1+FK$3))/$AJ44,'Технический лист'!$M:$N,2,1),(FJ44-0.05)))</f>
        <v/>
      </c>
      <c r="FL44" s="172">
        <f>MIN(1,MAX(VLOOKUP(($AJ44-$AI44-$AH44-$AG44-$AF44-$AE44*(1+FL$3))/$AJ44,'Технический лист'!$M:$N,2,1),(FK44-0.05)))</f>
        <v/>
      </c>
      <c r="FM44" s="172">
        <f>MIN(1,MAX(VLOOKUP(($AJ44-$AI44-$AH44-$AG44-$AF44-$AE44*(1+FM$3))/$AJ44,'Технический лист'!$M:$N,2,1),(FL44-0.05)))</f>
        <v/>
      </c>
      <c r="FN44" s="172">
        <f>MIN(1,MAX(VLOOKUP(($AJ44-$AI44-$AH44-$AG44-$AF44-$AE44*(1+FN$3))/$AJ44,'Технический лист'!$M:$N,2,1),(FM44-0.05)))</f>
        <v/>
      </c>
      <c r="FO44" s="172">
        <f>MIN(1,MAX(VLOOKUP(($AJ44-$AI44-$AH44-$AG44-$AF44-$AE44*(1+FO$3))/$AJ44,'Технический лист'!$M:$N,2,1),(FN44-0.05)))</f>
        <v/>
      </c>
      <c r="FP44" s="172">
        <f>MIN(1,MAX(VLOOKUP(($AJ44-$AI44-$AH44-$AG44-$AF44-$AE44*(1+FP$3))/$AJ44,'Технический лист'!$M:$N,2,1),(FO44-0.05)))</f>
        <v/>
      </c>
      <c r="FQ44" s="172">
        <f>MIN(1,MAX(VLOOKUP(($AJ44-$AI44-$AH44-$AG44-$AF44-$AE44*(1+FQ$3))/$AJ44,'Технический лист'!$M:$N,2,1),(FP44-0.05)))</f>
        <v/>
      </c>
      <c r="FR44" s="172">
        <f>MIN(1,MAX(VLOOKUP(($AJ44-$AI44-$AH44-$AG44-$AF44-$AE44*(1+FR$3))/$AJ44,'Технический лист'!$M:$N,2,1),(FQ44-0.05)))</f>
        <v/>
      </c>
      <c r="FS44" s="172">
        <f>MIN(1,MAX(VLOOKUP(($AJ44-$AI44-$AH44-$AG44-$AF44-$AE44*(1+FS$3))/$AJ44,'Технический лист'!$M:$N,2,1),(FR44-0.05)))</f>
        <v/>
      </c>
      <c r="FT44" s="172">
        <f>MIN(1,MAX(VLOOKUP(($AJ44-$AI44-$AH44-$AG44-$AF44-$AE44*(1+FT$3))/$AJ44,'Технический лист'!$M:$N,2,1),(FS44-0.05)))</f>
        <v/>
      </c>
      <c r="FU44" s="172">
        <f>MIN(1,MAX(VLOOKUP(($AJ44-$AI44-$AH44-$AG44-$AF44-$AE44*(1+FU$3))/$AJ44,'Технический лист'!$M:$N,2,1),(FT44-0.05)))</f>
        <v/>
      </c>
      <c r="FV44" s="172">
        <f>MIN(1,MAX(VLOOKUP(($AJ44-$AI44-$AH44-$AG44-$AF44-$AE44*(1+FV$3))/$AJ44,'Технический лист'!$M:$N,2,1),(FU44-0.05)))</f>
        <v/>
      </c>
      <c r="FW44" s="172">
        <f>MIN(1,MAX(VLOOKUP(($AJ44-$AI44-$AH44-$AG44-$AF44-$AE44*(1+FW$3))/$AJ44,'Технический лист'!$M:$N,2,1),(FV44-0.05)))</f>
        <v/>
      </c>
      <c r="FX44" s="172">
        <f>MIN(1,MAX(VLOOKUP(($AJ44-$AI44-$AH44-$AG44-$AF44-$AE44*(1+FX$3))/$AJ44,'Технический лист'!$M:$N,2,1),(FW44-0.05)))</f>
        <v/>
      </c>
      <c r="FY44" s="172">
        <f>MIN(1,MAX(VLOOKUP(($AJ44-$AI44-$AH44-$AG44-$AF44-$AE44*(1+FY$3))/$AJ44,'Технический лист'!$M:$N,2,1),(FX44-0.05)))</f>
        <v/>
      </c>
      <c r="FZ44" s="172">
        <f>MIN(1,MAX(VLOOKUP(($AJ44-$AI44-$AH44-$AG44-$AF44-$AE44*(1+FZ$3))/$AJ44,'Технический лист'!$M:$N,2,1),(FY44-0.05)))</f>
        <v/>
      </c>
      <c r="GA44" s="172">
        <f>MIN(1,MAX(VLOOKUP(($AJ44-$AI44-$AH44-$AG44-$AF44-$AE44*(1+GA$3))/$AJ44,'Технический лист'!$M:$N,2,1),(FZ44-0.05)))</f>
        <v/>
      </c>
      <c r="GB44" s="172">
        <f>MIN(1,MAX(VLOOKUP(($AJ44-$AI44-$AH44-$AG44-$AF44-$AE44*(1+GB$3))/$AJ44,'Технический лист'!$M:$N,2,1),(GA44-0.05)))</f>
        <v/>
      </c>
      <c r="GC44" s="172">
        <f>MIN(1,MAX(VLOOKUP(($AJ44-$AI44-$AH44-$AG44-$AF44-$AE44*(1+GC$3))/$AJ44,'Технический лист'!$M:$N,2,1),(GB44-0.05)))</f>
        <v/>
      </c>
      <c r="GD44" s="172">
        <f>MIN(1,MAX(VLOOKUP(($AJ44-$AI44-$AH44-$AG44-$AF44-$AE44*(1+GD$3))/$AJ44,'Технический лист'!$M:$N,2,1),(GC44-0.05)))</f>
        <v/>
      </c>
      <c r="GE44" s="172">
        <f>MIN(1,MAX(VLOOKUP(($AJ44-$AI44-$AH44-$AG44-$AF44-$AE44*(1+GE$3))/$AJ44,'Технический лист'!$M:$N,2,1),(GD44-0.05)))</f>
        <v/>
      </c>
      <c r="GF44" s="172">
        <f>MIN(1,MAX(VLOOKUP(($AJ44-$AI44-$AH44-$AG44-$AF44-$AE44*(1+GF$3))/$AJ44,'Технический лист'!$M:$N,2,1),(GE44-0.05)))</f>
        <v/>
      </c>
      <c r="GG44" s="172">
        <f>MIN(1,MAX(VLOOKUP(($AJ44-$AI44-$AH44-$AG44-$AF44-$AE44*(1+GG$3))/$AJ44,'Технический лист'!$M:$N,2,1),(GF44-0.05)))</f>
        <v/>
      </c>
      <c r="GH44" s="172">
        <f>MIN(1,MAX(VLOOKUP(($AJ44-$AI44-$AH44-$AG44-$AF44-$AE44*(1+GH$3))/$AJ44,'Технический лист'!$M:$N,2,1),(GG44-0.05)))</f>
        <v/>
      </c>
      <c r="GI44" s="172">
        <f>MIN(1,MAX(VLOOKUP(($AJ44-$AI44-$AH44-$AG44-$AF44-$AE44*(1+GI$3))/$AJ44,'Технический лист'!$M:$N,2,1),(GH44-0.05)))</f>
        <v/>
      </c>
      <c r="GJ44" s="172">
        <f>MIN(1,MAX(VLOOKUP(($AJ44-$AI44-$AH44-$AG44-$AF44-$AE44*(1+GJ$3))/$AJ44,'Технический лист'!$M:$N,2,1),(GI44-0.05)))</f>
        <v/>
      </c>
      <c r="GK44" s="172">
        <f>MIN(1,MAX(VLOOKUP(($AJ44-$AI44-$AH44-$AG44-$AF44-$AE44*(1+GK$3))/$AJ44,'Технический лист'!$M:$N,2,1),(GJ44-0.05)))</f>
        <v/>
      </c>
      <c r="GL44" s="172">
        <f>MIN(1,MAX(VLOOKUP(($AJ44-$AI44-$AH44-$AG44-$AF44-$AE44*(1+GL$3))/$AJ44,'Технический лист'!$M:$N,2,1),(GK44-0.05)))</f>
        <v/>
      </c>
      <c r="GM44" s="172">
        <f>MIN(1,MAX(VLOOKUP(($AJ44-$AI44-$AH44-$AG44-$AF44-$AE44*(1+GM$3))/$AJ44,'Технический лист'!$M:$N,2,1),(GL44-0.05)))</f>
        <v/>
      </c>
      <c r="GN44" s="172">
        <f>MIN(1,MAX(VLOOKUP(($AJ44-$AI44-$AH44-$AG44-$AF44-$AE44*(1+GN$3))/$AJ44,'Технический лист'!$M:$N,2,1),(GM44-0.05)))</f>
        <v/>
      </c>
      <c r="GO44" s="172">
        <f>MIN(1,MAX(VLOOKUP(($AJ44-$AI44-$AH44-$AG44-$AF44-$AE44*(1+GO$3))/$AJ44,'Технический лист'!$M:$N,2,1),(GN44-0.05)))</f>
        <v/>
      </c>
      <c r="GP44" s="172">
        <f>MIN(1,MAX(VLOOKUP(($AJ44-$AI44-$AH44-$AG44-$AF44-$AE44*(1+GP$3))/$AJ44,'Технический лист'!$M:$N,2,1),(GO44-0.05)))</f>
        <v/>
      </c>
      <c r="GQ44" s="172">
        <f>MIN(1,MAX(VLOOKUP(($AJ44-$AI44-$AH44-$AG44-$AF44-$AE44*(1+GQ$3))/$AJ44,'Технический лист'!$M:$N,2,1),(GP44-0.05)))</f>
        <v/>
      </c>
      <c r="GR44" s="172">
        <f>MIN(1,MAX(VLOOKUP(($AJ44-$AI44-$AH44-$AG44-$AF44-$AE44*(1+GR$3))/$AJ44,'Технический лист'!$M:$N,2,1),(GQ44-0.05)))</f>
        <v/>
      </c>
      <c r="GS44" s="172">
        <f>MIN(1,MAX(VLOOKUP(($AJ44-$AI44-$AH44-$AG44-$AF44-$AE44*(1+GS$3))/$AJ44,'Технический лист'!$M:$N,2,1),(GR44-0.05)))</f>
        <v/>
      </c>
      <c r="GT44" s="172">
        <f>MIN(1,MAX(VLOOKUP(($AJ44-$AI44-$AH44-$AG44-$AF44-$AE44*(1+GT$3))/$AJ44,'Технический лист'!$M:$N,2,1),(GS44-0.05)))</f>
        <v/>
      </c>
      <c r="GU44" s="172">
        <f>MIN(1,MAX(VLOOKUP(($AJ44-$AI44-$AH44-$AG44-$AF44-$AE44*(1+GU$3))/$AJ44,'Технический лист'!$M:$N,2,1),(GT44-0.05)))</f>
        <v/>
      </c>
      <c r="GV44" s="172">
        <f>MIN(1,MAX(VLOOKUP(($AJ44-$AI44-$AH44-$AG44-$AF44-$AE44*(1+GV$3))/$AJ44,'Технический лист'!$M:$N,2,1),(GU44-0.05)))</f>
        <v/>
      </c>
      <c r="GW44" s="172">
        <f>MIN(1,MAX(VLOOKUP(($AJ44-$AI44-$AH44-$AG44-$AF44-$AE44*(1+GW$3))/$AJ44,'Технический лист'!$M:$N,2,1),(GV44-0.05)))</f>
        <v/>
      </c>
      <c r="GX44" s="172">
        <f>MIN(1,MAX(VLOOKUP(($AJ44-$AI44-$AH44-$AG44-$AF44-$AE44*(1+GX$3))/$AJ44,'Технический лист'!$M:$N,2,1),(GW44-0.05)))</f>
        <v/>
      </c>
      <c r="GY44" s="172">
        <f>MIN(1,MAX(VLOOKUP(($AJ44-$AI44-$AH44-$AG44-$AF44-$AE44*(1+GY$3))/$AJ44,'Технический лист'!$M:$N,2,1),(GX44-0.05)))</f>
        <v/>
      </c>
      <c r="GZ44" s="172">
        <f>MIN(1,MAX(VLOOKUP(($AJ44-$AI44-$AH44-$AG44-$AF44-$AE44*(1+GZ$3))/$AJ44,'Технический лист'!$M:$N,2,1),(GY44-0.05)))</f>
        <v/>
      </c>
      <c r="HA44" s="172">
        <f>MIN(1,MAX(VLOOKUP(($AJ44-$AI44-$AH44-$AG44-$AF44-$AE44*(1+HA$3))/$AJ44,'Технический лист'!$M:$N,2,1),(GZ44-0.05)))</f>
        <v/>
      </c>
      <c r="HB44" s="172">
        <f>MIN(1,MAX(VLOOKUP(($AJ44-$AI44-$AH44-$AG44-$AF44-$AE44*(1+HB$3))/$AJ44,'Технический лист'!$M:$N,2,1),(HA44-0.05)))</f>
        <v/>
      </c>
      <c r="HC44" s="172">
        <f>MIN(1,MAX(VLOOKUP(($AJ44-$AI44-$AH44-$AG44-$AF44-$AE44*(1+HC$3))/$AJ44,'Технический лист'!$M:$N,2,1),(HB44-0.05)))</f>
        <v/>
      </c>
      <c r="HD44" s="172">
        <f>MIN(1,MAX(VLOOKUP(($AJ44-$AI44-$AH44-$AG44-$AF44-$AE44*(1+HD$3))/$AJ44,'Технический лист'!$M:$N,2,1),(HC44-0.05)))</f>
        <v/>
      </c>
      <c r="HE44" s="172">
        <f>MIN(1,MAX(VLOOKUP(($AJ44-$AI44-$AH44-$AG44-$AF44-$AE44*(1+HE$3))/$AJ44,'Технический лист'!$M:$N,2,1),(HD44-0.05)))</f>
        <v/>
      </c>
      <c r="HF44" s="172">
        <f>MIN(1,MAX(VLOOKUP(($AJ44-$AI44-$AH44-$AG44-$AF44-$AE44*(1+HF$3))/$AJ44,'Технический лист'!$M:$N,2,1),(HE44-0.05)))</f>
        <v/>
      </c>
      <c r="HG44" s="172">
        <f>MIN(1,MAX(VLOOKUP(($AJ44-$AI44-$AH44-$AG44-$AF44-$AE44*(1+HG$3))/$AJ44,'Технический лист'!$M:$N,2,1),(HF44-0.05)))</f>
        <v/>
      </c>
      <c r="HH44" s="172">
        <f>MIN(1,MAX(VLOOKUP(($AJ44-$AI44-$AH44-$AG44-$AF44-$AE44*(1+HH$3))/$AJ44,'Технический лист'!$M:$N,2,1),(HG44-0.05)))</f>
        <v/>
      </c>
      <c r="HI44" s="172">
        <f>MIN(1,MAX(VLOOKUP(($AJ44-$AI44-$AH44-$AG44-$AF44-$AE44*(1+HI$3))/$AJ44,'Технический лист'!$M:$N,2,1),(HH44-0.05)))</f>
        <v/>
      </c>
      <c r="HJ44" s="172">
        <f>MIN(1,MAX(VLOOKUP(($AJ44-$AI44-$AH44-$AG44-$AF44-$AE44*(1+HJ$3))/$AJ44,'Технический лист'!$M:$N,2,1),(HI44-0.05)))</f>
        <v/>
      </c>
      <c r="HK44" s="172">
        <f>MIN(1,MAX(VLOOKUP(($AJ44-$AI44-$AH44-$AG44-$AF44-$AE44*(1+HK$3))/$AJ44,'Технический лист'!$M:$N,2,1),(HJ44-0.05)))</f>
        <v/>
      </c>
      <c r="HL44" s="172">
        <f>MIN(1,MAX(VLOOKUP(($AJ44-$AI44-$AH44-$AG44-$AF44-$AE44*(1+HL$3))/$AJ44,'Технический лист'!$M:$N,2,1),(HK44-0.05)))</f>
        <v/>
      </c>
      <c r="HM44" s="172">
        <f>MIN(1,MAX(VLOOKUP(($AJ44-$AI44-$AH44-$AG44-$AF44-$AE44*(1+HM$3))/$AJ44,'Технический лист'!$M:$N,2,1),(HL44-0.05)))</f>
        <v/>
      </c>
      <c r="HN44" s="172">
        <f>MIN(1,MAX(VLOOKUP(($AJ44-$AI44-$AH44-$AG44-$AF44-$AE44*(1+HN$3))/$AJ44,'Технический лист'!$M:$N,2,1),(HM44-0.05)))</f>
        <v/>
      </c>
      <c r="HO44" s="172">
        <f>MIN(1,MAX(VLOOKUP(($AJ44-$AI44-$AH44-$AG44-$AF44-$AE44*(1+HO$3))/$AJ44,'Технический лист'!$M:$N,2,1),(HN44-0.05)))</f>
        <v/>
      </c>
      <c r="HP44" s="172">
        <f>MIN(1,MAX(VLOOKUP(($AJ44-$AI44-$AH44-$AG44-$AF44-$AE44*(1+HP$3))/$AJ44,'Технический лист'!$M:$N,2,1),(HO44-0.05)))</f>
        <v/>
      </c>
      <c r="HQ44" s="172">
        <f>MIN(1,MAX(VLOOKUP(($AJ44-$AI44-$AH44-$AG44-$AF44-$AE44*(1+HQ$3))/$AJ44,'Технический лист'!$M:$N,2,1),(HP44-0.05)))</f>
        <v/>
      </c>
      <c r="HR44" s="172">
        <f>MIN(1,MAX(VLOOKUP(($AJ44-$AI44-$AH44-$AG44-$AF44-$AE44*(1+HR$3))/$AJ44,'Технический лист'!$M:$N,2,1),(HQ44-0.05)))</f>
        <v/>
      </c>
      <c r="HS44" s="172">
        <f>MIN(1,MAX(VLOOKUP(($AJ44-$AI44-$AH44-$AG44-$AF44-$AE44*(1+HS$3))/$AJ44,'Технический лист'!$M:$N,2,1),(HR44-0.05)))</f>
        <v/>
      </c>
      <c r="HT44" s="172">
        <f>MIN(1,MAX(VLOOKUP(($AJ44-$AI44-$AH44-$AG44-$AF44-$AE44*(1+HT$3))/$AJ44,'Технический лист'!$M:$N,2,1),(HS44-0.05)))</f>
        <v/>
      </c>
      <c r="HU44" s="172">
        <f>MIN(1,MAX(VLOOKUP(($AJ44-$AI44-$AH44-$AG44-$AF44-$AE44*(1+HU$3))/$AJ44,'Технический лист'!$M:$N,2,1),(HT44-0.05)))</f>
        <v/>
      </c>
      <c r="HV44" s="172">
        <f>MIN(1,MAX(VLOOKUP(($AJ44-$AI44-$AH44-$AG44-$AF44-$AE44*(1+HV$3))/$AJ44,'Технический лист'!$M:$N,2,1),(HU44-0.05)))</f>
        <v/>
      </c>
      <c r="HW44" s="172">
        <f>MIN(1,MAX(VLOOKUP(($AJ44-$AI44-$AH44-$AG44-$AF44-$AE44*(1+HW$3))/$AJ44,'Технический лист'!$M:$N,2,1),(HV44-0.05)))</f>
        <v/>
      </c>
      <c r="HX44" s="172">
        <f>MIN(1,MAX(VLOOKUP(($AJ44-$AI44-$AH44-$AG44-$AF44-$AE44*(1+HX$3))/$AJ44,'Технический лист'!$M:$N,2,1),(HW44-0.05)))</f>
        <v/>
      </c>
      <c r="HY44" s="172">
        <f>MIN(1,MAX(VLOOKUP(($AJ44-$AI44-$AH44-$AG44-$AF44-$AE44*(1+HY$3))/$AJ44,'Технический лист'!$M:$N,2,1),(HX44-0.05)))</f>
        <v/>
      </c>
      <c r="HZ44" s="172">
        <f>MIN(1,MAX(VLOOKUP(($AJ44-$AI44-$AH44-$AG44-$AF44-$AE44*(1+HZ$3))/$AJ44,'Технический лист'!$M:$N,2,1),(HY44-0.05)))</f>
        <v/>
      </c>
      <c r="IA44" s="172">
        <f>MIN(1,MAX(VLOOKUP(($AJ44-$AI44-$AH44-$AG44-$AF44-$AE44*(1+IA$3))/$AJ44,'Технический лист'!$M:$N,2,1),(HZ44-0.05)))</f>
        <v/>
      </c>
      <c r="IB44" s="172">
        <f>MIN(1,MAX(VLOOKUP(($AJ44-$AI44-$AH44-$AG44-$AF44-$AE44*(1+IB$3))/$AJ44,'Технический лист'!$M:$N,2,1),(IA44-0.05)))</f>
        <v/>
      </c>
      <c r="IC44" s="172">
        <f>MIN(1,MAX(VLOOKUP(($AJ44-$AI44-$AH44-$AG44-$AF44-$AE44*(1+IC$3))/$AJ44,'Технический лист'!$M:$N,2,1),(IB44-0.05)))</f>
        <v/>
      </c>
      <c r="ID44" s="172">
        <f>MIN(1,MAX(VLOOKUP(($AJ44-$AI44-$AH44-$AG44-$AF44-$AE44*(1+ID$3))/$AJ44,'Технический лист'!$M:$N,2,1),(IC44-0.05)))</f>
        <v/>
      </c>
      <c r="IE44" s="172">
        <f>MIN(1,MAX(VLOOKUP(($AJ44-$AI44-$AH44-$AG44-$AF44-$AE44*(1+IE$3))/$AJ44,'Технический лист'!$M:$N,2,1),(ID44-0.05)))</f>
        <v/>
      </c>
      <c r="IF44" s="172">
        <f>MIN(1,MAX(VLOOKUP(($AJ44-$AI44-$AH44-$AG44-$AF44-$AE44*(1+IF$3))/$AJ44,'Технический лист'!$M:$N,2,1),(IE44-0.05)))</f>
        <v/>
      </c>
      <c r="IG44" s="172">
        <f>MIN(1,MAX(VLOOKUP(($AJ44-$AI44-$AH44-$AG44-$AF44-$AE44*(1+IG$3))/$AJ44,'Технический лист'!$M:$N,2,1),(IF44-0.05)))</f>
        <v/>
      </c>
      <c r="IH44" s="172">
        <f>MIN(1,MAX(VLOOKUP(($AJ44-$AI44-$AH44-$AG44-$AF44-$AE44*(1+IH$3))/$AJ44,'Технический лист'!$M:$N,2,1),(IG44-0.05)))</f>
        <v/>
      </c>
      <c r="II44" s="172">
        <f>MIN(1,MAX(VLOOKUP(($AJ44-$AI44-$AH44-$AG44-$AF44-$AE44*(1+II$3))/$AJ44,'Технический лист'!$M:$N,2,1),(IH44-0.05)))</f>
        <v/>
      </c>
      <c r="IJ44" s="172">
        <f>MIN(1,MAX(VLOOKUP(($AJ44-$AI44-$AH44-$AG44-$AF44-$AE44*(1+IJ$3))/$AJ44,'Технический лист'!$M:$N,2,1),(II44-0.05)))</f>
        <v/>
      </c>
      <c r="IK44" s="172">
        <f>MIN(1,MAX(VLOOKUP(($AJ44-$AI44-$AH44-$AG44-$AF44-$AE44*(1+IK$3))/$AJ44,'Технический лист'!$M:$N,2,1),(IJ44-0.05)))</f>
        <v/>
      </c>
      <c r="IL44" s="172">
        <f>MIN(1,MAX(VLOOKUP(($AJ44-$AI44-$AH44-$AG44-$AF44-$AE44*(1+IL$3))/$AJ44,'Технический лист'!$M:$N,2,1),(IK44-0.05)))</f>
        <v/>
      </c>
      <c r="IM44" s="172">
        <f>MIN(1,MAX(VLOOKUP(($AJ44-$AI44-$AH44-$AG44-$AF44-$AE44*(1+IM$3))/$AJ44,'Технический лист'!$M:$N,2,1),(IL44-0.05)))</f>
        <v/>
      </c>
      <c r="IN44" s="172">
        <f>MIN(1,MAX(VLOOKUP(($AJ44-$AI44-$AH44-$AG44-$AF44-$AE44*(1+IN$3))/$AJ44,'Технический лист'!$M:$N,2,1),(IM44-0.05)))</f>
        <v/>
      </c>
      <c r="IO44" s="172">
        <f>MIN(1,MAX(VLOOKUP(($AJ44-$AI44-$AH44-$AG44-$AF44-$AE44*(1+IO$3))/$AJ44,'Технический лист'!$M:$N,2,1),(IN44-0.05)))</f>
        <v/>
      </c>
      <c r="IP44" s="172">
        <f>MIN(1,MAX(VLOOKUP(($AJ44-$AI44-$AH44-$AG44-$AF44-$AE44*(1+IP$3))/$AJ44,'Технический лист'!$M:$N,2,1),(IO44-0.05)))</f>
        <v/>
      </c>
      <c r="IQ44" s="172">
        <f>MIN(1,MAX(VLOOKUP(($AJ44-$AI44-$AH44-$AG44-$AF44-$AE44*(1+IQ$3))/$AJ44,'Технический лист'!$M:$N,2,1),(IP44-0.05)))</f>
        <v/>
      </c>
      <c r="IR44" s="172">
        <f>MIN(1,MAX(VLOOKUP(($AJ44-$AI44-$AH44-$AG44-$AF44-$AE44*(1+IR$3))/$AJ44,'Технический лист'!$M:$N,2,1),(IQ44-0.05)))</f>
        <v/>
      </c>
    </row>
    <row r="45">
      <c r="A45" s="89" t="inlineStr">
        <is>
          <t>ЧМ (сырье)</t>
        </is>
      </c>
      <c r="B45" s="90" t="n">
        <v>4</v>
      </c>
      <c r="C45" s="5" t="inlineStr">
        <is>
          <t>Руды  всякие</t>
        </is>
      </c>
      <c r="D45" s="91" t="n">
        <v>14111</v>
      </c>
      <c r="E45" s="91" t="inlineStr">
        <is>
          <t xml:space="preserve">Окатыши железорудные </t>
        </is>
      </c>
      <c r="F45" s="92" t="inlineStr">
        <is>
          <t>РУДЫ И КОНЦЕНТРАТЫ ЖЕЛЕЗН</t>
        </is>
      </c>
      <c r="G45" s="91" t="inlineStr">
        <is>
          <t>СВР</t>
        </is>
      </c>
      <c r="H45" s="91" t="inlineStr">
        <is>
          <t>ДВС</t>
        </is>
      </c>
      <c r="I45" s="91" t="inlineStr">
        <is>
          <t>СМЫЧКА</t>
        </is>
      </c>
      <c r="J45" s="91" t="inlineStr">
        <is>
          <t>ГРОДЕК/КИТАЙ</t>
        </is>
      </c>
      <c r="K45" s="91" t="n">
        <v>7622</v>
      </c>
      <c r="L45" s="91" t="inlineStr">
        <is>
          <t>Полувагоны</t>
        </is>
      </c>
      <c r="M45" s="91" t="inlineStr">
        <is>
          <t>Экспорт</t>
        </is>
      </c>
      <c r="N45" s="91" t="inlineStr">
        <is>
          <t>вагонная</t>
        </is>
      </c>
      <c r="O45" s="91" t="inlineStr">
        <is>
          <t xml:space="preserve">Восточное </t>
        </is>
      </c>
      <c r="P45" s="89" t="inlineStr">
        <is>
          <t>'000080294056</t>
        </is>
      </c>
      <c r="Q45" s="91" t="inlineStr">
        <is>
          <t>ООО "ЕвразХолдинг"</t>
        </is>
      </c>
      <c r="R45" s="91" t="inlineStr">
        <is>
          <t>ООО "ЕвразХолдинг"</t>
        </is>
      </c>
      <c r="S45" s="87" t="n">
        <v>8852</v>
      </c>
      <c r="T45" s="87" t="n">
        <v>67464773</v>
      </c>
      <c r="U45" s="88" t="n">
        <v>128</v>
      </c>
      <c r="V45" s="88" t="n">
        <v>0</v>
      </c>
      <c r="W45" s="87" t="n">
        <v>30131920</v>
      </c>
      <c r="X45" s="112" t="n">
        <v>69</v>
      </c>
      <c r="Y45" s="112" t="inlineStr">
        <is>
          <t>групповая</t>
        </is>
      </c>
      <c r="Z45" s="113" t="n">
        <v>21</v>
      </c>
      <c r="AA45" s="113" t="n">
        <v>15</v>
      </c>
      <c r="AB45" s="113" t="n">
        <v>4</v>
      </c>
      <c r="AC45" s="161" t="n">
        <v>3813.36</v>
      </c>
      <c r="AD45" s="161">
        <f>AE45-AC45</f>
        <v/>
      </c>
      <c r="AE45" s="161" t="n">
        <v>4960.04</v>
      </c>
      <c r="AF45" s="162">
        <f>(Z45+AA45+AB45)*'Ставки аренды'!$B$3/X45</f>
        <v/>
      </c>
      <c r="AG45" s="163" t="n">
        <v>0</v>
      </c>
      <c r="AH45" s="164" t="n">
        <v>0</v>
      </c>
      <c r="AI45" s="165">
        <f>0.71*AVERAGE(AJ43,AJ44)</f>
        <v/>
      </c>
      <c r="AJ45" s="166">
        <f>Цены!D13</f>
        <v/>
      </c>
      <c r="AK45" s="164">
        <f>AJ45/Цены!$B$1</f>
        <v/>
      </c>
      <c r="AL45" s="164">
        <f>AE45+AF45+AG45</f>
        <v/>
      </c>
      <c r="AM45" s="164">
        <f>AJ45-AL45</f>
        <v/>
      </c>
      <c r="AN45" s="164">
        <f>AI45+AH45+AG45+AF45+AE45</f>
        <v/>
      </c>
      <c r="AO45" s="167">
        <f>(AJ45-AN45)/AJ45</f>
        <v/>
      </c>
      <c r="AP45" s="168">
        <f>AL45/AJ45</f>
        <v/>
      </c>
      <c r="AQ45" s="168">
        <f>AE45/AJ45</f>
        <v/>
      </c>
      <c r="AR45" s="168">
        <f>AE45/AL45</f>
        <v/>
      </c>
      <c r="AS45" s="169" t="n">
        <v>1</v>
      </c>
      <c r="AT45" s="121">
        <f>S45*AS45</f>
        <v/>
      </c>
      <c r="AU45" s="83" t="n">
        <v>0.85</v>
      </c>
      <c r="AV45" s="170">
        <f>(AJ45-(AE45*(1+$IS$2)+AF45+AG45+AH45+AI45))/AJ45</f>
        <v/>
      </c>
      <c r="AW45" s="171">
        <f>(AE45*(1+$IS$2)+AF45+AG45)/AJ45</f>
        <v/>
      </c>
      <c r="AX45" s="171">
        <f>(AE45*(1+$IS$2))/AJ45</f>
        <v/>
      </c>
      <c r="AY45" s="171">
        <f>(AE45*(1+$IS$2))/(AE45*(1+$IS$2)+AF45+AG45)</f>
        <v/>
      </c>
      <c r="AZ45" s="172">
        <f>MIN(IF($AU45=100%,1,1+VLOOKUP(($AJ45-$AI45-$AH45-$AG45-$AF45-$AE45*(1+AZ$3))/$AJ45,'Технический лист'!$M:$N,2,1)-VLOOKUP($AO45,'Технический лист'!$M:$N,2,1)),1+(1-$AU45))</f>
        <v/>
      </c>
      <c r="BA45" s="172">
        <f>MIN(IF($AU45=100%,1,1+VLOOKUP(($AJ45-$AI45-$AH45-$AG45-$AF45-$AE45*(1+BA$3))/$AJ45,'Технический лист'!$M:$N,2,1)-VLOOKUP($AO45,'Технический лист'!$M:$N,2,1)),1+(1-$AU45))</f>
        <v/>
      </c>
      <c r="BB45" s="172">
        <f>MIN(IF($AU45=100%,1,1+VLOOKUP(($AJ45-$AI45-$AH45-$AG45-$AF45-$AE45*(1+BB$3))/$AJ45,'Технический лист'!$M:$N,2,1)-VLOOKUP($AO45,'Технический лист'!$M:$N,2,1)),1+(1-$AU45))</f>
        <v/>
      </c>
      <c r="BC45" s="172">
        <f>MIN(IF($AU45=100%,1,1+VLOOKUP(($AJ45-$AI45-$AH45-$AG45-$AF45-$AE45*(1+BC$3))/$AJ45,'Технический лист'!$M:$N,2,1)-VLOOKUP($AO45,'Технический лист'!$M:$N,2,1)),1+(1-$AU45))</f>
        <v/>
      </c>
      <c r="BD45" s="172">
        <f>MIN(IF($AU45=100%,1,1+VLOOKUP(($AJ45-$AI45-$AH45-$AG45-$AF45-$AE45*(1+BD$3))/$AJ45,'Технический лист'!$M:$N,2,1)-VLOOKUP($AO45,'Технический лист'!$M:$N,2,1)),1+(1-$AU45))</f>
        <v/>
      </c>
      <c r="BE45" s="172">
        <f>MIN(IF($AU45=100%,1,1+VLOOKUP(($AJ45-$AI45-$AH45-$AG45-$AF45-$AE45*(1+BE$3))/$AJ45,'Технический лист'!$M:$N,2,1)-VLOOKUP($AO45,'Технический лист'!$M:$N,2,1)),1+(1-$AU45))</f>
        <v/>
      </c>
      <c r="BF45" s="172">
        <f>MIN(IF($AU45=100%,1,1+VLOOKUP(($AJ45-$AI45-$AH45-$AG45-$AF45-$AE45*(1+BF$3))/$AJ45,'Технический лист'!$M:$N,2,1)-VLOOKUP($AO45,'Технический лист'!$M:$N,2,1)),1+(1-$AU45))</f>
        <v/>
      </c>
      <c r="BG45" s="172">
        <f>MIN(IF($AU45=100%,1,1+VLOOKUP(($AJ45-$AI45-$AH45-$AG45-$AF45-$AE45*(1+BG$3))/$AJ45,'Технический лист'!$M:$N,2,1)-VLOOKUP($AO45,'Технический лист'!$M:$N,2,1)),1+(1-$AU45))</f>
        <v/>
      </c>
      <c r="BH45" s="172">
        <f>MIN(IF($AU45=100%,1,1+VLOOKUP(($AJ45-$AI45-$AH45-$AG45-$AF45-$AE45*(1+BH$3))/$AJ45,'Технический лист'!$M:$N,2,1)-VLOOKUP($AO45,'Технический лист'!$M:$N,2,1)),1+(1-$AU45))</f>
        <v/>
      </c>
      <c r="BI45" s="172">
        <f>MIN(IF($AU45=100%,1,1+VLOOKUP(($AJ45-$AI45-$AH45-$AG45-$AF45-$AE45*(1+BI$3))/$AJ45,'Технический лист'!$M:$N,2,1)-VLOOKUP($AO45,'Технический лист'!$M:$N,2,1)),1+(1-$AU45))</f>
        <v/>
      </c>
      <c r="BJ45" s="172">
        <f>MIN(IF($AU45=100%,1,1+VLOOKUP(($AJ45-$AI45-$AH45-$AG45-$AF45-$AE45*(1+BJ$3))/$AJ45,'Технический лист'!$M:$N,2,1)-VLOOKUP($AO45,'Технический лист'!$M:$N,2,1)),1+(1-$AU45))</f>
        <v/>
      </c>
      <c r="BK45" s="172">
        <f>MIN(IF($AU45=100%,1,1+VLOOKUP(($AJ45-$AI45-$AH45-$AG45-$AF45-$AE45*(1+BK$3))/$AJ45,'Технический лист'!$M:$N,2,1)-VLOOKUP($AO45,'Технический лист'!$M:$N,2,1)),1+(1-$AU45))</f>
        <v/>
      </c>
      <c r="BL45" s="172">
        <f>MIN(IF($AU45=100%,1,1+VLOOKUP(($AJ45-$AI45-$AH45-$AG45-$AF45-$AE45*(1+BL$3))/$AJ45,'Технический лист'!$M:$N,2,1)-VLOOKUP($AO45,'Технический лист'!$M:$N,2,1)),1+(1-$AU45))</f>
        <v/>
      </c>
      <c r="BM45" s="172">
        <f>MIN(IF($AU45=100%,1,1+VLOOKUP(($AJ45-$AI45-$AH45-$AG45-$AF45-$AE45*(1+BM$3))/$AJ45,'Технический лист'!$M:$N,2,1)-VLOOKUP($AO45,'Технический лист'!$M:$N,2,1)),1+(1-$AU45))</f>
        <v/>
      </c>
      <c r="BN45" s="172">
        <f>MIN(IF($AU45=100%,1,1+VLOOKUP(($AJ45-$AI45-$AH45-$AG45-$AF45-$AE45*(1+BN$3))/$AJ45,'Технический лист'!$M:$N,2,1)-VLOOKUP($AO45,'Технический лист'!$M:$N,2,1)),1+(1-$AU45))</f>
        <v/>
      </c>
      <c r="BO45" s="172">
        <f>MIN(IF($AU45=100%,1,1+VLOOKUP(($AJ45-$AI45-$AH45-$AG45-$AF45-$AE45*(1+BO$3))/$AJ45,'Технический лист'!$M:$N,2,1)-VLOOKUP($AO45,'Технический лист'!$M:$N,2,1)),1+(1-$AU45))</f>
        <v/>
      </c>
      <c r="BP45" s="172">
        <f>MIN(IF($AU45=100%,1,1+VLOOKUP(($AJ45-$AI45-$AH45-$AG45-$AF45-$AE45*(1+BP$3))/$AJ45,'Технический лист'!$M:$N,2,1)-VLOOKUP($AO45,'Технический лист'!$M:$N,2,1)),1+(1-$AU45))</f>
        <v/>
      </c>
      <c r="BQ45" s="172">
        <f>MIN(IF($AU45=100%,1,1+VLOOKUP(($AJ45-$AI45-$AH45-$AG45-$AF45-$AE45*(1+BQ$3))/$AJ45,'Технический лист'!$M:$N,2,1)-VLOOKUP($AO45,'Технический лист'!$M:$N,2,1)),1+(1-$AU45))</f>
        <v/>
      </c>
      <c r="BR45" s="172">
        <f>MIN(IF($AU45=100%,1,1+VLOOKUP(($AJ45-$AI45-$AH45-$AG45-$AF45-$AE45*(1+BR$3))/$AJ45,'Технический лист'!$M:$N,2,1)-VLOOKUP($AO45,'Технический лист'!$M:$N,2,1)),1+(1-$AU45))</f>
        <v/>
      </c>
      <c r="BS45" s="172">
        <f>MIN(IF($AU45=100%,1,1+VLOOKUP(($AJ45-$AI45-$AH45-$AG45-$AF45-$AE45*(1+BS$3))/$AJ45,'Технический лист'!$M:$N,2,1)-VLOOKUP($AO45,'Технический лист'!$M:$N,2,1)),1+(1-$AU45))</f>
        <v/>
      </c>
      <c r="BT45" s="172">
        <f>MIN(IF($AU45=100%,1,1+VLOOKUP(($AJ45-$AI45-$AH45-$AG45-$AF45-$AE45*(1+BT$3))/$AJ45,'Технический лист'!$M:$N,2,1)-VLOOKUP($AO45,'Технический лист'!$M:$N,2,1)),1+(1-$AU45))</f>
        <v/>
      </c>
      <c r="BU45" s="172">
        <f>MIN(IF($AU45=100%,1,1+VLOOKUP(($AJ45-$AI45-$AH45-$AG45-$AF45-$AE45*(1+BU$3))/$AJ45,'Технический лист'!$M:$N,2,1)-VLOOKUP($AO45,'Технический лист'!$M:$N,2,1)),1+(1-$AU45))</f>
        <v/>
      </c>
      <c r="BV45" s="172">
        <f>MIN(IF($AU45=100%,1,1+VLOOKUP(($AJ45-$AI45-$AH45-$AG45-$AF45-$AE45*(1+BV$3))/$AJ45,'Технический лист'!$M:$N,2,1)-VLOOKUP($AO45,'Технический лист'!$M:$N,2,1)),1+(1-$AU45))</f>
        <v/>
      </c>
      <c r="BW45" s="172">
        <f>MIN(IF($AU45=100%,1,1+VLOOKUP(($AJ45-$AI45-$AH45-$AG45-$AF45-$AE45*(1+BW$3))/$AJ45,'Технический лист'!$M:$N,2,1)-VLOOKUP($AO45,'Технический лист'!$M:$N,2,1)),1+(1-$AU45))</f>
        <v/>
      </c>
      <c r="BX45" s="172">
        <f>MIN(IF($AU45=100%,1,1+VLOOKUP(($AJ45-$AI45-$AH45-$AG45-$AF45-$AE45*(1+BX$3))/$AJ45,'Технический лист'!$M:$N,2,1)-VLOOKUP($AO45,'Технический лист'!$M:$N,2,1)),1+(1-$AU45))</f>
        <v/>
      </c>
      <c r="BY45" s="172">
        <f>MIN(IF($AU45=100%,1,1+VLOOKUP(($AJ45-$AI45-$AH45-$AG45-$AF45-$AE45*(1+BY$3))/$AJ45,'Технический лист'!$M:$N,2,1)-VLOOKUP($AO45,'Технический лист'!$M:$N,2,1)),1+(1-$AU45))</f>
        <v/>
      </c>
      <c r="BZ45" s="172">
        <f>MIN(IF($AU45=100%,1,1+VLOOKUP(($AJ45-$AI45-$AH45-$AG45-$AF45-$AE45*(1+BZ$3))/$AJ45,'Технический лист'!$M:$N,2,1)-VLOOKUP($AO45,'Технический лист'!$M:$N,2,1)),1+(1-$AU45))</f>
        <v/>
      </c>
      <c r="CA45" s="172">
        <f>MIN(IF($AU45=100%,1,1+VLOOKUP(($AJ45-$AI45-$AH45-$AG45-$AF45-$AE45*(1+CA$3))/$AJ45,'Технический лист'!$M:$N,2,1)-VLOOKUP($AO45,'Технический лист'!$M:$N,2,1)),1+(1-$AU45))</f>
        <v/>
      </c>
      <c r="CB45" s="172">
        <f>MIN(IF($AU45=100%,1,1+VLOOKUP(($AJ45-$AI45-$AH45-$AG45-$AF45-$AE45*(1+CB$3))/$AJ45,'Технический лист'!$M:$N,2,1)-VLOOKUP($AO45,'Технический лист'!$M:$N,2,1)),1+(1-$AU45))</f>
        <v/>
      </c>
      <c r="CC45" s="172">
        <f>MIN(IF($AU45=100%,1,1+VLOOKUP(($AJ45-$AI45-$AH45-$AG45-$AF45-$AE45*(1+CC$3))/$AJ45,'Технический лист'!$M:$N,2,1)-VLOOKUP($AO45,'Технический лист'!$M:$N,2,1)),1+(1-$AU45))</f>
        <v/>
      </c>
      <c r="CD45" s="172">
        <f>MIN(IF($AU45=100%,1,1+VLOOKUP(($AJ45-$AI45-$AH45-$AG45-$AF45-$AE45*(1+CD$3))/$AJ45,'Технический лист'!$M:$N,2,1)-VLOOKUP($AO45,'Технический лист'!$M:$N,2,1)),1+(1-$AU45))</f>
        <v/>
      </c>
      <c r="CE45" s="172">
        <f>MIN(IF($AU45=100%,1,1+VLOOKUP(($AJ45-$AI45-$AH45-$AG45-$AF45-$AE45*(1+CE$3))/$AJ45,'Технический лист'!$M:$N,2,1)-VLOOKUP($AO45,'Технический лист'!$M:$N,2,1)),1+(1-$AU45))</f>
        <v/>
      </c>
      <c r="CF45" s="172">
        <f>MIN(IF($AU45=100%,1,1+VLOOKUP(($AJ45-$AI45-$AH45-$AG45-$AF45-$AE45*(1+CF$3))/$AJ45,'Технический лист'!$M:$N,2,1)-VLOOKUP($AO45,'Технический лист'!$M:$N,2,1)),1+(1-$AU45))</f>
        <v/>
      </c>
      <c r="CG45" s="172">
        <f>MIN(IF($AU45=100%,1,1+VLOOKUP(($AJ45-$AI45-$AH45-$AG45-$AF45-$AE45*(1+CG$3))/$AJ45,'Технический лист'!$M:$N,2,1)-VLOOKUP($AO45,'Технический лист'!$M:$N,2,1)),1+(1-$AU45))</f>
        <v/>
      </c>
      <c r="CH45" s="172">
        <f>MIN(IF($AU45=100%,1,1+VLOOKUP(($AJ45-$AI45-$AH45-$AG45-$AF45-$AE45*(1+CH$3))/$AJ45,'Технический лист'!$M:$N,2,1)-VLOOKUP($AO45,'Технический лист'!$M:$N,2,1)),1+(1-$AU45))</f>
        <v/>
      </c>
      <c r="CI45" s="172">
        <f>MIN(IF($AU45=100%,1,1+VLOOKUP(($AJ45-$AI45-$AH45-$AG45-$AF45-$AE45*(1+CI$3))/$AJ45,'Технический лист'!$M:$N,2,1)-VLOOKUP($AO45,'Технический лист'!$M:$N,2,1)),1+(1-$AU45))</f>
        <v/>
      </c>
      <c r="CJ45" s="172">
        <f>MIN(IF($AU45=100%,1,1+VLOOKUP(($AJ45-$AI45-$AH45-$AG45-$AF45-$AE45*(1+CJ$3))/$AJ45,'Технический лист'!$M:$N,2,1)-VLOOKUP($AO45,'Технический лист'!$M:$N,2,1)),1+(1-$AU45))</f>
        <v/>
      </c>
      <c r="CK45" s="172">
        <f>MIN(IF($AU45=100%,1,1+VLOOKUP(($AJ45-$AI45-$AH45-$AG45-$AF45-$AE45*(1+CK$3))/$AJ45,'Технический лист'!$M:$N,2,1)-VLOOKUP($AO45,'Технический лист'!$M:$N,2,1)),1+(1-$AU45))</f>
        <v/>
      </c>
      <c r="CL45" s="172">
        <f>MIN(IF($AU45=100%,1,1+VLOOKUP(($AJ45-$AI45-$AH45-$AG45-$AF45-$AE45*(1+CL$3))/$AJ45,'Технический лист'!$M:$N,2,1)-VLOOKUP($AO45,'Технический лист'!$M:$N,2,1)),1+(1-$AU45))</f>
        <v/>
      </c>
      <c r="CM45" s="172">
        <f>MIN(IF($AU45=100%,1,1+VLOOKUP(($AJ45-$AI45-$AH45-$AG45-$AF45-$AE45*(1+CM$3))/$AJ45,'Технический лист'!$M:$N,2,1)-VLOOKUP($AO45,'Технический лист'!$M:$N,2,1)),1+(1-$AU45))</f>
        <v/>
      </c>
      <c r="CN45" s="172">
        <f>MIN(IF($AU45=100%,1,1+VLOOKUP(($AJ45-$AI45-$AH45-$AG45-$AF45-$AE45*(1+CN$3))/$AJ45,'Технический лист'!$M:$N,2,1)-VLOOKUP($AO45,'Технический лист'!$M:$N,2,1)),1+(1-$AU45))</f>
        <v/>
      </c>
      <c r="CO45" s="172">
        <f>MIN(IF($AU45=100%,1,1+VLOOKUP(($AJ45-$AI45-$AH45-$AG45-$AF45-$AE45*(1+CO$3))/$AJ45,'Технический лист'!$M:$N,2,1)-VLOOKUP($AO45,'Технический лист'!$M:$N,2,1)),1+(1-$AU45))</f>
        <v/>
      </c>
      <c r="CP45" s="172">
        <f>MIN(IF($AU45=100%,1,1+VLOOKUP(($AJ45-$AI45-$AH45-$AG45-$AF45-$AE45*(1+CP$3))/$AJ45,'Технический лист'!$M:$N,2,1)-VLOOKUP($AO45,'Технический лист'!$M:$N,2,1)),1+(1-$AU45))</f>
        <v/>
      </c>
      <c r="CQ45" s="172">
        <f>MIN(IF($AU45=100%,1,1+VLOOKUP(($AJ45-$AI45-$AH45-$AG45-$AF45-$AE45*(1+CQ$3))/$AJ45,'Технический лист'!$M:$N,2,1)-VLOOKUP($AO45,'Технический лист'!$M:$N,2,1)),1+(1-$AU45))</f>
        <v/>
      </c>
      <c r="CR45" s="172">
        <f>MIN(IF($AU45=100%,1,1+VLOOKUP(($AJ45-$AI45-$AH45-$AG45-$AF45-$AE45*(1+CR$3))/$AJ45,'Технический лист'!$M:$N,2,1)-VLOOKUP($AO45,'Технический лист'!$M:$N,2,1)),1+(1-$AU45))</f>
        <v/>
      </c>
      <c r="CS45" s="172">
        <f>MIN(IF($AU45=100%,1,1+VLOOKUP(($AJ45-$AI45-$AH45-$AG45-$AF45-$AE45*(1+CS$3))/$AJ45,'Технический лист'!$M:$N,2,1)-VLOOKUP($AO45,'Технический лист'!$M:$N,2,1)),1+(1-$AU45))</f>
        <v/>
      </c>
      <c r="CT45" s="172">
        <f>MIN(IF($AU45=100%,1,1+VLOOKUP(($AJ45-$AI45-$AH45-$AG45-$AF45-$AE45*(1+CT$3))/$AJ45,'Технический лист'!$M:$N,2,1)-VLOOKUP($AO45,'Технический лист'!$M:$N,2,1)),1+(1-$AU45))</f>
        <v/>
      </c>
      <c r="CU45" s="172">
        <f>MIN(IF($AU45=100%,1,1+VLOOKUP(($AJ45-$AI45-$AH45-$AG45-$AF45-$AE45*(1+CU$3))/$AJ45,'Технический лист'!$M:$N,2,1)-VLOOKUP($AO45,'Технический лист'!$M:$N,2,1)),1+(1-$AU45))</f>
        <v/>
      </c>
      <c r="CV45" s="172">
        <f>MIN(IF($AU45=100%,1,1+VLOOKUP(($AJ45-$AI45-$AH45-$AG45-$AF45-$AE45*(1+CV$3))/$AJ45,'Технический лист'!$M:$N,2,1)-VLOOKUP($AO45,'Технический лист'!$M:$N,2,1)),1+(1-$AU45))</f>
        <v/>
      </c>
      <c r="CW45" s="172">
        <f>MIN(IF($AU45=100%,1,1+VLOOKUP(($AJ45-$AI45-$AH45-$AG45-$AF45-$AE45*(1+CW$3))/$AJ45,'Технический лист'!$M:$N,2,1)-VLOOKUP($AO45,'Технический лист'!$M:$N,2,1)),1+(1-$AU45))</f>
        <v/>
      </c>
      <c r="CX45" s="172">
        <f>MIN(IF($AU45=100%,1,1+VLOOKUP(($AJ45-$AI45-$AH45-$AG45-$AF45-$AE45*(1+CX$3))/$AJ45,'Технический лист'!$M:$N,2,1)-VLOOKUP($AO45,'Технический лист'!$M:$N,2,1)),1+(1-$AU45))</f>
        <v/>
      </c>
      <c r="CY45" s="172">
        <f>MIN(IF($AU45=100%,1,1+VLOOKUP(($AJ45-$AI45-$AH45-$AG45-$AF45-$AE45*(1+CY$3))/$AJ45,'Технический лист'!$M:$N,2,1)-VLOOKUP($AO45,'Технический лист'!$M:$N,2,1)),1+(1-$AU45))</f>
        <v/>
      </c>
      <c r="CZ45" s="172">
        <f>MIN(IF($AU45=100%,1,1+VLOOKUP(($AJ45-$AI45-$AH45-$AG45-$AF45-$AE45*(1+CZ$3))/$AJ45,'Технический лист'!$M:$N,2,1)-VLOOKUP($AO45,'Технический лист'!$M:$N,2,1)),1+(1-$AU45))</f>
        <v/>
      </c>
      <c r="DA45" s="172">
        <f>MIN(IF($AU45=100%,1,1+VLOOKUP(($AJ45-$AI45-$AH45-$AG45-$AF45-$AE45*(1+DA$3))/$AJ45,'Технический лист'!$M:$N,2,1)-VLOOKUP($AO45,'Технический лист'!$M:$N,2,1)),1+(1-$AU45))</f>
        <v/>
      </c>
      <c r="DB45" s="172">
        <f>MIN(IF($AU45=100%,1,1+VLOOKUP(($AJ45-$AI45-$AH45-$AG45-$AF45-$AE45*(1+DB$3))/$AJ45,'Технический лист'!$M:$N,2,1)-VLOOKUP($AO45,'Технический лист'!$M:$N,2,1)),1+(1-$AU45))</f>
        <v/>
      </c>
      <c r="DC45" s="172">
        <f>MIN(IF($AU45=100%,1,1+VLOOKUP(($AJ45-$AI45-$AH45-$AG45-$AF45-$AE45*(1+DC$3))/$AJ45,'Технический лист'!$M:$N,2,1)-VLOOKUP($AO45,'Технический лист'!$M:$N,2,1)),1+(1-$AU45))</f>
        <v/>
      </c>
      <c r="DD45" s="172">
        <f>MIN(IF($AU45=100%,1,1+VLOOKUP(($AJ45-$AI45-$AH45-$AG45-$AF45-$AE45*(1+DD$3))/$AJ45,'Технический лист'!$M:$N,2,1)-VLOOKUP($AO45,'Технический лист'!$M:$N,2,1)),1+(1-$AU45))</f>
        <v/>
      </c>
      <c r="DE45" s="172">
        <f>MIN(IF($AU45=100%,1,1+VLOOKUP(($AJ45-$AI45-$AH45-$AG45-$AF45-$AE45*(1+DE$3))/$AJ45,'Технический лист'!$M:$N,2,1)-VLOOKUP($AO45,'Технический лист'!$M:$N,2,1)),1+(1-$AU45))</f>
        <v/>
      </c>
      <c r="DF45" s="172">
        <f>MIN(IF($AU45=100%,1,1+VLOOKUP(($AJ45-$AI45-$AH45-$AG45-$AF45-$AE45*(1+DF$3))/$AJ45,'Технический лист'!$M:$N,2,1)-VLOOKUP($AO45,'Технический лист'!$M:$N,2,1)),1+(1-$AU45))</f>
        <v/>
      </c>
      <c r="DG45" s="172">
        <f>MIN(IF($AU45=100%,1,1+VLOOKUP(($AJ45-$AI45-$AH45-$AG45-$AF45-$AE45*(1+DG$3))/$AJ45,'Технический лист'!$M:$N,2,1)-VLOOKUP($AO45,'Технический лист'!$M:$N,2,1)),1+(1-$AU45))</f>
        <v/>
      </c>
      <c r="DH45" s="172">
        <f>MIN(IF($AU45=100%,1,1+VLOOKUP(($AJ45-$AI45-$AH45-$AG45-$AF45-$AE45*(1+DH$3))/$AJ45,'Технический лист'!$M:$N,2,1)-VLOOKUP($AO45,'Технический лист'!$M:$N,2,1)),1+(1-$AU45))</f>
        <v/>
      </c>
      <c r="DI45" s="172">
        <f>MIN(IF($AU45=100%,1,1+VLOOKUP(($AJ45-$AI45-$AH45-$AG45-$AF45-$AE45*(1+DI$3))/$AJ45,'Технический лист'!$M:$N,2,1)-VLOOKUP($AO45,'Технический лист'!$M:$N,2,1)),1+(1-$AU45))</f>
        <v/>
      </c>
      <c r="DJ45" s="172">
        <f>MIN(IF($AU45=100%,1,1+VLOOKUP(($AJ45-$AI45-$AH45-$AG45-$AF45-$AE45*(1+DJ$3))/$AJ45,'Технический лист'!$M:$N,2,1)-VLOOKUP($AO45,'Технический лист'!$M:$N,2,1)),1+(1-$AU45))</f>
        <v/>
      </c>
      <c r="DK45" s="172">
        <f>MIN(IF($AU45=100%,1,1+VLOOKUP(($AJ45-$AI45-$AH45-$AG45-$AF45-$AE45*(1+DK$3))/$AJ45,'Технический лист'!$M:$N,2,1)-VLOOKUP($AO45,'Технический лист'!$M:$N,2,1)),1+(1-$AU45))</f>
        <v/>
      </c>
      <c r="DL45" s="172">
        <f>MIN(IF($AU45=100%,1,1+VLOOKUP(($AJ45-$AI45-$AH45-$AG45-$AF45-$AE45*(1+DL$3))/$AJ45,'Технический лист'!$M:$N,2,1)-VLOOKUP($AO45,'Технический лист'!$M:$N,2,1)),1+(1-$AU45))</f>
        <v/>
      </c>
      <c r="DM45" s="172">
        <f>MIN(IF($AU45=100%,1,1+VLOOKUP(($AJ45-$AI45-$AH45-$AG45-$AF45-$AE45*(1+DM$3))/$AJ45,'Технический лист'!$M:$N,2,1)-VLOOKUP($AO45,'Технический лист'!$M:$N,2,1)),1+(1-$AU45))</f>
        <v/>
      </c>
      <c r="DN45" s="172">
        <f>MIN(IF($AU45=100%,1,1+VLOOKUP(($AJ45-$AI45-$AH45-$AG45-$AF45-$AE45*(1+DN$3))/$AJ45,'Технический лист'!$M:$N,2,1)-VLOOKUP($AO45,'Технический лист'!$M:$N,2,1)),1+(1-$AU45))</f>
        <v/>
      </c>
      <c r="DO45" s="172">
        <f>MIN(IF($AU45=100%,1,1+VLOOKUP(($AJ45-$AI45-$AH45-$AG45-$AF45-$AE45*(1+DO$3))/$AJ45,'Технический лист'!$M:$N,2,1)-VLOOKUP($AO45,'Технический лист'!$M:$N,2,1)),1+(1-$AU45))</f>
        <v/>
      </c>
      <c r="DP45" s="172">
        <f>MIN(IF($AU45=100%,1,1+VLOOKUP(($AJ45-$AI45-$AH45-$AG45-$AF45-$AE45*(1+DP$3))/$AJ45,'Технический лист'!$M:$N,2,1)-VLOOKUP($AO45,'Технический лист'!$M:$N,2,1)),1+(1-$AU45))</f>
        <v/>
      </c>
      <c r="DQ45" s="172">
        <f>MIN(IF($AU45=100%,1,1+VLOOKUP(($AJ45-$AI45-$AH45-$AG45-$AF45-$AE45*(1+DQ$3))/$AJ45,'Технический лист'!$M:$N,2,1)-VLOOKUP($AO45,'Технический лист'!$M:$N,2,1)),1+(1-$AU45))</f>
        <v/>
      </c>
      <c r="DR45" s="172">
        <f>MIN(IF($AU45=100%,1,1+VLOOKUP(($AJ45-$AI45-$AH45-$AG45-$AF45-$AE45*(1+DR$3))/$AJ45,'Технический лист'!$M:$N,2,1)-VLOOKUP($AO45,'Технический лист'!$M:$N,2,1)),1+(1-$AU45))</f>
        <v/>
      </c>
      <c r="DS45" s="172">
        <f>MIN(IF($AU45=100%,1,1+VLOOKUP(($AJ45-$AI45-$AH45-$AG45-$AF45-$AE45*(1+DS$3))/$AJ45,'Технический лист'!$M:$N,2,1)-VLOOKUP($AO45,'Технический лист'!$M:$N,2,1)),1+(1-$AU45))</f>
        <v/>
      </c>
      <c r="DT45" s="172">
        <f>MIN(IF($AU45=100%,1,1+VLOOKUP(($AJ45-$AI45-$AH45-$AG45-$AF45-$AE45*(1+DT$3))/$AJ45,'Технический лист'!$M:$N,2,1)-VLOOKUP($AO45,'Технический лист'!$M:$N,2,1)),1+(1-$AU45))</f>
        <v/>
      </c>
      <c r="DU45" s="172">
        <f>MIN(IF($AU45=100%,1,1+VLOOKUP(($AJ45-$AI45-$AH45-$AG45-$AF45-$AE45*(1+DU$3))/$AJ45,'Технический лист'!$M:$N,2,1)-VLOOKUP($AO45,'Технический лист'!$M:$N,2,1)),1+(1-$AU45))</f>
        <v/>
      </c>
      <c r="DV45" s="172">
        <f>MIN(IF($AU45=100%,1,1+VLOOKUP(($AJ45-$AI45-$AH45-$AG45-$AF45-$AE45*(1+DV$3))/$AJ45,'Технический лист'!$M:$N,2,1)-VLOOKUP($AO45,'Технический лист'!$M:$N,2,1)),1+(1-$AU45))</f>
        <v/>
      </c>
      <c r="DW45" s="172">
        <f>MIN(IF($AU45=100%,1,1+VLOOKUP(($AJ45-$AI45-$AH45-$AG45-$AF45-$AE45*(1+DW$3))/$AJ45,'Технический лист'!$M:$N,2,1)-VLOOKUP($AO45,'Технический лист'!$M:$N,2,1)),1+(1-$AU45))</f>
        <v/>
      </c>
      <c r="DX45" s="172">
        <f>MIN(IF($AU45=100%,1,1+VLOOKUP(($AJ45-$AI45-$AH45-$AG45-$AF45-$AE45*(1+DX$3))/$AJ45,'Технический лист'!$M:$N,2,1)-VLOOKUP($AO45,'Технический лист'!$M:$N,2,1)),1+(1-$AU45))</f>
        <v/>
      </c>
      <c r="DY45" s="172">
        <f>MIN(IF($AU45=100%,1,1+VLOOKUP(($AJ45-$AI45-$AH45-$AG45-$AF45-$AE45*(1+DY$3))/$AJ45,'Технический лист'!$M:$N,2,1)-VLOOKUP($AO45,'Технический лист'!$M:$N,2,1)),1+(1-$AU45))</f>
        <v/>
      </c>
      <c r="DZ45" s="172">
        <f>MIN(IF($AU45=100%,1,1+VLOOKUP(($AJ45-$AI45-$AH45-$AG45-$AF45-$AE45*(1+DZ$3))/$AJ45,'Технический лист'!$M:$N,2,1)-VLOOKUP($AO45,'Технический лист'!$M:$N,2,1)),1+(1-$AU45))</f>
        <v/>
      </c>
      <c r="EA45" s="172">
        <f>MIN(IF($AU45=100%,1,1+VLOOKUP(($AJ45-$AI45-$AH45-$AG45-$AF45-$AE45*(1+EA$3))/$AJ45,'Технический лист'!$M:$N,2,1)-VLOOKUP($AO45,'Технический лист'!$M:$N,2,1)),1+(1-$AU45))</f>
        <v/>
      </c>
      <c r="EB45" s="172">
        <f>MIN(IF($AU45=100%,1,1+VLOOKUP(($AJ45-$AI45-$AH45-$AG45-$AF45-$AE45*(1+EB$3))/$AJ45,'Технический лист'!$M:$N,2,1)-VLOOKUP($AO45,'Технический лист'!$M:$N,2,1)),1+(1-$AU45))</f>
        <v/>
      </c>
      <c r="EC45" s="172">
        <f>MIN(IF($AU45=100%,1,1+VLOOKUP(($AJ45-$AI45-$AH45-$AG45-$AF45-$AE45*(1+EC$3))/$AJ45,'Технический лист'!$M:$N,2,1)-VLOOKUP($AO45,'Технический лист'!$M:$N,2,1)),1+(1-$AU45))</f>
        <v/>
      </c>
      <c r="ED45" s="172">
        <f>MIN(IF($AU45=100%,1,1+VLOOKUP(($AJ45-$AI45-$AH45-$AG45-$AF45-$AE45*(1+ED$3))/$AJ45,'Технический лист'!$M:$N,2,1)-VLOOKUP($AO45,'Технический лист'!$M:$N,2,1)),1+(1-$AU45))</f>
        <v/>
      </c>
      <c r="EE45" s="172">
        <f>MIN(IF($AU45=100%,1,1+VLOOKUP(($AJ45-$AI45-$AH45-$AG45-$AF45-$AE45*(1+EE$3))/$AJ45,'Технический лист'!$M:$N,2,1)-VLOOKUP($AO45,'Технический лист'!$M:$N,2,1)),1+(1-$AU45))</f>
        <v/>
      </c>
      <c r="EF45" s="172">
        <f>MIN(IF($AU45=100%,1,1+VLOOKUP(($AJ45-$AI45-$AH45-$AG45-$AF45-$AE45*(1+EF$3))/$AJ45,'Технический лист'!$M:$N,2,1)-VLOOKUP($AO45,'Технический лист'!$M:$N,2,1)),1+(1-$AU45))</f>
        <v/>
      </c>
      <c r="EG45" s="172">
        <f>MIN(IF($AU45=100%,1,1+VLOOKUP(($AJ45-$AI45-$AH45-$AG45-$AF45-$AE45*(1+EG$3))/$AJ45,'Технический лист'!$M:$N,2,1)-VLOOKUP($AO45,'Технический лист'!$M:$N,2,1)),1+(1-$AU45))</f>
        <v/>
      </c>
      <c r="EH45" s="172">
        <f>MIN(IF($AU45=100%,1,1+VLOOKUP(($AJ45-$AI45-$AH45-$AG45-$AF45-$AE45*(1+EH$3))/$AJ45,'Технический лист'!$M:$N,2,1)-VLOOKUP($AO45,'Технический лист'!$M:$N,2,1)),1+(1-$AU45))</f>
        <v/>
      </c>
      <c r="EI45" s="172">
        <f>MIN(IF($AU45=100%,1,1+VLOOKUP(($AJ45-$AI45-$AH45-$AG45-$AF45-$AE45*(1+EI$3))/$AJ45,'Технический лист'!$M:$N,2,1)-VLOOKUP($AO45,'Технический лист'!$M:$N,2,1)),1+(1-$AU45))</f>
        <v/>
      </c>
      <c r="EJ45" s="172">
        <f>MIN(IF($AU45=100%,1,1+VLOOKUP(($AJ45-$AI45-$AH45-$AG45-$AF45-$AE45*(1+EJ$3))/$AJ45,'Технический лист'!$M:$N,2,1)-VLOOKUP($AO45,'Технический лист'!$M:$N,2,1)),1+(1-$AU45))</f>
        <v/>
      </c>
      <c r="EK45" s="172">
        <f>MIN(IF($AU45=100%,1,1+VLOOKUP(($AJ45-$AI45-$AH45-$AG45-$AF45-$AE45*(1+EK$3))/$AJ45,'Технический лист'!$M:$N,2,1)-VLOOKUP($AO45,'Технический лист'!$M:$N,2,1)),1+(1-$AU45))</f>
        <v/>
      </c>
      <c r="EL45" s="172">
        <f>MIN(IF($AU45=100%,1,1+VLOOKUP(($AJ45-$AI45-$AH45-$AG45-$AF45-$AE45*(1+EL$3))/$AJ45,'Технический лист'!$M:$N,2,1)-VLOOKUP($AO45,'Технический лист'!$M:$N,2,1)),1+(1-$AU45))</f>
        <v/>
      </c>
      <c r="EM45" s="172">
        <f>MIN(IF($AU45=100%,1,1+VLOOKUP(($AJ45-$AI45-$AH45-$AG45-$AF45-$AE45*(1+EM$3))/$AJ45,'Технический лист'!$M:$N,2,1)-VLOOKUP($AO45,'Технический лист'!$M:$N,2,1)),1+(1-$AU45))</f>
        <v/>
      </c>
      <c r="EN45" s="172">
        <f>MIN(IF($AU45=100%,1,1+VLOOKUP(($AJ45-$AI45-$AH45-$AG45-$AF45-$AE45*(1+EN$3))/$AJ45,'Технический лист'!$M:$N,2,1)-VLOOKUP($AO45,'Технический лист'!$M:$N,2,1)),1+(1-$AU45))</f>
        <v/>
      </c>
      <c r="EO45" s="172">
        <f>MIN(IF($AU45=100%,1,1+VLOOKUP(($AJ45-$AI45-$AH45-$AG45-$AF45-$AE45*(1+EO$3))/$AJ45,'Технический лист'!$M:$N,2,1)-VLOOKUP($AO45,'Технический лист'!$M:$N,2,1)),1+(1-$AU45))</f>
        <v/>
      </c>
      <c r="EP45" s="172">
        <f>MIN(IF($AU45=100%,1,1+VLOOKUP(($AJ45-$AI45-$AH45-$AG45-$AF45-$AE45*(1+EP$3))/$AJ45,'Технический лист'!$M:$N,2,1)-VLOOKUP($AO45,'Технический лист'!$M:$N,2,1)),1+(1-$AU45))</f>
        <v/>
      </c>
      <c r="EQ45" s="172">
        <f>MIN(IF($AU45=100%,1,1+VLOOKUP(($AJ45-$AI45-$AH45-$AG45-$AF45-$AE45*(1+EQ$3))/$AJ45,'Технический лист'!$M:$N,2,1)-VLOOKUP($AO45,'Технический лист'!$M:$N,2,1)),1+(1-$AU45))</f>
        <v/>
      </c>
      <c r="ER45" s="172">
        <f>MIN(IF($AU45=100%,1,1+VLOOKUP(($AJ45-$AI45-$AH45-$AG45-$AF45-$AE45*(1+ER$3))/$AJ45,'Технический лист'!$M:$N,2,1)-VLOOKUP($AO45,'Технический лист'!$M:$N,2,1)),1+(1-$AU45))</f>
        <v/>
      </c>
      <c r="ES45" s="172">
        <f>MIN(IF($AU45=100%,1,1+VLOOKUP(($AJ45-$AI45-$AH45-$AG45-$AF45-$AE45*(1+ES$3))/$AJ45,'Технический лист'!$M:$N,2,1)-VLOOKUP($AO45,'Технический лист'!$M:$N,2,1)),1+(1-$AU45))</f>
        <v/>
      </c>
      <c r="ET45" s="172">
        <f>MIN(IF($AU45=100%,1,1+VLOOKUP(($AJ45-$AI45-$AH45-$AG45-$AF45-$AE45*(1+ET$3))/$AJ45,'Технический лист'!$M:$N,2,1)-VLOOKUP($AO45,'Технический лист'!$M:$N,2,1)),1+(1-$AU45))</f>
        <v/>
      </c>
      <c r="EU45" s="172">
        <f>MIN(IF($AU45=100%,1,1+VLOOKUP(($AJ45-$AI45-$AH45-$AG45-$AF45-$AE45*(1+EU$3))/$AJ45,'Технический лист'!$M:$N,2,1)-VLOOKUP($AO45,'Технический лист'!$M:$N,2,1)),1+(1-$AU45))</f>
        <v/>
      </c>
      <c r="EV45" s="173" t="n">
        <v>1</v>
      </c>
      <c r="EW45" s="172">
        <f>MIN(1,MAX(VLOOKUP(($AJ45-$AI45-$AH45-$AG45-$AF45-$AE45*(1+EW$3))/$AJ45,'Технический лист'!$M:$N,2,1),(EV45-0.05)))</f>
        <v/>
      </c>
      <c r="EX45" s="172">
        <f>MIN(1,MAX(VLOOKUP(($AJ45-$AI45-$AH45-$AG45-$AF45-$AE45*(1+EX$3))/$AJ45,'Технический лист'!$M:$N,2,1),(EW45-0.05)))</f>
        <v/>
      </c>
      <c r="EY45" s="172">
        <f>MIN(1,MAX(VLOOKUP(($AJ45-$AI45-$AH45-$AG45-$AF45-$AE45*(1+EY$3))/$AJ45,'Технический лист'!$M:$N,2,1),(EX45-0.05)))</f>
        <v/>
      </c>
      <c r="EZ45" s="172">
        <f>MIN(1,MAX(VLOOKUP(($AJ45-$AI45-$AH45-$AG45-$AF45-$AE45*(1+EZ$3))/$AJ45,'Технический лист'!$M:$N,2,1),(EY45-0.05)))</f>
        <v/>
      </c>
      <c r="FA45" s="172">
        <f>MIN(1,MAX(VLOOKUP(($AJ45-$AI45-$AH45-$AG45-$AF45-$AE45*(1+FA$3))/$AJ45,'Технический лист'!$M:$N,2,1),(EZ45-0.05)))</f>
        <v/>
      </c>
      <c r="FB45" s="172">
        <f>MIN(1,MAX(VLOOKUP(($AJ45-$AI45-$AH45-$AG45-$AF45-$AE45*(1+FB$3))/$AJ45,'Технический лист'!$M:$N,2,1),(FA45-0.05)))</f>
        <v/>
      </c>
      <c r="FC45" s="172">
        <f>MIN(1,MAX(VLOOKUP(($AJ45-$AI45-$AH45-$AG45-$AF45-$AE45*(1+FC$3))/$AJ45,'Технический лист'!$M:$N,2,1),(FB45-0.05)))</f>
        <v/>
      </c>
      <c r="FD45" s="172">
        <f>MIN(1,MAX(VLOOKUP(($AJ45-$AI45-$AH45-$AG45-$AF45-$AE45*(1+FD$3))/$AJ45,'Технический лист'!$M:$N,2,1),(FC45-0.05)))</f>
        <v/>
      </c>
      <c r="FE45" s="172">
        <f>MIN(1,MAX(VLOOKUP(($AJ45-$AI45-$AH45-$AG45-$AF45-$AE45*(1+FE$3))/$AJ45,'Технический лист'!$M:$N,2,1),(FD45-0.05)))</f>
        <v/>
      </c>
      <c r="FF45" s="172">
        <f>MIN(1,MAX(VLOOKUP(($AJ45-$AI45-$AH45-$AG45-$AF45-$AE45*(1+FF$3))/$AJ45,'Технический лист'!$M:$N,2,1),(FE45-0.05)))</f>
        <v/>
      </c>
      <c r="FG45" s="172">
        <f>MIN(1,MAX(VLOOKUP(($AJ45-$AI45-$AH45-$AG45-$AF45-$AE45*(1+FG$3))/$AJ45,'Технический лист'!$M:$N,2,1),(FF45-0.05)))</f>
        <v/>
      </c>
      <c r="FH45" s="172">
        <f>MIN(1,MAX(VLOOKUP(($AJ45-$AI45-$AH45-$AG45-$AF45-$AE45*(1+FH$3))/$AJ45,'Технический лист'!$M:$N,2,1),(FG45-0.05)))</f>
        <v/>
      </c>
      <c r="FI45" s="172">
        <f>MIN(1,MAX(VLOOKUP(($AJ45-$AI45-$AH45-$AG45-$AF45-$AE45*(1+FI$3))/$AJ45,'Технический лист'!$M:$N,2,1),(FH45-0.05)))</f>
        <v/>
      </c>
      <c r="FJ45" s="172">
        <f>MIN(1,MAX(VLOOKUP(($AJ45-$AI45-$AH45-$AG45-$AF45-$AE45*(1+FJ$3))/$AJ45,'Технический лист'!$M:$N,2,1),(FI45-0.05)))</f>
        <v/>
      </c>
      <c r="FK45" s="172">
        <f>MIN(1,MAX(VLOOKUP(($AJ45-$AI45-$AH45-$AG45-$AF45-$AE45*(1+FK$3))/$AJ45,'Технический лист'!$M:$N,2,1),(FJ45-0.05)))</f>
        <v/>
      </c>
      <c r="FL45" s="172">
        <f>MIN(1,MAX(VLOOKUP(($AJ45-$AI45-$AH45-$AG45-$AF45-$AE45*(1+FL$3))/$AJ45,'Технический лист'!$M:$N,2,1),(FK45-0.05)))</f>
        <v/>
      </c>
      <c r="FM45" s="172">
        <f>MIN(1,MAX(VLOOKUP(($AJ45-$AI45-$AH45-$AG45-$AF45-$AE45*(1+FM$3))/$AJ45,'Технический лист'!$M:$N,2,1),(FL45-0.05)))</f>
        <v/>
      </c>
      <c r="FN45" s="172">
        <f>MIN(1,MAX(VLOOKUP(($AJ45-$AI45-$AH45-$AG45-$AF45-$AE45*(1+FN$3))/$AJ45,'Технический лист'!$M:$N,2,1),(FM45-0.05)))</f>
        <v/>
      </c>
      <c r="FO45" s="172">
        <f>MIN(1,MAX(VLOOKUP(($AJ45-$AI45-$AH45-$AG45-$AF45-$AE45*(1+FO$3))/$AJ45,'Технический лист'!$M:$N,2,1),(FN45-0.05)))</f>
        <v/>
      </c>
      <c r="FP45" s="172">
        <f>MIN(1,MAX(VLOOKUP(($AJ45-$AI45-$AH45-$AG45-$AF45-$AE45*(1+FP$3))/$AJ45,'Технический лист'!$M:$N,2,1),(FO45-0.05)))</f>
        <v/>
      </c>
      <c r="FQ45" s="172">
        <f>MIN(1,MAX(VLOOKUP(($AJ45-$AI45-$AH45-$AG45-$AF45-$AE45*(1+FQ$3))/$AJ45,'Технический лист'!$M:$N,2,1),(FP45-0.05)))</f>
        <v/>
      </c>
      <c r="FR45" s="172">
        <f>MIN(1,MAX(VLOOKUP(($AJ45-$AI45-$AH45-$AG45-$AF45-$AE45*(1+FR$3))/$AJ45,'Технический лист'!$M:$N,2,1),(FQ45-0.05)))</f>
        <v/>
      </c>
      <c r="FS45" s="172">
        <f>MIN(1,MAX(VLOOKUP(($AJ45-$AI45-$AH45-$AG45-$AF45-$AE45*(1+FS$3))/$AJ45,'Технический лист'!$M:$N,2,1),(FR45-0.05)))</f>
        <v/>
      </c>
      <c r="FT45" s="172">
        <f>MIN(1,MAX(VLOOKUP(($AJ45-$AI45-$AH45-$AG45-$AF45-$AE45*(1+FT$3))/$AJ45,'Технический лист'!$M:$N,2,1),(FS45-0.05)))</f>
        <v/>
      </c>
      <c r="FU45" s="172">
        <f>MIN(1,MAX(VLOOKUP(($AJ45-$AI45-$AH45-$AG45-$AF45-$AE45*(1+FU$3))/$AJ45,'Технический лист'!$M:$N,2,1),(FT45-0.05)))</f>
        <v/>
      </c>
      <c r="FV45" s="172">
        <f>MIN(1,MAX(VLOOKUP(($AJ45-$AI45-$AH45-$AG45-$AF45-$AE45*(1+FV$3))/$AJ45,'Технический лист'!$M:$N,2,1),(FU45-0.05)))</f>
        <v/>
      </c>
      <c r="FW45" s="172">
        <f>MIN(1,MAX(VLOOKUP(($AJ45-$AI45-$AH45-$AG45-$AF45-$AE45*(1+FW$3))/$AJ45,'Технический лист'!$M:$N,2,1),(FV45-0.05)))</f>
        <v/>
      </c>
      <c r="FX45" s="172">
        <f>MIN(1,MAX(VLOOKUP(($AJ45-$AI45-$AH45-$AG45-$AF45-$AE45*(1+FX$3))/$AJ45,'Технический лист'!$M:$N,2,1),(FW45-0.05)))</f>
        <v/>
      </c>
      <c r="FY45" s="172">
        <f>MIN(1,MAX(VLOOKUP(($AJ45-$AI45-$AH45-$AG45-$AF45-$AE45*(1+FY$3))/$AJ45,'Технический лист'!$M:$N,2,1),(FX45-0.05)))</f>
        <v/>
      </c>
      <c r="FZ45" s="172">
        <f>MIN(1,MAX(VLOOKUP(($AJ45-$AI45-$AH45-$AG45-$AF45-$AE45*(1+FZ$3))/$AJ45,'Технический лист'!$M:$N,2,1),(FY45-0.05)))</f>
        <v/>
      </c>
      <c r="GA45" s="172">
        <f>MIN(1,MAX(VLOOKUP(($AJ45-$AI45-$AH45-$AG45-$AF45-$AE45*(1+GA$3))/$AJ45,'Технический лист'!$M:$N,2,1),(FZ45-0.05)))</f>
        <v/>
      </c>
      <c r="GB45" s="172">
        <f>MIN(1,MAX(VLOOKUP(($AJ45-$AI45-$AH45-$AG45-$AF45-$AE45*(1+GB$3))/$AJ45,'Технический лист'!$M:$N,2,1),(GA45-0.05)))</f>
        <v/>
      </c>
      <c r="GC45" s="172">
        <f>MIN(1,MAX(VLOOKUP(($AJ45-$AI45-$AH45-$AG45-$AF45-$AE45*(1+GC$3))/$AJ45,'Технический лист'!$M:$N,2,1),(GB45-0.05)))</f>
        <v/>
      </c>
      <c r="GD45" s="172">
        <f>MIN(1,MAX(VLOOKUP(($AJ45-$AI45-$AH45-$AG45-$AF45-$AE45*(1+GD$3))/$AJ45,'Технический лист'!$M:$N,2,1),(GC45-0.05)))</f>
        <v/>
      </c>
      <c r="GE45" s="172">
        <f>MIN(1,MAX(VLOOKUP(($AJ45-$AI45-$AH45-$AG45-$AF45-$AE45*(1+GE$3))/$AJ45,'Технический лист'!$M:$N,2,1),(GD45-0.05)))</f>
        <v/>
      </c>
      <c r="GF45" s="172">
        <f>MIN(1,MAX(VLOOKUP(($AJ45-$AI45-$AH45-$AG45-$AF45-$AE45*(1+GF$3))/$AJ45,'Технический лист'!$M:$N,2,1),(GE45-0.05)))</f>
        <v/>
      </c>
      <c r="GG45" s="172">
        <f>MIN(1,MAX(VLOOKUP(($AJ45-$AI45-$AH45-$AG45-$AF45-$AE45*(1+GG$3))/$AJ45,'Технический лист'!$M:$N,2,1),(GF45-0.05)))</f>
        <v/>
      </c>
      <c r="GH45" s="172">
        <f>MIN(1,MAX(VLOOKUP(($AJ45-$AI45-$AH45-$AG45-$AF45-$AE45*(1+GH$3))/$AJ45,'Технический лист'!$M:$N,2,1),(GG45-0.05)))</f>
        <v/>
      </c>
      <c r="GI45" s="172">
        <f>MIN(1,MAX(VLOOKUP(($AJ45-$AI45-$AH45-$AG45-$AF45-$AE45*(1+GI$3))/$AJ45,'Технический лист'!$M:$N,2,1),(GH45-0.05)))</f>
        <v/>
      </c>
      <c r="GJ45" s="172">
        <f>MIN(1,MAX(VLOOKUP(($AJ45-$AI45-$AH45-$AG45-$AF45-$AE45*(1+GJ$3))/$AJ45,'Технический лист'!$M:$N,2,1),(GI45-0.05)))</f>
        <v/>
      </c>
      <c r="GK45" s="172">
        <f>MIN(1,MAX(VLOOKUP(($AJ45-$AI45-$AH45-$AG45-$AF45-$AE45*(1+GK$3))/$AJ45,'Технический лист'!$M:$N,2,1),(GJ45-0.05)))</f>
        <v/>
      </c>
      <c r="GL45" s="172">
        <f>MIN(1,MAX(VLOOKUP(($AJ45-$AI45-$AH45-$AG45-$AF45-$AE45*(1+GL$3))/$AJ45,'Технический лист'!$M:$N,2,1),(GK45-0.05)))</f>
        <v/>
      </c>
      <c r="GM45" s="172">
        <f>MIN(1,MAX(VLOOKUP(($AJ45-$AI45-$AH45-$AG45-$AF45-$AE45*(1+GM$3))/$AJ45,'Технический лист'!$M:$N,2,1),(GL45-0.05)))</f>
        <v/>
      </c>
      <c r="GN45" s="172">
        <f>MIN(1,MAX(VLOOKUP(($AJ45-$AI45-$AH45-$AG45-$AF45-$AE45*(1+GN$3))/$AJ45,'Технический лист'!$M:$N,2,1),(GM45-0.05)))</f>
        <v/>
      </c>
      <c r="GO45" s="172">
        <f>MIN(1,MAX(VLOOKUP(($AJ45-$AI45-$AH45-$AG45-$AF45-$AE45*(1+GO$3))/$AJ45,'Технический лист'!$M:$N,2,1),(GN45-0.05)))</f>
        <v/>
      </c>
      <c r="GP45" s="172">
        <f>MIN(1,MAX(VLOOKUP(($AJ45-$AI45-$AH45-$AG45-$AF45-$AE45*(1+GP$3))/$AJ45,'Технический лист'!$M:$N,2,1),(GO45-0.05)))</f>
        <v/>
      </c>
      <c r="GQ45" s="172">
        <f>MIN(1,MAX(VLOOKUP(($AJ45-$AI45-$AH45-$AG45-$AF45-$AE45*(1+GQ$3))/$AJ45,'Технический лист'!$M:$N,2,1),(GP45-0.05)))</f>
        <v/>
      </c>
      <c r="GR45" s="172">
        <f>MIN(1,MAX(VLOOKUP(($AJ45-$AI45-$AH45-$AG45-$AF45-$AE45*(1+GR$3))/$AJ45,'Технический лист'!$M:$N,2,1),(GQ45-0.05)))</f>
        <v/>
      </c>
      <c r="GS45" s="172">
        <f>MIN(1,MAX(VLOOKUP(($AJ45-$AI45-$AH45-$AG45-$AF45-$AE45*(1+GS$3))/$AJ45,'Технический лист'!$M:$N,2,1),(GR45-0.05)))</f>
        <v/>
      </c>
      <c r="GT45" s="172">
        <f>MIN(1,MAX(VLOOKUP(($AJ45-$AI45-$AH45-$AG45-$AF45-$AE45*(1+GT$3))/$AJ45,'Технический лист'!$M:$N,2,1),(GS45-0.05)))</f>
        <v/>
      </c>
      <c r="GU45" s="172">
        <f>MIN(1,MAX(VLOOKUP(($AJ45-$AI45-$AH45-$AG45-$AF45-$AE45*(1+GU$3))/$AJ45,'Технический лист'!$M:$N,2,1),(GT45-0.05)))</f>
        <v/>
      </c>
      <c r="GV45" s="172">
        <f>MIN(1,MAX(VLOOKUP(($AJ45-$AI45-$AH45-$AG45-$AF45-$AE45*(1+GV$3))/$AJ45,'Технический лист'!$M:$N,2,1),(GU45-0.05)))</f>
        <v/>
      </c>
      <c r="GW45" s="172">
        <f>MIN(1,MAX(VLOOKUP(($AJ45-$AI45-$AH45-$AG45-$AF45-$AE45*(1+GW$3))/$AJ45,'Технический лист'!$M:$N,2,1),(GV45-0.05)))</f>
        <v/>
      </c>
      <c r="GX45" s="172">
        <f>MIN(1,MAX(VLOOKUP(($AJ45-$AI45-$AH45-$AG45-$AF45-$AE45*(1+GX$3))/$AJ45,'Технический лист'!$M:$N,2,1),(GW45-0.05)))</f>
        <v/>
      </c>
      <c r="GY45" s="172">
        <f>MIN(1,MAX(VLOOKUP(($AJ45-$AI45-$AH45-$AG45-$AF45-$AE45*(1+GY$3))/$AJ45,'Технический лист'!$M:$N,2,1),(GX45-0.05)))</f>
        <v/>
      </c>
      <c r="GZ45" s="172">
        <f>MIN(1,MAX(VLOOKUP(($AJ45-$AI45-$AH45-$AG45-$AF45-$AE45*(1+GZ$3))/$AJ45,'Технический лист'!$M:$N,2,1),(GY45-0.05)))</f>
        <v/>
      </c>
      <c r="HA45" s="172">
        <f>MIN(1,MAX(VLOOKUP(($AJ45-$AI45-$AH45-$AG45-$AF45-$AE45*(1+HA$3))/$AJ45,'Технический лист'!$M:$N,2,1),(GZ45-0.05)))</f>
        <v/>
      </c>
      <c r="HB45" s="172">
        <f>MIN(1,MAX(VLOOKUP(($AJ45-$AI45-$AH45-$AG45-$AF45-$AE45*(1+HB$3))/$AJ45,'Технический лист'!$M:$N,2,1),(HA45-0.05)))</f>
        <v/>
      </c>
      <c r="HC45" s="172">
        <f>MIN(1,MAX(VLOOKUP(($AJ45-$AI45-$AH45-$AG45-$AF45-$AE45*(1+HC$3))/$AJ45,'Технический лист'!$M:$N,2,1),(HB45-0.05)))</f>
        <v/>
      </c>
      <c r="HD45" s="172">
        <f>MIN(1,MAX(VLOOKUP(($AJ45-$AI45-$AH45-$AG45-$AF45-$AE45*(1+HD$3))/$AJ45,'Технический лист'!$M:$N,2,1),(HC45-0.05)))</f>
        <v/>
      </c>
      <c r="HE45" s="172">
        <f>MIN(1,MAX(VLOOKUP(($AJ45-$AI45-$AH45-$AG45-$AF45-$AE45*(1+HE$3))/$AJ45,'Технический лист'!$M:$N,2,1),(HD45-0.05)))</f>
        <v/>
      </c>
      <c r="HF45" s="172">
        <f>MIN(1,MAX(VLOOKUP(($AJ45-$AI45-$AH45-$AG45-$AF45-$AE45*(1+HF$3))/$AJ45,'Технический лист'!$M:$N,2,1),(HE45-0.05)))</f>
        <v/>
      </c>
      <c r="HG45" s="172">
        <f>MIN(1,MAX(VLOOKUP(($AJ45-$AI45-$AH45-$AG45-$AF45-$AE45*(1+HG$3))/$AJ45,'Технический лист'!$M:$N,2,1),(HF45-0.05)))</f>
        <v/>
      </c>
      <c r="HH45" s="172">
        <f>MIN(1,MAX(VLOOKUP(($AJ45-$AI45-$AH45-$AG45-$AF45-$AE45*(1+HH$3))/$AJ45,'Технический лист'!$M:$N,2,1),(HG45-0.05)))</f>
        <v/>
      </c>
      <c r="HI45" s="172">
        <f>MIN(1,MAX(VLOOKUP(($AJ45-$AI45-$AH45-$AG45-$AF45-$AE45*(1+HI$3))/$AJ45,'Технический лист'!$M:$N,2,1),(HH45-0.05)))</f>
        <v/>
      </c>
      <c r="HJ45" s="172">
        <f>MIN(1,MAX(VLOOKUP(($AJ45-$AI45-$AH45-$AG45-$AF45-$AE45*(1+HJ$3))/$AJ45,'Технический лист'!$M:$N,2,1),(HI45-0.05)))</f>
        <v/>
      </c>
      <c r="HK45" s="172">
        <f>MIN(1,MAX(VLOOKUP(($AJ45-$AI45-$AH45-$AG45-$AF45-$AE45*(1+HK$3))/$AJ45,'Технический лист'!$M:$N,2,1),(HJ45-0.05)))</f>
        <v/>
      </c>
      <c r="HL45" s="172">
        <f>MIN(1,MAX(VLOOKUP(($AJ45-$AI45-$AH45-$AG45-$AF45-$AE45*(1+HL$3))/$AJ45,'Технический лист'!$M:$N,2,1),(HK45-0.05)))</f>
        <v/>
      </c>
      <c r="HM45" s="172">
        <f>MIN(1,MAX(VLOOKUP(($AJ45-$AI45-$AH45-$AG45-$AF45-$AE45*(1+HM$3))/$AJ45,'Технический лист'!$M:$N,2,1),(HL45-0.05)))</f>
        <v/>
      </c>
      <c r="HN45" s="172">
        <f>MIN(1,MAX(VLOOKUP(($AJ45-$AI45-$AH45-$AG45-$AF45-$AE45*(1+HN$3))/$AJ45,'Технический лист'!$M:$N,2,1),(HM45-0.05)))</f>
        <v/>
      </c>
      <c r="HO45" s="172">
        <f>MIN(1,MAX(VLOOKUP(($AJ45-$AI45-$AH45-$AG45-$AF45-$AE45*(1+HO$3))/$AJ45,'Технический лист'!$M:$N,2,1),(HN45-0.05)))</f>
        <v/>
      </c>
      <c r="HP45" s="172">
        <f>MIN(1,MAX(VLOOKUP(($AJ45-$AI45-$AH45-$AG45-$AF45-$AE45*(1+HP$3))/$AJ45,'Технический лист'!$M:$N,2,1),(HO45-0.05)))</f>
        <v/>
      </c>
      <c r="HQ45" s="172">
        <f>MIN(1,MAX(VLOOKUP(($AJ45-$AI45-$AH45-$AG45-$AF45-$AE45*(1+HQ$3))/$AJ45,'Технический лист'!$M:$N,2,1),(HP45-0.05)))</f>
        <v/>
      </c>
      <c r="HR45" s="172">
        <f>MIN(1,MAX(VLOOKUP(($AJ45-$AI45-$AH45-$AG45-$AF45-$AE45*(1+HR$3))/$AJ45,'Технический лист'!$M:$N,2,1),(HQ45-0.05)))</f>
        <v/>
      </c>
      <c r="HS45" s="172">
        <f>MIN(1,MAX(VLOOKUP(($AJ45-$AI45-$AH45-$AG45-$AF45-$AE45*(1+HS$3))/$AJ45,'Технический лист'!$M:$N,2,1),(HR45-0.05)))</f>
        <v/>
      </c>
      <c r="HT45" s="172">
        <f>MIN(1,MAX(VLOOKUP(($AJ45-$AI45-$AH45-$AG45-$AF45-$AE45*(1+HT$3))/$AJ45,'Технический лист'!$M:$N,2,1),(HS45-0.05)))</f>
        <v/>
      </c>
      <c r="HU45" s="172">
        <f>MIN(1,MAX(VLOOKUP(($AJ45-$AI45-$AH45-$AG45-$AF45-$AE45*(1+HU$3))/$AJ45,'Технический лист'!$M:$N,2,1),(HT45-0.05)))</f>
        <v/>
      </c>
      <c r="HV45" s="172">
        <f>MIN(1,MAX(VLOOKUP(($AJ45-$AI45-$AH45-$AG45-$AF45-$AE45*(1+HV$3))/$AJ45,'Технический лист'!$M:$N,2,1),(HU45-0.05)))</f>
        <v/>
      </c>
      <c r="HW45" s="172">
        <f>MIN(1,MAX(VLOOKUP(($AJ45-$AI45-$AH45-$AG45-$AF45-$AE45*(1+HW$3))/$AJ45,'Технический лист'!$M:$N,2,1),(HV45-0.05)))</f>
        <v/>
      </c>
      <c r="HX45" s="172">
        <f>MIN(1,MAX(VLOOKUP(($AJ45-$AI45-$AH45-$AG45-$AF45-$AE45*(1+HX$3))/$AJ45,'Технический лист'!$M:$N,2,1),(HW45-0.05)))</f>
        <v/>
      </c>
      <c r="HY45" s="172">
        <f>MIN(1,MAX(VLOOKUP(($AJ45-$AI45-$AH45-$AG45-$AF45-$AE45*(1+HY$3))/$AJ45,'Технический лист'!$M:$N,2,1),(HX45-0.05)))</f>
        <v/>
      </c>
      <c r="HZ45" s="172">
        <f>MIN(1,MAX(VLOOKUP(($AJ45-$AI45-$AH45-$AG45-$AF45-$AE45*(1+HZ$3))/$AJ45,'Технический лист'!$M:$N,2,1),(HY45-0.05)))</f>
        <v/>
      </c>
      <c r="IA45" s="172">
        <f>MIN(1,MAX(VLOOKUP(($AJ45-$AI45-$AH45-$AG45-$AF45-$AE45*(1+IA$3))/$AJ45,'Технический лист'!$M:$N,2,1),(HZ45-0.05)))</f>
        <v/>
      </c>
      <c r="IB45" s="172">
        <f>MIN(1,MAX(VLOOKUP(($AJ45-$AI45-$AH45-$AG45-$AF45-$AE45*(1+IB$3))/$AJ45,'Технический лист'!$M:$N,2,1),(IA45-0.05)))</f>
        <v/>
      </c>
      <c r="IC45" s="172">
        <f>MIN(1,MAX(VLOOKUP(($AJ45-$AI45-$AH45-$AG45-$AF45-$AE45*(1+IC$3))/$AJ45,'Технический лист'!$M:$N,2,1),(IB45-0.05)))</f>
        <v/>
      </c>
      <c r="ID45" s="172">
        <f>MIN(1,MAX(VLOOKUP(($AJ45-$AI45-$AH45-$AG45-$AF45-$AE45*(1+ID$3))/$AJ45,'Технический лист'!$M:$N,2,1),(IC45-0.05)))</f>
        <v/>
      </c>
      <c r="IE45" s="172">
        <f>MIN(1,MAX(VLOOKUP(($AJ45-$AI45-$AH45-$AG45-$AF45-$AE45*(1+IE$3))/$AJ45,'Технический лист'!$M:$N,2,1),(ID45-0.05)))</f>
        <v/>
      </c>
      <c r="IF45" s="172">
        <f>MIN(1,MAX(VLOOKUP(($AJ45-$AI45-$AH45-$AG45-$AF45-$AE45*(1+IF$3))/$AJ45,'Технический лист'!$M:$N,2,1),(IE45-0.05)))</f>
        <v/>
      </c>
      <c r="IG45" s="172">
        <f>MIN(1,MAX(VLOOKUP(($AJ45-$AI45-$AH45-$AG45-$AF45-$AE45*(1+IG$3))/$AJ45,'Технический лист'!$M:$N,2,1),(IF45-0.05)))</f>
        <v/>
      </c>
      <c r="IH45" s="172">
        <f>MIN(1,MAX(VLOOKUP(($AJ45-$AI45-$AH45-$AG45-$AF45-$AE45*(1+IH$3))/$AJ45,'Технический лист'!$M:$N,2,1),(IG45-0.05)))</f>
        <v/>
      </c>
      <c r="II45" s="172">
        <f>MIN(1,MAX(VLOOKUP(($AJ45-$AI45-$AH45-$AG45-$AF45-$AE45*(1+II$3))/$AJ45,'Технический лист'!$M:$N,2,1),(IH45-0.05)))</f>
        <v/>
      </c>
      <c r="IJ45" s="172">
        <f>MIN(1,MAX(VLOOKUP(($AJ45-$AI45-$AH45-$AG45-$AF45-$AE45*(1+IJ$3))/$AJ45,'Технический лист'!$M:$N,2,1),(II45-0.05)))</f>
        <v/>
      </c>
      <c r="IK45" s="172">
        <f>MIN(1,MAX(VLOOKUP(($AJ45-$AI45-$AH45-$AG45-$AF45-$AE45*(1+IK$3))/$AJ45,'Технический лист'!$M:$N,2,1),(IJ45-0.05)))</f>
        <v/>
      </c>
      <c r="IL45" s="172">
        <f>MIN(1,MAX(VLOOKUP(($AJ45-$AI45-$AH45-$AG45-$AF45-$AE45*(1+IL$3))/$AJ45,'Технический лист'!$M:$N,2,1),(IK45-0.05)))</f>
        <v/>
      </c>
      <c r="IM45" s="172">
        <f>MIN(1,MAX(VLOOKUP(($AJ45-$AI45-$AH45-$AG45-$AF45-$AE45*(1+IM$3))/$AJ45,'Технический лист'!$M:$N,2,1),(IL45-0.05)))</f>
        <v/>
      </c>
      <c r="IN45" s="172">
        <f>MIN(1,MAX(VLOOKUP(($AJ45-$AI45-$AH45-$AG45-$AF45-$AE45*(1+IN$3))/$AJ45,'Технический лист'!$M:$N,2,1),(IM45-0.05)))</f>
        <v/>
      </c>
      <c r="IO45" s="172">
        <f>MIN(1,MAX(VLOOKUP(($AJ45-$AI45-$AH45-$AG45-$AF45-$AE45*(1+IO$3))/$AJ45,'Технический лист'!$M:$N,2,1),(IN45-0.05)))</f>
        <v/>
      </c>
      <c r="IP45" s="172">
        <f>MIN(1,MAX(VLOOKUP(($AJ45-$AI45-$AH45-$AG45-$AF45-$AE45*(1+IP$3))/$AJ45,'Технический лист'!$M:$N,2,1),(IO45-0.05)))</f>
        <v/>
      </c>
      <c r="IQ45" s="172">
        <f>MIN(1,MAX(VLOOKUP(($AJ45-$AI45-$AH45-$AG45-$AF45-$AE45*(1+IQ$3))/$AJ45,'Технический лист'!$M:$N,2,1),(IP45-0.05)))</f>
        <v/>
      </c>
      <c r="IR45" s="172">
        <f>MIN(1,MAX(VLOOKUP(($AJ45-$AI45-$AH45-$AG45-$AF45-$AE45*(1+IR$3))/$AJ45,'Технический лист'!$M:$N,2,1),(IQ45-0.05)))</f>
        <v/>
      </c>
    </row>
    <row r="46">
      <c r="A46" s="89" t="inlineStr">
        <is>
          <t>ЧМ (сырье)</t>
        </is>
      </c>
      <c r="B46" s="90" t="n">
        <v>4</v>
      </c>
      <c r="C46" s="5" t="inlineStr">
        <is>
          <t>Руды  всякие</t>
        </is>
      </c>
      <c r="D46" s="91" t="n">
        <v>14111</v>
      </c>
      <c r="E46" s="91" t="inlineStr">
        <is>
          <t xml:space="preserve">Окатыши железорудные </t>
        </is>
      </c>
      <c r="F46" s="92" t="inlineStr">
        <is>
          <t>РУДЫ И КОНЦЕНТРАТЫ ЖЕЛЕЗН</t>
        </is>
      </c>
      <c r="G46" s="91" t="inlineStr">
        <is>
          <t>СВР</t>
        </is>
      </c>
      <c r="H46" s="91" t="inlineStr">
        <is>
          <t>СЕВ</t>
        </is>
      </c>
      <c r="I46" s="91" t="inlineStr">
        <is>
          <t>КАЧКАНАР</t>
        </is>
      </c>
      <c r="J46" s="91" t="inlineStr">
        <is>
          <t>КОШТА</t>
        </is>
      </c>
      <c r="K46" s="91" t="n">
        <v>2431</v>
      </c>
      <c r="L46" s="91" t="inlineStr">
        <is>
          <t>Полувагоны</t>
        </is>
      </c>
      <c r="M46" s="91" t="inlineStr">
        <is>
          <t>Внутр. перевозки</t>
        </is>
      </c>
      <c r="N46" s="91" t="inlineStr">
        <is>
          <t>вагонная</t>
        </is>
      </c>
      <c r="O46" s="91" t="inlineStr">
        <is>
          <t xml:space="preserve">Северо-Западное </t>
        </is>
      </c>
      <c r="P46" s="89" t="inlineStr">
        <is>
          <t>'000000186938</t>
        </is>
      </c>
      <c r="Q46" s="91" t="inlineStr">
        <is>
          <t>'АО "ЕВРАЗ КГОК"</t>
        </is>
      </c>
      <c r="R46" s="91" t="inlineStr">
        <is>
          <t>ООО "ЕвразХолдинг"</t>
        </is>
      </c>
      <c r="S46" s="87" t="n">
        <v>4479</v>
      </c>
      <c r="T46" s="87" t="n">
        <v>10889078</v>
      </c>
      <c r="U46" s="88" t="n">
        <v>63</v>
      </c>
      <c r="V46" s="88" t="n">
        <v>0</v>
      </c>
      <c r="W46" s="87" t="n">
        <v>3850806</v>
      </c>
      <c r="X46" s="112" t="n">
        <v>75</v>
      </c>
      <c r="Y46" s="112" t="inlineStr">
        <is>
          <t>маршрутная</t>
        </is>
      </c>
      <c r="Z46" s="113" t="n">
        <v>5</v>
      </c>
      <c r="AA46" s="113" t="n">
        <v>5</v>
      </c>
      <c r="AB46" s="113" t="n">
        <v>4</v>
      </c>
      <c r="AC46" s="161" t="n">
        <v>889.52</v>
      </c>
      <c r="AD46" s="161">
        <f>AE46-AC46</f>
        <v/>
      </c>
      <c r="AE46" s="161" t="n">
        <v>1383.73</v>
      </c>
      <c r="AF46" s="162">
        <f>(Z46+AA46+AB46)*'Ставки аренды'!$B$2/X46</f>
        <v/>
      </c>
      <c r="AG46" s="163" t="n">
        <v>0</v>
      </c>
      <c r="AH46" s="164" t="n">
        <v>0</v>
      </c>
      <c r="AI46" s="165">
        <f>0.71*AVERAGE(AJ43,AJ44)</f>
        <v/>
      </c>
      <c r="AJ46" s="166">
        <f>Цены!$D$12</f>
        <v/>
      </c>
      <c r="AK46" s="164">
        <f>AJ46/Цены!$B$1</f>
        <v/>
      </c>
      <c r="AL46" s="164">
        <f>AE46+AF46+AG46</f>
        <v/>
      </c>
      <c r="AM46" s="164">
        <f>AJ46-AL46</f>
        <v/>
      </c>
      <c r="AN46" s="164">
        <f>AI46+AH46+AG46+AF46+AE46</f>
        <v/>
      </c>
      <c r="AO46" s="167">
        <f>(AJ46-AN46)/AJ46</f>
        <v/>
      </c>
      <c r="AP46" s="168">
        <f>AL46/AJ46</f>
        <v/>
      </c>
      <c r="AQ46" s="168">
        <f>AE46/AJ46</f>
        <v/>
      </c>
      <c r="AR46" s="168">
        <f>AE46/AL46</f>
        <v/>
      </c>
      <c r="AS46" s="169" t="n">
        <v>1</v>
      </c>
      <c r="AT46" s="121">
        <f>S46*AS46</f>
        <v/>
      </c>
      <c r="AU46" s="83" t="n">
        <v>0.85</v>
      </c>
      <c r="AV46" s="170">
        <f>(AJ46-(AE46*(1+$IS$2)+AF46+AG46+AH46+AI46))/AJ46</f>
        <v/>
      </c>
      <c r="AW46" s="171">
        <f>(AE46*(1+$IS$2)+AF46+AG46)/AJ46</f>
        <v/>
      </c>
      <c r="AX46" s="171">
        <f>(AE46*(1+$IS$2))/AJ46</f>
        <v/>
      </c>
      <c r="AY46" s="171">
        <f>(AE46*(1+$IS$2))/(AE46*(1+$IS$2)+AF46+AG46)</f>
        <v/>
      </c>
      <c r="AZ46" s="172">
        <f>MIN(IF($AU46=100%,1,1+VLOOKUP(($AJ46-$AI46-$AH46-$AG46-$AF46-$AE46*(1+AZ$3))/$AJ46,'Технический лист'!$M:$N,2,1)-VLOOKUP($AO46,'Технический лист'!$M:$N,2,1)),1+(1-$AU46))</f>
        <v/>
      </c>
      <c r="BA46" s="172">
        <f>MIN(IF($AU46=100%,1,1+VLOOKUP(($AJ46-$AI46-$AH46-$AG46-$AF46-$AE46*(1+BA$3))/$AJ46,'Технический лист'!$M:$N,2,1)-VLOOKUP($AO46,'Технический лист'!$M:$N,2,1)),1+(1-$AU46))</f>
        <v/>
      </c>
      <c r="BB46" s="172">
        <f>MIN(IF($AU46=100%,1,1+VLOOKUP(($AJ46-$AI46-$AH46-$AG46-$AF46-$AE46*(1+BB$3))/$AJ46,'Технический лист'!$M:$N,2,1)-VLOOKUP($AO46,'Технический лист'!$M:$N,2,1)),1+(1-$AU46))</f>
        <v/>
      </c>
      <c r="BC46" s="172">
        <f>MIN(IF($AU46=100%,1,1+VLOOKUP(($AJ46-$AI46-$AH46-$AG46-$AF46-$AE46*(1+BC$3))/$AJ46,'Технический лист'!$M:$N,2,1)-VLOOKUP($AO46,'Технический лист'!$M:$N,2,1)),1+(1-$AU46))</f>
        <v/>
      </c>
      <c r="BD46" s="172">
        <f>MIN(IF($AU46=100%,1,1+VLOOKUP(($AJ46-$AI46-$AH46-$AG46-$AF46-$AE46*(1+BD$3))/$AJ46,'Технический лист'!$M:$N,2,1)-VLOOKUP($AO46,'Технический лист'!$M:$N,2,1)),1+(1-$AU46))</f>
        <v/>
      </c>
      <c r="BE46" s="172">
        <f>MIN(IF($AU46=100%,1,1+VLOOKUP(($AJ46-$AI46-$AH46-$AG46-$AF46-$AE46*(1+BE$3))/$AJ46,'Технический лист'!$M:$N,2,1)-VLOOKUP($AO46,'Технический лист'!$M:$N,2,1)),1+(1-$AU46))</f>
        <v/>
      </c>
      <c r="BF46" s="172">
        <f>MIN(IF($AU46=100%,1,1+VLOOKUP(($AJ46-$AI46-$AH46-$AG46-$AF46-$AE46*(1+BF$3))/$AJ46,'Технический лист'!$M:$N,2,1)-VLOOKUP($AO46,'Технический лист'!$M:$N,2,1)),1+(1-$AU46))</f>
        <v/>
      </c>
      <c r="BG46" s="172">
        <f>MIN(IF($AU46=100%,1,1+VLOOKUP(($AJ46-$AI46-$AH46-$AG46-$AF46-$AE46*(1+BG$3))/$AJ46,'Технический лист'!$M:$N,2,1)-VLOOKUP($AO46,'Технический лист'!$M:$N,2,1)),1+(1-$AU46))</f>
        <v/>
      </c>
      <c r="BH46" s="172">
        <f>MIN(IF($AU46=100%,1,1+VLOOKUP(($AJ46-$AI46-$AH46-$AG46-$AF46-$AE46*(1+BH$3))/$AJ46,'Технический лист'!$M:$N,2,1)-VLOOKUP($AO46,'Технический лист'!$M:$N,2,1)),1+(1-$AU46))</f>
        <v/>
      </c>
      <c r="BI46" s="172">
        <f>MIN(IF($AU46=100%,1,1+VLOOKUP(($AJ46-$AI46-$AH46-$AG46-$AF46-$AE46*(1+BI$3))/$AJ46,'Технический лист'!$M:$N,2,1)-VLOOKUP($AO46,'Технический лист'!$M:$N,2,1)),1+(1-$AU46))</f>
        <v/>
      </c>
      <c r="BJ46" s="172">
        <f>MIN(IF($AU46=100%,1,1+VLOOKUP(($AJ46-$AI46-$AH46-$AG46-$AF46-$AE46*(1+BJ$3))/$AJ46,'Технический лист'!$M:$N,2,1)-VLOOKUP($AO46,'Технический лист'!$M:$N,2,1)),1+(1-$AU46))</f>
        <v/>
      </c>
      <c r="BK46" s="172">
        <f>MIN(IF($AU46=100%,1,1+VLOOKUP(($AJ46-$AI46-$AH46-$AG46-$AF46-$AE46*(1+BK$3))/$AJ46,'Технический лист'!$M:$N,2,1)-VLOOKUP($AO46,'Технический лист'!$M:$N,2,1)),1+(1-$AU46))</f>
        <v/>
      </c>
      <c r="BL46" s="172">
        <f>MIN(IF($AU46=100%,1,1+VLOOKUP(($AJ46-$AI46-$AH46-$AG46-$AF46-$AE46*(1+BL$3))/$AJ46,'Технический лист'!$M:$N,2,1)-VLOOKUP($AO46,'Технический лист'!$M:$N,2,1)),1+(1-$AU46))</f>
        <v/>
      </c>
      <c r="BM46" s="172">
        <f>MIN(IF($AU46=100%,1,1+VLOOKUP(($AJ46-$AI46-$AH46-$AG46-$AF46-$AE46*(1+BM$3))/$AJ46,'Технический лист'!$M:$N,2,1)-VLOOKUP($AO46,'Технический лист'!$M:$N,2,1)),1+(1-$AU46))</f>
        <v/>
      </c>
      <c r="BN46" s="172">
        <f>MIN(IF($AU46=100%,1,1+VLOOKUP(($AJ46-$AI46-$AH46-$AG46-$AF46-$AE46*(1+BN$3))/$AJ46,'Технический лист'!$M:$N,2,1)-VLOOKUP($AO46,'Технический лист'!$M:$N,2,1)),1+(1-$AU46))</f>
        <v/>
      </c>
      <c r="BO46" s="172">
        <f>MIN(IF($AU46=100%,1,1+VLOOKUP(($AJ46-$AI46-$AH46-$AG46-$AF46-$AE46*(1+BO$3))/$AJ46,'Технический лист'!$M:$N,2,1)-VLOOKUP($AO46,'Технический лист'!$M:$N,2,1)),1+(1-$AU46))</f>
        <v/>
      </c>
      <c r="BP46" s="172">
        <f>MIN(IF($AU46=100%,1,1+VLOOKUP(($AJ46-$AI46-$AH46-$AG46-$AF46-$AE46*(1+BP$3))/$AJ46,'Технический лист'!$M:$N,2,1)-VLOOKUP($AO46,'Технический лист'!$M:$N,2,1)),1+(1-$AU46))</f>
        <v/>
      </c>
      <c r="BQ46" s="172">
        <f>MIN(IF($AU46=100%,1,1+VLOOKUP(($AJ46-$AI46-$AH46-$AG46-$AF46-$AE46*(1+BQ$3))/$AJ46,'Технический лист'!$M:$N,2,1)-VLOOKUP($AO46,'Технический лист'!$M:$N,2,1)),1+(1-$AU46))</f>
        <v/>
      </c>
      <c r="BR46" s="172">
        <f>MIN(IF($AU46=100%,1,1+VLOOKUP(($AJ46-$AI46-$AH46-$AG46-$AF46-$AE46*(1+BR$3))/$AJ46,'Технический лист'!$M:$N,2,1)-VLOOKUP($AO46,'Технический лист'!$M:$N,2,1)),1+(1-$AU46))</f>
        <v/>
      </c>
      <c r="BS46" s="172">
        <f>MIN(IF($AU46=100%,1,1+VLOOKUP(($AJ46-$AI46-$AH46-$AG46-$AF46-$AE46*(1+BS$3))/$AJ46,'Технический лист'!$M:$N,2,1)-VLOOKUP($AO46,'Технический лист'!$M:$N,2,1)),1+(1-$AU46))</f>
        <v/>
      </c>
      <c r="BT46" s="172">
        <f>MIN(IF($AU46=100%,1,1+VLOOKUP(($AJ46-$AI46-$AH46-$AG46-$AF46-$AE46*(1+BT$3))/$AJ46,'Технический лист'!$M:$N,2,1)-VLOOKUP($AO46,'Технический лист'!$M:$N,2,1)),1+(1-$AU46))</f>
        <v/>
      </c>
      <c r="BU46" s="172">
        <f>MIN(IF($AU46=100%,1,1+VLOOKUP(($AJ46-$AI46-$AH46-$AG46-$AF46-$AE46*(1+BU$3))/$AJ46,'Технический лист'!$M:$N,2,1)-VLOOKUP($AO46,'Технический лист'!$M:$N,2,1)),1+(1-$AU46))</f>
        <v/>
      </c>
      <c r="BV46" s="172">
        <f>MIN(IF($AU46=100%,1,1+VLOOKUP(($AJ46-$AI46-$AH46-$AG46-$AF46-$AE46*(1+BV$3))/$AJ46,'Технический лист'!$M:$N,2,1)-VLOOKUP($AO46,'Технический лист'!$M:$N,2,1)),1+(1-$AU46))</f>
        <v/>
      </c>
      <c r="BW46" s="172">
        <f>MIN(IF($AU46=100%,1,1+VLOOKUP(($AJ46-$AI46-$AH46-$AG46-$AF46-$AE46*(1+BW$3))/$AJ46,'Технический лист'!$M:$N,2,1)-VLOOKUP($AO46,'Технический лист'!$M:$N,2,1)),1+(1-$AU46))</f>
        <v/>
      </c>
      <c r="BX46" s="172">
        <f>MIN(IF($AU46=100%,1,1+VLOOKUP(($AJ46-$AI46-$AH46-$AG46-$AF46-$AE46*(1+BX$3))/$AJ46,'Технический лист'!$M:$N,2,1)-VLOOKUP($AO46,'Технический лист'!$M:$N,2,1)),1+(1-$AU46))</f>
        <v/>
      </c>
      <c r="BY46" s="172">
        <f>MIN(IF($AU46=100%,1,1+VLOOKUP(($AJ46-$AI46-$AH46-$AG46-$AF46-$AE46*(1+BY$3))/$AJ46,'Технический лист'!$M:$N,2,1)-VLOOKUP($AO46,'Технический лист'!$M:$N,2,1)),1+(1-$AU46))</f>
        <v/>
      </c>
      <c r="BZ46" s="172">
        <f>MIN(IF($AU46=100%,1,1+VLOOKUP(($AJ46-$AI46-$AH46-$AG46-$AF46-$AE46*(1+BZ$3))/$AJ46,'Технический лист'!$M:$N,2,1)-VLOOKUP($AO46,'Технический лист'!$M:$N,2,1)),1+(1-$AU46))</f>
        <v/>
      </c>
      <c r="CA46" s="172">
        <f>MIN(IF($AU46=100%,1,1+VLOOKUP(($AJ46-$AI46-$AH46-$AG46-$AF46-$AE46*(1+CA$3))/$AJ46,'Технический лист'!$M:$N,2,1)-VLOOKUP($AO46,'Технический лист'!$M:$N,2,1)),1+(1-$AU46))</f>
        <v/>
      </c>
      <c r="CB46" s="172">
        <f>MIN(IF($AU46=100%,1,1+VLOOKUP(($AJ46-$AI46-$AH46-$AG46-$AF46-$AE46*(1+CB$3))/$AJ46,'Технический лист'!$M:$N,2,1)-VLOOKUP($AO46,'Технический лист'!$M:$N,2,1)),1+(1-$AU46))</f>
        <v/>
      </c>
      <c r="CC46" s="172">
        <f>MIN(IF($AU46=100%,1,1+VLOOKUP(($AJ46-$AI46-$AH46-$AG46-$AF46-$AE46*(1+CC$3))/$AJ46,'Технический лист'!$M:$N,2,1)-VLOOKUP($AO46,'Технический лист'!$M:$N,2,1)),1+(1-$AU46))</f>
        <v/>
      </c>
      <c r="CD46" s="172">
        <f>MIN(IF($AU46=100%,1,1+VLOOKUP(($AJ46-$AI46-$AH46-$AG46-$AF46-$AE46*(1+CD$3))/$AJ46,'Технический лист'!$M:$N,2,1)-VLOOKUP($AO46,'Технический лист'!$M:$N,2,1)),1+(1-$AU46))</f>
        <v/>
      </c>
      <c r="CE46" s="172">
        <f>MIN(IF($AU46=100%,1,1+VLOOKUP(($AJ46-$AI46-$AH46-$AG46-$AF46-$AE46*(1+CE$3))/$AJ46,'Технический лист'!$M:$N,2,1)-VLOOKUP($AO46,'Технический лист'!$M:$N,2,1)),1+(1-$AU46))</f>
        <v/>
      </c>
      <c r="CF46" s="172">
        <f>MIN(IF($AU46=100%,1,1+VLOOKUP(($AJ46-$AI46-$AH46-$AG46-$AF46-$AE46*(1+CF$3))/$AJ46,'Технический лист'!$M:$N,2,1)-VLOOKUP($AO46,'Технический лист'!$M:$N,2,1)),1+(1-$AU46))</f>
        <v/>
      </c>
      <c r="CG46" s="172">
        <f>MIN(IF($AU46=100%,1,1+VLOOKUP(($AJ46-$AI46-$AH46-$AG46-$AF46-$AE46*(1+CG$3))/$AJ46,'Технический лист'!$M:$N,2,1)-VLOOKUP($AO46,'Технический лист'!$M:$N,2,1)),1+(1-$AU46))</f>
        <v/>
      </c>
      <c r="CH46" s="172">
        <f>MIN(IF($AU46=100%,1,1+VLOOKUP(($AJ46-$AI46-$AH46-$AG46-$AF46-$AE46*(1+CH$3))/$AJ46,'Технический лист'!$M:$N,2,1)-VLOOKUP($AO46,'Технический лист'!$M:$N,2,1)),1+(1-$AU46))</f>
        <v/>
      </c>
      <c r="CI46" s="172">
        <f>MIN(IF($AU46=100%,1,1+VLOOKUP(($AJ46-$AI46-$AH46-$AG46-$AF46-$AE46*(1+CI$3))/$AJ46,'Технический лист'!$M:$N,2,1)-VLOOKUP($AO46,'Технический лист'!$M:$N,2,1)),1+(1-$AU46))</f>
        <v/>
      </c>
      <c r="CJ46" s="172">
        <f>MIN(IF($AU46=100%,1,1+VLOOKUP(($AJ46-$AI46-$AH46-$AG46-$AF46-$AE46*(1+CJ$3))/$AJ46,'Технический лист'!$M:$N,2,1)-VLOOKUP($AO46,'Технический лист'!$M:$N,2,1)),1+(1-$AU46))</f>
        <v/>
      </c>
      <c r="CK46" s="172">
        <f>MIN(IF($AU46=100%,1,1+VLOOKUP(($AJ46-$AI46-$AH46-$AG46-$AF46-$AE46*(1+CK$3))/$AJ46,'Технический лист'!$M:$N,2,1)-VLOOKUP($AO46,'Технический лист'!$M:$N,2,1)),1+(1-$AU46))</f>
        <v/>
      </c>
      <c r="CL46" s="172">
        <f>MIN(IF($AU46=100%,1,1+VLOOKUP(($AJ46-$AI46-$AH46-$AG46-$AF46-$AE46*(1+CL$3))/$AJ46,'Технический лист'!$M:$N,2,1)-VLOOKUP($AO46,'Технический лист'!$M:$N,2,1)),1+(1-$AU46))</f>
        <v/>
      </c>
      <c r="CM46" s="172">
        <f>MIN(IF($AU46=100%,1,1+VLOOKUP(($AJ46-$AI46-$AH46-$AG46-$AF46-$AE46*(1+CM$3))/$AJ46,'Технический лист'!$M:$N,2,1)-VLOOKUP($AO46,'Технический лист'!$M:$N,2,1)),1+(1-$AU46))</f>
        <v/>
      </c>
      <c r="CN46" s="172">
        <f>MIN(IF($AU46=100%,1,1+VLOOKUP(($AJ46-$AI46-$AH46-$AG46-$AF46-$AE46*(1+CN$3))/$AJ46,'Технический лист'!$M:$N,2,1)-VLOOKUP($AO46,'Технический лист'!$M:$N,2,1)),1+(1-$AU46))</f>
        <v/>
      </c>
      <c r="CO46" s="172">
        <f>MIN(IF($AU46=100%,1,1+VLOOKUP(($AJ46-$AI46-$AH46-$AG46-$AF46-$AE46*(1+CO$3))/$AJ46,'Технический лист'!$M:$N,2,1)-VLOOKUP($AO46,'Технический лист'!$M:$N,2,1)),1+(1-$AU46))</f>
        <v/>
      </c>
      <c r="CP46" s="172">
        <f>MIN(IF($AU46=100%,1,1+VLOOKUP(($AJ46-$AI46-$AH46-$AG46-$AF46-$AE46*(1+CP$3))/$AJ46,'Технический лист'!$M:$N,2,1)-VLOOKUP($AO46,'Технический лист'!$M:$N,2,1)),1+(1-$AU46))</f>
        <v/>
      </c>
      <c r="CQ46" s="172">
        <f>MIN(IF($AU46=100%,1,1+VLOOKUP(($AJ46-$AI46-$AH46-$AG46-$AF46-$AE46*(1+CQ$3))/$AJ46,'Технический лист'!$M:$N,2,1)-VLOOKUP($AO46,'Технический лист'!$M:$N,2,1)),1+(1-$AU46))</f>
        <v/>
      </c>
      <c r="CR46" s="172">
        <f>MIN(IF($AU46=100%,1,1+VLOOKUP(($AJ46-$AI46-$AH46-$AG46-$AF46-$AE46*(1+CR$3))/$AJ46,'Технический лист'!$M:$N,2,1)-VLOOKUP($AO46,'Технический лист'!$M:$N,2,1)),1+(1-$AU46))</f>
        <v/>
      </c>
      <c r="CS46" s="172">
        <f>MIN(IF($AU46=100%,1,1+VLOOKUP(($AJ46-$AI46-$AH46-$AG46-$AF46-$AE46*(1+CS$3))/$AJ46,'Технический лист'!$M:$N,2,1)-VLOOKUP($AO46,'Технический лист'!$M:$N,2,1)),1+(1-$AU46))</f>
        <v/>
      </c>
      <c r="CT46" s="172">
        <f>MIN(IF($AU46=100%,1,1+VLOOKUP(($AJ46-$AI46-$AH46-$AG46-$AF46-$AE46*(1+CT$3))/$AJ46,'Технический лист'!$M:$N,2,1)-VLOOKUP($AO46,'Технический лист'!$M:$N,2,1)),1+(1-$AU46))</f>
        <v/>
      </c>
      <c r="CU46" s="172">
        <f>MIN(IF($AU46=100%,1,1+VLOOKUP(($AJ46-$AI46-$AH46-$AG46-$AF46-$AE46*(1+CU$3))/$AJ46,'Технический лист'!$M:$N,2,1)-VLOOKUP($AO46,'Технический лист'!$M:$N,2,1)),1+(1-$AU46))</f>
        <v/>
      </c>
      <c r="CV46" s="172">
        <f>MIN(IF($AU46=100%,1,1+VLOOKUP(($AJ46-$AI46-$AH46-$AG46-$AF46-$AE46*(1+CV$3))/$AJ46,'Технический лист'!$M:$N,2,1)-VLOOKUP($AO46,'Технический лист'!$M:$N,2,1)),1+(1-$AU46))</f>
        <v/>
      </c>
      <c r="CW46" s="172">
        <f>MIN(IF($AU46=100%,1,1+VLOOKUP(($AJ46-$AI46-$AH46-$AG46-$AF46-$AE46*(1+CW$3))/$AJ46,'Технический лист'!$M:$N,2,1)-VLOOKUP($AO46,'Технический лист'!$M:$N,2,1)),1+(1-$AU46))</f>
        <v/>
      </c>
      <c r="CX46" s="172">
        <f>MIN(IF($AU46=100%,1,1+VLOOKUP(($AJ46-$AI46-$AH46-$AG46-$AF46-$AE46*(1+CX$3))/$AJ46,'Технический лист'!$M:$N,2,1)-VLOOKUP($AO46,'Технический лист'!$M:$N,2,1)),1+(1-$AU46))</f>
        <v/>
      </c>
      <c r="CY46" s="172">
        <f>MIN(IF($AU46=100%,1,1+VLOOKUP(($AJ46-$AI46-$AH46-$AG46-$AF46-$AE46*(1+CY$3))/$AJ46,'Технический лист'!$M:$N,2,1)-VLOOKUP($AO46,'Технический лист'!$M:$N,2,1)),1+(1-$AU46))</f>
        <v/>
      </c>
      <c r="CZ46" s="172">
        <f>MIN(IF($AU46=100%,1,1+VLOOKUP(($AJ46-$AI46-$AH46-$AG46-$AF46-$AE46*(1+CZ$3))/$AJ46,'Технический лист'!$M:$N,2,1)-VLOOKUP($AO46,'Технический лист'!$M:$N,2,1)),1+(1-$AU46))</f>
        <v/>
      </c>
      <c r="DA46" s="172">
        <f>MIN(IF($AU46=100%,1,1+VLOOKUP(($AJ46-$AI46-$AH46-$AG46-$AF46-$AE46*(1+DA$3))/$AJ46,'Технический лист'!$M:$N,2,1)-VLOOKUP($AO46,'Технический лист'!$M:$N,2,1)),1+(1-$AU46))</f>
        <v/>
      </c>
      <c r="DB46" s="172">
        <f>MIN(IF($AU46=100%,1,1+VLOOKUP(($AJ46-$AI46-$AH46-$AG46-$AF46-$AE46*(1+DB$3))/$AJ46,'Технический лист'!$M:$N,2,1)-VLOOKUP($AO46,'Технический лист'!$M:$N,2,1)),1+(1-$AU46))</f>
        <v/>
      </c>
      <c r="DC46" s="172">
        <f>MIN(IF($AU46=100%,1,1+VLOOKUP(($AJ46-$AI46-$AH46-$AG46-$AF46-$AE46*(1+DC$3))/$AJ46,'Технический лист'!$M:$N,2,1)-VLOOKUP($AO46,'Технический лист'!$M:$N,2,1)),1+(1-$AU46))</f>
        <v/>
      </c>
      <c r="DD46" s="172">
        <f>MIN(IF($AU46=100%,1,1+VLOOKUP(($AJ46-$AI46-$AH46-$AG46-$AF46-$AE46*(1+DD$3))/$AJ46,'Технический лист'!$M:$N,2,1)-VLOOKUP($AO46,'Технический лист'!$M:$N,2,1)),1+(1-$AU46))</f>
        <v/>
      </c>
      <c r="DE46" s="172">
        <f>MIN(IF($AU46=100%,1,1+VLOOKUP(($AJ46-$AI46-$AH46-$AG46-$AF46-$AE46*(1+DE$3))/$AJ46,'Технический лист'!$M:$N,2,1)-VLOOKUP($AO46,'Технический лист'!$M:$N,2,1)),1+(1-$AU46))</f>
        <v/>
      </c>
      <c r="DF46" s="172">
        <f>MIN(IF($AU46=100%,1,1+VLOOKUP(($AJ46-$AI46-$AH46-$AG46-$AF46-$AE46*(1+DF$3))/$AJ46,'Технический лист'!$M:$N,2,1)-VLOOKUP($AO46,'Технический лист'!$M:$N,2,1)),1+(1-$AU46))</f>
        <v/>
      </c>
      <c r="DG46" s="172">
        <f>MIN(IF($AU46=100%,1,1+VLOOKUP(($AJ46-$AI46-$AH46-$AG46-$AF46-$AE46*(1+DG$3))/$AJ46,'Технический лист'!$M:$N,2,1)-VLOOKUP($AO46,'Технический лист'!$M:$N,2,1)),1+(1-$AU46))</f>
        <v/>
      </c>
      <c r="DH46" s="172">
        <f>MIN(IF($AU46=100%,1,1+VLOOKUP(($AJ46-$AI46-$AH46-$AG46-$AF46-$AE46*(1+DH$3))/$AJ46,'Технический лист'!$M:$N,2,1)-VLOOKUP($AO46,'Технический лист'!$M:$N,2,1)),1+(1-$AU46))</f>
        <v/>
      </c>
      <c r="DI46" s="172">
        <f>MIN(IF($AU46=100%,1,1+VLOOKUP(($AJ46-$AI46-$AH46-$AG46-$AF46-$AE46*(1+DI$3))/$AJ46,'Технический лист'!$M:$N,2,1)-VLOOKUP($AO46,'Технический лист'!$M:$N,2,1)),1+(1-$AU46))</f>
        <v/>
      </c>
      <c r="DJ46" s="172">
        <f>MIN(IF($AU46=100%,1,1+VLOOKUP(($AJ46-$AI46-$AH46-$AG46-$AF46-$AE46*(1+DJ$3))/$AJ46,'Технический лист'!$M:$N,2,1)-VLOOKUP($AO46,'Технический лист'!$M:$N,2,1)),1+(1-$AU46))</f>
        <v/>
      </c>
      <c r="DK46" s="172">
        <f>MIN(IF($AU46=100%,1,1+VLOOKUP(($AJ46-$AI46-$AH46-$AG46-$AF46-$AE46*(1+DK$3))/$AJ46,'Технический лист'!$M:$N,2,1)-VLOOKUP($AO46,'Технический лист'!$M:$N,2,1)),1+(1-$AU46))</f>
        <v/>
      </c>
      <c r="DL46" s="172">
        <f>MIN(IF($AU46=100%,1,1+VLOOKUP(($AJ46-$AI46-$AH46-$AG46-$AF46-$AE46*(1+DL$3))/$AJ46,'Технический лист'!$M:$N,2,1)-VLOOKUP($AO46,'Технический лист'!$M:$N,2,1)),1+(1-$AU46))</f>
        <v/>
      </c>
      <c r="DM46" s="172">
        <f>MIN(IF($AU46=100%,1,1+VLOOKUP(($AJ46-$AI46-$AH46-$AG46-$AF46-$AE46*(1+DM$3))/$AJ46,'Технический лист'!$M:$N,2,1)-VLOOKUP($AO46,'Технический лист'!$M:$N,2,1)),1+(1-$AU46))</f>
        <v/>
      </c>
      <c r="DN46" s="172">
        <f>MIN(IF($AU46=100%,1,1+VLOOKUP(($AJ46-$AI46-$AH46-$AG46-$AF46-$AE46*(1+DN$3))/$AJ46,'Технический лист'!$M:$N,2,1)-VLOOKUP($AO46,'Технический лист'!$M:$N,2,1)),1+(1-$AU46))</f>
        <v/>
      </c>
      <c r="DO46" s="172">
        <f>MIN(IF($AU46=100%,1,1+VLOOKUP(($AJ46-$AI46-$AH46-$AG46-$AF46-$AE46*(1+DO$3))/$AJ46,'Технический лист'!$M:$N,2,1)-VLOOKUP($AO46,'Технический лист'!$M:$N,2,1)),1+(1-$AU46))</f>
        <v/>
      </c>
      <c r="DP46" s="172">
        <f>MIN(IF($AU46=100%,1,1+VLOOKUP(($AJ46-$AI46-$AH46-$AG46-$AF46-$AE46*(1+DP$3))/$AJ46,'Технический лист'!$M:$N,2,1)-VLOOKUP($AO46,'Технический лист'!$M:$N,2,1)),1+(1-$AU46))</f>
        <v/>
      </c>
      <c r="DQ46" s="172">
        <f>MIN(IF($AU46=100%,1,1+VLOOKUP(($AJ46-$AI46-$AH46-$AG46-$AF46-$AE46*(1+DQ$3))/$AJ46,'Технический лист'!$M:$N,2,1)-VLOOKUP($AO46,'Технический лист'!$M:$N,2,1)),1+(1-$AU46))</f>
        <v/>
      </c>
      <c r="DR46" s="172">
        <f>MIN(IF($AU46=100%,1,1+VLOOKUP(($AJ46-$AI46-$AH46-$AG46-$AF46-$AE46*(1+DR$3))/$AJ46,'Технический лист'!$M:$N,2,1)-VLOOKUP($AO46,'Технический лист'!$M:$N,2,1)),1+(1-$AU46))</f>
        <v/>
      </c>
      <c r="DS46" s="172">
        <f>MIN(IF($AU46=100%,1,1+VLOOKUP(($AJ46-$AI46-$AH46-$AG46-$AF46-$AE46*(1+DS$3))/$AJ46,'Технический лист'!$M:$N,2,1)-VLOOKUP($AO46,'Технический лист'!$M:$N,2,1)),1+(1-$AU46))</f>
        <v/>
      </c>
      <c r="DT46" s="172">
        <f>MIN(IF($AU46=100%,1,1+VLOOKUP(($AJ46-$AI46-$AH46-$AG46-$AF46-$AE46*(1+DT$3))/$AJ46,'Технический лист'!$M:$N,2,1)-VLOOKUP($AO46,'Технический лист'!$M:$N,2,1)),1+(1-$AU46))</f>
        <v/>
      </c>
      <c r="DU46" s="172">
        <f>MIN(IF($AU46=100%,1,1+VLOOKUP(($AJ46-$AI46-$AH46-$AG46-$AF46-$AE46*(1+DU$3))/$AJ46,'Технический лист'!$M:$N,2,1)-VLOOKUP($AO46,'Технический лист'!$M:$N,2,1)),1+(1-$AU46))</f>
        <v/>
      </c>
      <c r="DV46" s="172">
        <f>MIN(IF($AU46=100%,1,1+VLOOKUP(($AJ46-$AI46-$AH46-$AG46-$AF46-$AE46*(1+DV$3))/$AJ46,'Технический лист'!$M:$N,2,1)-VLOOKUP($AO46,'Технический лист'!$M:$N,2,1)),1+(1-$AU46))</f>
        <v/>
      </c>
      <c r="DW46" s="172">
        <f>MIN(IF($AU46=100%,1,1+VLOOKUP(($AJ46-$AI46-$AH46-$AG46-$AF46-$AE46*(1+DW$3))/$AJ46,'Технический лист'!$M:$N,2,1)-VLOOKUP($AO46,'Технический лист'!$M:$N,2,1)),1+(1-$AU46))</f>
        <v/>
      </c>
      <c r="DX46" s="172">
        <f>MIN(IF($AU46=100%,1,1+VLOOKUP(($AJ46-$AI46-$AH46-$AG46-$AF46-$AE46*(1+DX$3))/$AJ46,'Технический лист'!$M:$N,2,1)-VLOOKUP($AO46,'Технический лист'!$M:$N,2,1)),1+(1-$AU46))</f>
        <v/>
      </c>
      <c r="DY46" s="172">
        <f>MIN(IF($AU46=100%,1,1+VLOOKUP(($AJ46-$AI46-$AH46-$AG46-$AF46-$AE46*(1+DY$3))/$AJ46,'Технический лист'!$M:$N,2,1)-VLOOKUP($AO46,'Технический лист'!$M:$N,2,1)),1+(1-$AU46))</f>
        <v/>
      </c>
      <c r="DZ46" s="172">
        <f>MIN(IF($AU46=100%,1,1+VLOOKUP(($AJ46-$AI46-$AH46-$AG46-$AF46-$AE46*(1+DZ$3))/$AJ46,'Технический лист'!$M:$N,2,1)-VLOOKUP($AO46,'Технический лист'!$M:$N,2,1)),1+(1-$AU46))</f>
        <v/>
      </c>
      <c r="EA46" s="172">
        <f>MIN(IF($AU46=100%,1,1+VLOOKUP(($AJ46-$AI46-$AH46-$AG46-$AF46-$AE46*(1+EA$3))/$AJ46,'Технический лист'!$M:$N,2,1)-VLOOKUP($AO46,'Технический лист'!$M:$N,2,1)),1+(1-$AU46))</f>
        <v/>
      </c>
      <c r="EB46" s="172">
        <f>MIN(IF($AU46=100%,1,1+VLOOKUP(($AJ46-$AI46-$AH46-$AG46-$AF46-$AE46*(1+EB$3))/$AJ46,'Технический лист'!$M:$N,2,1)-VLOOKUP($AO46,'Технический лист'!$M:$N,2,1)),1+(1-$AU46))</f>
        <v/>
      </c>
      <c r="EC46" s="172">
        <f>MIN(IF($AU46=100%,1,1+VLOOKUP(($AJ46-$AI46-$AH46-$AG46-$AF46-$AE46*(1+EC$3))/$AJ46,'Технический лист'!$M:$N,2,1)-VLOOKUP($AO46,'Технический лист'!$M:$N,2,1)),1+(1-$AU46))</f>
        <v/>
      </c>
      <c r="ED46" s="172">
        <f>MIN(IF($AU46=100%,1,1+VLOOKUP(($AJ46-$AI46-$AH46-$AG46-$AF46-$AE46*(1+ED$3))/$AJ46,'Технический лист'!$M:$N,2,1)-VLOOKUP($AO46,'Технический лист'!$M:$N,2,1)),1+(1-$AU46))</f>
        <v/>
      </c>
      <c r="EE46" s="172">
        <f>MIN(IF($AU46=100%,1,1+VLOOKUP(($AJ46-$AI46-$AH46-$AG46-$AF46-$AE46*(1+EE$3))/$AJ46,'Технический лист'!$M:$N,2,1)-VLOOKUP($AO46,'Технический лист'!$M:$N,2,1)),1+(1-$AU46))</f>
        <v/>
      </c>
      <c r="EF46" s="172">
        <f>MIN(IF($AU46=100%,1,1+VLOOKUP(($AJ46-$AI46-$AH46-$AG46-$AF46-$AE46*(1+EF$3))/$AJ46,'Технический лист'!$M:$N,2,1)-VLOOKUP($AO46,'Технический лист'!$M:$N,2,1)),1+(1-$AU46))</f>
        <v/>
      </c>
      <c r="EG46" s="172">
        <f>MIN(IF($AU46=100%,1,1+VLOOKUP(($AJ46-$AI46-$AH46-$AG46-$AF46-$AE46*(1+EG$3))/$AJ46,'Технический лист'!$M:$N,2,1)-VLOOKUP($AO46,'Технический лист'!$M:$N,2,1)),1+(1-$AU46))</f>
        <v/>
      </c>
      <c r="EH46" s="172">
        <f>MIN(IF($AU46=100%,1,1+VLOOKUP(($AJ46-$AI46-$AH46-$AG46-$AF46-$AE46*(1+EH$3))/$AJ46,'Технический лист'!$M:$N,2,1)-VLOOKUP($AO46,'Технический лист'!$M:$N,2,1)),1+(1-$AU46))</f>
        <v/>
      </c>
      <c r="EI46" s="172">
        <f>MIN(IF($AU46=100%,1,1+VLOOKUP(($AJ46-$AI46-$AH46-$AG46-$AF46-$AE46*(1+EI$3))/$AJ46,'Технический лист'!$M:$N,2,1)-VLOOKUP($AO46,'Технический лист'!$M:$N,2,1)),1+(1-$AU46))</f>
        <v/>
      </c>
      <c r="EJ46" s="172">
        <f>MIN(IF($AU46=100%,1,1+VLOOKUP(($AJ46-$AI46-$AH46-$AG46-$AF46-$AE46*(1+EJ$3))/$AJ46,'Технический лист'!$M:$N,2,1)-VLOOKUP($AO46,'Технический лист'!$M:$N,2,1)),1+(1-$AU46))</f>
        <v/>
      </c>
      <c r="EK46" s="172">
        <f>MIN(IF($AU46=100%,1,1+VLOOKUP(($AJ46-$AI46-$AH46-$AG46-$AF46-$AE46*(1+EK$3))/$AJ46,'Технический лист'!$M:$N,2,1)-VLOOKUP($AO46,'Технический лист'!$M:$N,2,1)),1+(1-$AU46))</f>
        <v/>
      </c>
      <c r="EL46" s="172">
        <f>MIN(IF($AU46=100%,1,1+VLOOKUP(($AJ46-$AI46-$AH46-$AG46-$AF46-$AE46*(1+EL$3))/$AJ46,'Технический лист'!$M:$N,2,1)-VLOOKUP($AO46,'Технический лист'!$M:$N,2,1)),1+(1-$AU46))</f>
        <v/>
      </c>
      <c r="EM46" s="172">
        <f>MIN(IF($AU46=100%,1,1+VLOOKUP(($AJ46-$AI46-$AH46-$AG46-$AF46-$AE46*(1+EM$3))/$AJ46,'Технический лист'!$M:$N,2,1)-VLOOKUP($AO46,'Технический лист'!$M:$N,2,1)),1+(1-$AU46))</f>
        <v/>
      </c>
      <c r="EN46" s="172">
        <f>MIN(IF($AU46=100%,1,1+VLOOKUP(($AJ46-$AI46-$AH46-$AG46-$AF46-$AE46*(1+EN$3))/$AJ46,'Технический лист'!$M:$N,2,1)-VLOOKUP($AO46,'Технический лист'!$M:$N,2,1)),1+(1-$AU46))</f>
        <v/>
      </c>
      <c r="EO46" s="172">
        <f>MIN(IF($AU46=100%,1,1+VLOOKUP(($AJ46-$AI46-$AH46-$AG46-$AF46-$AE46*(1+EO$3))/$AJ46,'Технический лист'!$M:$N,2,1)-VLOOKUP($AO46,'Технический лист'!$M:$N,2,1)),1+(1-$AU46))</f>
        <v/>
      </c>
      <c r="EP46" s="172">
        <f>MIN(IF($AU46=100%,1,1+VLOOKUP(($AJ46-$AI46-$AH46-$AG46-$AF46-$AE46*(1+EP$3))/$AJ46,'Технический лист'!$M:$N,2,1)-VLOOKUP($AO46,'Технический лист'!$M:$N,2,1)),1+(1-$AU46))</f>
        <v/>
      </c>
      <c r="EQ46" s="172">
        <f>MIN(IF($AU46=100%,1,1+VLOOKUP(($AJ46-$AI46-$AH46-$AG46-$AF46-$AE46*(1+EQ$3))/$AJ46,'Технический лист'!$M:$N,2,1)-VLOOKUP($AO46,'Технический лист'!$M:$N,2,1)),1+(1-$AU46))</f>
        <v/>
      </c>
      <c r="ER46" s="172">
        <f>MIN(IF($AU46=100%,1,1+VLOOKUP(($AJ46-$AI46-$AH46-$AG46-$AF46-$AE46*(1+ER$3))/$AJ46,'Технический лист'!$M:$N,2,1)-VLOOKUP($AO46,'Технический лист'!$M:$N,2,1)),1+(1-$AU46))</f>
        <v/>
      </c>
      <c r="ES46" s="172">
        <f>MIN(IF($AU46=100%,1,1+VLOOKUP(($AJ46-$AI46-$AH46-$AG46-$AF46-$AE46*(1+ES$3))/$AJ46,'Технический лист'!$M:$N,2,1)-VLOOKUP($AO46,'Технический лист'!$M:$N,2,1)),1+(1-$AU46))</f>
        <v/>
      </c>
      <c r="ET46" s="172">
        <f>MIN(IF($AU46=100%,1,1+VLOOKUP(($AJ46-$AI46-$AH46-$AG46-$AF46-$AE46*(1+ET$3))/$AJ46,'Технический лист'!$M:$N,2,1)-VLOOKUP($AO46,'Технический лист'!$M:$N,2,1)),1+(1-$AU46))</f>
        <v/>
      </c>
      <c r="EU46" s="172">
        <f>MIN(IF($AU46=100%,1,1+VLOOKUP(($AJ46-$AI46-$AH46-$AG46-$AF46-$AE46*(1+EU$3))/$AJ46,'Технический лист'!$M:$N,2,1)-VLOOKUP($AO46,'Технический лист'!$M:$N,2,1)),1+(1-$AU46))</f>
        <v/>
      </c>
      <c r="EV46" s="173" t="n">
        <v>1</v>
      </c>
      <c r="EW46" s="172">
        <f>MIN(1,MAX(VLOOKUP(($AJ46-$AI46-$AH46-$AG46-$AF46-$AE46*(1+EW$3))/$AJ46,'Технический лист'!$M:$N,2,1),(EV46-0.05)))</f>
        <v/>
      </c>
      <c r="EX46" s="172">
        <f>MIN(1,MAX(VLOOKUP(($AJ46-$AI46-$AH46-$AG46-$AF46-$AE46*(1+EX$3))/$AJ46,'Технический лист'!$M:$N,2,1),(EW46-0.05)))</f>
        <v/>
      </c>
      <c r="EY46" s="172">
        <f>MIN(1,MAX(VLOOKUP(($AJ46-$AI46-$AH46-$AG46-$AF46-$AE46*(1+EY$3))/$AJ46,'Технический лист'!$M:$N,2,1),(EX46-0.05)))</f>
        <v/>
      </c>
      <c r="EZ46" s="172">
        <f>MIN(1,MAX(VLOOKUP(($AJ46-$AI46-$AH46-$AG46-$AF46-$AE46*(1+EZ$3))/$AJ46,'Технический лист'!$M:$N,2,1),(EY46-0.05)))</f>
        <v/>
      </c>
      <c r="FA46" s="172">
        <f>MIN(1,MAX(VLOOKUP(($AJ46-$AI46-$AH46-$AG46-$AF46-$AE46*(1+FA$3))/$AJ46,'Технический лист'!$M:$N,2,1),(EZ46-0.05)))</f>
        <v/>
      </c>
      <c r="FB46" s="172">
        <f>MIN(1,MAX(VLOOKUP(($AJ46-$AI46-$AH46-$AG46-$AF46-$AE46*(1+FB$3))/$AJ46,'Технический лист'!$M:$N,2,1),(FA46-0.05)))</f>
        <v/>
      </c>
      <c r="FC46" s="172">
        <f>MIN(1,MAX(VLOOKUP(($AJ46-$AI46-$AH46-$AG46-$AF46-$AE46*(1+FC$3))/$AJ46,'Технический лист'!$M:$N,2,1),(FB46-0.05)))</f>
        <v/>
      </c>
      <c r="FD46" s="172">
        <f>MIN(1,MAX(VLOOKUP(($AJ46-$AI46-$AH46-$AG46-$AF46-$AE46*(1+FD$3))/$AJ46,'Технический лист'!$M:$N,2,1),(FC46-0.05)))</f>
        <v/>
      </c>
      <c r="FE46" s="172">
        <f>MIN(1,MAX(VLOOKUP(($AJ46-$AI46-$AH46-$AG46-$AF46-$AE46*(1+FE$3))/$AJ46,'Технический лист'!$M:$N,2,1),(FD46-0.05)))</f>
        <v/>
      </c>
      <c r="FF46" s="172">
        <f>MIN(1,MAX(VLOOKUP(($AJ46-$AI46-$AH46-$AG46-$AF46-$AE46*(1+FF$3))/$AJ46,'Технический лист'!$M:$N,2,1),(FE46-0.05)))</f>
        <v/>
      </c>
      <c r="FG46" s="172">
        <f>MIN(1,MAX(VLOOKUP(($AJ46-$AI46-$AH46-$AG46-$AF46-$AE46*(1+FG$3))/$AJ46,'Технический лист'!$M:$N,2,1),(FF46-0.05)))</f>
        <v/>
      </c>
      <c r="FH46" s="172">
        <f>MIN(1,MAX(VLOOKUP(($AJ46-$AI46-$AH46-$AG46-$AF46-$AE46*(1+FH$3))/$AJ46,'Технический лист'!$M:$N,2,1),(FG46-0.05)))</f>
        <v/>
      </c>
      <c r="FI46" s="172">
        <f>MIN(1,MAX(VLOOKUP(($AJ46-$AI46-$AH46-$AG46-$AF46-$AE46*(1+FI$3))/$AJ46,'Технический лист'!$M:$N,2,1),(FH46-0.05)))</f>
        <v/>
      </c>
      <c r="FJ46" s="172">
        <f>MIN(1,MAX(VLOOKUP(($AJ46-$AI46-$AH46-$AG46-$AF46-$AE46*(1+FJ$3))/$AJ46,'Технический лист'!$M:$N,2,1),(FI46-0.05)))</f>
        <v/>
      </c>
      <c r="FK46" s="172">
        <f>MIN(1,MAX(VLOOKUP(($AJ46-$AI46-$AH46-$AG46-$AF46-$AE46*(1+FK$3))/$AJ46,'Технический лист'!$M:$N,2,1),(FJ46-0.05)))</f>
        <v/>
      </c>
      <c r="FL46" s="172">
        <f>MIN(1,MAX(VLOOKUP(($AJ46-$AI46-$AH46-$AG46-$AF46-$AE46*(1+FL$3))/$AJ46,'Технический лист'!$M:$N,2,1),(FK46-0.05)))</f>
        <v/>
      </c>
      <c r="FM46" s="172">
        <f>MIN(1,MAX(VLOOKUP(($AJ46-$AI46-$AH46-$AG46-$AF46-$AE46*(1+FM$3))/$AJ46,'Технический лист'!$M:$N,2,1),(FL46-0.05)))</f>
        <v/>
      </c>
      <c r="FN46" s="172">
        <f>MIN(1,MAX(VLOOKUP(($AJ46-$AI46-$AH46-$AG46-$AF46-$AE46*(1+FN$3))/$AJ46,'Технический лист'!$M:$N,2,1),(FM46-0.05)))</f>
        <v/>
      </c>
      <c r="FO46" s="172">
        <f>MIN(1,MAX(VLOOKUP(($AJ46-$AI46-$AH46-$AG46-$AF46-$AE46*(1+FO$3))/$AJ46,'Технический лист'!$M:$N,2,1),(FN46-0.05)))</f>
        <v/>
      </c>
      <c r="FP46" s="172">
        <f>MIN(1,MAX(VLOOKUP(($AJ46-$AI46-$AH46-$AG46-$AF46-$AE46*(1+FP$3))/$AJ46,'Технический лист'!$M:$N,2,1),(FO46-0.05)))</f>
        <v/>
      </c>
      <c r="FQ46" s="172">
        <f>MIN(1,MAX(VLOOKUP(($AJ46-$AI46-$AH46-$AG46-$AF46-$AE46*(1+FQ$3))/$AJ46,'Технический лист'!$M:$N,2,1),(FP46-0.05)))</f>
        <v/>
      </c>
      <c r="FR46" s="172">
        <f>MIN(1,MAX(VLOOKUP(($AJ46-$AI46-$AH46-$AG46-$AF46-$AE46*(1+FR$3))/$AJ46,'Технический лист'!$M:$N,2,1),(FQ46-0.05)))</f>
        <v/>
      </c>
      <c r="FS46" s="172">
        <f>MIN(1,MAX(VLOOKUP(($AJ46-$AI46-$AH46-$AG46-$AF46-$AE46*(1+FS$3))/$AJ46,'Технический лист'!$M:$N,2,1),(FR46-0.05)))</f>
        <v/>
      </c>
      <c r="FT46" s="172">
        <f>MIN(1,MAX(VLOOKUP(($AJ46-$AI46-$AH46-$AG46-$AF46-$AE46*(1+FT$3))/$AJ46,'Технический лист'!$M:$N,2,1),(FS46-0.05)))</f>
        <v/>
      </c>
      <c r="FU46" s="172">
        <f>MIN(1,MAX(VLOOKUP(($AJ46-$AI46-$AH46-$AG46-$AF46-$AE46*(1+FU$3))/$AJ46,'Технический лист'!$M:$N,2,1),(FT46-0.05)))</f>
        <v/>
      </c>
      <c r="FV46" s="172">
        <f>MIN(1,MAX(VLOOKUP(($AJ46-$AI46-$AH46-$AG46-$AF46-$AE46*(1+FV$3))/$AJ46,'Технический лист'!$M:$N,2,1),(FU46-0.05)))</f>
        <v/>
      </c>
      <c r="FW46" s="172">
        <f>MIN(1,MAX(VLOOKUP(($AJ46-$AI46-$AH46-$AG46-$AF46-$AE46*(1+FW$3))/$AJ46,'Технический лист'!$M:$N,2,1),(FV46-0.05)))</f>
        <v/>
      </c>
      <c r="FX46" s="172">
        <f>MIN(1,MAX(VLOOKUP(($AJ46-$AI46-$AH46-$AG46-$AF46-$AE46*(1+FX$3))/$AJ46,'Технический лист'!$M:$N,2,1),(FW46-0.05)))</f>
        <v/>
      </c>
      <c r="FY46" s="172">
        <f>MIN(1,MAX(VLOOKUP(($AJ46-$AI46-$AH46-$AG46-$AF46-$AE46*(1+FY$3))/$AJ46,'Технический лист'!$M:$N,2,1),(FX46-0.05)))</f>
        <v/>
      </c>
      <c r="FZ46" s="172">
        <f>MIN(1,MAX(VLOOKUP(($AJ46-$AI46-$AH46-$AG46-$AF46-$AE46*(1+FZ$3))/$AJ46,'Технический лист'!$M:$N,2,1),(FY46-0.05)))</f>
        <v/>
      </c>
      <c r="GA46" s="172">
        <f>MIN(1,MAX(VLOOKUP(($AJ46-$AI46-$AH46-$AG46-$AF46-$AE46*(1+GA$3))/$AJ46,'Технический лист'!$M:$N,2,1),(FZ46-0.05)))</f>
        <v/>
      </c>
      <c r="GB46" s="172">
        <f>MIN(1,MAX(VLOOKUP(($AJ46-$AI46-$AH46-$AG46-$AF46-$AE46*(1+GB$3))/$AJ46,'Технический лист'!$M:$N,2,1),(GA46-0.05)))</f>
        <v/>
      </c>
      <c r="GC46" s="172">
        <f>MIN(1,MAX(VLOOKUP(($AJ46-$AI46-$AH46-$AG46-$AF46-$AE46*(1+GC$3))/$AJ46,'Технический лист'!$M:$N,2,1),(GB46-0.05)))</f>
        <v/>
      </c>
      <c r="GD46" s="172">
        <f>MIN(1,MAX(VLOOKUP(($AJ46-$AI46-$AH46-$AG46-$AF46-$AE46*(1+GD$3))/$AJ46,'Технический лист'!$M:$N,2,1),(GC46-0.05)))</f>
        <v/>
      </c>
      <c r="GE46" s="172">
        <f>MIN(1,MAX(VLOOKUP(($AJ46-$AI46-$AH46-$AG46-$AF46-$AE46*(1+GE$3))/$AJ46,'Технический лист'!$M:$N,2,1),(GD46-0.05)))</f>
        <v/>
      </c>
      <c r="GF46" s="172">
        <f>MIN(1,MAX(VLOOKUP(($AJ46-$AI46-$AH46-$AG46-$AF46-$AE46*(1+GF$3))/$AJ46,'Технический лист'!$M:$N,2,1),(GE46-0.05)))</f>
        <v/>
      </c>
      <c r="GG46" s="172">
        <f>MIN(1,MAX(VLOOKUP(($AJ46-$AI46-$AH46-$AG46-$AF46-$AE46*(1+GG$3))/$AJ46,'Технический лист'!$M:$N,2,1),(GF46-0.05)))</f>
        <v/>
      </c>
      <c r="GH46" s="172">
        <f>MIN(1,MAX(VLOOKUP(($AJ46-$AI46-$AH46-$AG46-$AF46-$AE46*(1+GH$3))/$AJ46,'Технический лист'!$M:$N,2,1),(GG46-0.05)))</f>
        <v/>
      </c>
      <c r="GI46" s="172">
        <f>MIN(1,MAX(VLOOKUP(($AJ46-$AI46-$AH46-$AG46-$AF46-$AE46*(1+GI$3))/$AJ46,'Технический лист'!$M:$N,2,1),(GH46-0.05)))</f>
        <v/>
      </c>
      <c r="GJ46" s="172">
        <f>MIN(1,MAX(VLOOKUP(($AJ46-$AI46-$AH46-$AG46-$AF46-$AE46*(1+GJ$3))/$AJ46,'Технический лист'!$M:$N,2,1),(GI46-0.05)))</f>
        <v/>
      </c>
      <c r="GK46" s="172">
        <f>MIN(1,MAX(VLOOKUP(($AJ46-$AI46-$AH46-$AG46-$AF46-$AE46*(1+GK$3))/$AJ46,'Технический лист'!$M:$N,2,1),(GJ46-0.05)))</f>
        <v/>
      </c>
      <c r="GL46" s="172">
        <f>MIN(1,MAX(VLOOKUP(($AJ46-$AI46-$AH46-$AG46-$AF46-$AE46*(1+GL$3))/$AJ46,'Технический лист'!$M:$N,2,1),(GK46-0.05)))</f>
        <v/>
      </c>
      <c r="GM46" s="172">
        <f>MIN(1,MAX(VLOOKUP(($AJ46-$AI46-$AH46-$AG46-$AF46-$AE46*(1+GM$3))/$AJ46,'Технический лист'!$M:$N,2,1),(GL46-0.05)))</f>
        <v/>
      </c>
      <c r="GN46" s="172">
        <f>MIN(1,MAX(VLOOKUP(($AJ46-$AI46-$AH46-$AG46-$AF46-$AE46*(1+GN$3))/$AJ46,'Технический лист'!$M:$N,2,1),(GM46-0.05)))</f>
        <v/>
      </c>
      <c r="GO46" s="172">
        <f>MIN(1,MAX(VLOOKUP(($AJ46-$AI46-$AH46-$AG46-$AF46-$AE46*(1+GO$3))/$AJ46,'Технический лист'!$M:$N,2,1),(GN46-0.05)))</f>
        <v/>
      </c>
      <c r="GP46" s="172">
        <f>MIN(1,MAX(VLOOKUP(($AJ46-$AI46-$AH46-$AG46-$AF46-$AE46*(1+GP$3))/$AJ46,'Технический лист'!$M:$N,2,1),(GO46-0.05)))</f>
        <v/>
      </c>
      <c r="GQ46" s="172">
        <f>MIN(1,MAX(VLOOKUP(($AJ46-$AI46-$AH46-$AG46-$AF46-$AE46*(1+GQ$3))/$AJ46,'Технический лист'!$M:$N,2,1),(GP46-0.05)))</f>
        <v/>
      </c>
      <c r="GR46" s="172">
        <f>MIN(1,MAX(VLOOKUP(($AJ46-$AI46-$AH46-$AG46-$AF46-$AE46*(1+GR$3))/$AJ46,'Технический лист'!$M:$N,2,1),(GQ46-0.05)))</f>
        <v/>
      </c>
      <c r="GS46" s="172">
        <f>MIN(1,MAX(VLOOKUP(($AJ46-$AI46-$AH46-$AG46-$AF46-$AE46*(1+GS$3))/$AJ46,'Технический лист'!$M:$N,2,1),(GR46-0.05)))</f>
        <v/>
      </c>
      <c r="GT46" s="172">
        <f>MIN(1,MAX(VLOOKUP(($AJ46-$AI46-$AH46-$AG46-$AF46-$AE46*(1+GT$3))/$AJ46,'Технический лист'!$M:$N,2,1),(GS46-0.05)))</f>
        <v/>
      </c>
      <c r="GU46" s="172">
        <f>MIN(1,MAX(VLOOKUP(($AJ46-$AI46-$AH46-$AG46-$AF46-$AE46*(1+GU$3))/$AJ46,'Технический лист'!$M:$N,2,1),(GT46-0.05)))</f>
        <v/>
      </c>
      <c r="GV46" s="172">
        <f>MIN(1,MAX(VLOOKUP(($AJ46-$AI46-$AH46-$AG46-$AF46-$AE46*(1+GV$3))/$AJ46,'Технический лист'!$M:$N,2,1),(GU46-0.05)))</f>
        <v/>
      </c>
      <c r="GW46" s="172">
        <f>MIN(1,MAX(VLOOKUP(($AJ46-$AI46-$AH46-$AG46-$AF46-$AE46*(1+GW$3))/$AJ46,'Технический лист'!$M:$N,2,1),(GV46-0.05)))</f>
        <v/>
      </c>
      <c r="GX46" s="172">
        <f>MIN(1,MAX(VLOOKUP(($AJ46-$AI46-$AH46-$AG46-$AF46-$AE46*(1+GX$3))/$AJ46,'Технический лист'!$M:$N,2,1),(GW46-0.05)))</f>
        <v/>
      </c>
      <c r="GY46" s="172">
        <f>MIN(1,MAX(VLOOKUP(($AJ46-$AI46-$AH46-$AG46-$AF46-$AE46*(1+GY$3))/$AJ46,'Технический лист'!$M:$N,2,1),(GX46-0.05)))</f>
        <v/>
      </c>
      <c r="GZ46" s="172">
        <f>MIN(1,MAX(VLOOKUP(($AJ46-$AI46-$AH46-$AG46-$AF46-$AE46*(1+GZ$3))/$AJ46,'Технический лист'!$M:$N,2,1),(GY46-0.05)))</f>
        <v/>
      </c>
      <c r="HA46" s="172">
        <f>MIN(1,MAX(VLOOKUP(($AJ46-$AI46-$AH46-$AG46-$AF46-$AE46*(1+HA$3))/$AJ46,'Технический лист'!$M:$N,2,1),(GZ46-0.05)))</f>
        <v/>
      </c>
      <c r="HB46" s="172">
        <f>MIN(1,MAX(VLOOKUP(($AJ46-$AI46-$AH46-$AG46-$AF46-$AE46*(1+HB$3))/$AJ46,'Технический лист'!$M:$N,2,1),(HA46-0.05)))</f>
        <v/>
      </c>
      <c r="HC46" s="172">
        <f>MIN(1,MAX(VLOOKUP(($AJ46-$AI46-$AH46-$AG46-$AF46-$AE46*(1+HC$3))/$AJ46,'Технический лист'!$M:$N,2,1),(HB46-0.05)))</f>
        <v/>
      </c>
      <c r="HD46" s="172">
        <f>MIN(1,MAX(VLOOKUP(($AJ46-$AI46-$AH46-$AG46-$AF46-$AE46*(1+HD$3))/$AJ46,'Технический лист'!$M:$N,2,1),(HC46-0.05)))</f>
        <v/>
      </c>
      <c r="HE46" s="172">
        <f>MIN(1,MAX(VLOOKUP(($AJ46-$AI46-$AH46-$AG46-$AF46-$AE46*(1+HE$3))/$AJ46,'Технический лист'!$M:$N,2,1),(HD46-0.05)))</f>
        <v/>
      </c>
      <c r="HF46" s="172">
        <f>MIN(1,MAX(VLOOKUP(($AJ46-$AI46-$AH46-$AG46-$AF46-$AE46*(1+HF$3))/$AJ46,'Технический лист'!$M:$N,2,1),(HE46-0.05)))</f>
        <v/>
      </c>
      <c r="HG46" s="172">
        <f>MIN(1,MAX(VLOOKUP(($AJ46-$AI46-$AH46-$AG46-$AF46-$AE46*(1+HG$3))/$AJ46,'Технический лист'!$M:$N,2,1),(HF46-0.05)))</f>
        <v/>
      </c>
      <c r="HH46" s="172">
        <f>MIN(1,MAX(VLOOKUP(($AJ46-$AI46-$AH46-$AG46-$AF46-$AE46*(1+HH$3))/$AJ46,'Технический лист'!$M:$N,2,1),(HG46-0.05)))</f>
        <v/>
      </c>
      <c r="HI46" s="172">
        <f>MIN(1,MAX(VLOOKUP(($AJ46-$AI46-$AH46-$AG46-$AF46-$AE46*(1+HI$3))/$AJ46,'Технический лист'!$M:$N,2,1),(HH46-0.05)))</f>
        <v/>
      </c>
      <c r="HJ46" s="172">
        <f>MIN(1,MAX(VLOOKUP(($AJ46-$AI46-$AH46-$AG46-$AF46-$AE46*(1+HJ$3))/$AJ46,'Технический лист'!$M:$N,2,1),(HI46-0.05)))</f>
        <v/>
      </c>
      <c r="HK46" s="172">
        <f>MIN(1,MAX(VLOOKUP(($AJ46-$AI46-$AH46-$AG46-$AF46-$AE46*(1+HK$3))/$AJ46,'Технический лист'!$M:$N,2,1),(HJ46-0.05)))</f>
        <v/>
      </c>
      <c r="HL46" s="172">
        <f>MIN(1,MAX(VLOOKUP(($AJ46-$AI46-$AH46-$AG46-$AF46-$AE46*(1+HL$3))/$AJ46,'Технический лист'!$M:$N,2,1),(HK46-0.05)))</f>
        <v/>
      </c>
      <c r="HM46" s="172">
        <f>MIN(1,MAX(VLOOKUP(($AJ46-$AI46-$AH46-$AG46-$AF46-$AE46*(1+HM$3))/$AJ46,'Технический лист'!$M:$N,2,1),(HL46-0.05)))</f>
        <v/>
      </c>
      <c r="HN46" s="172">
        <f>MIN(1,MAX(VLOOKUP(($AJ46-$AI46-$AH46-$AG46-$AF46-$AE46*(1+HN$3))/$AJ46,'Технический лист'!$M:$N,2,1),(HM46-0.05)))</f>
        <v/>
      </c>
      <c r="HO46" s="172">
        <f>MIN(1,MAX(VLOOKUP(($AJ46-$AI46-$AH46-$AG46-$AF46-$AE46*(1+HO$3))/$AJ46,'Технический лист'!$M:$N,2,1),(HN46-0.05)))</f>
        <v/>
      </c>
      <c r="HP46" s="172">
        <f>MIN(1,MAX(VLOOKUP(($AJ46-$AI46-$AH46-$AG46-$AF46-$AE46*(1+HP$3))/$AJ46,'Технический лист'!$M:$N,2,1),(HO46-0.05)))</f>
        <v/>
      </c>
      <c r="HQ46" s="172">
        <f>MIN(1,MAX(VLOOKUP(($AJ46-$AI46-$AH46-$AG46-$AF46-$AE46*(1+HQ$3))/$AJ46,'Технический лист'!$M:$N,2,1),(HP46-0.05)))</f>
        <v/>
      </c>
      <c r="HR46" s="172">
        <f>MIN(1,MAX(VLOOKUP(($AJ46-$AI46-$AH46-$AG46-$AF46-$AE46*(1+HR$3))/$AJ46,'Технический лист'!$M:$N,2,1),(HQ46-0.05)))</f>
        <v/>
      </c>
      <c r="HS46" s="172">
        <f>MIN(1,MAX(VLOOKUP(($AJ46-$AI46-$AH46-$AG46-$AF46-$AE46*(1+HS$3))/$AJ46,'Технический лист'!$M:$N,2,1),(HR46-0.05)))</f>
        <v/>
      </c>
      <c r="HT46" s="172">
        <f>MIN(1,MAX(VLOOKUP(($AJ46-$AI46-$AH46-$AG46-$AF46-$AE46*(1+HT$3))/$AJ46,'Технический лист'!$M:$N,2,1),(HS46-0.05)))</f>
        <v/>
      </c>
      <c r="HU46" s="172">
        <f>MIN(1,MAX(VLOOKUP(($AJ46-$AI46-$AH46-$AG46-$AF46-$AE46*(1+HU$3))/$AJ46,'Технический лист'!$M:$N,2,1),(HT46-0.05)))</f>
        <v/>
      </c>
      <c r="HV46" s="172">
        <f>MIN(1,MAX(VLOOKUP(($AJ46-$AI46-$AH46-$AG46-$AF46-$AE46*(1+HV$3))/$AJ46,'Технический лист'!$M:$N,2,1),(HU46-0.05)))</f>
        <v/>
      </c>
      <c r="HW46" s="172">
        <f>MIN(1,MAX(VLOOKUP(($AJ46-$AI46-$AH46-$AG46-$AF46-$AE46*(1+HW$3))/$AJ46,'Технический лист'!$M:$N,2,1),(HV46-0.05)))</f>
        <v/>
      </c>
      <c r="HX46" s="172">
        <f>MIN(1,MAX(VLOOKUP(($AJ46-$AI46-$AH46-$AG46-$AF46-$AE46*(1+HX$3))/$AJ46,'Технический лист'!$M:$N,2,1),(HW46-0.05)))</f>
        <v/>
      </c>
      <c r="HY46" s="172">
        <f>MIN(1,MAX(VLOOKUP(($AJ46-$AI46-$AH46-$AG46-$AF46-$AE46*(1+HY$3))/$AJ46,'Технический лист'!$M:$N,2,1),(HX46-0.05)))</f>
        <v/>
      </c>
      <c r="HZ46" s="172">
        <f>MIN(1,MAX(VLOOKUP(($AJ46-$AI46-$AH46-$AG46-$AF46-$AE46*(1+HZ$3))/$AJ46,'Технический лист'!$M:$N,2,1),(HY46-0.05)))</f>
        <v/>
      </c>
      <c r="IA46" s="172">
        <f>MIN(1,MAX(VLOOKUP(($AJ46-$AI46-$AH46-$AG46-$AF46-$AE46*(1+IA$3))/$AJ46,'Технический лист'!$M:$N,2,1),(HZ46-0.05)))</f>
        <v/>
      </c>
      <c r="IB46" s="172">
        <f>MIN(1,MAX(VLOOKUP(($AJ46-$AI46-$AH46-$AG46-$AF46-$AE46*(1+IB$3))/$AJ46,'Технический лист'!$M:$N,2,1),(IA46-0.05)))</f>
        <v/>
      </c>
      <c r="IC46" s="172">
        <f>MIN(1,MAX(VLOOKUP(($AJ46-$AI46-$AH46-$AG46-$AF46-$AE46*(1+IC$3))/$AJ46,'Технический лист'!$M:$N,2,1),(IB46-0.05)))</f>
        <v/>
      </c>
      <c r="ID46" s="172">
        <f>MIN(1,MAX(VLOOKUP(($AJ46-$AI46-$AH46-$AG46-$AF46-$AE46*(1+ID$3))/$AJ46,'Технический лист'!$M:$N,2,1),(IC46-0.05)))</f>
        <v/>
      </c>
      <c r="IE46" s="172">
        <f>MIN(1,MAX(VLOOKUP(($AJ46-$AI46-$AH46-$AG46-$AF46-$AE46*(1+IE$3))/$AJ46,'Технический лист'!$M:$N,2,1),(ID46-0.05)))</f>
        <v/>
      </c>
      <c r="IF46" s="172">
        <f>MIN(1,MAX(VLOOKUP(($AJ46-$AI46-$AH46-$AG46-$AF46-$AE46*(1+IF$3))/$AJ46,'Технический лист'!$M:$N,2,1),(IE46-0.05)))</f>
        <v/>
      </c>
      <c r="IG46" s="172">
        <f>MIN(1,MAX(VLOOKUP(($AJ46-$AI46-$AH46-$AG46-$AF46-$AE46*(1+IG$3))/$AJ46,'Технический лист'!$M:$N,2,1),(IF46-0.05)))</f>
        <v/>
      </c>
      <c r="IH46" s="172">
        <f>MIN(1,MAX(VLOOKUP(($AJ46-$AI46-$AH46-$AG46-$AF46-$AE46*(1+IH$3))/$AJ46,'Технический лист'!$M:$N,2,1),(IG46-0.05)))</f>
        <v/>
      </c>
      <c r="II46" s="172">
        <f>MIN(1,MAX(VLOOKUP(($AJ46-$AI46-$AH46-$AG46-$AF46-$AE46*(1+II$3))/$AJ46,'Технический лист'!$M:$N,2,1),(IH46-0.05)))</f>
        <v/>
      </c>
      <c r="IJ46" s="172">
        <f>MIN(1,MAX(VLOOKUP(($AJ46-$AI46-$AH46-$AG46-$AF46-$AE46*(1+IJ$3))/$AJ46,'Технический лист'!$M:$N,2,1),(II46-0.05)))</f>
        <v/>
      </c>
      <c r="IK46" s="172">
        <f>MIN(1,MAX(VLOOKUP(($AJ46-$AI46-$AH46-$AG46-$AF46-$AE46*(1+IK$3))/$AJ46,'Технический лист'!$M:$N,2,1),(IJ46-0.05)))</f>
        <v/>
      </c>
      <c r="IL46" s="172">
        <f>MIN(1,MAX(VLOOKUP(($AJ46-$AI46-$AH46-$AG46-$AF46-$AE46*(1+IL$3))/$AJ46,'Технический лист'!$M:$N,2,1),(IK46-0.05)))</f>
        <v/>
      </c>
      <c r="IM46" s="172">
        <f>MIN(1,MAX(VLOOKUP(($AJ46-$AI46-$AH46-$AG46-$AF46-$AE46*(1+IM$3))/$AJ46,'Технический лист'!$M:$N,2,1),(IL46-0.05)))</f>
        <v/>
      </c>
      <c r="IN46" s="172">
        <f>MIN(1,MAX(VLOOKUP(($AJ46-$AI46-$AH46-$AG46-$AF46-$AE46*(1+IN$3))/$AJ46,'Технический лист'!$M:$N,2,1),(IM46-0.05)))</f>
        <v/>
      </c>
      <c r="IO46" s="172">
        <f>MIN(1,MAX(VLOOKUP(($AJ46-$AI46-$AH46-$AG46-$AF46-$AE46*(1+IO$3))/$AJ46,'Технический лист'!$M:$N,2,1),(IN46-0.05)))</f>
        <v/>
      </c>
      <c r="IP46" s="172">
        <f>MIN(1,MAX(VLOOKUP(($AJ46-$AI46-$AH46-$AG46-$AF46-$AE46*(1+IP$3))/$AJ46,'Технический лист'!$M:$N,2,1),(IO46-0.05)))</f>
        <v/>
      </c>
      <c r="IQ46" s="172">
        <f>MIN(1,MAX(VLOOKUP(($AJ46-$AI46-$AH46-$AG46-$AF46-$AE46*(1+IQ$3))/$AJ46,'Технический лист'!$M:$N,2,1),(IP46-0.05)))</f>
        <v/>
      </c>
      <c r="IR46" s="172">
        <f>MIN(1,MAX(VLOOKUP(($AJ46-$AI46-$AH46-$AG46-$AF46-$AE46*(1+IR$3))/$AJ46,'Технический лист'!$M:$N,2,1),(IQ46-0.05)))</f>
        <v/>
      </c>
    </row>
    <row r="47" ht="29.15" customHeight="1" s="123">
      <c r="A47" s="89" t="inlineStr">
        <is>
          <t>ЧМ (сырье)</t>
        </is>
      </c>
      <c r="B47" s="90" t="n">
        <v>4</v>
      </c>
      <c r="C47" s="5" t="inlineStr">
        <is>
          <t>Руды  всякие</t>
        </is>
      </c>
      <c r="D47" s="91" t="n">
        <v>14109</v>
      </c>
      <c r="E47" s="91" t="inlineStr">
        <is>
          <t xml:space="preserve">Концентрат железорудный (гематит) </t>
        </is>
      </c>
      <c r="F47" s="92" t="inlineStr">
        <is>
          <t>РУДЫ И КОНЦЕНТРАТЫ ЖЕЛЕЗН</t>
        </is>
      </c>
      <c r="G47" s="91" t="inlineStr">
        <is>
          <t>КРС</t>
        </is>
      </c>
      <c r="H47" s="91" t="inlineStr">
        <is>
          <t>ЗСБ</t>
        </is>
      </c>
      <c r="I47" s="91" t="inlineStr">
        <is>
          <t>АБАЗА</t>
        </is>
      </c>
      <c r="J47" s="91" t="inlineStr">
        <is>
          <t>НОВОКУЗ.-ВОС</t>
        </is>
      </c>
      <c r="K47" s="91" t="n">
        <v>351</v>
      </c>
      <c r="L47" s="91" t="inlineStr">
        <is>
          <t>Полувагоны</t>
        </is>
      </c>
      <c r="M47" s="91" t="inlineStr">
        <is>
          <t>Внутр. перевозки</t>
        </is>
      </c>
      <c r="N47" s="91" t="inlineStr">
        <is>
          <t>вагонная</t>
        </is>
      </c>
      <c r="O47" s="91" t="inlineStr">
        <is>
          <t xml:space="preserve">Южное </t>
        </is>
      </c>
      <c r="P47" s="89" t="inlineStr">
        <is>
          <t>'000026656063</t>
        </is>
      </c>
      <c r="Q47" s="91" t="inlineStr">
        <is>
          <t>'ООО "Абаканский рудник"</t>
        </is>
      </c>
      <c r="R47" s="91" t="inlineStr">
        <is>
          <t>ООО "Руда Хакасии"</t>
        </is>
      </c>
      <c r="S47" s="87" t="n">
        <v>1010762</v>
      </c>
      <c r="T47" s="87" t="n">
        <v>354778428</v>
      </c>
      <c r="U47" s="88" t="n">
        <v>14102</v>
      </c>
      <c r="V47" s="88" t="n">
        <v>0</v>
      </c>
      <c r="W47" s="87" t="n">
        <v>365713490</v>
      </c>
      <c r="X47" s="112" t="n">
        <v>72</v>
      </c>
      <c r="Y47" s="112" t="inlineStr">
        <is>
          <t>маршрутная</t>
        </is>
      </c>
      <c r="Z47" s="113" t="n">
        <v>3</v>
      </c>
      <c r="AA47" s="113" t="n">
        <v>3</v>
      </c>
      <c r="AB47" s="113" t="n">
        <v>4</v>
      </c>
      <c r="AC47" s="161" t="n">
        <v>389.96</v>
      </c>
      <c r="AD47" s="161">
        <f>AE47-AC47</f>
        <v/>
      </c>
      <c r="AE47" s="161" t="n">
        <v>529.14</v>
      </c>
      <c r="AF47" s="162">
        <f>(Z47+AA47+AB47)*'Ставки аренды'!$B$2/X47</f>
        <v/>
      </c>
      <c r="AG47" s="163" t="n">
        <v>0</v>
      </c>
      <c r="AH47" s="164" t="n">
        <v>0</v>
      </c>
      <c r="AI47" s="165">
        <f>1399324/1056947*AJ47</f>
        <v/>
      </c>
      <c r="AJ47" s="166">
        <f>Цены!$D$14</f>
        <v/>
      </c>
      <c r="AK47" s="164">
        <f>AJ47/Цены!$B$1</f>
        <v/>
      </c>
      <c r="AL47" s="164">
        <f>AE47+AF47+AG47</f>
        <v/>
      </c>
      <c r="AM47" s="164">
        <f>AJ47-AL47</f>
        <v/>
      </c>
      <c r="AN47" s="164">
        <f>AI47+AH47+AG47+AF47+AE47</f>
        <v/>
      </c>
      <c r="AO47" s="167">
        <f>(AJ47-AN47)/AJ47</f>
        <v/>
      </c>
      <c r="AP47" s="168">
        <f>AL47/AJ47</f>
        <v/>
      </c>
      <c r="AQ47" s="168">
        <f>AE47/AJ47</f>
        <v/>
      </c>
      <c r="AR47" s="168">
        <f>AE47/AL47</f>
        <v/>
      </c>
      <c r="AS47" s="169" t="n">
        <v>1</v>
      </c>
      <c r="AT47" s="121">
        <f>S47*AS47</f>
        <v/>
      </c>
      <c r="AU47" s="83" t="n">
        <v>0.5</v>
      </c>
      <c r="AV47" s="170">
        <f>(AJ47-(AE47*(1+$IS$2)+AF47+AG47+AH47+AI47))/AJ47</f>
        <v/>
      </c>
      <c r="AW47" s="171">
        <f>(AE47*(1+$IS$2)+AF47+AG47)/AJ47</f>
        <v/>
      </c>
      <c r="AX47" s="171">
        <f>(AE47*(1+$IS$2))/AJ47</f>
        <v/>
      </c>
      <c r="AY47" s="171">
        <f>(AE47*(1+$IS$2))/(AE47*(1+$IS$2)+AF47+AG47)</f>
        <v/>
      </c>
      <c r="AZ47" s="172">
        <f>MIN(IF($AU47=100%,1,1+VLOOKUP(($AJ47-$AI47-$AH47-$AG47-$AF47-$AE47*(1+AZ$3))/$AJ47,'Технический лист'!$M:$N,2,1)-VLOOKUP($AO47,'Технический лист'!$M:$N,2,1)),1+(1-$AU47))</f>
        <v/>
      </c>
      <c r="BA47" s="172">
        <f>MIN(IF($AU47=100%,1,1+VLOOKUP(($AJ47-$AI47-$AH47-$AG47-$AF47-$AE47*(1+BA$3))/$AJ47,'Технический лист'!$M:$N,2,1)-VLOOKUP($AO47,'Технический лист'!$M:$N,2,1)),1+(1-$AU47))</f>
        <v/>
      </c>
      <c r="BB47" s="172">
        <f>MIN(IF($AU47=100%,1,1+VLOOKUP(($AJ47-$AI47-$AH47-$AG47-$AF47-$AE47*(1+BB$3))/$AJ47,'Технический лист'!$M:$N,2,1)-VLOOKUP($AO47,'Технический лист'!$M:$N,2,1)),1+(1-$AU47))</f>
        <v/>
      </c>
      <c r="BC47" s="172">
        <f>MIN(IF($AU47=100%,1,1+VLOOKUP(($AJ47-$AI47-$AH47-$AG47-$AF47-$AE47*(1+BC$3))/$AJ47,'Технический лист'!$M:$N,2,1)-VLOOKUP($AO47,'Технический лист'!$M:$N,2,1)),1+(1-$AU47))</f>
        <v/>
      </c>
      <c r="BD47" s="172">
        <f>MIN(IF($AU47=100%,1,1+VLOOKUP(($AJ47-$AI47-$AH47-$AG47-$AF47-$AE47*(1+BD$3))/$AJ47,'Технический лист'!$M:$N,2,1)-VLOOKUP($AO47,'Технический лист'!$M:$N,2,1)),1+(1-$AU47))</f>
        <v/>
      </c>
      <c r="BE47" s="172">
        <f>MIN(IF($AU47=100%,1,1+VLOOKUP(($AJ47-$AI47-$AH47-$AG47-$AF47-$AE47*(1+BE$3))/$AJ47,'Технический лист'!$M:$N,2,1)-VLOOKUP($AO47,'Технический лист'!$M:$N,2,1)),1+(1-$AU47))</f>
        <v/>
      </c>
      <c r="BF47" s="172">
        <f>MIN(IF($AU47=100%,1,1+VLOOKUP(($AJ47-$AI47-$AH47-$AG47-$AF47-$AE47*(1+BF$3))/$AJ47,'Технический лист'!$M:$N,2,1)-VLOOKUP($AO47,'Технический лист'!$M:$N,2,1)),1+(1-$AU47))</f>
        <v/>
      </c>
      <c r="BG47" s="172">
        <f>MIN(IF($AU47=100%,1,1+VLOOKUP(($AJ47-$AI47-$AH47-$AG47-$AF47-$AE47*(1+BG$3))/$AJ47,'Технический лист'!$M:$N,2,1)-VLOOKUP($AO47,'Технический лист'!$M:$N,2,1)),1+(1-$AU47))</f>
        <v/>
      </c>
      <c r="BH47" s="172">
        <f>MIN(IF($AU47=100%,1,1+VLOOKUP(($AJ47-$AI47-$AH47-$AG47-$AF47-$AE47*(1+BH$3))/$AJ47,'Технический лист'!$M:$N,2,1)-VLOOKUP($AO47,'Технический лист'!$M:$N,2,1)),1+(1-$AU47))</f>
        <v/>
      </c>
      <c r="BI47" s="172">
        <f>MIN(IF($AU47=100%,1,1+VLOOKUP(($AJ47-$AI47-$AH47-$AG47-$AF47-$AE47*(1+BI$3))/$AJ47,'Технический лист'!$M:$N,2,1)-VLOOKUP($AO47,'Технический лист'!$M:$N,2,1)),1+(1-$AU47))</f>
        <v/>
      </c>
      <c r="BJ47" s="172">
        <f>MIN(IF($AU47=100%,1,1+VLOOKUP(($AJ47-$AI47-$AH47-$AG47-$AF47-$AE47*(1+BJ$3))/$AJ47,'Технический лист'!$M:$N,2,1)-VLOOKUP($AO47,'Технический лист'!$M:$N,2,1)),1+(1-$AU47))</f>
        <v/>
      </c>
      <c r="BK47" s="172">
        <f>MIN(IF($AU47=100%,1,1+VLOOKUP(($AJ47-$AI47-$AH47-$AG47-$AF47-$AE47*(1+BK$3))/$AJ47,'Технический лист'!$M:$N,2,1)-VLOOKUP($AO47,'Технический лист'!$M:$N,2,1)),1+(1-$AU47))</f>
        <v/>
      </c>
      <c r="BL47" s="172">
        <f>MIN(IF($AU47=100%,1,1+VLOOKUP(($AJ47-$AI47-$AH47-$AG47-$AF47-$AE47*(1+BL$3))/$AJ47,'Технический лист'!$M:$N,2,1)-VLOOKUP($AO47,'Технический лист'!$M:$N,2,1)),1+(1-$AU47))</f>
        <v/>
      </c>
      <c r="BM47" s="172">
        <f>MIN(IF($AU47=100%,1,1+VLOOKUP(($AJ47-$AI47-$AH47-$AG47-$AF47-$AE47*(1+BM$3))/$AJ47,'Технический лист'!$M:$N,2,1)-VLOOKUP($AO47,'Технический лист'!$M:$N,2,1)),1+(1-$AU47))</f>
        <v/>
      </c>
      <c r="BN47" s="172">
        <f>MIN(IF($AU47=100%,1,1+VLOOKUP(($AJ47-$AI47-$AH47-$AG47-$AF47-$AE47*(1+BN$3))/$AJ47,'Технический лист'!$M:$N,2,1)-VLOOKUP($AO47,'Технический лист'!$M:$N,2,1)),1+(1-$AU47))</f>
        <v/>
      </c>
      <c r="BO47" s="172">
        <f>MIN(IF($AU47=100%,1,1+VLOOKUP(($AJ47-$AI47-$AH47-$AG47-$AF47-$AE47*(1+BO$3))/$AJ47,'Технический лист'!$M:$N,2,1)-VLOOKUP($AO47,'Технический лист'!$M:$N,2,1)),1+(1-$AU47))</f>
        <v/>
      </c>
      <c r="BP47" s="172">
        <f>MIN(IF($AU47=100%,1,1+VLOOKUP(($AJ47-$AI47-$AH47-$AG47-$AF47-$AE47*(1+BP$3))/$AJ47,'Технический лист'!$M:$N,2,1)-VLOOKUP($AO47,'Технический лист'!$M:$N,2,1)),1+(1-$AU47))</f>
        <v/>
      </c>
      <c r="BQ47" s="172">
        <f>MIN(IF($AU47=100%,1,1+VLOOKUP(($AJ47-$AI47-$AH47-$AG47-$AF47-$AE47*(1+BQ$3))/$AJ47,'Технический лист'!$M:$N,2,1)-VLOOKUP($AO47,'Технический лист'!$M:$N,2,1)),1+(1-$AU47))</f>
        <v/>
      </c>
      <c r="BR47" s="172">
        <f>MIN(IF($AU47=100%,1,1+VLOOKUP(($AJ47-$AI47-$AH47-$AG47-$AF47-$AE47*(1+BR$3))/$AJ47,'Технический лист'!$M:$N,2,1)-VLOOKUP($AO47,'Технический лист'!$M:$N,2,1)),1+(1-$AU47))</f>
        <v/>
      </c>
      <c r="BS47" s="172">
        <f>MIN(IF($AU47=100%,1,1+VLOOKUP(($AJ47-$AI47-$AH47-$AG47-$AF47-$AE47*(1+BS$3))/$AJ47,'Технический лист'!$M:$N,2,1)-VLOOKUP($AO47,'Технический лист'!$M:$N,2,1)),1+(1-$AU47))</f>
        <v/>
      </c>
      <c r="BT47" s="172">
        <f>MIN(IF($AU47=100%,1,1+VLOOKUP(($AJ47-$AI47-$AH47-$AG47-$AF47-$AE47*(1+BT$3))/$AJ47,'Технический лист'!$M:$N,2,1)-VLOOKUP($AO47,'Технический лист'!$M:$N,2,1)),1+(1-$AU47))</f>
        <v/>
      </c>
      <c r="BU47" s="172">
        <f>MIN(IF($AU47=100%,1,1+VLOOKUP(($AJ47-$AI47-$AH47-$AG47-$AF47-$AE47*(1+BU$3))/$AJ47,'Технический лист'!$M:$N,2,1)-VLOOKUP($AO47,'Технический лист'!$M:$N,2,1)),1+(1-$AU47))</f>
        <v/>
      </c>
      <c r="BV47" s="172">
        <f>MIN(IF($AU47=100%,1,1+VLOOKUP(($AJ47-$AI47-$AH47-$AG47-$AF47-$AE47*(1+BV$3))/$AJ47,'Технический лист'!$M:$N,2,1)-VLOOKUP($AO47,'Технический лист'!$M:$N,2,1)),1+(1-$AU47))</f>
        <v/>
      </c>
      <c r="BW47" s="172">
        <f>MIN(IF($AU47=100%,1,1+VLOOKUP(($AJ47-$AI47-$AH47-$AG47-$AF47-$AE47*(1+BW$3))/$AJ47,'Технический лист'!$M:$N,2,1)-VLOOKUP($AO47,'Технический лист'!$M:$N,2,1)),1+(1-$AU47))</f>
        <v/>
      </c>
      <c r="BX47" s="172">
        <f>MIN(IF($AU47=100%,1,1+VLOOKUP(($AJ47-$AI47-$AH47-$AG47-$AF47-$AE47*(1+BX$3))/$AJ47,'Технический лист'!$M:$N,2,1)-VLOOKUP($AO47,'Технический лист'!$M:$N,2,1)),1+(1-$AU47))</f>
        <v/>
      </c>
      <c r="BY47" s="172">
        <f>MIN(IF($AU47=100%,1,1+VLOOKUP(($AJ47-$AI47-$AH47-$AG47-$AF47-$AE47*(1+BY$3))/$AJ47,'Технический лист'!$M:$N,2,1)-VLOOKUP($AO47,'Технический лист'!$M:$N,2,1)),1+(1-$AU47))</f>
        <v/>
      </c>
      <c r="BZ47" s="172">
        <f>MIN(IF($AU47=100%,1,1+VLOOKUP(($AJ47-$AI47-$AH47-$AG47-$AF47-$AE47*(1+BZ$3))/$AJ47,'Технический лист'!$M:$N,2,1)-VLOOKUP($AO47,'Технический лист'!$M:$N,2,1)),1+(1-$AU47))</f>
        <v/>
      </c>
      <c r="CA47" s="172">
        <f>MIN(IF($AU47=100%,1,1+VLOOKUP(($AJ47-$AI47-$AH47-$AG47-$AF47-$AE47*(1+CA$3))/$AJ47,'Технический лист'!$M:$N,2,1)-VLOOKUP($AO47,'Технический лист'!$M:$N,2,1)),1+(1-$AU47))</f>
        <v/>
      </c>
      <c r="CB47" s="172">
        <f>MIN(IF($AU47=100%,1,1+VLOOKUP(($AJ47-$AI47-$AH47-$AG47-$AF47-$AE47*(1+CB$3))/$AJ47,'Технический лист'!$M:$N,2,1)-VLOOKUP($AO47,'Технический лист'!$M:$N,2,1)),1+(1-$AU47))</f>
        <v/>
      </c>
      <c r="CC47" s="172">
        <f>MIN(IF($AU47=100%,1,1+VLOOKUP(($AJ47-$AI47-$AH47-$AG47-$AF47-$AE47*(1+CC$3))/$AJ47,'Технический лист'!$M:$N,2,1)-VLOOKUP($AO47,'Технический лист'!$M:$N,2,1)),1+(1-$AU47))</f>
        <v/>
      </c>
      <c r="CD47" s="172">
        <f>MIN(IF($AU47=100%,1,1+VLOOKUP(($AJ47-$AI47-$AH47-$AG47-$AF47-$AE47*(1+CD$3))/$AJ47,'Технический лист'!$M:$N,2,1)-VLOOKUP($AO47,'Технический лист'!$M:$N,2,1)),1+(1-$AU47))</f>
        <v/>
      </c>
      <c r="CE47" s="172">
        <f>MIN(IF($AU47=100%,1,1+VLOOKUP(($AJ47-$AI47-$AH47-$AG47-$AF47-$AE47*(1+CE$3))/$AJ47,'Технический лист'!$M:$N,2,1)-VLOOKUP($AO47,'Технический лист'!$M:$N,2,1)),1+(1-$AU47))</f>
        <v/>
      </c>
      <c r="CF47" s="172">
        <f>MIN(IF($AU47=100%,1,1+VLOOKUP(($AJ47-$AI47-$AH47-$AG47-$AF47-$AE47*(1+CF$3))/$AJ47,'Технический лист'!$M:$N,2,1)-VLOOKUP($AO47,'Технический лист'!$M:$N,2,1)),1+(1-$AU47))</f>
        <v/>
      </c>
      <c r="CG47" s="172">
        <f>MIN(IF($AU47=100%,1,1+VLOOKUP(($AJ47-$AI47-$AH47-$AG47-$AF47-$AE47*(1+CG$3))/$AJ47,'Технический лист'!$M:$N,2,1)-VLOOKUP($AO47,'Технический лист'!$M:$N,2,1)),1+(1-$AU47))</f>
        <v/>
      </c>
      <c r="CH47" s="172">
        <f>MIN(IF($AU47=100%,1,1+VLOOKUP(($AJ47-$AI47-$AH47-$AG47-$AF47-$AE47*(1+CH$3))/$AJ47,'Технический лист'!$M:$N,2,1)-VLOOKUP($AO47,'Технический лист'!$M:$N,2,1)),1+(1-$AU47))</f>
        <v/>
      </c>
      <c r="CI47" s="172">
        <f>MIN(IF($AU47=100%,1,1+VLOOKUP(($AJ47-$AI47-$AH47-$AG47-$AF47-$AE47*(1+CI$3))/$AJ47,'Технический лист'!$M:$N,2,1)-VLOOKUP($AO47,'Технический лист'!$M:$N,2,1)),1+(1-$AU47))</f>
        <v/>
      </c>
      <c r="CJ47" s="172">
        <f>MIN(IF($AU47=100%,1,1+VLOOKUP(($AJ47-$AI47-$AH47-$AG47-$AF47-$AE47*(1+CJ$3))/$AJ47,'Технический лист'!$M:$N,2,1)-VLOOKUP($AO47,'Технический лист'!$M:$N,2,1)),1+(1-$AU47))</f>
        <v/>
      </c>
      <c r="CK47" s="172">
        <f>MIN(IF($AU47=100%,1,1+VLOOKUP(($AJ47-$AI47-$AH47-$AG47-$AF47-$AE47*(1+CK$3))/$AJ47,'Технический лист'!$M:$N,2,1)-VLOOKUP($AO47,'Технический лист'!$M:$N,2,1)),1+(1-$AU47))</f>
        <v/>
      </c>
      <c r="CL47" s="172">
        <f>MIN(IF($AU47=100%,1,1+VLOOKUP(($AJ47-$AI47-$AH47-$AG47-$AF47-$AE47*(1+CL$3))/$AJ47,'Технический лист'!$M:$N,2,1)-VLOOKUP($AO47,'Технический лист'!$M:$N,2,1)),1+(1-$AU47))</f>
        <v/>
      </c>
      <c r="CM47" s="172">
        <f>MIN(IF($AU47=100%,1,1+VLOOKUP(($AJ47-$AI47-$AH47-$AG47-$AF47-$AE47*(1+CM$3))/$AJ47,'Технический лист'!$M:$N,2,1)-VLOOKUP($AO47,'Технический лист'!$M:$N,2,1)),1+(1-$AU47))</f>
        <v/>
      </c>
      <c r="CN47" s="172">
        <f>MIN(IF($AU47=100%,1,1+VLOOKUP(($AJ47-$AI47-$AH47-$AG47-$AF47-$AE47*(1+CN$3))/$AJ47,'Технический лист'!$M:$N,2,1)-VLOOKUP($AO47,'Технический лист'!$M:$N,2,1)),1+(1-$AU47))</f>
        <v/>
      </c>
      <c r="CO47" s="172">
        <f>MIN(IF($AU47=100%,1,1+VLOOKUP(($AJ47-$AI47-$AH47-$AG47-$AF47-$AE47*(1+CO$3))/$AJ47,'Технический лист'!$M:$N,2,1)-VLOOKUP($AO47,'Технический лист'!$M:$N,2,1)),1+(1-$AU47))</f>
        <v/>
      </c>
      <c r="CP47" s="172">
        <f>MIN(IF($AU47=100%,1,1+VLOOKUP(($AJ47-$AI47-$AH47-$AG47-$AF47-$AE47*(1+CP$3))/$AJ47,'Технический лист'!$M:$N,2,1)-VLOOKUP($AO47,'Технический лист'!$M:$N,2,1)),1+(1-$AU47))</f>
        <v/>
      </c>
      <c r="CQ47" s="172">
        <f>MIN(IF($AU47=100%,1,1+VLOOKUP(($AJ47-$AI47-$AH47-$AG47-$AF47-$AE47*(1+CQ$3))/$AJ47,'Технический лист'!$M:$N,2,1)-VLOOKUP($AO47,'Технический лист'!$M:$N,2,1)),1+(1-$AU47))</f>
        <v/>
      </c>
      <c r="CR47" s="172">
        <f>MIN(IF($AU47=100%,1,1+VLOOKUP(($AJ47-$AI47-$AH47-$AG47-$AF47-$AE47*(1+CR$3))/$AJ47,'Технический лист'!$M:$N,2,1)-VLOOKUP($AO47,'Технический лист'!$M:$N,2,1)),1+(1-$AU47))</f>
        <v/>
      </c>
      <c r="CS47" s="172">
        <f>MIN(IF($AU47=100%,1,1+VLOOKUP(($AJ47-$AI47-$AH47-$AG47-$AF47-$AE47*(1+CS$3))/$AJ47,'Технический лист'!$M:$N,2,1)-VLOOKUP($AO47,'Технический лист'!$M:$N,2,1)),1+(1-$AU47))</f>
        <v/>
      </c>
      <c r="CT47" s="172">
        <f>MIN(IF($AU47=100%,1,1+VLOOKUP(($AJ47-$AI47-$AH47-$AG47-$AF47-$AE47*(1+CT$3))/$AJ47,'Технический лист'!$M:$N,2,1)-VLOOKUP($AO47,'Технический лист'!$M:$N,2,1)),1+(1-$AU47))</f>
        <v/>
      </c>
      <c r="CU47" s="172">
        <f>MIN(IF($AU47=100%,1,1+VLOOKUP(($AJ47-$AI47-$AH47-$AG47-$AF47-$AE47*(1+CU$3))/$AJ47,'Технический лист'!$M:$N,2,1)-VLOOKUP($AO47,'Технический лист'!$M:$N,2,1)),1+(1-$AU47))</f>
        <v/>
      </c>
      <c r="CV47" s="172">
        <f>MIN(IF($AU47=100%,1,1+VLOOKUP(($AJ47-$AI47-$AH47-$AG47-$AF47-$AE47*(1+CV$3))/$AJ47,'Технический лист'!$M:$N,2,1)-VLOOKUP($AO47,'Технический лист'!$M:$N,2,1)),1+(1-$AU47))</f>
        <v/>
      </c>
      <c r="CW47" s="172">
        <f>MIN(IF($AU47=100%,1,1+VLOOKUP(($AJ47-$AI47-$AH47-$AG47-$AF47-$AE47*(1+CW$3))/$AJ47,'Технический лист'!$M:$N,2,1)-VLOOKUP($AO47,'Технический лист'!$M:$N,2,1)),1+(1-$AU47))</f>
        <v/>
      </c>
      <c r="CX47" s="172">
        <f>MIN(IF($AU47=100%,1,1+VLOOKUP(($AJ47-$AI47-$AH47-$AG47-$AF47-$AE47*(1+CX$3))/$AJ47,'Технический лист'!$M:$N,2,1)-VLOOKUP($AO47,'Технический лист'!$M:$N,2,1)),1+(1-$AU47))</f>
        <v/>
      </c>
      <c r="CY47" s="172">
        <f>MIN(IF($AU47=100%,1,1+VLOOKUP(($AJ47-$AI47-$AH47-$AG47-$AF47-$AE47*(1+CY$3))/$AJ47,'Технический лист'!$M:$N,2,1)-VLOOKUP($AO47,'Технический лист'!$M:$N,2,1)),1+(1-$AU47))</f>
        <v/>
      </c>
      <c r="CZ47" s="172">
        <f>MIN(IF($AU47=100%,1,1+VLOOKUP(($AJ47-$AI47-$AH47-$AG47-$AF47-$AE47*(1+CZ$3))/$AJ47,'Технический лист'!$M:$N,2,1)-VLOOKUP($AO47,'Технический лист'!$M:$N,2,1)),1+(1-$AU47))</f>
        <v/>
      </c>
      <c r="DA47" s="172">
        <f>MIN(IF($AU47=100%,1,1+VLOOKUP(($AJ47-$AI47-$AH47-$AG47-$AF47-$AE47*(1+DA$3))/$AJ47,'Технический лист'!$M:$N,2,1)-VLOOKUP($AO47,'Технический лист'!$M:$N,2,1)),1+(1-$AU47))</f>
        <v/>
      </c>
      <c r="DB47" s="172">
        <f>MIN(IF($AU47=100%,1,1+VLOOKUP(($AJ47-$AI47-$AH47-$AG47-$AF47-$AE47*(1+DB$3))/$AJ47,'Технический лист'!$M:$N,2,1)-VLOOKUP($AO47,'Технический лист'!$M:$N,2,1)),1+(1-$AU47))</f>
        <v/>
      </c>
      <c r="DC47" s="172">
        <f>MIN(IF($AU47=100%,1,1+VLOOKUP(($AJ47-$AI47-$AH47-$AG47-$AF47-$AE47*(1+DC$3))/$AJ47,'Технический лист'!$M:$N,2,1)-VLOOKUP($AO47,'Технический лист'!$M:$N,2,1)),1+(1-$AU47))</f>
        <v/>
      </c>
      <c r="DD47" s="172">
        <f>MIN(IF($AU47=100%,1,1+VLOOKUP(($AJ47-$AI47-$AH47-$AG47-$AF47-$AE47*(1+DD$3))/$AJ47,'Технический лист'!$M:$N,2,1)-VLOOKUP($AO47,'Технический лист'!$M:$N,2,1)),1+(1-$AU47))</f>
        <v/>
      </c>
      <c r="DE47" s="172">
        <f>MIN(IF($AU47=100%,1,1+VLOOKUP(($AJ47-$AI47-$AH47-$AG47-$AF47-$AE47*(1+DE$3))/$AJ47,'Технический лист'!$M:$N,2,1)-VLOOKUP($AO47,'Технический лист'!$M:$N,2,1)),1+(1-$AU47))</f>
        <v/>
      </c>
      <c r="DF47" s="172">
        <f>MIN(IF($AU47=100%,1,1+VLOOKUP(($AJ47-$AI47-$AH47-$AG47-$AF47-$AE47*(1+DF$3))/$AJ47,'Технический лист'!$M:$N,2,1)-VLOOKUP($AO47,'Технический лист'!$M:$N,2,1)),1+(1-$AU47))</f>
        <v/>
      </c>
      <c r="DG47" s="172">
        <f>MIN(IF($AU47=100%,1,1+VLOOKUP(($AJ47-$AI47-$AH47-$AG47-$AF47-$AE47*(1+DG$3))/$AJ47,'Технический лист'!$M:$N,2,1)-VLOOKUP($AO47,'Технический лист'!$M:$N,2,1)),1+(1-$AU47))</f>
        <v/>
      </c>
      <c r="DH47" s="172">
        <f>MIN(IF($AU47=100%,1,1+VLOOKUP(($AJ47-$AI47-$AH47-$AG47-$AF47-$AE47*(1+DH$3))/$AJ47,'Технический лист'!$M:$N,2,1)-VLOOKUP($AO47,'Технический лист'!$M:$N,2,1)),1+(1-$AU47))</f>
        <v/>
      </c>
      <c r="DI47" s="172">
        <f>MIN(IF($AU47=100%,1,1+VLOOKUP(($AJ47-$AI47-$AH47-$AG47-$AF47-$AE47*(1+DI$3))/$AJ47,'Технический лист'!$M:$N,2,1)-VLOOKUP($AO47,'Технический лист'!$M:$N,2,1)),1+(1-$AU47))</f>
        <v/>
      </c>
      <c r="DJ47" s="172">
        <f>MIN(IF($AU47=100%,1,1+VLOOKUP(($AJ47-$AI47-$AH47-$AG47-$AF47-$AE47*(1+DJ$3))/$AJ47,'Технический лист'!$M:$N,2,1)-VLOOKUP($AO47,'Технический лист'!$M:$N,2,1)),1+(1-$AU47))</f>
        <v/>
      </c>
      <c r="DK47" s="172">
        <f>MIN(IF($AU47=100%,1,1+VLOOKUP(($AJ47-$AI47-$AH47-$AG47-$AF47-$AE47*(1+DK$3))/$AJ47,'Технический лист'!$M:$N,2,1)-VLOOKUP($AO47,'Технический лист'!$M:$N,2,1)),1+(1-$AU47))</f>
        <v/>
      </c>
      <c r="DL47" s="172">
        <f>MIN(IF($AU47=100%,1,1+VLOOKUP(($AJ47-$AI47-$AH47-$AG47-$AF47-$AE47*(1+DL$3))/$AJ47,'Технический лист'!$M:$N,2,1)-VLOOKUP($AO47,'Технический лист'!$M:$N,2,1)),1+(1-$AU47))</f>
        <v/>
      </c>
      <c r="DM47" s="172">
        <f>MIN(IF($AU47=100%,1,1+VLOOKUP(($AJ47-$AI47-$AH47-$AG47-$AF47-$AE47*(1+DM$3))/$AJ47,'Технический лист'!$M:$N,2,1)-VLOOKUP($AO47,'Технический лист'!$M:$N,2,1)),1+(1-$AU47))</f>
        <v/>
      </c>
      <c r="DN47" s="172">
        <f>MIN(IF($AU47=100%,1,1+VLOOKUP(($AJ47-$AI47-$AH47-$AG47-$AF47-$AE47*(1+DN$3))/$AJ47,'Технический лист'!$M:$N,2,1)-VLOOKUP($AO47,'Технический лист'!$M:$N,2,1)),1+(1-$AU47))</f>
        <v/>
      </c>
      <c r="DO47" s="172">
        <f>MIN(IF($AU47=100%,1,1+VLOOKUP(($AJ47-$AI47-$AH47-$AG47-$AF47-$AE47*(1+DO$3))/$AJ47,'Технический лист'!$M:$N,2,1)-VLOOKUP($AO47,'Технический лист'!$M:$N,2,1)),1+(1-$AU47))</f>
        <v/>
      </c>
      <c r="DP47" s="172">
        <f>MIN(IF($AU47=100%,1,1+VLOOKUP(($AJ47-$AI47-$AH47-$AG47-$AF47-$AE47*(1+DP$3))/$AJ47,'Технический лист'!$M:$N,2,1)-VLOOKUP($AO47,'Технический лист'!$M:$N,2,1)),1+(1-$AU47))</f>
        <v/>
      </c>
      <c r="DQ47" s="172">
        <f>MIN(IF($AU47=100%,1,1+VLOOKUP(($AJ47-$AI47-$AH47-$AG47-$AF47-$AE47*(1+DQ$3))/$AJ47,'Технический лист'!$M:$N,2,1)-VLOOKUP($AO47,'Технический лист'!$M:$N,2,1)),1+(1-$AU47))</f>
        <v/>
      </c>
      <c r="DR47" s="172">
        <f>MIN(IF($AU47=100%,1,1+VLOOKUP(($AJ47-$AI47-$AH47-$AG47-$AF47-$AE47*(1+DR$3))/$AJ47,'Технический лист'!$M:$N,2,1)-VLOOKUP($AO47,'Технический лист'!$M:$N,2,1)),1+(1-$AU47))</f>
        <v/>
      </c>
      <c r="DS47" s="172">
        <f>MIN(IF($AU47=100%,1,1+VLOOKUP(($AJ47-$AI47-$AH47-$AG47-$AF47-$AE47*(1+DS$3))/$AJ47,'Технический лист'!$M:$N,2,1)-VLOOKUP($AO47,'Технический лист'!$M:$N,2,1)),1+(1-$AU47))</f>
        <v/>
      </c>
      <c r="DT47" s="172">
        <f>MIN(IF($AU47=100%,1,1+VLOOKUP(($AJ47-$AI47-$AH47-$AG47-$AF47-$AE47*(1+DT$3))/$AJ47,'Технический лист'!$M:$N,2,1)-VLOOKUP($AO47,'Технический лист'!$M:$N,2,1)),1+(1-$AU47))</f>
        <v/>
      </c>
      <c r="DU47" s="172">
        <f>MIN(IF($AU47=100%,1,1+VLOOKUP(($AJ47-$AI47-$AH47-$AG47-$AF47-$AE47*(1+DU$3))/$AJ47,'Технический лист'!$M:$N,2,1)-VLOOKUP($AO47,'Технический лист'!$M:$N,2,1)),1+(1-$AU47))</f>
        <v/>
      </c>
      <c r="DV47" s="172">
        <f>MIN(IF($AU47=100%,1,1+VLOOKUP(($AJ47-$AI47-$AH47-$AG47-$AF47-$AE47*(1+DV$3))/$AJ47,'Технический лист'!$M:$N,2,1)-VLOOKUP($AO47,'Технический лист'!$M:$N,2,1)),1+(1-$AU47))</f>
        <v/>
      </c>
      <c r="DW47" s="172">
        <f>MIN(IF($AU47=100%,1,1+VLOOKUP(($AJ47-$AI47-$AH47-$AG47-$AF47-$AE47*(1+DW$3))/$AJ47,'Технический лист'!$M:$N,2,1)-VLOOKUP($AO47,'Технический лист'!$M:$N,2,1)),1+(1-$AU47))</f>
        <v/>
      </c>
      <c r="DX47" s="172">
        <f>MIN(IF($AU47=100%,1,1+VLOOKUP(($AJ47-$AI47-$AH47-$AG47-$AF47-$AE47*(1+DX$3))/$AJ47,'Технический лист'!$M:$N,2,1)-VLOOKUP($AO47,'Технический лист'!$M:$N,2,1)),1+(1-$AU47))</f>
        <v/>
      </c>
      <c r="DY47" s="172">
        <f>MIN(IF($AU47=100%,1,1+VLOOKUP(($AJ47-$AI47-$AH47-$AG47-$AF47-$AE47*(1+DY$3))/$AJ47,'Технический лист'!$M:$N,2,1)-VLOOKUP($AO47,'Технический лист'!$M:$N,2,1)),1+(1-$AU47))</f>
        <v/>
      </c>
      <c r="DZ47" s="172">
        <f>MIN(IF($AU47=100%,1,1+VLOOKUP(($AJ47-$AI47-$AH47-$AG47-$AF47-$AE47*(1+DZ$3))/$AJ47,'Технический лист'!$M:$N,2,1)-VLOOKUP($AO47,'Технический лист'!$M:$N,2,1)),1+(1-$AU47))</f>
        <v/>
      </c>
      <c r="EA47" s="172">
        <f>MIN(IF($AU47=100%,1,1+VLOOKUP(($AJ47-$AI47-$AH47-$AG47-$AF47-$AE47*(1+EA$3))/$AJ47,'Технический лист'!$M:$N,2,1)-VLOOKUP($AO47,'Технический лист'!$M:$N,2,1)),1+(1-$AU47))</f>
        <v/>
      </c>
      <c r="EB47" s="172">
        <f>MIN(IF($AU47=100%,1,1+VLOOKUP(($AJ47-$AI47-$AH47-$AG47-$AF47-$AE47*(1+EB$3))/$AJ47,'Технический лист'!$M:$N,2,1)-VLOOKUP($AO47,'Технический лист'!$M:$N,2,1)),1+(1-$AU47))</f>
        <v/>
      </c>
      <c r="EC47" s="172">
        <f>MIN(IF($AU47=100%,1,1+VLOOKUP(($AJ47-$AI47-$AH47-$AG47-$AF47-$AE47*(1+EC$3))/$AJ47,'Технический лист'!$M:$N,2,1)-VLOOKUP($AO47,'Технический лист'!$M:$N,2,1)),1+(1-$AU47))</f>
        <v/>
      </c>
      <c r="ED47" s="172">
        <f>MIN(IF($AU47=100%,1,1+VLOOKUP(($AJ47-$AI47-$AH47-$AG47-$AF47-$AE47*(1+ED$3))/$AJ47,'Технический лист'!$M:$N,2,1)-VLOOKUP($AO47,'Технический лист'!$M:$N,2,1)),1+(1-$AU47))</f>
        <v/>
      </c>
      <c r="EE47" s="172">
        <f>MIN(IF($AU47=100%,1,1+VLOOKUP(($AJ47-$AI47-$AH47-$AG47-$AF47-$AE47*(1+EE$3))/$AJ47,'Технический лист'!$M:$N,2,1)-VLOOKUP($AO47,'Технический лист'!$M:$N,2,1)),1+(1-$AU47))</f>
        <v/>
      </c>
      <c r="EF47" s="172">
        <f>MIN(IF($AU47=100%,1,1+VLOOKUP(($AJ47-$AI47-$AH47-$AG47-$AF47-$AE47*(1+EF$3))/$AJ47,'Технический лист'!$M:$N,2,1)-VLOOKUP($AO47,'Технический лист'!$M:$N,2,1)),1+(1-$AU47))</f>
        <v/>
      </c>
      <c r="EG47" s="172">
        <f>MIN(IF($AU47=100%,1,1+VLOOKUP(($AJ47-$AI47-$AH47-$AG47-$AF47-$AE47*(1+EG$3))/$AJ47,'Технический лист'!$M:$N,2,1)-VLOOKUP($AO47,'Технический лист'!$M:$N,2,1)),1+(1-$AU47))</f>
        <v/>
      </c>
      <c r="EH47" s="172">
        <f>MIN(IF($AU47=100%,1,1+VLOOKUP(($AJ47-$AI47-$AH47-$AG47-$AF47-$AE47*(1+EH$3))/$AJ47,'Технический лист'!$M:$N,2,1)-VLOOKUP($AO47,'Технический лист'!$M:$N,2,1)),1+(1-$AU47))</f>
        <v/>
      </c>
      <c r="EI47" s="172">
        <f>MIN(IF($AU47=100%,1,1+VLOOKUP(($AJ47-$AI47-$AH47-$AG47-$AF47-$AE47*(1+EI$3))/$AJ47,'Технический лист'!$M:$N,2,1)-VLOOKUP($AO47,'Технический лист'!$M:$N,2,1)),1+(1-$AU47))</f>
        <v/>
      </c>
      <c r="EJ47" s="172">
        <f>MIN(IF($AU47=100%,1,1+VLOOKUP(($AJ47-$AI47-$AH47-$AG47-$AF47-$AE47*(1+EJ$3))/$AJ47,'Технический лист'!$M:$N,2,1)-VLOOKUP($AO47,'Технический лист'!$M:$N,2,1)),1+(1-$AU47))</f>
        <v/>
      </c>
      <c r="EK47" s="172">
        <f>MIN(IF($AU47=100%,1,1+VLOOKUP(($AJ47-$AI47-$AH47-$AG47-$AF47-$AE47*(1+EK$3))/$AJ47,'Технический лист'!$M:$N,2,1)-VLOOKUP($AO47,'Технический лист'!$M:$N,2,1)),1+(1-$AU47))</f>
        <v/>
      </c>
      <c r="EL47" s="172">
        <f>MIN(IF($AU47=100%,1,1+VLOOKUP(($AJ47-$AI47-$AH47-$AG47-$AF47-$AE47*(1+EL$3))/$AJ47,'Технический лист'!$M:$N,2,1)-VLOOKUP($AO47,'Технический лист'!$M:$N,2,1)),1+(1-$AU47))</f>
        <v/>
      </c>
      <c r="EM47" s="172">
        <f>MIN(IF($AU47=100%,1,1+VLOOKUP(($AJ47-$AI47-$AH47-$AG47-$AF47-$AE47*(1+EM$3))/$AJ47,'Технический лист'!$M:$N,2,1)-VLOOKUP($AO47,'Технический лист'!$M:$N,2,1)),1+(1-$AU47))</f>
        <v/>
      </c>
      <c r="EN47" s="172">
        <f>MIN(IF($AU47=100%,1,1+VLOOKUP(($AJ47-$AI47-$AH47-$AG47-$AF47-$AE47*(1+EN$3))/$AJ47,'Технический лист'!$M:$N,2,1)-VLOOKUP($AO47,'Технический лист'!$M:$N,2,1)),1+(1-$AU47))</f>
        <v/>
      </c>
      <c r="EO47" s="172">
        <f>MIN(IF($AU47=100%,1,1+VLOOKUP(($AJ47-$AI47-$AH47-$AG47-$AF47-$AE47*(1+EO$3))/$AJ47,'Технический лист'!$M:$N,2,1)-VLOOKUP($AO47,'Технический лист'!$M:$N,2,1)),1+(1-$AU47))</f>
        <v/>
      </c>
      <c r="EP47" s="172">
        <f>MIN(IF($AU47=100%,1,1+VLOOKUP(($AJ47-$AI47-$AH47-$AG47-$AF47-$AE47*(1+EP$3))/$AJ47,'Технический лист'!$M:$N,2,1)-VLOOKUP($AO47,'Технический лист'!$M:$N,2,1)),1+(1-$AU47))</f>
        <v/>
      </c>
      <c r="EQ47" s="172">
        <f>MIN(IF($AU47=100%,1,1+VLOOKUP(($AJ47-$AI47-$AH47-$AG47-$AF47-$AE47*(1+EQ$3))/$AJ47,'Технический лист'!$M:$N,2,1)-VLOOKUP($AO47,'Технический лист'!$M:$N,2,1)),1+(1-$AU47))</f>
        <v/>
      </c>
      <c r="ER47" s="172">
        <f>MIN(IF($AU47=100%,1,1+VLOOKUP(($AJ47-$AI47-$AH47-$AG47-$AF47-$AE47*(1+ER$3))/$AJ47,'Технический лист'!$M:$N,2,1)-VLOOKUP($AO47,'Технический лист'!$M:$N,2,1)),1+(1-$AU47))</f>
        <v/>
      </c>
      <c r="ES47" s="172">
        <f>MIN(IF($AU47=100%,1,1+VLOOKUP(($AJ47-$AI47-$AH47-$AG47-$AF47-$AE47*(1+ES$3))/$AJ47,'Технический лист'!$M:$N,2,1)-VLOOKUP($AO47,'Технический лист'!$M:$N,2,1)),1+(1-$AU47))</f>
        <v/>
      </c>
      <c r="ET47" s="172">
        <f>MIN(IF($AU47=100%,1,1+VLOOKUP(($AJ47-$AI47-$AH47-$AG47-$AF47-$AE47*(1+ET$3))/$AJ47,'Технический лист'!$M:$N,2,1)-VLOOKUP($AO47,'Технический лист'!$M:$N,2,1)),1+(1-$AU47))</f>
        <v/>
      </c>
      <c r="EU47" s="172">
        <f>MIN(IF($AU47=100%,1,1+VLOOKUP(($AJ47-$AI47-$AH47-$AG47-$AF47-$AE47*(1+EU$3))/$AJ47,'Технический лист'!$M:$N,2,1)-VLOOKUP($AO47,'Технический лист'!$M:$N,2,1)),1+(1-$AU47))</f>
        <v/>
      </c>
      <c r="EV47" s="173" t="n">
        <v>1</v>
      </c>
      <c r="EW47" s="172">
        <f>MIN(1,MAX(VLOOKUP(($AJ47-$AI47-$AH47-$AG47-$AF47-$AE47*(1+EW$3))/$AJ47,'Технический лист'!$M:$N,2,1),(EV47-0.05)))</f>
        <v/>
      </c>
      <c r="EX47" s="172">
        <f>MIN(1,MAX(VLOOKUP(($AJ47-$AI47-$AH47-$AG47-$AF47-$AE47*(1+EX$3))/$AJ47,'Технический лист'!$M:$N,2,1),(EW47-0.05)))</f>
        <v/>
      </c>
      <c r="EY47" s="172">
        <f>MIN(1,MAX(VLOOKUP(($AJ47-$AI47-$AH47-$AG47-$AF47-$AE47*(1+EY$3))/$AJ47,'Технический лист'!$M:$N,2,1),(EX47-0.05)))</f>
        <v/>
      </c>
      <c r="EZ47" s="172">
        <f>MIN(1,MAX(VLOOKUP(($AJ47-$AI47-$AH47-$AG47-$AF47-$AE47*(1+EZ$3))/$AJ47,'Технический лист'!$M:$N,2,1),(EY47-0.05)))</f>
        <v/>
      </c>
      <c r="FA47" s="172">
        <f>MIN(1,MAX(VLOOKUP(($AJ47-$AI47-$AH47-$AG47-$AF47-$AE47*(1+FA$3))/$AJ47,'Технический лист'!$M:$N,2,1),(EZ47-0.05)))</f>
        <v/>
      </c>
      <c r="FB47" s="172">
        <f>MIN(1,MAX(VLOOKUP(($AJ47-$AI47-$AH47-$AG47-$AF47-$AE47*(1+FB$3))/$AJ47,'Технический лист'!$M:$N,2,1),(FA47-0.05)))</f>
        <v/>
      </c>
      <c r="FC47" s="172">
        <f>MIN(1,MAX(VLOOKUP(($AJ47-$AI47-$AH47-$AG47-$AF47-$AE47*(1+FC$3))/$AJ47,'Технический лист'!$M:$N,2,1),(FB47-0.05)))</f>
        <v/>
      </c>
      <c r="FD47" s="172">
        <f>MIN(1,MAX(VLOOKUP(($AJ47-$AI47-$AH47-$AG47-$AF47-$AE47*(1+FD$3))/$AJ47,'Технический лист'!$M:$N,2,1),(FC47-0.05)))</f>
        <v/>
      </c>
      <c r="FE47" s="172">
        <f>MIN(1,MAX(VLOOKUP(($AJ47-$AI47-$AH47-$AG47-$AF47-$AE47*(1+FE$3))/$AJ47,'Технический лист'!$M:$N,2,1),(FD47-0.05)))</f>
        <v/>
      </c>
      <c r="FF47" s="172">
        <f>MIN(1,MAX(VLOOKUP(($AJ47-$AI47-$AH47-$AG47-$AF47-$AE47*(1+FF$3))/$AJ47,'Технический лист'!$M:$N,2,1),(FE47-0.05)))</f>
        <v/>
      </c>
      <c r="FG47" s="172">
        <f>MIN(1,MAX(VLOOKUP(($AJ47-$AI47-$AH47-$AG47-$AF47-$AE47*(1+FG$3))/$AJ47,'Технический лист'!$M:$N,2,1),(FF47-0.05)))</f>
        <v/>
      </c>
      <c r="FH47" s="172">
        <f>MIN(1,MAX(VLOOKUP(($AJ47-$AI47-$AH47-$AG47-$AF47-$AE47*(1+FH$3))/$AJ47,'Технический лист'!$M:$N,2,1),(FG47-0.05)))</f>
        <v/>
      </c>
      <c r="FI47" s="172">
        <f>MIN(1,MAX(VLOOKUP(($AJ47-$AI47-$AH47-$AG47-$AF47-$AE47*(1+FI$3))/$AJ47,'Технический лист'!$M:$N,2,1),(FH47-0.05)))</f>
        <v/>
      </c>
      <c r="FJ47" s="172">
        <f>MIN(1,MAX(VLOOKUP(($AJ47-$AI47-$AH47-$AG47-$AF47-$AE47*(1+FJ$3))/$AJ47,'Технический лист'!$M:$N,2,1),(FI47-0.05)))</f>
        <v/>
      </c>
      <c r="FK47" s="172">
        <f>MIN(1,MAX(VLOOKUP(($AJ47-$AI47-$AH47-$AG47-$AF47-$AE47*(1+FK$3))/$AJ47,'Технический лист'!$M:$N,2,1),(FJ47-0.05)))</f>
        <v/>
      </c>
      <c r="FL47" s="172">
        <f>MIN(1,MAX(VLOOKUP(($AJ47-$AI47-$AH47-$AG47-$AF47-$AE47*(1+FL$3))/$AJ47,'Технический лист'!$M:$N,2,1),(FK47-0.05)))</f>
        <v/>
      </c>
      <c r="FM47" s="172">
        <f>MIN(1,MAX(VLOOKUP(($AJ47-$AI47-$AH47-$AG47-$AF47-$AE47*(1+FM$3))/$AJ47,'Технический лист'!$M:$N,2,1),(FL47-0.05)))</f>
        <v/>
      </c>
      <c r="FN47" s="172">
        <f>MIN(1,MAX(VLOOKUP(($AJ47-$AI47-$AH47-$AG47-$AF47-$AE47*(1+FN$3))/$AJ47,'Технический лист'!$M:$N,2,1),(FM47-0.05)))</f>
        <v/>
      </c>
      <c r="FO47" s="172">
        <f>MIN(1,MAX(VLOOKUP(($AJ47-$AI47-$AH47-$AG47-$AF47-$AE47*(1+FO$3))/$AJ47,'Технический лист'!$M:$N,2,1),(FN47-0.05)))</f>
        <v/>
      </c>
      <c r="FP47" s="172">
        <f>MIN(1,MAX(VLOOKUP(($AJ47-$AI47-$AH47-$AG47-$AF47-$AE47*(1+FP$3))/$AJ47,'Технический лист'!$M:$N,2,1),(FO47-0.05)))</f>
        <v/>
      </c>
      <c r="FQ47" s="172">
        <f>MIN(1,MAX(VLOOKUP(($AJ47-$AI47-$AH47-$AG47-$AF47-$AE47*(1+FQ$3))/$AJ47,'Технический лист'!$M:$N,2,1),(FP47-0.05)))</f>
        <v/>
      </c>
      <c r="FR47" s="172">
        <f>MIN(1,MAX(VLOOKUP(($AJ47-$AI47-$AH47-$AG47-$AF47-$AE47*(1+FR$3))/$AJ47,'Технический лист'!$M:$N,2,1),(FQ47-0.05)))</f>
        <v/>
      </c>
      <c r="FS47" s="172">
        <f>MIN(1,MAX(VLOOKUP(($AJ47-$AI47-$AH47-$AG47-$AF47-$AE47*(1+FS$3))/$AJ47,'Технический лист'!$M:$N,2,1),(FR47-0.05)))</f>
        <v/>
      </c>
      <c r="FT47" s="172">
        <f>MIN(1,MAX(VLOOKUP(($AJ47-$AI47-$AH47-$AG47-$AF47-$AE47*(1+FT$3))/$AJ47,'Технический лист'!$M:$N,2,1),(FS47-0.05)))</f>
        <v/>
      </c>
      <c r="FU47" s="172">
        <f>MIN(1,MAX(VLOOKUP(($AJ47-$AI47-$AH47-$AG47-$AF47-$AE47*(1+FU$3))/$AJ47,'Технический лист'!$M:$N,2,1),(FT47-0.05)))</f>
        <v/>
      </c>
      <c r="FV47" s="172">
        <f>MIN(1,MAX(VLOOKUP(($AJ47-$AI47-$AH47-$AG47-$AF47-$AE47*(1+FV$3))/$AJ47,'Технический лист'!$M:$N,2,1),(FU47-0.05)))</f>
        <v/>
      </c>
      <c r="FW47" s="172">
        <f>MIN(1,MAX(VLOOKUP(($AJ47-$AI47-$AH47-$AG47-$AF47-$AE47*(1+FW$3))/$AJ47,'Технический лист'!$M:$N,2,1),(FV47-0.05)))</f>
        <v/>
      </c>
      <c r="FX47" s="172">
        <f>MIN(1,MAX(VLOOKUP(($AJ47-$AI47-$AH47-$AG47-$AF47-$AE47*(1+FX$3))/$AJ47,'Технический лист'!$M:$N,2,1),(FW47-0.05)))</f>
        <v/>
      </c>
      <c r="FY47" s="172">
        <f>MIN(1,MAX(VLOOKUP(($AJ47-$AI47-$AH47-$AG47-$AF47-$AE47*(1+FY$3))/$AJ47,'Технический лист'!$M:$N,2,1),(FX47-0.05)))</f>
        <v/>
      </c>
      <c r="FZ47" s="172">
        <f>MIN(1,MAX(VLOOKUP(($AJ47-$AI47-$AH47-$AG47-$AF47-$AE47*(1+FZ$3))/$AJ47,'Технический лист'!$M:$N,2,1),(FY47-0.05)))</f>
        <v/>
      </c>
      <c r="GA47" s="172">
        <f>MIN(1,MAX(VLOOKUP(($AJ47-$AI47-$AH47-$AG47-$AF47-$AE47*(1+GA$3))/$AJ47,'Технический лист'!$M:$N,2,1),(FZ47-0.05)))</f>
        <v/>
      </c>
      <c r="GB47" s="172">
        <f>MIN(1,MAX(VLOOKUP(($AJ47-$AI47-$AH47-$AG47-$AF47-$AE47*(1+GB$3))/$AJ47,'Технический лист'!$M:$N,2,1),(GA47-0.05)))</f>
        <v/>
      </c>
      <c r="GC47" s="172">
        <f>MIN(1,MAX(VLOOKUP(($AJ47-$AI47-$AH47-$AG47-$AF47-$AE47*(1+GC$3))/$AJ47,'Технический лист'!$M:$N,2,1),(GB47-0.05)))</f>
        <v/>
      </c>
      <c r="GD47" s="172">
        <f>MIN(1,MAX(VLOOKUP(($AJ47-$AI47-$AH47-$AG47-$AF47-$AE47*(1+GD$3))/$AJ47,'Технический лист'!$M:$N,2,1),(GC47-0.05)))</f>
        <v/>
      </c>
      <c r="GE47" s="172">
        <f>MIN(1,MAX(VLOOKUP(($AJ47-$AI47-$AH47-$AG47-$AF47-$AE47*(1+GE$3))/$AJ47,'Технический лист'!$M:$N,2,1),(GD47-0.05)))</f>
        <v/>
      </c>
      <c r="GF47" s="172">
        <f>MIN(1,MAX(VLOOKUP(($AJ47-$AI47-$AH47-$AG47-$AF47-$AE47*(1+GF$3))/$AJ47,'Технический лист'!$M:$N,2,1),(GE47-0.05)))</f>
        <v/>
      </c>
      <c r="GG47" s="172">
        <f>MIN(1,MAX(VLOOKUP(($AJ47-$AI47-$AH47-$AG47-$AF47-$AE47*(1+GG$3))/$AJ47,'Технический лист'!$M:$N,2,1),(GF47-0.05)))</f>
        <v/>
      </c>
      <c r="GH47" s="172">
        <f>MIN(1,MAX(VLOOKUP(($AJ47-$AI47-$AH47-$AG47-$AF47-$AE47*(1+GH$3))/$AJ47,'Технический лист'!$M:$N,2,1),(GG47-0.05)))</f>
        <v/>
      </c>
      <c r="GI47" s="172">
        <f>MIN(1,MAX(VLOOKUP(($AJ47-$AI47-$AH47-$AG47-$AF47-$AE47*(1+GI$3))/$AJ47,'Технический лист'!$M:$N,2,1),(GH47-0.05)))</f>
        <v/>
      </c>
      <c r="GJ47" s="172">
        <f>MIN(1,MAX(VLOOKUP(($AJ47-$AI47-$AH47-$AG47-$AF47-$AE47*(1+GJ$3))/$AJ47,'Технический лист'!$M:$N,2,1),(GI47-0.05)))</f>
        <v/>
      </c>
      <c r="GK47" s="172">
        <f>MIN(1,MAX(VLOOKUP(($AJ47-$AI47-$AH47-$AG47-$AF47-$AE47*(1+GK$3))/$AJ47,'Технический лист'!$M:$N,2,1),(GJ47-0.05)))</f>
        <v/>
      </c>
      <c r="GL47" s="172">
        <f>MIN(1,MAX(VLOOKUP(($AJ47-$AI47-$AH47-$AG47-$AF47-$AE47*(1+GL$3))/$AJ47,'Технический лист'!$M:$N,2,1),(GK47-0.05)))</f>
        <v/>
      </c>
      <c r="GM47" s="172">
        <f>MIN(1,MAX(VLOOKUP(($AJ47-$AI47-$AH47-$AG47-$AF47-$AE47*(1+GM$3))/$AJ47,'Технический лист'!$M:$N,2,1),(GL47-0.05)))</f>
        <v/>
      </c>
      <c r="GN47" s="172">
        <f>MIN(1,MAX(VLOOKUP(($AJ47-$AI47-$AH47-$AG47-$AF47-$AE47*(1+GN$3))/$AJ47,'Технический лист'!$M:$N,2,1),(GM47-0.05)))</f>
        <v/>
      </c>
      <c r="GO47" s="172">
        <f>MIN(1,MAX(VLOOKUP(($AJ47-$AI47-$AH47-$AG47-$AF47-$AE47*(1+GO$3))/$AJ47,'Технический лист'!$M:$N,2,1),(GN47-0.05)))</f>
        <v/>
      </c>
      <c r="GP47" s="172">
        <f>MIN(1,MAX(VLOOKUP(($AJ47-$AI47-$AH47-$AG47-$AF47-$AE47*(1+GP$3))/$AJ47,'Технический лист'!$M:$N,2,1),(GO47-0.05)))</f>
        <v/>
      </c>
      <c r="GQ47" s="172">
        <f>MIN(1,MAX(VLOOKUP(($AJ47-$AI47-$AH47-$AG47-$AF47-$AE47*(1+GQ$3))/$AJ47,'Технический лист'!$M:$N,2,1),(GP47-0.05)))</f>
        <v/>
      </c>
      <c r="GR47" s="172">
        <f>MIN(1,MAX(VLOOKUP(($AJ47-$AI47-$AH47-$AG47-$AF47-$AE47*(1+GR$3))/$AJ47,'Технический лист'!$M:$N,2,1),(GQ47-0.05)))</f>
        <v/>
      </c>
      <c r="GS47" s="172">
        <f>MIN(1,MAX(VLOOKUP(($AJ47-$AI47-$AH47-$AG47-$AF47-$AE47*(1+GS$3))/$AJ47,'Технический лист'!$M:$N,2,1),(GR47-0.05)))</f>
        <v/>
      </c>
      <c r="GT47" s="172">
        <f>MIN(1,MAX(VLOOKUP(($AJ47-$AI47-$AH47-$AG47-$AF47-$AE47*(1+GT$3))/$AJ47,'Технический лист'!$M:$N,2,1),(GS47-0.05)))</f>
        <v/>
      </c>
      <c r="GU47" s="172">
        <f>MIN(1,MAX(VLOOKUP(($AJ47-$AI47-$AH47-$AG47-$AF47-$AE47*(1+GU$3))/$AJ47,'Технический лист'!$M:$N,2,1),(GT47-0.05)))</f>
        <v/>
      </c>
      <c r="GV47" s="172">
        <f>MIN(1,MAX(VLOOKUP(($AJ47-$AI47-$AH47-$AG47-$AF47-$AE47*(1+GV$3))/$AJ47,'Технический лист'!$M:$N,2,1),(GU47-0.05)))</f>
        <v/>
      </c>
      <c r="GW47" s="172">
        <f>MIN(1,MAX(VLOOKUP(($AJ47-$AI47-$AH47-$AG47-$AF47-$AE47*(1+GW$3))/$AJ47,'Технический лист'!$M:$N,2,1),(GV47-0.05)))</f>
        <v/>
      </c>
      <c r="GX47" s="172">
        <f>MIN(1,MAX(VLOOKUP(($AJ47-$AI47-$AH47-$AG47-$AF47-$AE47*(1+GX$3))/$AJ47,'Технический лист'!$M:$N,2,1),(GW47-0.05)))</f>
        <v/>
      </c>
      <c r="GY47" s="172">
        <f>MIN(1,MAX(VLOOKUP(($AJ47-$AI47-$AH47-$AG47-$AF47-$AE47*(1+GY$3))/$AJ47,'Технический лист'!$M:$N,2,1),(GX47-0.05)))</f>
        <v/>
      </c>
      <c r="GZ47" s="172">
        <f>MIN(1,MAX(VLOOKUP(($AJ47-$AI47-$AH47-$AG47-$AF47-$AE47*(1+GZ$3))/$AJ47,'Технический лист'!$M:$N,2,1),(GY47-0.05)))</f>
        <v/>
      </c>
      <c r="HA47" s="172">
        <f>MIN(1,MAX(VLOOKUP(($AJ47-$AI47-$AH47-$AG47-$AF47-$AE47*(1+HA$3))/$AJ47,'Технический лист'!$M:$N,2,1),(GZ47-0.05)))</f>
        <v/>
      </c>
      <c r="HB47" s="172">
        <f>MIN(1,MAX(VLOOKUP(($AJ47-$AI47-$AH47-$AG47-$AF47-$AE47*(1+HB$3))/$AJ47,'Технический лист'!$M:$N,2,1),(HA47-0.05)))</f>
        <v/>
      </c>
      <c r="HC47" s="172">
        <f>MIN(1,MAX(VLOOKUP(($AJ47-$AI47-$AH47-$AG47-$AF47-$AE47*(1+HC$3))/$AJ47,'Технический лист'!$M:$N,2,1),(HB47-0.05)))</f>
        <v/>
      </c>
      <c r="HD47" s="172">
        <f>MIN(1,MAX(VLOOKUP(($AJ47-$AI47-$AH47-$AG47-$AF47-$AE47*(1+HD$3))/$AJ47,'Технический лист'!$M:$N,2,1),(HC47-0.05)))</f>
        <v/>
      </c>
      <c r="HE47" s="172">
        <f>MIN(1,MAX(VLOOKUP(($AJ47-$AI47-$AH47-$AG47-$AF47-$AE47*(1+HE$3))/$AJ47,'Технический лист'!$M:$N,2,1),(HD47-0.05)))</f>
        <v/>
      </c>
      <c r="HF47" s="172">
        <f>MIN(1,MAX(VLOOKUP(($AJ47-$AI47-$AH47-$AG47-$AF47-$AE47*(1+HF$3))/$AJ47,'Технический лист'!$M:$N,2,1),(HE47-0.05)))</f>
        <v/>
      </c>
      <c r="HG47" s="172">
        <f>MIN(1,MAX(VLOOKUP(($AJ47-$AI47-$AH47-$AG47-$AF47-$AE47*(1+HG$3))/$AJ47,'Технический лист'!$M:$N,2,1),(HF47-0.05)))</f>
        <v/>
      </c>
      <c r="HH47" s="172">
        <f>MIN(1,MAX(VLOOKUP(($AJ47-$AI47-$AH47-$AG47-$AF47-$AE47*(1+HH$3))/$AJ47,'Технический лист'!$M:$N,2,1),(HG47-0.05)))</f>
        <v/>
      </c>
      <c r="HI47" s="172">
        <f>MIN(1,MAX(VLOOKUP(($AJ47-$AI47-$AH47-$AG47-$AF47-$AE47*(1+HI$3))/$AJ47,'Технический лист'!$M:$N,2,1),(HH47-0.05)))</f>
        <v/>
      </c>
      <c r="HJ47" s="172">
        <f>MIN(1,MAX(VLOOKUP(($AJ47-$AI47-$AH47-$AG47-$AF47-$AE47*(1+HJ$3))/$AJ47,'Технический лист'!$M:$N,2,1),(HI47-0.05)))</f>
        <v/>
      </c>
      <c r="HK47" s="172">
        <f>MIN(1,MAX(VLOOKUP(($AJ47-$AI47-$AH47-$AG47-$AF47-$AE47*(1+HK$3))/$AJ47,'Технический лист'!$M:$N,2,1),(HJ47-0.05)))</f>
        <v/>
      </c>
      <c r="HL47" s="172">
        <f>MIN(1,MAX(VLOOKUP(($AJ47-$AI47-$AH47-$AG47-$AF47-$AE47*(1+HL$3))/$AJ47,'Технический лист'!$M:$N,2,1),(HK47-0.05)))</f>
        <v/>
      </c>
      <c r="HM47" s="172">
        <f>MIN(1,MAX(VLOOKUP(($AJ47-$AI47-$AH47-$AG47-$AF47-$AE47*(1+HM$3))/$AJ47,'Технический лист'!$M:$N,2,1),(HL47-0.05)))</f>
        <v/>
      </c>
      <c r="HN47" s="172">
        <f>MIN(1,MAX(VLOOKUP(($AJ47-$AI47-$AH47-$AG47-$AF47-$AE47*(1+HN$3))/$AJ47,'Технический лист'!$M:$N,2,1),(HM47-0.05)))</f>
        <v/>
      </c>
      <c r="HO47" s="172">
        <f>MIN(1,MAX(VLOOKUP(($AJ47-$AI47-$AH47-$AG47-$AF47-$AE47*(1+HO$3))/$AJ47,'Технический лист'!$M:$N,2,1),(HN47-0.05)))</f>
        <v/>
      </c>
      <c r="HP47" s="172">
        <f>MIN(1,MAX(VLOOKUP(($AJ47-$AI47-$AH47-$AG47-$AF47-$AE47*(1+HP$3))/$AJ47,'Технический лист'!$M:$N,2,1),(HO47-0.05)))</f>
        <v/>
      </c>
      <c r="HQ47" s="172">
        <f>MIN(1,MAX(VLOOKUP(($AJ47-$AI47-$AH47-$AG47-$AF47-$AE47*(1+HQ$3))/$AJ47,'Технический лист'!$M:$N,2,1),(HP47-0.05)))</f>
        <v/>
      </c>
      <c r="HR47" s="172">
        <f>MIN(1,MAX(VLOOKUP(($AJ47-$AI47-$AH47-$AG47-$AF47-$AE47*(1+HR$3))/$AJ47,'Технический лист'!$M:$N,2,1),(HQ47-0.05)))</f>
        <v/>
      </c>
      <c r="HS47" s="172">
        <f>MIN(1,MAX(VLOOKUP(($AJ47-$AI47-$AH47-$AG47-$AF47-$AE47*(1+HS$3))/$AJ47,'Технический лист'!$M:$N,2,1),(HR47-0.05)))</f>
        <v/>
      </c>
      <c r="HT47" s="172">
        <f>MIN(1,MAX(VLOOKUP(($AJ47-$AI47-$AH47-$AG47-$AF47-$AE47*(1+HT$3))/$AJ47,'Технический лист'!$M:$N,2,1),(HS47-0.05)))</f>
        <v/>
      </c>
      <c r="HU47" s="172">
        <f>MIN(1,MAX(VLOOKUP(($AJ47-$AI47-$AH47-$AG47-$AF47-$AE47*(1+HU$3))/$AJ47,'Технический лист'!$M:$N,2,1),(HT47-0.05)))</f>
        <v/>
      </c>
      <c r="HV47" s="172">
        <f>MIN(1,MAX(VLOOKUP(($AJ47-$AI47-$AH47-$AG47-$AF47-$AE47*(1+HV$3))/$AJ47,'Технический лист'!$M:$N,2,1),(HU47-0.05)))</f>
        <v/>
      </c>
      <c r="HW47" s="172">
        <f>MIN(1,MAX(VLOOKUP(($AJ47-$AI47-$AH47-$AG47-$AF47-$AE47*(1+HW$3))/$AJ47,'Технический лист'!$M:$N,2,1),(HV47-0.05)))</f>
        <v/>
      </c>
      <c r="HX47" s="172">
        <f>MIN(1,MAX(VLOOKUP(($AJ47-$AI47-$AH47-$AG47-$AF47-$AE47*(1+HX$3))/$AJ47,'Технический лист'!$M:$N,2,1),(HW47-0.05)))</f>
        <v/>
      </c>
      <c r="HY47" s="172">
        <f>MIN(1,MAX(VLOOKUP(($AJ47-$AI47-$AH47-$AG47-$AF47-$AE47*(1+HY$3))/$AJ47,'Технический лист'!$M:$N,2,1),(HX47-0.05)))</f>
        <v/>
      </c>
      <c r="HZ47" s="172">
        <f>MIN(1,MAX(VLOOKUP(($AJ47-$AI47-$AH47-$AG47-$AF47-$AE47*(1+HZ$3))/$AJ47,'Технический лист'!$M:$N,2,1),(HY47-0.05)))</f>
        <v/>
      </c>
      <c r="IA47" s="172">
        <f>MIN(1,MAX(VLOOKUP(($AJ47-$AI47-$AH47-$AG47-$AF47-$AE47*(1+IA$3))/$AJ47,'Технический лист'!$M:$N,2,1),(HZ47-0.05)))</f>
        <v/>
      </c>
      <c r="IB47" s="172">
        <f>MIN(1,MAX(VLOOKUP(($AJ47-$AI47-$AH47-$AG47-$AF47-$AE47*(1+IB$3))/$AJ47,'Технический лист'!$M:$N,2,1),(IA47-0.05)))</f>
        <v/>
      </c>
      <c r="IC47" s="172">
        <f>MIN(1,MAX(VLOOKUP(($AJ47-$AI47-$AH47-$AG47-$AF47-$AE47*(1+IC$3))/$AJ47,'Технический лист'!$M:$N,2,1),(IB47-0.05)))</f>
        <v/>
      </c>
      <c r="ID47" s="172">
        <f>MIN(1,MAX(VLOOKUP(($AJ47-$AI47-$AH47-$AG47-$AF47-$AE47*(1+ID$3))/$AJ47,'Технический лист'!$M:$N,2,1),(IC47-0.05)))</f>
        <v/>
      </c>
      <c r="IE47" s="172">
        <f>MIN(1,MAX(VLOOKUP(($AJ47-$AI47-$AH47-$AG47-$AF47-$AE47*(1+IE$3))/$AJ47,'Технический лист'!$M:$N,2,1),(ID47-0.05)))</f>
        <v/>
      </c>
      <c r="IF47" s="172">
        <f>MIN(1,MAX(VLOOKUP(($AJ47-$AI47-$AH47-$AG47-$AF47-$AE47*(1+IF$3))/$AJ47,'Технический лист'!$M:$N,2,1),(IE47-0.05)))</f>
        <v/>
      </c>
      <c r="IG47" s="172">
        <f>MIN(1,MAX(VLOOKUP(($AJ47-$AI47-$AH47-$AG47-$AF47-$AE47*(1+IG$3))/$AJ47,'Технический лист'!$M:$N,2,1),(IF47-0.05)))</f>
        <v/>
      </c>
      <c r="IH47" s="172">
        <f>MIN(1,MAX(VLOOKUP(($AJ47-$AI47-$AH47-$AG47-$AF47-$AE47*(1+IH$3))/$AJ47,'Технический лист'!$M:$N,2,1),(IG47-0.05)))</f>
        <v/>
      </c>
      <c r="II47" s="172">
        <f>MIN(1,MAX(VLOOKUP(($AJ47-$AI47-$AH47-$AG47-$AF47-$AE47*(1+II$3))/$AJ47,'Технический лист'!$M:$N,2,1),(IH47-0.05)))</f>
        <v/>
      </c>
      <c r="IJ47" s="172">
        <f>MIN(1,MAX(VLOOKUP(($AJ47-$AI47-$AH47-$AG47-$AF47-$AE47*(1+IJ$3))/$AJ47,'Технический лист'!$M:$N,2,1),(II47-0.05)))</f>
        <v/>
      </c>
      <c r="IK47" s="172">
        <f>MIN(1,MAX(VLOOKUP(($AJ47-$AI47-$AH47-$AG47-$AF47-$AE47*(1+IK$3))/$AJ47,'Технический лист'!$M:$N,2,1),(IJ47-0.05)))</f>
        <v/>
      </c>
      <c r="IL47" s="172">
        <f>MIN(1,MAX(VLOOKUP(($AJ47-$AI47-$AH47-$AG47-$AF47-$AE47*(1+IL$3))/$AJ47,'Технический лист'!$M:$N,2,1),(IK47-0.05)))</f>
        <v/>
      </c>
      <c r="IM47" s="172">
        <f>MIN(1,MAX(VLOOKUP(($AJ47-$AI47-$AH47-$AG47-$AF47-$AE47*(1+IM$3))/$AJ47,'Технический лист'!$M:$N,2,1),(IL47-0.05)))</f>
        <v/>
      </c>
      <c r="IN47" s="172">
        <f>MIN(1,MAX(VLOOKUP(($AJ47-$AI47-$AH47-$AG47-$AF47-$AE47*(1+IN$3))/$AJ47,'Технический лист'!$M:$N,2,1),(IM47-0.05)))</f>
        <v/>
      </c>
      <c r="IO47" s="172">
        <f>MIN(1,MAX(VLOOKUP(($AJ47-$AI47-$AH47-$AG47-$AF47-$AE47*(1+IO$3))/$AJ47,'Технический лист'!$M:$N,2,1),(IN47-0.05)))</f>
        <v/>
      </c>
      <c r="IP47" s="172">
        <f>MIN(1,MAX(VLOOKUP(($AJ47-$AI47-$AH47-$AG47-$AF47-$AE47*(1+IP$3))/$AJ47,'Технический лист'!$M:$N,2,1),(IO47-0.05)))</f>
        <v/>
      </c>
      <c r="IQ47" s="172">
        <f>MIN(1,MAX(VLOOKUP(($AJ47-$AI47-$AH47-$AG47-$AF47-$AE47*(1+IQ$3))/$AJ47,'Технический лист'!$M:$N,2,1),(IP47-0.05)))</f>
        <v/>
      </c>
      <c r="IR47" s="172">
        <f>MIN(1,MAX(VLOOKUP(($AJ47-$AI47-$AH47-$AG47-$AF47-$AE47*(1+IR$3))/$AJ47,'Технический лист'!$M:$N,2,1),(IQ47-0.05)))</f>
        <v/>
      </c>
    </row>
    <row r="48">
      <c r="A48" s="89" t="inlineStr">
        <is>
          <t>ЧМ (сырье)</t>
        </is>
      </c>
      <c r="B48" s="90" t="n">
        <v>4</v>
      </c>
      <c r="C48" s="5" t="inlineStr">
        <is>
          <t>Руды  всякие</t>
        </is>
      </c>
      <c r="D48" s="91" t="n">
        <v>14111</v>
      </c>
      <c r="E48" s="91" t="inlineStr">
        <is>
          <t xml:space="preserve">Окатыши железорудные </t>
        </is>
      </c>
      <c r="F48" s="92" t="inlineStr">
        <is>
          <t>РУДЫ И КОНЦЕНТРАТЫ ЖЕЛЕЗН</t>
        </is>
      </c>
      <c r="G48" s="91" t="inlineStr">
        <is>
          <t>МСК</t>
        </is>
      </c>
      <c r="H48" s="91" t="inlineStr">
        <is>
          <t>ЮУР</t>
        </is>
      </c>
      <c r="I48" s="91" t="inlineStr">
        <is>
          <t>КУРБАКИНСКАЯ</t>
        </is>
      </c>
      <c r="J48" s="91" t="inlineStr">
        <is>
          <t>КУЙБАС</t>
        </is>
      </c>
      <c r="K48" s="91" t="n">
        <v>2425</v>
      </c>
      <c r="L48" s="91" t="inlineStr">
        <is>
          <t>Полувагоны</t>
        </is>
      </c>
      <c r="M48" s="91" t="inlineStr">
        <is>
          <t>Внутр. перевозки</t>
        </is>
      </c>
      <c r="N48" s="91" t="inlineStr">
        <is>
          <t>вагонная</t>
        </is>
      </c>
      <c r="O48" s="91" t="inlineStr">
        <is>
          <t xml:space="preserve">Южное </t>
        </is>
      </c>
      <c r="P48" s="89" t="inlineStr">
        <is>
          <t>'000000186849</t>
        </is>
      </c>
      <c r="Q48" s="91" t="inlineStr">
        <is>
          <t>'АО "Михайловский ГОК"</t>
        </is>
      </c>
      <c r="R48" s="91" t="inlineStr">
        <is>
          <t>ООО УК "Металлоинвест"</t>
        </is>
      </c>
      <c r="S48" s="87" t="n">
        <v>3861980</v>
      </c>
      <c r="T48" s="87" t="n">
        <v>9365943330</v>
      </c>
      <c r="U48" s="88" t="n">
        <v>55344</v>
      </c>
      <c r="V48" s="88" t="n">
        <v>0</v>
      </c>
      <c r="W48" s="87" t="n">
        <v>4059658250</v>
      </c>
      <c r="X48" s="112" t="n">
        <v>69</v>
      </c>
      <c r="Y48" s="112" t="inlineStr">
        <is>
          <t>маршрутная</t>
        </is>
      </c>
      <c r="Z48" s="113" t="n">
        <v>6</v>
      </c>
      <c r="AA48" s="113" t="n">
        <v>6</v>
      </c>
      <c r="AB48" s="113" t="n">
        <v>4</v>
      </c>
      <c r="AC48" s="161" t="n">
        <v>1168.64</v>
      </c>
      <c r="AD48" s="161">
        <f>AE48-AC48</f>
        <v/>
      </c>
      <c r="AE48" s="161" t="n">
        <v>1795.51</v>
      </c>
      <c r="AF48" s="162">
        <f>(Z48+AA48+AB48)*'Ставки аренды'!$B$3/X48</f>
        <v/>
      </c>
      <c r="AG48" s="163" t="n">
        <v>0</v>
      </c>
      <c r="AH48" s="164" t="n">
        <v>0</v>
      </c>
      <c r="AI48" s="165">
        <f>240828/411356*AVERAGE(AJ48,AJ49)</f>
        <v/>
      </c>
      <c r="AJ48" s="166">
        <f>Цены!$D$12</f>
        <v/>
      </c>
      <c r="AK48" s="164">
        <f>AJ48/Цены!$B$1</f>
        <v/>
      </c>
      <c r="AL48" s="164">
        <f>AE48+AF48+AG48</f>
        <v/>
      </c>
      <c r="AM48" s="164">
        <f>AJ48-AL48</f>
        <v/>
      </c>
      <c r="AN48" s="164">
        <f>AI48+AH48+AG48+AF48+AE48</f>
        <v/>
      </c>
      <c r="AO48" s="167">
        <f>(AJ48-AN48)/AJ48</f>
        <v/>
      </c>
      <c r="AP48" s="168">
        <f>AL48/AJ48</f>
        <v/>
      </c>
      <c r="AQ48" s="168">
        <f>AE48/AJ48</f>
        <v/>
      </c>
      <c r="AR48" s="168">
        <f>AE48/AL48</f>
        <v/>
      </c>
      <c r="AS48" s="169" t="n">
        <v>1</v>
      </c>
      <c r="AT48" s="121">
        <f>S48*AS48</f>
        <v/>
      </c>
      <c r="AU48" s="83" t="n">
        <v>0.9</v>
      </c>
      <c r="AV48" s="170">
        <f>(AJ48-(AE48*(1+$IS$2)+AF48+AG48+AH48+AI48))/AJ48</f>
        <v/>
      </c>
      <c r="AW48" s="171">
        <f>(AE48*(1+$IS$2)+AF48+AG48)/AJ48</f>
        <v/>
      </c>
      <c r="AX48" s="171">
        <f>(AE48*(1+$IS$2))/AJ48</f>
        <v/>
      </c>
      <c r="AY48" s="171">
        <f>(AE48*(1+$IS$2))/(AE48*(1+$IS$2)+AF48+AG48)</f>
        <v/>
      </c>
      <c r="AZ48" s="172">
        <f>MIN(IF($AU48=100%,1,1+VLOOKUP(($AJ48-$AI48-$AH48-$AG48-$AF48-$AE48*(1+AZ$3))/$AJ48,'Технический лист'!$M:$N,2,1)-VLOOKUP($AO48,'Технический лист'!$M:$N,2,1)),1+(1-$AU48))</f>
        <v/>
      </c>
      <c r="BA48" s="172">
        <f>MIN(IF($AU48=100%,1,1+VLOOKUP(($AJ48-$AI48-$AH48-$AG48-$AF48-$AE48*(1+BA$3))/$AJ48,'Технический лист'!$M:$N,2,1)-VLOOKUP($AO48,'Технический лист'!$M:$N,2,1)),1+(1-$AU48))</f>
        <v/>
      </c>
      <c r="BB48" s="172">
        <f>MIN(IF($AU48=100%,1,1+VLOOKUP(($AJ48-$AI48-$AH48-$AG48-$AF48-$AE48*(1+BB$3))/$AJ48,'Технический лист'!$M:$N,2,1)-VLOOKUP($AO48,'Технический лист'!$M:$N,2,1)),1+(1-$AU48))</f>
        <v/>
      </c>
      <c r="BC48" s="172">
        <f>MIN(IF($AU48=100%,1,1+VLOOKUP(($AJ48-$AI48-$AH48-$AG48-$AF48-$AE48*(1+BC$3))/$AJ48,'Технический лист'!$M:$N,2,1)-VLOOKUP($AO48,'Технический лист'!$M:$N,2,1)),1+(1-$AU48))</f>
        <v/>
      </c>
      <c r="BD48" s="172">
        <f>MIN(IF($AU48=100%,1,1+VLOOKUP(($AJ48-$AI48-$AH48-$AG48-$AF48-$AE48*(1+BD$3))/$AJ48,'Технический лист'!$M:$N,2,1)-VLOOKUP($AO48,'Технический лист'!$M:$N,2,1)),1+(1-$AU48))</f>
        <v/>
      </c>
      <c r="BE48" s="172">
        <f>MIN(IF($AU48=100%,1,1+VLOOKUP(($AJ48-$AI48-$AH48-$AG48-$AF48-$AE48*(1+BE$3))/$AJ48,'Технический лист'!$M:$N,2,1)-VLOOKUP($AO48,'Технический лист'!$M:$N,2,1)),1+(1-$AU48))</f>
        <v/>
      </c>
      <c r="BF48" s="172">
        <f>MIN(IF($AU48=100%,1,1+VLOOKUP(($AJ48-$AI48-$AH48-$AG48-$AF48-$AE48*(1+BF$3))/$AJ48,'Технический лист'!$M:$N,2,1)-VLOOKUP($AO48,'Технический лист'!$M:$N,2,1)),1+(1-$AU48))</f>
        <v/>
      </c>
      <c r="BG48" s="172">
        <f>MIN(IF($AU48=100%,1,1+VLOOKUP(($AJ48-$AI48-$AH48-$AG48-$AF48-$AE48*(1+BG$3))/$AJ48,'Технический лист'!$M:$N,2,1)-VLOOKUP($AO48,'Технический лист'!$M:$N,2,1)),1+(1-$AU48))</f>
        <v/>
      </c>
      <c r="BH48" s="172">
        <f>MIN(IF($AU48=100%,1,1+VLOOKUP(($AJ48-$AI48-$AH48-$AG48-$AF48-$AE48*(1+BH$3))/$AJ48,'Технический лист'!$M:$N,2,1)-VLOOKUP($AO48,'Технический лист'!$M:$N,2,1)),1+(1-$AU48))</f>
        <v/>
      </c>
      <c r="BI48" s="172">
        <f>MIN(IF($AU48=100%,1,1+VLOOKUP(($AJ48-$AI48-$AH48-$AG48-$AF48-$AE48*(1+BI$3))/$AJ48,'Технический лист'!$M:$N,2,1)-VLOOKUP($AO48,'Технический лист'!$M:$N,2,1)),1+(1-$AU48))</f>
        <v/>
      </c>
      <c r="BJ48" s="172">
        <f>MIN(IF($AU48=100%,1,1+VLOOKUP(($AJ48-$AI48-$AH48-$AG48-$AF48-$AE48*(1+BJ$3))/$AJ48,'Технический лист'!$M:$N,2,1)-VLOOKUP($AO48,'Технический лист'!$M:$N,2,1)),1+(1-$AU48))</f>
        <v/>
      </c>
      <c r="BK48" s="172">
        <f>MIN(IF($AU48=100%,1,1+VLOOKUP(($AJ48-$AI48-$AH48-$AG48-$AF48-$AE48*(1+BK$3))/$AJ48,'Технический лист'!$M:$N,2,1)-VLOOKUP($AO48,'Технический лист'!$M:$N,2,1)),1+(1-$AU48))</f>
        <v/>
      </c>
      <c r="BL48" s="172">
        <f>MIN(IF($AU48=100%,1,1+VLOOKUP(($AJ48-$AI48-$AH48-$AG48-$AF48-$AE48*(1+BL$3))/$AJ48,'Технический лист'!$M:$N,2,1)-VLOOKUP($AO48,'Технический лист'!$M:$N,2,1)),1+(1-$AU48))</f>
        <v/>
      </c>
      <c r="BM48" s="172">
        <f>MIN(IF($AU48=100%,1,1+VLOOKUP(($AJ48-$AI48-$AH48-$AG48-$AF48-$AE48*(1+BM$3))/$AJ48,'Технический лист'!$M:$N,2,1)-VLOOKUP($AO48,'Технический лист'!$M:$N,2,1)),1+(1-$AU48))</f>
        <v/>
      </c>
      <c r="BN48" s="172">
        <f>MIN(IF($AU48=100%,1,1+VLOOKUP(($AJ48-$AI48-$AH48-$AG48-$AF48-$AE48*(1+BN$3))/$AJ48,'Технический лист'!$M:$N,2,1)-VLOOKUP($AO48,'Технический лист'!$M:$N,2,1)),1+(1-$AU48))</f>
        <v/>
      </c>
      <c r="BO48" s="172">
        <f>MIN(IF($AU48=100%,1,1+VLOOKUP(($AJ48-$AI48-$AH48-$AG48-$AF48-$AE48*(1+BO$3))/$AJ48,'Технический лист'!$M:$N,2,1)-VLOOKUP($AO48,'Технический лист'!$M:$N,2,1)),1+(1-$AU48))</f>
        <v/>
      </c>
      <c r="BP48" s="172">
        <f>MIN(IF($AU48=100%,1,1+VLOOKUP(($AJ48-$AI48-$AH48-$AG48-$AF48-$AE48*(1+BP$3))/$AJ48,'Технический лист'!$M:$N,2,1)-VLOOKUP($AO48,'Технический лист'!$M:$N,2,1)),1+(1-$AU48))</f>
        <v/>
      </c>
      <c r="BQ48" s="172">
        <f>MIN(IF($AU48=100%,1,1+VLOOKUP(($AJ48-$AI48-$AH48-$AG48-$AF48-$AE48*(1+BQ$3))/$AJ48,'Технический лист'!$M:$N,2,1)-VLOOKUP($AO48,'Технический лист'!$M:$N,2,1)),1+(1-$AU48))</f>
        <v/>
      </c>
      <c r="BR48" s="172">
        <f>MIN(IF($AU48=100%,1,1+VLOOKUP(($AJ48-$AI48-$AH48-$AG48-$AF48-$AE48*(1+BR$3))/$AJ48,'Технический лист'!$M:$N,2,1)-VLOOKUP($AO48,'Технический лист'!$M:$N,2,1)),1+(1-$AU48))</f>
        <v/>
      </c>
      <c r="BS48" s="172">
        <f>MIN(IF($AU48=100%,1,1+VLOOKUP(($AJ48-$AI48-$AH48-$AG48-$AF48-$AE48*(1+BS$3))/$AJ48,'Технический лист'!$M:$N,2,1)-VLOOKUP($AO48,'Технический лист'!$M:$N,2,1)),1+(1-$AU48))</f>
        <v/>
      </c>
      <c r="BT48" s="172">
        <f>MIN(IF($AU48=100%,1,1+VLOOKUP(($AJ48-$AI48-$AH48-$AG48-$AF48-$AE48*(1+BT$3))/$AJ48,'Технический лист'!$M:$N,2,1)-VLOOKUP($AO48,'Технический лист'!$M:$N,2,1)),1+(1-$AU48))</f>
        <v/>
      </c>
      <c r="BU48" s="172">
        <f>MIN(IF($AU48=100%,1,1+VLOOKUP(($AJ48-$AI48-$AH48-$AG48-$AF48-$AE48*(1+BU$3))/$AJ48,'Технический лист'!$M:$N,2,1)-VLOOKUP($AO48,'Технический лист'!$M:$N,2,1)),1+(1-$AU48))</f>
        <v/>
      </c>
      <c r="BV48" s="172">
        <f>MIN(IF($AU48=100%,1,1+VLOOKUP(($AJ48-$AI48-$AH48-$AG48-$AF48-$AE48*(1+BV$3))/$AJ48,'Технический лист'!$M:$N,2,1)-VLOOKUP($AO48,'Технический лист'!$M:$N,2,1)),1+(1-$AU48))</f>
        <v/>
      </c>
      <c r="BW48" s="172">
        <f>MIN(IF($AU48=100%,1,1+VLOOKUP(($AJ48-$AI48-$AH48-$AG48-$AF48-$AE48*(1+BW$3))/$AJ48,'Технический лист'!$M:$N,2,1)-VLOOKUP($AO48,'Технический лист'!$M:$N,2,1)),1+(1-$AU48))</f>
        <v/>
      </c>
      <c r="BX48" s="172">
        <f>MIN(IF($AU48=100%,1,1+VLOOKUP(($AJ48-$AI48-$AH48-$AG48-$AF48-$AE48*(1+BX$3))/$AJ48,'Технический лист'!$M:$N,2,1)-VLOOKUP($AO48,'Технический лист'!$M:$N,2,1)),1+(1-$AU48))</f>
        <v/>
      </c>
      <c r="BY48" s="172">
        <f>MIN(IF($AU48=100%,1,1+VLOOKUP(($AJ48-$AI48-$AH48-$AG48-$AF48-$AE48*(1+BY$3))/$AJ48,'Технический лист'!$M:$N,2,1)-VLOOKUP($AO48,'Технический лист'!$M:$N,2,1)),1+(1-$AU48))</f>
        <v/>
      </c>
      <c r="BZ48" s="172">
        <f>MIN(IF($AU48=100%,1,1+VLOOKUP(($AJ48-$AI48-$AH48-$AG48-$AF48-$AE48*(1+BZ$3))/$AJ48,'Технический лист'!$M:$N,2,1)-VLOOKUP($AO48,'Технический лист'!$M:$N,2,1)),1+(1-$AU48))</f>
        <v/>
      </c>
      <c r="CA48" s="172">
        <f>MIN(IF($AU48=100%,1,1+VLOOKUP(($AJ48-$AI48-$AH48-$AG48-$AF48-$AE48*(1+CA$3))/$AJ48,'Технический лист'!$M:$N,2,1)-VLOOKUP($AO48,'Технический лист'!$M:$N,2,1)),1+(1-$AU48))</f>
        <v/>
      </c>
      <c r="CB48" s="172">
        <f>MIN(IF($AU48=100%,1,1+VLOOKUP(($AJ48-$AI48-$AH48-$AG48-$AF48-$AE48*(1+CB$3))/$AJ48,'Технический лист'!$M:$N,2,1)-VLOOKUP($AO48,'Технический лист'!$M:$N,2,1)),1+(1-$AU48))</f>
        <v/>
      </c>
      <c r="CC48" s="172">
        <f>MIN(IF($AU48=100%,1,1+VLOOKUP(($AJ48-$AI48-$AH48-$AG48-$AF48-$AE48*(1+CC$3))/$AJ48,'Технический лист'!$M:$N,2,1)-VLOOKUP($AO48,'Технический лист'!$M:$N,2,1)),1+(1-$AU48))</f>
        <v/>
      </c>
      <c r="CD48" s="172">
        <f>MIN(IF($AU48=100%,1,1+VLOOKUP(($AJ48-$AI48-$AH48-$AG48-$AF48-$AE48*(1+CD$3))/$AJ48,'Технический лист'!$M:$N,2,1)-VLOOKUP($AO48,'Технический лист'!$M:$N,2,1)),1+(1-$AU48))</f>
        <v/>
      </c>
      <c r="CE48" s="172">
        <f>MIN(IF($AU48=100%,1,1+VLOOKUP(($AJ48-$AI48-$AH48-$AG48-$AF48-$AE48*(1+CE$3))/$AJ48,'Технический лист'!$M:$N,2,1)-VLOOKUP($AO48,'Технический лист'!$M:$N,2,1)),1+(1-$AU48))</f>
        <v/>
      </c>
      <c r="CF48" s="172">
        <f>MIN(IF($AU48=100%,1,1+VLOOKUP(($AJ48-$AI48-$AH48-$AG48-$AF48-$AE48*(1+CF$3))/$AJ48,'Технический лист'!$M:$N,2,1)-VLOOKUP($AO48,'Технический лист'!$M:$N,2,1)),1+(1-$AU48))</f>
        <v/>
      </c>
      <c r="CG48" s="172">
        <f>MIN(IF($AU48=100%,1,1+VLOOKUP(($AJ48-$AI48-$AH48-$AG48-$AF48-$AE48*(1+CG$3))/$AJ48,'Технический лист'!$M:$N,2,1)-VLOOKUP($AO48,'Технический лист'!$M:$N,2,1)),1+(1-$AU48))</f>
        <v/>
      </c>
      <c r="CH48" s="172">
        <f>MIN(IF($AU48=100%,1,1+VLOOKUP(($AJ48-$AI48-$AH48-$AG48-$AF48-$AE48*(1+CH$3))/$AJ48,'Технический лист'!$M:$N,2,1)-VLOOKUP($AO48,'Технический лист'!$M:$N,2,1)),1+(1-$AU48))</f>
        <v/>
      </c>
      <c r="CI48" s="172">
        <f>MIN(IF($AU48=100%,1,1+VLOOKUP(($AJ48-$AI48-$AH48-$AG48-$AF48-$AE48*(1+CI$3))/$AJ48,'Технический лист'!$M:$N,2,1)-VLOOKUP($AO48,'Технический лист'!$M:$N,2,1)),1+(1-$AU48))</f>
        <v/>
      </c>
      <c r="CJ48" s="172">
        <f>MIN(IF($AU48=100%,1,1+VLOOKUP(($AJ48-$AI48-$AH48-$AG48-$AF48-$AE48*(1+CJ$3))/$AJ48,'Технический лист'!$M:$N,2,1)-VLOOKUP($AO48,'Технический лист'!$M:$N,2,1)),1+(1-$AU48))</f>
        <v/>
      </c>
      <c r="CK48" s="172">
        <f>MIN(IF($AU48=100%,1,1+VLOOKUP(($AJ48-$AI48-$AH48-$AG48-$AF48-$AE48*(1+CK$3))/$AJ48,'Технический лист'!$M:$N,2,1)-VLOOKUP($AO48,'Технический лист'!$M:$N,2,1)),1+(1-$AU48))</f>
        <v/>
      </c>
      <c r="CL48" s="172">
        <f>MIN(IF($AU48=100%,1,1+VLOOKUP(($AJ48-$AI48-$AH48-$AG48-$AF48-$AE48*(1+CL$3))/$AJ48,'Технический лист'!$M:$N,2,1)-VLOOKUP($AO48,'Технический лист'!$M:$N,2,1)),1+(1-$AU48))</f>
        <v/>
      </c>
      <c r="CM48" s="172">
        <f>MIN(IF($AU48=100%,1,1+VLOOKUP(($AJ48-$AI48-$AH48-$AG48-$AF48-$AE48*(1+CM$3))/$AJ48,'Технический лист'!$M:$N,2,1)-VLOOKUP($AO48,'Технический лист'!$M:$N,2,1)),1+(1-$AU48))</f>
        <v/>
      </c>
      <c r="CN48" s="172">
        <f>MIN(IF($AU48=100%,1,1+VLOOKUP(($AJ48-$AI48-$AH48-$AG48-$AF48-$AE48*(1+CN$3))/$AJ48,'Технический лист'!$M:$N,2,1)-VLOOKUP($AO48,'Технический лист'!$M:$N,2,1)),1+(1-$AU48))</f>
        <v/>
      </c>
      <c r="CO48" s="172">
        <f>MIN(IF($AU48=100%,1,1+VLOOKUP(($AJ48-$AI48-$AH48-$AG48-$AF48-$AE48*(1+CO$3))/$AJ48,'Технический лист'!$M:$N,2,1)-VLOOKUP($AO48,'Технический лист'!$M:$N,2,1)),1+(1-$AU48))</f>
        <v/>
      </c>
      <c r="CP48" s="172">
        <f>MIN(IF($AU48=100%,1,1+VLOOKUP(($AJ48-$AI48-$AH48-$AG48-$AF48-$AE48*(1+CP$3))/$AJ48,'Технический лист'!$M:$N,2,1)-VLOOKUP($AO48,'Технический лист'!$M:$N,2,1)),1+(1-$AU48))</f>
        <v/>
      </c>
      <c r="CQ48" s="172">
        <f>MIN(IF($AU48=100%,1,1+VLOOKUP(($AJ48-$AI48-$AH48-$AG48-$AF48-$AE48*(1+CQ$3))/$AJ48,'Технический лист'!$M:$N,2,1)-VLOOKUP($AO48,'Технический лист'!$M:$N,2,1)),1+(1-$AU48))</f>
        <v/>
      </c>
      <c r="CR48" s="172">
        <f>MIN(IF($AU48=100%,1,1+VLOOKUP(($AJ48-$AI48-$AH48-$AG48-$AF48-$AE48*(1+CR$3))/$AJ48,'Технический лист'!$M:$N,2,1)-VLOOKUP($AO48,'Технический лист'!$M:$N,2,1)),1+(1-$AU48))</f>
        <v/>
      </c>
      <c r="CS48" s="172">
        <f>MIN(IF($AU48=100%,1,1+VLOOKUP(($AJ48-$AI48-$AH48-$AG48-$AF48-$AE48*(1+CS$3))/$AJ48,'Технический лист'!$M:$N,2,1)-VLOOKUP($AO48,'Технический лист'!$M:$N,2,1)),1+(1-$AU48))</f>
        <v/>
      </c>
      <c r="CT48" s="172">
        <f>MIN(IF($AU48=100%,1,1+VLOOKUP(($AJ48-$AI48-$AH48-$AG48-$AF48-$AE48*(1+CT$3))/$AJ48,'Технический лист'!$M:$N,2,1)-VLOOKUP($AO48,'Технический лист'!$M:$N,2,1)),1+(1-$AU48))</f>
        <v/>
      </c>
      <c r="CU48" s="172">
        <f>MIN(IF($AU48=100%,1,1+VLOOKUP(($AJ48-$AI48-$AH48-$AG48-$AF48-$AE48*(1+CU$3))/$AJ48,'Технический лист'!$M:$N,2,1)-VLOOKUP($AO48,'Технический лист'!$M:$N,2,1)),1+(1-$AU48))</f>
        <v/>
      </c>
      <c r="CV48" s="172">
        <f>MIN(IF($AU48=100%,1,1+VLOOKUP(($AJ48-$AI48-$AH48-$AG48-$AF48-$AE48*(1+CV$3))/$AJ48,'Технический лист'!$M:$N,2,1)-VLOOKUP($AO48,'Технический лист'!$M:$N,2,1)),1+(1-$AU48))</f>
        <v/>
      </c>
      <c r="CW48" s="172">
        <f>MIN(IF($AU48=100%,1,1+VLOOKUP(($AJ48-$AI48-$AH48-$AG48-$AF48-$AE48*(1+CW$3))/$AJ48,'Технический лист'!$M:$N,2,1)-VLOOKUP($AO48,'Технический лист'!$M:$N,2,1)),1+(1-$AU48))</f>
        <v/>
      </c>
      <c r="CX48" s="172">
        <f>MIN(IF($AU48=100%,1,1+VLOOKUP(($AJ48-$AI48-$AH48-$AG48-$AF48-$AE48*(1+CX$3))/$AJ48,'Технический лист'!$M:$N,2,1)-VLOOKUP($AO48,'Технический лист'!$M:$N,2,1)),1+(1-$AU48))</f>
        <v/>
      </c>
      <c r="CY48" s="172">
        <f>MIN(IF($AU48=100%,1,1+VLOOKUP(($AJ48-$AI48-$AH48-$AG48-$AF48-$AE48*(1+CY$3))/$AJ48,'Технический лист'!$M:$N,2,1)-VLOOKUP($AO48,'Технический лист'!$M:$N,2,1)),1+(1-$AU48))</f>
        <v/>
      </c>
      <c r="CZ48" s="172">
        <f>MIN(IF($AU48=100%,1,1+VLOOKUP(($AJ48-$AI48-$AH48-$AG48-$AF48-$AE48*(1+CZ$3))/$AJ48,'Технический лист'!$M:$N,2,1)-VLOOKUP($AO48,'Технический лист'!$M:$N,2,1)),1+(1-$AU48))</f>
        <v/>
      </c>
      <c r="DA48" s="172">
        <f>MIN(IF($AU48=100%,1,1+VLOOKUP(($AJ48-$AI48-$AH48-$AG48-$AF48-$AE48*(1+DA$3))/$AJ48,'Технический лист'!$M:$N,2,1)-VLOOKUP($AO48,'Технический лист'!$M:$N,2,1)),1+(1-$AU48))</f>
        <v/>
      </c>
      <c r="DB48" s="172">
        <f>MIN(IF($AU48=100%,1,1+VLOOKUP(($AJ48-$AI48-$AH48-$AG48-$AF48-$AE48*(1+DB$3))/$AJ48,'Технический лист'!$M:$N,2,1)-VLOOKUP($AO48,'Технический лист'!$M:$N,2,1)),1+(1-$AU48))</f>
        <v/>
      </c>
      <c r="DC48" s="172">
        <f>MIN(IF($AU48=100%,1,1+VLOOKUP(($AJ48-$AI48-$AH48-$AG48-$AF48-$AE48*(1+DC$3))/$AJ48,'Технический лист'!$M:$N,2,1)-VLOOKUP($AO48,'Технический лист'!$M:$N,2,1)),1+(1-$AU48))</f>
        <v/>
      </c>
      <c r="DD48" s="172">
        <f>MIN(IF($AU48=100%,1,1+VLOOKUP(($AJ48-$AI48-$AH48-$AG48-$AF48-$AE48*(1+DD$3))/$AJ48,'Технический лист'!$M:$N,2,1)-VLOOKUP($AO48,'Технический лист'!$M:$N,2,1)),1+(1-$AU48))</f>
        <v/>
      </c>
      <c r="DE48" s="172">
        <f>MIN(IF($AU48=100%,1,1+VLOOKUP(($AJ48-$AI48-$AH48-$AG48-$AF48-$AE48*(1+DE$3))/$AJ48,'Технический лист'!$M:$N,2,1)-VLOOKUP($AO48,'Технический лист'!$M:$N,2,1)),1+(1-$AU48))</f>
        <v/>
      </c>
      <c r="DF48" s="172">
        <f>MIN(IF($AU48=100%,1,1+VLOOKUP(($AJ48-$AI48-$AH48-$AG48-$AF48-$AE48*(1+DF$3))/$AJ48,'Технический лист'!$M:$N,2,1)-VLOOKUP($AO48,'Технический лист'!$M:$N,2,1)),1+(1-$AU48))</f>
        <v/>
      </c>
      <c r="DG48" s="172">
        <f>MIN(IF($AU48=100%,1,1+VLOOKUP(($AJ48-$AI48-$AH48-$AG48-$AF48-$AE48*(1+DG$3))/$AJ48,'Технический лист'!$M:$N,2,1)-VLOOKUP($AO48,'Технический лист'!$M:$N,2,1)),1+(1-$AU48))</f>
        <v/>
      </c>
      <c r="DH48" s="172">
        <f>MIN(IF($AU48=100%,1,1+VLOOKUP(($AJ48-$AI48-$AH48-$AG48-$AF48-$AE48*(1+DH$3))/$AJ48,'Технический лист'!$M:$N,2,1)-VLOOKUP($AO48,'Технический лист'!$M:$N,2,1)),1+(1-$AU48))</f>
        <v/>
      </c>
      <c r="DI48" s="172">
        <f>MIN(IF($AU48=100%,1,1+VLOOKUP(($AJ48-$AI48-$AH48-$AG48-$AF48-$AE48*(1+DI$3))/$AJ48,'Технический лист'!$M:$N,2,1)-VLOOKUP($AO48,'Технический лист'!$M:$N,2,1)),1+(1-$AU48))</f>
        <v/>
      </c>
      <c r="DJ48" s="172">
        <f>MIN(IF($AU48=100%,1,1+VLOOKUP(($AJ48-$AI48-$AH48-$AG48-$AF48-$AE48*(1+DJ$3))/$AJ48,'Технический лист'!$M:$N,2,1)-VLOOKUP($AO48,'Технический лист'!$M:$N,2,1)),1+(1-$AU48))</f>
        <v/>
      </c>
      <c r="DK48" s="172">
        <f>MIN(IF($AU48=100%,1,1+VLOOKUP(($AJ48-$AI48-$AH48-$AG48-$AF48-$AE48*(1+DK$3))/$AJ48,'Технический лист'!$M:$N,2,1)-VLOOKUP($AO48,'Технический лист'!$M:$N,2,1)),1+(1-$AU48))</f>
        <v/>
      </c>
      <c r="DL48" s="172">
        <f>MIN(IF($AU48=100%,1,1+VLOOKUP(($AJ48-$AI48-$AH48-$AG48-$AF48-$AE48*(1+DL$3))/$AJ48,'Технический лист'!$M:$N,2,1)-VLOOKUP($AO48,'Технический лист'!$M:$N,2,1)),1+(1-$AU48))</f>
        <v/>
      </c>
      <c r="DM48" s="172">
        <f>MIN(IF($AU48=100%,1,1+VLOOKUP(($AJ48-$AI48-$AH48-$AG48-$AF48-$AE48*(1+DM$3))/$AJ48,'Технический лист'!$M:$N,2,1)-VLOOKUP($AO48,'Технический лист'!$M:$N,2,1)),1+(1-$AU48))</f>
        <v/>
      </c>
      <c r="DN48" s="172">
        <f>MIN(IF($AU48=100%,1,1+VLOOKUP(($AJ48-$AI48-$AH48-$AG48-$AF48-$AE48*(1+DN$3))/$AJ48,'Технический лист'!$M:$N,2,1)-VLOOKUP($AO48,'Технический лист'!$M:$N,2,1)),1+(1-$AU48))</f>
        <v/>
      </c>
      <c r="DO48" s="172">
        <f>MIN(IF($AU48=100%,1,1+VLOOKUP(($AJ48-$AI48-$AH48-$AG48-$AF48-$AE48*(1+DO$3))/$AJ48,'Технический лист'!$M:$N,2,1)-VLOOKUP($AO48,'Технический лист'!$M:$N,2,1)),1+(1-$AU48))</f>
        <v/>
      </c>
      <c r="DP48" s="172">
        <f>MIN(IF($AU48=100%,1,1+VLOOKUP(($AJ48-$AI48-$AH48-$AG48-$AF48-$AE48*(1+DP$3))/$AJ48,'Технический лист'!$M:$N,2,1)-VLOOKUP($AO48,'Технический лист'!$M:$N,2,1)),1+(1-$AU48))</f>
        <v/>
      </c>
      <c r="DQ48" s="172">
        <f>MIN(IF($AU48=100%,1,1+VLOOKUP(($AJ48-$AI48-$AH48-$AG48-$AF48-$AE48*(1+DQ$3))/$AJ48,'Технический лист'!$M:$N,2,1)-VLOOKUP($AO48,'Технический лист'!$M:$N,2,1)),1+(1-$AU48))</f>
        <v/>
      </c>
      <c r="DR48" s="172">
        <f>MIN(IF($AU48=100%,1,1+VLOOKUP(($AJ48-$AI48-$AH48-$AG48-$AF48-$AE48*(1+DR$3))/$AJ48,'Технический лист'!$M:$N,2,1)-VLOOKUP($AO48,'Технический лист'!$M:$N,2,1)),1+(1-$AU48))</f>
        <v/>
      </c>
      <c r="DS48" s="172">
        <f>MIN(IF($AU48=100%,1,1+VLOOKUP(($AJ48-$AI48-$AH48-$AG48-$AF48-$AE48*(1+DS$3))/$AJ48,'Технический лист'!$M:$N,2,1)-VLOOKUP($AO48,'Технический лист'!$M:$N,2,1)),1+(1-$AU48))</f>
        <v/>
      </c>
      <c r="DT48" s="172">
        <f>MIN(IF($AU48=100%,1,1+VLOOKUP(($AJ48-$AI48-$AH48-$AG48-$AF48-$AE48*(1+DT$3))/$AJ48,'Технический лист'!$M:$N,2,1)-VLOOKUP($AO48,'Технический лист'!$M:$N,2,1)),1+(1-$AU48))</f>
        <v/>
      </c>
      <c r="DU48" s="172">
        <f>MIN(IF($AU48=100%,1,1+VLOOKUP(($AJ48-$AI48-$AH48-$AG48-$AF48-$AE48*(1+DU$3))/$AJ48,'Технический лист'!$M:$N,2,1)-VLOOKUP($AO48,'Технический лист'!$M:$N,2,1)),1+(1-$AU48))</f>
        <v/>
      </c>
      <c r="DV48" s="172">
        <f>MIN(IF($AU48=100%,1,1+VLOOKUP(($AJ48-$AI48-$AH48-$AG48-$AF48-$AE48*(1+DV$3))/$AJ48,'Технический лист'!$M:$N,2,1)-VLOOKUP($AO48,'Технический лист'!$M:$N,2,1)),1+(1-$AU48))</f>
        <v/>
      </c>
      <c r="DW48" s="172">
        <f>MIN(IF($AU48=100%,1,1+VLOOKUP(($AJ48-$AI48-$AH48-$AG48-$AF48-$AE48*(1+DW$3))/$AJ48,'Технический лист'!$M:$N,2,1)-VLOOKUP($AO48,'Технический лист'!$M:$N,2,1)),1+(1-$AU48))</f>
        <v/>
      </c>
      <c r="DX48" s="172">
        <f>MIN(IF($AU48=100%,1,1+VLOOKUP(($AJ48-$AI48-$AH48-$AG48-$AF48-$AE48*(1+DX$3))/$AJ48,'Технический лист'!$M:$N,2,1)-VLOOKUP($AO48,'Технический лист'!$M:$N,2,1)),1+(1-$AU48))</f>
        <v/>
      </c>
      <c r="DY48" s="172">
        <f>MIN(IF($AU48=100%,1,1+VLOOKUP(($AJ48-$AI48-$AH48-$AG48-$AF48-$AE48*(1+DY$3))/$AJ48,'Технический лист'!$M:$N,2,1)-VLOOKUP($AO48,'Технический лист'!$M:$N,2,1)),1+(1-$AU48))</f>
        <v/>
      </c>
      <c r="DZ48" s="172">
        <f>MIN(IF($AU48=100%,1,1+VLOOKUP(($AJ48-$AI48-$AH48-$AG48-$AF48-$AE48*(1+DZ$3))/$AJ48,'Технический лист'!$M:$N,2,1)-VLOOKUP($AO48,'Технический лист'!$M:$N,2,1)),1+(1-$AU48))</f>
        <v/>
      </c>
      <c r="EA48" s="172">
        <f>MIN(IF($AU48=100%,1,1+VLOOKUP(($AJ48-$AI48-$AH48-$AG48-$AF48-$AE48*(1+EA$3))/$AJ48,'Технический лист'!$M:$N,2,1)-VLOOKUP($AO48,'Технический лист'!$M:$N,2,1)),1+(1-$AU48))</f>
        <v/>
      </c>
      <c r="EB48" s="172">
        <f>MIN(IF($AU48=100%,1,1+VLOOKUP(($AJ48-$AI48-$AH48-$AG48-$AF48-$AE48*(1+EB$3))/$AJ48,'Технический лист'!$M:$N,2,1)-VLOOKUP($AO48,'Технический лист'!$M:$N,2,1)),1+(1-$AU48))</f>
        <v/>
      </c>
      <c r="EC48" s="172">
        <f>MIN(IF($AU48=100%,1,1+VLOOKUP(($AJ48-$AI48-$AH48-$AG48-$AF48-$AE48*(1+EC$3))/$AJ48,'Технический лист'!$M:$N,2,1)-VLOOKUP($AO48,'Технический лист'!$M:$N,2,1)),1+(1-$AU48))</f>
        <v/>
      </c>
      <c r="ED48" s="172">
        <f>MIN(IF($AU48=100%,1,1+VLOOKUP(($AJ48-$AI48-$AH48-$AG48-$AF48-$AE48*(1+ED$3))/$AJ48,'Технический лист'!$M:$N,2,1)-VLOOKUP($AO48,'Технический лист'!$M:$N,2,1)),1+(1-$AU48))</f>
        <v/>
      </c>
      <c r="EE48" s="172">
        <f>MIN(IF($AU48=100%,1,1+VLOOKUP(($AJ48-$AI48-$AH48-$AG48-$AF48-$AE48*(1+EE$3))/$AJ48,'Технический лист'!$M:$N,2,1)-VLOOKUP($AO48,'Технический лист'!$M:$N,2,1)),1+(1-$AU48))</f>
        <v/>
      </c>
      <c r="EF48" s="172">
        <f>MIN(IF($AU48=100%,1,1+VLOOKUP(($AJ48-$AI48-$AH48-$AG48-$AF48-$AE48*(1+EF$3))/$AJ48,'Технический лист'!$M:$N,2,1)-VLOOKUP($AO48,'Технический лист'!$M:$N,2,1)),1+(1-$AU48))</f>
        <v/>
      </c>
      <c r="EG48" s="172">
        <f>MIN(IF($AU48=100%,1,1+VLOOKUP(($AJ48-$AI48-$AH48-$AG48-$AF48-$AE48*(1+EG$3))/$AJ48,'Технический лист'!$M:$N,2,1)-VLOOKUP($AO48,'Технический лист'!$M:$N,2,1)),1+(1-$AU48))</f>
        <v/>
      </c>
      <c r="EH48" s="172">
        <f>MIN(IF($AU48=100%,1,1+VLOOKUP(($AJ48-$AI48-$AH48-$AG48-$AF48-$AE48*(1+EH$3))/$AJ48,'Технический лист'!$M:$N,2,1)-VLOOKUP($AO48,'Технический лист'!$M:$N,2,1)),1+(1-$AU48))</f>
        <v/>
      </c>
      <c r="EI48" s="172">
        <f>MIN(IF($AU48=100%,1,1+VLOOKUP(($AJ48-$AI48-$AH48-$AG48-$AF48-$AE48*(1+EI$3))/$AJ48,'Технический лист'!$M:$N,2,1)-VLOOKUP($AO48,'Технический лист'!$M:$N,2,1)),1+(1-$AU48))</f>
        <v/>
      </c>
      <c r="EJ48" s="172">
        <f>MIN(IF($AU48=100%,1,1+VLOOKUP(($AJ48-$AI48-$AH48-$AG48-$AF48-$AE48*(1+EJ$3))/$AJ48,'Технический лист'!$M:$N,2,1)-VLOOKUP($AO48,'Технический лист'!$M:$N,2,1)),1+(1-$AU48))</f>
        <v/>
      </c>
      <c r="EK48" s="172">
        <f>MIN(IF($AU48=100%,1,1+VLOOKUP(($AJ48-$AI48-$AH48-$AG48-$AF48-$AE48*(1+EK$3))/$AJ48,'Технический лист'!$M:$N,2,1)-VLOOKUP($AO48,'Технический лист'!$M:$N,2,1)),1+(1-$AU48))</f>
        <v/>
      </c>
      <c r="EL48" s="172">
        <f>MIN(IF($AU48=100%,1,1+VLOOKUP(($AJ48-$AI48-$AH48-$AG48-$AF48-$AE48*(1+EL$3))/$AJ48,'Технический лист'!$M:$N,2,1)-VLOOKUP($AO48,'Технический лист'!$M:$N,2,1)),1+(1-$AU48))</f>
        <v/>
      </c>
      <c r="EM48" s="172">
        <f>MIN(IF($AU48=100%,1,1+VLOOKUP(($AJ48-$AI48-$AH48-$AG48-$AF48-$AE48*(1+EM$3))/$AJ48,'Технический лист'!$M:$N,2,1)-VLOOKUP($AO48,'Технический лист'!$M:$N,2,1)),1+(1-$AU48))</f>
        <v/>
      </c>
      <c r="EN48" s="172">
        <f>MIN(IF($AU48=100%,1,1+VLOOKUP(($AJ48-$AI48-$AH48-$AG48-$AF48-$AE48*(1+EN$3))/$AJ48,'Технический лист'!$M:$N,2,1)-VLOOKUP($AO48,'Технический лист'!$M:$N,2,1)),1+(1-$AU48))</f>
        <v/>
      </c>
      <c r="EO48" s="172">
        <f>MIN(IF($AU48=100%,1,1+VLOOKUP(($AJ48-$AI48-$AH48-$AG48-$AF48-$AE48*(1+EO$3))/$AJ48,'Технический лист'!$M:$N,2,1)-VLOOKUP($AO48,'Технический лист'!$M:$N,2,1)),1+(1-$AU48))</f>
        <v/>
      </c>
      <c r="EP48" s="172">
        <f>MIN(IF($AU48=100%,1,1+VLOOKUP(($AJ48-$AI48-$AH48-$AG48-$AF48-$AE48*(1+EP$3))/$AJ48,'Технический лист'!$M:$N,2,1)-VLOOKUP($AO48,'Технический лист'!$M:$N,2,1)),1+(1-$AU48))</f>
        <v/>
      </c>
      <c r="EQ48" s="172">
        <f>MIN(IF($AU48=100%,1,1+VLOOKUP(($AJ48-$AI48-$AH48-$AG48-$AF48-$AE48*(1+EQ$3))/$AJ48,'Технический лист'!$M:$N,2,1)-VLOOKUP($AO48,'Технический лист'!$M:$N,2,1)),1+(1-$AU48))</f>
        <v/>
      </c>
      <c r="ER48" s="172">
        <f>MIN(IF($AU48=100%,1,1+VLOOKUP(($AJ48-$AI48-$AH48-$AG48-$AF48-$AE48*(1+ER$3))/$AJ48,'Технический лист'!$M:$N,2,1)-VLOOKUP($AO48,'Технический лист'!$M:$N,2,1)),1+(1-$AU48))</f>
        <v/>
      </c>
      <c r="ES48" s="172">
        <f>MIN(IF($AU48=100%,1,1+VLOOKUP(($AJ48-$AI48-$AH48-$AG48-$AF48-$AE48*(1+ES$3))/$AJ48,'Технический лист'!$M:$N,2,1)-VLOOKUP($AO48,'Технический лист'!$M:$N,2,1)),1+(1-$AU48))</f>
        <v/>
      </c>
      <c r="ET48" s="172">
        <f>MIN(IF($AU48=100%,1,1+VLOOKUP(($AJ48-$AI48-$AH48-$AG48-$AF48-$AE48*(1+ET$3))/$AJ48,'Технический лист'!$M:$N,2,1)-VLOOKUP($AO48,'Технический лист'!$M:$N,2,1)),1+(1-$AU48))</f>
        <v/>
      </c>
      <c r="EU48" s="172">
        <f>MIN(IF($AU48=100%,1,1+VLOOKUP(($AJ48-$AI48-$AH48-$AG48-$AF48-$AE48*(1+EU$3))/$AJ48,'Технический лист'!$M:$N,2,1)-VLOOKUP($AO48,'Технический лист'!$M:$N,2,1)),1+(1-$AU48))</f>
        <v/>
      </c>
      <c r="EV48" s="173" t="n">
        <v>1</v>
      </c>
      <c r="EW48" s="172">
        <f>MIN(1,MAX(VLOOKUP(($AJ48-$AI48-$AH48-$AG48-$AF48-$AE48*(1+EW$3))/$AJ48,'Технический лист'!$M:$N,2,1),(EV48-0.05)))</f>
        <v/>
      </c>
      <c r="EX48" s="172">
        <f>MIN(1,MAX(VLOOKUP(($AJ48-$AI48-$AH48-$AG48-$AF48-$AE48*(1+EX$3))/$AJ48,'Технический лист'!$M:$N,2,1),(EW48-0.05)))</f>
        <v/>
      </c>
      <c r="EY48" s="172">
        <f>MIN(1,MAX(VLOOKUP(($AJ48-$AI48-$AH48-$AG48-$AF48-$AE48*(1+EY$3))/$AJ48,'Технический лист'!$M:$N,2,1),(EX48-0.05)))</f>
        <v/>
      </c>
      <c r="EZ48" s="172">
        <f>MIN(1,MAX(VLOOKUP(($AJ48-$AI48-$AH48-$AG48-$AF48-$AE48*(1+EZ$3))/$AJ48,'Технический лист'!$M:$N,2,1),(EY48-0.05)))</f>
        <v/>
      </c>
      <c r="FA48" s="172">
        <f>MIN(1,MAX(VLOOKUP(($AJ48-$AI48-$AH48-$AG48-$AF48-$AE48*(1+FA$3))/$AJ48,'Технический лист'!$M:$N,2,1),(EZ48-0.05)))</f>
        <v/>
      </c>
      <c r="FB48" s="172">
        <f>MIN(1,MAX(VLOOKUP(($AJ48-$AI48-$AH48-$AG48-$AF48-$AE48*(1+FB$3))/$AJ48,'Технический лист'!$M:$N,2,1),(FA48-0.05)))</f>
        <v/>
      </c>
      <c r="FC48" s="172">
        <f>MIN(1,MAX(VLOOKUP(($AJ48-$AI48-$AH48-$AG48-$AF48-$AE48*(1+FC$3))/$AJ48,'Технический лист'!$M:$N,2,1),(FB48-0.05)))</f>
        <v/>
      </c>
      <c r="FD48" s="172">
        <f>MIN(1,MAX(VLOOKUP(($AJ48-$AI48-$AH48-$AG48-$AF48-$AE48*(1+FD$3))/$AJ48,'Технический лист'!$M:$N,2,1),(FC48-0.05)))</f>
        <v/>
      </c>
      <c r="FE48" s="172">
        <f>MIN(1,MAX(VLOOKUP(($AJ48-$AI48-$AH48-$AG48-$AF48-$AE48*(1+FE$3))/$AJ48,'Технический лист'!$M:$N,2,1),(FD48-0.05)))</f>
        <v/>
      </c>
      <c r="FF48" s="172">
        <f>MIN(1,MAX(VLOOKUP(($AJ48-$AI48-$AH48-$AG48-$AF48-$AE48*(1+FF$3))/$AJ48,'Технический лист'!$M:$N,2,1),(FE48-0.05)))</f>
        <v/>
      </c>
      <c r="FG48" s="172">
        <f>MIN(1,MAX(VLOOKUP(($AJ48-$AI48-$AH48-$AG48-$AF48-$AE48*(1+FG$3))/$AJ48,'Технический лист'!$M:$N,2,1),(FF48-0.05)))</f>
        <v/>
      </c>
      <c r="FH48" s="172">
        <f>MIN(1,MAX(VLOOKUP(($AJ48-$AI48-$AH48-$AG48-$AF48-$AE48*(1+FH$3))/$AJ48,'Технический лист'!$M:$N,2,1),(FG48-0.05)))</f>
        <v/>
      </c>
      <c r="FI48" s="172">
        <f>MIN(1,MAX(VLOOKUP(($AJ48-$AI48-$AH48-$AG48-$AF48-$AE48*(1+FI$3))/$AJ48,'Технический лист'!$M:$N,2,1),(FH48-0.05)))</f>
        <v/>
      </c>
      <c r="FJ48" s="172">
        <f>MIN(1,MAX(VLOOKUP(($AJ48-$AI48-$AH48-$AG48-$AF48-$AE48*(1+FJ$3))/$AJ48,'Технический лист'!$M:$N,2,1),(FI48-0.05)))</f>
        <v/>
      </c>
      <c r="FK48" s="172">
        <f>MIN(1,MAX(VLOOKUP(($AJ48-$AI48-$AH48-$AG48-$AF48-$AE48*(1+FK$3))/$AJ48,'Технический лист'!$M:$N,2,1),(FJ48-0.05)))</f>
        <v/>
      </c>
      <c r="FL48" s="172">
        <f>MIN(1,MAX(VLOOKUP(($AJ48-$AI48-$AH48-$AG48-$AF48-$AE48*(1+FL$3))/$AJ48,'Технический лист'!$M:$N,2,1),(FK48-0.05)))</f>
        <v/>
      </c>
      <c r="FM48" s="172">
        <f>MIN(1,MAX(VLOOKUP(($AJ48-$AI48-$AH48-$AG48-$AF48-$AE48*(1+FM$3))/$AJ48,'Технический лист'!$M:$N,2,1),(FL48-0.05)))</f>
        <v/>
      </c>
      <c r="FN48" s="172">
        <f>MIN(1,MAX(VLOOKUP(($AJ48-$AI48-$AH48-$AG48-$AF48-$AE48*(1+FN$3))/$AJ48,'Технический лист'!$M:$N,2,1),(FM48-0.05)))</f>
        <v/>
      </c>
      <c r="FO48" s="172">
        <f>MIN(1,MAX(VLOOKUP(($AJ48-$AI48-$AH48-$AG48-$AF48-$AE48*(1+FO$3))/$AJ48,'Технический лист'!$M:$N,2,1),(FN48-0.05)))</f>
        <v/>
      </c>
      <c r="FP48" s="172">
        <f>MIN(1,MAX(VLOOKUP(($AJ48-$AI48-$AH48-$AG48-$AF48-$AE48*(1+FP$3))/$AJ48,'Технический лист'!$M:$N,2,1),(FO48-0.05)))</f>
        <v/>
      </c>
      <c r="FQ48" s="172">
        <f>MIN(1,MAX(VLOOKUP(($AJ48-$AI48-$AH48-$AG48-$AF48-$AE48*(1+FQ$3))/$AJ48,'Технический лист'!$M:$N,2,1),(FP48-0.05)))</f>
        <v/>
      </c>
      <c r="FR48" s="172">
        <f>MIN(1,MAX(VLOOKUP(($AJ48-$AI48-$AH48-$AG48-$AF48-$AE48*(1+FR$3))/$AJ48,'Технический лист'!$M:$N,2,1),(FQ48-0.05)))</f>
        <v/>
      </c>
      <c r="FS48" s="172">
        <f>MIN(1,MAX(VLOOKUP(($AJ48-$AI48-$AH48-$AG48-$AF48-$AE48*(1+FS$3))/$AJ48,'Технический лист'!$M:$N,2,1),(FR48-0.05)))</f>
        <v/>
      </c>
      <c r="FT48" s="172">
        <f>MIN(1,MAX(VLOOKUP(($AJ48-$AI48-$AH48-$AG48-$AF48-$AE48*(1+FT$3))/$AJ48,'Технический лист'!$M:$N,2,1),(FS48-0.05)))</f>
        <v/>
      </c>
      <c r="FU48" s="172">
        <f>MIN(1,MAX(VLOOKUP(($AJ48-$AI48-$AH48-$AG48-$AF48-$AE48*(1+FU$3))/$AJ48,'Технический лист'!$M:$N,2,1),(FT48-0.05)))</f>
        <v/>
      </c>
      <c r="FV48" s="172">
        <f>MIN(1,MAX(VLOOKUP(($AJ48-$AI48-$AH48-$AG48-$AF48-$AE48*(1+FV$3))/$AJ48,'Технический лист'!$M:$N,2,1),(FU48-0.05)))</f>
        <v/>
      </c>
      <c r="FW48" s="172">
        <f>MIN(1,MAX(VLOOKUP(($AJ48-$AI48-$AH48-$AG48-$AF48-$AE48*(1+FW$3))/$AJ48,'Технический лист'!$M:$N,2,1),(FV48-0.05)))</f>
        <v/>
      </c>
      <c r="FX48" s="172">
        <f>MIN(1,MAX(VLOOKUP(($AJ48-$AI48-$AH48-$AG48-$AF48-$AE48*(1+FX$3))/$AJ48,'Технический лист'!$M:$N,2,1),(FW48-0.05)))</f>
        <v/>
      </c>
      <c r="FY48" s="172">
        <f>MIN(1,MAX(VLOOKUP(($AJ48-$AI48-$AH48-$AG48-$AF48-$AE48*(1+FY$3))/$AJ48,'Технический лист'!$M:$N,2,1),(FX48-0.05)))</f>
        <v/>
      </c>
      <c r="FZ48" s="172">
        <f>MIN(1,MAX(VLOOKUP(($AJ48-$AI48-$AH48-$AG48-$AF48-$AE48*(1+FZ$3))/$AJ48,'Технический лист'!$M:$N,2,1),(FY48-0.05)))</f>
        <v/>
      </c>
      <c r="GA48" s="172">
        <f>MIN(1,MAX(VLOOKUP(($AJ48-$AI48-$AH48-$AG48-$AF48-$AE48*(1+GA$3))/$AJ48,'Технический лист'!$M:$N,2,1),(FZ48-0.05)))</f>
        <v/>
      </c>
      <c r="GB48" s="172">
        <f>MIN(1,MAX(VLOOKUP(($AJ48-$AI48-$AH48-$AG48-$AF48-$AE48*(1+GB$3))/$AJ48,'Технический лист'!$M:$N,2,1),(GA48-0.05)))</f>
        <v/>
      </c>
      <c r="GC48" s="172">
        <f>MIN(1,MAX(VLOOKUP(($AJ48-$AI48-$AH48-$AG48-$AF48-$AE48*(1+GC$3))/$AJ48,'Технический лист'!$M:$N,2,1),(GB48-0.05)))</f>
        <v/>
      </c>
      <c r="GD48" s="172">
        <f>MIN(1,MAX(VLOOKUP(($AJ48-$AI48-$AH48-$AG48-$AF48-$AE48*(1+GD$3))/$AJ48,'Технический лист'!$M:$N,2,1),(GC48-0.05)))</f>
        <v/>
      </c>
      <c r="GE48" s="172">
        <f>MIN(1,MAX(VLOOKUP(($AJ48-$AI48-$AH48-$AG48-$AF48-$AE48*(1+GE$3))/$AJ48,'Технический лист'!$M:$N,2,1),(GD48-0.05)))</f>
        <v/>
      </c>
      <c r="GF48" s="172">
        <f>MIN(1,MAX(VLOOKUP(($AJ48-$AI48-$AH48-$AG48-$AF48-$AE48*(1+GF$3))/$AJ48,'Технический лист'!$M:$N,2,1),(GE48-0.05)))</f>
        <v/>
      </c>
      <c r="GG48" s="172">
        <f>MIN(1,MAX(VLOOKUP(($AJ48-$AI48-$AH48-$AG48-$AF48-$AE48*(1+GG$3))/$AJ48,'Технический лист'!$M:$N,2,1),(GF48-0.05)))</f>
        <v/>
      </c>
      <c r="GH48" s="172">
        <f>MIN(1,MAX(VLOOKUP(($AJ48-$AI48-$AH48-$AG48-$AF48-$AE48*(1+GH$3))/$AJ48,'Технический лист'!$M:$N,2,1),(GG48-0.05)))</f>
        <v/>
      </c>
      <c r="GI48" s="172">
        <f>MIN(1,MAX(VLOOKUP(($AJ48-$AI48-$AH48-$AG48-$AF48-$AE48*(1+GI$3))/$AJ48,'Технический лист'!$M:$N,2,1),(GH48-0.05)))</f>
        <v/>
      </c>
      <c r="GJ48" s="172">
        <f>MIN(1,MAX(VLOOKUP(($AJ48-$AI48-$AH48-$AG48-$AF48-$AE48*(1+GJ$3))/$AJ48,'Технический лист'!$M:$N,2,1),(GI48-0.05)))</f>
        <v/>
      </c>
      <c r="GK48" s="172">
        <f>MIN(1,MAX(VLOOKUP(($AJ48-$AI48-$AH48-$AG48-$AF48-$AE48*(1+GK$3))/$AJ48,'Технический лист'!$M:$N,2,1),(GJ48-0.05)))</f>
        <v/>
      </c>
      <c r="GL48" s="172">
        <f>MIN(1,MAX(VLOOKUP(($AJ48-$AI48-$AH48-$AG48-$AF48-$AE48*(1+GL$3))/$AJ48,'Технический лист'!$M:$N,2,1),(GK48-0.05)))</f>
        <v/>
      </c>
      <c r="GM48" s="172">
        <f>MIN(1,MAX(VLOOKUP(($AJ48-$AI48-$AH48-$AG48-$AF48-$AE48*(1+GM$3))/$AJ48,'Технический лист'!$M:$N,2,1),(GL48-0.05)))</f>
        <v/>
      </c>
      <c r="GN48" s="172">
        <f>MIN(1,MAX(VLOOKUP(($AJ48-$AI48-$AH48-$AG48-$AF48-$AE48*(1+GN$3))/$AJ48,'Технический лист'!$M:$N,2,1),(GM48-0.05)))</f>
        <v/>
      </c>
      <c r="GO48" s="172">
        <f>MIN(1,MAX(VLOOKUP(($AJ48-$AI48-$AH48-$AG48-$AF48-$AE48*(1+GO$3))/$AJ48,'Технический лист'!$M:$N,2,1),(GN48-0.05)))</f>
        <v/>
      </c>
      <c r="GP48" s="172">
        <f>MIN(1,MAX(VLOOKUP(($AJ48-$AI48-$AH48-$AG48-$AF48-$AE48*(1+GP$3))/$AJ48,'Технический лист'!$M:$N,2,1),(GO48-0.05)))</f>
        <v/>
      </c>
      <c r="GQ48" s="172">
        <f>MIN(1,MAX(VLOOKUP(($AJ48-$AI48-$AH48-$AG48-$AF48-$AE48*(1+GQ$3))/$AJ48,'Технический лист'!$M:$N,2,1),(GP48-0.05)))</f>
        <v/>
      </c>
      <c r="GR48" s="172">
        <f>MIN(1,MAX(VLOOKUP(($AJ48-$AI48-$AH48-$AG48-$AF48-$AE48*(1+GR$3))/$AJ48,'Технический лист'!$M:$N,2,1),(GQ48-0.05)))</f>
        <v/>
      </c>
      <c r="GS48" s="172">
        <f>MIN(1,MAX(VLOOKUP(($AJ48-$AI48-$AH48-$AG48-$AF48-$AE48*(1+GS$3))/$AJ48,'Технический лист'!$M:$N,2,1),(GR48-0.05)))</f>
        <v/>
      </c>
      <c r="GT48" s="172">
        <f>MIN(1,MAX(VLOOKUP(($AJ48-$AI48-$AH48-$AG48-$AF48-$AE48*(1+GT$3))/$AJ48,'Технический лист'!$M:$N,2,1),(GS48-0.05)))</f>
        <v/>
      </c>
      <c r="GU48" s="172">
        <f>MIN(1,MAX(VLOOKUP(($AJ48-$AI48-$AH48-$AG48-$AF48-$AE48*(1+GU$3))/$AJ48,'Технический лист'!$M:$N,2,1),(GT48-0.05)))</f>
        <v/>
      </c>
      <c r="GV48" s="172">
        <f>MIN(1,MAX(VLOOKUP(($AJ48-$AI48-$AH48-$AG48-$AF48-$AE48*(1+GV$3))/$AJ48,'Технический лист'!$M:$N,2,1),(GU48-0.05)))</f>
        <v/>
      </c>
      <c r="GW48" s="172">
        <f>MIN(1,MAX(VLOOKUP(($AJ48-$AI48-$AH48-$AG48-$AF48-$AE48*(1+GW$3))/$AJ48,'Технический лист'!$M:$N,2,1),(GV48-0.05)))</f>
        <v/>
      </c>
      <c r="GX48" s="172">
        <f>MIN(1,MAX(VLOOKUP(($AJ48-$AI48-$AH48-$AG48-$AF48-$AE48*(1+GX$3))/$AJ48,'Технический лист'!$M:$N,2,1),(GW48-0.05)))</f>
        <v/>
      </c>
      <c r="GY48" s="172">
        <f>MIN(1,MAX(VLOOKUP(($AJ48-$AI48-$AH48-$AG48-$AF48-$AE48*(1+GY$3))/$AJ48,'Технический лист'!$M:$N,2,1),(GX48-0.05)))</f>
        <v/>
      </c>
      <c r="GZ48" s="172">
        <f>MIN(1,MAX(VLOOKUP(($AJ48-$AI48-$AH48-$AG48-$AF48-$AE48*(1+GZ$3))/$AJ48,'Технический лист'!$M:$N,2,1),(GY48-0.05)))</f>
        <v/>
      </c>
      <c r="HA48" s="172">
        <f>MIN(1,MAX(VLOOKUP(($AJ48-$AI48-$AH48-$AG48-$AF48-$AE48*(1+HA$3))/$AJ48,'Технический лист'!$M:$N,2,1),(GZ48-0.05)))</f>
        <v/>
      </c>
      <c r="HB48" s="172">
        <f>MIN(1,MAX(VLOOKUP(($AJ48-$AI48-$AH48-$AG48-$AF48-$AE48*(1+HB$3))/$AJ48,'Технический лист'!$M:$N,2,1),(HA48-0.05)))</f>
        <v/>
      </c>
      <c r="HC48" s="172">
        <f>MIN(1,MAX(VLOOKUP(($AJ48-$AI48-$AH48-$AG48-$AF48-$AE48*(1+HC$3))/$AJ48,'Технический лист'!$M:$N,2,1),(HB48-0.05)))</f>
        <v/>
      </c>
      <c r="HD48" s="172">
        <f>MIN(1,MAX(VLOOKUP(($AJ48-$AI48-$AH48-$AG48-$AF48-$AE48*(1+HD$3))/$AJ48,'Технический лист'!$M:$N,2,1),(HC48-0.05)))</f>
        <v/>
      </c>
      <c r="HE48" s="172">
        <f>MIN(1,MAX(VLOOKUP(($AJ48-$AI48-$AH48-$AG48-$AF48-$AE48*(1+HE$3))/$AJ48,'Технический лист'!$M:$N,2,1),(HD48-0.05)))</f>
        <v/>
      </c>
      <c r="HF48" s="172">
        <f>MIN(1,MAX(VLOOKUP(($AJ48-$AI48-$AH48-$AG48-$AF48-$AE48*(1+HF$3))/$AJ48,'Технический лист'!$M:$N,2,1),(HE48-0.05)))</f>
        <v/>
      </c>
      <c r="HG48" s="172">
        <f>MIN(1,MAX(VLOOKUP(($AJ48-$AI48-$AH48-$AG48-$AF48-$AE48*(1+HG$3))/$AJ48,'Технический лист'!$M:$N,2,1),(HF48-0.05)))</f>
        <v/>
      </c>
      <c r="HH48" s="172">
        <f>MIN(1,MAX(VLOOKUP(($AJ48-$AI48-$AH48-$AG48-$AF48-$AE48*(1+HH$3))/$AJ48,'Технический лист'!$M:$N,2,1),(HG48-0.05)))</f>
        <v/>
      </c>
      <c r="HI48" s="172">
        <f>MIN(1,MAX(VLOOKUP(($AJ48-$AI48-$AH48-$AG48-$AF48-$AE48*(1+HI$3))/$AJ48,'Технический лист'!$M:$N,2,1),(HH48-0.05)))</f>
        <v/>
      </c>
      <c r="HJ48" s="172">
        <f>MIN(1,MAX(VLOOKUP(($AJ48-$AI48-$AH48-$AG48-$AF48-$AE48*(1+HJ$3))/$AJ48,'Технический лист'!$M:$N,2,1),(HI48-0.05)))</f>
        <v/>
      </c>
      <c r="HK48" s="172">
        <f>MIN(1,MAX(VLOOKUP(($AJ48-$AI48-$AH48-$AG48-$AF48-$AE48*(1+HK$3))/$AJ48,'Технический лист'!$M:$N,2,1),(HJ48-0.05)))</f>
        <v/>
      </c>
      <c r="HL48" s="172">
        <f>MIN(1,MAX(VLOOKUP(($AJ48-$AI48-$AH48-$AG48-$AF48-$AE48*(1+HL$3))/$AJ48,'Технический лист'!$M:$N,2,1),(HK48-0.05)))</f>
        <v/>
      </c>
      <c r="HM48" s="172">
        <f>MIN(1,MAX(VLOOKUP(($AJ48-$AI48-$AH48-$AG48-$AF48-$AE48*(1+HM$3))/$AJ48,'Технический лист'!$M:$N,2,1),(HL48-0.05)))</f>
        <v/>
      </c>
      <c r="HN48" s="172">
        <f>MIN(1,MAX(VLOOKUP(($AJ48-$AI48-$AH48-$AG48-$AF48-$AE48*(1+HN$3))/$AJ48,'Технический лист'!$M:$N,2,1),(HM48-0.05)))</f>
        <v/>
      </c>
      <c r="HO48" s="172">
        <f>MIN(1,MAX(VLOOKUP(($AJ48-$AI48-$AH48-$AG48-$AF48-$AE48*(1+HO$3))/$AJ48,'Технический лист'!$M:$N,2,1),(HN48-0.05)))</f>
        <v/>
      </c>
      <c r="HP48" s="172">
        <f>MIN(1,MAX(VLOOKUP(($AJ48-$AI48-$AH48-$AG48-$AF48-$AE48*(1+HP$3))/$AJ48,'Технический лист'!$M:$N,2,1),(HO48-0.05)))</f>
        <v/>
      </c>
      <c r="HQ48" s="172">
        <f>MIN(1,MAX(VLOOKUP(($AJ48-$AI48-$AH48-$AG48-$AF48-$AE48*(1+HQ$3))/$AJ48,'Технический лист'!$M:$N,2,1),(HP48-0.05)))</f>
        <v/>
      </c>
      <c r="HR48" s="172">
        <f>MIN(1,MAX(VLOOKUP(($AJ48-$AI48-$AH48-$AG48-$AF48-$AE48*(1+HR$3))/$AJ48,'Технический лист'!$M:$N,2,1),(HQ48-0.05)))</f>
        <v/>
      </c>
      <c r="HS48" s="172">
        <f>MIN(1,MAX(VLOOKUP(($AJ48-$AI48-$AH48-$AG48-$AF48-$AE48*(1+HS$3))/$AJ48,'Технический лист'!$M:$N,2,1),(HR48-0.05)))</f>
        <v/>
      </c>
      <c r="HT48" s="172">
        <f>MIN(1,MAX(VLOOKUP(($AJ48-$AI48-$AH48-$AG48-$AF48-$AE48*(1+HT$3))/$AJ48,'Технический лист'!$M:$N,2,1),(HS48-0.05)))</f>
        <v/>
      </c>
      <c r="HU48" s="172">
        <f>MIN(1,MAX(VLOOKUP(($AJ48-$AI48-$AH48-$AG48-$AF48-$AE48*(1+HU$3))/$AJ48,'Технический лист'!$M:$N,2,1),(HT48-0.05)))</f>
        <v/>
      </c>
      <c r="HV48" s="172">
        <f>MIN(1,MAX(VLOOKUP(($AJ48-$AI48-$AH48-$AG48-$AF48-$AE48*(1+HV$3))/$AJ48,'Технический лист'!$M:$N,2,1),(HU48-0.05)))</f>
        <v/>
      </c>
      <c r="HW48" s="172">
        <f>MIN(1,MAX(VLOOKUP(($AJ48-$AI48-$AH48-$AG48-$AF48-$AE48*(1+HW$3))/$AJ48,'Технический лист'!$M:$N,2,1),(HV48-0.05)))</f>
        <v/>
      </c>
      <c r="HX48" s="172">
        <f>MIN(1,MAX(VLOOKUP(($AJ48-$AI48-$AH48-$AG48-$AF48-$AE48*(1+HX$3))/$AJ48,'Технический лист'!$M:$N,2,1),(HW48-0.05)))</f>
        <v/>
      </c>
      <c r="HY48" s="172">
        <f>MIN(1,MAX(VLOOKUP(($AJ48-$AI48-$AH48-$AG48-$AF48-$AE48*(1+HY$3))/$AJ48,'Технический лист'!$M:$N,2,1),(HX48-0.05)))</f>
        <v/>
      </c>
      <c r="HZ48" s="172">
        <f>MIN(1,MAX(VLOOKUP(($AJ48-$AI48-$AH48-$AG48-$AF48-$AE48*(1+HZ$3))/$AJ48,'Технический лист'!$M:$N,2,1),(HY48-0.05)))</f>
        <v/>
      </c>
      <c r="IA48" s="172">
        <f>MIN(1,MAX(VLOOKUP(($AJ48-$AI48-$AH48-$AG48-$AF48-$AE48*(1+IA$3))/$AJ48,'Технический лист'!$M:$N,2,1),(HZ48-0.05)))</f>
        <v/>
      </c>
      <c r="IB48" s="172">
        <f>MIN(1,MAX(VLOOKUP(($AJ48-$AI48-$AH48-$AG48-$AF48-$AE48*(1+IB$3))/$AJ48,'Технический лист'!$M:$N,2,1),(IA48-0.05)))</f>
        <v/>
      </c>
      <c r="IC48" s="172">
        <f>MIN(1,MAX(VLOOKUP(($AJ48-$AI48-$AH48-$AG48-$AF48-$AE48*(1+IC$3))/$AJ48,'Технический лист'!$M:$N,2,1),(IB48-0.05)))</f>
        <v/>
      </c>
      <c r="ID48" s="172">
        <f>MIN(1,MAX(VLOOKUP(($AJ48-$AI48-$AH48-$AG48-$AF48-$AE48*(1+ID$3))/$AJ48,'Технический лист'!$M:$N,2,1),(IC48-0.05)))</f>
        <v/>
      </c>
      <c r="IE48" s="172">
        <f>MIN(1,MAX(VLOOKUP(($AJ48-$AI48-$AH48-$AG48-$AF48-$AE48*(1+IE$3))/$AJ48,'Технический лист'!$M:$N,2,1),(ID48-0.05)))</f>
        <v/>
      </c>
      <c r="IF48" s="172">
        <f>MIN(1,MAX(VLOOKUP(($AJ48-$AI48-$AH48-$AG48-$AF48-$AE48*(1+IF$3))/$AJ48,'Технический лист'!$M:$N,2,1),(IE48-0.05)))</f>
        <v/>
      </c>
      <c r="IG48" s="172">
        <f>MIN(1,MAX(VLOOKUP(($AJ48-$AI48-$AH48-$AG48-$AF48-$AE48*(1+IG$3))/$AJ48,'Технический лист'!$M:$N,2,1),(IF48-0.05)))</f>
        <v/>
      </c>
      <c r="IH48" s="172">
        <f>MIN(1,MAX(VLOOKUP(($AJ48-$AI48-$AH48-$AG48-$AF48-$AE48*(1+IH$3))/$AJ48,'Технический лист'!$M:$N,2,1),(IG48-0.05)))</f>
        <v/>
      </c>
      <c r="II48" s="172">
        <f>MIN(1,MAX(VLOOKUP(($AJ48-$AI48-$AH48-$AG48-$AF48-$AE48*(1+II$3))/$AJ48,'Технический лист'!$M:$N,2,1),(IH48-0.05)))</f>
        <v/>
      </c>
      <c r="IJ48" s="172">
        <f>MIN(1,MAX(VLOOKUP(($AJ48-$AI48-$AH48-$AG48-$AF48-$AE48*(1+IJ$3))/$AJ48,'Технический лист'!$M:$N,2,1),(II48-0.05)))</f>
        <v/>
      </c>
      <c r="IK48" s="172">
        <f>MIN(1,MAX(VLOOKUP(($AJ48-$AI48-$AH48-$AG48-$AF48-$AE48*(1+IK$3))/$AJ48,'Технический лист'!$M:$N,2,1),(IJ48-0.05)))</f>
        <v/>
      </c>
      <c r="IL48" s="172">
        <f>MIN(1,MAX(VLOOKUP(($AJ48-$AI48-$AH48-$AG48-$AF48-$AE48*(1+IL$3))/$AJ48,'Технический лист'!$M:$N,2,1),(IK48-0.05)))</f>
        <v/>
      </c>
      <c r="IM48" s="172">
        <f>MIN(1,MAX(VLOOKUP(($AJ48-$AI48-$AH48-$AG48-$AF48-$AE48*(1+IM$3))/$AJ48,'Технический лист'!$M:$N,2,1),(IL48-0.05)))</f>
        <v/>
      </c>
      <c r="IN48" s="172">
        <f>MIN(1,MAX(VLOOKUP(($AJ48-$AI48-$AH48-$AG48-$AF48-$AE48*(1+IN$3))/$AJ48,'Технический лист'!$M:$N,2,1),(IM48-0.05)))</f>
        <v/>
      </c>
      <c r="IO48" s="172">
        <f>MIN(1,MAX(VLOOKUP(($AJ48-$AI48-$AH48-$AG48-$AF48-$AE48*(1+IO$3))/$AJ48,'Технический лист'!$M:$N,2,1),(IN48-0.05)))</f>
        <v/>
      </c>
      <c r="IP48" s="172">
        <f>MIN(1,MAX(VLOOKUP(($AJ48-$AI48-$AH48-$AG48-$AF48-$AE48*(1+IP$3))/$AJ48,'Технический лист'!$M:$N,2,1),(IO48-0.05)))</f>
        <v/>
      </c>
      <c r="IQ48" s="172">
        <f>MIN(1,MAX(VLOOKUP(($AJ48-$AI48-$AH48-$AG48-$AF48-$AE48*(1+IQ$3))/$AJ48,'Технический лист'!$M:$N,2,1),(IP48-0.05)))</f>
        <v/>
      </c>
      <c r="IR48" s="172">
        <f>MIN(1,MAX(VLOOKUP(($AJ48-$AI48-$AH48-$AG48-$AF48-$AE48*(1+IR$3))/$AJ48,'Технический лист'!$M:$N,2,1),(IQ48-0.05)))</f>
        <v/>
      </c>
    </row>
    <row r="49">
      <c r="A49" s="89" t="inlineStr">
        <is>
          <t>ЧМ (сырье)</t>
        </is>
      </c>
      <c r="B49" s="90" t="n">
        <v>4</v>
      </c>
      <c r="C49" s="5" t="inlineStr">
        <is>
          <t>Руды  всякие</t>
        </is>
      </c>
      <c r="D49" s="91" t="n">
        <v>14103</v>
      </c>
      <c r="E49" s="91" t="inlineStr">
        <is>
          <t xml:space="preserve">Брикеты железной руды </t>
        </is>
      </c>
      <c r="F49" s="92" t="inlineStr">
        <is>
          <t>РУДЫ И КОНЦЕНТРАТЫ ЖЕЛЕЗН</t>
        </is>
      </c>
      <c r="G49" s="91" t="inlineStr">
        <is>
          <t>ЮВС</t>
        </is>
      </c>
      <c r="H49" s="91" t="inlineStr">
        <is>
          <t>СКВ</t>
        </is>
      </c>
      <c r="I49" s="91" t="inlineStr">
        <is>
          <t>СТОЙЛЕНСКАЯ</t>
        </is>
      </c>
      <c r="J49" s="91" t="inlineStr">
        <is>
          <t>НОВОРОСС-ЭКС</t>
        </is>
      </c>
      <c r="K49" s="91" t="n">
        <v>1250</v>
      </c>
      <c r="L49" s="91" t="inlineStr">
        <is>
          <t>Полувагоны</t>
        </is>
      </c>
      <c r="M49" s="91" t="inlineStr">
        <is>
          <t>Экспорт</t>
        </is>
      </c>
      <c r="N49" s="91" t="inlineStr">
        <is>
          <t>вагонная</t>
        </is>
      </c>
      <c r="O49" s="91" t="inlineStr">
        <is>
          <t xml:space="preserve">Южное </t>
        </is>
      </c>
      <c r="P49" s="89" t="inlineStr">
        <is>
          <t>'000077263371</t>
        </is>
      </c>
      <c r="Q49" s="91" t="inlineStr">
        <is>
          <t>ООО УК "Металлоинвест"</t>
        </is>
      </c>
      <c r="R49" s="91" t="inlineStr">
        <is>
          <t>ООО УК "Металлоинвест"</t>
        </is>
      </c>
      <c r="S49" s="87" t="n">
        <v>2398601</v>
      </c>
      <c r="T49" s="87" t="n">
        <v>2998452829</v>
      </c>
      <c r="U49" s="88" t="n">
        <v>34364</v>
      </c>
      <c r="V49" s="88" t="n">
        <v>0</v>
      </c>
      <c r="W49" s="87" t="n">
        <v>2010159452</v>
      </c>
      <c r="X49" s="112" t="n">
        <v>69</v>
      </c>
      <c r="Y49" s="112" t="inlineStr">
        <is>
          <t>маршрутная</t>
        </is>
      </c>
      <c r="Z49" s="113" t="n">
        <v>5</v>
      </c>
      <c r="AA49" s="113" t="n">
        <v>5</v>
      </c>
      <c r="AB49" s="113" t="n">
        <v>4</v>
      </c>
      <c r="AC49" s="161" t="n">
        <v>924.55</v>
      </c>
      <c r="AD49" s="161">
        <f>AE49-AC49</f>
        <v/>
      </c>
      <c r="AE49" s="161" t="n">
        <v>1407.25</v>
      </c>
      <c r="AF49" s="162">
        <f>(Z49+AA49+AB49)*'Ставки аренды'!$B$3/X49</f>
        <v/>
      </c>
      <c r="AG49" s="163">
        <f>'Ставки перевалки'!$B$13</f>
        <v/>
      </c>
      <c r="AH49" s="164" t="n">
        <v>0</v>
      </c>
      <c r="AI49" s="165">
        <f>240828/411356*AVERAGE(AJ48,AJ49)</f>
        <v/>
      </c>
      <c r="AJ49" s="166">
        <f>Цены!D13</f>
        <v/>
      </c>
      <c r="AK49" s="164">
        <f>AJ49/Цены!$B$1</f>
        <v/>
      </c>
      <c r="AL49" s="164">
        <f>AE49+AF49+AG49</f>
        <v/>
      </c>
      <c r="AM49" s="164">
        <f>AJ49-AL49</f>
        <v/>
      </c>
      <c r="AN49" s="164">
        <f>AI49+AH49+AG49+AF49+AE49</f>
        <v/>
      </c>
      <c r="AO49" s="167">
        <f>(AJ49-AN49)/AJ49</f>
        <v/>
      </c>
      <c r="AP49" s="168">
        <f>AL49/AJ49</f>
        <v/>
      </c>
      <c r="AQ49" s="168">
        <f>AE49/AJ49</f>
        <v/>
      </c>
      <c r="AR49" s="168">
        <f>AE49/AL49</f>
        <v/>
      </c>
      <c r="AS49" s="169" t="n">
        <v>1</v>
      </c>
      <c r="AT49" s="121">
        <f>S49*AS49</f>
        <v/>
      </c>
      <c r="AU49" s="83" t="n">
        <v>0.9</v>
      </c>
      <c r="AV49" s="170">
        <f>(AJ49-(AE49*(1+$IS$2)+AF49+AG49+AH49+AI49))/AJ49</f>
        <v/>
      </c>
      <c r="AW49" s="171">
        <f>(AE49*(1+$IS$2)+AF49+AG49)/AJ49</f>
        <v/>
      </c>
      <c r="AX49" s="171">
        <f>(AE49*(1+$IS$2))/AJ49</f>
        <v/>
      </c>
      <c r="AY49" s="171">
        <f>(AE49*(1+$IS$2))/(AE49*(1+$IS$2)+AF49+AG49)</f>
        <v/>
      </c>
      <c r="AZ49" s="172">
        <f>MIN(IF($AU49=100%,1,1+VLOOKUP(($AJ49-$AI49-$AH49-$AG49-$AF49-$AE49*(1+AZ$3))/$AJ49,'Технический лист'!$M:$N,2,1)-VLOOKUP($AO49,'Технический лист'!$M:$N,2,1)),1+(1-$AU49))</f>
        <v/>
      </c>
      <c r="BA49" s="172">
        <f>MIN(IF($AU49=100%,1,1+VLOOKUP(($AJ49-$AI49-$AH49-$AG49-$AF49-$AE49*(1+BA$3))/$AJ49,'Технический лист'!$M:$N,2,1)-VLOOKUP($AO49,'Технический лист'!$M:$N,2,1)),1+(1-$AU49))</f>
        <v/>
      </c>
      <c r="BB49" s="172">
        <f>MIN(IF($AU49=100%,1,1+VLOOKUP(($AJ49-$AI49-$AH49-$AG49-$AF49-$AE49*(1+BB$3))/$AJ49,'Технический лист'!$M:$N,2,1)-VLOOKUP($AO49,'Технический лист'!$M:$N,2,1)),1+(1-$AU49))</f>
        <v/>
      </c>
      <c r="BC49" s="172">
        <f>MIN(IF($AU49=100%,1,1+VLOOKUP(($AJ49-$AI49-$AH49-$AG49-$AF49-$AE49*(1+BC$3))/$AJ49,'Технический лист'!$M:$N,2,1)-VLOOKUP($AO49,'Технический лист'!$M:$N,2,1)),1+(1-$AU49))</f>
        <v/>
      </c>
      <c r="BD49" s="172">
        <f>MIN(IF($AU49=100%,1,1+VLOOKUP(($AJ49-$AI49-$AH49-$AG49-$AF49-$AE49*(1+BD$3))/$AJ49,'Технический лист'!$M:$N,2,1)-VLOOKUP($AO49,'Технический лист'!$M:$N,2,1)),1+(1-$AU49))</f>
        <v/>
      </c>
      <c r="BE49" s="172">
        <f>MIN(IF($AU49=100%,1,1+VLOOKUP(($AJ49-$AI49-$AH49-$AG49-$AF49-$AE49*(1+BE$3))/$AJ49,'Технический лист'!$M:$N,2,1)-VLOOKUP($AO49,'Технический лист'!$M:$N,2,1)),1+(1-$AU49))</f>
        <v/>
      </c>
      <c r="BF49" s="172">
        <f>MIN(IF($AU49=100%,1,1+VLOOKUP(($AJ49-$AI49-$AH49-$AG49-$AF49-$AE49*(1+BF$3))/$AJ49,'Технический лист'!$M:$N,2,1)-VLOOKUP($AO49,'Технический лист'!$M:$N,2,1)),1+(1-$AU49))</f>
        <v/>
      </c>
      <c r="BG49" s="172">
        <f>MIN(IF($AU49=100%,1,1+VLOOKUP(($AJ49-$AI49-$AH49-$AG49-$AF49-$AE49*(1+BG$3))/$AJ49,'Технический лист'!$M:$N,2,1)-VLOOKUP($AO49,'Технический лист'!$M:$N,2,1)),1+(1-$AU49))</f>
        <v/>
      </c>
      <c r="BH49" s="172">
        <f>MIN(IF($AU49=100%,1,1+VLOOKUP(($AJ49-$AI49-$AH49-$AG49-$AF49-$AE49*(1+BH$3))/$AJ49,'Технический лист'!$M:$N,2,1)-VLOOKUP($AO49,'Технический лист'!$M:$N,2,1)),1+(1-$AU49))</f>
        <v/>
      </c>
      <c r="BI49" s="172">
        <f>MIN(IF($AU49=100%,1,1+VLOOKUP(($AJ49-$AI49-$AH49-$AG49-$AF49-$AE49*(1+BI$3))/$AJ49,'Технический лист'!$M:$N,2,1)-VLOOKUP($AO49,'Технический лист'!$M:$N,2,1)),1+(1-$AU49))</f>
        <v/>
      </c>
      <c r="BJ49" s="172">
        <f>MIN(IF($AU49=100%,1,1+VLOOKUP(($AJ49-$AI49-$AH49-$AG49-$AF49-$AE49*(1+BJ$3))/$AJ49,'Технический лист'!$M:$N,2,1)-VLOOKUP($AO49,'Технический лист'!$M:$N,2,1)),1+(1-$AU49))</f>
        <v/>
      </c>
      <c r="BK49" s="172">
        <f>MIN(IF($AU49=100%,1,1+VLOOKUP(($AJ49-$AI49-$AH49-$AG49-$AF49-$AE49*(1+BK$3))/$AJ49,'Технический лист'!$M:$N,2,1)-VLOOKUP($AO49,'Технический лист'!$M:$N,2,1)),1+(1-$AU49))</f>
        <v/>
      </c>
      <c r="BL49" s="172">
        <f>MIN(IF($AU49=100%,1,1+VLOOKUP(($AJ49-$AI49-$AH49-$AG49-$AF49-$AE49*(1+BL$3))/$AJ49,'Технический лист'!$M:$N,2,1)-VLOOKUP($AO49,'Технический лист'!$M:$N,2,1)),1+(1-$AU49))</f>
        <v/>
      </c>
      <c r="BM49" s="172">
        <f>MIN(IF($AU49=100%,1,1+VLOOKUP(($AJ49-$AI49-$AH49-$AG49-$AF49-$AE49*(1+BM$3))/$AJ49,'Технический лист'!$M:$N,2,1)-VLOOKUP($AO49,'Технический лист'!$M:$N,2,1)),1+(1-$AU49))</f>
        <v/>
      </c>
      <c r="BN49" s="172">
        <f>MIN(IF($AU49=100%,1,1+VLOOKUP(($AJ49-$AI49-$AH49-$AG49-$AF49-$AE49*(1+BN$3))/$AJ49,'Технический лист'!$M:$N,2,1)-VLOOKUP($AO49,'Технический лист'!$M:$N,2,1)),1+(1-$AU49))</f>
        <v/>
      </c>
      <c r="BO49" s="172">
        <f>MIN(IF($AU49=100%,1,1+VLOOKUP(($AJ49-$AI49-$AH49-$AG49-$AF49-$AE49*(1+BO$3))/$AJ49,'Технический лист'!$M:$N,2,1)-VLOOKUP($AO49,'Технический лист'!$M:$N,2,1)),1+(1-$AU49))</f>
        <v/>
      </c>
      <c r="BP49" s="172">
        <f>MIN(IF($AU49=100%,1,1+VLOOKUP(($AJ49-$AI49-$AH49-$AG49-$AF49-$AE49*(1+BP$3))/$AJ49,'Технический лист'!$M:$N,2,1)-VLOOKUP($AO49,'Технический лист'!$M:$N,2,1)),1+(1-$AU49))</f>
        <v/>
      </c>
      <c r="BQ49" s="172">
        <f>MIN(IF($AU49=100%,1,1+VLOOKUP(($AJ49-$AI49-$AH49-$AG49-$AF49-$AE49*(1+BQ$3))/$AJ49,'Технический лист'!$M:$N,2,1)-VLOOKUP($AO49,'Технический лист'!$M:$N,2,1)),1+(1-$AU49))</f>
        <v/>
      </c>
      <c r="BR49" s="172">
        <f>MIN(IF($AU49=100%,1,1+VLOOKUP(($AJ49-$AI49-$AH49-$AG49-$AF49-$AE49*(1+BR$3))/$AJ49,'Технический лист'!$M:$N,2,1)-VLOOKUP($AO49,'Технический лист'!$M:$N,2,1)),1+(1-$AU49))</f>
        <v/>
      </c>
      <c r="BS49" s="172">
        <f>MIN(IF($AU49=100%,1,1+VLOOKUP(($AJ49-$AI49-$AH49-$AG49-$AF49-$AE49*(1+BS$3))/$AJ49,'Технический лист'!$M:$N,2,1)-VLOOKUP($AO49,'Технический лист'!$M:$N,2,1)),1+(1-$AU49))</f>
        <v/>
      </c>
      <c r="BT49" s="172">
        <f>MIN(IF($AU49=100%,1,1+VLOOKUP(($AJ49-$AI49-$AH49-$AG49-$AF49-$AE49*(1+BT$3))/$AJ49,'Технический лист'!$M:$N,2,1)-VLOOKUP($AO49,'Технический лист'!$M:$N,2,1)),1+(1-$AU49))</f>
        <v/>
      </c>
      <c r="BU49" s="172">
        <f>MIN(IF($AU49=100%,1,1+VLOOKUP(($AJ49-$AI49-$AH49-$AG49-$AF49-$AE49*(1+BU$3))/$AJ49,'Технический лист'!$M:$N,2,1)-VLOOKUP($AO49,'Технический лист'!$M:$N,2,1)),1+(1-$AU49))</f>
        <v/>
      </c>
      <c r="BV49" s="172">
        <f>MIN(IF($AU49=100%,1,1+VLOOKUP(($AJ49-$AI49-$AH49-$AG49-$AF49-$AE49*(1+BV$3))/$AJ49,'Технический лист'!$M:$N,2,1)-VLOOKUP($AO49,'Технический лист'!$M:$N,2,1)),1+(1-$AU49))</f>
        <v/>
      </c>
      <c r="BW49" s="172">
        <f>MIN(IF($AU49=100%,1,1+VLOOKUP(($AJ49-$AI49-$AH49-$AG49-$AF49-$AE49*(1+BW$3))/$AJ49,'Технический лист'!$M:$N,2,1)-VLOOKUP($AO49,'Технический лист'!$M:$N,2,1)),1+(1-$AU49))</f>
        <v/>
      </c>
      <c r="BX49" s="172">
        <f>MIN(IF($AU49=100%,1,1+VLOOKUP(($AJ49-$AI49-$AH49-$AG49-$AF49-$AE49*(1+BX$3))/$AJ49,'Технический лист'!$M:$N,2,1)-VLOOKUP($AO49,'Технический лист'!$M:$N,2,1)),1+(1-$AU49))</f>
        <v/>
      </c>
      <c r="BY49" s="172">
        <f>MIN(IF($AU49=100%,1,1+VLOOKUP(($AJ49-$AI49-$AH49-$AG49-$AF49-$AE49*(1+BY$3))/$AJ49,'Технический лист'!$M:$N,2,1)-VLOOKUP($AO49,'Технический лист'!$M:$N,2,1)),1+(1-$AU49))</f>
        <v/>
      </c>
      <c r="BZ49" s="172">
        <f>MIN(IF($AU49=100%,1,1+VLOOKUP(($AJ49-$AI49-$AH49-$AG49-$AF49-$AE49*(1+BZ$3))/$AJ49,'Технический лист'!$M:$N,2,1)-VLOOKUP($AO49,'Технический лист'!$M:$N,2,1)),1+(1-$AU49))</f>
        <v/>
      </c>
      <c r="CA49" s="172">
        <f>MIN(IF($AU49=100%,1,1+VLOOKUP(($AJ49-$AI49-$AH49-$AG49-$AF49-$AE49*(1+CA$3))/$AJ49,'Технический лист'!$M:$N,2,1)-VLOOKUP($AO49,'Технический лист'!$M:$N,2,1)),1+(1-$AU49))</f>
        <v/>
      </c>
      <c r="CB49" s="172">
        <f>MIN(IF($AU49=100%,1,1+VLOOKUP(($AJ49-$AI49-$AH49-$AG49-$AF49-$AE49*(1+CB$3))/$AJ49,'Технический лист'!$M:$N,2,1)-VLOOKUP($AO49,'Технический лист'!$M:$N,2,1)),1+(1-$AU49))</f>
        <v/>
      </c>
      <c r="CC49" s="172">
        <f>MIN(IF($AU49=100%,1,1+VLOOKUP(($AJ49-$AI49-$AH49-$AG49-$AF49-$AE49*(1+CC$3))/$AJ49,'Технический лист'!$M:$N,2,1)-VLOOKUP($AO49,'Технический лист'!$M:$N,2,1)),1+(1-$AU49))</f>
        <v/>
      </c>
      <c r="CD49" s="172">
        <f>MIN(IF($AU49=100%,1,1+VLOOKUP(($AJ49-$AI49-$AH49-$AG49-$AF49-$AE49*(1+CD$3))/$AJ49,'Технический лист'!$M:$N,2,1)-VLOOKUP($AO49,'Технический лист'!$M:$N,2,1)),1+(1-$AU49))</f>
        <v/>
      </c>
      <c r="CE49" s="172">
        <f>MIN(IF($AU49=100%,1,1+VLOOKUP(($AJ49-$AI49-$AH49-$AG49-$AF49-$AE49*(1+CE$3))/$AJ49,'Технический лист'!$M:$N,2,1)-VLOOKUP($AO49,'Технический лист'!$M:$N,2,1)),1+(1-$AU49))</f>
        <v/>
      </c>
      <c r="CF49" s="172">
        <f>MIN(IF($AU49=100%,1,1+VLOOKUP(($AJ49-$AI49-$AH49-$AG49-$AF49-$AE49*(1+CF$3))/$AJ49,'Технический лист'!$M:$N,2,1)-VLOOKUP($AO49,'Технический лист'!$M:$N,2,1)),1+(1-$AU49))</f>
        <v/>
      </c>
      <c r="CG49" s="172">
        <f>MIN(IF($AU49=100%,1,1+VLOOKUP(($AJ49-$AI49-$AH49-$AG49-$AF49-$AE49*(1+CG$3))/$AJ49,'Технический лист'!$M:$N,2,1)-VLOOKUP($AO49,'Технический лист'!$M:$N,2,1)),1+(1-$AU49))</f>
        <v/>
      </c>
      <c r="CH49" s="172">
        <f>MIN(IF($AU49=100%,1,1+VLOOKUP(($AJ49-$AI49-$AH49-$AG49-$AF49-$AE49*(1+CH$3))/$AJ49,'Технический лист'!$M:$N,2,1)-VLOOKUP($AO49,'Технический лист'!$M:$N,2,1)),1+(1-$AU49))</f>
        <v/>
      </c>
      <c r="CI49" s="172">
        <f>MIN(IF($AU49=100%,1,1+VLOOKUP(($AJ49-$AI49-$AH49-$AG49-$AF49-$AE49*(1+CI$3))/$AJ49,'Технический лист'!$M:$N,2,1)-VLOOKUP($AO49,'Технический лист'!$M:$N,2,1)),1+(1-$AU49))</f>
        <v/>
      </c>
      <c r="CJ49" s="172">
        <f>MIN(IF($AU49=100%,1,1+VLOOKUP(($AJ49-$AI49-$AH49-$AG49-$AF49-$AE49*(1+CJ$3))/$AJ49,'Технический лист'!$M:$N,2,1)-VLOOKUP($AO49,'Технический лист'!$M:$N,2,1)),1+(1-$AU49))</f>
        <v/>
      </c>
      <c r="CK49" s="172">
        <f>MIN(IF($AU49=100%,1,1+VLOOKUP(($AJ49-$AI49-$AH49-$AG49-$AF49-$AE49*(1+CK$3))/$AJ49,'Технический лист'!$M:$N,2,1)-VLOOKUP($AO49,'Технический лист'!$M:$N,2,1)),1+(1-$AU49))</f>
        <v/>
      </c>
      <c r="CL49" s="172">
        <f>MIN(IF($AU49=100%,1,1+VLOOKUP(($AJ49-$AI49-$AH49-$AG49-$AF49-$AE49*(1+CL$3))/$AJ49,'Технический лист'!$M:$N,2,1)-VLOOKUP($AO49,'Технический лист'!$M:$N,2,1)),1+(1-$AU49))</f>
        <v/>
      </c>
      <c r="CM49" s="172">
        <f>MIN(IF($AU49=100%,1,1+VLOOKUP(($AJ49-$AI49-$AH49-$AG49-$AF49-$AE49*(1+CM$3))/$AJ49,'Технический лист'!$M:$N,2,1)-VLOOKUP($AO49,'Технический лист'!$M:$N,2,1)),1+(1-$AU49))</f>
        <v/>
      </c>
      <c r="CN49" s="172">
        <f>MIN(IF($AU49=100%,1,1+VLOOKUP(($AJ49-$AI49-$AH49-$AG49-$AF49-$AE49*(1+CN$3))/$AJ49,'Технический лист'!$M:$N,2,1)-VLOOKUP($AO49,'Технический лист'!$M:$N,2,1)),1+(1-$AU49))</f>
        <v/>
      </c>
      <c r="CO49" s="172">
        <f>MIN(IF($AU49=100%,1,1+VLOOKUP(($AJ49-$AI49-$AH49-$AG49-$AF49-$AE49*(1+CO$3))/$AJ49,'Технический лист'!$M:$N,2,1)-VLOOKUP($AO49,'Технический лист'!$M:$N,2,1)),1+(1-$AU49))</f>
        <v/>
      </c>
      <c r="CP49" s="172">
        <f>MIN(IF($AU49=100%,1,1+VLOOKUP(($AJ49-$AI49-$AH49-$AG49-$AF49-$AE49*(1+CP$3))/$AJ49,'Технический лист'!$M:$N,2,1)-VLOOKUP($AO49,'Технический лист'!$M:$N,2,1)),1+(1-$AU49))</f>
        <v/>
      </c>
      <c r="CQ49" s="172">
        <f>MIN(IF($AU49=100%,1,1+VLOOKUP(($AJ49-$AI49-$AH49-$AG49-$AF49-$AE49*(1+CQ$3))/$AJ49,'Технический лист'!$M:$N,2,1)-VLOOKUP($AO49,'Технический лист'!$M:$N,2,1)),1+(1-$AU49))</f>
        <v/>
      </c>
      <c r="CR49" s="172">
        <f>MIN(IF($AU49=100%,1,1+VLOOKUP(($AJ49-$AI49-$AH49-$AG49-$AF49-$AE49*(1+CR$3))/$AJ49,'Технический лист'!$M:$N,2,1)-VLOOKUP($AO49,'Технический лист'!$M:$N,2,1)),1+(1-$AU49))</f>
        <v/>
      </c>
      <c r="CS49" s="172">
        <f>MIN(IF($AU49=100%,1,1+VLOOKUP(($AJ49-$AI49-$AH49-$AG49-$AF49-$AE49*(1+CS$3))/$AJ49,'Технический лист'!$M:$N,2,1)-VLOOKUP($AO49,'Технический лист'!$M:$N,2,1)),1+(1-$AU49))</f>
        <v/>
      </c>
      <c r="CT49" s="172">
        <f>MIN(IF($AU49=100%,1,1+VLOOKUP(($AJ49-$AI49-$AH49-$AG49-$AF49-$AE49*(1+CT$3))/$AJ49,'Технический лист'!$M:$N,2,1)-VLOOKUP($AO49,'Технический лист'!$M:$N,2,1)),1+(1-$AU49))</f>
        <v/>
      </c>
      <c r="CU49" s="172">
        <f>MIN(IF($AU49=100%,1,1+VLOOKUP(($AJ49-$AI49-$AH49-$AG49-$AF49-$AE49*(1+CU$3))/$AJ49,'Технический лист'!$M:$N,2,1)-VLOOKUP($AO49,'Технический лист'!$M:$N,2,1)),1+(1-$AU49))</f>
        <v/>
      </c>
      <c r="CV49" s="172">
        <f>MIN(IF($AU49=100%,1,1+VLOOKUP(($AJ49-$AI49-$AH49-$AG49-$AF49-$AE49*(1+CV$3))/$AJ49,'Технический лист'!$M:$N,2,1)-VLOOKUP($AO49,'Технический лист'!$M:$N,2,1)),1+(1-$AU49))</f>
        <v/>
      </c>
      <c r="CW49" s="172">
        <f>MIN(IF($AU49=100%,1,1+VLOOKUP(($AJ49-$AI49-$AH49-$AG49-$AF49-$AE49*(1+CW$3))/$AJ49,'Технический лист'!$M:$N,2,1)-VLOOKUP($AO49,'Технический лист'!$M:$N,2,1)),1+(1-$AU49))</f>
        <v/>
      </c>
      <c r="CX49" s="172">
        <f>MIN(IF($AU49=100%,1,1+VLOOKUP(($AJ49-$AI49-$AH49-$AG49-$AF49-$AE49*(1+CX$3))/$AJ49,'Технический лист'!$M:$N,2,1)-VLOOKUP($AO49,'Технический лист'!$M:$N,2,1)),1+(1-$AU49))</f>
        <v/>
      </c>
      <c r="CY49" s="172">
        <f>MIN(IF($AU49=100%,1,1+VLOOKUP(($AJ49-$AI49-$AH49-$AG49-$AF49-$AE49*(1+CY$3))/$AJ49,'Технический лист'!$M:$N,2,1)-VLOOKUP($AO49,'Технический лист'!$M:$N,2,1)),1+(1-$AU49))</f>
        <v/>
      </c>
      <c r="CZ49" s="172">
        <f>MIN(IF($AU49=100%,1,1+VLOOKUP(($AJ49-$AI49-$AH49-$AG49-$AF49-$AE49*(1+CZ$3))/$AJ49,'Технический лист'!$M:$N,2,1)-VLOOKUP($AO49,'Технический лист'!$M:$N,2,1)),1+(1-$AU49))</f>
        <v/>
      </c>
      <c r="DA49" s="172">
        <f>MIN(IF($AU49=100%,1,1+VLOOKUP(($AJ49-$AI49-$AH49-$AG49-$AF49-$AE49*(1+DA$3))/$AJ49,'Технический лист'!$M:$N,2,1)-VLOOKUP($AO49,'Технический лист'!$M:$N,2,1)),1+(1-$AU49))</f>
        <v/>
      </c>
      <c r="DB49" s="172">
        <f>MIN(IF($AU49=100%,1,1+VLOOKUP(($AJ49-$AI49-$AH49-$AG49-$AF49-$AE49*(1+DB$3))/$AJ49,'Технический лист'!$M:$N,2,1)-VLOOKUP($AO49,'Технический лист'!$M:$N,2,1)),1+(1-$AU49))</f>
        <v/>
      </c>
      <c r="DC49" s="172">
        <f>MIN(IF($AU49=100%,1,1+VLOOKUP(($AJ49-$AI49-$AH49-$AG49-$AF49-$AE49*(1+DC$3))/$AJ49,'Технический лист'!$M:$N,2,1)-VLOOKUP($AO49,'Технический лист'!$M:$N,2,1)),1+(1-$AU49))</f>
        <v/>
      </c>
      <c r="DD49" s="172">
        <f>MIN(IF($AU49=100%,1,1+VLOOKUP(($AJ49-$AI49-$AH49-$AG49-$AF49-$AE49*(1+DD$3))/$AJ49,'Технический лист'!$M:$N,2,1)-VLOOKUP($AO49,'Технический лист'!$M:$N,2,1)),1+(1-$AU49))</f>
        <v/>
      </c>
      <c r="DE49" s="172">
        <f>MIN(IF($AU49=100%,1,1+VLOOKUP(($AJ49-$AI49-$AH49-$AG49-$AF49-$AE49*(1+DE$3))/$AJ49,'Технический лист'!$M:$N,2,1)-VLOOKUP($AO49,'Технический лист'!$M:$N,2,1)),1+(1-$AU49))</f>
        <v/>
      </c>
      <c r="DF49" s="172">
        <f>MIN(IF($AU49=100%,1,1+VLOOKUP(($AJ49-$AI49-$AH49-$AG49-$AF49-$AE49*(1+DF$3))/$AJ49,'Технический лист'!$M:$N,2,1)-VLOOKUP($AO49,'Технический лист'!$M:$N,2,1)),1+(1-$AU49))</f>
        <v/>
      </c>
      <c r="DG49" s="172">
        <f>MIN(IF($AU49=100%,1,1+VLOOKUP(($AJ49-$AI49-$AH49-$AG49-$AF49-$AE49*(1+DG$3))/$AJ49,'Технический лист'!$M:$N,2,1)-VLOOKUP($AO49,'Технический лист'!$M:$N,2,1)),1+(1-$AU49))</f>
        <v/>
      </c>
      <c r="DH49" s="172">
        <f>MIN(IF($AU49=100%,1,1+VLOOKUP(($AJ49-$AI49-$AH49-$AG49-$AF49-$AE49*(1+DH$3))/$AJ49,'Технический лист'!$M:$N,2,1)-VLOOKUP($AO49,'Технический лист'!$M:$N,2,1)),1+(1-$AU49))</f>
        <v/>
      </c>
      <c r="DI49" s="172">
        <f>MIN(IF($AU49=100%,1,1+VLOOKUP(($AJ49-$AI49-$AH49-$AG49-$AF49-$AE49*(1+DI$3))/$AJ49,'Технический лист'!$M:$N,2,1)-VLOOKUP($AO49,'Технический лист'!$M:$N,2,1)),1+(1-$AU49))</f>
        <v/>
      </c>
      <c r="DJ49" s="172">
        <f>MIN(IF($AU49=100%,1,1+VLOOKUP(($AJ49-$AI49-$AH49-$AG49-$AF49-$AE49*(1+DJ$3))/$AJ49,'Технический лист'!$M:$N,2,1)-VLOOKUP($AO49,'Технический лист'!$M:$N,2,1)),1+(1-$AU49))</f>
        <v/>
      </c>
      <c r="DK49" s="172">
        <f>MIN(IF($AU49=100%,1,1+VLOOKUP(($AJ49-$AI49-$AH49-$AG49-$AF49-$AE49*(1+DK$3))/$AJ49,'Технический лист'!$M:$N,2,1)-VLOOKUP($AO49,'Технический лист'!$M:$N,2,1)),1+(1-$AU49))</f>
        <v/>
      </c>
      <c r="DL49" s="172">
        <f>MIN(IF($AU49=100%,1,1+VLOOKUP(($AJ49-$AI49-$AH49-$AG49-$AF49-$AE49*(1+DL$3))/$AJ49,'Технический лист'!$M:$N,2,1)-VLOOKUP($AO49,'Технический лист'!$M:$N,2,1)),1+(1-$AU49))</f>
        <v/>
      </c>
      <c r="DM49" s="172">
        <f>MIN(IF($AU49=100%,1,1+VLOOKUP(($AJ49-$AI49-$AH49-$AG49-$AF49-$AE49*(1+DM$3))/$AJ49,'Технический лист'!$M:$N,2,1)-VLOOKUP($AO49,'Технический лист'!$M:$N,2,1)),1+(1-$AU49))</f>
        <v/>
      </c>
      <c r="DN49" s="172">
        <f>MIN(IF($AU49=100%,1,1+VLOOKUP(($AJ49-$AI49-$AH49-$AG49-$AF49-$AE49*(1+DN$3))/$AJ49,'Технический лист'!$M:$N,2,1)-VLOOKUP($AO49,'Технический лист'!$M:$N,2,1)),1+(1-$AU49))</f>
        <v/>
      </c>
      <c r="DO49" s="172">
        <f>MIN(IF($AU49=100%,1,1+VLOOKUP(($AJ49-$AI49-$AH49-$AG49-$AF49-$AE49*(1+DO$3))/$AJ49,'Технический лист'!$M:$N,2,1)-VLOOKUP($AO49,'Технический лист'!$M:$N,2,1)),1+(1-$AU49))</f>
        <v/>
      </c>
      <c r="DP49" s="172">
        <f>MIN(IF($AU49=100%,1,1+VLOOKUP(($AJ49-$AI49-$AH49-$AG49-$AF49-$AE49*(1+DP$3))/$AJ49,'Технический лист'!$M:$N,2,1)-VLOOKUP($AO49,'Технический лист'!$M:$N,2,1)),1+(1-$AU49))</f>
        <v/>
      </c>
      <c r="DQ49" s="172">
        <f>MIN(IF($AU49=100%,1,1+VLOOKUP(($AJ49-$AI49-$AH49-$AG49-$AF49-$AE49*(1+DQ$3))/$AJ49,'Технический лист'!$M:$N,2,1)-VLOOKUP($AO49,'Технический лист'!$M:$N,2,1)),1+(1-$AU49))</f>
        <v/>
      </c>
      <c r="DR49" s="172">
        <f>MIN(IF($AU49=100%,1,1+VLOOKUP(($AJ49-$AI49-$AH49-$AG49-$AF49-$AE49*(1+DR$3))/$AJ49,'Технический лист'!$M:$N,2,1)-VLOOKUP($AO49,'Технический лист'!$M:$N,2,1)),1+(1-$AU49))</f>
        <v/>
      </c>
      <c r="DS49" s="172">
        <f>MIN(IF($AU49=100%,1,1+VLOOKUP(($AJ49-$AI49-$AH49-$AG49-$AF49-$AE49*(1+DS$3))/$AJ49,'Технический лист'!$M:$N,2,1)-VLOOKUP($AO49,'Технический лист'!$M:$N,2,1)),1+(1-$AU49))</f>
        <v/>
      </c>
      <c r="DT49" s="172">
        <f>MIN(IF($AU49=100%,1,1+VLOOKUP(($AJ49-$AI49-$AH49-$AG49-$AF49-$AE49*(1+DT$3))/$AJ49,'Технический лист'!$M:$N,2,1)-VLOOKUP($AO49,'Технический лист'!$M:$N,2,1)),1+(1-$AU49))</f>
        <v/>
      </c>
      <c r="DU49" s="172">
        <f>MIN(IF($AU49=100%,1,1+VLOOKUP(($AJ49-$AI49-$AH49-$AG49-$AF49-$AE49*(1+DU$3))/$AJ49,'Технический лист'!$M:$N,2,1)-VLOOKUP($AO49,'Технический лист'!$M:$N,2,1)),1+(1-$AU49))</f>
        <v/>
      </c>
      <c r="DV49" s="172">
        <f>MIN(IF($AU49=100%,1,1+VLOOKUP(($AJ49-$AI49-$AH49-$AG49-$AF49-$AE49*(1+DV$3))/$AJ49,'Технический лист'!$M:$N,2,1)-VLOOKUP($AO49,'Технический лист'!$M:$N,2,1)),1+(1-$AU49))</f>
        <v/>
      </c>
      <c r="DW49" s="172">
        <f>MIN(IF($AU49=100%,1,1+VLOOKUP(($AJ49-$AI49-$AH49-$AG49-$AF49-$AE49*(1+DW$3))/$AJ49,'Технический лист'!$M:$N,2,1)-VLOOKUP($AO49,'Технический лист'!$M:$N,2,1)),1+(1-$AU49))</f>
        <v/>
      </c>
      <c r="DX49" s="172">
        <f>MIN(IF($AU49=100%,1,1+VLOOKUP(($AJ49-$AI49-$AH49-$AG49-$AF49-$AE49*(1+DX$3))/$AJ49,'Технический лист'!$M:$N,2,1)-VLOOKUP($AO49,'Технический лист'!$M:$N,2,1)),1+(1-$AU49))</f>
        <v/>
      </c>
      <c r="DY49" s="172">
        <f>MIN(IF($AU49=100%,1,1+VLOOKUP(($AJ49-$AI49-$AH49-$AG49-$AF49-$AE49*(1+DY$3))/$AJ49,'Технический лист'!$M:$N,2,1)-VLOOKUP($AO49,'Технический лист'!$M:$N,2,1)),1+(1-$AU49))</f>
        <v/>
      </c>
      <c r="DZ49" s="172">
        <f>MIN(IF($AU49=100%,1,1+VLOOKUP(($AJ49-$AI49-$AH49-$AG49-$AF49-$AE49*(1+DZ$3))/$AJ49,'Технический лист'!$M:$N,2,1)-VLOOKUP($AO49,'Технический лист'!$M:$N,2,1)),1+(1-$AU49))</f>
        <v/>
      </c>
      <c r="EA49" s="172">
        <f>MIN(IF($AU49=100%,1,1+VLOOKUP(($AJ49-$AI49-$AH49-$AG49-$AF49-$AE49*(1+EA$3))/$AJ49,'Технический лист'!$M:$N,2,1)-VLOOKUP($AO49,'Технический лист'!$M:$N,2,1)),1+(1-$AU49))</f>
        <v/>
      </c>
      <c r="EB49" s="172">
        <f>MIN(IF($AU49=100%,1,1+VLOOKUP(($AJ49-$AI49-$AH49-$AG49-$AF49-$AE49*(1+EB$3))/$AJ49,'Технический лист'!$M:$N,2,1)-VLOOKUP($AO49,'Технический лист'!$M:$N,2,1)),1+(1-$AU49))</f>
        <v/>
      </c>
      <c r="EC49" s="172">
        <f>MIN(IF($AU49=100%,1,1+VLOOKUP(($AJ49-$AI49-$AH49-$AG49-$AF49-$AE49*(1+EC$3))/$AJ49,'Технический лист'!$M:$N,2,1)-VLOOKUP($AO49,'Технический лист'!$M:$N,2,1)),1+(1-$AU49))</f>
        <v/>
      </c>
      <c r="ED49" s="172">
        <f>MIN(IF($AU49=100%,1,1+VLOOKUP(($AJ49-$AI49-$AH49-$AG49-$AF49-$AE49*(1+ED$3))/$AJ49,'Технический лист'!$M:$N,2,1)-VLOOKUP($AO49,'Технический лист'!$M:$N,2,1)),1+(1-$AU49))</f>
        <v/>
      </c>
      <c r="EE49" s="172">
        <f>MIN(IF($AU49=100%,1,1+VLOOKUP(($AJ49-$AI49-$AH49-$AG49-$AF49-$AE49*(1+EE$3))/$AJ49,'Технический лист'!$M:$N,2,1)-VLOOKUP($AO49,'Технический лист'!$M:$N,2,1)),1+(1-$AU49))</f>
        <v/>
      </c>
      <c r="EF49" s="172">
        <f>MIN(IF($AU49=100%,1,1+VLOOKUP(($AJ49-$AI49-$AH49-$AG49-$AF49-$AE49*(1+EF$3))/$AJ49,'Технический лист'!$M:$N,2,1)-VLOOKUP($AO49,'Технический лист'!$M:$N,2,1)),1+(1-$AU49))</f>
        <v/>
      </c>
      <c r="EG49" s="172">
        <f>MIN(IF($AU49=100%,1,1+VLOOKUP(($AJ49-$AI49-$AH49-$AG49-$AF49-$AE49*(1+EG$3))/$AJ49,'Технический лист'!$M:$N,2,1)-VLOOKUP($AO49,'Технический лист'!$M:$N,2,1)),1+(1-$AU49))</f>
        <v/>
      </c>
      <c r="EH49" s="172">
        <f>MIN(IF($AU49=100%,1,1+VLOOKUP(($AJ49-$AI49-$AH49-$AG49-$AF49-$AE49*(1+EH$3))/$AJ49,'Технический лист'!$M:$N,2,1)-VLOOKUP($AO49,'Технический лист'!$M:$N,2,1)),1+(1-$AU49))</f>
        <v/>
      </c>
      <c r="EI49" s="172">
        <f>MIN(IF($AU49=100%,1,1+VLOOKUP(($AJ49-$AI49-$AH49-$AG49-$AF49-$AE49*(1+EI$3))/$AJ49,'Технический лист'!$M:$N,2,1)-VLOOKUP($AO49,'Технический лист'!$M:$N,2,1)),1+(1-$AU49))</f>
        <v/>
      </c>
      <c r="EJ49" s="172">
        <f>MIN(IF($AU49=100%,1,1+VLOOKUP(($AJ49-$AI49-$AH49-$AG49-$AF49-$AE49*(1+EJ$3))/$AJ49,'Технический лист'!$M:$N,2,1)-VLOOKUP($AO49,'Технический лист'!$M:$N,2,1)),1+(1-$AU49))</f>
        <v/>
      </c>
      <c r="EK49" s="172">
        <f>MIN(IF($AU49=100%,1,1+VLOOKUP(($AJ49-$AI49-$AH49-$AG49-$AF49-$AE49*(1+EK$3))/$AJ49,'Технический лист'!$M:$N,2,1)-VLOOKUP($AO49,'Технический лист'!$M:$N,2,1)),1+(1-$AU49))</f>
        <v/>
      </c>
      <c r="EL49" s="172">
        <f>MIN(IF($AU49=100%,1,1+VLOOKUP(($AJ49-$AI49-$AH49-$AG49-$AF49-$AE49*(1+EL$3))/$AJ49,'Технический лист'!$M:$N,2,1)-VLOOKUP($AO49,'Технический лист'!$M:$N,2,1)),1+(1-$AU49))</f>
        <v/>
      </c>
      <c r="EM49" s="172">
        <f>MIN(IF($AU49=100%,1,1+VLOOKUP(($AJ49-$AI49-$AH49-$AG49-$AF49-$AE49*(1+EM$3))/$AJ49,'Технический лист'!$M:$N,2,1)-VLOOKUP($AO49,'Технический лист'!$M:$N,2,1)),1+(1-$AU49))</f>
        <v/>
      </c>
      <c r="EN49" s="172">
        <f>MIN(IF($AU49=100%,1,1+VLOOKUP(($AJ49-$AI49-$AH49-$AG49-$AF49-$AE49*(1+EN$3))/$AJ49,'Технический лист'!$M:$N,2,1)-VLOOKUP($AO49,'Технический лист'!$M:$N,2,1)),1+(1-$AU49))</f>
        <v/>
      </c>
      <c r="EO49" s="172">
        <f>MIN(IF($AU49=100%,1,1+VLOOKUP(($AJ49-$AI49-$AH49-$AG49-$AF49-$AE49*(1+EO$3))/$AJ49,'Технический лист'!$M:$N,2,1)-VLOOKUP($AO49,'Технический лист'!$M:$N,2,1)),1+(1-$AU49))</f>
        <v/>
      </c>
      <c r="EP49" s="172">
        <f>MIN(IF($AU49=100%,1,1+VLOOKUP(($AJ49-$AI49-$AH49-$AG49-$AF49-$AE49*(1+EP$3))/$AJ49,'Технический лист'!$M:$N,2,1)-VLOOKUP($AO49,'Технический лист'!$M:$N,2,1)),1+(1-$AU49))</f>
        <v/>
      </c>
      <c r="EQ49" s="172">
        <f>MIN(IF($AU49=100%,1,1+VLOOKUP(($AJ49-$AI49-$AH49-$AG49-$AF49-$AE49*(1+EQ$3))/$AJ49,'Технический лист'!$M:$N,2,1)-VLOOKUP($AO49,'Технический лист'!$M:$N,2,1)),1+(1-$AU49))</f>
        <v/>
      </c>
      <c r="ER49" s="172">
        <f>MIN(IF($AU49=100%,1,1+VLOOKUP(($AJ49-$AI49-$AH49-$AG49-$AF49-$AE49*(1+ER$3))/$AJ49,'Технический лист'!$M:$N,2,1)-VLOOKUP($AO49,'Технический лист'!$M:$N,2,1)),1+(1-$AU49))</f>
        <v/>
      </c>
      <c r="ES49" s="172">
        <f>MIN(IF($AU49=100%,1,1+VLOOKUP(($AJ49-$AI49-$AH49-$AG49-$AF49-$AE49*(1+ES$3))/$AJ49,'Технический лист'!$M:$N,2,1)-VLOOKUP($AO49,'Технический лист'!$M:$N,2,1)),1+(1-$AU49))</f>
        <v/>
      </c>
      <c r="ET49" s="172">
        <f>MIN(IF($AU49=100%,1,1+VLOOKUP(($AJ49-$AI49-$AH49-$AG49-$AF49-$AE49*(1+ET$3))/$AJ49,'Технический лист'!$M:$N,2,1)-VLOOKUP($AO49,'Технический лист'!$M:$N,2,1)),1+(1-$AU49))</f>
        <v/>
      </c>
      <c r="EU49" s="172">
        <f>MIN(IF($AU49=100%,1,1+VLOOKUP(($AJ49-$AI49-$AH49-$AG49-$AF49-$AE49*(1+EU$3))/$AJ49,'Технический лист'!$M:$N,2,1)-VLOOKUP($AO49,'Технический лист'!$M:$N,2,1)),1+(1-$AU49))</f>
        <v/>
      </c>
      <c r="EV49" s="173" t="n">
        <v>1</v>
      </c>
      <c r="EW49" s="172">
        <f>MIN(1,MAX(VLOOKUP(($AJ49-$AI49-$AH49-$AG49-$AF49-$AE49*(1+EW$3))/$AJ49,'Технический лист'!$M:$N,2,1),(EV49-0.05)))</f>
        <v/>
      </c>
      <c r="EX49" s="172">
        <f>MIN(1,MAX(VLOOKUP(($AJ49-$AI49-$AH49-$AG49-$AF49-$AE49*(1+EX$3))/$AJ49,'Технический лист'!$M:$N,2,1),(EW49-0.05)))</f>
        <v/>
      </c>
      <c r="EY49" s="172">
        <f>MIN(1,MAX(VLOOKUP(($AJ49-$AI49-$AH49-$AG49-$AF49-$AE49*(1+EY$3))/$AJ49,'Технический лист'!$M:$N,2,1),(EX49-0.05)))</f>
        <v/>
      </c>
      <c r="EZ49" s="172">
        <f>MIN(1,MAX(VLOOKUP(($AJ49-$AI49-$AH49-$AG49-$AF49-$AE49*(1+EZ$3))/$AJ49,'Технический лист'!$M:$N,2,1),(EY49-0.05)))</f>
        <v/>
      </c>
      <c r="FA49" s="172">
        <f>MIN(1,MAX(VLOOKUP(($AJ49-$AI49-$AH49-$AG49-$AF49-$AE49*(1+FA$3))/$AJ49,'Технический лист'!$M:$N,2,1),(EZ49-0.05)))</f>
        <v/>
      </c>
      <c r="FB49" s="172">
        <f>MIN(1,MAX(VLOOKUP(($AJ49-$AI49-$AH49-$AG49-$AF49-$AE49*(1+FB$3))/$AJ49,'Технический лист'!$M:$N,2,1),(FA49-0.05)))</f>
        <v/>
      </c>
      <c r="FC49" s="172">
        <f>MIN(1,MAX(VLOOKUP(($AJ49-$AI49-$AH49-$AG49-$AF49-$AE49*(1+FC$3))/$AJ49,'Технический лист'!$M:$N,2,1),(FB49-0.05)))</f>
        <v/>
      </c>
      <c r="FD49" s="172">
        <f>MIN(1,MAX(VLOOKUP(($AJ49-$AI49-$AH49-$AG49-$AF49-$AE49*(1+FD$3))/$AJ49,'Технический лист'!$M:$N,2,1),(FC49-0.05)))</f>
        <v/>
      </c>
      <c r="FE49" s="172">
        <f>MIN(1,MAX(VLOOKUP(($AJ49-$AI49-$AH49-$AG49-$AF49-$AE49*(1+FE$3))/$AJ49,'Технический лист'!$M:$N,2,1),(FD49-0.05)))</f>
        <v/>
      </c>
      <c r="FF49" s="172">
        <f>MIN(1,MAX(VLOOKUP(($AJ49-$AI49-$AH49-$AG49-$AF49-$AE49*(1+FF$3))/$AJ49,'Технический лист'!$M:$N,2,1),(FE49-0.05)))</f>
        <v/>
      </c>
      <c r="FG49" s="172">
        <f>MIN(1,MAX(VLOOKUP(($AJ49-$AI49-$AH49-$AG49-$AF49-$AE49*(1+FG$3))/$AJ49,'Технический лист'!$M:$N,2,1),(FF49-0.05)))</f>
        <v/>
      </c>
      <c r="FH49" s="172">
        <f>MIN(1,MAX(VLOOKUP(($AJ49-$AI49-$AH49-$AG49-$AF49-$AE49*(1+FH$3))/$AJ49,'Технический лист'!$M:$N,2,1),(FG49-0.05)))</f>
        <v/>
      </c>
      <c r="FI49" s="172">
        <f>MIN(1,MAX(VLOOKUP(($AJ49-$AI49-$AH49-$AG49-$AF49-$AE49*(1+FI$3))/$AJ49,'Технический лист'!$M:$N,2,1),(FH49-0.05)))</f>
        <v/>
      </c>
      <c r="FJ49" s="172">
        <f>MIN(1,MAX(VLOOKUP(($AJ49-$AI49-$AH49-$AG49-$AF49-$AE49*(1+FJ$3))/$AJ49,'Технический лист'!$M:$N,2,1),(FI49-0.05)))</f>
        <v/>
      </c>
      <c r="FK49" s="172">
        <f>MIN(1,MAX(VLOOKUP(($AJ49-$AI49-$AH49-$AG49-$AF49-$AE49*(1+FK$3))/$AJ49,'Технический лист'!$M:$N,2,1),(FJ49-0.05)))</f>
        <v/>
      </c>
      <c r="FL49" s="172">
        <f>MIN(1,MAX(VLOOKUP(($AJ49-$AI49-$AH49-$AG49-$AF49-$AE49*(1+FL$3))/$AJ49,'Технический лист'!$M:$N,2,1),(FK49-0.05)))</f>
        <v/>
      </c>
      <c r="FM49" s="172">
        <f>MIN(1,MAX(VLOOKUP(($AJ49-$AI49-$AH49-$AG49-$AF49-$AE49*(1+FM$3))/$AJ49,'Технический лист'!$M:$N,2,1),(FL49-0.05)))</f>
        <v/>
      </c>
      <c r="FN49" s="172">
        <f>MIN(1,MAX(VLOOKUP(($AJ49-$AI49-$AH49-$AG49-$AF49-$AE49*(1+FN$3))/$AJ49,'Технический лист'!$M:$N,2,1),(FM49-0.05)))</f>
        <v/>
      </c>
      <c r="FO49" s="172">
        <f>MIN(1,MAX(VLOOKUP(($AJ49-$AI49-$AH49-$AG49-$AF49-$AE49*(1+FO$3))/$AJ49,'Технический лист'!$M:$N,2,1),(FN49-0.05)))</f>
        <v/>
      </c>
      <c r="FP49" s="172">
        <f>MIN(1,MAX(VLOOKUP(($AJ49-$AI49-$AH49-$AG49-$AF49-$AE49*(1+FP$3))/$AJ49,'Технический лист'!$M:$N,2,1),(FO49-0.05)))</f>
        <v/>
      </c>
      <c r="FQ49" s="172">
        <f>MIN(1,MAX(VLOOKUP(($AJ49-$AI49-$AH49-$AG49-$AF49-$AE49*(1+FQ$3))/$AJ49,'Технический лист'!$M:$N,2,1),(FP49-0.05)))</f>
        <v/>
      </c>
      <c r="FR49" s="172">
        <f>MIN(1,MAX(VLOOKUP(($AJ49-$AI49-$AH49-$AG49-$AF49-$AE49*(1+FR$3))/$AJ49,'Технический лист'!$M:$N,2,1),(FQ49-0.05)))</f>
        <v/>
      </c>
      <c r="FS49" s="172">
        <f>MIN(1,MAX(VLOOKUP(($AJ49-$AI49-$AH49-$AG49-$AF49-$AE49*(1+FS$3))/$AJ49,'Технический лист'!$M:$N,2,1),(FR49-0.05)))</f>
        <v/>
      </c>
      <c r="FT49" s="172">
        <f>MIN(1,MAX(VLOOKUP(($AJ49-$AI49-$AH49-$AG49-$AF49-$AE49*(1+FT$3))/$AJ49,'Технический лист'!$M:$N,2,1),(FS49-0.05)))</f>
        <v/>
      </c>
      <c r="FU49" s="172">
        <f>MIN(1,MAX(VLOOKUP(($AJ49-$AI49-$AH49-$AG49-$AF49-$AE49*(1+FU$3))/$AJ49,'Технический лист'!$M:$N,2,1),(FT49-0.05)))</f>
        <v/>
      </c>
      <c r="FV49" s="172">
        <f>MIN(1,MAX(VLOOKUP(($AJ49-$AI49-$AH49-$AG49-$AF49-$AE49*(1+FV$3))/$AJ49,'Технический лист'!$M:$N,2,1),(FU49-0.05)))</f>
        <v/>
      </c>
      <c r="FW49" s="172">
        <f>MIN(1,MAX(VLOOKUP(($AJ49-$AI49-$AH49-$AG49-$AF49-$AE49*(1+FW$3))/$AJ49,'Технический лист'!$M:$N,2,1),(FV49-0.05)))</f>
        <v/>
      </c>
      <c r="FX49" s="172">
        <f>MIN(1,MAX(VLOOKUP(($AJ49-$AI49-$AH49-$AG49-$AF49-$AE49*(1+FX$3))/$AJ49,'Технический лист'!$M:$N,2,1),(FW49-0.05)))</f>
        <v/>
      </c>
      <c r="FY49" s="172">
        <f>MIN(1,MAX(VLOOKUP(($AJ49-$AI49-$AH49-$AG49-$AF49-$AE49*(1+FY$3))/$AJ49,'Технический лист'!$M:$N,2,1),(FX49-0.05)))</f>
        <v/>
      </c>
      <c r="FZ49" s="172">
        <f>MIN(1,MAX(VLOOKUP(($AJ49-$AI49-$AH49-$AG49-$AF49-$AE49*(1+FZ$3))/$AJ49,'Технический лист'!$M:$N,2,1),(FY49-0.05)))</f>
        <v/>
      </c>
      <c r="GA49" s="172">
        <f>MIN(1,MAX(VLOOKUP(($AJ49-$AI49-$AH49-$AG49-$AF49-$AE49*(1+GA$3))/$AJ49,'Технический лист'!$M:$N,2,1),(FZ49-0.05)))</f>
        <v/>
      </c>
      <c r="GB49" s="172">
        <f>MIN(1,MAX(VLOOKUP(($AJ49-$AI49-$AH49-$AG49-$AF49-$AE49*(1+GB$3))/$AJ49,'Технический лист'!$M:$N,2,1),(GA49-0.05)))</f>
        <v/>
      </c>
      <c r="GC49" s="172">
        <f>MIN(1,MAX(VLOOKUP(($AJ49-$AI49-$AH49-$AG49-$AF49-$AE49*(1+GC$3))/$AJ49,'Технический лист'!$M:$N,2,1),(GB49-0.05)))</f>
        <v/>
      </c>
      <c r="GD49" s="172">
        <f>MIN(1,MAX(VLOOKUP(($AJ49-$AI49-$AH49-$AG49-$AF49-$AE49*(1+GD$3))/$AJ49,'Технический лист'!$M:$N,2,1),(GC49-0.05)))</f>
        <v/>
      </c>
      <c r="GE49" s="172">
        <f>MIN(1,MAX(VLOOKUP(($AJ49-$AI49-$AH49-$AG49-$AF49-$AE49*(1+GE$3))/$AJ49,'Технический лист'!$M:$N,2,1),(GD49-0.05)))</f>
        <v/>
      </c>
      <c r="GF49" s="172">
        <f>MIN(1,MAX(VLOOKUP(($AJ49-$AI49-$AH49-$AG49-$AF49-$AE49*(1+GF$3))/$AJ49,'Технический лист'!$M:$N,2,1),(GE49-0.05)))</f>
        <v/>
      </c>
      <c r="GG49" s="172">
        <f>MIN(1,MAX(VLOOKUP(($AJ49-$AI49-$AH49-$AG49-$AF49-$AE49*(1+GG$3))/$AJ49,'Технический лист'!$M:$N,2,1),(GF49-0.05)))</f>
        <v/>
      </c>
      <c r="GH49" s="172">
        <f>MIN(1,MAX(VLOOKUP(($AJ49-$AI49-$AH49-$AG49-$AF49-$AE49*(1+GH$3))/$AJ49,'Технический лист'!$M:$N,2,1),(GG49-0.05)))</f>
        <v/>
      </c>
      <c r="GI49" s="172">
        <f>MIN(1,MAX(VLOOKUP(($AJ49-$AI49-$AH49-$AG49-$AF49-$AE49*(1+GI$3))/$AJ49,'Технический лист'!$M:$N,2,1),(GH49-0.05)))</f>
        <v/>
      </c>
      <c r="GJ49" s="172">
        <f>MIN(1,MAX(VLOOKUP(($AJ49-$AI49-$AH49-$AG49-$AF49-$AE49*(1+GJ$3))/$AJ49,'Технический лист'!$M:$N,2,1),(GI49-0.05)))</f>
        <v/>
      </c>
      <c r="GK49" s="172">
        <f>MIN(1,MAX(VLOOKUP(($AJ49-$AI49-$AH49-$AG49-$AF49-$AE49*(1+GK$3))/$AJ49,'Технический лист'!$M:$N,2,1),(GJ49-0.05)))</f>
        <v/>
      </c>
      <c r="GL49" s="172">
        <f>MIN(1,MAX(VLOOKUP(($AJ49-$AI49-$AH49-$AG49-$AF49-$AE49*(1+GL$3))/$AJ49,'Технический лист'!$M:$N,2,1),(GK49-0.05)))</f>
        <v/>
      </c>
      <c r="GM49" s="172">
        <f>MIN(1,MAX(VLOOKUP(($AJ49-$AI49-$AH49-$AG49-$AF49-$AE49*(1+GM$3))/$AJ49,'Технический лист'!$M:$N,2,1),(GL49-0.05)))</f>
        <v/>
      </c>
      <c r="GN49" s="172">
        <f>MIN(1,MAX(VLOOKUP(($AJ49-$AI49-$AH49-$AG49-$AF49-$AE49*(1+GN$3))/$AJ49,'Технический лист'!$M:$N,2,1),(GM49-0.05)))</f>
        <v/>
      </c>
      <c r="GO49" s="172">
        <f>MIN(1,MAX(VLOOKUP(($AJ49-$AI49-$AH49-$AG49-$AF49-$AE49*(1+GO$3))/$AJ49,'Технический лист'!$M:$N,2,1),(GN49-0.05)))</f>
        <v/>
      </c>
      <c r="GP49" s="172">
        <f>MIN(1,MAX(VLOOKUP(($AJ49-$AI49-$AH49-$AG49-$AF49-$AE49*(1+GP$3))/$AJ49,'Технический лист'!$M:$N,2,1),(GO49-0.05)))</f>
        <v/>
      </c>
      <c r="GQ49" s="172">
        <f>MIN(1,MAX(VLOOKUP(($AJ49-$AI49-$AH49-$AG49-$AF49-$AE49*(1+GQ$3))/$AJ49,'Технический лист'!$M:$N,2,1),(GP49-0.05)))</f>
        <v/>
      </c>
      <c r="GR49" s="172">
        <f>MIN(1,MAX(VLOOKUP(($AJ49-$AI49-$AH49-$AG49-$AF49-$AE49*(1+GR$3))/$AJ49,'Технический лист'!$M:$N,2,1),(GQ49-0.05)))</f>
        <v/>
      </c>
      <c r="GS49" s="172">
        <f>MIN(1,MAX(VLOOKUP(($AJ49-$AI49-$AH49-$AG49-$AF49-$AE49*(1+GS$3))/$AJ49,'Технический лист'!$M:$N,2,1),(GR49-0.05)))</f>
        <v/>
      </c>
      <c r="GT49" s="172">
        <f>MIN(1,MAX(VLOOKUP(($AJ49-$AI49-$AH49-$AG49-$AF49-$AE49*(1+GT$3))/$AJ49,'Технический лист'!$M:$N,2,1),(GS49-0.05)))</f>
        <v/>
      </c>
      <c r="GU49" s="172">
        <f>MIN(1,MAX(VLOOKUP(($AJ49-$AI49-$AH49-$AG49-$AF49-$AE49*(1+GU$3))/$AJ49,'Технический лист'!$M:$N,2,1),(GT49-0.05)))</f>
        <v/>
      </c>
      <c r="GV49" s="172">
        <f>MIN(1,MAX(VLOOKUP(($AJ49-$AI49-$AH49-$AG49-$AF49-$AE49*(1+GV$3))/$AJ49,'Технический лист'!$M:$N,2,1),(GU49-0.05)))</f>
        <v/>
      </c>
      <c r="GW49" s="172">
        <f>MIN(1,MAX(VLOOKUP(($AJ49-$AI49-$AH49-$AG49-$AF49-$AE49*(1+GW$3))/$AJ49,'Технический лист'!$M:$N,2,1),(GV49-0.05)))</f>
        <v/>
      </c>
      <c r="GX49" s="172">
        <f>MIN(1,MAX(VLOOKUP(($AJ49-$AI49-$AH49-$AG49-$AF49-$AE49*(1+GX$3))/$AJ49,'Технический лист'!$M:$N,2,1),(GW49-0.05)))</f>
        <v/>
      </c>
      <c r="GY49" s="172">
        <f>MIN(1,MAX(VLOOKUP(($AJ49-$AI49-$AH49-$AG49-$AF49-$AE49*(1+GY$3))/$AJ49,'Технический лист'!$M:$N,2,1),(GX49-0.05)))</f>
        <v/>
      </c>
      <c r="GZ49" s="172">
        <f>MIN(1,MAX(VLOOKUP(($AJ49-$AI49-$AH49-$AG49-$AF49-$AE49*(1+GZ$3))/$AJ49,'Технический лист'!$M:$N,2,1),(GY49-0.05)))</f>
        <v/>
      </c>
      <c r="HA49" s="172">
        <f>MIN(1,MAX(VLOOKUP(($AJ49-$AI49-$AH49-$AG49-$AF49-$AE49*(1+HA$3))/$AJ49,'Технический лист'!$M:$N,2,1),(GZ49-0.05)))</f>
        <v/>
      </c>
      <c r="HB49" s="172">
        <f>MIN(1,MAX(VLOOKUP(($AJ49-$AI49-$AH49-$AG49-$AF49-$AE49*(1+HB$3))/$AJ49,'Технический лист'!$M:$N,2,1),(HA49-0.05)))</f>
        <v/>
      </c>
      <c r="HC49" s="172">
        <f>MIN(1,MAX(VLOOKUP(($AJ49-$AI49-$AH49-$AG49-$AF49-$AE49*(1+HC$3))/$AJ49,'Технический лист'!$M:$N,2,1),(HB49-0.05)))</f>
        <v/>
      </c>
      <c r="HD49" s="172">
        <f>MIN(1,MAX(VLOOKUP(($AJ49-$AI49-$AH49-$AG49-$AF49-$AE49*(1+HD$3))/$AJ49,'Технический лист'!$M:$N,2,1),(HC49-0.05)))</f>
        <v/>
      </c>
      <c r="HE49" s="172">
        <f>MIN(1,MAX(VLOOKUP(($AJ49-$AI49-$AH49-$AG49-$AF49-$AE49*(1+HE$3))/$AJ49,'Технический лист'!$M:$N,2,1),(HD49-0.05)))</f>
        <v/>
      </c>
      <c r="HF49" s="172">
        <f>MIN(1,MAX(VLOOKUP(($AJ49-$AI49-$AH49-$AG49-$AF49-$AE49*(1+HF$3))/$AJ49,'Технический лист'!$M:$N,2,1),(HE49-0.05)))</f>
        <v/>
      </c>
      <c r="HG49" s="172">
        <f>MIN(1,MAX(VLOOKUP(($AJ49-$AI49-$AH49-$AG49-$AF49-$AE49*(1+HG$3))/$AJ49,'Технический лист'!$M:$N,2,1),(HF49-0.05)))</f>
        <v/>
      </c>
      <c r="HH49" s="172">
        <f>MIN(1,MAX(VLOOKUP(($AJ49-$AI49-$AH49-$AG49-$AF49-$AE49*(1+HH$3))/$AJ49,'Технический лист'!$M:$N,2,1),(HG49-0.05)))</f>
        <v/>
      </c>
      <c r="HI49" s="172">
        <f>MIN(1,MAX(VLOOKUP(($AJ49-$AI49-$AH49-$AG49-$AF49-$AE49*(1+HI$3))/$AJ49,'Технический лист'!$M:$N,2,1),(HH49-0.05)))</f>
        <v/>
      </c>
      <c r="HJ49" s="172">
        <f>MIN(1,MAX(VLOOKUP(($AJ49-$AI49-$AH49-$AG49-$AF49-$AE49*(1+HJ$3))/$AJ49,'Технический лист'!$M:$N,2,1),(HI49-0.05)))</f>
        <v/>
      </c>
      <c r="HK49" s="172">
        <f>MIN(1,MAX(VLOOKUP(($AJ49-$AI49-$AH49-$AG49-$AF49-$AE49*(1+HK$3))/$AJ49,'Технический лист'!$M:$N,2,1),(HJ49-0.05)))</f>
        <v/>
      </c>
      <c r="HL49" s="172">
        <f>MIN(1,MAX(VLOOKUP(($AJ49-$AI49-$AH49-$AG49-$AF49-$AE49*(1+HL$3))/$AJ49,'Технический лист'!$M:$N,2,1),(HK49-0.05)))</f>
        <v/>
      </c>
      <c r="HM49" s="172">
        <f>MIN(1,MAX(VLOOKUP(($AJ49-$AI49-$AH49-$AG49-$AF49-$AE49*(1+HM$3))/$AJ49,'Технический лист'!$M:$N,2,1),(HL49-0.05)))</f>
        <v/>
      </c>
      <c r="HN49" s="172">
        <f>MIN(1,MAX(VLOOKUP(($AJ49-$AI49-$AH49-$AG49-$AF49-$AE49*(1+HN$3))/$AJ49,'Технический лист'!$M:$N,2,1),(HM49-0.05)))</f>
        <v/>
      </c>
      <c r="HO49" s="172">
        <f>MIN(1,MAX(VLOOKUP(($AJ49-$AI49-$AH49-$AG49-$AF49-$AE49*(1+HO$3))/$AJ49,'Технический лист'!$M:$N,2,1),(HN49-0.05)))</f>
        <v/>
      </c>
      <c r="HP49" s="172">
        <f>MIN(1,MAX(VLOOKUP(($AJ49-$AI49-$AH49-$AG49-$AF49-$AE49*(1+HP$3))/$AJ49,'Технический лист'!$M:$N,2,1),(HO49-0.05)))</f>
        <v/>
      </c>
      <c r="HQ49" s="172">
        <f>MIN(1,MAX(VLOOKUP(($AJ49-$AI49-$AH49-$AG49-$AF49-$AE49*(1+HQ$3))/$AJ49,'Технический лист'!$M:$N,2,1),(HP49-0.05)))</f>
        <v/>
      </c>
      <c r="HR49" s="172">
        <f>MIN(1,MAX(VLOOKUP(($AJ49-$AI49-$AH49-$AG49-$AF49-$AE49*(1+HR$3))/$AJ49,'Технический лист'!$M:$N,2,1),(HQ49-0.05)))</f>
        <v/>
      </c>
      <c r="HS49" s="172">
        <f>MIN(1,MAX(VLOOKUP(($AJ49-$AI49-$AH49-$AG49-$AF49-$AE49*(1+HS$3))/$AJ49,'Технический лист'!$M:$N,2,1),(HR49-0.05)))</f>
        <v/>
      </c>
      <c r="HT49" s="172">
        <f>MIN(1,MAX(VLOOKUP(($AJ49-$AI49-$AH49-$AG49-$AF49-$AE49*(1+HT$3))/$AJ49,'Технический лист'!$M:$N,2,1),(HS49-0.05)))</f>
        <v/>
      </c>
      <c r="HU49" s="172">
        <f>MIN(1,MAX(VLOOKUP(($AJ49-$AI49-$AH49-$AG49-$AF49-$AE49*(1+HU$3))/$AJ49,'Технический лист'!$M:$N,2,1),(HT49-0.05)))</f>
        <v/>
      </c>
      <c r="HV49" s="172">
        <f>MIN(1,MAX(VLOOKUP(($AJ49-$AI49-$AH49-$AG49-$AF49-$AE49*(1+HV$3))/$AJ49,'Технический лист'!$M:$N,2,1),(HU49-0.05)))</f>
        <v/>
      </c>
      <c r="HW49" s="172">
        <f>MIN(1,MAX(VLOOKUP(($AJ49-$AI49-$AH49-$AG49-$AF49-$AE49*(1+HW$3))/$AJ49,'Технический лист'!$M:$N,2,1),(HV49-0.05)))</f>
        <v/>
      </c>
      <c r="HX49" s="172">
        <f>MIN(1,MAX(VLOOKUP(($AJ49-$AI49-$AH49-$AG49-$AF49-$AE49*(1+HX$3))/$AJ49,'Технический лист'!$M:$N,2,1),(HW49-0.05)))</f>
        <v/>
      </c>
      <c r="HY49" s="172">
        <f>MIN(1,MAX(VLOOKUP(($AJ49-$AI49-$AH49-$AG49-$AF49-$AE49*(1+HY$3))/$AJ49,'Технический лист'!$M:$N,2,1),(HX49-0.05)))</f>
        <v/>
      </c>
      <c r="HZ49" s="172">
        <f>MIN(1,MAX(VLOOKUP(($AJ49-$AI49-$AH49-$AG49-$AF49-$AE49*(1+HZ$3))/$AJ49,'Технический лист'!$M:$N,2,1),(HY49-0.05)))</f>
        <v/>
      </c>
      <c r="IA49" s="172">
        <f>MIN(1,MAX(VLOOKUP(($AJ49-$AI49-$AH49-$AG49-$AF49-$AE49*(1+IA$3))/$AJ49,'Технический лист'!$M:$N,2,1),(HZ49-0.05)))</f>
        <v/>
      </c>
      <c r="IB49" s="172">
        <f>MIN(1,MAX(VLOOKUP(($AJ49-$AI49-$AH49-$AG49-$AF49-$AE49*(1+IB$3))/$AJ49,'Технический лист'!$M:$N,2,1),(IA49-0.05)))</f>
        <v/>
      </c>
      <c r="IC49" s="172">
        <f>MIN(1,MAX(VLOOKUP(($AJ49-$AI49-$AH49-$AG49-$AF49-$AE49*(1+IC$3))/$AJ49,'Технический лист'!$M:$N,2,1),(IB49-0.05)))</f>
        <v/>
      </c>
      <c r="ID49" s="172">
        <f>MIN(1,MAX(VLOOKUP(($AJ49-$AI49-$AH49-$AG49-$AF49-$AE49*(1+ID$3))/$AJ49,'Технический лист'!$M:$N,2,1),(IC49-0.05)))</f>
        <v/>
      </c>
      <c r="IE49" s="172">
        <f>MIN(1,MAX(VLOOKUP(($AJ49-$AI49-$AH49-$AG49-$AF49-$AE49*(1+IE$3))/$AJ49,'Технический лист'!$M:$N,2,1),(ID49-0.05)))</f>
        <v/>
      </c>
      <c r="IF49" s="172">
        <f>MIN(1,MAX(VLOOKUP(($AJ49-$AI49-$AH49-$AG49-$AF49-$AE49*(1+IF$3))/$AJ49,'Технический лист'!$M:$N,2,1),(IE49-0.05)))</f>
        <v/>
      </c>
      <c r="IG49" s="172">
        <f>MIN(1,MAX(VLOOKUP(($AJ49-$AI49-$AH49-$AG49-$AF49-$AE49*(1+IG$3))/$AJ49,'Технический лист'!$M:$N,2,1),(IF49-0.05)))</f>
        <v/>
      </c>
      <c r="IH49" s="172">
        <f>MIN(1,MAX(VLOOKUP(($AJ49-$AI49-$AH49-$AG49-$AF49-$AE49*(1+IH$3))/$AJ49,'Технический лист'!$M:$N,2,1),(IG49-0.05)))</f>
        <v/>
      </c>
      <c r="II49" s="172">
        <f>MIN(1,MAX(VLOOKUP(($AJ49-$AI49-$AH49-$AG49-$AF49-$AE49*(1+II$3))/$AJ49,'Технический лист'!$M:$N,2,1),(IH49-0.05)))</f>
        <v/>
      </c>
      <c r="IJ49" s="172">
        <f>MIN(1,MAX(VLOOKUP(($AJ49-$AI49-$AH49-$AG49-$AF49-$AE49*(1+IJ$3))/$AJ49,'Технический лист'!$M:$N,2,1),(II49-0.05)))</f>
        <v/>
      </c>
      <c r="IK49" s="172">
        <f>MIN(1,MAX(VLOOKUP(($AJ49-$AI49-$AH49-$AG49-$AF49-$AE49*(1+IK$3))/$AJ49,'Технический лист'!$M:$N,2,1),(IJ49-0.05)))</f>
        <v/>
      </c>
      <c r="IL49" s="172">
        <f>MIN(1,MAX(VLOOKUP(($AJ49-$AI49-$AH49-$AG49-$AF49-$AE49*(1+IL$3))/$AJ49,'Технический лист'!$M:$N,2,1),(IK49-0.05)))</f>
        <v/>
      </c>
      <c r="IM49" s="172">
        <f>MIN(1,MAX(VLOOKUP(($AJ49-$AI49-$AH49-$AG49-$AF49-$AE49*(1+IM$3))/$AJ49,'Технический лист'!$M:$N,2,1),(IL49-0.05)))</f>
        <v/>
      </c>
      <c r="IN49" s="172">
        <f>MIN(1,MAX(VLOOKUP(($AJ49-$AI49-$AH49-$AG49-$AF49-$AE49*(1+IN$3))/$AJ49,'Технический лист'!$M:$N,2,1),(IM49-0.05)))</f>
        <v/>
      </c>
      <c r="IO49" s="172">
        <f>MIN(1,MAX(VLOOKUP(($AJ49-$AI49-$AH49-$AG49-$AF49-$AE49*(1+IO$3))/$AJ49,'Технический лист'!$M:$N,2,1),(IN49-0.05)))</f>
        <v/>
      </c>
      <c r="IP49" s="172">
        <f>MIN(1,MAX(VLOOKUP(($AJ49-$AI49-$AH49-$AG49-$AF49-$AE49*(1+IP$3))/$AJ49,'Технический лист'!$M:$N,2,1),(IO49-0.05)))</f>
        <v/>
      </c>
      <c r="IQ49" s="172">
        <f>MIN(1,MAX(VLOOKUP(($AJ49-$AI49-$AH49-$AG49-$AF49-$AE49*(1+IQ$3))/$AJ49,'Технический лист'!$M:$N,2,1),(IP49-0.05)))</f>
        <v/>
      </c>
      <c r="IR49" s="172">
        <f>MIN(1,MAX(VLOOKUP(($AJ49-$AI49-$AH49-$AG49-$AF49-$AE49*(1+IR$3))/$AJ49,'Технический лист'!$M:$N,2,1),(IQ49-0.05)))</f>
        <v/>
      </c>
    </row>
    <row r="50">
      <c r="A50" s="89" t="inlineStr">
        <is>
          <t>ЧМ (сырье)</t>
        </is>
      </c>
      <c r="B50" s="90" t="n">
        <v>4</v>
      </c>
      <c r="C50" s="5" t="inlineStr">
        <is>
          <t>Руды  всякие</t>
        </is>
      </c>
      <c r="D50" s="91" t="n">
        <v>14111</v>
      </c>
      <c r="E50" s="91" t="inlineStr">
        <is>
          <t xml:space="preserve">Окатыши железорудные </t>
        </is>
      </c>
      <c r="F50" s="92" t="inlineStr">
        <is>
          <t>РУДЫ И КОНЦЕНТРАТЫ ЖЕЛЕЗН</t>
        </is>
      </c>
      <c r="G50" s="91" t="inlineStr">
        <is>
          <t>МСК</t>
        </is>
      </c>
      <c r="H50" s="91" t="inlineStr">
        <is>
          <t>ЗАБ</t>
        </is>
      </c>
      <c r="I50" s="91" t="inlineStr">
        <is>
          <t>КУРБАКИНСКАЯ</t>
        </is>
      </c>
      <c r="J50" s="91" t="inlineStr">
        <is>
          <t>ЗАБАЙКАЛ ЭК</t>
        </is>
      </c>
      <c r="K50" s="91" t="n">
        <v>6990</v>
      </c>
      <c r="L50" s="91" t="inlineStr">
        <is>
          <t>Полувагоны</t>
        </is>
      </c>
      <c r="M50" s="91" t="inlineStr">
        <is>
          <t>Экспорт</t>
        </is>
      </c>
      <c r="N50" s="91" t="inlineStr">
        <is>
          <t>вагонная</t>
        </is>
      </c>
      <c r="O50" s="91" t="inlineStr">
        <is>
          <t xml:space="preserve">Восточное </t>
        </is>
      </c>
      <c r="P50" s="89" t="inlineStr">
        <is>
          <t>'000077263371</t>
        </is>
      </c>
      <c r="Q50" s="91" t="inlineStr">
        <is>
          <t>ООО УК "Металлоинвест"</t>
        </is>
      </c>
      <c r="R50" s="91" t="inlineStr">
        <is>
          <t>ООО УК "Металлоинвест"</t>
        </is>
      </c>
      <c r="S50" s="87" t="n">
        <v>917674</v>
      </c>
      <c r="T50" s="87" t="n">
        <v>6414426751</v>
      </c>
      <c r="U50" s="88" t="n">
        <v>13269</v>
      </c>
      <c r="V50" s="88" t="n">
        <v>0</v>
      </c>
      <c r="W50" s="87" t="n">
        <v>2845887037</v>
      </c>
      <c r="X50" s="112" t="n">
        <v>69</v>
      </c>
      <c r="Y50" s="112" t="inlineStr">
        <is>
          <t>маршрутная</t>
        </is>
      </c>
      <c r="Z50" s="113" t="n">
        <v>15</v>
      </c>
      <c r="AA50" s="113" t="n">
        <v>15</v>
      </c>
      <c r="AB50" s="113" t="n">
        <v>4</v>
      </c>
      <c r="AC50" s="161" t="n">
        <v>3423.88</v>
      </c>
      <c r="AD50" s="161">
        <f>AE50-AC50</f>
        <v/>
      </c>
      <c r="AE50" s="161" t="n">
        <v>4796.72</v>
      </c>
      <c r="AF50" s="162">
        <f>(Z50+AA50+AB50)*'Ставки аренды'!$B$3/X50</f>
        <v/>
      </c>
      <c r="AG50" s="163" t="n">
        <v>0</v>
      </c>
      <c r="AH50" s="164" t="n">
        <v>0</v>
      </c>
      <c r="AI50" s="165">
        <f>240828/411356*AVERAGE(AJ48,AJ49)</f>
        <v/>
      </c>
      <c r="AJ50" s="166">
        <f>Цены!D13</f>
        <v/>
      </c>
      <c r="AK50" s="164">
        <f>AJ50/Цены!$B$1</f>
        <v/>
      </c>
      <c r="AL50" s="164">
        <f>AE50+AF50+AG50</f>
        <v/>
      </c>
      <c r="AM50" s="164">
        <f>AJ50-AL50</f>
        <v/>
      </c>
      <c r="AN50" s="164">
        <f>AI50+AH50+AG50+AF50+AE50</f>
        <v/>
      </c>
      <c r="AO50" s="167">
        <f>(AJ50-AN50)/AJ50</f>
        <v/>
      </c>
      <c r="AP50" s="168">
        <f>AL50/AJ50</f>
        <v/>
      </c>
      <c r="AQ50" s="168">
        <f>AE50/AJ50</f>
        <v/>
      </c>
      <c r="AR50" s="168">
        <f>AE50/AL50</f>
        <v/>
      </c>
      <c r="AS50" s="169" t="n">
        <v>1</v>
      </c>
      <c r="AT50" s="121">
        <f>S50*AS50</f>
        <v/>
      </c>
      <c r="AU50" s="83" t="n">
        <v>0.9</v>
      </c>
      <c r="AV50" s="170">
        <f>(AJ50-(AE50*(1+$IS$2)+AF50+AG50+AH50+AI50))/AJ50</f>
        <v/>
      </c>
      <c r="AW50" s="171">
        <f>(AE50*(1+$IS$2)+AF50+AG50)/AJ50</f>
        <v/>
      </c>
      <c r="AX50" s="171">
        <f>(AE50*(1+$IS$2))/AJ50</f>
        <v/>
      </c>
      <c r="AY50" s="171">
        <f>(AE50*(1+$IS$2))/(AE50*(1+$IS$2)+AF50+AG50)</f>
        <v/>
      </c>
      <c r="AZ50" s="172">
        <f>MIN(IF($AU50=100%,1,1+VLOOKUP(($AJ50-$AI50-$AH50-$AG50-$AF50-$AE50*(1+AZ$3))/$AJ50,'Технический лист'!$M:$N,2,1)-VLOOKUP($AO50,'Технический лист'!$M:$N,2,1)),1+(1-$AU50))</f>
        <v/>
      </c>
      <c r="BA50" s="172">
        <f>MIN(IF($AU50=100%,1,1+VLOOKUP(($AJ50-$AI50-$AH50-$AG50-$AF50-$AE50*(1+BA$3))/$AJ50,'Технический лист'!$M:$N,2,1)-VLOOKUP($AO50,'Технический лист'!$M:$N,2,1)),1+(1-$AU50))</f>
        <v/>
      </c>
      <c r="BB50" s="172">
        <f>MIN(IF($AU50=100%,1,1+VLOOKUP(($AJ50-$AI50-$AH50-$AG50-$AF50-$AE50*(1+BB$3))/$AJ50,'Технический лист'!$M:$N,2,1)-VLOOKUP($AO50,'Технический лист'!$M:$N,2,1)),1+(1-$AU50))</f>
        <v/>
      </c>
      <c r="BC50" s="172">
        <f>MIN(IF($AU50=100%,1,1+VLOOKUP(($AJ50-$AI50-$AH50-$AG50-$AF50-$AE50*(1+BC$3))/$AJ50,'Технический лист'!$M:$N,2,1)-VLOOKUP($AO50,'Технический лист'!$M:$N,2,1)),1+(1-$AU50))</f>
        <v/>
      </c>
      <c r="BD50" s="172">
        <f>MIN(IF($AU50=100%,1,1+VLOOKUP(($AJ50-$AI50-$AH50-$AG50-$AF50-$AE50*(1+BD$3))/$AJ50,'Технический лист'!$M:$N,2,1)-VLOOKUP($AO50,'Технический лист'!$M:$N,2,1)),1+(1-$AU50))</f>
        <v/>
      </c>
      <c r="BE50" s="172">
        <f>MIN(IF($AU50=100%,1,1+VLOOKUP(($AJ50-$AI50-$AH50-$AG50-$AF50-$AE50*(1+BE$3))/$AJ50,'Технический лист'!$M:$N,2,1)-VLOOKUP($AO50,'Технический лист'!$M:$N,2,1)),1+(1-$AU50))</f>
        <v/>
      </c>
      <c r="BF50" s="172">
        <f>MIN(IF($AU50=100%,1,1+VLOOKUP(($AJ50-$AI50-$AH50-$AG50-$AF50-$AE50*(1+BF$3))/$AJ50,'Технический лист'!$M:$N,2,1)-VLOOKUP($AO50,'Технический лист'!$M:$N,2,1)),1+(1-$AU50))</f>
        <v/>
      </c>
      <c r="BG50" s="172">
        <f>MIN(IF($AU50=100%,1,1+VLOOKUP(($AJ50-$AI50-$AH50-$AG50-$AF50-$AE50*(1+BG$3))/$AJ50,'Технический лист'!$M:$N,2,1)-VLOOKUP($AO50,'Технический лист'!$M:$N,2,1)),1+(1-$AU50))</f>
        <v/>
      </c>
      <c r="BH50" s="172">
        <f>MIN(IF($AU50=100%,1,1+VLOOKUP(($AJ50-$AI50-$AH50-$AG50-$AF50-$AE50*(1+BH$3))/$AJ50,'Технический лист'!$M:$N,2,1)-VLOOKUP($AO50,'Технический лист'!$M:$N,2,1)),1+(1-$AU50))</f>
        <v/>
      </c>
      <c r="BI50" s="172">
        <f>MIN(IF($AU50=100%,1,1+VLOOKUP(($AJ50-$AI50-$AH50-$AG50-$AF50-$AE50*(1+BI$3))/$AJ50,'Технический лист'!$M:$N,2,1)-VLOOKUP($AO50,'Технический лист'!$M:$N,2,1)),1+(1-$AU50))</f>
        <v/>
      </c>
      <c r="BJ50" s="172">
        <f>MIN(IF($AU50=100%,1,1+VLOOKUP(($AJ50-$AI50-$AH50-$AG50-$AF50-$AE50*(1+BJ$3))/$AJ50,'Технический лист'!$M:$N,2,1)-VLOOKUP($AO50,'Технический лист'!$M:$N,2,1)),1+(1-$AU50))</f>
        <v/>
      </c>
      <c r="BK50" s="172">
        <f>MIN(IF($AU50=100%,1,1+VLOOKUP(($AJ50-$AI50-$AH50-$AG50-$AF50-$AE50*(1+BK$3))/$AJ50,'Технический лист'!$M:$N,2,1)-VLOOKUP($AO50,'Технический лист'!$M:$N,2,1)),1+(1-$AU50))</f>
        <v/>
      </c>
      <c r="BL50" s="172">
        <f>MIN(IF($AU50=100%,1,1+VLOOKUP(($AJ50-$AI50-$AH50-$AG50-$AF50-$AE50*(1+BL$3))/$AJ50,'Технический лист'!$M:$N,2,1)-VLOOKUP($AO50,'Технический лист'!$M:$N,2,1)),1+(1-$AU50))</f>
        <v/>
      </c>
      <c r="BM50" s="172">
        <f>MIN(IF($AU50=100%,1,1+VLOOKUP(($AJ50-$AI50-$AH50-$AG50-$AF50-$AE50*(1+BM$3))/$AJ50,'Технический лист'!$M:$N,2,1)-VLOOKUP($AO50,'Технический лист'!$M:$N,2,1)),1+(1-$AU50))</f>
        <v/>
      </c>
      <c r="BN50" s="172">
        <f>MIN(IF($AU50=100%,1,1+VLOOKUP(($AJ50-$AI50-$AH50-$AG50-$AF50-$AE50*(1+BN$3))/$AJ50,'Технический лист'!$M:$N,2,1)-VLOOKUP($AO50,'Технический лист'!$M:$N,2,1)),1+(1-$AU50))</f>
        <v/>
      </c>
      <c r="BO50" s="172">
        <f>MIN(IF($AU50=100%,1,1+VLOOKUP(($AJ50-$AI50-$AH50-$AG50-$AF50-$AE50*(1+BO$3))/$AJ50,'Технический лист'!$M:$N,2,1)-VLOOKUP($AO50,'Технический лист'!$M:$N,2,1)),1+(1-$AU50))</f>
        <v/>
      </c>
      <c r="BP50" s="172">
        <f>MIN(IF($AU50=100%,1,1+VLOOKUP(($AJ50-$AI50-$AH50-$AG50-$AF50-$AE50*(1+BP$3))/$AJ50,'Технический лист'!$M:$N,2,1)-VLOOKUP($AO50,'Технический лист'!$M:$N,2,1)),1+(1-$AU50))</f>
        <v/>
      </c>
      <c r="BQ50" s="172">
        <f>MIN(IF($AU50=100%,1,1+VLOOKUP(($AJ50-$AI50-$AH50-$AG50-$AF50-$AE50*(1+BQ$3))/$AJ50,'Технический лист'!$M:$N,2,1)-VLOOKUP($AO50,'Технический лист'!$M:$N,2,1)),1+(1-$AU50))</f>
        <v/>
      </c>
      <c r="BR50" s="172">
        <f>MIN(IF($AU50=100%,1,1+VLOOKUP(($AJ50-$AI50-$AH50-$AG50-$AF50-$AE50*(1+BR$3))/$AJ50,'Технический лист'!$M:$N,2,1)-VLOOKUP($AO50,'Технический лист'!$M:$N,2,1)),1+(1-$AU50))</f>
        <v/>
      </c>
      <c r="BS50" s="172">
        <f>MIN(IF($AU50=100%,1,1+VLOOKUP(($AJ50-$AI50-$AH50-$AG50-$AF50-$AE50*(1+BS$3))/$AJ50,'Технический лист'!$M:$N,2,1)-VLOOKUP($AO50,'Технический лист'!$M:$N,2,1)),1+(1-$AU50))</f>
        <v/>
      </c>
      <c r="BT50" s="172">
        <f>MIN(IF($AU50=100%,1,1+VLOOKUP(($AJ50-$AI50-$AH50-$AG50-$AF50-$AE50*(1+BT$3))/$AJ50,'Технический лист'!$M:$N,2,1)-VLOOKUP($AO50,'Технический лист'!$M:$N,2,1)),1+(1-$AU50))</f>
        <v/>
      </c>
      <c r="BU50" s="172">
        <f>MIN(IF($AU50=100%,1,1+VLOOKUP(($AJ50-$AI50-$AH50-$AG50-$AF50-$AE50*(1+BU$3))/$AJ50,'Технический лист'!$M:$N,2,1)-VLOOKUP($AO50,'Технический лист'!$M:$N,2,1)),1+(1-$AU50))</f>
        <v/>
      </c>
      <c r="BV50" s="172">
        <f>MIN(IF($AU50=100%,1,1+VLOOKUP(($AJ50-$AI50-$AH50-$AG50-$AF50-$AE50*(1+BV$3))/$AJ50,'Технический лист'!$M:$N,2,1)-VLOOKUP($AO50,'Технический лист'!$M:$N,2,1)),1+(1-$AU50))</f>
        <v/>
      </c>
      <c r="BW50" s="172">
        <f>MIN(IF($AU50=100%,1,1+VLOOKUP(($AJ50-$AI50-$AH50-$AG50-$AF50-$AE50*(1+BW$3))/$AJ50,'Технический лист'!$M:$N,2,1)-VLOOKUP($AO50,'Технический лист'!$M:$N,2,1)),1+(1-$AU50))</f>
        <v/>
      </c>
      <c r="BX50" s="172">
        <f>MIN(IF($AU50=100%,1,1+VLOOKUP(($AJ50-$AI50-$AH50-$AG50-$AF50-$AE50*(1+BX$3))/$AJ50,'Технический лист'!$M:$N,2,1)-VLOOKUP($AO50,'Технический лист'!$M:$N,2,1)),1+(1-$AU50))</f>
        <v/>
      </c>
      <c r="BY50" s="172">
        <f>MIN(IF($AU50=100%,1,1+VLOOKUP(($AJ50-$AI50-$AH50-$AG50-$AF50-$AE50*(1+BY$3))/$AJ50,'Технический лист'!$M:$N,2,1)-VLOOKUP($AO50,'Технический лист'!$M:$N,2,1)),1+(1-$AU50))</f>
        <v/>
      </c>
      <c r="BZ50" s="172">
        <f>MIN(IF($AU50=100%,1,1+VLOOKUP(($AJ50-$AI50-$AH50-$AG50-$AF50-$AE50*(1+BZ$3))/$AJ50,'Технический лист'!$M:$N,2,1)-VLOOKUP($AO50,'Технический лист'!$M:$N,2,1)),1+(1-$AU50))</f>
        <v/>
      </c>
      <c r="CA50" s="172">
        <f>MIN(IF($AU50=100%,1,1+VLOOKUP(($AJ50-$AI50-$AH50-$AG50-$AF50-$AE50*(1+CA$3))/$AJ50,'Технический лист'!$M:$N,2,1)-VLOOKUP($AO50,'Технический лист'!$M:$N,2,1)),1+(1-$AU50))</f>
        <v/>
      </c>
      <c r="CB50" s="172">
        <f>MIN(IF($AU50=100%,1,1+VLOOKUP(($AJ50-$AI50-$AH50-$AG50-$AF50-$AE50*(1+CB$3))/$AJ50,'Технический лист'!$M:$N,2,1)-VLOOKUP($AO50,'Технический лист'!$M:$N,2,1)),1+(1-$AU50))</f>
        <v/>
      </c>
      <c r="CC50" s="172">
        <f>MIN(IF($AU50=100%,1,1+VLOOKUP(($AJ50-$AI50-$AH50-$AG50-$AF50-$AE50*(1+CC$3))/$AJ50,'Технический лист'!$M:$N,2,1)-VLOOKUP($AO50,'Технический лист'!$M:$N,2,1)),1+(1-$AU50))</f>
        <v/>
      </c>
      <c r="CD50" s="172">
        <f>MIN(IF($AU50=100%,1,1+VLOOKUP(($AJ50-$AI50-$AH50-$AG50-$AF50-$AE50*(1+CD$3))/$AJ50,'Технический лист'!$M:$N,2,1)-VLOOKUP($AO50,'Технический лист'!$M:$N,2,1)),1+(1-$AU50))</f>
        <v/>
      </c>
      <c r="CE50" s="172">
        <f>MIN(IF($AU50=100%,1,1+VLOOKUP(($AJ50-$AI50-$AH50-$AG50-$AF50-$AE50*(1+CE$3))/$AJ50,'Технический лист'!$M:$N,2,1)-VLOOKUP($AO50,'Технический лист'!$M:$N,2,1)),1+(1-$AU50))</f>
        <v/>
      </c>
      <c r="CF50" s="172">
        <f>MIN(IF($AU50=100%,1,1+VLOOKUP(($AJ50-$AI50-$AH50-$AG50-$AF50-$AE50*(1+CF$3))/$AJ50,'Технический лист'!$M:$N,2,1)-VLOOKUP($AO50,'Технический лист'!$M:$N,2,1)),1+(1-$AU50))</f>
        <v/>
      </c>
      <c r="CG50" s="172">
        <f>MIN(IF($AU50=100%,1,1+VLOOKUP(($AJ50-$AI50-$AH50-$AG50-$AF50-$AE50*(1+CG$3))/$AJ50,'Технический лист'!$M:$N,2,1)-VLOOKUP($AO50,'Технический лист'!$M:$N,2,1)),1+(1-$AU50))</f>
        <v/>
      </c>
      <c r="CH50" s="172">
        <f>MIN(IF($AU50=100%,1,1+VLOOKUP(($AJ50-$AI50-$AH50-$AG50-$AF50-$AE50*(1+CH$3))/$AJ50,'Технический лист'!$M:$N,2,1)-VLOOKUP($AO50,'Технический лист'!$M:$N,2,1)),1+(1-$AU50))</f>
        <v/>
      </c>
      <c r="CI50" s="172">
        <f>MIN(IF($AU50=100%,1,1+VLOOKUP(($AJ50-$AI50-$AH50-$AG50-$AF50-$AE50*(1+CI$3))/$AJ50,'Технический лист'!$M:$N,2,1)-VLOOKUP($AO50,'Технический лист'!$M:$N,2,1)),1+(1-$AU50))</f>
        <v/>
      </c>
      <c r="CJ50" s="172">
        <f>MIN(IF($AU50=100%,1,1+VLOOKUP(($AJ50-$AI50-$AH50-$AG50-$AF50-$AE50*(1+CJ$3))/$AJ50,'Технический лист'!$M:$N,2,1)-VLOOKUP($AO50,'Технический лист'!$M:$N,2,1)),1+(1-$AU50))</f>
        <v/>
      </c>
      <c r="CK50" s="172">
        <f>MIN(IF($AU50=100%,1,1+VLOOKUP(($AJ50-$AI50-$AH50-$AG50-$AF50-$AE50*(1+CK$3))/$AJ50,'Технический лист'!$M:$N,2,1)-VLOOKUP($AO50,'Технический лист'!$M:$N,2,1)),1+(1-$AU50))</f>
        <v/>
      </c>
      <c r="CL50" s="172">
        <f>MIN(IF($AU50=100%,1,1+VLOOKUP(($AJ50-$AI50-$AH50-$AG50-$AF50-$AE50*(1+CL$3))/$AJ50,'Технический лист'!$M:$N,2,1)-VLOOKUP($AO50,'Технический лист'!$M:$N,2,1)),1+(1-$AU50))</f>
        <v/>
      </c>
      <c r="CM50" s="172">
        <f>MIN(IF($AU50=100%,1,1+VLOOKUP(($AJ50-$AI50-$AH50-$AG50-$AF50-$AE50*(1+CM$3))/$AJ50,'Технический лист'!$M:$N,2,1)-VLOOKUP($AO50,'Технический лист'!$M:$N,2,1)),1+(1-$AU50))</f>
        <v/>
      </c>
      <c r="CN50" s="172">
        <f>MIN(IF($AU50=100%,1,1+VLOOKUP(($AJ50-$AI50-$AH50-$AG50-$AF50-$AE50*(1+CN$3))/$AJ50,'Технический лист'!$M:$N,2,1)-VLOOKUP($AO50,'Технический лист'!$M:$N,2,1)),1+(1-$AU50))</f>
        <v/>
      </c>
      <c r="CO50" s="172">
        <f>MIN(IF($AU50=100%,1,1+VLOOKUP(($AJ50-$AI50-$AH50-$AG50-$AF50-$AE50*(1+CO$3))/$AJ50,'Технический лист'!$M:$N,2,1)-VLOOKUP($AO50,'Технический лист'!$M:$N,2,1)),1+(1-$AU50))</f>
        <v/>
      </c>
      <c r="CP50" s="172">
        <f>MIN(IF($AU50=100%,1,1+VLOOKUP(($AJ50-$AI50-$AH50-$AG50-$AF50-$AE50*(1+CP$3))/$AJ50,'Технический лист'!$M:$N,2,1)-VLOOKUP($AO50,'Технический лист'!$M:$N,2,1)),1+(1-$AU50))</f>
        <v/>
      </c>
      <c r="CQ50" s="172">
        <f>MIN(IF($AU50=100%,1,1+VLOOKUP(($AJ50-$AI50-$AH50-$AG50-$AF50-$AE50*(1+CQ$3))/$AJ50,'Технический лист'!$M:$N,2,1)-VLOOKUP($AO50,'Технический лист'!$M:$N,2,1)),1+(1-$AU50))</f>
        <v/>
      </c>
      <c r="CR50" s="172">
        <f>MIN(IF($AU50=100%,1,1+VLOOKUP(($AJ50-$AI50-$AH50-$AG50-$AF50-$AE50*(1+CR$3))/$AJ50,'Технический лист'!$M:$N,2,1)-VLOOKUP($AO50,'Технический лист'!$M:$N,2,1)),1+(1-$AU50))</f>
        <v/>
      </c>
      <c r="CS50" s="172">
        <f>MIN(IF($AU50=100%,1,1+VLOOKUP(($AJ50-$AI50-$AH50-$AG50-$AF50-$AE50*(1+CS$3))/$AJ50,'Технический лист'!$M:$N,2,1)-VLOOKUP($AO50,'Технический лист'!$M:$N,2,1)),1+(1-$AU50))</f>
        <v/>
      </c>
      <c r="CT50" s="172">
        <f>MIN(IF($AU50=100%,1,1+VLOOKUP(($AJ50-$AI50-$AH50-$AG50-$AF50-$AE50*(1+CT$3))/$AJ50,'Технический лист'!$M:$N,2,1)-VLOOKUP($AO50,'Технический лист'!$M:$N,2,1)),1+(1-$AU50))</f>
        <v/>
      </c>
      <c r="CU50" s="172">
        <f>MIN(IF($AU50=100%,1,1+VLOOKUP(($AJ50-$AI50-$AH50-$AG50-$AF50-$AE50*(1+CU$3))/$AJ50,'Технический лист'!$M:$N,2,1)-VLOOKUP($AO50,'Технический лист'!$M:$N,2,1)),1+(1-$AU50))</f>
        <v/>
      </c>
      <c r="CV50" s="172">
        <f>MIN(IF($AU50=100%,1,1+VLOOKUP(($AJ50-$AI50-$AH50-$AG50-$AF50-$AE50*(1+CV$3))/$AJ50,'Технический лист'!$M:$N,2,1)-VLOOKUP($AO50,'Технический лист'!$M:$N,2,1)),1+(1-$AU50))</f>
        <v/>
      </c>
      <c r="CW50" s="172">
        <f>MIN(IF($AU50=100%,1,1+VLOOKUP(($AJ50-$AI50-$AH50-$AG50-$AF50-$AE50*(1+CW$3))/$AJ50,'Технический лист'!$M:$N,2,1)-VLOOKUP($AO50,'Технический лист'!$M:$N,2,1)),1+(1-$AU50))</f>
        <v/>
      </c>
      <c r="CX50" s="172">
        <f>MIN(IF($AU50=100%,1,1+VLOOKUP(($AJ50-$AI50-$AH50-$AG50-$AF50-$AE50*(1+CX$3))/$AJ50,'Технический лист'!$M:$N,2,1)-VLOOKUP($AO50,'Технический лист'!$M:$N,2,1)),1+(1-$AU50))</f>
        <v/>
      </c>
      <c r="CY50" s="172">
        <f>MIN(IF($AU50=100%,1,1+VLOOKUP(($AJ50-$AI50-$AH50-$AG50-$AF50-$AE50*(1+CY$3))/$AJ50,'Технический лист'!$M:$N,2,1)-VLOOKUP($AO50,'Технический лист'!$M:$N,2,1)),1+(1-$AU50))</f>
        <v/>
      </c>
      <c r="CZ50" s="172">
        <f>MIN(IF($AU50=100%,1,1+VLOOKUP(($AJ50-$AI50-$AH50-$AG50-$AF50-$AE50*(1+CZ$3))/$AJ50,'Технический лист'!$M:$N,2,1)-VLOOKUP($AO50,'Технический лист'!$M:$N,2,1)),1+(1-$AU50))</f>
        <v/>
      </c>
      <c r="DA50" s="172">
        <f>MIN(IF($AU50=100%,1,1+VLOOKUP(($AJ50-$AI50-$AH50-$AG50-$AF50-$AE50*(1+DA$3))/$AJ50,'Технический лист'!$M:$N,2,1)-VLOOKUP($AO50,'Технический лист'!$M:$N,2,1)),1+(1-$AU50))</f>
        <v/>
      </c>
      <c r="DB50" s="172">
        <f>MIN(IF($AU50=100%,1,1+VLOOKUP(($AJ50-$AI50-$AH50-$AG50-$AF50-$AE50*(1+DB$3))/$AJ50,'Технический лист'!$M:$N,2,1)-VLOOKUP($AO50,'Технический лист'!$M:$N,2,1)),1+(1-$AU50))</f>
        <v/>
      </c>
      <c r="DC50" s="172">
        <f>MIN(IF($AU50=100%,1,1+VLOOKUP(($AJ50-$AI50-$AH50-$AG50-$AF50-$AE50*(1+DC$3))/$AJ50,'Технический лист'!$M:$N,2,1)-VLOOKUP($AO50,'Технический лист'!$M:$N,2,1)),1+(1-$AU50))</f>
        <v/>
      </c>
      <c r="DD50" s="172">
        <f>MIN(IF($AU50=100%,1,1+VLOOKUP(($AJ50-$AI50-$AH50-$AG50-$AF50-$AE50*(1+DD$3))/$AJ50,'Технический лист'!$M:$N,2,1)-VLOOKUP($AO50,'Технический лист'!$M:$N,2,1)),1+(1-$AU50))</f>
        <v/>
      </c>
      <c r="DE50" s="172">
        <f>MIN(IF($AU50=100%,1,1+VLOOKUP(($AJ50-$AI50-$AH50-$AG50-$AF50-$AE50*(1+DE$3))/$AJ50,'Технический лист'!$M:$N,2,1)-VLOOKUP($AO50,'Технический лист'!$M:$N,2,1)),1+(1-$AU50))</f>
        <v/>
      </c>
      <c r="DF50" s="172">
        <f>MIN(IF($AU50=100%,1,1+VLOOKUP(($AJ50-$AI50-$AH50-$AG50-$AF50-$AE50*(1+DF$3))/$AJ50,'Технический лист'!$M:$N,2,1)-VLOOKUP($AO50,'Технический лист'!$M:$N,2,1)),1+(1-$AU50))</f>
        <v/>
      </c>
      <c r="DG50" s="172">
        <f>MIN(IF($AU50=100%,1,1+VLOOKUP(($AJ50-$AI50-$AH50-$AG50-$AF50-$AE50*(1+DG$3))/$AJ50,'Технический лист'!$M:$N,2,1)-VLOOKUP($AO50,'Технический лист'!$M:$N,2,1)),1+(1-$AU50))</f>
        <v/>
      </c>
      <c r="DH50" s="172">
        <f>MIN(IF($AU50=100%,1,1+VLOOKUP(($AJ50-$AI50-$AH50-$AG50-$AF50-$AE50*(1+DH$3))/$AJ50,'Технический лист'!$M:$N,2,1)-VLOOKUP($AO50,'Технический лист'!$M:$N,2,1)),1+(1-$AU50))</f>
        <v/>
      </c>
      <c r="DI50" s="172">
        <f>MIN(IF($AU50=100%,1,1+VLOOKUP(($AJ50-$AI50-$AH50-$AG50-$AF50-$AE50*(1+DI$3))/$AJ50,'Технический лист'!$M:$N,2,1)-VLOOKUP($AO50,'Технический лист'!$M:$N,2,1)),1+(1-$AU50))</f>
        <v/>
      </c>
      <c r="DJ50" s="172">
        <f>MIN(IF($AU50=100%,1,1+VLOOKUP(($AJ50-$AI50-$AH50-$AG50-$AF50-$AE50*(1+DJ$3))/$AJ50,'Технический лист'!$M:$N,2,1)-VLOOKUP($AO50,'Технический лист'!$M:$N,2,1)),1+(1-$AU50))</f>
        <v/>
      </c>
      <c r="DK50" s="172">
        <f>MIN(IF($AU50=100%,1,1+VLOOKUP(($AJ50-$AI50-$AH50-$AG50-$AF50-$AE50*(1+DK$3))/$AJ50,'Технический лист'!$M:$N,2,1)-VLOOKUP($AO50,'Технический лист'!$M:$N,2,1)),1+(1-$AU50))</f>
        <v/>
      </c>
      <c r="DL50" s="172">
        <f>MIN(IF($AU50=100%,1,1+VLOOKUP(($AJ50-$AI50-$AH50-$AG50-$AF50-$AE50*(1+DL$3))/$AJ50,'Технический лист'!$M:$N,2,1)-VLOOKUP($AO50,'Технический лист'!$M:$N,2,1)),1+(1-$AU50))</f>
        <v/>
      </c>
      <c r="DM50" s="172">
        <f>MIN(IF($AU50=100%,1,1+VLOOKUP(($AJ50-$AI50-$AH50-$AG50-$AF50-$AE50*(1+DM$3))/$AJ50,'Технический лист'!$M:$N,2,1)-VLOOKUP($AO50,'Технический лист'!$M:$N,2,1)),1+(1-$AU50))</f>
        <v/>
      </c>
      <c r="DN50" s="172">
        <f>MIN(IF($AU50=100%,1,1+VLOOKUP(($AJ50-$AI50-$AH50-$AG50-$AF50-$AE50*(1+DN$3))/$AJ50,'Технический лист'!$M:$N,2,1)-VLOOKUP($AO50,'Технический лист'!$M:$N,2,1)),1+(1-$AU50))</f>
        <v/>
      </c>
      <c r="DO50" s="172">
        <f>MIN(IF($AU50=100%,1,1+VLOOKUP(($AJ50-$AI50-$AH50-$AG50-$AF50-$AE50*(1+DO$3))/$AJ50,'Технический лист'!$M:$N,2,1)-VLOOKUP($AO50,'Технический лист'!$M:$N,2,1)),1+(1-$AU50))</f>
        <v/>
      </c>
      <c r="DP50" s="172">
        <f>MIN(IF($AU50=100%,1,1+VLOOKUP(($AJ50-$AI50-$AH50-$AG50-$AF50-$AE50*(1+DP$3))/$AJ50,'Технический лист'!$M:$N,2,1)-VLOOKUP($AO50,'Технический лист'!$M:$N,2,1)),1+(1-$AU50))</f>
        <v/>
      </c>
      <c r="DQ50" s="172">
        <f>MIN(IF($AU50=100%,1,1+VLOOKUP(($AJ50-$AI50-$AH50-$AG50-$AF50-$AE50*(1+DQ$3))/$AJ50,'Технический лист'!$M:$N,2,1)-VLOOKUP($AO50,'Технический лист'!$M:$N,2,1)),1+(1-$AU50))</f>
        <v/>
      </c>
      <c r="DR50" s="172">
        <f>MIN(IF($AU50=100%,1,1+VLOOKUP(($AJ50-$AI50-$AH50-$AG50-$AF50-$AE50*(1+DR$3))/$AJ50,'Технический лист'!$M:$N,2,1)-VLOOKUP($AO50,'Технический лист'!$M:$N,2,1)),1+(1-$AU50))</f>
        <v/>
      </c>
      <c r="DS50" s="172">
        <f>MIN(IF($AU50=100%,1,1+VLOOKUP(($AJ50-$AI50-$AH50-$AG50-$AF50-$AE50*(1+DS$3))/$AJ50,'Технический лист'!$M:$N,2,1)-VLOOKUP($AO50,'Технический лист'!$M:$N,2,1)),1+(1-$AU50))</f>
        <v/>
      </c>
      <c r="DT50" s="172">
        <f>MIN(IF($AU50=100%,1,1+VLOOKUP(($AJ50-$AI50-$AH50-$AG50-$AF50-$AE50*(1+DT$3))/$AJ50,'Технический лист'!$M:$N,2,1)-VLOOKUP($AO50,'Технический лист'!$M:$N,2,1)),1+(1-$AU50))</f>
        <v/>
      </c>
      <c r="DU50" s="172">
        <f>MIN(IF($AU50=100%,1,1+VLOOKUP(($AJ50-$AI50-$AH50-$AG50-$AF50-$AE50*(1+DU$3))/$AJ50,'Технический лист'!$M:$N,2,1)-VLOOKUP($AO50,'Технический лист'!$M:$N,2,1)),1+(1-$AU50))</f>
        <v/>
      </c>
      <c r="DV50" s="172">
        <f>MIN(IF($AU50=100%,1,1+VLOOKUP(($AJ50-$AI50-$AH50-$AG50-$AF50-$AE50*(1+DV$3))/$AJ50,'Технический лист'!$M:$N,2,1)-VLOOKUP($AO50,'Технический лист'!$M:$N,2,1)),1+(1-$AU50))</f>
        <v/>
      </c>
      <c r="DW50" s="172">
        <f>MIN(IF($AU50=100%,1,1+VLOOKUP(($AJ50-$AI50-$AH50-$AG50-$AF50-$AE50*(1+DW$3))/$AJ50,'Технический лист'!$M:$N,2,1)-VLOOKUP($AO50,'Технический лист'!$M:$N,2,1)),1+(1-$AU50))</f>
        <v/>
      </c>
      <c r="DX50" s="172">
        <f>MIN(IF($AU50=100%,1,1+VLOOKUP(($AJ50-$AI50-$AH50-$AG50-$AF50-$AE50*(1+DX$3))/$AJ50,'Технический лист'!$M:$N,2,1)-VLOOKUP($AO50,'Технический лист'!$M:$N,2,1)),1+(1-$AU50))</f>
        <v/>
      </c>
      <c r="DY50" s="172">
        <f>MIN(IF($AU50=100%,1,1+VLOOKUP(($AJ50-$AI50-$AH50-$AG50-$AF50-$AE50*(1+DY$3))/$AJ50,'Технический лист'!$M:$N,2,1)-VLOOKUP($AO50,'Технический лист'!$M:$N,2,1)),1+(1-$AU50))</f>
        <v/>
      </c>
      <c r="DZ50" s="172">
        <f>MIN(IF($AU50=100%,1,1+VLOOKUP(($AJ50-$AI50-$AH50-$AG50-$AF50-$AE50*(1+DZ$3))/$AJ50,'Технический лист'!$M:$N,2,1)-VLOOKUP($AO50,'Технический лист'!$M:$N,2,1)),1+(1-$AU50))</f>
        <v/>
      </c>
      <c r="EA50" s="172">
        <f>MIN(IF($AU50=100%,1,1+VLOOKUP(($AJ50-$AI50-$AH50-$AG50-$AF50-$AE50*(1+EA$3))/$AJ50,'Технический лист'!$M:$N,2,1)-VLOOKUP($AO50,'Технический лист'!$M:$N,2,1)),1+(1-$AU50))</f>
        <v/>
      </c>
      <c r="EB50" s="172">
        <f>MIN(IF($AU50=100%,1,1+VLOOKUP(($AJ50-$AI50-$AH50-$AG50-$AF50-$AE50*(1+EB$3))/$AJ50,'Технический лист'!$M:$N,2,1)-VLOOKUP($AO50,'Технический лист'!$M:$N,2,1)),1+(1-$AU50))</f>
        <v/>
      </c>
      <c r="EC50" s="172">
        <f>MIN(IF($AU50=100%,1,1+VLOOKUP(($AJ50-$AI50-$AH50-$AG50-$AF50-$AE50*(1+EC$3))/$AJ50,'Технический лист'!$M:$N,2,1)-VLOOKUP($AO50,'Технический лист'!$M:$N,2,1)),1+(1-$AU50))</f>
        <v/>
      </c>
      <c r="ED50" s="172">
        <f>MIN(IF($AU50=100%,1,1+VLOOKUP(($AJ50-$AI50-$AH50-$AG50-$AF50-$AE50*(1+ED$3))/$AJ50,'Технический лист'!$M:$N,2,1)-VLOOKUP($AO50,'Технический лист'!$M:$N,2,1)),1+(1-$AU50))</f>
        <v/>
      </c>
      <c r="EE50" s="172">
        <f>MIN(IF($AU50=100%,1,1+VLOOKUP(($AJ50-$AI50-$AH50-$AG50-$AF50-$AE50*(1+EE$3))/$AJ50,'Технический лист'!$M:$N,2,1)-VLOOKUP($AO50,'Технический лист'!$M:$N,2,1)),1+(1-$AU50))</f>
        <v/>
      </c>
      <c r="EF50" s="172">
        <f>MIN(IF($AU50=100%,1,1+VLOOKUP(($AJ50-$AI50-$AH50-$AG50-$AF50-$AE50*(1+EF$3))/$AJ50,'Технический лист'!$M:$N,2,1)-VLOOKUP($AO50,'Технический лист'!$M:$N,2,1)),1+(1-$AU50))</f>
        <v/>
      </c>
      <c r="EG50" s="172">
        <f>MIN(IF($AU50=100%,1,1+VLOOKUP(($AJ50-$AI50-$AH50-$AG50-$AF50-$AE50*(1+EG$3))/$AJ50,'Технический лист'!$M:$N,2,1)-VLOOKUP($AO50,'Технический лист'!$M:$N,2,1)),1+(1-$AU50))</f>
        <v/>
      </c>
      <c r="EH50" s="172">
        <f>MIN(IF($AU50=100%,1,1+VLOOKUP(($AJ50-$AI50-$AH50-$AG50-$AF50-$AE50*(1+EH$3))/$AJ50,'Технический лист'!$M:$N,2,1)-VLOOKUP($AO50,'Технический лист'!$M:$N,2,1)),1+(1-$AU50))</f>
        <v/>
      </c>
      <c r="EI50" s="172">
        <f>MIN(IF($AU50=100%,1,1+VLOOKUP(($AJ50-$AI50-$AH50-$AG50-$AF50-$AE50*(1+EI$3))/$AJ50,'Технический лист'!$M:$N,2,1)-VLOOKUP($AO50,'Технический лист'!$M:$N,2,1)),1+(1-$AU50))</f>
        <v/>
      </c>
      <c r="EJ50" s="172">
        <f>MIN(IF($AU50=100%,1,1+VLOOKUP(($AJ50-$AI50-$AH50-$AG50-$AF50-$AE50*(1+EJ$3))/$AJ50,'Технический лист'!$M:$N,2,1)-VLOOKUP($AO50,'Технический лист'!$M:$N,2,1)),1+(1-$AU50))</f>
        <v/>
      </c>
      <c r="EK50" s="172">
        <f>MIN(IF($AU50=100%,1,1+VLOOKUP(($AJ50-$AI50-$AH50-$AG50-$AF50-$AE50*(1+EK$3))/$AJ50,'Технический лист'!$M:$N,2,1)-VLOOKUP($AO50,'Технический лист'!$M:$N,2,1)),1+(1-$AU50))</f>
        <v/>
      </c>
      <c r="EL50" s="172">
        <f>MIN(IF($AU50=100%,1,1+VLOOKUP(($AJ50-$AI50-$AH50-$AG50-$AF50-$AE50*(1+EL$3))/$AJ50,'Технический лист'!$M:$N,2,1)-VLOOKUP($AO50,'Технический лист'!$M:$N,2,1)),1+(1-$AU50))</f>
        <v/>
      </c>
      <c r="EM50" s="172">
        <f>MIN(IF($AU50=100%,1,1+VLOOKUP(($AJ50-$AI50-$AH50-$AG50-$AF50-$AE50*(1+EM$3))/$AJ50,'Технический лист'!$M:$N,2,1)-VLOOKUP($AO50,'Технический лист'!$M:$N,2,1)),1+(1-$AU50))</f>
        <v/>
      </c>
      <c r="EN50" s="172">
        <f>MIN(IF($AU50=100%,1,1+VLOOKUP(($AJ50-$AI50-$AH50-$AG50-$AF50-$AE50*(1+EN$3))/$AJ50,'Технический лист'!$M:$N,2,1)-VLOOKUP($AO50,'Технический лист'!$M:$N,2,1)),1+(1-$AU50))</f>
        <v/>
      </c>
      <c r="EO50" s="172">
        <f>MIN(IF($AU50=100%,1,1+VLOOKUP(($AJ50-$AI50-$AH50-$AG50-$AF50-$AE50*(1+EO$3))/$AJ50,'Технический лист'!$M:$N,2,1)-VLOOKUP($AO50,'Технический лист'!$M:$N,2,1)),1+(1-$AU50))</f>
        <v/>
      </c>
      <c r="EP50" s="172">
        <f>MIN(IF($AU50=100%,1,1+VLOOKUP(($AJ50-$AI50-$AH50-$AG50-$AF50-$AE50*(1+EP$3))/$AJ50,'Технический лист'!$M:$N,2,1)-VLOOKUP($AO50,'Технический лист'!$M:$N,2,1)),1+(1-$AU50))</f>
        <v/>
      </c>
      <c r="EQ50" s="172">
        <f>MIN(IF($AU50=100%,1,1+VLOOKUP(($AJ50-$AI50-$AH50-$AG50-$AF50-$AE50*(1+EQ$3))/$AJ50,'Технический лист'!$M:$N,2,1)-VLOOKUP($AO50,'Технический лист'!$M:$N,2,1)),1+(1-$AU50))</f>
        <v/>
      </c>
      <c r="ER50" s="172">
        <f>MIN(IF($AU50=100%,1,1+VLOOKUP(($AJ50-$AI50-$AH50-$AG50-$AF50-$AE50*(1+ER$3))/$AJ50,'Технический лист'!$M:$N,2,1)-VLOOKUP($AO50,'Технический лист'!$M:$N,2,1)),1+(1-$AU50))</f>
        <v/>
      </c>
      <c r="ES50" s="172">
        <f>MIN(IF($AU50=100%,1,1+VLOOKUP(($AJ50-$AI50-$AH50-$AG50-$AF50-$AE50*(1+ES$3))/$AJ50,'Технический лист'!$M:$N,2,1)-VLOOKUP($AO50,'Технический лист'!$M:$N,2,1)),1+(1-$AU50))</f>
        <v/>
      </c>
      <c r="ET50" s="172">
        <f>MIN(IF($AU50=100%,1,1+VLOOKUP(($AJ50-$AI50-$AH50-$AG50-$AF50-$AE50*(1+ET$3))/$AJ50,'Технический лист'!$M:$N,2,1)-VLOOKUP($AO50,'Технический лист'!$M:$N,2,1)),1+(1-$AU50))</f>
        <v/>
      </c>
      <c r="EU50" s="172">
        <f>MIN(IF($AU50=100%,1,1+VLOOKUP(($AJ50-$AI50-$AH50-$AG50-$AF50-$AE50*(1+EU$3))/$AJ50,'Технический лист'!$M:$N,2,1)-VLOOKUP($AO50,'Технический лист'!$M:$N,2,1)),1+(1-$AU50))</f>
        <v/>
      </c>
      <c r="EV50" s="173" t="n">
        <v>1</v>
      </c>
      <c r="EW50" s="172">
        <f>MIN(1,MAX(VLOOKUP(($AJ50-$AI50-$AH50-$AG50-$AF50-$AE50*(1+EW$3))/$AJ50,'Технический лист'!$M:$N,2,1),(EV50-0.05)))</f>
        <v/>
      </c>
      <c r="EX50" s="172">
        <f>MIN(1,MAX(VLOOKUP(($AJ50-$AI50-$AH50-$AG50-$AF50-$AE50*(1+EX$3))/$AJ50,'Технический лист'!$M:$N,2,1),(EW50-0.05)))</f>
        <v/>
      </c>
      <c r="EY50" s="172">
        <f>MIN(1,MAX(VLOOKUP(($AJ50-$AI50-$AH50-$AG50-$AF50-$AE50*(1+EY$3))/$AJ50,'Технический лист'!$M:$N,2,1),(EX50-0.05)))</f>
        <v/>
      </c>
      <c r="EZ50" s="172">
        <f>MIN(1,MAX(VLOOKUP(($AJ50-$AI50-$AH50-$AG50-$AF50-$AE50*(1+EZ$3))/$AJ50,'Технический лист'!$M:$N,2,1),(EY50-0.05)))</f>
        <v/>
      </c>
      <c r="FA50" s="172">
        <f>MIN(1,MAX(VLOOKUP(($AJ50-$AI50-$AH50-$AG50-$AF50-$AE50*(1+FA$3))/$AJ50,'Технический лист'!$M:$N,2,1),(EZ50-0.05)))</f>
        <v/>
      </c>
      <c r="FB50" s="172">
        <f>MIN(1,MAX(VLOOKUP(($AJ50-$AI50-$AH50-$AG50-$AF50-$AE50*(1+FB$3))/$AJ50,'Технический лист'!$M:$N,2,1),(FA50-0.05)))</f>
        <v/>
      </c>
      <c r="FC50" s="172">
        <f>MIN(1,MAX(VLOOKUP(($AJ50-$AI50-$AH50-$AG50-$AF50-$AE50*(1+FC$3))/$AJ50,'Технический лист'!$M:$N,2,1),(FB50-0.05)))</f>
        <v/>
      </c>
      <c r="FD50" s="172">
        <f>MIN(1,MAX(VLOOKUP(($AJ50-$AI50-$AH50-$AG50-$AF50-$AE50*(1+FD$3))/$AJ50,'Технический лист'!$M:$N,2,1),(FC50-0.05)))</f>
        <v/>
      </c>
      <c r="FE50" s="172">
        <f>MIN(1,MAX(VLOOKUP(($AJ50-$AI50-$AH50-$AG50-$AF50-$AE50*(1+FE$3))/$AJ50,'Технический лист'!$M:$N,2,1),(FD50-0.05)))</f>
        <v/>
      </c>
      <c r="FF50" s="172">
        <f>MIN(1,MAX(VLOOKUP(($AJ50-$AI50-$AH50-$AG50-$AF50-$AE50*(1+FF$3))/$AJ50,'Технический лист'!$M:$N,2,1),(FE50-0.05)))</f>
        <v/>
      </c>
      <c r="FG50" s="172">
        <f>MIN(1,MAX(VLOOKUP(($AJ50-$AI50-$AH50-$AG50-$AF50-$AE50*(1+FG$3))/$AJ50,'Технический лист'!$M:$N,2,1),(FF50-0.05)))</f>
        <v/>
      </c>
      <c r="FH50" s="172">
        <f>MIN(1,MAX(VLOOKUP(($AJ50-$AI50-$AH50-$AG50-$AF50-$AE50*(1+FH$3))/$AJ50,'Технический лист'!$M:$N,2,1),(FG50-0.05)))</f>
        <v/>
      </c>
      <c r="FI50" s="172">
        <f>MIN(1,MAX(VLOOKUP(($AJ50-$AI50-$AH50-$AG50-$AF50-$AE50*(1+FI$3))/$AJ50,'Технический лист'!$M:$N,2,1),(FH50-0.05)))</f>
        <v/>
      </c>
      <c r="FJ50" s="172">
        <f>MIN(1,MAX(VLOOKUP(($AJ50-$AI50-$AH50-$AG50-$AF50-$AE50*(1+FJ$3))/$AJ50,'Технический лист'!$M:$N,2,1),(FI50-0.05)))</f>
        <v/>
      </c>
      <c r="FK50" s="172">
        <f>MIN(1,MAX(VLOOKUP(($AJ50-$AI50-$AH50-$AG50-$AF50-$AE50*(1+FK$3))/$AJ50,'Технический лист'!$M:$N,2,1),(FJ50-0.05)))</f>
        <v/>
      </c>
      <c r="FL50" s="172">
        <f>MIN(1,MAX(VLOOKUP(($AJ50-$AI50-$AH50-$AG50-$AF50-$AE50*(1+FL$3))/$AJ50,'Технический лист'!$M:$N,2,1),(FK50-0.05)))</f>
        <v/>
      </c>
      <c r="FM50" s="172">
        <f>MIN(1,MAX(VLOOKUP(($AJ50-$AI50-$AH50-$AG50-$AF50-$AE50*(1+FM$3))/$AJ50,'Технический лист'!$M:$N,2,1),(FL50-0.05)))</f>
        <v/>
      </c>
      <c r="FN50" s="172">
        <f>MIN(1,MAX(VLOOKUP(($AJ50-$AI50-$AH50-$AG50-$AF50-$AE50*(1+FN$3))/$AJ50,'Технический лист'!$M:$N,2,1),(FM50-0.05)))</f>
        <v/>
      </c>
      <c r="FO50" s="172">
        <f>MIN(1,MAX(VLOOKUP(($AJ50-$AI50-$AH50-$AG50-$AF50-$AE50*(1+FO$3))/$AJ50,'Технический лист'!$M:$N,2,1),(FN50-0.05)))</f>
        <v/>
      </c>
      <c r="FP50" s="172">
        <f>MIN(1,MAX(VLOOKUP(($AJ50-$AI50-$AH50-$AG50-$AF50-$AE50*(1+FP$3))/$AJ50,'Технический лист'!$M:$N,2,1),(FO50-0.05)))</f>
        <v/>
      </c>
      <c r="FQ50" s="172">
        <f>MIN(1,MAX(VLOOKUP(($AJ50-$AI50-$AH50-$AG50-$AF50-$AE50*(1+FQ$3))/$AJ50,'Технический лист'!$M:$N,2,1),(FP50-0.05)))</f>
        <v/>
      </c>
      <c r="FR50" s="172">
        <f>MIN(1,MAX(VLOOKUP(($AJ50-$AI50-$AH50-$AG50-$AF50-$AE50*(1+FR$3))/$AJ50,'Технический лист'!$M:$N,2,1),(FQ50-0.05)))</f>
        <v/>
      </c>
      <c r="FS50" s="172">
        <f>MIN(1,MAX(VLOOKUP(($AJ50-$AI50-$AH50-$AG50-$AF50-$AE50*(1+FS$3))/$AJ50,'Технический лист'!$M:$N,2,1),(FR50-0.05)))</f>
        <v/>
      </c>
      <c r="FT50" s="172">
        <f>MIN(1,MAX(VLOOKUP(($AJ50-$AI50-$AH50-$AG50-$AF50-$AE50*(1+FT$3))/$AJ50,'Технический лист'!$M:$N,2,1),(FS50-0.05)))</f>
        <v/>
      </c>
      <c r="FU50" s="172">
        <f>MIN(1,MAX(VLOOKUP(($AJ50-$AI50-$AH50-$AG50-$AF50-$AE50*(1+FU$3))/$AJ50,'Технический лист'!$M:$N,2,1),(FT50-0.05)))</f>
        <v/>
      </c>
      <c r="FV50" s="172">
        <f>MIN(1,MAX(VLOOKUP(($AJ50-$AI50-$AH50-$AG50-$AF50-$AE50*(1+FV$3))/$AJ50,'Технический лист'!$M:$N,2,1),(FU50-0.05)))</f>
        <v/>
      </c>
      <c r="FW50" s="172">
        <f>MIN(1,MAX(VLOOKUP(($AJ50-$AI50-$AH50-$AG50-$AF50-$AE50*(1+FW$3))/$AJ50,'Технический лист'!$M:$N,2,1),(FV50-0.05)))</f>
        <v/>
      </c>
      <c r="FX50" s="172">
        <f>MIN(1,MAX(VLOOKUP(($AJ50-$AI50-$AH50-$AG50-$AF50-$AE50*(1+FX$3))/$AJ50,'Технический лист'!$M:$N,2,1),(FW50-0.05)))</f>
        <v/>
      </c>
      <c r="FY50" s="172">
        <f>MIN(1,MAX(VLOOKUP(($AJ50-$AI50-$AH50-$AG50-$AF50-$AE50*(1+FY$3))/$AJ50,'Технический лист'!$M:$N,2,1),(FX50-0.05)))</f>
        <v/>
      </c>
      <c r="FZ50" s="172">
        <f>MIN(1,MAX(VLOOKUP(($AJ50-$AI50-$AH50-$AG50-$AF50-$AE50*(1+FZ$3))/$AJ50,'Технический лист'!$M:$N,2,1),(FY50-0.05)))</f>
        <v/>
      </c>
      <c r="GA50" s="172">
        <f>MIN(1,MAX(VLOOKUP(($AJ50-$AI50-$AH50-$AG50-$AF50-$AE50*(1+GA$3))/$AJ50,'Технический лист'!$M:$N,2,1),(FZ50-0.05)))</f>
        <v/>
      </c>
      <c r="GB50" s="172">
        <f>MIN(1,MAX(VLOOKUP(($AJ50-$AI50-$AH50-$AG50-$AF50-$AE50*(1+GB$3))/$AJ50,'Технический лист'!$M:$N,2,1),(GA50-0.05)))</f>
        <v/>
      </c>
      <c r="GC50" s="172">
        <f>MIN(1,MAX(VLOOKUP(($AJ50-$AI50-$AH50-$AG50-$AF50-$AE50*(1+GC$3))/$AJ50,'Технический лист'!$M:$N,2,1),(GB50-0.05)))</f>
        <v/>
      </c>
      <c r="GD50" s="172">
        <f>MIN(1,MAX(VLOOKUP(($AJ50-$AI50-$AH50-$AG50-$AF50-$AE50*(1+GD$3))/$AJ50,'Технический лист'!$M:$N,2,1),(GC50-0.05)))</f>
        <v/>
      </c>
      <c r="GE50" s="172">
        <f>MIN(1,MAX(VLOOKUP(($AJ50-$AI50-$AH50-$AG50-$AF50-$AE50*(1+GE$3))/$AJ50,'Технический лист'!$M:$N,2,1),(GD50-0.05)))</f>
        <v/>
      </c>
      <c r="GF50" s="172">
        <f>MIN(1,MAX(VLOOKUP(($AJ50-$AI50-$AH50-$AG50-$AF50-$AE50*(1+GF$3))/$AJ50,'Технический лист'!$M:$N,2,1),(GE50-0.05)))</f>
        <v/>
      </c>
      <c r="GG50" s="172">
        <f>MIN(1,MAX(VLOOKUP(($AJ50-$AI50-$AH50-$AG50-$AF50-$AE50*(1+GG$3))/$AJ50,'Технический лист'!$M:$N,2,1),(GF50-0.05)))</f>
        <v/>
      </c>
      <c r="GH50" s="172">
        <f>MIN(1,MAX(VLOOKUP(($AJ50-$AI50-$AH50-$AG50-$AF50-$AE50*(1+GH$3))/$AJ50,'Технический лист'!$M:$N,2,1),(GG50-0.05)))</f>
        <v/>
      </c>
      <c r="GI50" s="172">
        <f>MIN(1,MAX(VLOOKUP(($AJ50-$AI50-$AH50-$AG50-$AF50-$AE50*(1+GI$3))/$AJ50,'Технический лист'!$M:$N,2,1),(GH50-0.05)))</f>
        <v/>
      </c>
      <c r="GJ50" s="172">
        <f>MIN(1,MAX(VLOOKUP(($AJ50-$AI50-$AH50-$AG50-$AF50-$AE50*(1+GJ$3))/$AJ50,'Технический лист'!$M:$N,2,1),(GI50-0.05)))</f>
        <v/>
      </c>
      <c r="GK50" s="172">
        <f>MIN(1,MAX(VLOOKUP(($AJ50-$AI50-$AH50-$AG50-$AF50-$AE50*(1+GK$3))/$AJ50,'Технический лист'!$M:$N,2,1),(GJ50-0.05)))</f>
        <v/>
      </c>
      <c r="GL50" s="172">
        <f>MIN(1,MAX(VLOOKUP(($AJ50-$AI50-$AH50-$AG50-$AF50-$AE50*(1+GL$3))/$AJ50,'Технический лист'!$M:$N,2,1),(GK50-0.05)))</f>
        <v/>
      </c>
      <c r="GM50" s="172">
        <f>MIN(1,MAX(VLOOKUP(($AJ50-$AI50-$AH50-$AG50-$AF50-$AE50*(1+GM$3))/$AJ50,'Технический лист'!$M:$N,2,1),(GL50-0.05)))</f>
        <v/>
      </c>
      <c r="GN50" s="172">
        <f>MIN(1,MAX(VLOOKUP(($AJ50-$AI50-$AH50-$AG50-$AF50-$AE50*(1+GN$3))/$AJ50,'Технический лист'!$M:$N,2,1),(GM50-0.05)))</f>
        <v/>
      </c>
      <c r="GO50" s="172">
        <f>MIN(1,MAX(VLOOKUP(($AJ50-$AI50-$AH50-$AG50-$AF50-$AE50*(1+GO$3))/$AJ50,'Технический лист'!$M:$N,2,1),(GN50-0.05)))</f>
        <v/>
      </c>
      <c r="GP50" s="172">
        <f>MIN(1,MAX(VLOOKUP(($AJ50-$AI50-$AH50-$AG50-$AF50-$AE50*(1+GP$3))/$AJ50,'Технический лист'!$M:$N,2,1),(GO50-0.05)))</f>
        <v/>
      </c>
      <c r="GQ50" s="172">
        <f>MIN(1,MAX(VLOOKUP(($AJ50-$AI50-$AH50-$AG50-$AF50-$AE50*(1+GQ$3))/$AJ50,'Технический лист'!$M:$N,2,1),(GP50-0.05)))</f>
        <v/>
      </c>
      <c r="GR50" s="172">
        <f>MIN(1,MAX(VLOOKUP(($AJ50-$AI50-$AH50-$AG50-$AF50-$AE50*(1+GR$3))/$AJ50,'Технический лист'!$M:$N,2,1),(GQ50-0.05)))</f>
        <v/>
      </c>
      <c r="GS50" s="172">
        <f>MIN(1,MAX(VLOOKUP(($AJ50-$AI50-$AH50-$AG50-$AF50-$AE50*(1+GS$3))/$AJ50,'Технический лист'!$M:$N,2,1),(GR50-0.05)))</f>
        <v/>
      </c>
      <c r="GT50" s="172">
        <f>MIN(1,MAX(VLOOKUP(($AJ50-$AI50-$AH50-$AG50-$AF50-$AE50*(1+GT$3))/$AJ50,'Технический лист'!$M:$N,2,1),(GS50-0.05)))</f>
        <v/>
      </c>
      <c r="GU50" s="172">
        <f>MIN(1,MAX(VLOOKUP(($AJ50-$AI50-$AH50-$AG50-$AF50-$AE50*(1+GU$3))/$AJ50,'Технический лист'!$M:$N,2,1),(GT50-0.05)))</f>
        <v/>
      </c>
      <c r="GV50" s="172">
        <f>MIN(1,MAX(VLOOKUP(($AJ50-$AI50-$AH50-$AG50-$AF50-$AE50*(1+GV$3))/$AJ50,'Технический лист'!$M:$N,2,1),(GU50-0.05)))</f>
        <v/>
      </c>
      <c r="GW50" s="172">
        <f>MIN(1,MAX(VLOOKUP(($AJ50-$AI50-$AH50-$AG50-$AF50-$AE50*(1+GW$3))/$AJ50,'Технический лист'!$M:$N,2,1),(GV50-0.05)))</f>
        <v/>
      </c>
      <c r="GX50" s="172">
        <f>MIN(1,MAX(VLOOKUP(($AJ50-$AI50-$AH50-$AG50-$AF50-$AE50*(1+GX$3))/$AJ50,'Технический лист'!$M:$N,2,1),(GW50-0.05)))</f>
        <v/>
      </c>
      <c r="GY50" s="172">
        <f>MIN(1,MAX(VLOOKUP(($AJ50-$AI50-$AH50-$AG50-$AF50-$AE50*(1+GY$3))/$AJ50,'Технический лист'!$M:$N,2,1),(GX50-0.05)))</f>
        <v/>
      </c>
      <c r="GZ50" s="172">
        <f>MIN(1,MAX(VLOOKUP(($AJ50-$AI50-$AH50-$AG50-$AF50-$AE50*(1+GZ$3))/$AJ50,'Технический лист'!$M:$N,2,1),(GY50-0.05)))</f>
        <v/>
      </c>
      <c r="HA50" s="172">
        <f>MIN(1,MAX(VLOOKUP(($AJ50-$AI50-$AH50-$AG50-$AF50-$AE50*(1+HA$3))/$AJ50,'Технический лист'!$M:$N,2,1),(GZ50-0.05)))</f>
        <v/>
      </c>
      <c r="HB50" s="172">
        <f>MIN(1,MAX(VLOOKUP(($AJ50-$AI50-$AH50-$AG50-$AF50-$AE50*(1+HB$3))/$AJ50,'Технический лист'!$M:$N,2,1),(HA50-0.05)))</f>
        <v/>
      </c>
      <c r="HC50" s="172">
        <f>MIN(1,MAX(VLOOKUP(($AJ50-$AI50-$AH50-$AG50-$AF50-$AE50*(1+HC$3))/$AJ50,'Технический лист'!$M:$N,2,1),(HB50-0.05)))</f>
        <v/>
      </c>
      <c r="HD50" s="172">
        <f>MIN(1,MAX(VLOOKUP(($AJ50-$AI50-$AH50-$AG50-$AF50-$AE50*(1+HD$3))/$AJ50,'Технический лист'!$M:$N,2,1),(HC50-0.05)))</f>
        <v/>
      </c>
      <c r="HE50" s="172">
        <f>MIN(1,MAX(VLOOKUP(($AJ50-$AI50-$AH50-$AG50-$AF50-$AE50*(1+HE$3))/$AJ50,'Технический лист'!$M:$N,2,1),(HD50-0.05)))</f>
        <v/>
      </c>
      <c r="HF50" s="172">
        <f>MIN(1,MAX(VLOOKUP(($AJ50-$AI50-$AH50-$AG50-$AF50-$AE50*(1+HF$3))/$AJ50,'Технический лист'!$M:$N,2,1),(HE50-0.05)))</f>
        <v/>
      </c>
      <c r="HG50" s="172">
        <f>MIN(1,MAX(VLOOKUP(($AJ50-$AI50-$AH50-$AG50-$AF50-$AE50*(1+HG$3))/$AJ50,'Технический лист'!$M:$N,2,1),(HF50-0.05)))</f>
        <v/>
      </c>
      <c r="HH50" s="172">
        <f>MIN(1,MAX(VLOOKUP(($AJ50-$AI50-$AH50-$AG50-$AF50-$AE50*(1+HH$3))/$AJ50,'Технический лист'!$M:$N,2,1),(HG50-0.05)))</f>
        <v/>
      </c>
      <c r="HI50" s="172">
        <f>MIN(1,MAX(VLOOKUP(($AJ50-$AI50-$AH50-$AG50-$AF50-$AE50*(1+HI$3))/$AJ50,'Технический лист'!$M:$N,2,1),(HH50-0.05)))</f>
        <v/>
      </c>
      <c r="HJ50" s="172">
        <f>MIN(1,MAX(VLOOKUP(($AJ50-$AI50-$AH50-$AG50-$AF50-$AE50*(1+HJ$3))/$AJ50,'Технический лист'!$M:$N,2,1),(HI50-0.05)))</f>
        <v/>
      </c>
      <c r="HK50" s="172">
        <f>MIN(1,MAX(VLOOKUP(($AJ50-$AI50-$AH50-$AG50-$AF50-$AE50*(1+HK$3))/$AJ50,'Технический лист'!$M:$N,2,1),(HJ50-0.05)))</f>
        <v/>
      </c>
      <c r="HL50" s="172">
        <f>MIN(1,MAX(VLOOKUP(($AJ50-$AI50-$AH50-$AG50-$AF50-$AE50*(1+HL$3))/$AJ50,'Технический лист'!$M:$N,2,1),(HK50-0.05)))</f>
        <v/>
      </c>
      <c r="HM50" s="172">
        <f>MIN(1,MAX(VLOOKUP(($AJ50-$AI50-$AH50-$AG50-$AF50-$AE50*(1+HM$3))/$AJ50,'Технический лист'!$M:$N,2,1),(HL50-0.05)))</f>
        <v/>
      </c>
      <c r="HN50" s="172">
        <f>MIN(1,MAX(VLOOKUP(($AJ50-$AI50-$AH50-$AG50-$AF50-$AE50*(1+HN$3))/$AJ50,'Технический лист'!$M:$N,2,1),(HM50-0.05)))</f>
        <v/>
      </c>
      <c r="HO50" s="172">
        <f>MIN(1,MAX(VLOOKUP(($AJ50-$AI50-$AH50-$AG50-$AF50-$AE50*(1+HO$3))/$AJ50,'Технический лист'!$M:$N,2,1),(HN50-0.05)))</f>
        <v/>
      </c>
      <c r="HP50" s="172">
        <f>MIN(1,MAX(VLOOKUP(($AJ50-$AI50-$AH50-$AG50-$AF50-$AE50*(1+HP$3))/$AJ50,'Технический лист'!$M:$N,2,1),(HO50-0.05)))</f>
        <v/>
      </c>
      <c r="HQ50" s="172">
        <f>MIN(1,MAX(VLOOKUP(($AJ50-$AI50-$AH50-$AG50-$AF50-$AE50*(1+HQ$3))/$AJ50,'Технический лист'!$M:$N,2,1),(HP50-0.05)))</f>
        <v/>
      </c>
      <c r="HR50" s="172">
        <f>MIN(1,MAX(VLOOKUP(($AJ50-$AI50-$AH50-$AG50-$AF50-$AE50*(1+HR$3))/$AJ50,'Технический лист'!$M:$N,2,1),(HQ50-0.05)))</f>
        <v/>
      </c>
      <c r="HS50" s="172">
        <f>MIN(1,MAX(VLOOKUP(($AJ50-$AI50-$AH50-$AG50-$AF50-$AE50*(1+HS$3))/$AJ50,'Технический лист'!$M:$N,2,1),(HR50-0.05)))</f>
        <v/>
      </c>
      <c r="HT50" s="172">
        <f>MIN(1,MAX(VLOOKUP(($AJ50-$AI50-$AH50-$AG50-$AF50-$AE50*(1+HT$3))/$AJ50,'Технический лист'!$M:$N,2,1),(HS50-0.05)))</f>
        <v/>
      </c>
      <c r="HU50" s="172">
        <f>MIN(1,MAX(VLOOKUP(($AJ50-$AI50-$AH50-$AG50-$AF50-$AE50*(1+HU$3))/$AJ50,'Технический лист'!$M:$N,2,1),(HT50-0.05)))</f>
        <v/>
      </c>
      <c r="HV50" s="172">
        <f>MIN(1,MAX(VLOOKUP(($AJ50-$AI50-$AH50-$AG50-$AF50-$AE50*(1+HV$3))/$AJ50,'Технический лист'!$M:$N,2,1),(HU50-0.05)))</f>
        <v/>
      </c>
      <c r="HW50" s="172">
        <f>MIN(1,MAX(VLOOKUP(($AJ50-$AI50-$AH50-$AG50-$AF50-$AE50*(1+HW$3))/$AJ50,'Технический лист'!$M:$N,2,1),(HV50-0.05)))</f>
        <v/>
      </c>
      <c r="HX50" s="172">
        <f>MIN(1,MAX(VLOOKUP(($AJ50-$AI50-$AH50-$AG50-$AF50-$AE50*(1+HX$3))/$AJ50,'Технический лист'!$M:$N,2,1),(HW50-0.05)))</f>
        <v/>
      </c>
      <c r="HY50" s="172">
        <f>MIN(1,MAX(VLOOKUP(($AJ50-$AI50-$AH50-$AG50-$AF50-$AE50*(1+HY$3))/$AJ50,'Технический лист'!$M:$N,2,1),(HX50-0.05)))</f>
        <v/>
      </c>
      <c r="HZ50" s="172">
        <f>MIN(1,MAX(VLOOKUP(($AJ50-$AI50-$AH50-$AG50-$AF50-$AE50*(1+HZ$3))/$AJ50,'Технический лист'!$M:$N,2,1),(HY50-0.05)))</f>
        <v/>
      </c>
      <c r="IA50" s="172">
        <f>MIN(1,MAX(VLOOKUP(($AJ50-$AI50-$AH50-$AG50-$AF50-$AE50*(1+IA$3))/$AJ50,'Технический лист'!$M:$N,2,1),(HZ50-0.05)))</f>
        <v/>
      </c>
      <c r="IB50" s="172">
        <f>MIN(1,MAX(VLOOKUP(($AJ50-$AI50-$AH50-$AG50-$AF50-$AE50*(1+IB$3))/$AJ50,'Технический лист'!$M:$N,2,1),(IA50-0.05)))</f>
        <v/>
      </c>
      <c r="IC50" s="172">
        <f>MIN(1,MAX(VLOOKUP(($AJ50-$AI50-$AH50-$AG50-$AF50-$AE50*(1+IC$3))/$AJ50,'Технический лист'!$M:$N,2,1),(IB50-0.05)))</f>
        <v/>
      </c>
      <c r="ID50" s="172">
        <f>MIN(1,MAX(VLOOKUP(($AJ50-$AI50-$AH50-$AG50-$AF50-$AE50*(1+ID$3))/$AJ50,'Технический лист'!$M:$N,2,1),(IC50-0.05)))</f>
        <v/>
      </c>
      <c r="IE50" s="172">
        <f>MIN(1,MAX(VLOOKUP(($AJ50-$AI50-$AH50-$AG50-$AF50-$AE50*(1+IE$3))/$AJ50,'Технический лист'!$M:$N,2,1),(ID50-0.05)))</f>
        <v/>
      </c>
      <c r="IF50" s="172">
        <f>MIN(1,MAX(VLOOKUP(($AJ50-$AI50-$AH50-$AG50-$AF50-$AE50*(1+IF$3))/$AJ50,'Технический лист'!$M:$N,2,1),(IE50-0.05)))</f>
        <v/>
      </c>
      <c r="IG50" s="172">
        <f>MIN(1,MAX(VLOOKUP(($AJ50-$AI50-$AH50-$AG50-$AF50-$AE50*(1+IG$3))/$AJ50,'Технический лист'!$M:$N,2,1),(IF50-0.05)))</f>
        <v/>
      </c>
      <c r="IH50" s="172">
        <f>MIN(1,MAX(VLOOKUP(($AJ50-$AI50-$AH50-$AG50-$AF50-$AE50*(1+IH$3))/$AJ50,'Технический лист'!$M:$N,2,1),(IG50-0.05)))</f>
        <v/>
      </c>
      <c r="II50" s="172">
        <f>MIN(1,MAX(VLOOKUP(($AJ50-$AI50-$AH50-$AG50-$AF50-$AE50*(1+II$3))/$AJ50,'Технический лист'!$M:$N,2,1),(IH50-0.05)))</f>
        <v/>
      </c>
      <c r="IJ50" s="172">
        <f>MIN(1,MAX(VLOOKUP(($AJ50-$AI50-$AH50-$AG50-$AF50-$AE50*(1+IJ$3))/$AJ50,'Технический лист'!$M:$N,2,1),(II50-0.05)))</f>
        <v/>
      </c>
      <c r="IK50" s="172">
        <f>MIN(1,MAX(VLOOKUP(($AJ50-$AI50-$AH50-$AG50-$AF50-$AE50*(1+IK$3))/$AJ50,'Технический лист'!$M:$N,2,1),(IJ50-0.05)))</f>
        <v/>
      </c>
      <c r="IL50" s="172">
        <f>MIN(1,MAX(VLOOKUP(($AJ50-$AI50-$AH50-$AG50-$AF50-$AE50*(1+IL$3))/$AJ50,'Технический лист'!$M:$N,2,1),(IK50-0.05)))</f>
        <v/>
      </c>
      <c r="IM50" s="172">
        <f>MIN(1,MAX(VLOOKUP(($AJ50-$AI50-$AH50-$AG50-$AF50-$AE50*(1+IM$3))/$AJ50,'Технический лист'!$M:$N,2,1),(IL50-0.05)))</f>
        <v/>
      </c>
      <c r="IN50" s="172">
        <f>MIN(1,MAX(VLOOKUP(($AJ50-$AI50-$AH50-$AG50-$AF50-$AE50*(1+IN$3))/$AJ50,'Технический лист'!$M:$N,2,1),(IM50-0.05)))</f>
        <v/>
      </c>
      <c r="IO50" s="172">
        <f>MIN(1,MAX(VLOOKUP(($AJ50-$AI50-$AH50-$AG50-$AF50-$AE50*(1+IO$3))/$AJ50,'Технический лист'!$M:$N,2,1),(IN50-0.05)))</f>
        <v/>
      </c>
      <c r="IP50" s="172">
        <f>MIN(1,MAX(VLOOKUP(($AJ50-$AI50-$AH50-$AG50-$AF50-$AE50*(1+IP$3))/$AJ50,'Технический лист'!$M:$N,2,1),(IO50-0.05)))</f>
        <v/>
      </c>
      <c r="IQ50" s="172">
        <f>MIN(1,MAX(VLOOKUP(($AJ50-$AI50-$AH50-$AG50-$AF50-$AE50*(1+IQ$3))/$AJ50,'Технический лист'!$M:$N,2,1),(IP50-0.05)))</f>
        <v/>
      </c>
      <c r="IR50" s="172">
        <f>MIN(1,MAX(VLOOKUP(($AJ50-$AI50-$AH50-$AG50-$AF50-$AE50*(1+IR$3))/$AJ50,'Технический лист'!$M:$N,2,1),(IQ50-0.05)))</f>
        <v/>
      </c>
    </row>
    <row r="51">
      <c r="A51" s="89" t="inlineStr">
        <is>
          <t>ЧМ (сырье)</t>
        </is>
      </c>
      <c r="B51" s="90" t="n">
        <v>4</v>
      </c>
      <c r="C51" s="5" t="inlineStr">
        <is>
          <t>Руды  всякие</t>
        </is>
      </c>
      <c r="D51" s="91" t="n">
        <v>14111</v>
      </c>
      <c r="E51" s="91" t="inlineStr">
        <is>
          <t xml:space="preserve">Окатыши железорудные </t>
        </is>
      </c>
      <c r="F51" s="92" t="inlineStr">
        <is>
          <t>РУДЫ И КОНЦЕНТРАТЫ ЖЕЛЕЗН</t>
        </is>
      </c>
      <c r="G51" s="91" t="inlineStr">
        <is>
          <t>МСК</t>
        </is>
      </c>
      <c r="H51" s="91" t="inlineStr">
        <is>
          <t>ОКТ</t>
        </is>
      </c>
      <c r="I51" s="91" t="inlineStr">
        <is>
          <t>КУРБАКИНСКАЯ</t>
        </is>
      </c>
      <c r="J51" s="91" t="inlineStr">
        <is>
          <t>ЛУЖСКАЯ-ЭКСП</t>
        </is>
      </c>
      <c r="K51" s="91" t="n">
        <v>1687</v>
      </c>
      <c r="L51" s="91" t="inlineStr">
        <is>
          <t>Полувагоны</t>
        </is>
      </c>
      <c r="M51" s="91" t="inlineStr">
        <is>
          <t>Экспорт</t>
        </is>
      </c>
      <c r="N51" s="91" t="inlineStr">
        <is>
          <t>вагонная</t>
        </is>
      </c>
      <c r="O51" s="91" t="inlineStr">
        <is>
          <t xml:space="preserve">Северо-Западное </t>
        </is>
      </c>
      <c r="P51" s="89" t="inlineStr">
        <is>
          <t>'000077263371</t>
        </is>
      </c>
      <c r="Q51" s="91" t="inlineStr">
        <is>
          <t>ООО УК "Металлоинвест"</t>
        </is>
      </c>
      <c r="R51" s="91" t="inlineStr">
        <is>
          <t>ООО УК "Металлоинвест"</t>
        </is>
      </c>
      <c r="S51" s="87" t="n">
        <v>544697</v>
      </c>
      <c r="T51" s="87" t="n">
        <v>919025137</v>
      </c>
      <c r="U51" s="88" t="n">
        <v>7808</v>
      </c>
      <c r="V51" s="88" t="n">
        <v>0</v>
      </c>
      <c r="W51" s="87" t="n">
        <v>536421896</v>
      </c>
      <c r="X51" s="112" t="n">
        <v>69</v>
      </c>
      <c r="Y51" s="112" t="inlineStr">
        <is>
          <t>маршрутная</t>
        </is>
      </c>
      <c r="Z51" s="113" t="n">
        <v>5</v>
      </c>
      <c r="AA51" s="113" t="n">
        <v>5</v>
      </c>
      <c r="AB51" s="113" t="n">
        <v>4</v>
      </c>
      <c r="AC51" s="161" t="n">
        <v>1091.67</v>
      </c>
      <c r="AD51" s="161">
        <f>AE51-AC51</f>
        <v/>
      </c>
      <c r="AE51" s="161" t="n">
        <v>1643.93</v>
      </c>
      <c r="AF51" s="162">
        <f>(Z51+AA51+AB51)*'Ставки аренды'!$B$3/X51</f>
        <v/>
      </c>
      <c r="AG51" s="163">
        <f>'Ставки перевалки'!$B$13</f>
        <v/>
      </c>
      <c r="AH51" s="164" t="n">
        <v>0</v>
      </c>
      <c r="AI51" s="165">
        <f>240828/411356*AVERAGE(AJ48,AJ49)</f>
        <v/>
      </c>
      <c r="AJ51" s="166">
        <f>Цены!D13</f>
        <v/>
      </c>
      <c r="AK51" s="164">
        <f>AJ51/Цены!$B$1</f>
        <v/>
      </c>
      <c r="AL51" s="164">
        <f>AE51+AF51+AG51</f>
        <v/>
      </c>
      <c r="AM51" s="164">
        <f>AJ51-AL51</f>
        <v/>
      </c>
      <c r="AN51" s="164">
        <f>AI51+AH51+AG51+AF51+AE51</f>
        <v/>
      </c>
      <c r="AO51" s="167">
        <f>(AJ51-AN51)/AJ51</f>
        <v/>
      </c>
      <c r="AP51" s="168">
        <f>AL51/AJ51</f>
        <v/>
      </c>
      <c r="AQ51" s="168">
        <f>AE51/AJ51</f>
        <v/>
      </c>
      <c r="AR51" s="168">
        <f>AE51/AL51</f>
        <v/>
      </c>
      <c r="AS51" s="169" t="n">
        <v>1</v>
      </c>
      <c r="AT51" s="121">
        <f>S51*AS51</f>
        <v/>
      </c>
      <c r="AU51" s="83" t="n">
        <v>0.9</v>
      </c>
      <c r="AV51" s="170">
        <f>(AJ51-(AE51*(1+$IS$2)+AF51+AG51+AH51+AI51))/AJ51</f>
        <v/>
      </c>
      <c r="AW51" s="171">
        <f>(AE51*(1+$IS$2)+AF51+AG51)/AJ51</f>
        <v/>
      </c>
      <c r="AX51" s="171">
        <f>(AE51*(1+$IS$2))/AJ51</f>
        <v/>
      </c>
      <c r="AY51" s="171">
        <f>(AE51*(1+$IS$2))/(AE51*(1+$IS$2)+AF51+AG51)</f>
        <v/>
      </c>
      <c r="AZ51" s="172">
        <f>MIN(IF($AU51=100%,1,1+VLOOKUP(($AJ51-$AI51-$AH51-$AG51-$AF51-$AE51*(1+AZ$3))/$AJ51,'Технический лист'!$M:$N,2,1)-VLOOKUP($AO51,'Технический лист'!$M:$N,2,1)),1+(1-$AU51))</f>
        <v/>
      </c>
      <c r="BA51" s="172">
        <f>MIN(IF($AU51=100%,1,1+VLOOKUP(($AJ51-$AI51-$AH51-$AG51-$AF51-$AE51*(1+BA$3))/$AJ51,'Технический лист'!$M:$N,2,1)-VLOOKUP($AO51,'Технический лист'!$M:$N,2,1)),1+(1-$AU51))</f>
        <v/>
      </c>
      <c r="BB51" s="172">
        <f>MIN(IF($AU51=100%,1,1+VLOOKUP(($AJ51-$AI51-$AH51-$AG51-$AF51-$AE51*(1+BB$3))/$AJ51,'Технический лист'!$M:$N,2,1)-VLOOKUP($AO51,'Технический лист'!$M:$N,2,1)),1+(1-$AU51))</f>
        <v/>
      </c>
      <c r="BC51" s="172">
        <f>MIN(IF($AU51=100%,1,1+VLOOKUP(($AJ51-$AI51-$AH51-$AG51-$AF51-$AE51*(1+BC$3))/$AJ51,'Технический лист'!$M:$N,2,1)-VLOOKUP($AO51,'Технический лист'!$M:$N,2,1)),1+(1-$AU51))</f>
        <v/>
      </c>
      <c r="BD51" s="172">
        <f>MIN(IF($AU51=100%,1,1+VLOOKUP(($AJ51-$AI51-$AH51-$AG51-$AF51-$AE51*(1+BD$3))/$AJ51,'Технический лист'!$M:$N,2,1)-VLOOKUP($AO51,'Технический лист'!$M:$N,2,1)),1+(1-$AU51))</f>
        <v/>
      </c>
      <c r="BE51" s="172">
        <f>MIN(IF($AU51=100%,1,1+VLOOKUP(($AJ51-$AI51-$AH51-$AG51-$AF51-$AE51*(1+BE$3))/$AJ51,'Технический лист'!$M:$N,2,1)-VLOOKUP($AO51,'Технический лист'!$M:$N,2,1)),1+(1-$AU51))</f>
        <v/>
      </c>
      <c r="BF51" s="172">
        <f>MIN(IF($AU51=100%,1,1+VLOOKUP(($AJ51-$AI51-$AH51-$AG51-$AF51-$AE51*(1+BF$3))/$AJ51,'Технический лист'!$M:$N,2,1)-VLOOKUP($AO51,'Технический лист'!$M:$N,2,1)),1+(1-$AU51))</f>
        <v/>
      </c>
      <c r="BG51" s="172">
        <f>MIN(IF($AU51=100%,1,1+VLOOKUP(($AJ51-$AI51-$AH51-$AG51-$AF51-$AE51*(1+BG$3))/$AJ51,'Технический лист'!$M:$N,2,1)-VLOOKUP($AO51,'Технический лист'!$M:$N,2,1)),1+(1-$AU51))</f>
        <v/>
      </c>
      <c r="BH51" s="172">
        <f>MIN(IF($AU51=100%,1,1+VLOOKUP(($AJ51-$AI51-$AH51-$AG51-$AF51-$AE51*(1+BH$3))/$AJ51,'Технический лист'!$M:$N,2,1)-VLOOKUP($AO51,'Технический лист'!$M:$N,2,1)),1+(1-$AU51))</f>
        <v/>
      </c>
      <c r="BI51" s="172">
        <f>MIN(IF($AU51=100%,1,1+VLOOKUP(($AJ51-$AI51-$AH51-$AG51-$AF51-$AE51*(1+BI$3))/$AJ51,'Технический лист'!$M:$N,2,1)-VLOOKUP($AO51,'Технический лист'!$M:$N,2,1)),1+(1-$AU51))</f>
        <v/>
      </c>
      <c r="BJ51" s="172">
        <f>MIN(IF($AU51=100%,1,1+VLOOKUP(($AJ51-$AI51-$AH51-$AG51-$AF51-$AE51*(1+BJ$3))/$AJ51,'Технический лист'!$M:$N,2,1)-VLOOKUP($AO51,'Технический лист'!$M:$N,2,1)),1+(1-$AU51))</f>
        <v/>
      </c>
      <c r="BK51" s="172">
        <f>MIN(IF($AU51=100%,1,1+VLOOKUP(($AJ51-$AI51-$AH51-$AG51-$AF51-$AE51*(1+BK$3))/$AJ51,'Технический лист'!$M:$N,2,1)-VLOOKUP($AO51,'Технический лист'!$M:$N,2,1)),1+(1-$AU51))</f>
        <v/>
      </c>
      <c r="BL51" s="172">
        <f>MIN(IF($AU51=100%,1,1+VLOOKUP(($AJ51-$AI51-$AH51-$AG51-$AF51-$AE51*(1+BL$3))/$AJ51,'Технический лист'!$M:$N,2,1)-VLOOKUP($AO51,'Технический лист'!$M:$N,2,1)),1+(1-$AU51))</f>
        <v/>
      </c>
      <c r="BM51" s="172">
        <f>MIN(IF($AU51=100%,1,1+VLOOKUP(($AJ51-$AI51-$AH51-$AG51-$AF51-$AE51*(1+BM$3))/$AJ51,'Технический лист'!$M:$N,2,1)-VLOOKUP($AO51,'Технический лист'!$M:$N,2,1)),1+(1-$AU51))</f>
        <v/>
      </c>
      <c r="BN51" s="172">
        <f>MIN(IF($AU51=100%,1,1+VLOOKUP(($AJ51-$AI51-$AH51-$AG51-$AF51-$AE51*(1+BN$3))/$AJ51,'Технический лист'!$M:$N,2,1)-VLOOKUP($AO51,'Технический лист'!$M:$N,2,1)),1+(1-$AU51))</f>
        <v/>
      </c>
      <c r="BO51" s="172">
        <f>MIN(IF($AU51=100%,1,1+VLOOKUP(($AJ51-$AI51-$AH51-$AG51-$AF51-$AE51*(1+BO$3))/$AJ51,'Технический лист'!$M:$N,2,1)-VLOOKUP($AO51,'Технический лист'!$M:$N,2,1)),1+(1-$AU51))</f>
        <v/>
      </c>
      <c r="BP51" s="172">
        <f>MIN(IF($AU51=100%,1,1+VLOOKUP(($AJ51-$AI51-$AH51-$AG51-$AF51-$AE51*(1+BP$3))/$AJ51,'Технический лист'!$M:$N,2,1)-VLOOKUP($AO51,'Технический лист'!$M:$N,2,1)),1+(1-$AU51))</f>
        <v/>
      </c>
      <c r="BQ51" s="172">
        <f>MIN(IF($AU51=100%,1,1+VLOOKUP(($AJ51-$AI51-$AH51-$AG51-$AF51-$AE51*(1+BQ$3))/$AJ51,'Технический лист'!$M:$N,2,1)-VLOOKUP($AO51,'Технический лист'!$M:$N,2,1)),1+(1-$AU51))</f>
        <v/>
      </c>
      <c r="BR51" s="172">
        <f>MIN(IF($AU51=100%,1,1+VLOOKUP(($AJ51-$AI51-$AH51-$AG51-$AF51-$AE51*(1+BR$3))/$AJ51,'Технический лист'!$M:$N,2,1)-VLOOKUP($AO51,'Технический лист'!$M:$N,2,1)),1+(1-$AU51))</f>
        <v/>
      </c>
      <c r="BS51" s="172">
        <f>MIN(IF($AU51=100%,1,1+VLOOKUP(($AJ51-$AI51-$AH51-$AG51-$AF51-$AE51*(1+BS$3))/$AJ51,'Технический лист'!$M:$N,2,1)-VLOOKUP($AO51,'Технический лист'!$M:$N,2,1)),1+(1-$AU51))</f>
        <v/>
      </c>
      <c r="BT51" s="172">
        <f>MIN(IF($AU51=100%,1,1+VLOOKUP(($AJ51-$AI51-$AH51-$AG51-$AF51-$AE51*(1+BT$3))/$AJ51,'Технический лист'!$M:$N,2,1)-VLOOKUP($AO51,'Технический лист'!$M:$N,2,1)),1+(1-$AU51))</f>
        <v/>
      </c>
      <c r="BU51" s="172">
        <f>MIN(IF($AU51=100%,1,1+VLOOKUP(($AJ51-$AI51-$AH51-$AG51-$AF51-$AE51*(1+BU$3))/$AJ51,'Технический лист'!$M:$N,2,1)-VLOOKUP($AO51,'Технический лист'!$M:$N,2,1)),1+(1-$AU51))</f>
        <v/>
      </c>
      <c r="BV51" s="172">
        <f>MIN(IF($AU51=100%,1,1+VLOOKUP(($AJ51-$AI51-$AH51-$AG51-$AF51-$AE51*(1+BV$3))/$AJ51,'Технический лист'!$M:$N,2,1)-VLOOKUP($AO51,'Технический лист'!$M:$N,2,1)),1+(1-$AU51))</f>
        <v/>
      </c>
      <c r="BW51" s="172">
        <f>MIN(IF($AU51=100%,1,1+VLOOKUP(($AJ51-$AI51-$AH51-$AG51-$AF51-$AE51*(1+BW$3))/$AJ51,'Технический лист'!$M:$N,2,1)-VLOOKUP($AO51,'Технический лист'!$M:$N,2,1)),1+(1-$AU51))</f>
        <v/>
      </c>
      <c r="BX51" s="172">
        <f>MIN(IF($AU51=100%,1,1+VLOOKUP(($AJ51-$AI51-$AH51-$AG51-$AF51-$AE51*(1+BX$3))/$AJ51,'Технический лист'!$M:$N,2,1)-VLOOKUP($AO51,'Технический лист'!$M:$N,2,1)),1+(1-$AU51))</f>
        <v/>
      </c>
      <c r="BY51" s="172">
        <f>MIN(IF($AU51=100%,1,1+VLOOKUP(($AJ51-$AI51-$AH51-$AG51-$AF51-$AE51*(1+BY$3))/$AJ51,'Технический лист'!$M:$N,2,1)-VLOOKUP($AO51,'Технический лист'!$M:$N,2,1)),1+(1-$AU51))</f>
        <v/>
      </c>
      <c r="BZ51" s="172">
        <f>MIN(IF($AU51=100%,1,1+VLOOKUP(($AJ51-$AI51-$AH51-$AG51-$AF51-$AE51*(1+BZ$3))/$AJ51,'Технический лист'!$M:$N,2,1)-VLOOKUP($AO51,'Технический лист'!$M:$N,2,1)),1+(1-$AU51))</f>
        <v/>
      </c>
      <c r="CA51" s="172">
        <f>MIN(IF($AU51=100%,1,1+VLOOKUP(($AJ51-$AI51-$AH51-$AG51-$AF51-$AE51*(1+CA$3))/$AJ51,'Технический лист'!$M:$N,2,1)-VLOOKUP($AO51,'Технический лист'!$M:$N,2,1)),1+(1-$AU51))</f>
        <v/>
      </c>
      <c r="CB51" s="172">
        <f>MIN(IF($AU51=100%,1,1+VLOOKUP(($AJ51-$AI51-$AH51-$AG51-$AF51-$AE51*(1+CB$3))/$AJ51,'Технический лист'!$M:$N,2,1)-VLOOKUP($AO51,'Технический лист'!$M:$N,2,1)),1+(1-$AU51))</f>
        <v/>
      </c>
      <c r="CC51" s="172">
        <f>MIN(IF($AU51=100%,1,1+VLOOKUP(($AJ51-$AI51-$AH51-$AG51-$AF51-$AE51*(1+CC$3))/$AJ51,'Технический лист'!$M:$N,2,1)-VLOOKUP($AO51,'Технический лист'!$M:$N,2,1)),1+(1-$AU51))</f>
        <v/>
      </c>
      <c r="CD51" s="172">
        <f>MIN(IF($AU51=100%,1,1+VLOOKUP(($AJ51-$AI51-$AH51-$AG51-$AF51-$AE51*(1+CD$3))/$AJ51,'Технический лист'!$M:$N,2,1)-VLOOKUP($AO51,'Технический лист'!$M:$N,2,1)),1+(1-$AU51))</f>
        <v/>
      </c>
      <c r="CE51" s="172">
        <f>MIN(IF($AU51=100%,1,1+VLOOKUP(($AJ51-$AI51-$AH51-$AG51-$AF51-$AE51*(1+CE$3))/$AJ51,'Технический лист'!$M:$N,2,1)-VLOOKUP($AO51,'Технический лист'!$M:$N,2,1)),1+(1-$AU51))</f>
        <v/>
      </c>
      <c r="CF51" s="172">
        <f>MIN(IF($AU51=100%,1,1+VLOOKUP(($AJ51-$AI51-$AH51-$AG51-$AF51-$AE51*(1+CF$3))/$AJ51,'Технический лист'!$M:$N,2,1)-VLOOKUP($AO51,'Технический лист'!$M:$N,2,1)),1+(1-$AU51))</f>
        <v/>
      </c>
      <c r="CG51" s="172">
        <f>MIN(IF($AU51=100%,1,1+VLOOKUP(($AJ51-$AI51-$AH51-$AG51-$AF51-$AE51*(1+CG$3))/$AJ51,'Технический лист'!$M:$N,2,1)-VLOOKUP($AO51,'Технический лист'!$M:$N,2,1)),1+(1-$AU51))</f>
        <v/>
      </c>
      <c r="CH51" s="172">
        <f>MIN(IF($AU51=100%,1,1+VLOOKUP(($AJ51-$AI51-$AH51-$AG51-$AF51-$AE51*(1+CH$3))/$AJ51,'Технический лист'!$M:$N,2,1)-VLOOKUP($AO51,'Технический лист'!$M:$N,2,1)),1+(1-$AU51))</f>
        <v/>
      </c>
      <c r="CI51" s="172">
        <f>MIN(IF($AU51=100%,1,1+VLOOKUP(($AJ51-$AI51-$AH51-$AG51-$AF51-$AE51*(1+CI$3))/$AJ51,'Технический лист'!$M:$N,2,1)-VLOOKUP($AO51,'Технический лист'!$M:$N,2,1)),1+(1-$AU51))</f>
        <v/>
      </c>
      <c r="CJ51" s="172">
        <f>MIN(IF($AU51=100%,1,1+VLOOKUP(($AJ51-$AI51-$AH51-$AG51-$AF51-$AE51*(1+CJ$3))/$AJ51,'Технический лист'!$M:$N,2,1)-VLOOKUP($AO51,'Технический лист'!$M:$N,2,1)),1+(1-$AU51))</f>
        <v/>
      </c>
      <c r="CK51" s="172">
        <f>MIN(IF($AU51=100%,1,1+VLOOKUP(($AJ51-$AI51-$AH51-$AG51-$AF51-$AE51*(1+CK$3))/$AJ51,'Технический лист'!$M:$N,2,1)-VLOOKUP($AO51,'Технический лист'!$M:$N,2,1)),1+(1-$AU51))</f>
        <v/>
      </c>
      <c r="CL51" s="172">
        <f>MIN(IF($AU51=100%,1,1+VLOOKUP(($AJ51-$AI51-$AH51-$AG51-$AF51-$AE51*(1+CL$3))/$AJ51,'Технический лист'!$M:$N,2,1)-VLOOKUP($AO51,'Технический лист'!$M:$N,2,1)),1+(1-$AU51))</f>
        <v/>
      </c>
      <c r="CM51" s="172">
        <f>MIN(IF($AU51=100%,1,1+VLOOKUP(($AJ51-$AI51-$AH51-$AG51-$AF51-$AE51*(1+CM$3))/$AJ51,'Технический лист'!$M:$N,2,1)-VLOOKUP($AO51,'Технический лист'!$M:$N,2,1)),1+(1-$AU51))</f>
        <v/>
      </c>
      <c r="CN51" s="172">
        <f>MIN(IF($AU51=100%,1,1+VLOOKUP(($AJ51-$AI51-$AH51-$AG51-$AF51-$AE51*(1+CN$3))/$AJ51,'Технический лист'!$M:$N,2,1)-VLOOKUP($AO51,'Технический лист'!$M:$N,2,1)),1+(1-$AU51))</f>
        <v/>
      </c>
      <c r="CO51" s="172">
        <f>MIN(IF($AU51=100%,1,1+VLOOKUP(($AJ51-$AI51-$AH51-$AG51-$AF51-$AE51*(1+CO$3))/$AJ51,'Технический лист'!$M:$N,2,1)-VLOOKUP($AO51,'Технический лист'!$M:$N,2,1)),1+(1-$AU51))</f>
        <v/>
      </c>
      <c r="CP51" s="172">
        <f>MIN(IF($AU51=100%,1,1+VLOOKUP(($AJ51-$AI51-$AH51-$AG51-$AF51-$AE51*(1+CP$3))/$AJ51,'Технический лист'!$M:$N,2,1)-VLOOKUP($AO51,'Технический лист'!$M:$N,2,1)),1+(1-$AU51))</f>
        <v/>
      </c>
      <c r="CQ51" s="172">
        <f>MIN(IF($AU51=100%,1,1+VLOOKUP(($AJ51-$AI51-$AH51-$AG51-$AF51-$AE51*(1+CQ$3))/$AJ51,'Технический лист'!$M:$N,2,1)-VLOOKUP($AO51,'Технический лист'!$M:$N,2,1)),1+(1-$AU51))</f>
        <v/>
      </c>
      <c r="CR51" s="172">
        <f>MIN(IF($AU51=100%,1,1+VLOOKUP(($AJ51-$AI51-$AH51-$AG51-$AF51-$AE51*(1+CR$3))/$AJ51,'Технический лист'!$M:$N,2,1)-VLOOKUP($AO51,'Технический лист'!$M:$N,2,1)),1+(1-$AU51))</f>
        <v/>
      </c>
      <c r="CS51" s="172">
        <f>MIN(IF($AU51=100%,1,1+VLOOKUP(($AJ51-$AI51-$AH51-$AG51-$AF51-$AE51*(1+CS$3))/$AJ51,'Технический лист'!$M:$N,2,1)-VLOOKUP($AO51,'Технический лист'!$M:$N,2,1)),1+(1-$AU51))</f>
        <v/>
      </c>
      <c r="CT51" s="172">
        <f>MIN(IF($AU51=100%,1,1+VLOOKUP(($AJ51-$AI51-$AH51-$AG51-$AF51-$AE51*(1+CT$3))/$AJ51,'Технический лист'!$M:$N,2,1)-VLOOKUP($AO51,'Технический лист'!$M:$N,2,1)),1+(1-$AU51))</f>
        <v/>
      </c>
      <c r="CU51" s="172">
        <f>MIN(IF($AU51=100%,1,1+VLOOKUP(($AJ51-$AI51-$AH51-$AG51-$AF51-$AE51*(1+CU$3))/$AJ51,'Технический лист'!$M:$N,2,1)-VLOOKUP($AO51,'Технический лист'!$M:$N,2,1)),1+(1-$AU51))</f>
        <v/>
      </c>
      <c r="CV51" s="172">
        <f>MIN(IF($AU51=100%,1,1+VLOOKUP(($AJ51-$AI51-$AH51-$AG51-$AF51-$AE51*(1+CV$3))/$AJ51,'Технический лист'!$M:$N,2,1)-VLOOKUP($AO51,'Технический лист'!$M:$N,2,1)),1+(1-$AU51))</f>
        <v/>
      </c>
      <c r="CW51" s="172">
        <f>MIN(IF($AU51=100%,1,1+VLOOKUP(($AJ51-$AI51-$AH51-$AG51-$AF51-$AE51*(1+CW$3))/$AJ51,'Технический лист'!$M:$N,2,1)-VLOOKUP($AO51,'Технический лист'!$M:$N,2,1)),1+(1-$AU51))</f>
        <v/>
      </c>
      <c r="CX51" s="172">
        <f>MIN(IF($AU51=100%,1,1+VLOOKUP(($AJ51-$AI51-$AH51-$AG51-$AF51-$AE51*(1+CX$3))/$AJ51,'Технический лист'!$M:$N,2,1)-VLOOKUP($AO51,'Технический лист'!$M:$N,2,1)),1+(1-$AU51))</f>
        <v/>
      </c>
      <c r="CY51" s="172">
        <f>MIN(IF($AU51=100%,1,1+VLOOKUP(($AJ51-$AI51-$AH51-$AG51-$AF51-$AE51*(1+CY$3))/$AJ51,'Технический лист'!$M:$N,2,1)-VLOOKUP($AO51,'Технический лист'!$M:$N,2,1)),1+(1-$AU51))</f>
        <v/>
      </c>
      <c r="CZ51" s="172">
        <f>MIN(IF($AU51=100%,1,1+VLOOKUP(($AJ51-$AI51-$AH51-$AG51-$AF51-$AE51*(1+CZ$3))/$AJ51,'Технический лист'!$M:$N,2,1)-VLOOKUP($AO51,'Технический лист'!$M:$N,2,1)),1+(1-$AU51))</f>
        <v/>
      </c>
      <c r="DA51" s="172">
        <f>MIN(IF($AU51=100%,1,1+VLOOKUP(($AJ51-$AI51-$AH51-$AG51-$AF51-$AE51*(1+DA$3))/$AJ51,'Технический лист'!$M:$N,2,1)-VLOOKUP($AO51,'Технический лист'!$M:$N,2,1)),1+(1-$AU51))</f>
        <v/>
      </c>
      <c r="DB51" s="172">
        <f>MIN(IF($AU51=100%,1,1+VLOOKUP(($AJ51-$AI51-$AH51-$AG51-$AF51-$AE51*(1+DB$3))/$AJ51,'Технический лист'!$M:$N,2,1)-VLOOKUP($AO51,'Технический лист'!$M:$N,2,1)),1+(1-$AU51))</f>
        <v/>
      </c>
      <c r="DC51" s="172">
        <f>MIN(IF($AU51=100%,1,1+VLOOKUP(($AJ51-$AI51-$AH51-$AG51-$AF51-$AE51*(1+DC$3))/$AJ51,'Технический лист'!$M:$N,2,1)-VLOOKUP($AO51,'Технический лист'!$M:$N,2,1)),1+(1-$AU51))</f>
        <v/>
      </c>
      <c r="DD51" s="172">
        <f>MIN(IF($AU51=100%,1,1+VLOOKUP(($AJ51-$AI51-$AH51-$AG51-$AF51-$AE51*(1+DD$3))/$AJ51,'Технический лист'!$M:$N,2,1)-VLOOKUP($AO51,'Технический лист'!$M:$N,2,1)),1+(1-$AU51))</f>
        <v/>
      </c>
      <c r="DE51" s="172">
        <f>MIN(IF($AU51=100%,1,1+VLOOKUP(($AJ51-$AI51-$AH51-$AG51-$AF51-$AE51*(1+DE$3))/$AJ51,'Технический лист'!$M:$N,2,1)-VLOOKUP($AO51,'Технический лист'!$M:$N,2,1)),1+(1-$AU51))</f>
        <v/>
      </c>
      <c r="DF51" s="172">
        <f>MIN(IF($AU51=100%,1,1+VLOOKUP(($AJ51-$AI51-$AH51-$AG51-$AF51-$AE51*(1+DF$3))/$AJ51,'Технический лист'!$M:$N,2,1)-VLOOKUP($AO51,'Технический лист'!$M:$N,2,1)),1+(1-$AU51))</f>
        <v/>
      </c>
      <c r="DG51" s="172">
        <f>MIN(IF($AU51=100%,1,1+VLOOKUP(($AJ51-$AI51-$AH51-$AG51-$AF51-$AE51*(1+DG$3))/$AJ51,'Технический лист'!$M:$N,2,1)-VLOOKUP($AO51,'Технический лист'!$M:$N,2,1)),1+(1-$AU51))</f>
        <v/>
      </c>
      <c r="DH51" s="172">
        <f>MIN(IF($AU51=100%,1,1+VLOOKUP(($AJ51-$AI51-$AH51-$AG51-$AF51-$AE51*(1+DH$3))/$AJ51,'Технический лист'!$M:$N,2,1)-VLOOKUP($AO51,'Технический лист'!$M:$N,2,1)),1+(1-$AU51))</f>
        <v/>
      </c>
      <c r="DI51" s="172">
        <f>MIN(IF($AU51=100%,1,1+VLOOKUP(($AJ51-$AI51-$AH51-$AG51-$AF51-$AE51*(1+DI$3))/$AJ51,'Технический лист'!$M:$N,2,1)-VLOOKUP($AO51,'Технический лист'!$M:$N,2,1)),1+(1-$AU51))</f>
        <v/>
      </c>
      <c r="DJ51" s="172">
        <f>MIN(IF($AU51=100%,1,1+VLOOKUP(($AJ51-$AI51-$AH51-$AG51-$AF51-$AE51*(1+DJ$3))/$AJ51,'Технический лист'!$M:$N,2,1)-VLOOKUP($AO51,'Технический лист'!$M:$N,2,1)),1+(1-$AU51))</f>
        <v/>
      </c>
      <c r="DK51" s="172">
        <f>MIN(IF($AU51=100%,1,1+VLOOKUP(($AJ51-$AI51-$AH51-$AG51-$AF51-$AE51*(1+DK$3))/$AJ51,'Технический лист'!$M:$N,2,1)-VLOOKUP($AO51,'Технический лист'!$M:$N,2,1)),1+(1-$AU51))</f>
        <v/>
      </c>
      <c r="DL51" s="172">
        <f>MIN(IF($AU51=100%,1,1+VLOOKUP(($AJ51-$AI51-$AH51-$AG51-$AF51-$AE51*(1+DL$3))/$AJ51,'Технический лист'!$M:$N,2,1)-VLOOKUP($AO51,'Технический лист'!$M:$N,2,1)),1+(1-$AU51))</f>
        <v/>
      </c>
      <c r="DM51" s="172">
        <f>MIN(IF($AU51=100%,1,1+VLOOKUP(($AJ51-$AI51-$AH51-$AG51-$AF51-$AE51*(1+DM$3))/$AJ51,'Технический лист'!$M:$N,2,1)-VLOOKUP($AO51,'Технический лист'!$M:$N,2,1)),1+(1-$AU51))</f>
        <v/>
      </c>
      <c r="DN51" s="172">
        <f>MIN(IF($AU51=100%,1,1+VLOOKUP(($AJ51-$AI51-$AH51-$AG51-$AF51-$AE51*(1+DN$3))/$AJ51,'Технический лист'!$M:$N,2,1)-VLOOKUP($AO51,'Технический лист'!$M:$N,2,1)),1+(1-$AU51))</f>
        <v/>
      </c>
      <c r="DO51" s="172">
        <f>MIN(IF($AU51=100%,1,1+VLOOKUP(($AJ51-$AI51-$AH51-$AG51-$AF51-$AE51*(1+DO$3))/$AJ51,'Технический лист'!$M:$N,2,1)-VLOOKUP($AO51,'Технический лист'!$M:$N,2,1)),1+(1-$AU51))</f>
        <v/>
      </c>
      <c r="DP51" s="172">
        <f>MIN(IF($AU51=100%,1,1+VLOOKUP(($AJ51-$AI51-$AH51-$AG51-$AF51-$AE51*(1+DP$3))/$AJ51,'Технический лист'!$M:$N,2,1)-VLOOKUP($AO51,'Технический лист'!$M:$N,2,1)),1+(1-$AU51))</f>
        <v/>
      </c>
      <c r="DQ51" s="172">
        <f>MIN(IF($AU51=100%,1,1+VLOOKUP(($AJ51-$AI51-$AH51-$AG51-$AF51-$AE51*(1+DQ$3))/$AJ51,'Технический лист'!$M:$N,2,1)-VLOOKUP($AO51,'Технический лист'!$M:$N,2,1)),1+(1-$AU51))</f>
        <v/>
      </c>
      <c r="DR51" s="172">
        <f>MIN(IF($AU51=100%,1,1+VLOOKUP(($AJ51-$AI51-$AH51-$AG51-$AF51-$AE51*(1+DR$3))/$AJ51,'Технический лист'!$M:$N,2,1)-VLOOKUP($AO51,'Технический лист'!$M:$N,2,1)),1+(1-$AU51))</f>
        <v/>
      </c>
      <c r="DS51" s="172">
        <f>MIN(IF($AU51=100%,1,1+VLOOKUP(($AJ51-$AI51-$AH51-$AG51-$AF51-$AE51*(1+DS$3))/$AJ51,'Технический лист'!$M:$N,2,1)-VLOOKUP($AO51,'Технический лист'!$M:$N,2,1)),1+(1-$AU51))</f>
        <v/>
      </c>
      <c r="DT51" s="172">
        <f>MIN(IF($AU51=100%,1,1+VLOOKUP(($AJ51-$AI51-$AH51-$AG51-$AF51-$AE51*(1+DT$3))/$AJ51,'Технический лист'!$M:$N,2,1)-VLOOKUP($AO51,'Технический лист'!$M:$N,2,1)),1+(1-$AU51))</f>
        <v/>
      </c>
      <c r="DU51" s="172">
        <f>MIN(IF($AU51=100%,1,1+VLOOKUP(($AJ51-$AI51-$AH51-$AG51-$AF51-$AE51*(1+DU$3))/$AJ51,'Технический лист'!$M:$N,2,1)-VLOOKUP($AO51,'Технический лист'!$M:$N,2,1)),1+(1-$AU51))</f>
        <v/>
      </c>
      <c r="DV51" s="172">
        <f>MIN(IF($AU51=100%,1,1+VLOOKUP(($AJ51-$AI51-$AH51-$AG51-$AF51-$AE51*(1+DV$3))/$AJ51,'Технический лист'!$M:$N,2,1)-VLOOKUP($AO51,'Технический лист'!$M:$N,2,1)),1+(1-$AU51))</f>
        <v/>
      </c>
      <c r="DW51" s="172">
        <f>MIN(IF($AU51=100%,1,1+VLOOKUP(($AJ51-$AI51-$AH51-$AG51-$AF51-$AE51*(1+DW$3))/$AJ51,'Технический лист'!$M:$N,2,1)-VLOOKUP($AO51,'Технический лист'!$M:$N,2,1)),1+(1-$AU51))</f>
        <v/>
      </c>
      <c r="DX51" s="172">
        <f>MIN(IF($AU51=100%,1,1+VLOOKUP(($AJ51-$AI51-$AH51-$AG51-$AF51-$AE51*(1+DX$3))/$AJ51,'Технический лист'!$M:$N,2,1)-VLOOKUP($AO51,'Технический лист'!$M:$N,2,1)),1+(1-$AU51))</f>
        <v/>
      </c>
      <c r="DY51" s="172">
        <f>MIN(IF($AU51=100%,1,1+VLOOKUP(($AJ51-$AI51-$AH51-$AG51-$AF51-$AE51*(1+DY$3))/$AJ51,'Технический лист'!$M:$N,2,1)-VLOOKUP($AO51,'Технический лист'!$M:$N,2,1)),1+(1-$AU51))</f>
        <v/>
      </c>
      <c r="DZ51" s="172">
        <f>MIN(IF($AU51=100%,1,1+VLOOKUP(($AJ51-$AI51-$AH51-$AG51-$AF51-$AE51*(1+DZ$3))/$AJ51,'Технический лист'!$M:$N,2,1)-VLOOKUP($AO51,'Технический лист'!$M:$N,2,1)),1+(1-$AU51))</f>
        <v/>
      </c>
      <c r="EA51" s="172">
        <f>MIN(IF($AU51=100%,1,1+VLOOKUP(($AJ51-$AI51-$AH51-$AG51-$AF51-$AE51*(1+EA$3))/$AJ51,'Технический лист'!$M:$N,2,1)-VLOOKUP($AO51,'Технический лист'!$M:$N,2,1)),1+(1-$AU51))</f>
        <v/>
      </c>
      <c r="EB51" s="172">
        <f>MIN(IF($AU51=100%,1,1+VLOOKUP(($AJ51-$AI51-$AH51-$AG51-$AF51-$AE51*(1+EB$3))/$AJ51,'Технический лист'!$M:$N,2,1)-VLOOKUP($AO51,'Технический лист'!$M:$N,2,1)),1+(1-$AU51))</f>
        <v/>
      </c>
      <c r="EC51" s="172">
        <f>MIN(IF($AU51=100%,1,1+VLOOKUP(($AJ51-$AI51-$AH51-$AG51-$AF51-$AE51*(1+EC$3))/$AJ51,'Технический лист'!$M:$N,2,1)-VLOOKUP($AO51,'Технический лист'!$M:$N,2,1)),1+(1-$AU51))</f>
        <v/>
      </c>
      <c r="ED51" s="172">
        <f>MIN(IF($AU51=100%,1,1+VLOOKUP(($AJ51-$AI51-$AH51-$AG51-$AF51-$AE51*(1+ED$3))/$AJ51,'Технический лист'!$M:$N,2,1)-VLOOKUP($AO51,'Технический лист'!$M:$N,2,1)),1+(1-$AU51))</f>
        <v/>
      </c>
      <c r="EE51" s="172">
        <f>MIN(IF($AU51=100%,1,1+VLOOKUP(($AJ51-$AI51-$AH51-$AG51-$AF51-$AE51*(1+EE$3))/$AJ51,'Технический лист'!$M:$N,2,1)-VLOOKUP($AO51,'Технический лист'!$M:$N,2,1)),1+(1-$AU51))</f>
        <v/>
      </c>
      <c r="EF51" s="172">
        <f>MIN(IF($AU51=100%,1,1+VLOOKUP(($AJ51-$AI51-$AH51-$AG51-$AF51-$AE51*(1+EF$3))/$AJ51,'Технический лист'!$M:$N,2,1)-VLOOKUP($AO51,'Технический лист'!$M:$N,2,1)),1+(1-$AU51))</f>
        <v/>
      </c>
      <c r="EG51" s="172">
        <f>MIN(IF($AU51=100%,1,1+VLOOKUP(($AJ51-$AI51-$AH51-$AG51-$AF51-$AE51*(1+EG$3))/$AJ51,'Технический лист'!$M:$N,2,1)-VLOOKUP($AO51,'Технический лист'!$M:$N,2,1)),1+(1-$AU51))</f>
        <v/>
      </c>
      <c r="EH51" s="172">
        <f>MIN(IF($AU51=100%,1,1+VLOOKUP(($AJ51-$AI51-$AH51-$AG51-$AF51-$AE51*(1+EH$3))/$AJ51,'Технический лист'!$M:$N,2,1)-VLOOKUP($AO51,'Технический лист'!$M:$N,2,1)),1+(1-$AU51))</f>
        <v/>
      </c>
      <c r="EI51" s="172">
        <f>MIN(IF($AU51=100%,1,1+VLOOKUP(($AJ51-$AI51-$AH51-$AG51-$AF51-$AE51*(1+EI$3))/$AJ51,'Технический лист'!$M:$N,2,1)-VLOOKUP($AO51,'Технический лист'!$M:$N,2,1)),1+(1-$AU51))</f>
        <v/>
      </c>
      <c r="EJ51" s="172">
        <f>MIN(IF($AU51=100%,1,1+VLOOKUP(($AJ51-$AI51-$AH51-$AG51-$AF51-$AE51*(1+EJ$3))/$AJ51,'Технический лист'!$M:$N,2,1)-VLOOKUP($AO51,'Технический лист'!$M:$N,2,1)),1+(1-$AU51))</f>
        <v/>
      </c>
      <c r="EK51" s="172">
        <f>MIN(IF($AU51=100%,1,1+VLOOKUP(($AJ51-$AI51-$AH51-$AG51-$AF51-$AE51*(1+EK$3))/$AJ51,'Технический лист'!$M:$N,2,1)-VLOOKUP($AO51,'Технический лист'!$M:$N,2,1)),1+(1-$AU51))</f>
        <v/>
      </c>
      <c r="EL51" s="172">
        <f>MIN(IF($AU51=100%,1,1+VLOOKUP(($AJ51-$AI51-$AH51-$AG51-$AF51-$AE51*(1+EL$3))/$AJ51,'Технический лист'!$M:$N,2,1)-VLOOKUP($AO51,'Технический лист'!$M:$N,2,1)),1+(1-$AU51))</f>
        <v/>
      </c>
      <c r="EM51" s="172">
        <f>MIN(IF($AU51=100%,1,1+VLOOKUP(($AJ51-$AI51-$AH51-$AG51-$AF51-$AE51*(1+EM$3))/$AJ51,'Технический лист'!$M:$N,2,1)-VLOOKUP($AO51,'Технический лист'!$M:$N,2,1)),1+(1-$AU51))</f>
        <v/>
      </c>
      <c r="EN51" s="172">
        <f>MIN(IF($AU51=100%,1,1+VLOOKUP(($AJ51-$AI51-$AH51-$AG51-$AF51-$AE51*(1+EN$3))/$AJ51,'Технический лист'!$M:$N,2,1)-VLOOKUP($AO51,'Технический лист'!$M:$N,2,1)),1+(1-$AU51))</f>
        <v/>
      </c>
      <c r="EO51" s="172">
        <f>MIN(IF($AU51=100%,1,1+VLOOKUP(($AJ51-$AI51-$AH51-$AG51-$AF51-$AE51*(1+EO$3))/$AJ51,'Технический лист'!$M:$N,2,1)-VLOOKUP($AO51,'Технический лист'!$M:$N,2,1)),1+(1-$AU51))</f>
        <v/>
      </c>
      <c r="EP51" s="172">
        <f>MIN(IF($AU51=100%,1,1+VLOOKUP(($AJ51-$AI51-$AH51-$AG51-$AF51-$AE51*(1+EP$3))/$AJ51,'Технический лист'!$M:$N,2,1)-VLOOKUP($AO51,'Технический лист'!$M:$N,2,1)),1+(1-$AU51))</f>
        <v/>
      </c>
      <c r="EQ51" s="172">
        <f>MIN(IF($AU51=100%,1,1+VLOOKUP(($AJ51-$AI51-$AH51-$AG51-$AF51-$AE51*(1+EQ$3))/$AJ51,'Технический лист'!$M:$N,2,1)-VLOOKUP($AO51,'Технический лист'!$M:$N,2,1)),1+(1-$AU51))</f>
        <v/>
      </c>
      <c r="ER51" s="172">
        <f>MIN(IF($AU51=100%,1,1+VLOOKUP(($AJ51-$AI51-$AH51-$AG51-$AF51-$AE51*(1+ER$3))/$AJ51,'Технический лист'!$M:$N,2,1)-VLOOKUP($AO51,'Технический лист'!$M:$N,2,1)),1+(1-$AU51))</f>
        <v/>
      </c>
      <c r="ES51" s="172">
        <f>MIN(IF($AU51=100%,1,1+VLOOKUP(($AJ51-$AI51-$AH51-$AG51-$AF51-$AE51*(1+ES$3))/$AJ51,'Технический лист'!$M:$N,2,1)-VLOOKUP($AO51,'Технический лист'!$M:$N,2,1)),1+(1-$AU51))</f>
        <v/>
      </c>
      <c r="ET51" s="172">
        <f>MIN(IF($AU51=100%,1,1+VLOOKUP(($AJ51-$AI51-$AH51-$AG51-$AF51-$AE51*(1+ET$3))/$AJ51,'Технический лист'!$M:$N,2,1)-VLOOKUP($AO51,'Технический лист'!$M:$N,2,1)),1+(1-$AU51))</f>
        <v/>
      </c>
      <c r="EU51" s="172">
        <f>MIN(IF($AU51=100%,1,1+VLOOKUP(($AJ51-$AI51-$AH51-$AG51-$AF51-$AE51*(1+EU$3))/$AJ51,'Технический лист'!$M:$N,2,1)-VLOOKUP($AO51,'Технический лист'!$M:$N,2,1)),1+(1-$AU51))</f>
        <v/>
      </c>
      <c r="EV51" s="173" t="n">
        <v>1</v>
      </c>
      <c r="EW51" s="172">
        <f>MIN(1,MAX(VLOOKUP(($AJ51-$AI51-$AH51-$AG51-$AF51-$AE51*(1+EW$3))/$AJ51,'Технический лист'!$M:$N,2,1),(EV51-0.05)))</f>
        <v/>
      </c>
      <c r="EX51" s="172">
        <f>MIN(1,MAX(VLOOKUP(($AJ51-$AI51-$AH51-$AG51-$AF51-$AE51*(1+EX$3))/$AJ51,'Технический лист'!$M:$N,2,1),(EW51-0.05)))</f>
        <v/>
      </c>
      <c r="EY51" s="172">
        <f>MIN(1,MAX(VLOOKUP(($AJ51-$AI51-$AH51-$AG51-$AF51-$AE51*(1+EY$3))/$AJ51,'Технический лист'!$M:$N,2,1),(EX51-0.05)))</f>
        <v/>
      </c>
      <c r="EZ51" s="172">
        <f>MIN(1,MAX(VLOOKUP(($AJ51-$AI51-$AH51-$AG51-$AF51-$AE51*(1+EZ$3))/$AJ51,'Технический лист'!$M:$N,2,1),(EY51-0.05)))</f>
        <v/>
      </c>
      <c r="FA51" s="172">
        <f>MIN(1,MAX(VLOOKUP(($AJ51-$AI51-$AH51-$AG51-$AF51-$AE51*(1+FA$3))/$AJ51,'Технический лист'!$M:$N,2,1),(EZ51-0.05)))</f>
        <v/>
      </c>
      <c r="FB51" s="172">
        <f>MIN(1,MAX(VLOOKUP(($AJ51-$AI51-$AH51-$AG51-$AF51-$AE51*(1+FB$3))/$AJ51,'Технический лист'!$M:$N,2,1),(FA51-0.05)))</f>
        <v/>
      </c>
      <c r="FC51" s="172">
        <f>MIN(1,MAX(VLOOKUP(($AJ51-$AI51-$AH51-$AG51-$AF51-$AE51*(1+FC$3))/$AJ51,'Технический лист'!$M:$N,2,1),(FB51-0.05)))</f>
        <v/>
      </c>
      <c r="FD51" s="172">
        <f>MIN(1,MAX(VLOOKUP(($AJ51-$AI51-$AH51-$AG51-$AF51-$AE51*(1+FD$3))/$AJ51,'Технический лист'!$M:$N,2,1),(FC51-0.05)))</f>
        <v/>
      </c>
      <c r="FE51" s="172">
        <f>MIN(1,MAX(VLOOKUP(($AJ51-$AI51-$AH51-$AG51-$AF51-$AE51*(1+FE$3))/$AJ51,'Технический лист'!$M:$N,2,1),(FD51-0.05)))</f>
        <v/>
      </c>
      <c r="FF51" s="172">
        <f>MIN(1,MAX(VLOOKUP(($AJ51-$AI51-$AH51-$AG51-$AF51-$AE51*(1+FF$3))/$AJ51,'Технический лист'!$M:$N,2,1),(FE51-0.05)))</f>
        <v/>
      </c>
      <c r="FG51" s="172">
        <f>MIN(1,MAX(VLOOKUP(($AJ51-$AI51-$AH51-$AG51-$AF51-$AE51*(1+FG$3))/$AJ51,'Технический лист'!$M:$N,2,1),(FF51-0.05)))</f>
        <v/>
      </c>
      <c r="FH51" s="172">
        <f>MIN(1,MAX(VLOOKUP(($AJ51-$AI51-$AH51-$AG51-$AF51-$AE51*(1+FH$3))/$AJ51,'Технический лист'!$M:$N,2,1),(FG51-0.05)))</f>
        <v/>
      </c>
      <c r="FI51" s="172">
        <f>MIN(1,MAX(VLOOKUP(($AJ51-$AI51-$AH51-$AG51-$AF51-$AE51*(1+FI$3))/$AJ51,'Технический лист'!$M:$N,2,1),(FH51-0.05)))</f>
        <v/>
      </c>
      <c r="FJ51" s="172">
        <f>MIN(1,MAX(VLOOKUP(($AJ51-$AI51-$AH51-$AG51-$AF51-$AE51*(1+FJ$3))/$AJ51,'Технический лист'!$M:$N,2,1),(FI51-0.05)))</f>
        <v/>
      </c>
      <c r="FK51" s="172">
        <f>MIN(1,MAX(VLOOKUP(($AJ51-$AI51-$AH51-$AG51-$AF51-$AE51*(1+FK$3))/$AJ51,'Технический лист'!$M:$N,2,1),(FJ51-0.05)))</f>
        <v/>
      </c>
      <c r="FL51" s="172">
        <f>MIN(1,MAX(VLOOKUP(($AJ51-$AI51-$AH51-$AG51-$AF51-$AE51*(1+FL$3))/$AJ51,'Технический лист'!$M:$N,2,1),(FK51-0.05)))</f>
        <v/>
      </c>
      <c r="FM51" s="172">
        <f>MIN(1,MAX(VLOOKUP(($AJ51-$AI51-$AH51-$AG51-$AF51-$AE51*(1+FM$3))/$AJ51,'Технический лист'!$M:$N,2,1),(FL51-0.05)))</f>
        <v/>
      </c>
      <c r="FN51" s="172">
        <f>MIN(1,MAX(VLOOKUP(($AJ51-$AI51-$AH51-$AG51-$AF51-$AE51*(1+FN$3))/$AJ51,'Технический лист'!$M:$N,2,1),(FM51-0.05)))</f>
        <v/>
      </c>
      <c r="FO51" s="172">
        <f>MIN(1,MAX(VLOOKUP(($AJ51-$AI51-$AH51-$AG51-$AF51-$AE51*(1+FO$3))/$AJ51,'Технический лист'!$M:$N,2,1),(FN51-0.05)))</f>
        <v/>
      </c>
      <c r="FP51" s="172">
        <f>MIN(1,MAX(VLOOKUP(($AJ51-$AI51-$AH51-$AG51-$AF51-$AE51*(1+FP$3))/$AJ51,'Технический лист'!$M:$N,2,1),(FO51-0.05)))</f>
        <v/>
      </c>
      <c r="FQ51" s="172">
        <f>MIN(1,MAX(VLOOKUP(($AJ51-$AI51-$AH51-$AG51-$AF51-$AE51*(1+FQ$3))/$AJ51,'Технический лист'!$M:$N,2,1),(FP51-0.05)))</f>
        <v/>
      </c>
      <c r="FR51" s="172">
        <f>MIN(1,MAX(VLOOKUP(($AJ51-$AI51-$AH51-$AG51-$AF51-$AE51*(1+FR$3))/$AJ51,'Технический лист'!$M:$N,2,1),(FQ51-0.05)))</f>
        <v/>
      </c>
      <c r="FS51" s="172">
        <f>MIN(1,MAX(VLOOKUP(($AJ51-$AI51-$AH51-$AG51-$AF51-$AE51*(1+FS$3))/$AJ51,'Технический лист'!$M:$N,2,1),(FR51-0.05)))</f>
        <v/>
      </c>
      <c r="FT51" s="172">
        <f>MIN(1,MAX(VLOOKUP(($AJ51-$AI51-$AH51-$AG51-$AF51-$AE51*(1+FT$3))/$AJ51,'Технический лист'!$M:$N,2,1),(FS51-0.05)))</f>
        <v/>
      </c>
      <c r="FU51" s="172">
        <f>MIN(1,MAX(VLOOKUP(($AJ51-$AI51-$AH51-$AG51-$AF51-$AE51*(1+FU$3))/$AJ51,'Технический лист'!$M:$N,2,1),(FT51-0.05)))</f>
        <v/>
      </c>
      <c r="FV51" s="172">
        <f>MIN(1,MAX(VLOOKUP(($AJ51-$AI51-$AH51-$AG51-$AF51-$AE51*(1+FV$3))/$AJ51,'Технический лист'!$M:$N,2,1),(FU51-0.05)))</f>
        <v/>
      </c>
      <c r="FW51" s="172">
        <f>MIN(1,MAX(VLOOKUP(($AJ51-$AI51-$AH51-$AG51-$AF51-$AE51*(1+FW$3))/$AJ51,'Технический лист'!$M:$N,2,1),(FV51-0.05)))</f>
        <v/>
      </c>
      <c r="FX51" s="172">
        <f>MIN(1,MAX(VLOOKUP(($AJ51-$AI51-$AH51-$AG51-$AF51-$AE51*(1+FX$3))/$AJ51,'Технический лист'!$M:$N,2,1),(FW51-0.05)))</f>
        <v/>
      </c>
      <c r="FY51" s="172">
        <f>MIN(1,MAX(VLOOKUP(($AJ51-$AI51-$AH51-$AG51-$AF51-$AE51*(1+FY$3))/$AJ51,'Технический лист'!$M:$N,2,1),(FX51-0.05)))</f>
        <v/>
      </c>
      <c r="FZ51" s="172">
        <f>MIN(1,MAX(VLOOKUP(($AJ51-$AI51-$AH51-$AG51-$AF51-$AE51*(1+FZ$3))/$AJ51,'Технический лист'!$M:$N,2,1),(FY51-0.05)))</f>
        <v/>
      </c>
      <c r="GA51" s="172">
        <f>MIN(1,MAX(VLOOKUP(($AJ51-$AI51-$AH51-$AG51-$AF51-$AE51*(1+GA$3))/$AJ51,'Технический лист'!$M:$N,2,1),(FZ51-0.05)))</f>
        <v/>
      </c>
      <c r="GB51" s="172">
        <f>MIN(1,MAX(VLOOKUP(($AJ51-$AI51-$AH51-$AG51-$AF51-$AE51*(1+GB$3))/$AJ51,'Технический лист'!$M:$N,2,1),(GA51-0.05)))</f>
        <v/>
      </c>
      <c r="GC51" s="172">
        <f>MIN(1,MAX(VLOOKUP(($AJ51-$AI51-$AH51-$AG51-$AF51-$AE51*(1+GC$3))/$AJ51,'Технический лист'!$M:$N,2,1),(GB51-0.05)))</f>
        <v/>
      </c>
      <c r="GD51" s="172">
        <f>MIN(1,MAX(VLOOKUP(($AJ51-$AI51-$AH51-$AG51-$AF51-$AE51*(1+GD$3))/$AJ51,'Технический лист'!$M:$N,2,1),(GC51-0.05)))</f>
        <v/>
      </c>
      <c r="GE51" s="172">
        <f>MIN(1,MAX(VLOOKUP(($AJ51-$AI51-$AH51-$AG51-$AF51-$AE51*(1+GE$3))/$AJ51,'Технический лист'!$M:$N,2,1),(GD51-0.05)))</f>
        <v/>
      </c>
      <c r="GF51" s="172">
        <f>MIN(1,MAX(VLOOKUP(($AJ51-$AI51-$AH51-$AG51-$AF51-$AE51*(1+GF$3))/$AJ51,'Технический лист'!$M:$N,2,1),(GE51-0.05)))</f>
        <v/>
      </c>
      <c r="GG51" s="172">
        <f>MIN(1,MAX(VLOOKUP(($AJ51-$AI51-$AH51-$AG51-$AF51-$AE51*(1+GG$3))/$AJ51,'Технический лист'!$M:$N,2,1),(GF51-0.05)))</f>
        <v/>
      </c>
      <c r="GH51" s="172">
        <f>MIN(1,MAX(VLOOKUP(($AJ51-$AI51-$AH51-$AG51-$AF51-$AE51*(1+GH$3))/$AJ51,'Технический лист'!$M:$N,2,1),(GG51-0.05)))</f>
        <v/>
      </c>
      <c r="GI51" s="172">
        <f>MIN(1,MAX(VLOOKUP(($AJ51-$AI51-$AH51-$AG51-$AF51-$AE51*(1+GI$3))/$AJ51,'Технический лист'!$M:$N,2,1),(GH51-0.05)))</f>
        <v/>
      </c>
      <c r="GJ51" s="172">
        <f>MIN(1,MAX(VLOOKUP(($AJ51-$AI51-$AH51-$AG51-$AF51-$AE51*(1+GJ$3))/$AJ51,'Технический лист'!$M:$N,2,1),(GI51-0.05)))</f>
        <v/>
      </c>
      <c r="GK51" s="172">
        <f>MIN(1,MAX(VLOOKUP(($AJ51-$AI51-$AH51-$AG51-$AF51-$AE51*(1+GK$3))/$AJ51,'Технический лист'!$M:$N,2,1),(GJ51-0.05)))</f>
        <v/>
      </c>
      <c r="GL51" s="172">
        <f>MIN(1,MAX(VLOOKUP(($AJ51-$AI51-$AH51-$AG51-$AF51-$AE51*(1+GL$3))/$AJ51,'Технический лист'!$M:$N,2,1),(GK51-0.05)))</f>
        <v/>
      </c>
      <c r="GM51" s="172">
        <f>MIN(1,MAX(VLOOKUP(($AJ51-$AI51-$AH51-$AG51-$AF51-$AE51*(1+GM$3))/$AJ51,'Технический лист'!$M:$N,2,1),(GL51-0.05)))</f>
        <v/>
      </c>
      <c r="GN51" s="172">
        <f>MIN(1,MAX(VLOOKUP(($AJ51-$AI51-$AH51-$AG51-$AF51-$AE51*(1+GN$3))/$AJ51,'Технический лист'!$M:$N,2,1),(GM51-0.05)))</f>
        <v/>
      </c>
      <c r="GO51" s="172">
        <f>MIN(1,MAX(VLOOKUP(($AJ51-$AI51-$AH51-$AG51-$AF51-$AE51*(1+GO$3))/$AJ51,'Технический лист'!$M:$N,2,1),(GN51-0.05)))</f>
        <v/>
      </c>
      <c r="GP51" s="172">
        <f>MIN(1,MAX(VLOOKUP(($AJ51-$AI51-$AH51-$AG51-$AF51-$AE51*(1+GP$3))/$AJ51,'Технический лист'!$M:$N,2,1),(GO51-0.05)))</f>
        <v/>
      </c>
      <c r="GQ51" s="172">
        <f>MIN(1,MAX(VLOOKUP(($AJ51-$AI51-$AH51-$AG51-$AF51-$AE51*(1+GQ$3))/$AJ51,'Технический лист'!$M:$N,2,1),(GP51-0.05)))</f>
        <v/>
      </c>
      <c r="GR51" s="172">
        <f>MIN(1,MAX(VLOOKUP(($AJ51-$AI51-$AH51-$AG51-$AF51-$AE51*(1+GR$3))/$AJ51,'Технический лист'!$M:$N,2,1),(GQ51-0.05)))</f>
        <v/>
      </c>
      <c r="GS51" s="172">
        <f>MIN(1,MAX(VLOOKUP(($AJ51-$AI51-$AH51-$AG51-$AF51-$AE51*(1+GS$3))/$AJ51,'Технический лист'!$M:$N,2,1),(GR51-0.05)))</f>
        <v/>
      </c>
      <c r="GT51" s="172">
        <f>MIN(1,MAX(VLOOKUP(($AJ51-$AI51-$AH51-$AG51-$AF51-$AE51*(1+GT$3))/$AJ51,'Технический лист'!$M:$N,2,1),(GS51-0.05)))</f>
        <v/>
      </c>
      <c r="GU51" s="172">
        <f>MIN(1,MAX(VLOOKUP(($AJ51-$AI51-$AH51-$AG51-$AF51-$AE51*(1+GU$3))/$AJ51,'Технический лист'!$M:$N,2,1),(GT51-0.05)))</f>
        <v/>
      </c>
      <c r="GV51" s="172">
        <f>MIN(1,MAX(VLOOKUP(($AJ51-$AI51-$AH51-$AG51-$AF51-$AE51*(1+GV$3))/$AJ51,'Технический лист'!$M:$N,2,1),(GU51-0.05)))</f>
        <v/>
      </c>
      <c r="GW51" s="172">
        <f>MIN(1,MAX(VLOOKUP(($AJ51-$AI51-$AH51-$AG51-$AF51-$AE51*(1+GW$3))/$AJ51,'Технический лист'!$M:$N,2,1),(GV51-0.05)))</f>
        <v/>
      </c>
      <c r="GX51" s="172">
        <f>MIN(1,MAX(VLOOKUP(($AJ51-$AI51-$AH51-$AG51-$AF51-$AE51*(1+GX$3))/$AJ51,'Технический лист'!$M:$N,2,1),(GW51-0.05)))</f>
        <v/>
      </c>
      <c r="GY51" s="172">
        <f>MIN(1,MAX(VLOOKUP(($AJ51-$AI51-$AH51-$AG51-$AF51-$AE51*(1+GY$3))/$AJ51,'Технический лист'!$M:$N,2,1),(GX51-0.05)))</f>
        <v/>
      </c>
      <c r="GZ51" s="172">
        <f>MIN(1,MAX(VLOOKUP(($AJ51-$AI51-$AH51-$AG51-$AF51-$AE51*(1+GZ$3))/$AJ51,'Технический лист'!$M:$N,2,1),(GY51-0.05)))</f>
        <v/>
      </c>
      <c r="HA51" s="172">
        <f>MIN(1,MAX(VLOOKUP(($AJ51-$AI51-$AH51-$AG51-$AF51-$AE51*(1+HA$3))/$AJ51,'Технический лист'!$M:$N,2,1),(GZ51-0.05)))</f>
        <v/>
      </c>
      <c r="HB51" s="172">
        <f>MIN(1,MAX(VLOOKUP(($AJ51-$AI51-$AH51-$AG51-$AF51-$AE51*(1+HB$3))/$AJ51,'Технический лист'!$M:$N,2,1),(HA51-0.05)))</f>
        <v/>
      </c>
      <c r="HC51" s="172">
        <f>MIN(1,MAX(VLOOKUP(($AJ51-$AI51-$AH51-$AG51-$AF51-$AE51*(1+HC$3))/$AJ51,'Технический лист'!$M:$N,2,1),(HB51-0.05)))</f>
        <v/>
      </c>
      <c r="HD51" s="172">
        <f>MIN(1,MAX(VLOOKUP(($AJ51-$AI51-$AH51-$AG51-$AF51-$AE51*(1+HD$3))/$AJ51,'Технический лист'!$M:$N,2,1),(HC51-0.05)))</f>
        <v/>
      </c>
      <c r="HE51" s="172">
        <f>MIN(1,MAX(VLOOKUP(($AJ51-$AI51-$AH51-$AG51-$AF51-$AE51*(1+HE$3))/$AJ51,'Технический лист'!$M:$N,2,1),(HD51-0.05)))</f>
        <v/>
      </c>
      <c r="HF51" s="172">
        <f>MIN(1,MAX(VLOOKUP(($AJ51-$AI51-$AH51-$AG51-$AF51-$AE51*(1+HF$3))/$AJ51,'Технический лист'!$M:$N,2,1),(HE51-0.05)))</f>
        <v/>
      </c>
      <c r="HG51" s="172">
        <f>MIN(1,MAX(VLOOKUP(($AJ51-$AI51-$AH51-$AG51-$AF51-$AE51*(1+HG$3))/$AJ51,'Технический лист'!$M:$N,2,1),(HF51-0.05)))</f>
        <v/>
      </c>
      <c r="HH51" s="172">
        <f>MIN(1,MAX(VLOOKUP(($AJ51-$AI51-$AH51-$AG51-$AF51-$AE51*(1+HH$3))/$AJ51,'Технический лист'!$M:$N,2,1),(HG51-0.05)))</f>
        <v/>
      </c>
      <c r="HI51" s="172">
        <f>MIN(1,MAX(VLOOKUP(($AJ51-$AI51-$AH51-$AG51-$AF51-$AE51*(1+HI$3))/$AJ51,'Технический лист'!$M:$N,2,1),(HH51-0.05)))</f>
        <v/>
      </c>
      <c r="HJ51" s="172">
        <f>MIN(1,MAX(VLOOKUP(($AJ51-$AI51-$AH51-$AG51-$AF51-$AE51*(1+HJ$3))/$AJ51,'Технический лист'!$M:$N,2,1),(HI51-0.05)))</f>
        <v/>
      </c>
      <c r="HK51" s="172">
        <f>MIN(1,MAX(VLOOKUP(($AJ51-$AI51-$AH51-$AG51-$AF51-$AE51*(1+HK$3))/$AJ51,'Технический лист'!$M:$N,2,1),(HJ51-0.05)))</f>
        <v/>
      </c>
      <c r="HL51" s="172">
        <f>MIN(1,MAX(VLOOKUP(($AJ51-$AI51-$AH51-$AG51-$AF51-$AE51*(1+HL$3))/$AJ51,'Технический лист'!$M:$N,2,1),(HK51-0.05)))</f>
        <v/>
      </c>
      <c r="HM51" s="172">
        <f>MIN(1,MAX(VLOOKUP(($AJ51-$AI51-$AH51-$AG51-$AF51-$AE51*(1+HM$3))/$AJ51,'Технический лист'!$M:$N,2,1),(HL51-0.05)))</f>
        <v/>
      </c>
      <c r="HN51" s="172">
        <f>MIN(1,MAX(VLOOKUP(($AJ51-$AI51-$AH51-$AG51-$AF51-$AE51*(1+HN$3))/$AJ51,'Технический лист'!$M:$N,2,1),(HM51-0.05)))</f>
        <v/>
      </c>
      <c r="HO51" s="172">
        <f>MIN(1,MAX(VLOOKUP(($AJ51-$AI51-$AH51-$AG51-$AF51-$AE51*(1+HO$3))/$AJ51,'Технический лист'!$M:$N,2,1),(HN51-0.05)))</f>
        <v/>
      </c>
      <c r="HP51" s="172">
        <f>MIN(1,MAX(VLOOKUP(($AJ51-$AI51-$AH51-$AG51-$AF51-$AE51*(1+HP$3))/$AJ51,'Технический лист'!$M:$N,2,1),(HO51-0.05)))</f>
        <v/>
      </c>
      <c r="HQ51" s="172">
        <f>MIN(1,MAX(VLOOKUP(($AJ51-$AI51-$AH51-$AG51-$AF51-$AE51*(1+HQ$3))/$AJ51,'Технический лист'!$M:$N,2,1),(HP51-0.05)))</f>
        <v/>
      </c>
      <c r="HR51" s="172">
        <f>MIN(1,MAX(VLOOKUP(($AJ51-$AI51-$AH51-$AG51-$AF51-$AE51*(1+HR$3))/$AJ51,'Технический лист'!$M:$N,2,1),(HQ51-0.05)))</f>
        <v/>
      </c>
      <c r="HS51" s="172">
        <f>MIN(1,MAX(VLOOKUP(($AJ51-$AI51-$AH51-$AG51-$AF51-$AE51*(1+HS$3))/$AJ51,'Технический лист'!$M:$N,2,1),(HR51-0.05)))</f>
        <v/>
      </c>
      <c r="HT51" s="172">
        <f>MIN(1,MAX(VLOOKUP(($AJ51-$AI51-$AH51-$AG51-$AF51-$AE51*(1+HT$3))/$AJ51,'Технический лист'!$M:$N,2,1),(HS51-0.05)))</f>
        <v/>
      </c>
      <c r="HU51" s="172">
        <f>MIN(1,MAX(VLOOKUP(($AJ51-$AI51-$AH51-$AG51-$AF51-$AE51*(1+HU$3))/$AJ51,'Технический лист'!$M:$N,2,1),(HT51-0.05)))</f>
        <v/>
      </c>
      <c r="HV51" s="172">
        <f>MIN(1,MAX(VLOOKUP(($AJ51-$AI51-$AH51-$AG51-$AF51-$AE51*(1+HV$3))/$AJ51,'Технический лист'!$M:$N,2,1),(HU51-0.05)))</f>
        <v/>
      </c>
      <c r="HW51" s="172">
        <f>MIN(1,MAX(VLOOKUP(($AJ51-$AI51-$AH51-$AG51-$AF51-$AE51*(1+HW$3))/$AJ51,'Технический лист'!$M:$N,2,1),(HV51-0.05)))</f>
        <v/>
      </c>
      <c r="HX51" s="172">
        <f>MIN(1,MAX(VLOOKUP(($AJ51-$AI51-$AH51-$AG51-$AF51-$AE51*(1+HX$3))/$AJ51,'Технический лист'!$M:$N,2,1),(HW51-0.05)))</f>
        <v/>
      </c>
      <c r="HY51" s="172">
        <f>MIN(1,MAX(VLOOKUP(($AJ51-$AI51-$AH51-$AG51-$AF51-$AE51*(1+HY$3))/$AJ51,'Технический лист'!$M:$N,2,1),(HX51-0.05)))</f>
        <v/>
      </c>
      <c r="HZ51" s="172">
        <f>MIN(1,MAX(VLOOKUP(($AJ51-$AI51-$AH51-$AG51-$AF51-$AE51*(1+HZ$3))/$AJ51,'Технический лист'!$M:$N,2,1),(HY51-0.05)))</f>
        <v/>
      </c>
      <c r="IA51" s="172">
        <f>MIN(1,MAX(VLOOKUP(($AJ51-$AI51-$AH51-$AG51-$AF51-$AE51*(1+IA$3))/$AJ51,'Технический лист'!$M:$N,2,1),(HZ51-0.05)))</f>
        <v/>
      </c>
      <c r="IB51" s="172">
        <f>MIN(1,MAX(VLOOKUP(($AJ51-$AI51-$AH51-$AG51-$AF51-$AE51*(1+IB$3))/$AJ51,'Технический лист'!$M:$N,2,1),(IA51-0.05)))</f>
        <v/>
      </c>
      <c r="IC51" s="172">
        <f>MIN(1,MAX(VLOOKUP(($AJ51-$AI51-$AH51-$AG51-$AF51-$AE51*(1+IC$3))/$AJ51,'Технический лист'!$M:$N,2,1),(IB51-0.05)))</f>
        <v/>
      </c>
      <c r="ID51" s="172">
        <f>MIN(1,MAX(VLOOKUP(($AJ51-$AI51-$AH51-$AG51-$AF51-$AE51*(1+ID$3))/$AJ51,'Технический лист'!$M:$N,2,1),(IC51-0.05)))</f>
        <v/>
      </c>
      <c r="IE51" s="172">
        <f>MIN(1,MAX(VLOOKUP(($AJ51-$AI51-$AH51-$AG51-$AF51-$AE51*(1+IE$3))/$AJ51,'Технический лист'!$M:$N,2,1),(ID51-0.05)))</f>
        <v/>
      </c>
      <c r="IF51" s="172">
        <f>MIN(1,MAX(VLOOKUP(($AJ51-$AI51-$AH51-$AG51-$AF51-$AE51*(1+IF$3))/$AJ51,'Технический лист'!$M:$N,2,1),(IE51-0.05)))</f>
        <v/>
      </c>
      <c r="IG51" s="172">
        <f>MIN(1,MAX(VLOOKUP(($AJ51-$AI51-$AH51-$AG51-$AF51-$AE51*(1+IG$3))/$AJ51,'Технический лист'!$M:$N,2,1),(IF51-0.05)))</f>
        <v/>
      </c>
      <c r="IH51" s="172">
        <f>MIN(1,MAX(VLOOKUP(($AJ51-$AI51-$AH51-$AG51-$AF51-$AE51*(1+IH$3))/$AJ51,'Технический лист'!$M:$N,2,1),(IG51-0.05)))</f>
        <v/>
      </c>
      <c r="II51" s="172">
        <f>MIN(1,MAX(VLOOKUP(($AJ51-$AI51-$AH51-$AG51-$AF51-$AE51*(1+II$3))/$AJ51,'Технический лист'!$M:$N,2,1),(IH51-0.05)))</f>
        <v/>
      </c>
      <c r="IJ51" s="172">
        <f>MIN(1,MAX(VLOOKUP(($AJ51-$AI51-$AH51-$AG51-$AF51-$AE51*(1+IJ$3))/$AJ51,'Технический лист'!$M:$N,2,1),(II51-0.05)))</f>
        <v/>
      </c>
      <c r="IK51" s="172">
        <f>MIN(1,MAX(VLOOKUP(($AJ51-$AI51-$AH51-$AG51-$AF51-$AE51*(1+IK$3))/$AJ51,'Технический лист'!$M:$N,2,1),(IJ51-0.05)))</f>
        <v/>
      </c>
      <c r="IL51" s="172">
        <f>MIN(1,MAX(VLOOKUP(($AJ51-$AI51-$AH51-$AG51-$AF51-$AE51*(1+IL$3))/$AJ51,'Технический лист'!$M:$N,2,1),(IK51-0.05)))</f>
        <v/>
      </c>
      <c r="IM51" s="172">
        <f>MIN(1,MAX(VLOOKUP(($AJ51-$AI51-$AH51-$AG51-$AF51-$AE51*(1+IM$3))/$AJ51,'Технический лист'!$M:$N,2,1),(IL51-0.05)))</f>
        <v/>
      </c>
      <c r="IN51" s="172">
        <f>MIN(1,MAX(VLOOKUP(($AJ51-$AI51-$AH51-$AG51-$AF51-$AE51*(1+IN$3))/$AJ51,'Технический лист'!$M:$N,2,1),(IM51-0.05)))</f>
        <v/>
      </c>
      <c r="IO51" s="172">
        <f>MIN(1,MAX(VLOOKUP(($AJ51-$AI51-$AH51-$AG51-$AF51-$AE51*(1+IO$3))/$AJ51,'Технический лист'!$M:$N,2,1),(IN51-0.05)))</f>
        <v/>
      </c>
      <c r="IP51" s="172">
        <f>MIN(1,MAX(VLOOKUP(($AJ51-$AI51-$AH51-$AG51-$AF51-$AE51*(1+IP$3))/$AJ51,'Технический лист'!$M:$N,2,1),(IO51-0.05)))</f>
        <v/>
      </c>
      <c r="IQ51" s="172">
        <f>MIN(1,MAX(VLOOKUP(($AJ51-$AI51-$AH51-$AG51-$AF51-$AE51*(1+IQ$3))/$AJ51,'Технический лист'!$M:$N,2,1),(IP51-0.05)))</f>
        <v/>
      </c>
      <c r="IR51" s="172">
        <f>MIN(1,MAX(VLOOKUP(($AJ51-$AI51-$AH51-$AG51-$AF51-$AE51*(1+IR$3))/$AJ51,'Технический лист'!$M:$N,2,1),(IQ51-0.05)))</f>
        <v/>
      </c>
    </row>
    <row r="52">
      <c r="A52" s="89" t="inlineStr">
        <is>
          <t>ЧМ (сырье)</t>
        </is>
      </c>
      <c r="B52" s="90" t="n">
        <v>4</v>
      </c>
      <c r="C52" s="5" t="inlineStr">
        <is>
          <t>Руды  всякие</t>
        </is>
      </c>
      <c r="D52" s="91" t="n">
        <v>14111</v>
      </c>
      <c r="E52" s="91" t="inlineStr">
        <is>
          <t xml:space="preserve">Окатыши железорудные </t>
        </is>
      </c>
      <c r="F52" s="92" t="inlineStr">
        <is>
          <t>РУДЫ И КОНЦЕНТРАТЫ ЖЕЛЕЗН</t>
        </is>
      </c>
      <c r="G52" s="91" t="inlineStr">
        <is>
          <t>МСК</t>
        </is>
      </c>
      <c r="H52" s="91" t="inlineStr">
        <is>
          <t>МСК</t>
        </is>
      </c>
      <c r="I52" s="91" t="inlineStr">
        <is>
          <t>КУРБАКИНСКАЯ</t>
        </is>
      </c>
      <c r="J52" s="91" t="inlineStr">
        <is>
          <t>ЯСНАЯ ПОЛЯНА</t>
        </is>
      </c>
      <c r="K52" s="91" t="n">
        <v>257</v>
      </c>
      <c r="L52" s="91" t="inlineStr">
        <is>
          <t>Полувагоны</t>
        </is>
      </c>
      <c r="M52" s="91" t="inlineStr">
        <is>
          <t>Внутр. перевозки</t>
        </is>
      </c>
      <c r="N52" s="91" t="inlineStr">
        <is>
          <t>вагонная</t>
        </is>
      </c>
      <c r="O52" s="91" t="inlineStr">
        <is>
          <t xml:space="preserve">Северо-Западное </t>
        </is>
      </c>
      <c r="P52" s="89" t="inlineStr">
        <is>
          <t>'000000186849</t>
        </is>
      </c>
      <c r="Q52" s="91" t="inlineStr">
        <is>
          <t>'АО "Михайловский ГОК"</t>
        </is>
      </c>
      <c r="R52" s="91" t="inlineStr">
        <is>
          <t>ООО УК "Металлоинвест"</t>
        </is>
      </c>
      <c r="S52" s="87" t="n">
        <v>423415</v>
      </c>
      <c r="T52" s="87" t="n">
        <v>108819046</v>
      </c>
      <c r="U52" s="88" t="n">
        <v>6072</v>
      </c>
      <c r="V52" s="88" t="n">
        <v>0</v>
      </c>
      <c r="W52" s="87" t="n">
        <v>136468943</v>
      </c>
      <c r="X52" s="112" t="n">
        <v>69</v>
      </c>
      <c r="Y52" s="112" t="inlineStr">
        <is>
          <t>маршрутная</t>
        </is>
      </c>
      <c r="Z52" s="113" t="n">
        <v>3</v>
      </c>
      <c r="AA52" s="113" t="n">
        <v>3</v>
      </c>
      <c r="AB52" s="113" t="n">
        <v>4</v>
      </c>
      <c r="AC52" s="161" t="n">
        <v>358.01</v>
      </c>
      <c r="AD52" s="161">
        <f>AE52-AC52</f>
        <v/>
      </c>
      <c r="AE52" s="161" t="n">
        <v>467.06</v>
      </c>
      <c r="AF52" s="162">
        <f>(Z52+AA52+AB52)*'Ставки аренды'!$B$3/X52</f>
        <v/>
      </c>
      <c r="AG52" s="163" t="n">
        <v>0</v>
      </c>
      <c r="AH52" s="164" t="n">
        <v>0</v>
      </c>
      <c r="AI52" s="165">
        <f>240828/411356*AVERAGE(AJ48,AJ49)</f>
        <v/>
      </c>
      <c r="AJ52" s="166">
        <f>Цены!$D$12</f>
        <v/>
      </c>
      <c r="AK52" s="164">
        <f>AJ52/Цены!$B$1</f>
        <v/>
      </c>
      <c r="AL52" s="164">
        <f>AE52+AF52+AG52</f>
        <v/>
      </c>
      <c r="AM52" s="164">
        <f>AJ52-AL52</f>
        <v/>
      </c>
      <c r="AN52" s="164">
        <f>AI52+AH52+AG52+AF52+AE52</f>
        <v/>
      </c>
      <c r="AO52" s="167">
        <f>(AJ52-AN52)/AJ52</f>
        <v/>
      </c>
      <c r="AP52" s="168">
        <f>AL52/AJ52</f>
        <v/>
      </c>
      <c r="AQ52" s="168">
        <f>AE52/AJ52</f>
        <v/>
      </c>
      <c r="AR52" s="168">
        <f>AE52/AL52</f>
        <v/>
      </c>
      <c r="AS52" s="169" t="n">
        <v>1</v>
      </c>
      <c r="AT52" s="121">
        <f>S52*AS52</f>
        <v/>
      </c>
      <c r="AU52" s="83" t="n">
        <v>0.9</v>
      </c>
      <c r="AV52" s="170">
        <f>(AJ52-(AE52*(1+$IS$2)+AF52+AG52+AH52+AI52))/AJ52</f>
        <v/>
      </c>
      <c r="AW52" s="171">
        <f>(AE52*(1+$IS$2)+AF52+AG52)/AJ52</f>
        <v/>
      </c>
      <c r="AX52" s="171">
        <f>(AE52*(1+$IS$2))/AJ52</f>
        <v/>
      </c>
      <c r="AY52" s="171">
        <f>(AE52*(1+$IS$2))/(AE52*(1+$IS$2)+AF52+AG52)</f>
        <v/>
      </c>
      <c r="AZ52" s="172">
        <f>MIN(IF($AU52=100%,1,1+VLOOKUP(($AJ52-$AI52-$AH52-$AG52-$AF52-$AE52*(1+AZ$3))/$AJ52,'Технический лист'!$M:$N,2,1)-VLOOKUP($AO52,'Технический лист'!$M:$N,2,1)),1+(1-$AU52))</f>
        <v/>
      </c>
      <c r="BA52" s="172">
        <f>MIN(IF($AU52=100%,1,1+VLOOKUP(($AJ52-$AI52-$AH52-$AG52-$AF52-$AE52*(1+BA$3))/$AJ52,'Технический лист'!$M:$N,2,1)-VLOOKUP($AO52,'Технический лист'!$M:$N,2,1)),1+(1-$AU52))</f>
        <v/>
      </c>
      <c r="BB52" s="172">
        <f>MIN(IF($AU52=100%,1,1+VLOOKUP(($AJ52-$AI52-$AH52-$AG52-$AF52-$AE52*(1+BB$3))/$AJ52,'Технический лист'!$M:$N,2,1)-VLOOKUP($AO52,'Технический лист'!$M:$N,2,1)),1+(1-$AU52))</f>
        <v/>
      </c>
      <c r="BC52" s="172">
        <f>MIN(IF($AU52=100%,1,1+VLOOKUP(($AJ52-$AI52-$AH52-$AG52-$AF52-$AE52*(1+BC$3))/$AJ52,'Технический лист'!$M:$N,2,1)-VLOOKUP($AO52,'Технический лист'!$M:$N,2,1)),1+(1-$AU52))</f>
        <v/>
      </c>
      <c r="BD52" s="172">
        <f>MIN(IF($AU52=100%,1,1+VLOOKUP(($AJ52-$AI52-$AH52-$AG52-$AF52-$AE52*(1+BD$3))/$AJ52,'Технический лист'!$M:$N,2,1)-VLOOKUP($AO52,'Технический лист'!$M:$N,2,1)),1+(1-$AU52))</f>
        <v/>
      </c>
      <c r="BE52" s="172">
        <f>MIN(IF($AU52=100%,1,1+VLOOKUP(($AJ52-$AI52-$AH52-$AG52-$AF52-$AE52*(1+BE$3))/$AJ52,'Технический лист'!$M:$N,2,1)-VLOOKUP($AO52,'Технический лист'!$M:$N,2,1)),1+(1-$AU52))</f>
        <v/>
      </c>
      <c r="BF52" s="172">
        <f>MIN(IF($AU52=100%,1,1+VLOOKUP(($AJ52-$AI52-$AH52-$AG52-$AF52-$AE52*(1+BF$3))/$AJ52,'Технический лист'!$M:$N,2,1)-VLOOKUP($AO52,'Технический лист'!$M:$N,2,1)),1+(1-$AU52))</f>
        <v/>
      </c>
      <c r="BG52" s="172">
        <f>MIN(IF($AU52=100%,1,1+VLOOKUP(($AJ52-$AI52-$AH52-$AG52-$AF52-$AE52*(1+BG$3))/$AJ52,'Технический лист'!$M:$N,2,1)-VLOOKUP($AO52,'Технический лист'!$M:$N,2,1)),1+(1-$AU52))</f>
        <v/>
      </c>
      <c r="BH52" s="172">
        <f>MIN(IF($AU52=100%,1,1+VLOOKUP(($AJ52-$AI52-$AH52-$AG52-$AF52-$AE52*(1+BH$3))/$AJ52,'Технический лист'!$M:$N,2,1)-VLOOKUP($AO52,'Технический лист'!$M:$N,2,1)),1+(1-$AU52))</f>
        <v/>
      </c>
      <c r="BI52" s="172">
        <f>MIN(IF($AU52=100%,1,1+VLOOKUP(($AJ52-$AI52-$AH52-$AG52-$AF52-$AE52*(1+BI$3))/$AJ52,'Технический лист'!$M:$N,2,1)-VLOOKUP($AO52,'Технический лист'!$M:$N,2,1)),1+(1-$AU52))</f>
        <v/>
      </c>
      <c r="BJ52" s="172">
        <f>MIN(IF($AU52=100%,1,1+VLOOKUP(($AJ52-$AI52-$AH52-$AG52-$AF52-$AE52*(1+BJ$3))/$AJ52,'Технический лист'!$M:$N,2,1)-VLOOKUP($AO52,'Технический лист'!$M:$N,2,1)),1+(1-$AU52))</f>
        <v/>
      </c>
      <c r="BK52" s="172">
        <f>MIN(IF($AU52=100%,1,1+VLOOKUP(($AJ52-$AI52-$AH52-$AG52-$AF52-$AE52*(1+BK$3))/$AJ52,'Технический лист'!$M:$N,2,1)-VLOOKUP($AO52,'Технический лист'!$M:$N,2,1)),1+(1-$AU52))</f>
        <v/>
      </c>
      <c r="BL52" s="172">
        <f>MIN(IF($AU52=100%,1,1+VLOOKUP(($AJ52-$AI52-$AH52-$AG52-$AF52-$AE52*(1+BL$3))/$AJ52,'Технический лист'!$M:$N,2,1)-VLOOKUP($AO52,'Технический лист'!$M:$N,2,1)),1+(1-$AU52))</f>
        <v/>
      </c>
      <c r="BM52" s="172">
        <f>MIN(IF($AU52=100%,1,1+VLOOKUP(($AJ52-$AI52-$AH52-$AG52-$AF52-$AE52*(1+BM$3))/$AJ52,'Технический лист'!$M:$N,2,1)-VLOOKUP($AO52,'Технический лист'!$M:$N,2,1)),1+(1-$AU52))</f>
        <v/>
      </c>
      <c r="BN52" s="172">
        <f>MIN(IF($AU52=100%,1,1+VLOOKUP(($AJ52-$AI52-$AH52-$AG52-$AF52-$AE52*(1+BN$3))/$AJ52,'Технический лист'!$M:$N,2,1)-VLOOKUP($AO52,'Технический лист'!$M:$N,2,1)),1+(1-$AU52))</f>
        <v/>
      </c>
      <c r="BO52" s="172">
        <f>MIN(IF($AU52=100%,1,1+VLOOKUP(($AJ52-$AI52-$AH52-$AG52-$AF52-$AE52*(1+BO$3))/$AJ52,'Технический лист'!$M:$N,2,1)-VLOOKUP($AO52,'Технический лист'!$M:$N,2,1)),1+(1-$AU52))</f>
        <v/>
      </c>
      <c r="BP52" s="172">
        <f>MIN(IF($AU52=100%,1,1+VLOOKUP(($AJ52-$AI52-$AH52-$AG52-$AF52-$AE52*(1+BP$3))/$AJ52,'Технический лист'!$M:$N,2,1)-VLOOKUP($AO52,'Технический лист'!$M:$N,2,1)),1+(1-$AU52))</f>
        <v/>
      </c>
      <c r="BQ52" s="172">
        <f>MIN(IF($AU52=100%,1,1+VLOOKUP(($AJ52-$AI52-$AH52-$AG52-$AF52-$AE52*(1+BQ$3))/$AJ52,'Технический лист'!$M:$N,2,1)-VLOOKUP($AO52,'Технический лист'!$M:$N,2,1)),1+(1-$AU52))</f>
        <v/>
      </c>
      <c r="BR52" s="172">
        <f>MIN(IF($AU52=100%,1,1+VLOOKUP(($AJ52-$AI52-$AH52-$AG52-$AF52-$AE52*(1+BR$3))/$AJ52,'Технический лист'!$M:$N,2,1)-VLOOKUP($AO52,'Технический лист'!$M:$N,2,1)),1+(1-$AU52))</f>
        <v/>
      </c>
      <c r="BS52" s="172">
        <f>MIN(IF($AU52=100%,1,1+VLOOKUP(($AJ52-$AI52-$AH52-$AG52-$AF52-$AE52*(1+BS$3))/$AJ52,'Технический лист'!$M:$N,2,1)-VLOOKUP($AO52,'Технический лист'!$M:$N,2,1)),1+(1-$AU52))</f>
        <v/>
      </c>
      <c r="BT52" s="172">
        <f>MIN(IF($AU52=100%,1,1+VLOOKUP(($AJ52-$AI52-$AH52-$AG52-$AF52-$AE52*(1+BT$3))/$AJ52,'Технический лист'!$M:$N,2,1)-VLOOKUP($AO52,'Технический лист'!$M:$N,2,1)),1+(1-$AU52))</f>
        <v/>
      </c>
      <c r="BU52" s="172">
        <f>MIN(IF($AU52=100%,1,1+VLOOKUP(($AJ52-$AI52-$AH52-$AG52-$AF52-$AE52*(1+BU$3))/$AJ52,'Технический лист'!$M:$N,2,1)-VLOOKUP($AO52,'Технический лист'!$M:$N,2,1)),1+(1-$AU52))</f>
        <v/>
      </c>
      <c r="BV52" s="172">
        <f>MIN(IF($AU52=100%,1,1+VLOOKUP(($AJ52-$AI52-$AH52-$AG52-$AF52-$AE52*(1+BV$3))/$AJ52,'Технический лист'!$M:$N,2,1)-VLOOKUP($AO52,'Технический лист'!$M:$N,2,1)),1+(1-$AU52))</f>
        <v/>
      </c>
      <c r="BW52" s="172">
        <f>MIN(IF($AU52=100%,1,1+VLOOKUP(($AJ52-$AI52-$AH52-$AG52-$AF52-$AE52*(1+BW$3))/$AJ52,'Технический лист'!$M:$N,2,1)-VLOOKUP($AO52,'Технический лист'!$M:$N,2,1)),1+(1-$AU52))</f>
        <v/>
      </c>
      <c r="BX52" s="172">
        <f>MIN(IF($AU52=100%,1,1+VLOOKUP(($AJ52-$AI52-$AH52-$AG52-$AF52-$AE52*(1+BX$3))/$AJ52,'Технический лист'!$M:$N,2,1)-VLOOKUP($AO52,'Технический лист'!$M:$N,2,1)),1+(1-$AU52))</f>
        <v/>
      </c>
      <c r="BY52" s="172">
        <f>MIN(IF($AU52=100%,1,1+VLOOKUP(($AJ52-$AI52-$AH52-$AG52-$AF52-$AE52*(1+BY$3))/$AJ52,'Технический лист'!$M:$N,2,1)-VLOOKUP($AO52,'Технический лист'!$M:$N,2,1)),1+(1-$AU52))</f>
        <v/>
      </c>
      <c r="BZ52" s="172">
        <f>MIN(IF($AU52=100%,1,1+VLOOKUP(($AJ52-$AI52-$AH52-$AG52-$AF52-$AE52*(1+BZ$3))/$AJ52,'Технический лист'!$M:$N,2,1)-VLOOKUP($AO52,'Технический лист'!$M:$N,2,1)),1+(1-$AU52))</f>
        <v/>
      </c>
      <c r="CA52" s="172">
        <f>MIN(IF($AU52=100%,1,1+VLOOKUP(($AJ52-$AI52-$AH52-$AG52-$AF52-$AE52*(1+CA$3))/$AJ52,'Технический лист'!$M:$N,2,1)-VLOOKUP($AO52,'Технический лист'!$M:$N,2,1)),1+(1-$AU52))</f>
        <v/>
      </c>
      <c r="CB52" s="172">
        <f>MIN(IF($AU52=100%,1,1+VLOOKUP(($AJ52-$AI52-$AH52-$AG52-$AF52-$AE52*(1+CB$3))/$AJ52,'Технический лист'!$M:$N,2,1)-VLOOKUP($AO52,'Технический лист'!$M:$N,2,1)),1+(1-$AU52))</f>
        <v/>
      </c>
      <c r="CC52" s="172">
        <f>MIN(IF($AU52=100%,1,1+VLOOKUP(($AJ52-$AI52-$AH52-$AG52-$AF52-$AE52*(1+CC$3))/$AJ52,'Технический лист'!$M:$N,2,1)-VLOOKUP($AO52,'Технический лист'!$M:$N,2,1)),1+(1-$AU52))</f>
        <v/>
      </c>
      <c r="CD52" s="172">
        <f>MIN(IF($AU52=100%,1,1+VLOOKUP(($AJ52-$AI52-$AH52-$AG52-$AF52-$AE52*(1+CD$3))/$AJ52,'Технический лист'!$M:$N,2,1)-VLOOKUP($AO52,'Технический лист'!$M:$N,2,1)),1+(1-$AU52))</f>
        <v/>
      </c>
      <c r="CE52" s="172">
        <f>MIN(IF($AU52=100%,1,1+VLOOKUP(($AJ52-$AI52-$AH52-$AG52-$AF52-$AE52*(1+CE$3))/$AJ52,'Технический лист'!$M:$N,2,1)-VLOOKUP($AO52,'Технический лист'!$M:$N,2,1)),1+(1-$AU52))</f>
        <v/>
      </c>
      <c r="CF52" s="172">
        <f>MIN(IF($AU52=100%,1,1+VLOOKUP(($AJ52-$AI52-$AH52-$AG52-$AF52-$AE52*(1+CF$3))/$AJ52,'Технический лист'!$M:$N,2,1)-VLOOKUP($AO52,'Технический лист'!$M:$N,2,1)),1+(1-$AU52))</f>
        <v/>
      </c>
      <c r="CG52" s="172">
        <f>MIN(IF($AU52=100%,1,1+VLOOKUP(($AJ52-$AI52-$AH52-$AG52-$AF52-$AE52*(1+CG$3))/$AJ52,'Технический лист'!$M:$N,2,1)-VLOOKUP($AO52,'Технический лист'!$M:$N,2,1)),1+(1-$AU52))</f>
        <v/>
      </c>
      <c r="CH52" s="172">
        <f>MIN(IF($AU52=100%,1,1+VLOOKUP(($AJ52-$AI52-$AH52-$AG52-$AF52-$AE52*(1+CH$3))/$AJ52,'Технический лист'!$M:$N,2,1)-VLOOKUP($AO52,'Технический лист'!$M:$N,2,1)),1+(1-$AU52))</f>
        <v/>
      </c>
      <c r="CI52" s="172">
        <f>MIN(IF($AU52=100%,1,1+VLOOKUP(($AJ52-$AI52-$AH52-$AG52-$AF52-$AE52*(1+CI$3))/$AJ52,'Технический лист'!$M:$N,2,1)-VLOOKUP($AO52,'Технический лист'!$M:$N,2,1)),1+(1-$AU52))</f>
        <v/>
      </c>
      <c r="CJ52" s="172">
        <f>MIN(IF($AU52=100%,1,1+VLOOKUP(($AJ52-$AI52-$AH52-$AG52-$AF52-$AE52*(1+CJ$3))/$AJ52,'Технический лист'!$M:$N,2,1)-VLOOKUP($AO52,'Технический лист'!$M:$N,2,1)),1+(1-$AU52))</f>
        <v/>
      </c>
      <c r="CK52" s="172">
        <f>MIN(IF($AU52=100%,1,1+VLOOKUP(($AJ52-$AI52-$AH52-$AG52-$AF52-$AE52*(1+CK$3))/$AJ52,'Технический лист'!$M:$N,2,1)-VLOOKUP($AO52,'Технический лист'!$M:$N,2,1)),1+(1-$AU52))</f>
        <v/>
      </c>
      <c r="CL52" s="172">
        <f>MIN(IF($AU52=100%,1,1+VLOOKUP(($AJ52-$AI52-$AH52-$AG52-$AF52-$AE52*(1+CL$3))/$AJ52,'Технический лист'!$M:$N,2,1)-VLOOKUP($AO52,'Технический лист'!$M:$N,2,1)),1+(1-$AU52))</f>
        <v/>
      </c>
      <c r="CM52" s="172">
        <f>MIN(IF($AU52=100%,1,1+VLOOKUP(($AJ52-$AI52-$AH52-$AG52-$AF52-$AE52*(1+CM$3))/$AJ52,'Технический лист'!$M:$N,2,1)-VLOOKUP($AO52,'Технический лист'!$M:$N,2,1)),1+(1-$AU52))</f>
        <v/>
      </c>
      <c r="CN52" s="172">
        <f>MIN(IF($AU52=100%,1,1+VLOOKUP(($AJ52-$AI52-$AH52-$AG52-$AF52-$AE52*(1+CN$3))/$AJ52,'Технический лист'!$M:$N,2,1)-VLOOKUP($AO52,'Технический лист'!$M:$N,2,1)),1+(1-$AU52))</f>
        <v/>
      </c>
      <c r="CO52" s="172">
        <f>MIN(IF($AU52=100%,1,1+VLOOKUP(($AJ52-$AI52-$AH52-$AG52-$AF52-$AE52*(1+CO$3))/$AJ52,'Технический лист'!$M:$N,2,1)-VLOOKUP($AO52,'Технический лист'!$M:$N,2,1)),1+(1-$AU52))</f>
        <v/>
      </c>
      <c r="CP52" s="172">
        <f>MIN(IF($AU52=100%,1,1+VLOOKUP(($AJ52-$AI52-$AH52-$AG52-$AF52-$AE52*(1+CP$3))/$AJ52,'Технический лист'!$M:$N,2,1)-VLOOKUP($AO52,'Технический лист'!$M:$N,2,1)),1+(1-$AU52))</f>
        <v/>
      </c>
      <c r="CQ52" s="172">
        <f>MIN(IF($AU52=100%,1,1+VLOOKUP(($AJ52-$AI52-$AH52-$AG52-$AF52-$AE52*(1+CQ$3))/$AJ52,'Технический лист'!$M:$N,2,1)-VLOOKUP($AO52,'Технический лист'!$M:$N,2,1)),1+(1-$AU52))</f>
        <v/>
      </c>
      <c r="CR52" s="172">
        <f>MIN(IF($AU52=100%,1,1+VLOOKUP(($AJ52-$AI52-$AH52-$AG52-$AF52-$AE52*(1+CR$3))/$AJ52,'Технический лист'!$M:$N,2,1)-VLOOKUP($AO52,'Технический лист'!$M:$N,2,1)),1+(1-$AU52))</f>
        <v/>
      </c>
      <c r="CS52" s="172">
        <f>MIN(IF($AU52=100%,1,1+VLOOKUP(($AJ52-$AI52-$AH52-$AG52-$AF52-$AE52*(1+CS$3))/$AJ52,'Технический лист'!$M:$N,2,1)-VLOOKUP($AO52,'Технический лист'!$M:$N,2,1)),1+(1-$AU52))</f>
        <v/>
      </c>
      <c r="CT52" s="172">
        <f>MIN(IF($AU52=100%,1,1+VLOOKUP(($AJ52-$AI52-$AH52-$AG52-$AF52-$AE52*(1+CT$3))/$AJ52,'Технический лист'!$M:$N,2,1)-VLOOKUP($AO52,'Технический лист'!$M:$N,2,1)),1+(1-$AU52))</f>
        <v/>
      </c>
      <c r="CU52" s="172">
        <f>MIN(IF($AU52=100%,1,1+VLOOKUP(($AJ52-$AI52-$AH52-$AG52-$AF52-$AE52*(1+CU$3))/$AJ52,'Технический лист'!$M:$N,2,1)-VLOOKUP($AO52,'Технический лист'!$M:$N,2,1)),1+(1-$AU52))</f>
        <v/>
      </c>
      <c r="CV52" s="172">
        <f>MIN(IF($AU52=100%,1,1+VLOOKUP(($AJ52-$AI52-$AH52-$AG52-$AF52-$AE52*(1+CV$3))/$AJ52,'Технический лист'!$M:$N,2,1)-VLOOKUP($AO52,'Технический лист'!$M:$N,2,1)),1+(1-$AU52))</f>
        <v/>
      </c>
      <c r="CW52" s="172">
        <f>MIN(IF($AU52=100%,1,1+VLOOKUP(($AJ52-$AI52-$AH52-$AG52-$AF52-$AE52*(1+CW$3))/$AJ52,'Технический лист'!$M:$N,2,1)-VLOOKUP($AO52,'Технический лист'!$M:$N,2,1)),1+(1-$AU52))</f>
        <v/>
      </c>
      <c r="CX52" s="172">
        <f>MIN(IF($AU52=100%,1,1+VLOOKUP(($AJ52-$AI52-$AH52-$AG52-$AF52-$AE52*(1+CX$3))/$AJ52,'Технический лист'!$M:$N,2,1)-VLOOKUP($AO52,'Технический лист'!$M:$N,2,1)),1+(1-$AU52))</f>
        <v/>
      </c>
      <c r="CY52" s="172">
        <f>MIN(IF($AU52=100%,1,1+VLOOKUP(($AJ52-$AI52-$AH52-$AG52-$AF52-$AE52*(1+CY$3))/$AJ52,'Технический лист'!$M:$N,2,1)-VLOOKUP($AO52,'Технический лист'!$M:$N,2,1)),1+(1-$AU52))</f>
        <v/>
      </c>
      <c r="CZ52" s="172">
        <f>MIN(IF($AU52=100%,1,1+VLOOKUP(($AJ52-$AI52-$AH52-$AG52-$AF52-$AE52*(1+CZ$3))/$AJ52,'Технический лист'!$M:$N,2,1)-VLOOKUP($AO52,'Технический лист'!$M:$N,2,1)),1+(1-$AU52))</f>
        <v/>
      </c>
      <c r="DA52" s="172">
        <f>MIN(IF($AU52=100%,1,1+VLOOKUP(($AJ52-$AI52-$AH52-$AG52-$AF52-$AE52*(1+DA$3))/$AJ52,'Технический лист'!$M:$N,2,1)-VLOOKUP($AO52,'Технический лист'!$M:$N,2,1)),1+(1-$AU52))</f>
        <v/>
      </c>
      <c r="DB52" s="172">
        <f>MIN(IF($AU52=100%,1,1+VLOOKUP(($AJ52-$AI52-$AH52-$AG52-$AF52-$AE52*(1+DB$3))/$AJ52,'Технический лист'!$M:$N,2,1)-VLOOKUP($AO52,'Технический лист'!$M:$N,2,1)),1+(1-$AU52))</f>
        <v/>
      </c>
      <c r="DC52" s="172">
        <f>MIN(IF($AU52=100%,1,1+VLOOKUP(($AJ52-$AI52-$AH52-$AG52-$AF52-$AE52*(1+DC$3))/$AJ52,'Технический лист'!$M:$N,2,1)-VLOOKUP($AO52,'Технический лист'!$M:$N,2,1)),1+(1-$AU52))</f>
        <v/>
      </c>
      <c r="DD52" s="172">
        <f>MIN(IF($AU52=100%,1,1+VLOOKUP(($AJ52-$AI52-$AH52-$AG52-$AF52-$AE52*(1+DD$3))/$AJ52,'Технический лист'!$M:$N,2,1)-VLOOKUP($AO52,'Технический лист'!$M:$N,2,1)),1+(1-$AU52))</f>
        <v/>
      </c>
      <c r="DE52" s="172">
        <f>MIN(IF($AU52=100%,1,1+VLOOKUP(($AJ52-$AI52-$AH52-$AG52-$AF52-$AE52*(1+DE$3))/$AJ52,'Технический лист'!$M:$N,2,1)-VLOOKUP($AO52,'Технический лист'!$M:$N,2,1)),1+(1-$AU52))</f>
        <v/>
      </c>
      <c r="DF52" s="172">
        <f>MIN(IF($AU52=100%,1,1+VLOOKUP(($AJ52-$AI52-$AH52-$AG52-$AF52-$AE52*(1+DF$3))/$AJ52,'Технический лист'!$M:$N,2,1)-VLOOKUP($AO52,'Технический лист'!$M:$N,2,1)),1+(1-$AU52))</f>
        <v/>
      </c>
      <c r="DG52" s="172">
        <f>MIN(IF($AU52=100%,1,1+VLOOKUP(($AJ52-$AI52-$AH52-$AG52-$AF52-$AE52*(1+DG$3))/$AJ52,'Технический лист'!$M:$N,2,1)-VLOOKUP($AO52,'Технический лист'!$M:$N,2,1)),1+(1-$AU52))</f>
        <v/>
      </c>
      <c r="DH52" s="172">
        <f>MIN(IF($AU52=100%,1,1+VLOOKUP(($AJ52-$AI52-$AH52-$AG52-$AF52-$AE52*(1+DH$3))/$AJ52,'Технический лист'!$M:$N,2,1)-VLOOKUP($AO52,'Технический лист'!$M:$N,2,1)),1+(1-$AU52))</f>
        <v/>
      </c>
      <c r="DI52" s="172">
        <f>MIN(IF($AU52=100%,1,1+VLOOKUP(($AJ52-$AI52-$AH52-$AG52-$AF52-$AE52*(1+DI$3))/$AJ52,'Технический лист'!$M:$N,2,1)-VLOOKUP($AO52,'Технический лист'!$M:$N,2,1)),1+(1-$AU52))</f>
        <v/>
      </c>
      <c r="DJ52" s="172">
        <f>MIN(IF($AU52=100%,1,1+VLOOKUP(($AJ52-$AI52-$AH52-$AG52-$AF52-$AE52*(1+DJ$3))/$AJ52,'Технический лист'!$M:$N,2,1)-VLOOKUP($AO52,'Технический лист'!$M:$N,2,1)),1+(1-$AU52))</f>
        <v/>
      </c>
      <c r="DK52" s="172">
        <f>MIN(IF($AU52=100%,1,1+VLOOKUP(($AJ52-$AI52-$AH52-$AG52-$AF52-$AE52*(1+DK$3))/$AJ52,'Технический лист'!$M:$N,2,1)-VLOOKUP($AO52,'Технический лист'!$M:$N,2,1)),1+(1-$AU52))</f>
        <v/>
      </c>
      <c r="DL52" s="172">
        <f>MIN(IF($AU52=100%,1,1+VLOOKUP(($AJ52-$AI52-$AH52-$AG52-$AF52-$AE52*(1+DL$3))/$AJ52,'Технический лист'!$M:$N,2,1)-VLOOKUP($AO52,'Технический лист'!$M:$N,2,1)),1+(1-$AU52))</f>
        <v/>
      </c>
      <c r="DM52" s="172">
        <f>MIN(IF($AU52=100%,1,1+VLOOKUP(($AJ52-$AI52-$AH52-$AG52-$AF52-$AE52*(1+DM$3))/$AJ52,'Технический лист'!$M:$N,2,1)-VLOOKUP($AO52,'Технический лист'!$M:$N,2,1)),1+(1-$AU52))</f>
        <v/>
      </c>
      <c r="DN52" s="172">
        <f>MIN(IF($AU52=100%,1,1+VLOOKUP(($AJ52-$AI52-$AH52-$AG52-$AF52-$AE52*(1+DN$3))/$AJ52,'Технический лист'!$M:$N,2,1)-VLOOKUP($AO52,'Технический лист'!$M:$N,2,1)),1+(1-$AU52))</f>
        <v/>
      </c>
      <c r="DO52" s="172">
        <f>MIN(IF($AU52=100%,1,1+VLOOKUP(($AJ52-$AI52-$AH52-$AG52-$AF52-$AE52*(1+DO$3))/$AJ52,'Технический лист'!$M:$N,2,1)-VLOOKUP($AO52,'Технический лист'!$M:$N,2,1)),1+(1-$AU52))</f>
        <v/>
      </c>
      <c r="DP52" s="172">
        <f>MIN(IF($AU52=100%,1,1+VLOOKUP(($AJ52-$AI52-$AH52-$AG52-$AF52-$AE52*(1+DP$3))/$AJ52,'Технический лист'!$M:$N,2,1)-VLOOKUP($AO52,'Технический лист'!$M:$N,2,1)),1+(1-$AU52))</f>
        <v/>
      </c>
      <c r="DQ52" s="172">
        <f>MIN(IF($AU52=100%,1,1+VLOOKUP(($AJ52-$AI52-$AH52-$AG52-$AF52-$AE52*(1+DQ$3))/$AJ52,'Технический лист'!$M:$N,2,1)-VLOOKUP($AO52,'Технический лист'!$M:$N,2,1)),1+(1-$AU52))</f>
        <v/>
      </c>
      <c r="DR52" s="172">
        <f>MIN(IF($AU52=100%,1,1+VLOOKUP(($AJ52-$AI52-$AH52-$AG52-$AF52-$AE52*(1+DR$3))/$AJ52,'Технический лист'!$M:$N,2,1)-VLOOKUP($AO52,'Технический лист'!$M:$N,2,1)),1+(1-$AU52))</f>
        <v/>
      </c>
      <c r="DS52" s="172">
        <f>MIN(IF($AU52=100%,1,1+VLOOKUP(($AJ52-$AI52-$AH52-$AG52-$AF52-$AE52*(1+DS$3))/$AJ52,'Технический лист'!$M:$N,2,1)-VLOOKUP($AO52,'Технический лист'!$M:$N,2,1)),1+(1-$AU52))</f>
        <v/>
      </c>
      <c r="DT52" s="172">
        <f>MIN(IF($AU52=100%,1,1+VLOOKUP(($AJ52-$AI52-$AH52-$AG52-$AF52-$AE52*(1+DT$3))/$AJ52,'Технический лист'!$M:$N,2,1)-VLOOKUP($AO52,'Технический лист'!$M:$N,2,1)),1+(1-$AU52))</f>
        <v/>
      </c>
      <c r="DU52" s="172">
        <f>MIN(IF($AU52=100%,1,1+VLOOKUP(($AJ52-$AI52-$AH52-$AG52-$AF52-$AE52*(1+DU$3))/$AJ52,'Технический лист'!$M:$N,2,1)-VLOOKUP($AO52,'Технический лист'!$M:$N,2,1)),1+(1-$AU52))</f>
        <v/>
      </c>
      <c r="DV52" s="172">
        <f>MIN(IF($AU52=100%,1,1+VLOOKUP(($AJ52-$AI52-$AH52-$AG52-$AF52-$AE52*(1+DV$3))/$AJ52,'Технический лист'!$M:$N,2,1)-VLOOKUP($AO52,'Технический лист'!$M:$N,2,1)),1+(1-$AU52))</f>
        <v/>
      </c>
      <c r="DW52" s="172">
        <f>MIN(IF($AU52=100%,1,1+VLOOKUP(($AJ52-$AI52-$AH52-$AG52-$AF52-$AE52*(1+DW$3))/$AJ52,'Технический лист'!$M:$N,2,1)-VLOOKUP($AO52,'Технический лист'!$M:$N,2,1)),1+(1-$AU52))</f>
        <v/>
      </c>
      <c r="DX52" s="172">
        <f>MIN(IF($AU52=100%,1,1+VLOOKUP(($AJ52-$AI52-$AH52-$AG52-$AF52-$AE52*(1+DX$3))/$AJ52,'Технический лист'!$M:$N,2,1)-VLOOKUP($AO52,'Технический лист'!$M:$N,2,1)),1+(1-$AU52))</f>
        <v/>
      </c>
      <c r="DY52" s="172">
        <f>MIN(IF($AU52=100%,1,1+VLOOKUP(($AJ52-$AI52-$AH52-$AG52-$AF52-$AE52*(1+DY$3))/$AJ52,'Технический лист'!$M:$N,2,1)-VLOOKUP($AO52,'Технический лист'!$M:$N,2,1)),1+(1-$AU52))</f>
        <v/>
      </c>
      <c r="DZ52" s="172">
        <f>MIN(IF($AU52=100%,1,1+VLOOKUP(($AJ52-$AI52-$AH52-$AG52-$AF52-$AE52*(1+DZ$3))/$AJ52,'Технический лист'!$M:$N,2,1)-VLOOKUP($AO52,'Технический лист'!$M:$N,2,1)),1+(1-$AU52))</f>
        <v/>
      </c>
      <c r="EA52" s="172">
        <f>MIN(IF($AU52=100%,1,1+VLOOKUP(($AJ52-$AI52-$AH52-$AG52-$AF52-$AE52*(1+EA$3))/$AJ52,'Технический лист'!$M:$N,2,1)-VLOOKUP($AO52,'Технический лист'!$M:$N,2,1)),1+(1-$AU52))</f>
        <v/>
      </c>
      <c r="EB52" s="172">
        <f>MIN(IF($AU52=100%,1,1+VLOOKUP(($AJ52-$AI52-$AH52-$AG52-$AF52-$AE52*(1+EB$3))/$AJ52,'Технический лист'!$M:$N,2,1)-VLOOKUP($AO52,'Технический лист'!$M:$N,2,1)),1+(1-$AU52))</f>
        <v/>
      </c>
      <c r="EC52" s="172">
        <f>MIN(IF($AU52=100%,1,1+VLOOKUP(($AJ52-$AI52-$AH52-$AG52-$AF52-$AE52*(1+EC$3))/$AJ52,'Технический лист'!$M:$N,2,1)-VLOOKUP($AO52,'Технический лист'!$M:$N,2,1)),1+(1-$AU52))</f>
        <v/>
      </c>
      <c r="ED52" s="172">
        <f>MIN(IF($AU52=100%,1,1+VLOOKUP(($AJ52-$AI52-$AH52-$AG52-$AF52-$AE52*(1+ED$3))/$AJ52,'Технический лист'!$M:$N,2,1)-VLOOKUP($AO52,'Технический лист'!$M:$N,2,1)),1+(1-$AU52))</f>
        <v/>
      </c>
      <c r="EE52" s="172">
        <f>MIN(IF($AU52=100%,1,1+VLOOKUP(($AJ52-$AI52-$AH52-$AG52-$AF52-$AE52*(1+EE$3))/$AJ52,'Технический лист'!$M:$N,2,1)-VLOOKUP($AO52,'Технический лист'!$M:$N,2,1)),1+(1-$AU52))</f>
        <v/>
      </c>
      <c r="EF52" s="172">
        <f>MIN(IF($AU52=100%,1,1+VLOOKUP(($AJ52-$AI52-$AH52-$AG52-$AF52-$AE52*(1+EF$3))/$AJ52,'Технический лист'!$M:$N,2,1)-VLOOKUP($AO52,'Технический лист'!$M:$N,2,1)),1+(1-$AU52))</f>
        <v/>
      </c>
      <c r="EG52" s="172">
        <f>MIN(IF($AU52=100%,1,1+VLOOKUP(($AJ52-$AI52-$AH52-$AG52-$AF52-$AE52*(1+EG$3))/$AJ52,'Технический лист'!$M:$N,2,1)-VLOOKUP($AO52,'Технический лист'!$M:$N,2,1)),1+(1-$AU52))</f>
        <v/>
      </c>
      <c r="EH52" s="172">
        <f>MIN(IF($AU52=100%,1,1+VLOOKUP(($AJ52-$AI52-$AH52-$AG52-$AF52-$AE52*(1+EH$3))/$AJ52,'Технический лист'!$M:$N,2,1)-VLOOKUP($AO52,'Технический лист'!$M:$N,2,1)),1+(1-$AU52))</f>
        <v/>
      </c>
      <c r="EI52" s="172">
        <f>MIN(IF($AU52=100%,1,1+VLOOKUP(($AJ52-$AI52-$AH52-$AG52-$AF52-$AE52*(1+EI$3))/$AJ52,'Технический лист'!$M:$N,2,1)-VLOOKUP($AO52,'Технический лист'!$M:$N,2,1)),1+(1-$AU52))</f>
        <v/>
      </c>
      <c r="EJ52" s="172">
        <f>MIN(IF($AU52=100%,1,1+VLOOKUP(($AJ52-$AI52-$AH52-$AG52-$AF52-$AE52*(1+EJ$3))/$AJ52,'Технический лист'!$M:$N,2,1)-VLOOKUP($AO52,'Технический лист'!$M:$N,2,1)),1+(1-$AU52))</f>
        <v/>
      </c>
      <c r="EK52" s="172">
        <f>MIN(IF($AU52=100%,1,1+VLOOKUP(($AJ52-$AI52-$AH52-$AG52-$AF52-$AE52*(1+EK$3))/$AJ52,'Технический лист'!$M:$N,2,1)-VLOOKUP($AO52,'Технический лист'!$M:$N,2,1)),1+(1-$AU52))</f>
        <v/>
      </c>
      <c r="EL52" s="172">
        <f>MIN(IF($AU52=100%,1,1+VLOOKUP(($AJ52-$AI52-$AH52-$AG52-$AF52-$AE52*(1+EL$3))/$AJ52,'Технический лист'!$M:$N,2,1)-VLOOKUP($AO52,'Технический лист'!$M:$N,2,1)),1+(1-$AU52))</f>
        <v/>
      </c>
      <c r="EM52" s="172">
        <f>MIN(IF($AU52=100%,1,1+VLOOKUP(($AJ52-$AI52-$AH52-$AG52-$AF52-$AE52*(1+EM$3))/$AJ52,'Технический лист'!$M:$N,2,1)-VLOOKUP($AO52,'Технический лист'!$M:$N,2,1)),1+(1-$AU52))</f>
        <v/>
      </c>
      <c r="EN52" s="172">
        <f>MIN(IF($AU52=100%,1,1+VLOOKUP(($AJ52-$AI52-$AH52-$AG52-$AF52-$AE52*(1+EN$3))/$AJ52,'Технический лист'!$M:$N,2,1)-VLOOKUP($AO52,'Технический лист'!$M:$N,2,1)),1+(1-$AU52))</f>
        <v/>
      </c>
      <c r="EO52" s="172">
        <f>MIN(IF($AU52=100%,1,1+VLOOKUP(($AJ52-$AI52-$AH52-$AG52-$AF52-$AE52*(1+EO$3))/$AJ52,'Технический лист'!$M:$N,2,1)-VLOOKUP($AO52,'Технический лист'!$M:$N,2,1)),1+(1-$AU52))</f>
        <v/>
      </c>
      <c r="EP52" s="172">
        <f>MIN(IF($AU52=100%,1,1+VLOOKUP(($AJ52-$AI52-$AH52-$AG52-$AF52-$AE52*(1+EP$3))/$AJ52,'Технический лист'!$M:$N,2,1)-VLOOKUP($AO52,'Технический лист'!$M:$N,2,1)),1+(1-$AU52))</f>
        <v/>
      </c>
      <c r="EQ52" s="172">
        <f>MIN(IF($AU52=100%,1,1+VLOOKUP(($AJ52-$AI52-$AH52-$AG52-$AF52-$AE52*(1+EQ$3))/$AJ52,'Технический лист'!$M:$N,2,1)-VLOOKUP($AO52,'Технический лист'!$M:$N,2,1)),1+(1-$AU52))</f>
        <v/>
      </c>
      <c r="ER52" s="172">
        <f>MIN(IF($AU52=100%,1,1+VLOOKUP(($AJ52-$AI52-$AH52-$AG52-$AF52-$AE52*(1+ER$3))/$AJ52,'Технический лист'!$M:$N,2,1)-VLOOKUP($AO52,'Технический лист'!$M:$N,2,1)),1+(1-$AU52))</f>
        <v/>
      </c>
      <c r="ES52" s="172">
        <f>MIN(IF($AU52=100%,1,1+VLOOKUP(($AJ52-$AI52-$AH52-$AG52-$AF52-$AE52*(1+ES$3))/$AJ52,'Технический лист'!$M:$N,2,1)-VLOOKUP($AO52,'Технический лист'!$M:$N,2,1)),1+(1-$AU52))</f>
        <v/>
      </c>
      <c r="ET52" s="172">
        <f>MIN(IF($AU52=100%,1,1+VLOOKUP(($AJ52-$AI52-$AH52-$AG52-$AF52-$AE52*(1+ET$3))/$AJ52,'Технический лист'!$M:$N,2,1)-VLOOKUP($AO52,'Технический лист'!$M:$N,2,1)),1+(1-$AU52))</f>
        <v/>
      </c>
      <c r="EU52" s="172">
        <f>MIN(IF($AU52=100%,1,1+VLOOKUP(($AJ52-$AI52-$AH52-$AG52-$AF52-$AE52*(1+EU$3))/$AJ52,'Технический лист'!$M:$N,2,1)-VLOOKUP($AO52,'Технический лист'!$M:$N,2,1)),1+(1-$AU52))</f>
        <v/>
      </c>
      <c r="EV52" s="173" t="n">
        <v>1</v>
      </c>
      <c r="EW52" s="172">
        <f>MIN(1,MAX(VLOOKUP(($AJ52-$AI52-$AH52-$AG52-$AF52-$AE52*(1+EW$3))/$AJ52,'Технический лист'!$M:$N,2,1),(EV52-0.05)))</f>
        <v/>
      </c>
      <c r="EX52" s="172">
        <f>MIN(1,MAX(VLOOKUP(($AJ52-$AI52-$AH52-$AG52-$AF52-$AE52*(1+EX$3))/$AJ52,'Технический лист'!$M:$N,2,1),(EW52-0.05)))</f>
        <v/>
      </c>
      <c r="EY52" s="172">
        <f>MIN(1,MAX(VLOOKUP(($AJ52-$AI52-$AH52-$AG52-$AF52-$AE52*(1+EY$3))/$AJ52,'Технический лист'!$M:$N,2,1),(EX52-0.05)))</f>
        <v/>
      </c>
      <c r="EZ52" s="172">
        <f>MIN(1,MAX(VLOOKUP(($AJ52-$AI52-$AH52-$AG52-$AF52-$AE52*(1+EZ$3))/$AJ52,'Технический лист'!$M:$N,2,1),(EY52-0.05)))</f>
        <v/>
      </c>
      <c r="FA52" s="172">
        <f>MIN(1,MAX(VLOOKUP(($AJ52-$AI52-$AH52-$AG52-$AF52-$AE52*(1+FA$3))/$AJ52,'Технический лист'!$M:$N,2,1),(EZ52-0.05)))</f>
        <v/>
      </c>
      <c r="FB52" s="172">
        <f>MIN(1,MAX(VLOOKUP(($AJ52-$AI52-$AH52-$AG52-$AF52-$AE52*(1+FB$3))/$AJ52,'Технический лист'!$M:$N,2,1),(FA52-0.05)))</f>
        <v/>
      </c>
      <c r="FC52" s="172">
        <f>MIN(1,MAX(VLOOKUP(($AJ52-$AI52-$AH52-$AG52-$AF52-$AE52*(1+FC$3))/$AJ52,'Технический лист'!$M:$N,2,1),(FB52-0.05)))</f>
        <v/>
      </c>
      <c r="FD52" s="172">
        <f>MIN(1,MAX(VLOOKUP(($AJ52-$AI52-$AH52-$AG52-$AF52-$AE52*(1+FD$3))/$AJ52,'Технический лист'!$M:$N,2,1),(FC52-0.05)))</f>
        <v/>
      </c>
      <c r="FE52" s="172">
        <f>MIN(1,MAX(VLOOKUP(($AJ52-$AI52-$AH52-$AG52-$AF52-$AE52*(1+FE$3))/$AJ52,'Технический лист'!$M:$N,2,1),(FD52-0.05)))</f>
        <v/>
      </c>
      <c r="FF52" s="172">
        <f>MIN(1,MAX(VLOOKUP(($AJ52-$AI52-$AH52-$AG52-$AF52-$AE52*(1+FF$3))/$AJ52,'Технический лист'!$M:$N,2,1),(FE52-0.05)))</f>
        <v/>
      </c>
      <c r="FG52" s="172">
        <f>MIN(1,MAX(VLOOKUP(($AJ52-$AI52-$AH52-$AG52-$AF52-$AE52*(1+FG$3))/$AJ52,'Технический лист'!$M:$N,2,1),(FF52-0.05)))</f>
        <v/>
      </c>
      <c r="FH52" s="172">
        <f>MIN(1,MAX(VLOOKUP(($AJ52-$AI52-$AH52-$AG52-$AF52-$AE52*(1+FH$3))/$AJ52,'Технический лист'!$M:$N,2,1),(FG52-0.05)))</f>
        <v/>
      </c>
      <c r="FI52" s="172">
        <f>MIN(1,MAX(VLOOKUP(($AJ52-$AI52-$AH52-$AG52-$AF52-$AE52*(1+FI$3))/$AJ52,'Технический лист'!$M:$N,2,1),(FH52-0.05)))</f>
        <v/>
      </c>
      <c r="FJ52" s="172">
        <f>MIN(1,MAX(VLOOKUP(($AJ52-$AI52-$AH52-$AG52-$AF52-$AE52*(1+FJ$3))/$AJ52,'Технический лист'!$M:$N,2,1),(FI52-0.05)))</f>
        <v/>
      </c>
      <c r="FK52" s="172">
        <f>MIN(1,MAX(VLOOKUP(($AJ52-$AI52-$AH52-$AG52-$AF52-$AE52*(1+FK$3))/$AJ52,'Технический лист'!$M:$N,2,1),(FJ52-0.05)))</f>
        <v/>
      </c>
      <c r="FL52" s="172">
        <f>MIN(1,MAX(VLOOKUP(($AJ52-$AI52-$AH52-$AG52-$AF52-$AE52*(1+FL$3))/$AJ52,'Технический лист'!$M:$N,2,1),(FK52-0.05)))</f>
        <v/>
      </c>
      <c r="FM52" s="172">
        <f>MIN(1,MAX(VLOOKUP(($AJ52-$AI52-$AH52-$AG52-$AF52-$AE52*(1+FM$3))/$AJ52,'Технический лист'!$M:$N,2,1),(FL52-0.05)))</f>
        <v/>
      </c>
      <c r="FN52" s="172">
        <f>MIN(1,MAX(VLOOKUP(($AJ52-$AI52-$AH52-$AG52-$AF52-$AE52*(1+FN$3))/$AJ52,'Технический лист'!$M:$N,2,1),(FM52-0.05)))</f>
        <v/>
      </c>
      <c r="FO52" s="172">
        <f>MIN(1,MAX(VLOOKUP(($AJ52-$AI52-$AH52-$AG52-$AF52-$AE52*(1+FO$3))/$AJ52,'Технический лист'!$M:$N,2,1),(FN52-0.05)))</f>
        <v/>
      </c>
      <c r="FP52" s="172">
        <f>MIN(1,MAX(VLOOKUP(($AJ52-$AI52-$AH52-$AG52-$AF52-$AE52*(1+FP$3))/$AJ52,'Технический лист'!$M:$N,2,1),(FO52-0.05)))</f>
        <v/>
      </c>
      <c r="FQ52" s="172">
        <f>MIN(1,MAX(VLOOKUP(($AJ52-$AI52-$AH52-$AG52-$AF52-$AE52*(1+FQ$3))/$AJ52,'Технический лист'!$M:$N,2,1),(FP52-0.05)))</f>
        <v/>
      </c>
      <c r="FR52" s="172">
        <f>MIN(1,MAX(VLOOKUP(($AJ52-$AI52-$AH52-$AG52-$AF52-$AE52*(1+FR$3))/$AJ52,'Технический лист'!$M:$N,2,1),(FQ52-0.05)))</f>
        <v/>
      </c>
      <c r="FS52" s="172">
        <f>MIN(1,MAX(VLOOKUP(($AJ52-$AI52-$AH52-$AG52-$AF52-$AE52*(1+FS$3))/$AJ52,'Технический лист'!$M:$N,2,1),(FR52-0.05)))</f>
        <v/>
      </c>
      <c r="FT52" s="172">
        <f>MIN(1,MAX(VLOOKUP(($AJ52-$AI52-$AH52-$AG52-$AF52-$AE52*(1+FT$3))/$AJ52,'Технический лист'!$M:$N,2,1),(FS52-0.05)))</f>
        <v/>
      </c>
      <c r="FU52" s="172">
        <f>MIN(1,MAX(VLOOKUP(($AJ52-$AI52-$AH52-$AG52-$AF52-$AE52*(1+FU$3))/$AJ52,'Технический лист'!$M:$N,2,1),(FT52-0.05)))</f>
        <v/>
      </c>
      <c r="FV52" s="172">
        <f>MIN(1,MAX(VLOOKUP(($AJ52-$AI52-$AH52-$AG52-$AF52-$AE52*(1+FV$3))/$AJ52,'Технический лист'!$M:$N,2,1),(FU52-0.05)))</f>
        <v/>
      </c>
      <c r="FW52" s="172">
        <f>MIN(1,MAX(VLOOKUP(($AJ52-$AI52-$AH52-$AG52-$AF52-$AE52*(1+FW$3))/$AJ52,'Технический лист'!$M:$N,2,1),(FV52-0.05)))</f>
        <v/>
      </c>
      <c r="FX52" s="172">
        <f>MIN(1,MAX(VLOOKUP(($AJ52-$AI52-$AH52-$AG52-$AF52-$AE52*(1+FX$3))/$AJ52,'Технический лист'!$M:$N,2,1),(FW52-0.05)))</f>
        <v/>
      </c>
      <c r="FY52" s="172">
        <f>MIN(1,MAX(VLOOKUP(($AJ52-$AI52-$AH52-$AG52-$AF52-$AE52*(1+FY$3))/$AJ52,'Технический лист'!$M:$N,2,1),(FX52-0.05)))</f>
        <v/>
      </c>
      <c r="FZ52" s="172">
        <f>MIN(1,MAX(VLOOKUP(($AJ52-$AI52-$AH52-$AG52-$AF52-$AE52*(1+FZ$3))/$AJ52,'Технический лист'!$M:$N,2,1),(FY52-0.05)))</f>
        <v/>
      </c>
      <c r="GA52" s="172">
        <f>MIN(1,MAX(VLOOKUP(($AJ52-$AI52-$AH52-$AG52-$AF52-$AE52*(1+GA$3))/$AJ52,'Технический лист'!$M:$N,2,1),(FZ52-0.05)))</f>
        <v/>
      </c>
      <c r="GB52" s="172">
        <f>MIN(1,MAX(VLOOKUP(($AJ52-$AI52-$AH52-$AG52-$AF52-$AE52*(1+GB$3))/$AJ52,'Технический лист'!$M:$N,2,1),(GA52-0.05)))</f>
        <v/>
      </c>
      <c r="GC52" s="172">
        <f>MIN(1,MAX(VLOOKUP(($AJ52-$AI52-$AH52-$AG52-$AF52-$AE52*(1+GC$3))/$AJ52,'Технический лист'!$M:$N,2,1),(GB52-0.05)))</f>
        <v/>
      </c>
      <c r="GD52" s="172">
        <f>MIN(1,MAX(VLOOKUP(($AJ52-$AI52-$AH52-$AG52-$AF52-$AE52*(1+GD$3))/$AJ52,'Технический лист'!$M:$N,2,1),(GC52-0.05)))</f>
        <v/>
      </c>
      <c r="GE52" s="172">
        <f>MIN(1,MAX(VLOOKUP(($AJ52-$AI52-$AH52-$AG52-$AF52-$AE52*(1+GE$3))/$AJ52,'Технический лист'!$M:$N,2,1),(GD52-0.05)))</f>
        <v/>
      </c>
      <c r="GF52" s="172">
        <f>MIN(1,MAX(VLOOKUP(($AJ52-$AI52-$AH52-$AG52-$AF52-$AE52*(1+GF$3))/$AJ52,'Технический лист'!$M:$N,2,1),(GE52-0.05)))</f>
        <v/>
      </c>
      <c r="GG52" s="172">
        <f>MIN(1,MAX(VLOOKUP(($AJ52-$AI52-$AH52-$AG52-$AF52-$AE52*(1+GG$3))/$AJ52,'Технический лист'!$M:$N,2,1),(GF52-0.05)))</f>
        <v/>
      </c>
      <c r="GH52" s="172">
        <f>MIN(1,MAX(VLOOKUP(($AJ52-$AI52-$AH52-$AG52-$AF52-$AE52*(1+GH$3))/$AJ52,'Технический лист'!$M:$N,2,1),(GG52-0.05)))</f>
        <v/>
      </c>
      <c r="GI52" s="172">
        <f>MIN(1,MAX(VLOOKUP(($AJ52-$AI52-$AH52-$AG52-$AF52-$AE52*(1+GI$3))/$AJ52,'Технический лист'!$M:$N,2,1),(GH52-0.05)))</f>
        <v/>
      </c>
      <c r="GJ52" s="172">
        <f>MIN(1,MAX(VLOOKUP(($AJ52-$AI52-$AH52-$AG52-$AF52-$AE52*(1+GJ$3))/$AJ52,'Технический лист'!$M:$N,2,1),(GI52-0.05)))</f>
        <v/>
      </c>
      <c r="GK52" s="172">
        <f>MIN(1,MAX(VLOOKUP(($AJ52-$AI52-$AH52-$AG52-$AF52-$AE52*(1+GK$3))/$AJ52,'Технический лист'!$M:$N,2,1),(GJ52-0.05)))</f>
        <v/>
      </c>
      <c r="GL52" s="172">
        <f>MIN(1,MAX(VLOOKUP(($AJ52-$AI52-$AH52-$AG52-$AF52-$AE52*(1+GL$3))/$AJ52,'Технический лист'!$M:$N,2,1),(GK52-0.05)))</f>
        <v/>
      </c>
      <c r="GM52" s="172">
        <f>MIN(1,MAX(VLOOKUP(($AJ52-$AI52-$AH52-$AG52-$AF52-$AE52*(1+GM$3))/$AJ52,'Технический лист'!$M:$N,2,1),(GL52-0.05)))</f>
        <v/>
      </c>
      <c r="GN52" s="172">
        <f>MIN(1,MAX(VLOOKUP(($AJ52-$AI52-$AH52-$AG52-$AF52-$AE52*(1+GN$3))/$AJ52,'Технический лист'!$M:$N,2,1),(GM52-0.05)))</f>
        <v/>
      </c>
      <c r="GO52" s="172">
        <f>MIN(1,MAX(VLOOKUP(($AJ52-$AI52-$AH52-$AG52-$AF52-$AE52*(1+GO$3))/$AJ52,'Технический лист'!$M:$N,2,1),(GN52-0.05)))</f>
        <v/>
      </c>
      <c r="GP52" s="172">
        <f>MIN(1,MAX(VLOOKUP(($AJ52-$AI52-$AH52-$AG52-$AF52-$AE52*(1+GP$3))/$AJ52,'Технический лист'!$M:$N,2,1),(GO52-0.05)))</f>
        <v/>
      </c>
      <c r="GQ52" s="172">
        <f>MIN(1,MAX(VLOOKUP(($AJ52-$AI52-$AH52-$AG52-$AF52-$AE52*(1+GQ$3))/$AJ52,'Технический лист'!$M:$N,2,1),(GP52-0.05)))</f>
        <v/>
      </c>
      <c r="GR52" s="172">
        <f>MIN(1,MAX(VLOOKUP(($AJ52-$AI52-$AH52-$AG52-$AF52-$AE52*(1+GR$3))/$AJ52,'Технический лист'!$M:$N,2,1),(GQ52-0.05)))</f>
        <v/>
      </c>
      <c r="GS52" s="172">
        <f>MIN(1,MAX(VLOOKUP(($AJ52-$AI52-$AH52-$AG52-$AF52-$AE52*(1+GS$3))/$AJ52,'Технический лист'!$M:$N,2,1),(GR52-0.05)))</f>
        <v/>
      </c>
      <c r="GT52" s="172">
        <f>MIN(1,MAX(VLOOKUP(($AJ52-$AI52-$AH52-$AG52-$AF52-$AE52*(1+GT$3))/$AJ52,'Технический лист'!$M:$N,2,1),(GS52-0.05)))</f>
        <v/>
      </c>
      <c r="GU52" s="172">
        <f>MIN(1,MAX(VLOOKUP(($AJ52-$AI52-$AH52-$AG52-$AF52-$AE52*(1+GU$3))/$AJ52,'Технический лист'!$M:$N,2,1),(GT52-0.05)))</f>
        <v/>
      </c>
      <c r="GV52" s="172">
        <f>MIN(1,MAX(VLOOKUP(($AJ52-$AI52-$AH52-$AG52-$AF52-$AE52*(1+GV$3))/$AJ52,'Технический лист'!$M:$N,2,1),(GU52-0.05)))</f>
        <v/>
      </c>
      <c r="GW52" s="172">
        <f>MIN(1,MAX(VLOOKUP(($AJ52-$AI52-$AH52-$AG52-$AF52-$AE52*(1+GW$3))/$AJ52,'Технический лист'!$M:$N,2,1),(GV52-0.05)))</f>
        <v/>
      </c>
      <c r="GX52" s="172">
        <f>MIN(1,MAX(VLOOKUP(($AJ52-$AI52-$AH52-$AG52-$AF52-$AE52*(1+GX$3))/$AJ52,'Технический лист'!$M:$N,2,1),(GW52-0.05)))</f>
        <v/>
      </c>
      <c r="GY52" s="172">
        <f>MIN(1,MAX(VLOOKUP(($AJ52-$AI52-$AH52-$AG52-$AF52-$AE52*(1+GY$3))/$AJ52,'Технический лист'!$M:$N,2,1),(GX52-0.05)))</f>
        <v/>
      </c>
      <c r="GZ52" s="172">
        <f>MIN(1,MAX(VLOOKUP(($AJ52-$AI52-$AH52-$AG52-$AF52-$AE52*(1+GZ$3))/$AJ52,'Технический лист'!$M:$N,2,1),(GY52-0.05)))</f>
        <v/>
      </c>
      <c r="HA52" s="172">
        <f>MIN(1,MAX(VLOOKUP(($AJ52-$AI52-$AH52-$AG52-$AF52-$AE52*(1+HA$3))/$AJ52,'Технический лист'!$M:$N,2,1),(GZ52-0.05)))</f>
        <v/>
      </c>
      <c r="HB52" s="172">
        <f>MIN(1,MAX(VLOOKUP(($AJ52-$AI52-$AH52-$AG52-$AF52-$AE52*(1+HB$3))/$AJ52,'Технический лист'!$M:$N,2,1),(HA52-0.05)))</f>
        <v/>
      </c>
      <c r="HC52" s="172">
        <f>MIN(1,MAX(VLOOKUP(($AJ52-$AI52-$AH52-$AG52-$AF52-$AE52*(1+HC$3))/$AJ52,'Технический лист'!$M:$N,2,1),(HB52-0.05)))</f>
        <v/>
      </c>
      <c r="HD52" s="172">
        <f>MIN(1,MAX(VLOOKUP(($AJ52-$AI52-$AH52-$AG52-$AF52-$AE52*(1+HD$3))/$AJ52,'Технический лист'!$M:$N,2,1),(HC52-0.05)))</f>
        <v/>
      </c>
      <c r="HE52" s="172">
        <f>MIN(1,MAX(VLOOKUP(($AJ52-$AI52-$AH52-$AG52-$AF52-$AE52*(1+HE$3))/$AJ52,'Технический лист'!$M:$N,2,1),(HD52-0.05)))</f>
        <v/>
      </c>
      <c r="HF52" s="172">
        <f>MIN(1,MAX(VLOOKUP(($AJ52-$AI52-$AH52-$AG52-$AF52-$AE52*(1+HF$3))/$AJ52,'Технический лист'!$M:$N,2,1),(HE52-0.05)))</f>
        <v/>
      </c>
      <c r="HG52" s="172">
        <f>MIN(1,MAX(VLOOKUP(($AJ52-$AI52-$AH52-$AG52-$AF52-$AE52*(1+HG$3))/$AJ52,'Технический лист'!$M:$N,2,1),(HF52-0.05)))</f>
        <v/>
      </c>
      <c r="HH52" s="172">
        <f>MIN(1,MAX(VLOOKUP(($AJ52-$AI52-$AH52-$AG52-$AF52-$AE52*(1+HH$3))/$AJ52,'Технический лист'!$M:$N,2,1),(HG52-0.05)))</f>
        <v/>
      </c>
      <c r="HI52" s="172">
        <f>MIN(1,MAX(VLOOKUP(($AJ52-$AI52-$AH52-$AG52-$AF52-$AE52*(1+HI$3))/$AJ52,'Технический лист'!$M:$N,2,1),(HH52-0.05)))</f>
        <v/>
      </c>
      <c r="HJ52" s="172">
        <f>MIN(1,MAX(VLOOKUP(($AJ52-$AI52-$AH52-$AG52-$AF52-$AE52*(1+HJ$3))/$AJ52,'Технический лист'!$M:$N,2,1),(HI52-0.05)))</f>
        <v/>
      </c>
      <c r="HK52" s="172">
        <f>MIN(1,MAX(VLOOKUP(($AJ52-$AI52-$AH52-$AG52-$AF52-$AE52*(1+HK$3))/$AJ52,'Технический лист'!$M:$N,2,1),(HJ52-0.05)))</f>
        <v/>
      </c>
      <c r="HL52" s="172">
        <f>MIN(1,MAX(VLOOKUP(($AJ52-$AI52-$AH52-$AG52-$AF52-$AE52*(1+HL$3))/$AJ52,'Технический лист'!$M:$N,2,1),(HK52-0.05)))</f>
        <v/>
      </c>
      <c r="HM52" s="172">
        <f>MIN(1,MAX(VLOOKUP(($AJ52-$AI52-$AH52-$AG52-$AF52-$AE52*(1+HM$3))/$AJ52,'Технический лист'!$M:$N,2,1),(HL52-0.05)))</f>
        <v/>
      </c>
      <c r="HN52" s="172">
        <f>MIN(1,MAX(VLOOKUP(($AJ52-$AI52-$AH52-$AG52-$AF52-$AE52*(1+HN$3))/$AJ52,'Технический лист'!$M:$N,2,1),(HM52-0.05)))</f>
        <v/>
      </c>
      <c r="HO52" s="172">
        <f>MIN(1,MAX(VLOOKUP(($AJ52-$AI52-$AH52-$AG52-$AF52-$AE52*(1+HO$3))/$AJ52,'Технический лист'!$M:$N,2,1),(HN52-0.05)))</f>
        <v/>
      </c>
      <c r="HP52" s="172">
        <f>MIN(1,MAX(VLOOKUP(($AJ52-$AI52-$AH52-$AG52-$AF52-$AE52*(1+HP$3))/$AJ52,'Технический лист'!$M:$N,2,1),(HO52-0.05)))</f>
        <v/>
      </c>
      <c r="HQ52" s="172">
        <f>MIN(1,MAX(VLOOKUP(($AJ52-$AI52-$AH52-$AG52-$AF52-$AE52*(1+HQ$3))/$AJ52,'Технический лист'!$M:$N,2,1),(HP52-0.05)))</f>
        <v/>
      </c>
      <c r="HR52" s="172">
        <f>MIN(1,MAX(VLOOKUP(($AJ52-$AI52-$AH52-$AG52-$AF52-$AE52*(1+HR$3))/$AJ52,'Технический лист'!$M:$N,2,1),(HQ52-0.05)))</f>
        <v/>
      </c>
      <c r="HS52" s="172">
        <f>MIN(1,MAX(VLOOKUP(($AJ52-$AI52-$AH52-$AG52-$AF52-$AE52*(1+HS$3))/$AJ52,'Технический лист'!$M:$N,2,1),(HR52-0.05)))</f>
        <v/>
      </c>
      <c r="HT52" s="172">
        <f>MIN(1,MAX(VLOOKUP(($AJ52-$AI52-$AH52-$AG52-$AF52-$AE52*(1+HT$3))/$AJ52,'Технический лист'!$M:$N,2,1),(HS52-0.05)))</f>
        <v/>
      </c>
      <c r="HU52" s="172">
        <f>MIN(1,MAX(VLOOKUP(($AJ52-$AI52-$AH52-$AG52-$AF52-$AE52*(1+HU$3))/$AJ52,'Технический лист'!$M:$N,2,1),(HT52-0.05)))</f>
        <v/>
      </c>
      <c r="HV52" s="172">
        <f>MIN(1,MAX(VLOOKUP(($AJ52-$AI52-$AH52-$AG52-$AF52-$AE52*(1+HV$3))/$AJ52,'Технический лист'!$M:$N,2,1),(HU52-0.05)))</f>
        <v/>
      </c>
      <c r="HW52" s="172">
        <f>MIN(1,MAX(VLOOKUP(($AJ52-$AI52-$AH52-$AG52-$AF52-$AE52*(1+HW$3))/$AJ52,'Технический лист'!$M:$N,2,1),(HV52-0.05)))</f>
        <v/>
      </c>
      <c r="HX52" s="172">
        <f>MIN(1,MAX(VLOOKUP(($AJ52-$AI52-$AH52-$AG52-$AF52-$AE52*(1+HX$3))/$AJ52,'Технический лист'!$M:$N,2,1),(HW52-0.05)))</f>
        <v/>
      </c>
      <c r="HY52" s="172">
        <f>MIN(1,MAX(VLOOKUP(($AJ52-$AI52-$AH52-$AG52-$AF52-$AE52*(1+HY$3))/$AJ52,'Технический лист'!$M:$N,2,1),(HX52-0.05)))</f>
        <v/>
      </c>
      <c r="HZ52" s="172">
        <f>MIN(1,MAX(VLOOKUP(($AJ52-$AI52-$AH52-$AG52-$AF52-$AE52*(1+HZ$3))/$AJ52,'Технический лист'!$M:$N,2,1),(HY52-0.05)))</f>
        <v/>
      </c>
      <c r="IA52" s="172">
        <f>MIN(1,MAX(VLOOKUP(($AJ52-$AI52-$AH52-$AG52-$AF52-$AE52*(1+IA$3))/$AJ52,'Технический лист'!$M:$N,2,1),(HZ52-0.05)))</f>
        <v/>
      </c>
      <c r="IB52" s="172">
        <f>MIN(1,MAX(VLOOKUP(($AJ52-$AI52-$AH52-$AG52-$AF52-$AE52*(1+IB$3))/$AJ52,'Технический лист'!$M:$N,2,1),(IA52-0.05)))</f>
        <v/>
      </c>
      <c r="IC52" s="172">
        <f>MIN(1,MAX(VLOOKUP(($AJ52-$AI52-$AH52-$AG52-$AF52-$AE52*(1+IC$3))/$AJ52,'Технический лист'!$M:$N,2,1),(IB52-0.05)))</f>
        <v/>
      </c>
      <c r="ID52" s="172">
        <f>MIN(1,MAX(VLOOKUP(($AJ52-$AI52-$AH52-$AG52-$AF52-$AE52*(1+ID$3))/$AJ52,'Технический лист'!$M:$N,2,1),(IC52-0.05)))</f>
        <v/>
      </c>
      <c r="IE52" s="172">
        <f>MIN(1,MAX(VLOOKUP(($AJ52-$AI52-$AH52-$AG52-$AF52-$AE52*(1+IE$3))/$AJ52,'Технический лист'!$M:$N,2,1),(ID52-0.05)))</f>
        <v/>
      </c>
      <c r="IF52" s="172">
        <f>MIN(1,MAX(VLOOKUP(($AJ52-$AI52-$AH52-$AG52-$AF52-$AE52*(1+IF$3))/$AJ52,'Технический лист'!$M:$N,2,1),(IE52-0.05)))</f>
        <v/>
      </c>
      <c r="IG52" s="172">
        <f>MIN(1,MAX(VLOOKUP(($AJ52-$AI52-$AH52-$AG52-$AF52-$AE52*(1+IG$3))/$AJ52,'Технический лист'!$M:$N,2,1),(IF52-0.05)))</f>
        <v/>
      </c>
      <c r="IH52" s="172">
        <f>MIN(1,MAX(VLOOKUP(($AJ52-$AI52-$AH52-$AG52-$AF52-$AE52*(1+IH$3))/$AJ52,'Технический лист'!$M:$N,2,1),(IG52-0.05)))</f>
        <v/>
      </c>
      <c r="II52" s="172">
        <f>MIN(1,MAX(VLOOKUP(($AJ52-$AI52-$AH52-$AG52-$AF52-$AE52*(1+II$3))/$AJ52,'Технический лист'!$M:$N,2,1),(IH52-0.05)))</f>
        <v/>
      </c>
      <c r="IJ52" s="172">
        <f>MIN(1,MAX(VLOOKUP(($AJ52-$AI52-$AH52-$AG52-$AF52-$AE52*(1+IJ$3))/$AJ52,'Технический лист'!$M:$N,2,1),(II52-0.05)))</f>
        <v/>
      </c>
      <c r="IK52" s="172">
        <f>MIN(1,MAX(VLOOKUP(($AJ52-$AI52-$AH52-$AG52-$AF52-$AE52*(1+IK$3))/$AJ52,'Технический лист'!$M:$N,2,1),(IJ52-0.05)))</f>
        <v/>
      </c>
      <c r="IL52" s="172">
        <f>MIN(1,MAX(VLOOKUP(($AJ52-$AI52-$AH52-$AG52-$AF52-$AE52*(1+IL$3))/$AJ52,'Технический лист'!$M:$N,2,1),(IK52-0.05)))</f>
        <v/>
      </c>
      <c r="IM52" s="172">
        <f>MIN(1,MAX(VLOOKUP(($AJ52-$AI52-$AH52-$AG52-$AF52-$AE52*(1+IM$3))/$AJ52,'Технический лист'!$M:$N,2,1),(IL52-0.05)))</f>
        <v/>
      </c>
      <c r="IN52" s="172">
        <f>MIN(1,MAX(VLOOKUP(($AJ52-$AI52-$AH52-$AG52-$AF52-$AE52*(1+IN$3))/$AJ52,'Технический лист'!$M:$N,2,1),(IM52-0.05)))</f>
        <v/>
      </c>
      <c r="IO52" s="172">
        <f>MIN(1,MAX(VLOOKUP(($AJ52-$AI52-$AH52-$AG52-$AF52-$AE52*(1+IO$3))/$AJ52,'Технический лист'!$M:$N,2,1),(IN52-0.05)))</f>
        <v/>
      </c>
      <c r="IP52" s="172">
        <f>MIN(1,MAX(VLOOKUP(($AJ52-$AI52-$AH52-$AG52-$AF52-$AE52*(1+IP$3))/$AJ52,'Технический лист'!$M:$N,2,1),(IO52-0.05)))</f>
        <v/>
      </c>
      <c r="IQ52" s="172">
        <f>MIN(1,MAX(VLOOKUP(($AJ52-$AI52-$AH52-$AG52-$AF52-$AE52*(1+IQ$3))/$AJ52,'Технический лист'!$M:$N,2,1),(IP52-0.05)))</f>
        <v/>
      </c>
      <c r="IR52" s="172">
        <f>MIN(1,MAX(VLOOKUP(($AJ52-$AI52-$AH52-$AG52-$AF52-$AE52*(1+IR$3))/$AJ52,'Технический лист'!$M:$N,2,1),(IQ52-0.05)))</f>
        <v/>
      </c>
    </row>
    <row r="53" ht="29.15" customHeight="1" s="123">
      <c r="A53" s="89" t="inlineStr">
        <is>
          <t>ЧМ (сырье)</t>
        </is>
      </c>
      <c r="B53" s="90" t="n">
        <v>4</v>
      </c>
      <c r="C53" s="5" t="inlineStr">
        <is>
          <t>Руды  всякие</t>
        </is>
      </c>
      <c r="D53" s="91" t="n">
        <v>14109</v>
      </c>
      <c r="E53" s="91" t="inlineStr">
        <is>
          <t xml:space="preserve">Концентрат железорудный (гематит) </t>
        </is>
      </c>
      <c r="F53" s="92" t="inlineStr">
        <is>
          <t>РУДЫ И КОНЦЕНТРАТЫ ЖЕЛЕЗН</t>
        </is>
      </c>
      <c r="G53" s="91" t="inlineStr">
        <is>
          <t>ЮВС</t>
        </is>
      </c>
      <c r="H53" s="91" t="inlineStr">
        <is>
          <t>ДВС</t>
        </is>
      </c>
      <c r="I53" s="91" t="inlineStr">
        <is>
          <t>СТОЙЛЕНСКАЯ</t>
        </is>
      </c>
      <c r="J53" s="91" t="inlineStr">
        <is>
          <t>ЧЕГДОМЫН</t>
        </is>
      </c>
      <c r="K53" s="91" t="n">
        <v>8116</v>
      </c>
      <c r="L53" s="91" t="inlineStr">
        <is>
          <t>Полувагоны</t>
        </is>
      </c>
      <c r="M53" s="91" t="inlineStr">
        <is>
          <t>Внутр. перевозки</t>
        </is>
      </c>
      <c r="N53" s="91" t="inlineStr">
        <is>
          <t>вагонная</t>
        </is>
      </c>
      <c r="O53" s="91" t="inlineStr">
        <is>
          <t xml:space="preserve">Восточное </t>
        </is>
      </c>
      <c r="P53" s="89" t="inlineStr">
        <is>
          <t>'000000186803</t>
        </is>
      </c>
      <c r="Q53" s="91" t="inlineStr">
        <is>
          <t>'АО "Лебединский ГОК"</t>
        </is>
      </c>
      <c r="R53" s="91" t="inlineStr">
        <is>
          <t>ООО УК "Металлоинвест"</t>
        </is>
      </c>
      <c r="S53" s="87" t="n">
        <v>26178</v>
      </c>
      <c r="T53" s="87" t="n">
        <v>212463085</v>
      </c>
      <c r="U53" s="88" t="n">
        <v>355</v>
      </c>
      <c r="V53" s="88" t="n">
        <v>0</v>
      </c>
      <c r="W53" s="87" t="n">
        <v>53168604</v>
      </c>
      <c r="X53" s="112" t="n">
        <v>73</v>
      </c>
      <c r="Y53" s="112" t="inlineStr">
        <is>
          <t>групповая</t>
        </is>
      </c>
      <c r="Z53" s="113" t="n">
        <v>22</v>
      </c>
      <c r="AA53" s="113" t="n">
        <v>16</v>
      </c>
      <c r="AB53" s="113" t="n">
        <v>4</v>
      </c>
      <c r="AC53" s="161" t="n">
        <v>2262.84</v>
      </c>
      <c r="AD53" s="161">
        <f>AE53-AC53</f>
        <v/>
      </c>
      <c r="AE53" s="161" t="n">
        <v>3374.56</v>
      </c>
      <c r="AF53" s="162">
        <f>(Z53+AA53+AB53)*'Ставки аренды'!$B$2/X53</f>
        <v/>
      </c>
      <c r="AG53" s="163" t="n">
        <v>0</v>
      </c>
      <c r="AH53" s="164" t="n">
        <v>0</v>
      </c>
      <c r="AI53" s="165">
        <f>240828/411356*AJ53</f>
        <v/>
      </c>
      <c r="AJ53" s="166">
        <f>Цены!$D$14</f>
        <v/>
      </c>
      <c r="AK53" s="164">
        <f>AJ53/Цены!$B$1</f>
        <v/>
      </c>
      <c r="AL53" s="164">
        <f>AE53+AF53+AG53</f>
        <v/>
      </c>
      <c r="AM53" s="164">
        <f>AJ53-AL53</f>
        <v/>
      </c>
      <c r="AN53" s="164">
        <f>AI53+AH53+AG53+AF53+AE53</f>
        <v/>
      </c>
      <c r="AO53" s="167">
        <f>(AJ53-AN53)/AJ53</f>
        <v/>
      </c>
      <c r="AP53" s="168">
        <f>AL53/AJ53</f>
        <v/>
      </c>
      <c r="AQ53" s="168">
        <f>AE53/AJ53</f>
        <v/>
      </c>
      <c r="AR53" s="168">
        <f>AE53/AL53</f>
        <v/>
      </c>
      <c r="AS53" s="169" t="n">
        <v>1</v>
      </c>
      <c r="AT53" s="121">
        <f>S53*AS53</f>
        <v/>
      </c>
      <c r="AU53" s="83" t="n">
        <v>0.9</v>
      </c>
      <c r="AV53" s="170">
        <f>(AJ53-(AE53*(1+$IS$2)+AF53+AG53+AH53+AI53))/AJ53</f>
        <v/>
      </c>
      <c r="AW53" s="171">
        <f>(AE53*(1+$IS$2)+AF53+AG53)/AJ53</f>
        <v/>
      </c>
      <c r="AX53" s="171">
        <f>(AE53*(1+$IS$2))/AJ53</f>
        <v/>
      </c>
      <c r="AY53" s="171">
        <f>(AE53*(1+$IS$2))/(AE53*(1+$IS$2)+AF53+AG53)</f>
        <v/>
      </c>
      <c r="AZ53" s="172">
        <f>MIN(IF($AU53=100%,1,1+VLOOKUP(($AJ53-$AI53-$AH53-$AG53-$AF53-$AE53*(1+AZ$3))/$AJ53,'Технический лист'!$M:$N,2,1)-VLOOKUP($AO53,'Технический лист'!$M:$N,2,1)),1+(1-$AU53))</f>
        <v/>
      </c>
      <c r="BA53" s="172">
        <f>MIN(IF($AU53=100%,1,1+VLOOKUP(($AJ53-$AI53-$AH53-$AG53-$AF53-$AE53*(1+BA$3))/$AJ53,'Технический лист'!$M:$N,2,1)-VLOOKUP($AO53,'Технический лист'!$M:$N,2,1)),1+(1-$AU53))</f>
        <v/>
      </c>
      <c r="BB53" s="172">
        <f>MIN(IF($AU53=100%,1,1+VLOOKUP(($AJ53-$AI53-$AH53-$AG53-$AF53-$AE53*(1+BB$3))/$AJ53,'Технический лист'!$M:$N,2,1)-VLOOKUP($AO53,'Технический лист'!$M:$N,2,1)),1+(1-$AU53))</f>
        <v/>
      </c>
      <c r="BC53" s="172">
        <f>MIN(IF($AU53=100%,1,1+VLOOKUP(($AJ53-$AI53-$AH53-$AG53-$AF53-$AE53*(1+BC$3))/$AJ53,'Технический лист'!$M:$N,2,1)-VLOOKUP($AO53,'Технический лист'!$M:$N,2,1)),1+(1-$AU53))</f>
        <v/>
      </c>
      <c r="BD53" s="172">
        <f>MIN(IF($AU53=100%,1,1+VLOOKUP(($AJ53-$AI53-$AH53-$AG53-$AF53-$AE53*(1+BD$3))/$AJ53,'Технический лист'!$M:$N,2,1)-VLOOKUP($AO53,'Технический лист'!$M:$N,2,1)),1+(1-$AU53))</f>
        <v/>
      </c>
      <c r="BE53" s="172">
        <f>MIN(IF($AU53=100%,1,1+VLOOKUP(($AJ53-$AI53-$AH53-$AG53-$AF53-$AE53*(1+BE$3))/$AJ53,'Технический лист'!$M:$N,2,1)-VLOOKUP($AO53,'Технический лист'!$M:$N,2,1)),1+(1-$AU53))</f>
        <v/>
      </c>
      <c r="BF53" s="172">
        <f>MIN(IF($AU53=100%,1,1+VLOOKUP(($AJ53-$AI53-$AH53-$AG53-$AF53-$AE53*(1+BF$3))/$AJ53,'Технический лист'!$M:$N,2,1)-VLOOKUP($AO53,'Технический лист'!$M:$N,2,1)),1+(1-$AU53))</f>
        <v/>
      </c>
      <c r="BG53" s="172">
        <f>MIN(IF($AU53=100%,1,1+VLOOKUP(($AJ53-$AI53-$AH53-$AG53-$AF53-$AE53*(1+BG$3))/$AJ53,'Технический лист'!$M:$N,2,1)-VLOOKUP($AO53,'Технический лист'!$M:$N,2,1)),1+(1-$AU53))</f>
        <v/>
      </c>
      <c r="BH53" s="172">
        <f>MIN(IF($AU53=100%,1,1+VLOOKUP(($AJ53-$AI53-$AH53-$AG53-$AF53-$AE53*(1+BH$3))/$AJ53,'Технический лист'!$M:$N,2,1)-VLOOKUP($AO53,'Технический лист'!$M:$N,2,1)),1+(1-$AU53))</f>
        <v/>
      </c>
      <c r="BI53" s="172">
        <f>MIN(IF($AU53=100%,1,1+VLOOKUP(($AJ53-$AI53-$AH53-$AG53-$AF53-$AE53*(1+BI$3))/$AJ53,'Технический лист'!$M:$N,2,1)-VLOOKUP($AO53,'Технический лист'!$M:$N,2,1)),1+(1-$AU53))</f>
        <v/>
      </c>
      <c r="BJ53" s="172">
        <f>MIN(IF($AU53=100%,1,1+VLOOKUP(($AJ53-$AI53-$AH53-$AG53-$AF53-$AE53*(1+BJ$3))/$AJ53,'Технический лист'!$M:$N,2,1)-VLOOKUP($AO53,'Технический лист'!$M:$N,2,1)),1+(1-$AU53))</f>
        <v/>
      </c>
      <c r="BK53" s="172">
        <f>MIN(IF($AU53=100%,1,1+VLOOKUP(($AJ53-$AI53-$AH53-$AG53-$AF53-$AE53*(1+BK$3))/$AJ53,'Технический лист'!$M:$N,2,1)-VLOOKUP($AO53,'Технический лист'!$M:$N,2,1)),1+(1-$AU53))</f>
        <v/>
      </c>
      <c r="BL53" s="172">
        <f>MIN(IF($AU53=100%,1,1+VLOOKUP(($AJ53-$AI53-$AH53-$AG53-$AF53-$AE53*(1+BL$3))/$AJ53,'Технический лист'!$M:$N,2,1)-VLOOKUP($AO53,'Технический лист'!$M:$N,2,1)),1+(1-$AU53))</f>
        <v/>
      </c>
      <c r="BM53" s="172">
        <f>MIN(IF($AU53=100%,1,1+VLOOKUP(($AJ53-$AI53-$AH53-$AG53-$AF53-$AE53*(1+BM$3))/$AJ53,'Технический лист'!$M:$N,2,1)-VLOOKUP($AO53,'Технический лист'!$M:$N,2,1)),1+(1-$AU53))</f>
        <v/>
      </c>
      <c r="BN53" s="172">
        <f>MIN(IF($AU53=100%,1,1+VLOOKUP(($AJ53-$AI53-$AH53-$AG53-$AF53-$AE53*(1+BN$3))/$AJ53,'Технический лист'!$M:$N,2,1)-VLOOKUP($AO53,'Технический лист'!$M:$N,2,1)),1+(1-$AU53))</f>
        <v/>
      </c>
      <c r="BO53" s="172">
        <f>MIN(IF($AU53=100%,1,1+VLOOKUP(($AJ53-$AI53-$AH53-$AG53-$AF53-$AE53*(1+BO$3))/$AJ53,'Технический лист'!$M:$N,2,1)-VLOOKUP($AO53,'Технический лист'!$M:$N,2,1)),1+(1-$AU53))</f>
        <v/>
      </c>
      <c r="BP53" s="172">
        <f>MIN(IF($AU53=100%,1,1+VLOOKUP(($AJ53-$AI53-$AH53-$AG53-$AF53-$AE53*(1+BP$3))/$AJ53,'Технический лист'!$M:$N,2,1)-VLOOKUP($AO53,'Технический лист'!$M:$N,2,1)),1+(1-$AU53))</f>
        <v/>
      </c>
      <c r="BQ53" s="172">
        <f>MIN(IF($AU53=100%,1,1+VLOOKUP(($AJ53-$AI53-$AH53-$AG53-$AF53-$AE53*(1+BQ$3))/$AJ53,'Технический лист'!$M:$N,2,1)-VLOOKUP($AO53,'Технический лист'!$M:$N,2,1)),1+(1-$AU53))</f>
        <v/>
      </c>
      <c r="BR53" s="172">
        <f>MIN(IF($AU53=100%,1,1+VLOOKUP(($AJ53-$AI53-$AH53-$AG53-$AF53-$AE53*(1+BR$3))/$AJ53,'Технический лист'!$M:$N,2,1)-VLOOKUP($AO53,'Технический лист'!$M:$N,2,1)),1+(1-$AU53))</f>
        <v/>
      </c>
      <c r="BS53" s="172">
        <f>MIN(IF($AU53=100%,1,1+VLOOKUP(($AJ53-$AI53-$AH53-$AG53-$AF53-$AE53*(1+BS$3))/$AJ53,'Технический лист'!$M:$N,2,1)-VLOOKUP($AO53,'Технический лист'!$M:$N,2,1)),1+(1-$AU53))</f>
        <v/>
      </c>
      <c r="BT53" s="172">
        <f>MIN(IF($AU53=100%,1,1+VLOOKUP(($AJ53-$AI53-$AH53-$AG53-$AF53-$AE53*(1+BT$3))/$AJ53,'Технический лист'!$M:$N,2,1)-VLOOKUP($AO53,'Технический лист'!$M:$N,2,1)),1+(1-$AU53))</f>
        <v/>
      </c>
      <c r="BU53" s="172">
        <f>MIN(IF($AU53=100%,1,1+VLOOKUP(($AJ53-$AI53-$AH53-$AG53-$AF53-$AE53*(1+BU$3))/$AJ53,'Технический лист'!$M:$N,2,1)-VLOOKUP($AO53,'Технический лист'!$M:$N,2,1)),1+(1-$AU53))</f>
        <v/>
      </c>
      <c r="BV53" s="172">
        <f>MIN(IF($AU53=100%,1,1+VLOOKUP(($AJ53-$AI53-$AH53-$AG53-$AF53-$AE53*(1+BV$3))/$AJ53,'Технический лист'!$M:$N,2,1)-VLOOKUP($AO53,'Технический лист'!$M:$N,2,1)),1+(1-$AU53))</f>
        <v/>
      </c>
      <c r="BW53" s="172">
        <f>MIN(IF($AU53=100%,1,1+VLOOKUP(($AJ53-$AI53-$AH53-$AG53-$AF53-$AE53*(1+BW$3))/$AJ53,'Технический лист'!$M:$N,2,1)-VLOOKUP($AO53,'Технический лист'!$M:$N,2,1)),1+(1-$AU53))</f>
        <v/>
      </c>
      <c r="BX53" s="172">
        <f>MIN(IF($AU53=100%,1,1+VLOOKUP(($AJ53-$AI53-$AH53-$AG53-$AF53-$AE53*(1+BX$3))/$AJ53,'Технический лист'!$M:$N,2,1)-VLOOKUP($AO53,'Технический лист'!$M:$N,2,1)),1+(1-$AU53))</f>
        <v/>
      </c>
      <c r="BY53" s="172">
        <f>MIN(IF($AU53=100%,1,1+VLOOKUP(($AJ53-$AI53-$AH53-$AG53-$AF53-$AE53*(1+BY$3))/$AJ53,'Технический лист'!$M:$N,2,1)-VLOOKUP($AO53,'Технический лист'!$M:$N,2,1)),1+(1-$AU53))</f>
        <v/>
      </c>
      <c r="BZ53" s="172">
        <f>MIN(IF($AU53=100%,1,1+VLOOKUP(($AJ53-$AI53-$AH53-$AG53-$AF53-$AE53*(1+BZ$3))/$AJ53,'Технический лист'!$M:$N,2,1)-VLOOKUP($AO53,'Технический лист'!$M:$N,2,1)),1+(1-$AU53))</f>
        <v/>
      </c>
      <c r="CA53" s="172">
        <f>MIN(IF($AU53=100%,1,1+VLOOKUP(($AJ53-$AI53-$AH53-$AG53-$AF53-$AE53*(1+CA$3))/$AJ53,'Технический лист'!$M:$N,2,1)-VLOOKUP($AO53,'Технический лист'!$M:$N,2,1)),1+(1-$AU53))</f>
        <v/>
      </c>
      <c r="CB53" s="172">
        <f>MIN(IF($AU53=100%,1,1+VLOOKUP(($AJ53-$AI53-$AH53-$AG53-$AF53-$AE53*(1+CB$3))/$AJ53,'Технический лист'!$M:$N,2,1)-VLOOKUP($AO53,'Технический лист'!$M:$N,2,1)),1+(1-$AU53))</f>
        <v/>
      </c>
      <c r="CC53" s="172">
        <f>MIN(IF($AU53=100%,1,1+VLOOKUP(($AJ53-$AI53-$AH53-$AG53-$AF53-$AE53*(1+CC$3))/$AJ53,'Технический лист'!$M:$N,2,1)-VLOOKUP($AO53,'Технический лист'!$M:$N,2,1)),1+(1-$AU53))</f>
        <v/>
      </c>
      <c r="CD53" s="172">
        <f>MIN(IF($AU53=100%,1,1+VLOOKUP(($AJ53-$AI53-$AH53-$AG53-$AF53-$AE53*(1+CD$3))/$AJ53,'Технический лист'!$M:$N,2,1)-VLOOKUP($AO53,'Технический лист'!$M:$N,2,1)),1+(1-$AU53))</f>
        <v/>
      </c>
      <c r="CE53" s="172">
        <f>MIN(IF($AU53=100%,1,1+VLOOKUP(($AJ53-$AI53-$AH53-$AG53-$AF53-$AE53*(1+CE$3))/$AJ53,'Технический лист'!$M:$N,2,1)-VLOOKUP($AO53,'Технический лист'!$M:$N,2,1)),1+(1-$AU53))</f>
        <v/>
      </c>
      <c r="CF53" s="172">
        <f>MIN(IF($AU53=100%,1,1+VLOOKUP(($AJ53-$AI53-$AH53-$AG53-$AF53-$AE53*(1+CF$3))/$AJ53,'Технический лист'!$M:$N,2,1)-VLOOKUP($AO53,'Технический лист'!$M:$N,2,1)),1+(1-$AU53))</f>
        <v/>
      </c>
      <c r="CG53" s="172">
        <f>MIN(IF($AU53=100%,1,1+VLOOKUP(($AJ53-$AI53-$AH53-$AG53-$AF53-$AE53*(1+CG$3))/$AJ53,'Технический лист'!$M:$N,2,1)-VLOOKUP($AO53,'Технический лист'!$M:$N,2,1)),1+(1-$AU53))</f>
        <v/>
      </c>
      <c r="CH53" s="172">
        <f>MIN(IF($AU53=100%,1,1+VLOOKUP(($AJ53-$AI53-$AH53-$AG53-$AF53-$AE53*(1+CH$3))/$AJ53,'Технический лист'!$M:$N,2,1)-VLOOKUP($AO53,'Технический лист'!$M:$N,2,1)),1+(1-$AU53))</f>
        <v/>
      </c>
      <c r="CI53" s="172">
        <f>MIN(IF($AU53=100%,1,1+VLOOKUP(($AJ53-$AI53-$AH53-$AG53-$AF53-$AE53*(1+CI$3))/$AJ53,'Технический лист'!$M:$N,2,1)-VLOOKUP($AO53,'Технический лист'!$M:$N,2,1)),1+(1-$AU53))</f>
        <v/>
      </c>
      <c r="CJ53" s="172">
        <f>MIN(IF($AU53=100%,1,1+VLOOKUP(($AJ53-$AI53-$AH53-$AG53-$AF53-$AE53*(1+CJ$3))/$AJ53,'Технический лист'!$M:$N,2,1)-VLOOKUP($AO53,'Технический лист'!$M:$N,2,1)),1+(1-$AU53))</f>
        <v/>
      </c>
      <c r="CK53" s="172">
        <f>MIN(IF($AU53=100%,1,1+VLOOKUP(($AJ53-$AI53-$AH53-$AG53-$AF53-$AE53*(1+CK$3))/$AJ53,'Технический лист'!$M:$N,2,1)-VLOOKUP($AO53,'Технический лист'!$M:$N,2,1)),1+(1-$AU53))</f>
        <v/>
      </c>
      <c r="CL53" s="172">
        <f>MIN(IF($AU53=100%,1,1+VLOOKUP(($AJ53-$AI53-$AH53-$AG53-$AF53-$AE53*(1+CL$3))/$AJ53,'Технический лист'!$M:$N,2,1)-VLOOKUP($AO53,'Технический лист'!$M:$N,2,1)),1+(1-$AU53))</f>
        <v/>
      </c>
      <c r="CM53" s="172">
        <f>MIN(IF($AU53=100%,1,1+VLOOKUP(($AJ53-$AI53-$AH53-$AG53-$AF53-$AE53*(1+CM$3))/$AJ53,'Технический лист'!$M:$N,2,1)-VLOOKUP($AO53,'Технический лист'!$M:$N,2,1)),1+(1-$AU53))</f>
        <v/>
      </c>
      <c r="CN53" s="172">
        <f>MIN(IF($AU53=100%,1,1+VLOOKUP(($AJ53-$AI53-$AH53-$AG53-$AF53-$AE53*(1+CN$3))/$AJ53,'Технический лист'!$M:$N,2,1)-VLOOKUP($AO53,'Технический лист'!$M:$N,2,1)),1+(1-$AU53))</f>
        <v/>
      </c>
      <c r="CO53" s="172">
        <f>MIN(IF($AU53=100%,1,1+VLOOKUP(($AJ53-$AI53-$AH53-$AG53-$AF53-$AE53*(1+CO$3))/$AJ53,'Технический лист'!$M:$N,2,1)-VLOOKUP($AO53,'Технический лист'!$M:$N,2,1)),1+(1-$AU53))</f>
        <v/>
      </c>
      <c r="CP53" s="172">
        <f>MIN(IF($AU53=100%,1,1+VLOOKUP(($AJ53-$AI53-$AH53-$AG53-$AF53-$AE53*(1+CP$3))/$AJ53,'Технический лист'!$M:$N,2,1)-VLOOKUP($AO53,'Технический лист'!$M:$N,2,1)),1+(1-$AU53))</f>
        <v/>
      </c>
      <c r="CQ53" s="172">
        <f>MIN(IF($AU53=100%,1,1+VLOOKUP(($AJ53-$AI53-$AH53-$AG53-$AF53-$AE53*(1+CQ$3))/$AJ53,'Технический лист'!$M:$N,2,1)-VLOOKUP($AO53,'Технический лист'!$M:$N,2,1)),1+(1-$AU53))</f>
        <v/>
      </c>
      <c r="CR53" s="172">
        <f>MIN(IF($AU53=100%,1,1+VLOOKUP(($AJ53-$AI53-$AH53-$AG53-$AF53-$AE53*(1+CR$3))/$AJ53,'Технический лист'!$M:$N,2,1)-VLOOKUP($AO53,'Технический лист'!$M:$N,2,1)),1+(1-$AU53))</f>
        <v/>
      </c>
      <c r="CS53" s="172">
        <f>MIN(IF($AU53=100%,1,1+VLOOKUP(($AJ53-$AI53-$AH53-$AG53-$AF53-$AE53*(1+CS$3))/$AJ53,'Технический лист'!$M:$N,2,1)-VLOOKUP($AO53,'Технический лист'!$M:$N,2,1)),1+(1-$AU53))</f>
        <v/>
      </c>
      <c r="CT53" s="172">
        <f>MIN(IF($AU53=100%,1,1+VLOOKUP(($AJ53-$AI53-$AH53-$AG53-$AF53-$AE53*(1+CT$3))/$AJ53,'Технический лист'!$M:$N,2,1)-VLOOKUP($AO53,'Технический лист'!$M:$N,2,1)),1+(1-$AU53))</f>
        <v/>
      </c>
      <c r="CU53" s="172">
        <f>MIN(IF($AU53=100%,1,1+VLOOKUP(($AJ53-$AI53-$AH53-$AG53-$AF53-$AE53*(1+CU$3))/$AJ53,'Технический лист'!$M:$N,2,1)-VLOOKUP($AO53,'Технический лист'!$M:$N,2,1)),1+(1-$AU53))</f>
        <v/>
      </c>
      <c r="CV53" s="172">
        <f>MIN(IF($AU53=100%,1,1+VLOOKUP(($AJ53-$AI53-$AH53-$AG53-$AF53-$AE53*(1+CV$3))/$AJ53,'Технический лист'!$M:$N,2,1)-VLOOKUP($AO53,'Технический лист'!$M:$N,2,1)),1+(1-$AU53))</f>
        <v/>
      </c>
      <c r="CW53" s="172">
        <f>MIN(IF($AU53=100%,1,1+VLOOKUP(($AJ53-$AI53-$AH53-$AG53-$AF53-$AE53*(1+CW$3))/$AJ53,'Технический лист'!$M:$N,2,1)-VLOOKUP($AO53,'Технический лист'!$M:$N,2,1)),1+(1-$AU53))</f>
        <v/>
      </c>
      <c r="CX53" s="172">
        <f>MIN(IF($AU53=100%,1,1+VLOOKUP(($AJ53-$AI53-$AH53-$AG53-$AF53-$AE53*(1+CX$3))/$AJ53,'Технический лист'!$M:$N,2,1)-VLOOKUP($AO53,'Технический лист'!$M:$N,2,1)),1+(1-$AU53))</f>
        <v/>
      </c>
      <c r="CY53" s="172">
        <f>MIN(IF($AU53=100%,1,1+VLOOKUP(($AJ53-$AI53-$AH53-$AG53-$AF53-$AE53*(1+CY$3))/$AJ53,'Технический лист'!$M:$N,2,1)-VLOOKUP($AO53,'Технический лист'!$M:$N,2,1)),1+(1-$AU53))</f>
        <v/>
      </c>
      <c r="CZ53" s="172">
        <f>MIN(IF($AU53=100%,1,1+VLOOKUP(($AJ53-$AI53-$AH53-$AG53-$AF53-$AE53*(1+CZ$3))/$AJ53,'Технический лист'!$M:$N,2,1)-VLOOKUP($AO53,'Технический лист'!$M:$N,2,1)),1+(1-$AU53))</f>
        <v/>
      </c>
      <c r="DA53" s="172">
        <f>MIN(IF($AU53=100%,1,1+VLOOKUP(($AJ53-$AI53-$AH53-$AG53-$AF53-$AE53*(1+DA$3))/$AJ53,'Технический лист'!$M:$N,2,1)-VLOOKUP($AO53,'Технический лист'!$M:$N,2,1)),1+(1-$AU53))</f>
        <v/>
      </c>
      <c r="DB53" s="172">
        <f>MIN(IF($AU53=100%,1,1+VLOOKUP(($AJ53-$AI53-$AH53-$AG53-$AF53-$AE53*(1+DB$3))/$AJ53,'Технический лист'!$M:$N,2,1)-VLOOKUP($AO53,'Технический лист'!$M:$N,2,1)),1+(1-$AU53))</f>
        <v/>
      </c>
      <c r="DC53" s="172">
        <f>MIN(IF($AU53=100%,1,1+VLOOKUP(($AJ53-$AI53-$AH53-$AG53-$AF53-$AE53*(1+DC$3))/$AJ53,'Технический лист'!$M:$N,2,1)-VLOOKUP($AO53,'Технический лист'!$M:$N,2,1)),1+(1-$AU53))</f>
        <v/>
      </c>
      <c r="DD53" s="172">
        <f>MIN(IF($AU53=100%,1,1+VLOOKUP(($AJ53-$AI53-$AH53-$AG53-$AF53-$AE53*(1+DD$3))/$AJ53,'Технический лист'!$M:$N,2,1)-VLOOKUP($AO53,'Технический лист'!$M:$N,2,1)),1+(1-$AU53))</f>
        <v/>
      </c>
      <c r="DE53" s="172">
        <f>MIN(IF($AU53=100%,1,1+VLOOKUP(($AJ53-$AI53-$AH53-$AG53-$AF53-$AE53*(1+DE$3))/$AJ53,'Технический лист'!$M:$N,2,1)-VLOOKUP($AO53,'Технический лист'!$M:$N,2,1)),1+(1-$AU53))</f>
        <v/>
      </c>
      <c r="DF53" s="172">
        <f>MIN(IF($AU53=100%,1,1+VLOOKUP(($AJ53-$AI53-$AH53-$AG53-$AF53-$AE53*(1+DF$3))/$AJ53,'Технический лист'!$M:$N,2,1)-VLOOKUP($AO53,'Технический лист'!$M:$N,2,1)),1+(1-$AU53))</f>
        <v/>
      </c>
      <c r="DG53" s="172">
        <f>MIN(IF($AU53=100%,1,1+VLOOKUP(($AJ53-$AI53-$AH53-$AG53-$AF53-$AE53*(1+DG$3))/$AJ53,'Технический лист'!$M:$N,2,1)-VLOOKUP($AO53,'Технический лист'!$M:$N,2,1)),1+(1-$AU53))</f>
        <v/>
      </c>
      <c r="DH53" s="172">
        <f>MIN(IF($AU53=100%,1,1+VLOOKUP(($AJ53-$AI53-$AH53-$AG53-$AF53-$AE53*(1+DH$3))/$AJ53,'Технический лист'!$M:$N,2,1)-VLOOKUP($AO53,'Технический лист'!$M:$N,2,1)),1+(1-$AU53))</f>
        <v/>
      </c>
      <c r="DI53" s="172">
        <f>MIN(IF($AU53=100%,1,1+VLOOKUP(($AJ53-$AI53-$AH53-$AG53-$AF53-$AE53*(1+DI$3))/$AJ53,'Технический лист'!$M:$N,2,1)-VLOOKUP($AO53,'Технический лист'!$M:$N,2,1)),1+(1-$AU53))</f>
        <v/>
      </c>
      <c r="DJ53" s="172">
        <f>MIN(IF($AU53=100%,1,1+VLOOKUP(($AJ53-$AI53-$AH53-$AG53-$AF53-$AE53*(1+DJ$3))/$AJ53,'Технический лист'!$M:$N,2,1)-VLOOKUP($AO53,'Технический лист'!$M:$N,2,1)),1+(1-$AU53))</f>
        <v/>
      </c>
      <c r="DK53" s="172">
        <f>MIN(IF($AU53=100%,1,1+VLOOKUP(($AJ53-$AI53-$AH53-$AG53-$AF53-$AE53*(1+DK$3))/$AJ53,'Технический лист'!$M:$N,2,1)-VLOOKUP($AO53,'Технический лист'!$M:$N,2,1)),1+(1-$AU53))</f>
        <v/>
      </c>
      <c r="DL53" s="172">
        <f>MIN(IF($AU53=100%,1,1+VLOOKUP(($AJ53-$AI53-$AH53-$AG53-$AF53-$AE53*(1+DL$3))/$AJ53,'Технический лист'!$M:$N,2,1)-VLOOKUP($AO53,'Технический лист'!$M:$N,2,1)),1+(1-$AU53))</f>
        <v/>
      </c>
      <c r="DM53" s="172">
        <f>MIN(IF($AU53=100%,1,1+VLOOKUP(($AJ53-$AI53-$AH53-$AG53-$AF53-$AE53*(1+DM$3))/$AJ53,'Технический лист'!$M:$N,2,1)-VLOOKUP($AO53,'Технический лист'!$M:$N,2,1)),1+(1-$AU53))</f>
        <v/>
      </c>
      <c r="DN53" s="172">
        <f>MIN(IF($AU53=100%,1,1+VLOOKUP(($AJ53-$AI53-$AH53-$AG53-$AF53-$AE53*(1+DN$3))/$AJ53,'Технический лист'!$M:$N,2,1)-VLOOKUP($AO53,'Технический лист'!$M:$N,2,1)),1+(1-$AU53))</f>
        <v/>
      </c>
      <c r="DO53" s="172">
        <f>MIN(IF($AU53=100%,1,1+VLOOKUP(($AJ53-$AI53-$AH53-$AG53-$AF53-$AE53*(1+DO$3))/$AJ53,'Технический лист'!$M:$N,2,1)-VLOOKUP($AO53,'Технический лист'!$M:$N,2,1)),1+(1-$AU53))</f>
        <v/>
      </c>
      <c r="DP53" s="172">
        <f>MIN(IF($AU53=100%,1,1+VLOOKUP(($AJ53-$AI53-$AH53-$AG53-$AF53-$AE53*(1+DP$3))/$AJ53,'Технический лист'!$M:$N,2,1)-VLOOKUP($AO53,'Технический лист'!$M:$N,2,1)),1+(1-$AU53))</f>
        <v/>
      </c>
      <c r="DQ53" s="172">
        <f>MIN(IF($AU53=100%,1,1+VLOOKUP(($AJ53-$AI53-$AH53-$AG53-$AF53-$AE53*(1+DQ$3))/$AJ53,'Технический лист'!$M:$N,2,1)-VLOOKUP($AO53,'Технический лист'!$M:$N,2,1)),1+(1-$AU53))</f>
        <v/>
      </c>
      <c r="DR53" s="172">
        <f>MIN(IF($AU53=100%,1,1+VLOOKUP(($AJ53-$AI53-$AH53-$AG53-$AF53-$AE53*(1+DR$3))/$AJ53,'Технический лист'!$M:$N,2,1)-VLOOKUP($AO53,'Технический лист'!$M:$N,2,1)),1+(1-$AU53))</f>
        <v/>
      </c>
      <c r="DS53" s="172">
        <f>MIN(IF($AU53=100%,1,1+VLOOKUP(($AJ53-$AI53-$AH53-$AG53-$AF53-$AE53*(1+DS$3))/$AJ53,'Технический лист'!$M:$N,2,1)-VLOOKUP($AO53,'Технический лист'!$M:$N,2,1)),1+(1-$AU53))</f>
        <v/>
      </c>
      <c r="DT53" s="172">
        <f>MIN(IF($AU53=100%,1,1+VLOOKUP(($AJ53-$AI53-$AH53-$AG53-$AF53-$AE53*(1+DT$3))/$AJ53,'Технический лист'!$M:$N,2,1)-VLOOKUP($AO53,'Технический лист'!$M:$N,2,1)),1+(1-$AU53))</f>
        <v/>
      </c>
      <c r="DU53" s="172">
        <f>MIN(IF($AU53=100%,1,1+VLOOKUP(($AJ53-$AI53-$AH53-$AG53-$AF53-$AE53*(1+DU$3))/$AJ53,'Технический лист'!$M:$N,2,1)-VLOOKUP($AO53,'Технический лист'!$M:$N,2,1)),1+(1-$AU53))</f>
        <v/>
      </c>
      <c r="DV53" s="172">
        <f>MIN(IF($AU53=100%,1,1+VLOOKUP(($AJ53-$AI53-$AH53-$AG53-$AF53-$AE53*(1+DV$3))/$AJ53,'Технический лист'!$M:$N,2,1)-VLOOKUP($AO53,'Технический лист'!$M:$N,2,1)),1+(1-$AU53))</f>
        <v/>
      </c>
      <c r="DW53" s="172">
        <f>MIN(IF($AU53=100%,1,1+VLOOKUP(($AJ53-$AI53-$AH53-$AG53-$AF53-$AE53*(1+DW$3))/$AJ53,'Технический лист'!$M:$N,2,1)-VLOOKUP($AO53,'Технический лист'!$M:$N,2,1)),1+(1-$AU53))</f>
        <v/>
      </c>
      <c r="DX53" s="172">
        <f>MIN(IF($AU53=100%,1,1+VLOOKUP(($AJ53-$AI53-$AH53-$AG53-$AF53-$AE53*(1+DX$3))/$AJ53,'Технический лист'!$M:$N,2,1)-VLOOKUP($AO53,'Технический лист'!$M:$N,2,1)),1+(1-$AU53))</f>
        <v/>
      </c>
      <c r="DY53" s="172">
        <f>MIN(IF($AU53=100%,1,1+VLOOKUP(($AJ53-$AI53-$AH53-$AG53-$AF53-$AE53*(1+DY$3))/$AJ53,'Технический лист'!$M:$N,2,1)-VLOOKUP($AO53,'Технический лист'!$M:$N,2,1)),1+(1-$AU53))</f>
        <v/>
      </c>
      <c r="DZ53" s="172">
        <f>MIN(IF($AU53=100%,1,1+VLOOKUP(($AJ53-$AI53-$AH53-$AG53-$AF53-$AE53*(1+DZ$3))/$AJ53,'Технический лист'!$M:$N,2,1)-VLOOKUP($AO53,'Технический лист'!$M:$N,2,1)),1+(1-$AU53))</f>
        <v/>
      </c>
      <c r="EA53" s="172">
        <f>MIN(IF($AU53=100%,1,1+VLOOKUP(($AJ53-$AI53-$AH53-$AG53-$AF53-$AE53*(1+EA$3))/$AJ53,'Технический лист'!$M:$N,2,1)-VLOOKUP($AO53,'Технический лист'!$M:$N,2,1)),1+(1-$AU53))</f>
        <v/>
      </c>
      <c r="EB53" s="172">
        <f>MIN(IF($AU53=100%,1,1+VLOOKUP(($AJ53-$AI53-$AH53-$AG53-$AF53-$AE53*(1+EB$3))/$AJ53,'Технический лист'!$M:$N,2,1)-VLOOKUP($AO53,'Технический лист'!$M:$N,2,1)),1+(1-$AU53))</f>
        <v/>
      </c>
      <c r="EC53" s="172">
        <f>MIN(IF($AU53=100%,1,1+VLOOKUP(($AJ53-$AI53-$AH53-$AG53-$AF53-$AE53*(1+EC$3))/$AJ53,'Технический лист'!$M:$N,2,1)-VLOOKUP($AO53,'Технический лист'!$M:$N,2,1)),1+(1-$AU53))</f>
        <v/>
      </c>
      <c r="ED53" s="172">
        <f>MIN(IF($AU53=100%,1,1+VLOOKUP(($AJ53-$AI53-$AH53-$AG53-$AF53-$AE53*(1+ED$3))/$AJ53,'Технический лист'!$M:$N,2,1)-VLOOKUP($AO53,'Технический лист'!$M:$N,2,1)),1+(1-$AU53))</f>
        <v/>
      </c>
      <c r="EE53" s="172">
        <f>MIN(IF($AU53=100%,1,1+VLOOKUP(($AJ53-$AI53-$AH53-$AG53-$AF53-$AE53*(1+EE$3))/$AJ53,'Технический лист'!$M:$N,2,1)-VLOOKUP($AO53,'Технический лист'!$M:$N,2,1)),1+(1-$AU53))</f>
        <v/>
      </c>
      <c r="EF53" s="172">
        <f>MIN(IF($AU53=100%,1,1+VLOOKUP(($AJ53-$AI53-$AH53-$AG53-$AF53-$AE53*(1+EF$3))/$AJ53,'Технический лист'!$M:$N,2,1)-VLOOKUP($AO53,'Технический лист'!$M:$N,2,1)),1+(1-$AU53))</f>
        <v/>
      </c>
      <c r="EG53" s="172">
        <f>MIN(IF($AU53=100%,1,1+VLOOKUP(($AJ53-$AI53-$AH53-$AG53-$AF53-$AE53*(1+EG$3))/$AJ53,'Технический лист'!$M:$N,2,1)-VLOOKUP($AO53,'Технический лист'!$M:$N,2,1)),1+(1-$AU53))</f>
        <v/>
      </c>
      <c r="EH53" s="172">
        <f>MIN(IF($AU53=100%,1,1+VLOOKUP(($AJ53-$AI53-$AH53-$AG53-$AF53-$AE53*(1+EH$3))/$AJ53,'Технический лист'!$M:$N,2,1)-VLOOKUP($AO53,'Технический лист'!$M:$N,2,1)),1+(1-$AU53))</f>
        <v/>
      </c>
      <c r="EI53" s="172">
        <f>MIN(IF($AU53=100%,1,1+VLOOKUP(($AJ53-$AI53-$AH53-$AG53-$AF53-$AE53*(1+EI$3))/$AJ53,'Технический лист'!$M:$N,2,1)-VLOOKUP($AO53,'Технический лист'!$M:$N,2,1)),1+(1-$AU53))</f>
        <v/>
      </c>
      <c r="EJ53" s="172">
        <f>MIN(IF($AU53=100%,1,1+VLOOKUP(($AJ53-$AI53-$AH53-$AG53-$AF53-$AE53*(1+EJ$3))/$AJ53,'Технический лист'!$M:$N,2,1)-VLOOKUP($AO53,'Технический лист'!$M:$N,2,1)),1+(1-$AU53))</f>
        <v/>
      </c>
      <c r="EK53" s="172">
        <f>MIN(IF($AU53=100%,1,1+VLOOKUP(($AJ53-$AI53-$AH53-$AG53-$AF53-$AE53*(1+EK$3))/$AJ53,'Технический лист'!$M:$N,2,1)-VLOOKUP($AO53,'Технический лист'!$M:$N,2,1)),1+(1-$AU53))</f>
        <v/>
      </c>
      <c r="EL53" s="172">
        <f>MIN(IF($AU53=100%,1,1+VLOOKUP(($AJ53-$AI53-$AH53-$AG53-$AF53-$AE53*(1+EL$3))/$AJ53,'Технический лист'!$M:$N,2,1)-VLOOKUP($AO53,'Технический лист'!$M:$N,2,1)),1+(1-$AU53))</f>
        <v/>
      </c>
      <c r="EM53" s="172">
        <f>MIN(IF($AU53=100%,1,1+VLOOKUP(($AJ53-$AI53-$AH53-$AG53-$AF53-$AE53*(1+EM$3))/$AJ53,'Технический лист'!$M:$N,2,1)-VLOOKUP($AO53,'Технический лист'!$M:$N,2,1)),1+(1-$AU53))</f>
        <v/>
      </c>
      <c r="EN53" s="172">
        <f>MIN(IF($AU53=100%,1,1+VLOOKUP(($AJ53-$AI53-$AH53-$AG53-$AF53-$AE53*(1+EN$3))/$AJ53,'Технический лист'!$M:$N,2,1)-VLOOKUP($AO53,'Технический лист'!$M:$N,2,1)),1+(1-$AU53))</f>
        <v/>
      </c>
      <c r="EO53" s="172">
        <f>MIN(IF($AU53=100%,1,1+VLOOKUP(($AJ53-$AI53-$AH53-$AG53-$AF53-$AE53*(1+EO$3))/$AJ53,'Технический лист'!$M:$N,2,1)-VLOOKUP($AO53,'Технический лист'!$M:$N,2,1)),1+(1-$AU53))</f>
        <v/>
      </c>
      <c r="EP53" s="172">
        <f>MIN(IF($AU53=100%,1,1+VLOOKUP(($AJ53-$AI53-$AH53-$AG53-$AF53-$AE53*(1+EP$3))/$AJ53,'Технический лист'!$M:$N,2,1)-VLOOKUP($AO53,'Технический лист'!$M:$N,2,1)),1+(1-$AU53))</f>
        <v/>
      </c>
      <c r="EQ53" s="172">
        <f>MIN(IF($AU53=100%,1,1+VLOOKUP(($AJ53-$AI53-$AH53-$AG53-$AF53-$AE53*(1+EQ$3))/$AJ53,'Технический лист'!$M:$N,2,1)-VLOOKUP($AO53,'Технический лист'!$M:$N,2,1)),1+(1-$AU53))</f>
        <v/>
      </c>
      <c r="ER53" s="172">
        <f>MIN(IF($AU53=100%,1,1+VLOOKUP(($AJ53-$AI53-$AH53-$AG53-$AF53-$AE53*(1+ER$3))/$AJ53,'Технический лист'!$M:$N,2,1)-VLOOKUP($AO53,'Технический лист'!$M:$N,2,1)),1+(1-$AU53))</f>
        <v/>
      </c>
      <c r="ES53" s="172">
        <f>MIN(IF($AU53=100%,1,1+VLOOKUP(($AJ53-$AI53-$AH53-$AG53-$AF53-$AE53*(1+ES$3))/$AJ53,'Технический лист'!$M:$N,2,1)-VLOOKUP($AO53,'Технический лист'!$M:$N,2,1)),1+(1-$AU53))</f>
        <v/>
      </c>
      <c r="ET53" s="172">
        <f>MIN(IF($AU53=100%,1,1+VLOOKUP(($AJ53-$AI53-$AH53-$AG53-$AF53-$AE53*(1+ET$3))/$AJ53,'Технический лист'!$M:$N,2,1)-VLOOKUP($AO53,'Технический лист'!$M:$N,2,1)),1+(1-$AU53))</f>
        <v/>
      </c>
      <c r="EU53" s="172">
        <f>MIN(IF($AU53=100%,1,1+VLOOKUP(($AJ53-$AI53-$AH53-$AG53-$AF53-$AE53*(1+EU$3))/$AJ53,'Технический лист'!$M:$N,2,1)-VLOOKUP($AO53,'Технический лист'!$M:$N,2,1)),1+(1-$AU53))</f>
        <v/>
      </c>
      <c r="EV53" s="173" t="n">
        <v>1</v>
      </c>
      <c r="EW53" s="172">
        <f>MIN(1,MAX(VLOOKUP(($AJ53-$AI53-$AH53-$AG53-$AF53-$AE53*(1+EW$3))/$AJ53,'Технический лист'!$M:$N,2,1),(EV53-0.05)))</f>
        <v/>
      </c>
      <c r="EX53" s="172">
        <f>MIN(1,MAX(VLOOKUP(($AJ53-$AI53-$AH53-$AG53-$AF53-$AE53*(1+EX$3))/$AJ53,'Технический лист'!$M:$N,2,1),(EW53-0.05)))</f>
        <v/>
      </c>
      <c r="EY53" s="172">
        <f>MIN(1,MAX(VLOOKUP(($AJ53-$AI53-$AH53-$AG53-$AF53-$AE53*(1+EY$3))/$AJ53,'Технический лист'!$M:$N,2,1),(EX53-0.05)))</f>
        <v/>
      </c>
      <c r="EZ53" s="172">
        <f>MIN(1,MAX(VLOOKUP(($AJ53-$AI53-$AH53-$AG53-$AF53-$AE53*(1+EZ$3))/$AJ53,'Технический лист'!$M:$N,2,1),(EY53-0.05)))</f>
        <v/>
      </c>
      <c r="FA53" s="172">
        <f>MIN(1,MAX(VLOOKUP(($AJ53-$AI53-$AH53-$AG53-$AF53-$AE53*(1+FA$3))/$AJ53,'Технический лист'!$M:$N,2,1),(EZ53-0.05)))</f>
        <v/>
      </c>
      <c r="FB53" s="172">
        <f>MIN(1,MAX(VLOOKUP(($AJ53-$AI53-$AH53-$AG53-$AF53-$AE53*(1+FB$3))/$AJ53,'Технический лист'!$M:$N,2,1),(FA53-0.05)))</f>
        <v/>
      </c>
      <c r="FC53" s="172">
        <f>MIN(1,MAX(VLOOKUP(($AJ53-$AI53-$AH53-$AG53-$AF53-$AE53*(1+FC$3))/$AJ53,'Технический лист'!$M:$N,2,1),(FB53-0.05)))</f>
        <v/>
      </c>
      <c r="FD53" s="172">
        <f>MIN(1,MAX(VLOOKUP(($AJ53-$AI53-$AH53-$AG53-$AF53-$AE53*(1+FD$3))/$AJ53,'Технический лист'!$M:$N,2,1),(FC53-0.05)))</f>
        <v/>
      </c>
      <c r="FE53" s="172">
        <f>MIN(1,MAX(VLOOKUP(($AJ53-$AI53-$AH53-$AG53-$AF53-$AE53*(1+FE$3))/$AJ53,'Технический лист'!$M:$N,2,1),(FD53-0.05)))</f>
        <v/>
      </c>
      <c r="FF53" s="172">
        <f>MIN(1,MAX(VLOOKUP(($AJ53-$AI53-$AH53-$AG53-$AF53-$AE53*(1+FF$3))/$AJ53,'Технический лист'!$M:$N,2,1),(FE53-0.05)))</f>
        <v/>
      </c>
      <c r="FG53" s="172">
        <f>MIN(1,MAX(VLOOKUP(($AJ53-$AI53-$AH53-$AG53-$AF53-$AE53*(1+FG$3))/$AJ53,'Технический лист'!$M:$N,2,1),(FF53-0.05)))</f>
        <v/>
      </c>
      <c r="FH53" s="172">
        <f>MIN(1,MAX(VLOOKUP(($AJ53-$AI53-$AH53-$AG53-$AF53-$AE53*(1+FH$3))/$AJ53,'Технический лист'!$M:$N,2,1),(FG53-0.05)))</f>
        <v/>
      </c>
      <c r="FI53" s="172">
        <f>MIN(1,MAX(VLOOKUP(($AJ53-$AI53-$AH53-$AG53-$AF53-$AE53*(1+FI$3))/$AJ53,'Технический лист'!$M:$N,2,1),(FH53-0.05)))</f>
        <v/>
      </c>
      <c r="FJ53" s="172">
        <f>MIN(1,MAX(VLOOKUP(($AJ53-$AI53-$AH53-$AG53-$AF53-$AE53*(1+FJ$3))/$AJ53,'Технический лист'!$M:$N,2,1),(FI53-0.05)))</f>
        <v/>
      </c>
      <c r="FK53" s="172">
        <f>MIN(1,MAX(VLOOKUP(($AJ53-$AI53-$AH53-$AG53-$AF53-$AE53*(1+FK$3))/$AJ53,'Технический лист'!$M:$N,2,1),(FJ53-0.05)))</f>
        <v/>
      </c>
      <c r="FL53" s="172">
        <f>MIN(1,MAX(VLOOKUP(($AJ53-$AI53-$AH53-$AG53-$AF53-$AE53*(1+FL$3))/$AJ53,'Технический лист'!$M:$N,2,1),(FK53-0.05)))</f>
        <v/>
      </c>
      <c r="FM53" s="172">
        <f>MIN(1,MAX(VLOOKUP(($AJ53-$AI53-$AH53-$AG53-$AF53-$AE53*(1+FM$3))/$AJ53,'Технический лист'!$M:$N,2,1),(FL53-0.05)))</f>
        <v/>
      </c>
      <c r="FN53" s="172">
        <f>MIN(1,MAX(VLOOKUP(($AJ53-$AI53-$AH53-$AG53-$AF53-$AE53*(1+FN$3))/$AJ53,'Технический лист'!$M:$N,2,1),(FM53-0.05)))</f>
        <v/>
      </c>
      <c r="FO53" s="172">
        <f>MIN(1,MAX(VLOOKUP(($AJ53-$AI53-$AH53-$AG53-$AF53-$AE53*(1+FO$3))/$AJ53,'Технический лист'!$M:$N,2,1),(FN53-0.05)))</f>
        <v/>
      </c>
      <c r="FP53" s="172">
        <f>MIN(1,MAX(VLOOKUP(($AJ53-$AI53-$AH53-$AG53-$AF53-$AE53*(1+FP$3))/$AJ53,'Технический лист'!$M:$N,2,1),(FO53-0.05)))</f>
        <v/>
      </c>
      <c r="FQ53" s="172">
        <f>MIN(1,MAX(VLOOKUP(($AJ53-$AI53-$AH53-$AG53-$AF53-$AE53*(1+FQ$3))/$AJ53,'Технический лист'!$M:$N,2,1),(FP53-0.05)))</f>
        <v/>
      </c>
      <c r="FR53" s="172">
        <f>MIN(1,MAX(VLOOKUP(($AJ53-$AI53-$AH53-$AG53-$AF53-$AE53*(1+FR$3))/$AJ53,'Технический лист'!$M:$N,2,1),(FQ53-0.05)))</f>
        <v/>
      </c>
      <c r="FS53" s="172">
        <f>MIN(1,MAX(VLOOKUP(($AJ53-$AI53-$AH53-$AG53-$AF53-$AE53*(1+FS$3))/$AJ53,'Технический лист'!$M:$N,2,1),(FR53-0.05)))</f>
        <v/>
      </c>
      <c r="FT53" s="172">
        <f>MIN(1,MAX(VLOOKUP(($AJ53-$AI53-$AH53-$AG53-$AF53-$AE53*(1+FT$3))/$AJ53,'Технический лист'!$M:$N,2,1),(FS53-0.05)))</f>
        <v/>
      </c>
      <c r="FU53" s="172">
        <f>MIN(1,MAX(VLOOKUP(($AJ53-$AI53-$AH53-$AG53-$AF53-$AE53*(1+FU$3))/$AJ53,'Технический лист'!$M:$N,2,1),(FT53-0.05)))</f>
        <v/>
      </c>
      <c r="FV53" s="172">
        <f>MIN(1,MAX(VLOOKUP(($AJ53-$AI53-$AH53-$AG53-$AF53-$AE53*(1+FV$3))/$AJ53,'Технический лист'!$M:$N,2,1),(FU53-0.05)))</f>
        <v/>
      </c>
      <c r="FW53" s="172">
        <f>MIN(1,MAX(VLOOKUP(($AJ53-$AI53-$AH53-$AG53-$AF53-$AE53*(1+FW$3))/$AJ53,'Технический лист'!$M:$N,2,1),(FV53-0.05)))</f>
        <v/>
      </c>
      <c r="FX53" s="172">
        <f>MIN(1,MAX(VLOOKUP(($AJ53-$AI53-$AH53-$AG53-$AF53-$AE53*(1+FX$3))/$AJ53,'Технический лист'!$M:$N,2,1),(FW53-0.05)))</f>
        <v/>
      </c>
      <c r="FY53" s="172">
        <f>MIN(1,MAX(VLOOKUP(($AJ53-$AI53-$AH53-$AG53-$AF53-$AE53*(1+FY$3))/$AJ53,'Технический лист'!$M:$N,2,1),(FX53-0.05)))</f>
        <v/>
      </c>
      <c r="FZ53" s="172">
        <f>MIN(1,MAX(VLOOKUP(($AJ53-$AI53-$AH53-$AG53-$AF53-$AE53*(1+FZ$3))/$AJ53,'Технический лист'!$M:$N,2,1),(FY53-0.05)))</f>
        <v/>
      </c>
      <c r="GA53" s="172">
        <f>MIN(1,MAX(VLOOKUP(($AJ53-$AI53-$AH53-$AG53-$AF53-$AE53*(1+GA$3))/$AJ53,'Технический лист'!$M:$N,2,1),(FZ53-0.05)))</f>
        <v/>
      </c>
      <c r="GB53" s="172">
        <f>MIN(1,MAX(VLOOKUP(($AJ53-$AI53-$AH53-$AG53-$AF53-$AE53*(1+GB$3))/$AJ53,'Технический лист'!$M:$N,2,1),(GA53-0.05)))</f>
        <v/>
      </c>
      <c r="GC53" s="172">
        <f>MIN(1,MAX(VLOOKUP(($AJ53-$AI53-$AH53-$AG53-$AF53-$AE53*(1+GC$3))/$AJ53,'Технический лист'!$M:$N,2,1),(GB53-0.05)))</f>
        <v/>
      </c>
      <c r="GD53" s="172">
        <f>MIN(1,MAX(VLOOKUP(($AJ53-$AI53-$AH53-$AG53-$AF53-$AE53*(1+GD$3))/$AJ53,'Технический лист'!$M:$N,2,1),(GC53-0.05)))</f>
        <v/>
      </c>
      <c r="GE53" s="172">
        <f>MIN(1,MAX(VLOOKUP(($AJ53-$AI53-$AH53-$AG53-$AF53-$AE53*(1+GE$3))/$AJ53,'Технический лист'!$M:$N,2,1),(GD53-0.05)))</f>
        <v/>
      </c>
      <c r="GF53" s="172">
        <f>MIN(1,MAX(VLOOKUP(($AJ53-$AI53-$AH53-$AG53-$AF53-$AE53*(1+GF$3))/$AJ53,'Технический лист'!$M:$N,2,1),(GE53-0.05)))</f>
        <v/>
      </c>
      <c r="GG53" s="172">
        <f>MIN(1,MAX(VLOOKUP(($AJ53-$AI53-$AH53-$AG53-$AF53-$AE53*(1+GG$3))/$AJ53,'Технический лист'!$M:$N,2,1),(GF53-0.05)))</f>
        <v/>
      </c>
      <c r="GH53" s="172">
        <f>MIN(1,MAX(VLOOKUP(($AJ53-$AI53-$AH53-$AG53-$AF53-$AE53*(1+GH$3))/$AJ53,'Технический лист'!$M:$N,2,1),(GG53-0.05)))</f>
        <v/>
      </c>
      <c r="GI53" s="172">
        <f>MIN(1,MAX(VLOOKUP(($AJ53-$AI53-$AH53-$AG53-$AF53-$AE53*(1+GI$3))/$AJ53,'Технический лист'!$M:$N,2,1),(GH53-0.05)))</f>
        <v/>
      </c>
      <c r="GJ53" s="172">
        <f>MIN(1,MAX(VLOOKUP(($AJ53-$AI53-$AH53-$AG53-$AF53-$AE53*(1+GJ$3))/$AJ53,'Технический лист'!$M:$N,2,1),(GI53-0.05)))</f>
        <v/>
      </c>
      <c r="GK53" s="172">
        <f>MIN(1,MAX(VLOOKUP(($AJ53-$AI53-$AH53-$AG53-$AF53-$AE53*(1+GK$3))/$AJ53,'Технический лист'!$M:$N,2,1),(GJ53-0.05)))</f>
        <v/>
      </c>
      <c r="GL53" s="172">
        <f>MIN(1,MAX(VLOOKUP(($AJ53-$AI53-$AH53-$AG53-$AF53-$AE53*(1+GL$3))/$AJ53,'Технический лист'!$M:$N,2,1),(GK53-0.05)))</f>
        <v/>
      </c>
      <c r="GM53" s="172">
        <f>MIN(1,MAX(VLOOKUP(($AJ53-$AI53-$AH53-$AG53-$AF53-$AE53*(1+GM$3))/$AJ53,'Технический лист'!$M:$N,2,1),(GL53-0.05)))</f>
        <v/>
      </c>
      <c r="GN53" s="172">
        <f>MIN(1,MAX(VLOOKUP(($AJ53-$AI53-$AH53-$AG53-$AF53-$AE53*(1+GN$3))/$AJ53,'Технический лист'!$M:$N,2,1),(GM53-0.05)))</f>
        <v/>
      </c>
      <c r="GO53" s="172">
        <f>MIN(1,MAX(VLOOKUP(($AJ53-$AI53-$AH53-$AG53-$AF53-$AE53*(1+GO$3))/$AJ53,'Технический лист'!$M:$N,2,1),(GN53-0.05)))</f>
        <v/>
      </c>
      <c r="GP53" s="172">
        <f>MIN(1,MAX(VLOOKUP(($AJ53-$AI53-$AH53-$AG53-$AF53-$AE53*(1+GP$3))/$AJ53,'Технический лист'!$M:$N,2,1),(GO53-0.05)))</f>
        <v/>
      </c>
      <c r="GQ53" s="172">
        <f>MIN(1,MAX(VLOOKUP(($AJ53-$AI53-$AH53-$AG53-$AF53-$AE53*(1+GQ$3))/$AJ53,'Технический лист'!$M:$N,2,1),(GP53-0.05)))</f>
        <v/>
      </c>
      <c r="GR53" s="172">
        <f>MIN(1,MAX(VLOOKUP(($AJ53-$AI53-$AH53-$AG53-$AF53-$AE53*(1+GR$3))/$AJ53,'Технический лист'!$M:$N,2,1),(GQ53-0.05)))</f>
        <v/>
      </c>
      <c r="GS53" s="172">
        <f>MIN(1,MAX(VLOOKUP(($AJ53-$AI53-$AH53-$AG53-$AF53-$AE53*(1+GS$3))/$AJ53,'Технический лист'!$M:$N,2,1),(GR53-0.05)))</f>
        <v/>
      </c>
      <c r="GT53" s="172">
        <f>MIN(1,MAX(VLOOKUP(($AJ53-$AI53-$AH53-$AG53-$AF53-$AE53*(1+GT$3))/$AJ53,'Технический лист'!$M:$N,2,1),(GS53-0.05)))</f>
        <v/>
      </c>
      <c r="GU53" s="172">
        <f>MIN(1,MAX(VLOOKUP(($AJ53-$AI53-$AH53-$AG53-$AF53-$AE53*(1+GU$3))/$AJ53,'Технический лист'!$M:$N,2,1),(GT53-0.05)))</f>
        <v/>
      </c>
      <c r="GV53" s="172">
        <f>MIN(1,MAX(VLOOKUP(($AJ53-$AI53-$AH53-$AG53-$AF53-$AE53*(1+GV$3))/$AJ53,'Технический лист'!$M:$N,2,1),(GU53-0.05)))</f>
        <v/>
      </c>
      <c r="GW53" s="172">
        <f>MIN(1,MAX(VLOOKUP(($AJ53-$AI53-$AH53-$AG53-$AF53-$AE53*(1+GW$3))/$AJ53,'Технический лист'!$M:$N,2,1),(GV53-0.05)))</f>
        <v/>
      </c>
      <c r="GX53" s="172">
        <f>MIN(1,MAX(VLOOKUP(($AJ53-$AI53-$AH53-$AG53-$AF53-$AE53*(1+GX$3))/$AJ53,'Технический лист'!$M:$N,2,1),(GW53-0.05)))</f>
        <v/>
      </c>
      <c r="GY53" s="172">
        <f>MIN(1,MAX(VLOOKUP(($AJ53-$AI53-$AH53-$AG53-$AF53-$AE53*(1+GY$3))/$AJ53,'Технический лист'!$M:$N,2,1),(GX53-0.05)))</f>
        <v/>
      </c>
      <c r="GZ53" s="172">
        <f>MIN(1,MAX(VLOOKUP(($AJ53-$AI53-$AH53-$AG53-$AF53-$AE53*(1+GZ$3))/$AJ53,'Технический лист'!$M:$N,2,1),(GY53-0.05)))</f>
        <v/>
      </c>
      <c r="HA53" s="172">
        <f>MIN(1,MAX(VLOOKUP(($AJ53-$AI53-$AH53-$AG53-$AF53-$AE53*(1+HA$3))/$AJ53,'Технический лист'!$M:$N,2,1),(GZ53-0.05)))</f>
        <v/>
      </c>
      <c r="HB53" s="172">
        <f>MIN(1,MAX(VLOOKUP(($AJ53-$AI53-$AH53-$AG53-$AF53-$AE53*(1+HB$3))/$AJ53,'Технический лист'!$M:$N,2,1),(HA53-0.05)))</f>
        <v/>
      </c>
      <c r="HC53" s="172">
        <f>MIN(1,MAX(VLOOKUP(($AJ53-$AI53-$AH53-$AG53-$AF53-$AE53*(1+HC$3))/$AJ53,'Технический лист'!$M:$N,2,1),(HB53-0.05)))</f>
        <v/>
      </c>
      <c r="HD53" s="172">
        <f>MIN(1,MAX(VLOOKUP(($AJ53-$AI53-$AH53-$AG53-$AF53-$AE53*(1+HD$3))/$AJ53,'Технический лист'!$M:$N,2,1),(HC53-0.05)))</f>
        <v/>
      </c>
      <c r="HE53" s="172">
        <f>MIN(1,MAX(VLOOKUP(($AJ53-$AI53-$AH53-$AG53-$AF53-$AE53*(1+HE$3))/$AJ53,'Технический лист'!$M:$N,2,1),(HD53-0.05)))</f>
        <v/>
      </c>
      <c r="HF53" s="172">
        <f>MIN(1,MAX(VLOOKUP(($AJ53-$AI53-$AH53-$AG53-$AF53-$AE53*(1+HF$3))/$AJ53,'Технический лист'!$M:$N,2,1),(HE53-0.05)))</f>
        <v/>
      </c>
      <c r="HG53" s="172">
        <f>MIN(1,MAX(VLOOKUP(($AJ53-$AI53-$AH53-$AG53-$AF53-$AE53*(1+HG$3))/$AJ53,'Технический лист'!$M:$N,2,1),(HF53-0.05)))</f>
        <v/>
      </c>
      <c r="HH53" s="172">
        <f>MIN(1,MAX(VLOOKUP(($AJ53-$AI53-$AH53-$AG53-$AF53-$AE53*(1+HH$3))/$AJ53,'Технический лист'!$M:$N,2,1),(HG53-0.05)))</f>
        <v/>
      </c>
      <c r="HI53" s="172">
        <f>MIN(1,MAX(VLOOKUP(($AJ53-$AI53-$AH53-$AG53-$AF53-$AE53*(1+HI$3))/$AJ53,'Технический лист'!$M:$N,2,1),(HH53-0.05)))</f>
        <v/>
      </c>
      <c r="HJ53" s="172">
        <f>MIN(1,MAX(VLOOKUP(($AJ53-$AI53-$AH53-$AG53-$AF53-$AE53*(1+HJ$3))/$AJ53,'Технический лист'!$M:$N,2,1),(HI53-0.05)))</f>
        <v/>
      </c>
      <c r="HK53" s="172">
        <f>MIN(1,MAX(VLOOKUP(($AJ53-$AI53-$AH53-$AG53-$AF53-$AE53*(1+HK$3))/$AJ53,'Технический лист'!$M:$N,2,1),(HJ53-0.05)))</f>
        <v/>
      </c>
      <c r="HL53" s="172">
        <f>MIN(1,MAX(VLOOKUP(($AJ53-$AI53-$AH53-$AG53-$AF53-$AE53*(1+HL$3))/$AJ53,'Технический лист'!$M:$N,2,1),(HK53-0.05)))</f>
        <v/>
      </c>
      <c r="HM53" s="172">
        <f>MIN(1,MAX(VLOOKUP(($AJ53-$AI53-$AH53-$AG53-$AF53-$AE53*(1+HM$3))/$AJ53,'Технический лист'!$M:$N,2,1),(HL53-0.05)))</f>
        <v/>
      </c>
      <c r="HN53" s="172">
        <f>MIN(1,MAX(VLOOKUP(($AJ53-$AI53-$AH53-$AG53-$AF53-$AE53*(1+HN$3))/$AJ53,'Технический лист'!$M:$N,2,1),(HM53-0.05)))</f>
        <v/>
      </c>
      <c r="HO53" s="172">
        <f>MIN(1,MAX(VLOOKUP(($AJ53-$AI53-$AH53-$AG53-$AF53-$AE53*(1+HO$3))/$AJ53,'Технический лист'!$M:$N,2,1),(HN53-0.05)))</f>
        <v/>
      </c>
      <c r="HP53" s="172">
        <f>MIN(1,MAX(VLOOKUP(($AJ53-$AI53-$AH53-$AG53-$AF53-$AE53*(1+HP$3))/$AJ53,'Технический лист'!$M:$N,2,1),(HO53-0.05)))</f>
        <v/>
      </c>
      <c r="HQ53" s="172">
        <f>MIN(1,MAX(VLOOKUP(($AJ53-$AI53-$AH53-$AG53-$AF53-$AE53*(1+HQ$3))/$AJ53,'Технический лист'!$M:$N,2,1),(HP53-0.05)))</f>
        <v/>
      </c>
      <c r="HR53" s="172">
        <f>MIN(1,MAX(VLOOKUP(($AJ53-$AI53-$AH53-$AG53-$AF53-$AE53*(1+HR$3))/$AJ53,'Технический лист'!$M:$N,2,1),(HQ53-0.05)))</f>
        <v/>
      </c>
      <c r="HS53" s="172">
        <f>MIN(1,MAX(VLOOKUP(($AJ53-$AI53-$AH53-$AG53-$AF53-$AE53*(1+HS$3))/$AJ53,'Технический лист'!$M:$N,2,1),(HR53-0.05)))</f>
        <v/>
      </c>
      <c r="HT53" s="172">
        <f>MIN(1,MAX(VLOOKUP(($AJ53-$AI53-$AH53-$AG53-$AF53-$AE53*(1+HT$3))/$AJ53,'Технический лист'!$M:$N,2,1),(HS53-0.05)))</f>
        <v/>
      </c>
      <c r="HU53" s="172">
        <f>MIN(1,MAX(VLOOKUP(($AJ53-$AI53-$AH53-$AG53-$AF53-$AE53*(1+HU$3))/$AJ53,'Технический лист'!$M:$N,2,1),(HT53-0.05)))</f>
        <v/>
      </c>
      <c r="HV53" s="172">
        <f>MIN(1,MAX(VLOOKUP(($AJ53-$AI53-$AH53-$AG53-$AF53-$AE53*(1+HV$3))/$AJ53,'Технический лист'!$M:$N,2,1),(HU53-0.05)))</f>
        <v/>
      </c>
      <c r="HW53" s="172">
        <f>MIN(1,MAX(VLOOKUP(($AJ53-$AI53-$AH53-$AG53-$AF53-$AE53*(1+HW$3))/$AJ53,'Технический лист'!$M:$N,2,1),(HV53-0.05)))</f>
        <v/>
      </c>
      <c r="HX53" s="172">
        <f>MIN(1,MAX(VLOOKUP(($AJ53-$AI53-$AH53-$AG53-$AF53-$AE53*(1+HX$3))/$AJ53,'Технический лист'!$M:$N,2,1),(HW53-0.05)))</f>
        <v/>
      </c>
      <c r="HY53" s="172">
        <f>MIN(1,MAX(VLOOKUP(($AJ53-$AI53-$AH53-$AG53-$AF53-$AE53*(1+HY$3))/$AJ53,'Технический лист'!$M:$N,2,1),(HX53-0.05)))</f>
        <v/>
      </c>
      <c r="HZ53" s="172">
        <f>MIN(1,MAX(VLOOKUP(($AJ53-$AI53-$AH53-$AG53-$AF53-$AE53*(1+HZ$3))/$AJ53,'Технический лист'!$M:$N,2,1),(HY53-0.05)))</f>
        <v/>
      </c>
      <c r="IA53" s="172">
        <f>MIN(1,MAX(VLOOKUP(($AJ53-$AI53-$AH53-$AG53-$AF53-$AE53*(1+IA$3))/$AJ53,'Технический лист'!$M:$N,2,1),(HZ53-0.05)))</f>
        <v/>
      </c>
      <c r="IB53" s="172">
        <f>MIN(1,MAX(VLOOKUP(($AJ53-$AI53-$AH53-$AG53-$AF53-$AE53*(1+IB$3))/$AJ53,'Технический лист'!$M:$N,2,1),(IA53-0.05)))</f>
        <v/>
      </c>
      <c r="IC53" s="172">
        <f>MIN(1,MAX(VLOOKUP(($AJ53-$AI53-$AH53-$AG53-$AF53-$AE53*(1+IC$3))/$AJ53,'Технический лист'!$M:$N,2,1),(IB53-0.05)))</f>
        <v/>
      </c>
      <c r="ID53" s="172">
        <f>MIN(1,MAX(VLOOKUP(($AJ53-$AI53-$AH53-$AG53-$AF53-$AE53*(1+ID$3))/$AJ53,'Технический лист'!$M:$N,2,1),(IC53-0.05)))</f>
        <v/>
      </c>
      <c r="IE53" s="172">
        <f>MIN(1,MAX(VLOOKUP(($AJ53-$AI53-$AH53-$AG53-$AF53-$AE53*(1+IE$3))/$AJ53,'Технический лист'!$M:$N,2,1),(ID53-0.05)))</f>
        <v/>
      </c>
      <c r="IF53" s="172">
        <f>MIN(1,MAX(VLOOKUP(($AJ53-$AI53-$AH53-$AG53-$AF53-$AE53*(1+IF$3))/$AJ53,'Технический лист'!$M:$N,2,1),(IE53-0.05)))</f>
        <v/>
      </c>
      <c r="IG53" s="172">
        <f>MIN(1,MAX(VLOOKUP(($AJ53-$AI53-$AH53-$AG53-$AF53-$AE53*(1+IG$3))/$AJ53,'Технический лист'!$M:$N,2,1),(IF53-0.05)))</f>
        <v/>
      </c>
      <c r="IH53" s="172">
        <f>MIN(1,MAX(VLOOKUP(($AJ53-$AI53-$AH53-$AG53-$AF53-$AE53*(1+IH$3))/$AJ53,'Технический лист'!$M:$N,2,1),(IG53-0.05)))</f>
        <v/>
      </c>
      <c r="II53" s="172">
        <f>MIN(1,MAX(VLOOKUP(($AJ53-$AI53-$AH53-$AG53-$AF53-$AE53*(1+II$3))/$AJ53,'Технический лист'!$M:$N,2,1),(IH53-0.05)))</f>
        <v/>
      </c>
      <c r="IJ53" s="172">
        <f>MIN(1,MAX(VLOOKUP(($AJ53-$AI53-$AH53-$AG53-$AF53-$AE53*(1+IJ$3))/$AJ53,'Технический лист'!$M:$N,2,1),(II53-0.05)))</f>
        <v/>
      </c>
      <c r="IK53" s="172">
        <f>MIN(1,MAX(VLOOKUP(($AJ53-$AI53-$AH53-$AG53-$AF53-$AE53*(1+IK$3))/$AJ53,'Технический лист'!$M:$N,2,1),(IJ53-0.05)))</f>
        <v/>
      </c>
      <c r="IL53" s="172">
        <f>MIN(1,MAX(VLOOKUP(($AJ53-$AI53-$AH53-$AG53-$AF53-$AE53*(1+IL$3))/$AJ53,'Технический лист'!$M:$N,2,1),(IK53-0.05)))</f>
        <v/>
      </c>
      <c r="IM53" s="172">
        <f>MIN(1,MAX(VLOOKUP(($AJ53-$AI53-$AH53-$AG53-$AF53-$AE53*(1+IM$3))/$AJ53,'Технический лист'!$M:$N,2,1),(IL53-0.05)))</f>
        <v/>
      </c>
      <c r="IN53" s="172">
        <f>MIN(1,MAX(VLOOKUP(($AJ53-$AI53-$AH53-$AG53-$AF53-$AE53*(1+IN$3))/$AJ53,'Технический лист'!$M:$N,2,1),(IM53-0.05)))</f>
        <v/>
      </c>
      <c r="IO53" s="172">
        <f>MIN(1,MAX(VLOOKUP(($AJ53-$AI53-$AH53-$AG53-$AF53-$AE53*(1+IO$3))/$AJ53,'Технический лист'!$M:$N,2,1),(IN53-0.05)))</f>
        <v/>
      </c>
      <c r="IP53" s="172">
        <f>MIN(1,MAX(VLOOKUP(($AJ53-$AI53-$AH53-$AG53-$AF53-$AE53*(1+IP$3))/$AJ53,'Технический лист'!$M:$N,2,1),(IO53-0.05)))</f>
        <v/>
      </c>
      <c r="IQ53" s="172">
        <f>MIN(1,MAX(VLOOKUP(($AJ53-$AI53-$AH53-$AG53-$AF53-$AE53*(1+IQ$3))/$AJ53,'Технический лист'!$M:$N,2,1),(IP53-0.05)))</f>
        <v/>
      </c>
      <c r="IR53" s="172">
        <f>MIN(1,MAX(VLOOKUP(($AJ53-$AI53-$AH53-$AG53-$AF53-$AE53*(1+IR$3))/$AJ53,'Технический лист'!$M:$N,2,1),(IQ53-0.05)))</f>
        <v/>
      </c>
    </row>
    <row r="54" ht="29.15" customHeight="1" s="123">
      <c r="A54" s="89" t="inlineStr">
        <is>
          <t>ЧМ (сырье)</t>
        </is>
      </c>
      <c r="B54" s="90" t="n">
        <v>4</v>
      </c>
      <c r="C54" s="5" t="inlineStr">
        <is>
          <t>Руды  всякие</t>
        </is>
      </c>
      <c r="D54" s="91" t="n">
        <v>14109</v>
      </c>
      <c r="E54" s="91" t="inlineStr">
        <is>
          <t xml:space="preserve">Концентрат железорудный (гематит) </t>
        </is>
      </c>
      <c r="F54" s="92" t="inlineStr">
        <is>
          <t>РУДЫ И КОНЦЕНТРАТЫ ЖЕЛЕЗН</t>
        </is>
      </c>
      <c r="G54" s="91" t="inlineStr">
        <is>
          <t>ЮВС</t>
        </is>
      </c>
      <c r="H54" s="91" t="inlineStr">
        <is>
          <t>МСК</t>
        </is>
      </c>
      <c r="I54" s="91" t="inlineStr">
        <is>
          <t>ГУБКИН</t>
        </is>
      </c>
      <c r="J54" s="91" t="inlineStr">
        <is>
          <t>ПРИСАДЫ</t>
        </is>
      </c>
      <c r="K54" s="91" t="n">
        <v>482</v>
      </c>
      <c r="L54" s="91" t="inlineStr">
        <is>
          <t>Полувагоны</t>
        </is>
      </c>
      <c r="M54" s="91" t="inlineStr">
        <is>
          <t>Внутр. перевозки</t>
        </is>
      </c>
      <c r="N54" s="91" t="inlineStr">
        <is>
          <t>вагонная</t>
        </is>
      </c>
      <c r="O54" s="91" t="inlineStr">
        <is>
          <t xml:space="preserve">Северо-Западное </t>
        </is>
      </c>
      <c r="P54" s="89" t="inlineStr">
        <is>
          <t>'000000186813</t>
        </is>
      </c>
      <c r="Q54" s="91" t="inlineStr">
        <is>
          <t>'АО "Комбинат КМАруда"</t>
        </is>
      </c>
      <c r="R54" s="91" t="inlineStr">
        <is>
          <t>ООО "УК"ПМХ"</t>
        </is>
      </c>
      <c r="S54" s="87" t="n">
        <v>2461888</v>
      </c>
      <c r="T54" s="87" t="n">
        <v>1185978169</v>
      </c>
      <c r="U54" s="88" t="n">
        <v>34380</v>
      </c>
      <c r="V54" s="88" t="n">
        <v>0</v>
      </c>
      <c r="W54" s="87" t="n">
        <v>1015595636</v>
      </c>
      <c r="X54" s="112" t="n">
        <v>69</v>
      </c>
      <c r="Y54" s="112" t="inlineStr">
        <is>
          <t>маршрутная</t>
        </is>
      </c>
      <c r="Z54" s="113" t="n">
        <v>3</v>
      </c>
      <c r="AA54" s="113" t="n">
        <v>3</v>
      </c>
      <c r="AB54" s="113" t="n">
        <v>4</v>
      </c>
      <c r="AC54" s="161" t="n">
        <v>482.55</v>
      </c>
      <c r="AD54" s="161">
        <f>AE54-AC54</f>
        <v/>
      </c>
      <c r="AE54" s="161" t="n">
        <v>662.33</v>
      </c>
      <c r="AF54" s="162">
        <f>(Z54+AA54+AB54)*'Ставки аренды'!$B$3/X54</f>
        <v/>
      </c>
      <c r="AG54" s="163" t="n">
        <v>0</v>
      </c>
      <c r="AH54" s="164" t="n">
        <v>0</v>
      </c>
      <c r="AI54" s="165">
        <f>0.8*AJ54</f>
        <v/>
      </c>
      <c r="AJ54" s="166">
        <f>Цены!$D$14</f>
        <v/>
      </c>
      <c r="AK54" s="164">
        <f>AJ54/Цены!$B$1</f>
        <v/>
      </c>
      <c r="AL54" s="164">
        <f>AE54+AF54+AG54</f>
        <v/>
      </c>
      <c r="AM54" s="164">
        <f>AJ54-AL54</f>
        <v/>
      </c>
      <c r="AN54" s="164">
        <f>AI54+AH54+AG54+AF54+AE54</f>
        <v/>
      </c>
      <c r="AO54" s="167">
        <f>(AJ54-AN54)/AJ54</f>
        <v/>
      </c>
      <c r="AP54" s="168">
        <f>AL54/AJ54</f>
        <v/>
      </c>
      <c r="AQ54" s="168">
        <f>AE54/AJ54</f>
        <v/>
      </c>
      <c r="AR54" s="168">
        <f>AE54/AL54</f>
        <v/>
      </c>
      <c r="AS54" s="169" t="n">
        <v>1</v>
      </c>
      <c r="AT54" s="121">
        <f>S54*AS54</f>
        <v/>
      </c>
      <c r="AU54" s="7" t="inlineStr">
        <is>
          <t>Внутренняя логистика</t>
        </is>
      </c>
      <c r="AV54" s="170">
        <f>(AJ54-(AE54*(1+$IS$2)+AF54+AG54+AH54+AI54))/AJ54</f>
        <v/>
      </c>
      <c r="AW54" s="171">
        <f>(AE54*(1+$IS$2)+AF54+AG54)/AJ54</f>
        <v/>
      </c>
      <c r="AX54" s="171">
        <f>(AE54*(1+$IS$2))/AJ54</f>
        <v/>
      </c>
      <c r="AY54" s="171">
        <f>(AE54*(1+$IS$2))/(AE54*(1+$IS$2)+AF54+AG54)</f>
        <v/>
      </c>
      <c r="AZ54" s="172" t="n">
        <v>1</v>
      </c>
      <c r="BA54" s="172" t="n">
        <v>1</v>
      </c>
      <c r="BB54" s="172" t="n">
        <v>1</v>
      </c>
      <c r="BC54" s="172" t="n">
        <v>1</v>
      </c>
      <c r="BD54" s="172" t="n">
        <v>1</v>
      </c>
      <c r="BE54" s="172" t="n">
        <v>1</v>
      </c>
      <c r="BF54" s="172" t="n">
        <v>1</v>
      </c>
      <c r="BG54" s="172" t="n">
        <v>1</v>
      </c>
      <c r="BH54" s="172" t="n">
        <v>1</v>
      </c>
      <c r="BI54" s="172" t="n">
        <v>1</v>
      </c>
      <c r="BJ54" s="172" t="n">
        <v>1</v>
      </c>
      <c r="BK54" s="172" t="n">
        <v>1</v>
      </c>
      <c r="BL54" s="172" t="n">
        <v>1</v>
      </c>
      <c r="BM54" s="172" t="n">
        <v>1</v>
      </c>
      <c r="BN54" s="172" t="n">
        <v>1</v>
      </c>
      <c r="BO54" s="172" t="n">
        <v>1</v>
      </c>
      <c r="BP54" s="172" t="n">
        <v>1</v>
      </c>
      <c r="BQ54" s="172" t="n">
        <v>1</v>
      </c>
      <c r="BR54" s="172" t="n">
        <v>1</v>
      </c>
      <c r="BS54" s="172" t="n">
        <v>1</v>
      </c>
      <c r="BT54" s="172" t="n">
        <v>1</v>
      </c>
      <c r="BU54" s="172" t="n">
        <v>1</v>
      </c>
      <c r="BV54" s="172" t="n">
        <v>1</v>
      </c>
      <c r="BW54" s="172" t="n">
        <v>1</v>
      </c>
      <c r="BX54" s="172" t="n">
        <v>1</v>
      </c>
      <c r="BY54" s="172" t="n">
        <v>1</v>
      </c>
      <c r="BZ54" s="172" t="n">
        <v>1</v>
      </c>
      <c r="CA54" s="172" t="n">
        <v>1</v>
      </c>
      <c r="CB54" s="172" t="n">
        <v>1</v>
      </c>
      <c r="CC54" s="172" t="n">
        <v>1</v>
      </c>
      <c r="CD54" s="172" t="n">
        <v>1</v>
      </c>
      <c r="CE54" s="172" t="n">
        <v>1</v>
      </c>
      <c r="CF54" s="172" t="n">
        <v>1</v>
      </c>
      <c r="CG54" s="172" t="n">
        <v>1</v>
      </c>
      <c r="CH54" s="172" t="n">
        <v>1</v>
      </c>
      <c r="CI54" s="172" t="n">
        <v>1</v>
      </c>
      <c r="CJ54" s="172" t="n">
        <v>1</v>
      </c>
      <c r="CK54" s="172" t="n">
        <v>1</v>
      </c>
      <c r="CL54" s="172" t="n">
        <v>1</v>
      </c>
      <c r="CM54" s="172" t="n">
        <v>1</v>
      </c>
      <c r="CN54" s="172" t="n">
        <v>1</v>
      </c>
      <c r="CO54" s="172" t="n">
        <v>1</v>
      </c>
      <c r="CP54" s="172" t="n">
        <v>1</v>
      </c>
      <c r="CQ54" s="172" t="n">
        <v>1</v>
      </c>
      <c r="CR54" s="172" t="n">
        <v>1</v>
      </c>
      <c r="CS54" s="172" t="n">
        <v>1</v>
      </c>
      <c r="CT54" s="172" t="n">
        <v>1</v>
      </c>
      <c r="CU54" s="172" t="n">
        <v>1</v>
      </c>
      <c r="CV54" s="172" t="n">
        <v>1</v>
      </c>
      <c r="CW54" s="172" t="n">
        <v>1</v>
      </c>
      <c r="CX54" s="172" t="n">
        <v>1</v>
      </c>
      <c r="CY54" s="172" t="n">
        <v>1</v>
      </c>
      <c r="CZ54" s="172" t="n">
        <v>1</v>
      </c>
      <c r="DA54" s="172" t="n">
        <v>1</v>
      </c>
      <c r="DB54" s="172" t="n">
        <v>1</v>
      </c>
      <c r="DC54" s="172" t="n">
        <v>1</v>
      </c>
      <c r="DD54" s="172" t="n">
        <v>1</v>
      </c>
      <c r="DE54" s="172" t="n">
        <v>1</v>
      </c>
      <c r="DF54" s="172" t="n">
        <v>1</v>
      </c>
      <c r="DG54" s="172" t="n">
        <v>1</v>
      </c>
      <c r="DH54" s="172" t="n">
        <v>1</v>
      </c>
      <c r="DI54" s="172" t="n">
        <v>1</v>
      </c>
      <c r="DJ54" s="172" t="n">
        <v>1</v>
      </c>
      <c r="DK54" s="172" t="n">
        <v>1</v>
      </c>
      <c r="DL54" s="172" t="n">
        <v>1</v>
      </c>
      <c r="DM54" s="172" t="n">
        <v>1</v>
      </c>
      <c r="DN54" s="172" t="n">
        <v>1</v>
      </c>
      <c r="DO54" s="172" t="n">
        <v>1</v>
      </c>
      <c r="DP54" s="172" t="n">
        <v>1</v>
      </c>
      <c r="DQ54" s="172" t="n">
        <v>1</v>
      </c>
      <c r="DR54" s="172" t="n">
        <v>1</v>
      </c>
      <c r="DS54" s="172" t="n">
        <v>1</v>
      </c>
      <c r="DT54" s="172" t="n">
        <v>1</v>
      </c>
      <c r="DU54" s="172" t="n">
        <v>1</v>
      </c>
      <c r="DV54" s="172" t="n">
        <v>1</v>
      </c>
      <c r="DW54" s="172" t="n">
        <v>1</v>
      </c>
      <c r="DX54" s="172" t="n">
        <v>1</v>
      </c>
      <c r="DY54" s="172" t="n">
        <v>1</v>
      </c>
      <c r="DZ54" s="172" t="n">
        <v>1</v>
      </c>
      <c r="EA54" s="172" t="n">
        <v>1</v>
      </c>
      <c r="EB54" s="172" t="n">
        <v>1</v>
      </c>
      <c r="EC54" s="172" t="n">
        <v>1</v>
      </c>
      <c r="ED54" s="172" t="n">
        <v>1</v>
      </c>
      <c r="EE54" s="172" t="n">
        <v>1</v>
      </c>
      <c r="EF54" s="172" t="n">
        <v>1</v>
      </c>
      <c r="EG54" s="172" t="n">
        <v>1</v>
      </c>
      <c r="EH54" s="172" t="n">
        <v>1</v>
      </c>
      <c r="EI54" s="172" t="n">
        <v>1</v>
      </c>
      <c r="EJ54" s="172" t="n">
        <v>1</v>
      </c>
      <c r="EK54" s="172" t="n">
        <v>1</v>
      </c>
      <c r="EL54" s="172" t="n">
        <v>1</v>
      </c>
      <c r="EM54" s="172" t="n">
        <v>1</v>
      </c>
      <c r="EN54" s="172" t="n">
        <v>1</v>
      </c>
      <c r="EO54" s="172" t="n">
        <v>1</v>
      </c>
      <c r="EP54" s="172" t="n">
        <v>1</v>
      </c>
      <c r="EQ54" s="172" t="n">
        <v>1</v>
      </c>
      <c r="ER54" s="172" t="n">
        <v>1</v>
      </c>
      <c r="ES54" s="172" t="n">
        <v>1</v>
      </c>
      <c r="ET54" s="172" t="n">
        <v>1</v>
      </c>
      <c r="EU54" s="172" t="n">
        <v>1</v>
      </c>
      <c r="EV54" s="173" t="n">
        <v>1</v>
      </c>
      <c r="EW54" s="172" t="n">
        <v>1</v>
      </c>
      <c r="EX54" s="172" t="n">
        <v>1</v>
      </c>
      <c r="EY54" s="172" t="n">
        <v>1</v>
      </c>
      <c r="EZ54" s="172" t="n">
        <v>1</v>
      </c>
      <c r="FA54" s="172" t="n">
        <v>1</v>
      </c>
      <c r="FB54" s="172" t="n">
        <v>1</v>
      </c>
      <c r="FC54" s="172" t="n">
        <v>1</v>
      </c>
      <c r="FD54" s="172" t="n">
        <v>1</v>
      </c>
      <c r="FE54" s="172" t="n">
        <v>1</v>
      </c>
      <c r="FF54" s="172" t="n">
        <v>1</v>
      </c>
      <c r="FG54" s="172" t="n">
        <v>1</v>
      </c>
      <c r="FH54" s="172" t="n">
        <v>1</v>
      </c>
      <c r="FI54" s="172" t="n">
        <v>1</v>
      </c>
      <c r="FJ54" s="172" t="n">
        <v>1</v>
      </c>
      <c r="FK54" s="172" t="n">
        <v>1</v>
      </c>
      <c r="FL54" s="172" t="n">
        <v>1</v>
      </c>
      <c r="FM54" s="172" t="n">
        <v>1</v>
      </c>
      <c r="FN54" s="172" t="n">
        <v>1</v>
      </c>
      <c r="FO54" s="172" t="n">
        <v>1</v>
      </c>
      <c r="FP54" s="172" t="n">
        <v>1</v>
      </c>
      <c r="FQ54" s="172" t="n">
        <v>1</v>
      </c>
      <c r="FR54" s="172" t="n">
        <v>1</v>
      </c>
      <c r="FS54" s="172" t="n">
        <v>1</v>
      </c>
      <c r="FT54" s="172" t="n">
        <v>1</v>
      </c>
      <c r="FU54" s="172" t="n">
        <v>1</v>
      </c>
      <c r="FV54" s="172" t="n">
        <v>1</v>
      </c>
      <c r="FW54" s="172" t="n">
        <v>1</v>
      </c>
      <c r="FX54" s="172" t="n">
        <v>1</v>
      </c>
      <c r="FY54" s="172" t="n">
        <v>1</v>
      </c>
      <c r="FZ54" s="172" t="n">
        <v>1</v>
      </c>
      <c r="GA54" s="172" t="n">
        <v>1</v>
      </c>
      <c r="GB54" s="172" t="n">
        <v>1</v>
      </c>
      <c r="GC54" s="172" t="n">
        <v>1</v>
      </c>
      <c r="GD54" s="172" t="n">
        <v>1</v>
      </c>
      <c r="GE54" s="172" t="n">
        <v>1</v>
      </c>
      <c r="GF54" s="172" t="n">
        <v>1</v>
      </c>
      <c r="GG54" s="172" t="n">
        <v>1</v>
      </c>
      <c r="GH54" s="172" t="n">
        <v>1</v>
      </c>
      <c r="GI54" s="172" t="n">
        <v>1</v>
      </c>
      <c r="GJ54" s="172" t="n">
        <v>1</v>
      </c>
      <c r="GK54" s="172" t="n">
        <v>1</v>
      </c>
      <c r="GL54" s="172" t="n">
        <v>1</v>
      </c>
      <c r="GM54" s="172" t="n">
        <v>1</v>
      </c>
      <c r="GN54" s="172" t="n">
        <v>1</v>
      </c>
      <c r="GO54" s="172" t="n">
        <v>1</v>
      </c>
      <c r="GP54" s="172" t="n">
        <v>1</v>
      </c>
      <c r="GQ54" s="172" t="n">
        <v>1</v>
      </c>
      <c r="GR54" s="172" t="n">
        <v>1</v>
      </c>
      <c r="GS54" s="172" t="n">
        <v>1</v>
      </c>
      <c r="GT54" s="172" t="n">
        <v>1</v>
      </c>
      <c r="GU54" s="172" t="n">
        <v>1</v>
      </c>
      <c r="GV54" s="172" t="n">
        <v>1</v>
      </c>
      <c r="GW54" s="172" t="n">
        <v>1</v>
      </c>
      <c r="GX54" s="172" t="n">
        <v>1</v>
      </c>
      <c r="GY54" s="172" t="n">
        <v>1</v>
      </c>
      <c r="GZ54" s="172" t="n">
        <v>1</v>
      </c>
      <c r="HA54" s="172" t="n">
        <v>1</v>
      </c>
      <c r="HB54" s="172" t="n">
        <v>1</v>
      </c>
      <c r="HC54" s="172" t="n">
        <v>1</v>
      </c>
      <c r="HD54" s="172" t="n">
        <v>1</v>
      </c>
      <c r="HE54" s="172" t="n">
        <v>1</v>
      </c>
      <c r="HF54" s="172" t="n">
        <v>1</v>
      </c>
      <c r="HG54" s="172" t="n">
        <v>1</v>
      </c>
      <c r="HH54" s="172" t="n">
        <v>1</v>
      </c>
      <c r="HI54" s="172" t="n">
        <v>1</v>
      </c>
      <c r="HJ54" s="172" t="n">
        <v>1</v>
      </c>
      <c r="HK54" s="172" t="n">
        <v>1</v>
      </c>
      <c r="HL54" s="172" t="n">
        <v>1</v>
      </c>
      <c r="HM54" s="172" t="n">
        <v>1</v>
      </c>
      <c r="HN54" s="172" t="n">
        <v>1</v>
      </c>
      <c r="HO54" s="172" t="n">
        <v>1</v>
      </c>
      <c r="HP54" s="172" t="n">
        <v>1</v>
      </c>
      <c r="HQ54" s="172" t="n">
        <v>1</v>
      </c>
      <c r="HR54" s="172" t="n">
        <v>1</v>
      </c>
      <c r="HS54" s="172" t="n">
        <v>1</v>
      </c>
      <c r="HT54" s="172" t="n">
        <v>1</v>
      </c>
      <c r="HU54" s="172" t="n">
        <v>1</v>
      </c>
      <c r="HV54" s="172" t="n">
        <v>1</v>
      </c>
      <c r="HW54" s="172" t="n">
        <v>1</v>
      </c>
      <c r="HX54" s="172" t="n">
        <v>1</v>
      </c>
      <c r="HY54" s="172" t="n">
        <v>1</v>
      </c>
      <c r="HZ54" s="172" t="n">
        <v>1</v>
      </c>
      <c r="IA54" s="172" t="n">
        <v>1</v>
      </c>
      <c r="IB54" s="172" t="n">
        <v>1</v>
      </c>
      <c r="IC54" s="172" t="n">
        <v>1</v>
      </c>
      <c r="ID54" s="172" t="n">
        <v>1</v>
      </c>
      <c r="IE54" s="172" t="n">
        <v>1</v>
      </c>
      <c r="IF54" s="172" t="n">
        <v>1</v>
      </c>
      <c r="IG54" s="172" t="n">
        <v>1</v>
      </c>
      <c r="IH54" s="172" t="n">
        <v>1</v>
      </c>
      <c r="II54" s="172" t="n">
        <v>1</v>
      </c>
      <c r="IJ54" s="172" t="n">
        <v>1</v>
      </c>
      <c r="IK54" s="172" t="n">
        <v>1</v>
      </c>
      <c r="IL54" s="172" t="n">
        <v>1</v>
      </c>
      <c r="IM54" s="172" t="n">
        <v>1</v>
      </c>
      <c r="IN54" s="172" t="n">
        <v>1</v>
      </c>
      <c r="IO54" s="172" t="n">
        <v>1</v>
      </c>
      <c r="IP54" s="172" t="n">
        <v>1</v>
      </c>
      <c r="IQ54" s="172" t="n">
        <v>1</v>
      </c>
      <c r="IR54" s="172" t="n">
        <v>1</v>
      </c>
    </row>
    <row r="55" ht="29.15" customHeight="1" s="123">
      <c r="A55" s="89" t="inlineStr">
        <is>
          <t>ЧМ (сырье)</t>
        </is>
      </c>
      <c r="B55" s="90" t="n">
        <v>4</v>
      </c>
      <c r="C55" s="5" t="inlineStr">
        <is>
          <t>Руды  всякие</t>
        </is>
      </c>
      <c r="D55" s="91" t="n">
        <v>14109</v>
      </c>
      <c r="E55" s="91" t="inlineStr">
        <is>
          <t xml:space="preserve">Концентрат железорудный (гематит) </t>
        </is>
      </c>
      <c r="F55" s="92" t="inlineStr">
        <is>
          <t>РУДЫ И КОНЦЕНТРАТЫ ЖЕЛЕЗН</t>
        </is>
      </c>
      <c r="G55" s="91" t="inlineStr">
        <is>
          <t>ЗАБ</t>
        </is>
      </c>
      <c r="H55" s="91" t="inlineStr">
        <is>
          <t>ЗАБ</t>
        </is>
      </c>
      <c r="I55" s="91" t="inlineStr">
        <is>
          <t>БОРЗЯ</t>
        </is>
      </c>
      <c r="J55" s="91" t="inlineStr">
        <is>
          <t>ЗАБАЙКАЛ ЭК</t>
        </is>
      </c>
      <c r="K55" s="91" t="n">
        <v>119</v>
      </c>
      <c r="L55" s="91" t="inlineStr">
        <is>
          <t>Полувагоны</t>
        </is>
      </c>
      <c r="M55" s="91" t="inlineStr">
        <is>
          <t>Экспорт</t>
        </is>
      </c>
      <c r="N55" s="91" t="inlineStr">
        <is>
          <t>вагонная</t>
        </is>
      </c>
      <c r="O55" s="91" t="inlineStr">
        <is>
          <t xml:space="preserve">Восточное </t>
        </is>
      </c>
      <c r="P55" s="89" t="inlineStr">
        <is>
          <t>'000055103129</t>
        </is>
      </c>
      <c r="Q55" s="91" t="inlineStr">
        <is>
          <t>ПАО "ГМК "Норильский никель"</t>
        </is>
      </c>
      <c r="R55" s="91" t="inlineStr">
        <is>
          <t>ПАО "ГМК "Норильский никель"</t>
        </is>
      </c>
      <c r="S55" s="87" t="n">
        <v>869797</v>
      </c>
      <c r="T55" s="87" t="n">
        <v>103507397</v>
      </c>
      <c r="U55" s="88" t="n">
        <v>12538</v>
      </c>
      <c r="V55" s="88" t="n">
        <v>0</v>
      </c>
      <c r="W55" s="87" t="n">
        <v>192628336</v>
      </c>
      <c r="X55" s="112" t="n">
        <v>69</v>
      </c>
      <c r="Y55" s="112" t="inlineStr">
        <is>
          <t>маршрутная</t>
        </is>
      </c>
      <c r="Z55" s="113" t="n">
        <v>2</v>
      </c>
      <c r="AA55" s="113" t="n">
        <v>1</v>
      </c>
      <c r="AB55" s="113" t="n">
        <v>4</v>
      </c>
      <c r="AC55" s="161" t="n">
        <v>247.06</v>
      </c>
      <c r="AD55" s="161">
        <f>AE55-AC55</f>
        <v/>
      </c>
      <c r="AE55" s="161" t="n">
        <v>298.39</v>
      </c>
      <c r="AF55" s="162">
        <f>(Z55+AA55+AB55)*'Ставки аренды'!$B$3/X55</f>
        <v/>
      </c>
      <c r="AG55" s="163" t="n">
        <v>0</v>
      </c>
      <c r="AH55" s="164" t="n">
        <v>0</v>
      </c>
      <c r="AI55" s="165">
        <f>575152/1082467*AJ55</f>
        <v/>
      </c>
      <c r="AJ55" s="166">
        <f>Цены!C15*'Курсы валют'!B2</f>
        <v/>
      </c>
      <c r="AK55" s="164">
        <f>AJ55/Цены!$B$1</f>
        <v/>
      </c>
      <c r="AL55" s="164">
        <f>AE55+AF55+AG55</f>
        <v/>
      </c>
      <c r="AM55" s="164">
        <f>AJ55-AL55</f>
        <v/>
      </c>
      <c r="AN55" s="164">
        <f>AI55+AH55+AG55+AF55+AE55</f>
        <v/>
      </c>
      <c r="AO55" s="167">
        <f>(AJ55-AN55)/AJ55</f>
        <v/>
      </c>
      <c r="AP55" s="168">
        <f>AL55/AJ55</f>
        <v/>
      </c>
      <c r="AQ55" s="168">
        <f>AE55/AJ55</f>
        <v/>
      </c>
      <c r="AR55" s="168">
        <f>AE55/AL55</f>
        <v/>
      </c>
      <c r="AS55" s="169" t="n">
        <v>1</v>
      </c>
      <c r="AT55" s="121">
        <f>S55*AS55</f>
        <v/>
      </c>
      <c r="AU55" s="83" t="n">
        <v>0.9</v>
      </c>
      <c r="AV55" s="170">
        <f>(AJ55-(AE55*(1+$IS$2)+AF55+AG55+AH55+AI55))/AJ55</f>
        <v/>
      </c>
      <c r="AW55" s="171">
        <f>(AE55*(1+$IS$2)+AF55+AG55)/AJ55</f>
        <v/>
      </c>
      <c r="AX55" s="171">
        <f>(AE55*(1+$IS$2))/AJ55</f>
        <v/>
      </c>
      <c r="AY55" s="171">
        <f>(AE55*(1+$IS$2))/(AE55*(1+$IS$2)+AF55+AG55)</f>
        <v/>
      </c>
      <c r="AZ55" s="172">
        <f>MIN(IF($AU55=100%,1,1+VLOOKUP(($AJ55-$AI55-$AH55-$AG55-$AF55-$AE55*(1+AZ$3))/$AJ55,'Технический лист'!$M:$N,2,1)-VLOOKUP($AO55,'Технический лист'!$M:$N,2,1)),1+(1-$AU55))</f>
        <v/>
      </c>
      <c r="BA55" s="172">
        <f>MIN(IF($AU55=100%,1,1+VLOOKUP(($AJ55-$AI55-$AH55-$AG55-$AF55-$AE55*(1+BA$3))/$AJ55,'Технический лист'!$M:$N,2,1)-VLOOKUP($AO55,'Технический лист'!$M:$N,2,1)),1+(1-$AU55))</f>
        <v/>
      </c>
      <c r="BB55" s="172">
        <f>MIN(IF($AU55=100%,1,1+VLOOKUP(($AJ55-$AI55-$AH55-$AG55-$AF55-$AE55*(1+BB$3))/$AJ55,'Технический лист'!$M:$N,2,1)-VLOOKUP($AO55,'Технический лист'!$M:$N,2,1)),1+(1-$AU55))</f>
        <v/>
      </c>
      <c r="BC55" s="172">
        <f>MIN(IF($AU55=100%,1,1+VLOOKUP(($AJ55-$AI55-$AH55-$AG55-$AF55-$AE55*(1+BC$3))/$AJ55,'Технический лист'!$M:$N,2,1)-VLOOKUP($AO55,'Технический лист'!$M:$N,2,1)),1+(1-$AU55))</f>
        <v/>
      </c>
      <c r="BD55" s="172">
        <f>MIN(IF($AU55=100%,1,1+VLOOKUP(($AJ55-$AI55-$AH55-$AG55-$AF55-$AE55*(1+BD$3))/$AJ55,'Технический лист'!$M:$N,2,1)-VLOOKUP($AO55,'Технический лист'!$M:$N,2,1)),1+(1-$AU55))</f>
        <v/>
      </c>
      <c r="BE55" s="172">
        <f>MIN(IF($AU55=100%,1,1+VLOOKUP(($AJ55-$AI55-$AH55-$AG55-$AF55-$AE55*(1+BE$3))/$AJ55,'Технический лист'!$M:$N,2,1)-VLOOKUP($AO55,'Технический лист'!$M:$N,2,1)),1+(1-$AU55))</f>
        <v/>
      </c>
      <c r="BF55" s="172">
        <f>MIN(IF($AU55=100%,1,1+VLOOKUP(($AJ55-$AI55-$AH55-$AG55-$AF55-$AE55*(1+BF$3))/$AJ55,'Технический лист'!$M:$N,2,1)-VLOOKUP($AO55,'Технический лист'!$M:$N,2,1)),1+(1-$AU55))</f>
        <v/>
      </c>
      <c r="BG55" s="172">
        <f>MIN(IF($AU55=100%,1,1+VLOOKUP(($AJ55-$AI55-$AH55-$AG55-$AF55-$AE55*(1+BG$3))/$AJ55,'Технический лист'!$M:$N,2,1)-VLOOKUP($AO55,'Технический лист'!$M:$N,2,1)),1+(1-$AU55))</f>
        <v/>
      </c>
      <c r="BH55" s="172">
        <f>MIN(IF($AU55=100%,1,1+VLOOKUP(($AJ55-$AI55-$AH55-$AG55-$AF55-$AE55*(1+BH$3))/$AJ55,'Технический лист'!$M:$N,2,1)-VLOOKUP($AO55,'Технический лист'!$M:$N,2,1)),1+(1-$AU55))</f>
        <v/>
      </c>
      <c r="BI55" s="172">
        <f>MIN(IF($AU55=100%,1,1+VLOOKUP(($AJ55-$AI55-$AH55-$AG55-$AF55-$AE55*(1+BI$3))/$AJ55,'Технический лист'!$M:$N,2,1)-VLOOKUP($AO55,'Технический лист'!$M:$N,2,1)),1+(1-$AU55))</f>
        <v/>
      </c>
      <c r="BJ55" s="172">
        <f>MIN(IF($AU55=100%,1,1+VLOOKUP(($AJ55-$AI55-$AH55-$AG55-$AF55-$AE55*(1+BJ$3))/$AJ55,'Технический лист'!$M:$N,2,1)-VLOOKUP($AO55,'Технический лист'!$M:$N,2,1)),1+(1-$AU55))</f>
        <v/>
      </c>
      <c r="BK55" s="172">
        <f>MIN(IF($AU55=100%,1,1+VLOOKUP(($AJ55-$AI55-$AH55-$AG55-$AF55-$AE55*(1+BK$3))/$AJ55,'Технический лист'!$M:$N,2,1)-VLOOKUP($AO55,'Технический лист'!$M:$N,2,1)),1+(1-$AU55))</f>
        <v/>
      </c>
      <c r="BL55" s="172">
        <f>MIN(IF($AU55=100%,1,1+VLOOKUP(($AJ55-$AI55-$AH55-$AG55-$AF55-$AE55*(1+BL$3))/$AJ55,'Технический лист'!$M:$N,2,1)-VLOOKUP($AO55,'Технический лист'!$M:$N,2,1)),1+(1-$AU55))</f>
        <v/>
      </c>
      <c r="BM55" s="172">
        <f>MIN(IF($AU55=100%,1,1+VLOOKUP(($AJ55-$AI55-$AH55-$AG55-$AF55-$AE55*(1+BM$3))/$AJ55,'Технический лист'!$M:$N,2,1)-VLOOKUP($AO55,'Технический лист'!$M:$N,2,1)),1+(1-$AU55))</f>
        <v/>
      </c>
      <c r="BN55" s="172">
        <f>MIN(IF($AU55=100%,1,1+VLOOKUP(($AJ55-$AI55-$AH55-$AG55-$AF55-$AE55*(1+BN$3))/$AJ55,'Технический лист'!$M:$N,2,1)-VLOOKUP($AO55,'Технический лист'!$M:$N,2,1)),1+(1-$AU55))</f>
        <v/>
      </c>
      <c r="BO55" s="172">
        <f>MIN(IF($AU55=100%,1,1+VLOOKUP(($AJ55-$AI55-$AH55-$AG55-$AF55-$AE55*(1+BO$3))/$AJ55,'Технический лист'!$M:$N,2,1)-VLOOKUP($AO55,'Технический лист'!$M:$N,2,1)),1+(1-$AU55))</f>
        <v/>
      </c>
      <c r="BP55" s="172">
        <f>MIN(IF($AU55=100%,1,1+VLOOKUP(($AJ55-$AI55-$AH55-$AG55-$AF55-$AE55*(1+BP$3))/$AJ55,'Технический лист'!$M:$N,2,1)-VLOOKUP($AO55,'Технический лист'!$M:$N,2,1)),1+(1-$AU55))</f>
        <v/>
      </c>
      <c r="BQ55" s="172">
        <f>MIN(IF($AU55=100%,1,1+VLOOKUP(($AJ55-$AI55-$AH55-$AG55-$AF55-$AE55*(1+BQ$3))/$AJ55,'Технический лист'!$M:$N,2,1)-VLOOKUP($AO55,'Технический лист'!$M:$N,2,1)),1+(1-$AU55))</f>
        <v/>
      </c>
      <c r="BR55" s="172">
        <f>MIN(IF($AU55=100%,1,1+VLOOKUP(($AJ55-$AI55-$AH55-$AG55-$AF55-$AE55*(1+BR$3))/$AJ55,'Технический лист'!$M:$N,2,1)-VLOOKUP($AO55,'Технический лист'!$M:$N,2,1)),1+(1-$AU55))</f>
        <v/>
      </c>
      <c r="BS55" s="172">
        <f>MIN(IF($AU55=100%,1,1+VLOOKUP(($AJ55-$AI55-$AH55-$AG55-$AF55-$AE55*(1+BS$3))/$AJ55,'Технический лист'!$M:$N,2,1)-VLOOKUP($AO55,'Технический лист'!$M:$N,2,1)),1+(1-$AU55))</f>
        <v/>
      </c>
      <c r="BT55" s="172">
        <f>MIN(IF($AU55=100%,1,1+VLOOKUP(($AJ55-$AI55-$AH55-$AG55-$AF55-$AE55*(1+BT$3))/$AJ55,'Технический лист'!$M:$N,2,1)-VLOOKUP($AO55,'Технический лист'!$M:$N,2,1)),1+(1-$AU55))</f>
        <v/>
      </c>
      <c r="BU55" s="172">
        <f>MIN(IF($AU55=100%,1,1+VLOOKUP(($AJ55-$AI55-$AH55-$AG55-$AF55-$AE55*(1+BU$3))/$AJ55,'Технический лист'!$M:$N,2,1)-VLOOKUP($AO55,'Технический лист'!$M:$N,2,1)),1+(1-$AU55))</f>
        <v/>
      </c>
      <c r="BV55" s="172">
        <f>MIN(IF($AU55=100%,1,1+VLOOKUP(($AJ55-$AI55-$AH55-$AG55-$AF55-$AE55*(1+BV$3))/$AJ55,'Технический лист'!$M:$N,2,1)-VLOOKUP($AO55,'Технический лист'!$M:$N,2,1)),1+(1-$AU55))</f>
        <v/>
      </c>
      <c r="BW55" s="172">
        <f>MIN(IF($AU55=100%,1,1+VLOOKUP(($AJ55-$AI55-$AH55-$AG55-$AF55-$AE55*(1+BW$3))/$AJ55,'Технический лист'!$M:$N,2,1)-VLOOKUP($AO55,'Технический лист'!$M:$N,2,1)),1+(1-$AU55))</f>
        <v/>
      </c>
      <c r="BX55" s="172">
        <f>MIN(IF($AU55=100%,1,1+VLOOKUP(($AJ55-$AI55-$AH55-$AG55-$AF55-$AE55*(1+BX$3))/$AJ55,'Технический лист'!$M:$N,2,1)-VLOOKUP($AO55,'Технический лист'!$M:$N,2,1)),1+(1-$AU55))</f>
        <v/>
      </c>
      <c r="BY55" s="172">
        <f>MIN(IF($AU55=100%,1,1+VLOOKUP(($AJ55-$AI55-$AH55-$AG55-$AF55-$AE55*(1+BY$3))/$AJ55,'Технический лист'!$M:$N,2,1)-VLOOKUP($AO55,'Технический лист'!$M:$N,2,1)),1+(1-$AU55))</f>
        <v/>
      </c>
      <c r="BZ55" s="172">
        <f>MIN(IF($AU55=100%,1,1+VLOOKUP(($AJ55-$AI55-$AH55-$AG55-$AF55-$AE55*(1+BZ$3))/$AJ55,'Технический лист'!$M:$N,2,1)-VLOOKUP($AO55,'Технический лист'!$M:$N,2,1)),1+(1-$AU55))</f>
        <v/>
      </c>
      <c r="CA55" s="172">
        <f>MIN(IF($AU55=100%,1,1+VLOOKUP(($AJ55-$AI55-$AH55-$AG55-$AF55-$AE55*(1+CA$3))/$AJ55,'Технический лист'!$M:$N,2,1)-VLOOKUP($AO55,'Технический лист'!$M:$N,2,1)),1+(1-$AU55))</f>
        <v/>
      </c>
      <c r="CB55" s="172">
        <f>MIN(IF($AU55=100%,1,1+VLOOKUP(($AJ55-$AI55-$AH55-$AG55-$AF55-$AE55*(1+CB$3))/$AJ55,'Технический лист'!$M:$N,2,1)-VLOOKUP($AO55,'Технический лист'!$M:$N,2,1)),1+(1-$AU55))</f>
        <v/>
      </c>
      <c r="CC55" s="172">
        <f>MIN(IF($AU55=100%,1,1+VLOOKUP(($AJ55-$AI55-$AH55-$AG55-$AF55-$AE55*(1+CC$3))/$AJ55,'Технический лист'!$M:$N,2,1)-VLOOKUP($AO55,'Технический лист'!$M:$N,2,1)),1+(1-$AU55))</f>
        <v/>
      </c>
      <c r="CD55" s="172">
        <f>MIN(IF($AU55=100%,1,1+VLOOKUP(($AJ55-$AI55-$AH55-$AG55-$AF55-$AE55*(1+CD$3))/$AJ55,'Технический лист'!$M:$N,2,1)-VLOOKUP($AO55,'Технический лист'!$M:$N,2,1)),1+(1-$AU55))</f>
        <v/>
      </c>
      <c r="CE55" s="172">
        <f>MIN(IF($AU55=100%,1,1+VLOOKUP(($AJ55-$AI55-$AH55-$AG55-$AF55-$AE55*(1+CE$3))/$AJ55,'Технический лист'!$M:$N,2,1)-VLOOKUP($AO55,'Технический лист'!$M:$N,2,1)),1+(1-$AU55))</f>
        <v/>
      </c>
      <c r="CF55" s="172">
        <f>MIN(IF($AU55=100%,1,1+VLOOKUP(($AJ55-$AI55-$AH55-$AG55-$AF55-$AE55*(1+CF$3))/$AJ55,'Технический лист'!$M:$N,2,1)-VLOOKUP($AO55,'Технический лист'!$M:$N,2,1)),1+(1-$AU55))</f>
        <v/>
      </c>
      <c r="CG55" s="172">
        <f>MIN(IF($AU55=100%,1,1+VLOOKUP(($AJ55-$AI55-$AH55-$AG55-$AF55-$AE55*(1+CG$3))/$AJ55,'Технический лист'!$M:$N,2,1)-VLOOKUP($AO55,'Технический лист'!$M:$N,2,1)),1+(1-$AU55))</f>
        <v/>
      </c>
      <c r="CH55" s="172">
        <f>MIN(IF($AU55=100%,1,1+VLOOKUP(($AJ55-$AI55-$AH55-$AG55-$AF55-$AE55*(1+CH$3))/$AJ55,'Технический лист'!$M:$N,2,1)-VLOOKUP($AO55,'Технический лист'!$M:$N,2,1)),1+(1-$AU55))</f>
        <v/>
      </c>
      <c r="CI55" s="172">
        <f>MIN(IF($AU55=100%,1,1+VLOOKUP(($AJ55-$AI55-$AH55-$AG55-$AF55-$AE55*(1+CI$3))/$AJ55,'Технический лист'!$M:$N,2,1)-VLOOKUP($AO55,'Технический лист'!$M:$N,2,1)),1+(1-$AU55))</f>
        <v/>
      </c>
      <c r="CJ55" s="172">
        <f>MIN(IF($AU55=100%,1,1+VLOOKUP(($AJ55-$AI55-$AH55-$AG55-$AF55-$AE55*(1+CJ$3))/$AJ55,'Технический лист'!$M:$N,2,1)-VLOOKUP($AO55,'Технический лист'!$M:$N,2,1)),1+(1-$AU55))</f>
        <v/>
      </c>
      <c r="CK55" s="172">
        <f>MIN(IF($AU55=100%,1,1+VLOOKUP(($AJ55-$AI55-$AH55-$AG55-$AF55-$AE55*(1+CK$3))/$AJ55,'Технический лист'!$M:$N,2,1)-VLOOKUP($AO55,'Технический лист'!$M:$N,2,1)),1+(1-$AU55))</f>
        <v/>
      </c>
      <c r="CL55" s="172">
        <f>MIN(IF($AU55=100%,1,1+VLOOKUP(($AJ55-$AI55-$AH55-$AG55-$AF55-$AE55*(1+CL$3))/$AJ55,'Технический лист'!$M:$N,2,1)-VLOOKUP($AO55,'Технический лист'!$M:$N,2,1)),1+(1-$AU55))</f>
        <v/>
      </c>
      <c r="CM55" s="172">
        <f>MIN(IF($AU55=100%,1,1+VLOOKUP(($AJ55-$AI55-$AH55-$AG55-$AF55-$AE55*(1+CM$3))/$AJ55,'Технический лист'!$M:$N,2,1)-VLOOKUP($AO55,'Технический лист'!$M:$N,2,1)),1+(1-$AU55))</f>
        <v/>
      </c>
      <c r="CN55" s="172">
        <f>MIN(IF($AU55=100%,1,1+VLOOKUP(($AJ55-$AI55-$AH55-$AG55-$AF55-$AE55*(1+CN$3))/$AJ55,'Технический лист'!$M:$N,2,1)-VLOOKUP($AO55,'Технический лист'!$M:$N,2,1)),1+(1-$AU55))</f>
        <v/>
      </c>
      <c r="CO55" s="172">
        <f>MIN(IF($AU55=100%,1,1+VLOOKUP(($AJ55-$AI55-$AH55-$AG55-$AF55-$AE55*(1+CO$3))/$AJ55,'Технический лист'!$M:$N,2,1)-VLOOKUP($AO55,'Технический лист'!$M:$N,2,1)),1+(1-$AU55))</f>
        <v/>
      </c>
      <c r="CP55" s="172">
        <f>MIN(IF($AU55=100%,1,1+VLOOKUP(($AJ55-$AI55-$AH55-$AG55-$AF55-$AE55*(1+CP$3))/$AJ55,'Технический лист'!$M:$N,2,1)-VLOOKUP($AO55,'Технический лист'!$M:$N,2,1)),1+(1-$AU55))</f>
        <v/>
      </c>
      <c r="CQ55" s="172">
        <f>MIN(IF($AU55=100%,1,1+VLOOKUP(($AJ55-$AI55-$AH55-$AG55-$AF55-$AE55*(1+CQ$3))/$AJ55,'Технический лист'!$M:$N,2,1)-VLOOKUP($AO55,'Технический лист'!$M:$N,2,1)),1+(1-$AU55))</f>
        <v/>
      </c>
      <c r="CR55" s="172">
        <f>MIN(IF($AU55=100%,1,1+VLOOKUP(($AJ55-$AI55-$AH55-$AG55-$AF55-$AE55*(1+CR$3))/$AJ55,'Технический лист'!$M:$N,2,1)-VLOOKUP($AO55,'Технический лист'!$M:$N,2,1)),1+(1-$AU55))</f>
        <v/>
      </c>
      <c r="CS55" s="172">
        <f>MIN(IF($AU55=100%,1,1+VLOOKUP(($AJ55-$AI55-$AH55-$AG55-$AF55-$AE55*(1+CS$3))/$AJ55,'Технический лист'!$M:$N,2,1)-VLOOKUP($AO55,'Технический лист'!$M:$N,2,1)),1+(1-$AU55))</f>
        <v/>
      </c>
      <c r="CT55" s="172">
        <f>MIN(IF($AU55=100%,1,1+VLOOKUP(($AJ55-$AI55-$AH55-$AG55-$AF55-$AE55*(1+CT$3))/$AJ55,'Технический лист'!$M:$N,2,1)-VLOOKUP($AO55,'Технический лист'!$M:$N,2,1)),1+(1-$AU55))</f>
        <v/>
      </c>
      <c r="CU55" s="172">
        <f>MIN(IF($AU55=100%,1,1+VLOOKUP(($AJ55-$AI55-$AH55-$AG55-$AF55-$AE55*(1+CU$3))/$AJ55,'Технический лист'!$M:$N,2,1)-VLOOKUP($AO55,'Технический лист'!$M:$N,2,1)),1+(1-$AU55))</f>
        <v/>
      </c>
      <c r="CV55" s="172">
        <f>MIN(IF($AU55=100%,1,1+VLOOKUP(($AJ55-$AI55-$AH55-$AG55-$AF55-$AE55*(1+CV$3))/$AJ55,'Технический лист'!$M:$N,2,1)-VLOOKUP($AO55,'Технический лист'!$M:$N,2,1)),1+(1-$AU55))</f>
        <v/>
      </c>
      <c r="CW55" s="172">
        <f>MIN(IF($AU55=100%,1,1+VLOOKUP(($AJ55-$AI55-$AH55-$AG55-$AF55-$AE55*(1+CW$3))/$AJ55,'Технический лист'!$M:$N,2,1)-VLOOKUP($AO55,'Технический лист'!$M:$N,2,1)),1+(1-$AU55))</f>
        <v/>
      </c>
      <c r="CX55" s="172">
        <f>MIN(IF($AU55=100%,1,1+VLOOKUP(($AJ55-$AI55-$AH55-$AG55-$AF55-$AE55*(1+CX$3))/$AJ55,'Технический лист'!$M:$N,2,1)-VLOOKUP($AO55,'Технический лист'!$M:$N,2,1)),1+(1-$AU55))</f>
        <v/>
      </c>
      <c r="CY55" s="172">
        <f>MIN(IF($AU55=100%,1,1+VLOOKUP(($AJ55-$AI55-$AH55-$AG55-$AF55-$AE55*(1+CY$3))/$AJ55,'Технический лист'!$M:$N,2,1)-VLOOKUP($AO55,'Технический лист'!$M:$N,2,1)),1+(1-$AU55))</f>
        <v/>
      </c>
      <c r="CZ55" s="172">
        <f>MIN(IF($AU55=100%,1,1+VLOOKUP(($AJ55-$AI55-$AH55-$AG55-$AF55-$AE55*(1+CZ$3))/$AJ55,'Технический лист'!$M:$N,2,1)-VLOOKUP($AO55,'Технический лист'!$M:$N,2,1)),1+(1-$AU55))</f>
        <v/>
      </c>
      <c r="DA55" s="172">
        <f>MIN(IF($AU55=100%,1,1+VLOOKUP(($AJ55-$AI55-$AH55-$AG55-$AF55-$AE55*(1+DA$3))/$AJ55,'Технический лист'!$M:$N,2,1)-VLOOKUP($AO55,'Технический лист'!$M:$N,2,1)),1+(1-$AU55))</f>
        <v/>
      </c>
      <c r="DB55" s="172">
        <f>MIN(IF($AU55=100%,1,1+VLOOKUP(($AJ55-$AI55-$AH55-$AG55-$AF55-$AE55*(1+DB$3))/$AJ55,'Технический лист'!$M:$N,2,1)-VLOOKUP($AO55,'Технический лист'!$M:$N,2,1)),1+(1-$AU55))</f>
        <v/>
      </c>
      <c r="DC55" s="172">
        <f>MIN(IF($AU55=100%,1,1+VLOOKUP(($AJ55-$AI55-$AH55-$AG55-$AF55-$AE55*(1+DC$3))/$AJ55,'Технический лист'!$M:$N,2,1)-VLOOKUP($AO55,'Технический лист'!$M:$N,2,1)),1+(1-$AU55))</f>
        <v/>
      </c>
      <c r="DD55" s="172">
        <f>MIN(IF($AU55=100%,1,1+VLOOKUP(($AJ55-$AI55-$AH55-$AG55-$AF55-$AE55*(1+DD$3))/$AJ55,'Технический лист'!$M:$N,2,1)-VLOOKUP($AO55,'Технический лист'!$M:$N,2,1)),1+(1-$AU55))</f>
        <v/>
      </c>
      <c r="DE55" s="172">
        <f>MIN(IF($AU55=100%,1,1+VLOOKUP(($AJ55-$AI55-$AH55-$AG55-$AF55-$AE55*(1+DE$3))/$AJ55,'Технический лист'!$M:$N,2,1)-VLOOKUP($AO55,'Технический лист'!$M:$N,2,1)),1+(1-$AU55))</f>
        <v/>
      </c>
      <c r="DF55" s="172">
        <f>MIN(IF($AU55=100%,1,1+VLOOKUP(($AJ55-$AI55-$AH55-$AG55-$AF55-$AE55*(1+DF$3))/$AJ55,'Технический лист'!$M:$N,2,1)-VLOOKUP($AO55,'Технический лист'!$M:$N,2,1)),1+(1-$AU55))</f>
        <v/>
      </c>
      <c r="DG55" s="172">
        <f>MIN(IF($AU55=100%,1,1+VLOOKUP(($AJ55-$AI55-$AH55-$AG55-$AF55-$AE55*(1+DG$3))/$AJ55,'Технический лист'!$M:$N,2,1)-VLOOKUP($AO55,'Технический лист'!$M:$N,2,1)),1+(1-$AU55))</f>
        <v/>
      </c>
      <c r="DH55" s="172">
        <f>MIN(IF($AU55=100%,1,1+VLOOKUP(($AJ55-$AI55-$AH55-$AG55-$AF55-$AE55*(1+DH$3))/$AJ55,'Технический лист'!$M:$N,2,1)-VLOOKUP($AO55,'Технический лист'!$M:$N,2,1)),1+(1-$AU55))</f>
        <v/>
      </c>
      <c r="DI55" s="172">
        <f>MIN(IF($AU55=100%,1,1+VLOOKUP(($AJ55-$AI55-$AH55-$AG55-$AF55-$AE55*(1+DI$3))/$AJ55,'Технический лист'!$M:$N,2,1)-VLOOKUP($AO55,'Технический лист'!$M:$N,2,1)),1+(1-$AU55))</f>
        <v/>
      </c>
      <c r="DJ55" s="172">
        <f>MIN(IF($AU55=100%,1,1+VLOOKUP(($AJ55-$AI55-$AH55-$AG55-$AF55-$AE55*(1+DJ$3))/$AJ55,'Технический лист'!$M:$N,2,1)-VLOOKUP($AO55,'Технический лист'!$M:$N,2,1)),1+(1-$AU55))</f>
        <v/>
      </c>
      <c r="DK55" s="172">
        <f>MIN(IF($AU55=100%,1,1+VLOOKUP(($AJ55-$AI55-$AH55-$AG55-$AF55-$AE55*(1+DK$3))/$AJ55,'Технический лист'!$M:$N,2,1)-VLOOKUP($AO55,'Технический лист'!$M:$N,2,1)),1+(1-$AU55))</f>
        <v/>
      </c>
      <c r="DL55" s="172">
        <f>MIN(IF($AU55=100%,1,1+VLOOKUP(($AJ55-$AI55-$AH55-$AG55-$AF55-$AE55*(1+DL$3))/$AJ55,'Технический лист'!$M:$N,2,1)-VLOOKUP($AO55,'Технический лист'!$M:$N,2,1)),1+(1-$AU55))</f>
        <v/>
      </c>
      <c r="DM55" s="172">
        <f>MIN(IF($AU55=100%,1,1+VLOOKUP(($AJ55-$AI55-$AH55-$AG55-$AF55-$AE55*(1+DM$3))/$AJ55,'Технический лист'!$M:$N,2,1)-VLOOKUP($AO55,'Технический лист'!$M:$N,2,1)),1+(1-$AU55))</f>
        <v/>
      </c>
      <c r="DN55" s="172">
        <f>MIN(IF($AU55=100%,1,1+VLOOKUP(($AJ55-$AI55-$AH55-$AG55-$AF55-$AE55*(1+DN$3))/$AJ55,'Технический лист'!$M:$N,2,1)-VLOOKUP($AO55,'Технический лист'!$M:$N,2,1)),1+(1-$AU55))</f>
        <v/>
      </c>
      <c r="DO55" s="172">
        <f>MIN(IF($AU55=100%,1,1+VLOOKUP(($AJ55-$AI55-$AH55-$AG55-$AF55-$AE55*(1+DO$3))/$AJ55,'Технический лист'!$M:$N,2,1)-VLOOKUP($AO55,'Технический лист'!$M:$N,2,1)),1+(1-$AU55))</f>
        <v/>
      </c>
      <c r="DP55" s="172">
        <f>MIN(IF($AU55=100%,1,1+VLOOKUP(($AJ55-$AI55-$AH55-$AG55-$AF55-$AE55*(1+DP$3))/$AJ55,'Технический лист'!$M:$N,2,1)-VLOOKUP($AO55,'Технический лист'!$M:$N,2,1)),1+(1-$AU55))</f>
        <v/>
      </c>
      <c r="DQ55" s="172">
        <f>MIN(IF($AU55=100%,1,1+VLOOKUP(($AJ55-$AI55-$AH55-$AG55-$AF55-$AE55*(1+DQ$3))/$AJ55,'Технический лист'!$M:$N,2,1)-VLOOKUP($AO55,'Технический лист'!$M:$N,2,1)),1+(1-$AU55))</f>
        <v/>
      </c>
      <c r="DR55" s="172">
        <f>MIN(IF($AU55=100%,1,1+VLOOKUP(($AJ55-$AI55-$AH55-$AG55-$AF55-$AE55*(1+DR$3))/$AJ55,'Технический лист'!$M:$N,2,1)-VLOOKUP($AO55,'Технический лист'!$M:$N,2,1)),1+(1-$AU55))</f>
        <v/>
      </c>
      <c r="DS55" s="172">
        <f>MIN(IF($AU55=100%,1,1+VLOOKUP(($AJ55-$AI55-$AH55-$AG55-$AF55-$AE55*(1+DS$3))/$AJ55,'Технический лист'!$M:$N,2,1)-VLOOKUP($AO55,'Технический лист'!$M:$N,2,1)),1+(1-$AU55))</f>
        <v/>
      </c>
      <c r="DT55" s="172">
        <f>MIN(IF($AU55=100%,1,1+VLOOKUP(($AJ55-$AI55-$AH55-$AG55-$AF55-$AE55*(1+DT$3))/$AJ55,'Технический лист'!$M:$N,2,1)-VLOOKUP($AO55,'Технический лист'!$M:$N,2,1)),1+(1-$AU55))</f>
        <v/>
      </c>
      <c r="DU55" s="172">
        <f>MIN(IF($AU55=100%,1,1+VLOOKUP(($AJ55-$AI55-$AH55-$AG55-$AF55-$AE55*(1+DU$3))/$AJ55,'Технический лист'!$M:$N,2,1)-VLOOKUP($AO55,'Технический лист'!$M:$N,2,1)),1+(1-$AU55))</f>
        <v/>
      </c>
      <c r="DV55" s="172">
        <f>MIN(IF($AU55=100%,1,1+VLOOKUP(($AJ55-$AI55-$AH55-$AG55-$AF55-$AE55*(1+DV$3))/$AJ55,'Технический лист'!$M:$N,2,1)-VLOOKUP($AO55,'Технический лист'!$M:$N,2,1)),1+(1-$AU55))</f>
        <v/>
      </c>
      <c r="DW55" s="172">
        <f>MIN(IF($AU55=100%,1,1+VLOOKUP(($AJ55-$AI55-$AH55-$AG55-$AF55-$AE55*(1+DW$3))/$AJ55,'Технический лист'!$M:$N,2,1)-VLOOKUP($AO55,'Технический лист'!$M:$N,2,1)),1+(1-$AU55))</f>
        <v/>
      </c>
      <c r="DX55" s="172">
        <f>MIN(IF($AU55=100%,1,1+VLOOKUP(($AJ55-$AI55-$AH55-$AG55-$AF55-$AE55*(1+DX$3))/$AJ55,'Технический лист'!$M:$N,2,1)-VLOOKUP($AO55,'Технический лист'!$M:$N,2,1)),1+(1-$AU55))</f>
        <v/>
      </c>
      <c r="DY55" s="172">
        <f>MIN(IF($AU55=100%,1,1+VLOOKUP(($AJ55-$AI55-$AH55-$AG55-$AF55-$AE55*(1+DY$3))/$AJ55,'Технический лист'!$M:$N,2,1)-VLOOKUP($AO55,'Технический лист'!$M:$N,2,1)),1+(1-$AU55))</f>
        <v/>
      </c>
      <c r="DZ55" s="172">
        <f>MIN(IF($AU55=100%,1,1+VLOOKUP(($AJ55-$AI55-$AH55-$AG55-$AF55-$AE55*(1+DZ$3))/$AJ55,'Технический лист'!$M:$N,2,1)-VLOOKUP($AO55,'Технический лист'!$M:$N,2,1)),1+(1-$AU55))</f>
        <v/>
      </c>
      <c r="EA55" s="172">
        <f>MIN(IF($AU55=100%,1,1+VLOOKUP(($AJ55-$AI55-$AH55-$AG55-$AF55-$AE55*(1+EA$3))/$AJ55,'Технический лист'!$M:$N,2,1)-VLOOKUP($AO55,'Технический лист'!$M:$N,2,1)),1+(1-$AU55))</f>
        <v/>
      </c>
      <c r="EB55" s="172">
        <f>MIN(IF($AU55=100%,1,1+VLOOKUP(($AJ55-$AI55-$AH55-$AG55-$AF55-$AE55*(1+EB$3))/$AJ55,'Технический лист'!$M:$N,2,1)-VLOOKUP($AO55,'Технический лист'!$M:$N,2,1)),1+(1-$AU55))</f>
        <v/>
      </c>
      <c r="EC55" s="172">
        <f>MIN(IF($AU55=100%,1,1+VLOOKUP(($AJ55-$AI55-$AH55-$AG55-$AF55-$AE55*(1+EC$3))/$AJ55,'Технический лист'!$M:$N,2,1)-VLOOKUP($AO55,'Технический лист'!$M:$N,2,1)),1+(1-$AU55))</f>
        <v/>
      </c>
      <c r="ED55" s="172">
        <f>MIN(IF($AU55=100%,1,1+VLOOKUP(($AJ55-$AI55-$AH55-$AG55-$AF55-$AE55*(1+ED$3))/$AJ55,'Технический лист'!$M:$N,2,1)-VLOOKUP($AO55,'Технический лист'!$M:$N,2,1)),1+(1-$AU55))</f>
        <v/>
      </c>
      <c r="EE55" s="172">
        <f>MIN(IF($AU55=100%,1,1+VLOOKUP(($AJ55-$AI55-$AH55-$AG55-$AF55-$AE55*(1+EE$3))/$AJ55,'Технический лист'!$M:$N,2,1)-VLOOKUP($AO55,'Технический лист'!$M:$N,2,1)),1+(1-$AU55))</f>
        <v/>
      </c>
      <c r="EF55" s="172">
        <f>MIN(IF($AU55=100%,1,1+VLOOKUP(($AJ55-$AI55-$AH55-$AG55-$AF55-$AE55*(1+EF$3))/$AJ55,'Технический лист'!$M:$N,2,1)-VLOOKUP($AO55,'Технический лист'!$M:$N,2,1)),1+(1-$AU55))</f>
        <v/>
      </c>
      <c r="EG55" s="172">
        <f>MIN(IF($AU55=100%,1,1+VLOOKUP(($AJ55-$AI55-$AH55-$AG55-$AF55-$AE55*(1+EG$3))/$AJ55,'Технический лист'!$M:$N,2,1)-VLOOKUP($AO55,'Технический лист'!$M:$N,2,1)),1+(1-$AU55))</f>
        <v/>
      </c>
      <c r="EH55" s="172">
        <f>MIN(IF($AU55=100%,1,1+VLOOKUP(($AJ55-$AI55-$AH55-$AG55-$AF55-$AE55*(1+EH$3))/$AJ55,'Технический лист'!$M:$N,2,1)-VLOOKUP($AO55,'Технический лист'!$M:$N,2,1)),1+(1-$AU55))</f>
        <v/>
      </c>
      <c r="EI55" s="172">
        <f>MIN(IF($AU55=100%,1,1+VLOOKUP(($AJ55-$AI55-$AH55-$AG55-$AF55-$AE55*(1+EI$3))/$AJ55,'Технический лист'!$M:$N,2,1)-VLOOKUP($AO55,'Технический лист'!$M:$N,2,1)),1+(1-$AU55))</f>
        <v/>
      </c>
      <c r="EJ55" s="172">
        <f>MIN(IF($AU55=100%,1,1+VLOOKUP(($AJ55-$AI55-$AH55-$AG55-$AF55-$AE55*(1+EJ$3))/$AJ55,'Технический лист'!$M:$N,2,1)-VLOOKUP($AO55,'Технический лист'!$M:$N,2,1)),1+(1-$AU55))</f>
        <v/>
      </c>
      <c r="EK55" s="172">
        <f>MIN(IF($AU55=100%,1,1+VLOOKUP(($AJ55-$AI55-$AH55-$AG55-$AF55-$AE55*(1+EK$3))/$AJ55,'Технический лист'!$M:$N,2,1)-VLOOKUP($AO55,'Технический лист'!$M:$N,2,1)),1+(1-$AU55))</f>
        <v/>
      </c>
      <c r="EL55" s="172">
        <f>MIN(IF($AU55=100%,1,1+VLOOKUP(($AJ55-$AI55-$AH55-$AG55-$AF55-$AE55*(1+EL$3))/$AJ55,'Технический лист'!$M:$N,2,1)-VLOOKUP($AO55,'Технический лист'!$M:$N,2,1)),1+(1-$AU55))</f>
        <v/>
      </c>
      <c r="EM55" s="172">
        <f>MIN(IF($AU55=100%,1,1+VLOOKUP(($AJ55-$AI55-$AH55-$AG55-$AF55-$AE55*(1+EM$3))/$AJ55,'Технический лист'!$M:$N,2,1)-VLOOKUP($AO55,'Технический лист'!$M:$N,2,1)),1+(1-$AU55))</f>
        <v/>
      </c>
      <c r="EN55" s="172">
        <f>MIN(IF($AU55=100%,1,1+VLOOKUP(($AJ55-$AI55-$AH55-$AG55-$AF55-$AE55*(1+EN$3))/$AJ55,'Технический лист'!$M:$N,2,1)-VLOOKUP($AO55,'Технический лист'!$M:$N,2,1)),1+(1-$AU55))</f>
        <v/>
      </c>
      <c r="EO55" s="172">
        <f>MIN(IF($AU55=100%,1,1+VLOOKUP(($AJ55-$AI55-$AH55-$AG55-$AF55-$AE55*(1+EO$3))/$AJ55,'Технический лист'!$M:$N,2,1)-VLOOKUP($AO55,'Технический лист'!$M:$N,2,1)),1+(1-$AU55))</f>
        <v/>
      </c>
      <c r="EP55" s="172">
        <f>MIN(IF($AU55=100%,1,1+VLOOKUP(($AJ55-$AI55-$AH55-$AG55-$AF55-$AE55*(1+EP$3))/$AJ55,'Технический лист'!$M:$N,2,1)-VLOOKUP($AO55,'Технический лист'!$M:$N,2,1)),1+(1-$AU55))</f>
        <v/>
      </c>
      <c r="EQ55" s="172">
        <f>MIN(IF($AU55=100%,1,1+VLOOKUP(($AJ55-$AI55-$AH55-$AG55-$AF55-$AE55*(1+EQ$3))/$AJ55,'Технический лист'!$M:$N,2,1)-VLOOKUP($AO55,'Технический лист'!$M:$N,2,1)),1+(1-$AU55))</f>
        <v/>
      </c>
      <c r="ER55" s="172">
        <f>MIN(IF($AU55=100%,1,1+VLOOKUP(($AJ55-$AI55-$AH55-$AG55-$AF55-$AE55*(1+ER$3))/$AJ55,'Технический лист'!$M:$N,2,1)-VLOOKUP($AO55,'Технический лист'!$M:$N,2,1)),1+(1-$AU55))</f>
        <v/>
      </c>
      <c r="ES55" s="172">
        <f>MIN(IF($AU55=100%,1,1+VLOOKUP(($AJ55-$AI55-$AH55-$AG55-$AF55-$AE55*(1+ES$3))/$AJ55,'Технический лист'!$M:$N,2,1)-VLOOKUP($AO55,'Технический лист'!$M:$N,2,1)),1+(1-$AU55))</f>
        <v/>
      </c>
      <c r="ET55" s="172">
        <f>MIN(IF($AU55=100%,1,1+VLOOKUP(($AJ55-$AI55-$AH55-$AG55-$AF55-$AE55*(1+ET$3))/$AJ55,'Технический лист'!$M:$N,2,1)-VLOOKUP($AO55,'Технический лист'!$M:$N,2,1)),1+(1-$AU55))</f>
        <v/>
      </c>
      <c r="EU55" s="172">
        <f>MIN(IF($AU55=100%,1,1+VLOOKUP(($AJ55-$AI55-$AH55-$AG55-$AF55-$AE55*(1+EU$3))/$AJ55,'Технический лист'!$M:$N,2,1)-VLOOKUP($AO55,'Технический лист'!$M:$N,2,1)),1+(1-$AU55))</f>
        <v/>
      </c>
      <c r="EV55" s="173" t="n">
        <v>1</v>
      </c>
      <c r="EW55" s="172">
        <f>MIN(1,MAX(VLOOKUP(($AJ55-$AI55-$AH55-$AG55-$AF55-$AE55*(1+EW$3))/$AJ55,'Технический лист'!$M:$N,2,1),(EV55-0.05)))</f>
        <v/>
      </c>
      <c r="EX55" s="172">
        <f>MIN(1,MAX(VLOOKUP(($AJ55-$AI55-$AH55-$AG55-$AF55-$AE55*(1+EX$3))/$AJ55,'Технический лист'!$M:$N,2,1),(EW55-0.05)))</f>
        <v/>
      </c>
      <c r="EY55" s="172">
        <f>MIN(1,MAX(VLOOKUP(($AJ55-$AI55-$AH55-$AG55-$AF55-$AE55*(1+EY$3))/$AJ55,'Технический лист'!$M:$N,2,1),(EX55-0.05)))</f>
        <v/>
      </c>
      <c r="EZ55" s="172">
        <f>MIN(1,MAX(VLOOKUP(($AJ55-$AI55-$AH55-$AG55-$AF55-$AE55*(1+EZ$3))/$AJ55,'Технический лист'!$M:$N,2,1),(EY55-0.05)))</f>
        <v/>
      </c>
      <c r="FA55" s="172">
        <f>MIN(1,MAX(VLOOKUP(($AJ55-$AI55-$AH55-$AG55-$AF55-$AE55*(1+FA$3))/$AJ55,'Технический лист'!$M:$N,2,1),(EZ55-0.05)))</f>
        <v/>
      </c>
      <c r="FB55" s="172">
        <f>MIN(1,MAX(VLOOKUP(($AJ55-$AI55-$AH55-$AG55-$AF55-$AE55*(1+FB$3))/$AJ55,'Технический лист'!$M:$N,2,1),(FA55-0.05)))</f>
        <v/>
      </c>
      <c r="FC55" s="172">
        <f>MIN(1,MAX(VLOOKUP(($AJ55-$AI55-$AH55-$AG55-$AF55-$AE55*(1+FC$3))/$AJ55,'Технический лист'!$M:$N,2,1),(FB55-0.05)))</f>
        <v/>
      </c>
      <c r="FD55" s="172">
        <f>MIN(1,MAX(VLOOKUP(($AJ55-$AI55-$AH55-$AG55-$AF55-$AE55*(1+FD$3))/$AJ55,'Технический лист'!$M:$N,2,1),(FC55-0.05)))</f>
        <v/>
      </c>
      <c r="FE55" s="172">
        <f>MIN(1,MAX(VLOOKUP(($AJ55-$AI55-$AH55-$AG55-$AF55-$AE55*(1+FE$3))/$AJ55,'Технический лист'!$M:$N,2,1),(FD55-0.05)))</f>
        <v/>
      </c>
      <c r="FF55" s="172">
        <f>MIN(1,MAX(VLOOKUP(($AJ55-$AI55-$AH55-$AG55-$AF55-$AE55*(1+FF$3))/$AJ55,'Технический лист'!$M:$N,2,1),(FE55-0.05)))</f>
        <v/>
      </c>
      <c r="FG55" s="172">
        <f>MIN(1,MAX(VLOOKUP(($AJ55-$AI55-$AH55-$AG55-$AF55-$AE55*(1+FG$3))/$AJ55,'Технический лист'!$M:$N,2,1),(FF55-0.05)))</f>
        <v/>
      </c>
      <c r="FH55" s="172">
        <f>MIN(1,MAX(VLOOKUP(($AJ55-$AI55-$AH55-$AG55-$AF55-$AE55*(1+FH$3))/$AJ55,'Технический лист'!$M:$N,2,1),(FG55-0.05)))</f>
        <v/>
      </c>
      <c r="FI55" s="172">
        <f>MIN(1,MAX(VLOOKUP(($AJ55-$AI55-$AH55-$AG55-$AF55-$AE55*(1+FI$3))/$AJ55,'Технический лист'!$M:$N,2,1),(FH55-0.05)))</f>
        <v/>
      </c>
      <c r="FJ55" s="172">
        <f>MIN(1,MAX(VLOOKUP(($AJ55-$AI55-$AH55-$AG55-$AF55-$AE55*(1+FJ$3))/$AJ55,'Технический лист'!$M:$N,2,1),(FI55-0.05)))</f>
        <v/>
      </c>
      <c r="FK55" s="172">
        <f>MIN(1,MAX(VLOOKUP(($AJ55-$AI55-$AH55-$AG55-$AF55-$AE55*(1+FK$3))/$AJ55,'Технический лист'!$M:$N,2,1),(FJ55-0.05)))</f>
        <v/>
      </c>
      <c r="FL55" s="172">
        <f>MIN(1,MAX(VLOOKUP(($AJ55-$AI55-$AH55-$AG55-$AF55-$AE55*(1+FL$3))/$AJ55,'Технический лист'!$M:$N,2,1),(FK55-0.05)))</f>
        <v/>
      </c>
      <c r="FM55" s="172">
        <f>MIN(1,MAX(VLOOKUP(($AJ55-$AI55-$AH55-$AG55-$AF55-$AE55*(1+FM$3))/$AJ55,'Технический лист'!$M:$N,2,1),(FL55-0.05)))</f>
        <v/>
      </c>
      <c r="FN55" s="172">
        <f>MIN(1,MAX(VLOOKUP(($AJ55-$AI55-$AH55-$AG55-$AF55-$AE55*(1+FN$3))/$AJ55,'Технический лист'!$M:$N,2,1),(FM55-0.05)))</f>
        <v/>
      </c>
      <c r="FO55" s="172">
        <f>MIN(1,MAX(VLOOKUP(($AJ55-$AI55-$AH55-$AG55-$AF55-$AE55*(1+FO$3))/$AJ55,'Технический лист'!$M:$N,2,1),(FN55-0.05)))</f>
        <v/>
      </c>
      <c r="FP55" s="172">
        <f>MIN(1,MAX(VLOOKUP(($AJ55-$AI55-$AH55-$AG55-$AF55-$AE55*(1+FP$3))/$AJ55,'Технический лист'!$M:$N,2,1),(FO55-0.05)))</f>
        <v/>
      </c>
      <c r="FQ55" s="172">
        <f>MIN(1,MAX(VLOOKUP(($AJ55-$AI55-$AH55-$AG55-$AF55-$AE55*(1+FQ$3))/$AJ55,'Технический лист'!$M:$N,2,1),(FP55-0.05)))</f>
        <v/>
      </c>
      <c r="FR55" s="172">
        <f>MIN(1,MAX(VLOOKUP(($AJ55-$AI55-$AH55-$AG55-$AF55-$AE55*(1+FR$3))/$AJ55,'Технический лист'!$M:$N,2,1),(FQ55-0.05)))</f>
        <v/>
      </c>
      <c r="FS55" s="172">
        <f>MIN(1,MAX(VLOOKUP(($AJ55-$AI55-$AH55-$AG55-$AF55-$AE55*(1+FS$3))/$AJ55,'Технический лист'!$M:$N,2,1),(FR55-0.05)))</f>
        <v/>
      </c>
      <c r="FT55" s="172">
        <f>MIN(1,MAX(VLOOKUP(($AJ55-$AI55-$AH55-$AG55-$AF55-$AE55*(1+FT$3))/$AJ55,'Технический лист'!$M:$N,2,1),(FS55-0.05)))</f>
        <v/>
      </c>
      <c r="FU55" s="172">
        <f>MIN(1,MAX(VLOOKUP(($AJ55-$AI55-$AH55-$AG55-$AF55-$AE55*(1+FU$3))/$AJ55,'Технический лист'!$M:$N,2,1),(FT55-0.05)))</f>
        <v/>
      </c>
      <c r="FV55" s="172">
        <f>MIN(1,MAX(VLOOKUP(($AJ55-$AI55-$AH55-$AG55-$AF55-$AE55*(1+FV$3))/$AJ55,'Технический лист'!$M:$N,2,1),(FU55-0.05)))</f>
        <v/>
      </c>
      <c r="FW55" s="172">
        <f>MIN(1,MAX(VLOOKUP(($AJ55-$AI55-$AH55-$AG55-$AF55-$AE55*(1+FW$3))/$AJ55,'Технический лист'!$M:$N,2,1),(FV55-0.05)))</f>
        <v/>
      </c>
      <c r="FX55" s="172">
        <f>MIN(1,MAX(VLOOKUP(($AJ55-$AI55-$AH55-$AG55-$AF55-$AE55*(1+FX$3))/$AJ55,'Технический лист'!$M:$N,2,1),(FW55-0.05)))</f>
        <v/>
      </c>
      <c r="FY55" s="172">
        <f>MIN(1,MAX(VLOOKUP(($AJ55-$AI55-$AH55-$AG55-$AF55-$AE55*(1+FY$3))/$AJ55,'Технический лист'!$M:$N,2,1),(FX55-0.05)))</f>
        <v/>
      </c>
      <c r="FZ55" s="172">
        <f>MIN(1,MAX(VLOOKUP(($AJ55-$AI55-$AH55-$AG55-$AF55-$AE55*(1+FZ$3))/$AJ55,'Технический лист'!$M:$N,2,1),(FY55-0.05)))</f>
        <v/>
      </c>
      <c r="GA55" s="172">
        <f>MIN(1,MAX(VLOOKUP(($AJ55-$AI55-$AH55-$AG55-$AF55-$AE55*(1+GA$3))/$AJ55,'Технический лист'!$M:$N,2,1),(FZ55-0.05)))</f>
        <v/>
      </c>
      <c r="GB55" s="172">
        <f>MIN(1,MAX(VLOOKUP(($AJ55-$AI55-$AH55-$AG55-$AF55-$AE55*(1+GB$3))/$AJ55,'Технический лист'!$M:$N,2,1),(GA55-0.05)))</f>
        <v/>
      </c>
      <c r="GC55" s="172">
        <f>MIN(1,MAX(VLOOKUP(($AJ55-$AI55-$AH55-$AG55-$AF55-$AE55*(1+GC$3))/$AJ55,'Технический лист'!$M:$N,2,1),(GB55-0.05)))</f>
        <v/>
      </c>
      <c r="GD55" s="172">
        <f>MIN(1,MAX(VLOOKUP(($AJ55-$AI55-$AH55-$AG55-$AF55-$AE55*(1+GD$3))/$AJ55,'Технический лист'!$M:$N,2,1),(GC55-0.05)))</f>
        <v/>
      </c>
      <c r="GE55" s="172">
        <f>MIN(1,MAX(VLOOKUP(($AJ55-$AI55-$AH55-$AG55-$AF55-$AE55*(1+GE$3))/$AJ55,'Технический лист'!$M:$N,2,1),(GD55-0.05)))</f>
        <v/>
      </c>
      <c r="GF55" s="172">
        <f>MIN(1,MAX(VLOOKUP(($AJ55-$AI55-$AH55-$AG55-$AF55-$AE55*(1+GF$3))/$AJ55,'Технический лист'!$M:$N,2,1),(GE55-0.05)))</f>
        <v/>
      </c>
      <c r="GG55" s="172">
        <f>MIN(1,MAX(VLOOKUP(($AJ55-$AI55-$AH55-$AG55-$AF55-$AE55*(1+GG$3))/$AJ55,'Технический лист'!$M:$N,2,1),(GF55-0.05)))</f>
        <v/>
      </c>
      <c r="GH55" s="172">
        <f>MIN(1,MAX(VLOOKUP(($AJ55-$AI55-$AH55-$AG55-$AF55-$AE55*(1+GH$3))/$AJ55,'Технический лист'!$M:$N,2,1),(GG55-0.05)))</f>
        <v/>
      </c>
      <c r="GI55" s="172">
        <f>MIN(1,MAX(VLOOKUP(($AJ55-$AI55-$AH55-$AG55-$AF55-$AE55*(1+GI$3))/$AJ55,'Технический лист'!$M:$N,2,1),(GH55-0.05)))</f>
        <v/>
      </c>
      <c r="GJ55" s="172">
        <f>MIN(1,MAX(VLOOKUP(($AJ55-$AI55-$AH55-$AG55-$AF55-$AE55*(1+GJ$3))/$AJ55,'Технический лист'!$M:$N,2,1),(GI55-0.05)))</f>
        <v/>
      </c>
      <c r="GK55" s="172">
        <f>MIN(1,MAX(VLOOKUP(($AJ55-$AI55-$AH55-$AG55-$AF55-$AE55*(1+GK$3))/$AJ55,'Технический лист'!$M:$N,2,1),(GJ55-0.05)))</f>
        <v/>
      </c>
      <c r="GL55" s="172">
        <f>MIN(1,MAX(VLOOKUP(($AJ55-$AI55-$AH55-$AG55-$AF55-$AE55*(1+GL$3))/$AJ55,'Технический лист'!$M:$N,2,1),(GK55-0.05)))</f>
        <v/>
      </c>
      <c r="GM55" s="172">
        <f>MIN(1,MAX(VLOOKUP(($AJ55-$AI55-$AH55-$AG55-$AF55-$AE55*(1+GM$3))/$AJ55,'Технический лист'!$M:$N,2,1),(GL55-0.05)))</f>
        <v/>
      </c>
      <c r="GN55" s="172">
        <f>MIN(1,MAX(VLOOKUP(($AJ55-$AI55-$AH55-$AG55-$AF55-$AE55*(1+GN$3))/$AJ55,'Технический лист'!$M:$N,2,1),(GM55-0.05)))</f>
        <v/>
      </c>
      <c r="GO55" s="172">
        <f>MIN(1,MAX(VLOOKUP(($AJ55-$AI55-$AH55-$AG55-$AF55-$AE55*(1+GO$3))/$AJ55,'Технический лист'!$M:$N,2,1),(GN55-0.05)))</f>
        <v/>
      </c>
      <c r="GP55" s="172">
        <f>MIN(1,MAX(VLOOKUP(($AJ55-$AI55-$AH55-$AG55-$AF55-$AE55*(1+GP$3))/$AJ55,'Технический лист'!$M:$N,2,1),(GO55-0.05)))</f>
        <v/>
      </c>
      <c r="GQ55" s="172">
        <f>MIN(1,MAX(VLOOKUP(($AJ55-$AI55-$AH55-$AG55-$AF55-$AE55*(1+GQ$3))/$AJ55,'Технический лист'!$M:$N,2,1),(GP55-0.05)))</f>
        <v/>
      </c>
      <c r="GR55" s="172">
        <f>MIN(1,MAX(VLOOKUP(($AJ55-$AI55-$AH55-$AG55-$AF55-$AE55*(1+GR$3))/$AJ55,'Технический лист'!$M:$N,2,1),(GQ55-0.05)))</f>
        <v/>
      </c>
      <c r="GS55" s="172">
        <f>MIN(1,MAX(VLOOKUP(($AJ55-$AI55-$AH55-$AG55-$AF55-$AE55*(1+GS$3))/$AJ55,'Технический лист'!$M:$N,2,1),(GR55-0.05)))</f>
        <v/>
      </c>
      <c r="GT55" s="172">
        <f>MIN(1,MAX(VLOOKUP(($AJ55-$AI55-$AH55-$AG55-$AF55-$AE55*(1+GT$3))/$AJ55,'Технический лист'!$M:$N,2,1),(GS55-0.05)))</f>
        <v/>
      </c>
      <c r="GU55" s="172">
        <f>MIN(1,MAX(VLOOKUP(($AJ55-$AI55-$AH55-$AG55-$AF55-$AE55*(1+GU$3))/$AJ55,'Технический лист'!$M:$N,2,1),(GT55-0.05)))</f>
        <v/>
      </c>
      <c r="GV55" s="172">
        <f>MIN(1,MAX(VLOOKUP(($AJ55-$AI55-$AH55-$AG55-$AF55-$AE55*(1+GV$3))/$AJ55,'Технический лист'!$M:$N,2,1),(GU55-0.05)))</f>
        <v/>
      </c>
      <c r="GW55" s="172">
        <f>MIN(1,MAX(VLOOKUP(($AJ55-$AI55-$AH55-$AG55-$AF55-$AE55*(1+GW$3))/$AJ55,'Технический лист'!$M:$N,2,1),(GV55-0.05)))</f>
        <v/>
      </c>
      <c r="GX55" s="172">
        <f>MIN(1,MAX(VLOOKUP(($AJ55-$AI55-$AH55-$AG55-$AF55-$AE55*(1+GX$3))/$AJ55,'Технический лист'!$M:$N,2,1),(GW55-0.05)))</f>
        <v/>
      </c>
      <c r="GY55" s="172">
        <f>MIN(1,MAX(VLOOKUP(($AJ55-$AI55-$AH55-$AG55-$AF55-$AE55*(1+GY$3))/$AJ55,'Технический лист'!$M:$N,2,1),(GX55-0.05)))</f>
        <v/>
      </c>
      <c r="GZ55" s="172">
        <f>MIN(1,MAX(VLOOKUP(($AJ55-$AI55-$AH55-$AG55-$AF55-$AE55*(1+GZ$3))/$AJ55,'Технический лист'!$M:$N,2,1),(GY55-0.05)))</f>
        <v/>
      </c>
      <c r="HA55" s="172">
        <f>MIN(1,MAX(VLOOKUP(($AJ55-$AI55-$AH55-$AG55-$AF55-$AE55*(1+HA$3))/$AJ55,'Технический лист'!$M:$N,2,1),(GZ55-0.05)))</f>
        <v/>
      </c>
      <c r="HB55" s="172">
        <f>MIN(1,MAX(VLOOKUP(($AJ55-$AI55-$AH55-$AG55-$AF55-$AE55*(1+HB$3))/$AJ55,'Технический лист'!$M:$N,2,1),(HA55-0.05)))</f>
        <v/>
      </c>
      <c r="HC55" s="172">
        <f>MIN(1,MAX(VLOOKUP(($AJ55-$AI55-$AH55-$AG55-$AF55-$AE55*(1+HC$3))/$AJ55,'Технический лист'!$M:$N,2,1),(HB55-0.05)))</f>
        <v/>
      </c>
      <c r="HD55" s="172">
        <f>MIN(1,MAX(VLOOKUP(($AJ55-$AI55-$AH55-$AG55-$AF55-$AE55*(1+HD$3))/$AJ55,'Технический лист'!$M:$N,2,1),(HC55-0.05)))</f>
        <v/>
      </c>
      <c r="HE55" s="172">
        <f>MIN(1,MAX(VLOOKUP(($AJ55-$AI55-$AH55-$AG55-$AF55-$AE55*(1+HE$3))/$AJ55,'Технический лист'!$M:$N,2,1),(HD55-0.05)))</f>
        <v/>
      </c>
      <c r="HF55" s="172">
        <f>MIN(1,MAX(VLOOKUP(($AJ55-$AI55-$AH55-$AG55-$AF55-$AE55*(1+HF$3))/$AJ55,'Технический лист'!$M:$N,2,1),(HE55-0.05)))</f>
        <v/>
      </c>
      <c r="HG55" s="172">
        <f>MIN(1,MAX(VLOOKUP(($AJ55-$AI55-$AH55-$AG55-$AF55-$AE55*(1+HG$3))/$AJ55,'Технический лист'!$M:$N,2,1),(HF55-0.05)))</f>
        <v/>
      </c>
      <c r="HH55" s="172">
        <f>MIN(1,MAX(VLOOKUP(($AJ55-$AI55-$AH55-$AG55-$AF55-$AE55*(1+HH$3))/$AJ55,'Технический лист'!$M:$N,2,1),(HG55-0.05)))</f>
        <v/>
      </c>
      <c r="HI55" s="172">
        <f>MIN(1,MAX(VLOOKUP(($AJ55-$AI55-$AH55-$AG55-$AF55-$AE55*(1+HI$3))/$AJ55,'Технический лист'!$M:$N,2,1),(HH55-0.05)))</f>
        <v/>
      </c>
      <c r="HJ55" s="172">
        <f>MIN(1,MAX(VLOOKUP(($AJ55-$AI55-$AH55-$AG55-$AF55-$AE55*(1+HJ$3))/$AJ55,'Технический лист'!$M:$N,2,1),(HI55-0.05)))</f>
        <v/>
      </c>
      <c r="HK55" s="172">
        <f>MIN(1,MAX(VLOOKUP(($AJ55-$AI55-$AH55-$AG55-$AF55-$AE55*(1+HK$3))/$AJ55,'Технический лист'!$M:$N,2,1),(HJ55-0.05)))</f>
        <v/>
      </c>
      <c r="HL55" s="172">
        <f>MIN(1,MAX(VLOOKUP(($AJ55-$AI55-$AH55-$AG55-$AF55-$AE55*(1+HL$3))/$AJ55,'Технический лист'!$M:$N,2,1),(HK55-0.05)))</f>
        <v/>
      </c>
      <c r="HM55" s="172">
        <f>MIN(1,MAX(VLOOKUP(($AJ55-$AI55-$AH55-$AG55-$AF55-$AE55*(1+HM$3))/$AJ55,'Технический лист'!$M:$N,2,1),(HL55-0.05)))</f>
        <v/>
      </c>
      <c r="HN55" s="172">
        <f>MIN(1,MAX(VLOOKUP(($AJ55-$AI55-$AH55-$AG55-$AF55-$AE55*(1+HN$3))/$AJ55,'Технический лист'!$M:$N,2,1),(HM55-0.05)))</f>
        <v/>
      </c>
      <c r="HO55" s="172">
        <f>MIN(1,MAX(VLOOKUP(($AJ55-$AI55-$AH55-$AG55-$AF55-$AE55*(1+HO$3))/$AJ55,'Технический лист'!$M:$N,2,1),(HN55-0.05)))</f>
        <v/>
      </c>
      <c r="HP55" s="172">
        <f>MIN(1,MAX(VLOOKUP(($AJ55-$AI55-$AH55-$AG55-$AF55-$AE55*(1+HP$3))/$AJ55,'Технический лист'!$M:$N,2,1),(HO55-0.05)))</f>
        <v/>
      </c>
      <c r="HQ55" s="172">
        <f>MIN(1,MAX(VLOOKUP(($AJ55-$AI55-$AH55-$AG55-$AF55-$AE55*(1+HQ$3))/$AJ55,'Технический лист'!$M:$N,2,1),(HP55-0.05)))</f>
        <v/>
      </c>
      <c r="HR55" s="172">
        <f>MIN(1,MAX(VLOOKUP(($AJ55-$AI55-$AH55-$AG55-$AF55-$AE55*(1+HR$3))/$AJ55,'Технический лист'!$M:$N,2,1),(HQ55-0.05)))</f>
        <v/>
      </c>
      <c r="HS55" s="172">
        <f>MIN(1,MAX(VLOOKUP(($AJ55-$AI55-$AH55-$AG55-$AF55-$AE55*(1+HS$3))/$AJ55,'Технический лист'!$M:$N,2,1),(HR55-0.05)))</f>
        <v/>
      </c>
      <c r="HT55" s="172">
        <f>MIN(1,MAX(VLOOKUP(($AJ55-$AI55-$AH55-$AG55-$AF55-$AE55*(1+HT$3))/$AJ55,'Технический лист'!$M:$N,2,1),(HS55-0.05)))</f>
        <v/>
      </c>
      <c r="HU55" s="172">
        <f>MIN(1,MAX(VLOOKUP(($AJ55-$AI55-$AH55-$AG55-$AF55-$AE55*(1+HU$3))/$AJ55,'Технический лист'!$M:$N,2,1),(HT55-0.05)))</f>
        <v/>
      </c>
      <c r="HV55" s="172">
        <f>MIN(1,MAX(VLOOKUP(($AJ55-$AI55-$AH55-$AG55-$AF55-$AE55*(1+HV$3))/$AJ55,'Технический лист'!$M:$N,2,1),(HU55-0.05)))</f>
        <v/>
      </c>
      <c r="HW55" s="172">
        <f>MIN(1,MAX(VLOOKUP(($AJ55-$AI55-$AH55-$AG55-$AF55-$AE55*(1+HW$3))/$AJ55,'Технический лист'!$M:$N,2,1),(HV55-0.05)))</f>
        <v/>
      </c>
      <c r="HX55" s="172">
        <f>MIN(1,MAX(VLOOKUP(($AJ55-$AI55-$AH55-$AG55-$AF55-$AE55*(1+HX$3))/$AJ55,'Технический лист'!$M:$N,2,1),(HW55-0.05)))</f>
        <v/>
      </c>
      <c r="HY55" s="172">
        <f>MIN(1,MAX(VLOOKUP(($AJ55-$AI55-$AH55-$AG55-$AF55-$AE55*(1+HY$3))/$AJ55,'Технический лист'!$M:$N,2,1),(HX55-0.05)))</f>
        <v/>
      </c>
      <c r="HZ55" s="172">
        <f>MIN(1,MAX(VLOOKUP(($AJ55-$AI55-$AH55-$AG55-$AF55-$AE55*(1+HZ$3))/$AJ55,'Технический лист'!$M:$N,2,1),(HY55-0.05)))</f>
        <v/>
      </c>
      <c r="IA55" s="172">
        <f>MIN(1,MAX(VLOOKUP(($AJ55-$AI55-$AH55-$AG55-$AF55-$AE55*(1+IA$3))/$AJ55,'Технический лист'!$M:$N,2,1),(HZ55-0.05)))</f>
        <v/>
      </c>
      <c r="IB55" s="172">
        <f>MIN(1,MAX(VLOOKUP(($AJ55-$AI55-$AH55-$AG55-$AF55-$AE55*(1+IB$3))/$AJ55,'Технический лист'!$M:$N,2,1),(IA55-0.05)))</f>
        <v/>
      </c>
      <c r="IC55" s="172">
        <f>MIN(1,MAX(VLOOKUP(($AJ55-$AI55-$AH55-$AG55-$AF55-$AE55*(1+IC$3))/$AJ55,'Технический лист'!$M:$N,2,1),(IB55-0.05)))</f>
        <v/>
      </c>
      <c r="ID55" s="172">
        <f>MIN(1,MAX(VLOOKUP(($AJ55-$AI55-$AH55-$AG55-$AF55-$AE55*(1+ID$3))/$AJ55,'Технический лист'!$M:$N,2,1),(IC55-0.05)))</f>
        <v/>
      </c>
      <c r="IE55" s="172">
        <f>MIN(1,MAX(VLOOKUP(($AJ55-$AI55-$AH55-$AG55-$AF55-$AE55*(1+IE$3))/$AJ55,'Технический лист'!$M:$N,2,1),(ID55-0.05)))</f>
        <v/>
      </c>
      <c r="IF55" s="172">
        <f>MIN(1,MAX(VLOOKUP(($AJ55-$AI55-$AH55-$AG55-$AF55-$AE55*(1+IF$3))/$AJ55,'Технический лист'!$M:$N,2,1),(IE55-0.05)))</f>
        <v/>
      </c>
      <c r="IG55" s="172">
        <f>MIN(1,MAX(VLOOKUP(($AJ55-$AI55-$AH55-$AG55-$AF55-$AE55*(1+IG$3))/$AJ55,'Технический лист'!$M:$N,2,1),(IF55-0.05)))</f>
        <v/>
      </c>
      <c r="IH55" s="172">
        <f>MIN(1,MAX(VLOOKUP(($AJ55-$AI55-$AH55-$AG55-$AF55-$AE55*(1+IH$3))/$AJ55,'Технический лист'!$M:$N,2,1),(IG55-0.05)))</f>
        <v/>
      </c>
      <c r="II55" s="172">
        <f>MIN(1,MAX(VLOOKUP(($AJ55-$AI55-$AH55-$AG55-$AF55-$AE55*(1+II$3))/$AJ55,'Технический лист'!$M:$N,2,1),(IH55-0.05)))</f>
        <v/>
      </c>
      <c r="IJ55" s="172">
        <f>MIN(1,MAX(VLOOKUP(($AJ55-$AI55-$AH55-$AG55-$AF55-$AE55*(1+IJ$3))/$AJ55,'Технический лист'!$M:$N,2,1),(II55-0.05)))</f>
        <v/>
      </c>
      <c r="IK55" s="172">
        <f>MIN(1,MAX(VLOOKUP(($AJ55-$AI55-$AH55-$AG55-$AF55-$AE55*(1+IK$3))/$AJ55,'Технический лист'!$M:$N,2,1),(IJ55-0.05)))</f>
        <v/>
      </c>
      <c r="IL55" s="172">
        <f>MIN(1,MAX(VLOOKUP(($AJ55-$AI55-$AH55-$AG55-$AF55-$AE55*(1+IL$3))/$AJ55,'Технический лист'!$M:$N,2,1),(IK55-0.05)))</f>
        <v/>
      </c>
      <c r="IM55" s="172">
        <f>MIN(1,MAX(VLOOKUP(($AJ55-$AI55-$AH55-$AG55-$AF55-$AE55*(1+IM$3))/$AJ55,'Технический лист'!$M:$N,2,1),(IL55-0.05)))</f>
        <v/>
      </c>
      <c r="IN55" s="172">
        <f>MIN(1,MAX(VLOOKUP(($AJ55-$AI55-$AH55-$AG55-$AF55-$AE55*(1+IN$3))/$AJ55,'Технический лист'!$M:$N,2,1),(IM55-0.05)))</f>
        <v/>
      </c>
      <c r="IO55" s="172">
        <f>MIN(1,MAX(VLOOKUP(($AJ55-$AI55-$AH55-$AG55-$AF55-$AE55*(1+IO$3))/$AJ55,'Технический лист'!$M:$N,2,1),(IN55-0.05)))</f>
        <v/>
      </c>
      <c r="IP55" s="172">
        <f>MIN(1,MAX(VLOOKUP(($AJ55-$AI55-$AH55-$AG55-$AF55-$AE55*(1+IP$3))/$AJ55,'Технический лист'!$M:$N,2,1),(IO55-0.05)))</f>
        <v/>
      </c>
      <c r="IQ55" s="172">
        <f>MIN(1,MAX(VLOOKUP(($AJ55-$AI55-$AH55-$AG55-$AF55-$AE55*(1+IQ$3))/$AJ55,'Технический лист'!$M:$N,2,1),(IP55-0.05)))</f>
        <v/>
      </c>
      <c r="IR55" s="172">
        <f>MIN(1,MAX(VLOOKUP(($AJ55-$AI55-$AH55-$AG55-$AF55-$AE55*(1+IR$3))/$AJ55,'Технический лист'!$M:$N,2,1),(IQ55-0.05)))</f>
        <v/>
      </c>
    </row>
    <row r="56" ht="43.75" customHeight="1" s="123">
      <c r="A56" s="89" t="inlineStr">
        <is>
          <t>ЧМ (сырье)</t>
        </is>
      </c>
      <c r="B56" s="90" t="n">
        <v>4</v>
      </c>
      <c r="C56" s="5" t="inlineStr">
        <is>
          <t>Руды  всякие</t>
        </is>
      </c>
      <c r="D56" s="91" t="n">
        <v>14116</v>
      </c>
      <c r="E56" s="91" t="inlineStr">
        <is>
          <t xml:space="preserve">Руда железная, не поименованная в алфавите </t>
        </is>
      </c>
      <c r="F56" s="92" t="inlineStr">
        <is>
          <t>РУДЫ И КОНЦЕНТРАТЫ ЖЕЛЕЗН</t>
        </is>
      </c>
      <c r="G56" s="91" t="inlineStr">
        <is>
          <t>ВСБ</t>
        </is>
      </c>
      <c r="H56" s="91" t="inlineStr">
        <is>
          <t>ВСБ</t>
        </is>
      </c>
      <c r="I56" s="91" t="inlineStr">
        <is>
          <t>РУДНОГОРСК</t>
        </is>
      </c>
      <c r="J56" s="91" t="inlineStr">
        <is>
          <t>КОРШУНИХА-АН</t>
        </is>
      </c>
      <c r="K56" s="91" t="n">
        <v>114</v>
      </c>
      <c r="L56" s="91" t="inlineStr">
        <is>
          <t>Прочие</t>
        </is>
      </c>
      <c r="M56" s="91" t="inlineStr">
        <is>
          <t>Внутр. перевозки</t>
        </is>
      </c>
      <c r="N56" s="91" t="inlineStr">
        <is>
          <t>вагонная</t>
        </is>
      </c>
      <c r="O56" s="91" t="inlineStr">
        <is>
          <t xml:space="preserve">Восточное </t>
        </is>
      </c>
      <c r="P56" s="89" t="inlineStr">
        <is>
          <t>'000000186720</t>
        </is>
      </c>
      <c r="Q56" s="91" t="inlineStr">
        <is>
          <t>'ПАО "Коршуновский ГОК"</t>
        </is>
      </c>
      <c r="R56" s="91" t="inlineStr">
        <is>
          <t>ПАО "Мечел"</t>
        </is>
      </c>
      <c r="S56" s="87" t="n">
        <v>2929269</v>
      </c>
      <c r="T56" s="87" t="n">
        <v>333936666</v>
      </c>
      <c r="U56" s="88" t="n">
        <v>48769</v>
      </c>
      <c r="V56" s="88" t="n">
        <v>0</v>
      </c>
      <c r="W56" s="87" t="n">
        <v>810364518</v>
      </c>
      <c r="X56" s="112" t="n">
        <v>59</v>
      </c>
      <c r="Y56" s="112" t="inlineStr">
        <is>
          <t>групповая</t>
        </is>
      </c>
      <c r="Z56" s="113" t="n">
        <v>4</v>
      </c>
      <c r="AA56" s="113" t="n">
        <v>4</v>
      </c>
      <c r="AB56" s="113" t="n">
        <v>4</v>
      </c>
      <c r="AC56" s="161" t="n">
        <v>315.92</v>
      </c>
      <c r="AD56" s="161">
        <f>AE56-AC56</f>
        <v/>
      </c>
      <c r="AE56" s="161" t="n">
        <v>385.68</v>
      </c>
      <c r="AF56" s="162">
        <f>(AB56+AA56+Z56)*'Ставки аренды'!B9/X56</f>
        <v/>
      </c>
      <c r="AG56" s="163" t="n">
        <v>0</v>
      </c>
      <c r="AH56" s="164" t="n">
        <v>0</v>
      </c>
      <c r="AI56" s="165">
        <f>11375575/13225688*AJ56</f>
        <v/>
      </c>
      <c r="AJ56" s="166">
        <f>Цены!D22</f>
        <v/>
      </c>
      <c r="AK56" s="164">
        <f>AJ56/Цены!$B$1</f>
        <v/>
      </c>
      <c r="AL56" s="164">
        <f>AE56+AF56+AG56</f>
        <v/>
      </c>
      <c r="AM56" s="164">
        <f>AJ56-AL56</f>
        <v/>
      </c>
      <c r="AN56" s="164">
        <f>AI56+AH56+AG56+AF56+AE56</f>
        <v/>
      </c>
      <c r="AO56" s="167">
        <f>(AJ56-AN56)/AJ56</f>
        <v/>
      </c>
      <c r="AP56" s="168">
        <f>AL56/AJ56</f>
        <v/>
      </c>
      <c r="AQ56" s="168">
        <f>AE56/AJ56</f>
        <v/>
      </c>
      <c r="AR56" s="168">
        <f>AE56/AL56</f>
        <v/>
      </c>
      <c r="AS56" s="169" t="n">
        <v>1</v>
      </c>
      <c r="AT56" s="121">
        <f>S56*AS56</f>
        <v/>
      </c>
      <c r="AU56" s="7" t="inlineStr">
        <is>
          <t>Внутренняя логистика</t>
        </is>
      </c>
      <c r="AV56" s="170">
        <f>(AJ56-(AE56*(1+$IS$2)+AF56+AG56+AH56+AI56))/AJ56</f>
        <v/>
      </c>
      <c r="AW56" s="171">
        <f>(AE56*(1+$IS$2)+AF56+AG56)/AJ56</f>
        <v/>
      </c>
      <c r="AX56" s="171">
        <f>(AE56*(1+$IS$2))/AJ56</f>
        <v/>
      </c>
      <c r="AY56" s="171">
        <f>(AE56*(1+$IS$2))/(AE56*(1+$IS$2)+AF56+AG56)</f>
        <v/>
      </c>
      <c r="AZ56" s="172" t="n">
        <v>1</v>
      </c>
      <c r="BA56" s="172" t="n">
        <v>1</v>
      </c>
      <c r="BB56" s="172" t="n">
        <v>1</v>
      </c>
      <c r="BC56" s="172" t="n">
        <v>1</v>
      </c>
      <c r="BD56" s="172" t="n">
        <v>1</v>
      </c>
      <c r="BE56" s="172" t="n">
        <v>1</v>
      </c>
      <c r="BF56" s="172" t="n">
        <v>1</v>
      </c>
      <c r="BG56" s="172" t="n">
        <v>1</v>
      </c>
      <c r="BH56" s="172" t="n">
        <v>1</v>
      </c>
      <c r="BI56" s="172" t="n">
        <v>1</v>
      </c>
      <c r="BJ56" s="172" t="n">
        <v>1</v>
      </c>
      <c r="BK56" s="172" t="n">
        <v>1</v>
      </c>
      <c r="BL56" s="172" t="n">
        <v>1</v>
      </c>
      <c r="BM56" s="172" t="n">
        <v>1</v>
      </c>
      <c r="BN56" s="172" t="n">
        <v>1</v>
      </c>
      <c r="BO56" s="172" t="n">
        <v>1</v>
      </c>
      <c r="BP56" s="172" t="n">
        <v>1</v>
      </c>
      <c r="BQ56" s="172" t="n">
        <v>1</v>
      </c>
      <c r="BR56" s="172" t="n">
        <v>1</v>
      </c>
      <c r="BS56" s="172" t="n">
        <v>1</v>
      </c>
      <c r="BT56" s="172" t="n">
        <v>1</v>
      </c>
      <c r="BU56" s="172" t="n">
        <v>1</v>
      </c>
      <c r="BV56" s="172" t="n">
        <v>1</v>
      </c>
      <c r="BW56" s="172" t="n">
        <v>1</v>
      </c>
      <c r="BX56" s="172" t="n">
        <v>1</v>
      </c>
      <c r="BY56" s="172" t="n">
        <v>1</v>
      </c>
      <c r="BZ56" s="172" t="n">
        <v>1</v>
      </c>
      <c r="CA56" s="172" t="n">
        <v>1</v>
      </c>
      <c r="CB56" s="172" t="n">
        <v>1</v>
      </c>
      <c r="CC56" s="172" t="n">
        <v>1</v>
      </c>
      <c r="CD56" s="172" t="n">
        <v>1</v>
      </c>
      <c r="CE56" s="172" t="n">
        <v>1</v>
      </c>
      <c r="CF56" s="172" t="n">
        <v>1</v>
      </c>
      <c r="CG56" s="172" t="n">
        <v>1</v>
      </c>
      <c r="CH56" s="172" t="n">
        <v>1</v>
      </c>
      <c r="CI56" s="172" t="n">
        <v>1</v>
      </c>
      <c r="CJ56" s="172" t="n">
        <v>1</v>
      </c>
      <c r="CK56" s="172" t="n">
        <v>1</v>
      </c>
      <c r="CL56" s="172" t="n">
        <v>1</v>
      </c>
      <c r="CM56" s="172" t="n">
        <v>1</v>
      </c>
      <c r="CN56" s="172" t="n">
        <v>1</v>
      </c>
      <c r="CO56" s="172" t="n">
        <v>1</v>
      </c>
      <c r="CP56" s="172" t="n">
        <v>1</v>
      </c>
      <c r="CQ56" s="172" t="n">
        <v>1</v>
      </c>
      <c r="CR56" s="172" t="n">
        <v>1</v>
      </c>
      <c r="CS56" s="172" t="n">
        <v>1</v>
      </c>
      <c r="CT56" s="172" t="n">
        <v>1</v>
      </c>
      <c r="CU56" s="172" t="n">
        <v>1</v>
      </c>
      <c r="CV56" s="172" t="n">
        <v>1</v>
      </c>
      <c r="CW56" s="172" t="n">
        <v>1</v>
      </c>
      <c r="CX56" s="172" t="n">
        <v>1</v>
      </c>
      <c r="CY56" s="172" t="n">
        <v>1</v>
      </c>
      <c r="CZ56" s="172" t="n">
        <v>1</v>
      </c>
      <c r="DA56" s="172" t="n">
        <v>1</v>
      </c>
      <c r="DB56" s="172" t="n">
        <v>1</v>
      </c>
      <c r="DC56" s="172" t="n">
        <v>1</v>
      </c>
      <c r="DD56" s="172" t="n">
        <v>1</v>
      </c>
      <c r="DE56" s="172" t="n">
        <v>1</v>
      </c>
      <c r="DF56" s="172" t="n">
        <v>1</v>
      </c>
      <c r="DG56" s="172" t="n">
        <v>1</v>
      </c>
      <c r="DH56" s="172" t="n">
        <v>1</v>
      </c>
      <c r="DI56" s="172" t="n">
        <v>1</v>
      </c>
      <c r="DJ56" s="172" t="n">
        <v>1</v>
      </c>
      <c r="DK56" s="172" t="n">
        <v>1</v>
      </c>
      <c r="DL56" s="172" t="n">
        <v>1</v>
      </c>
      <c r="DM56" s="172" t="n">
        <v>1</v>
      </c>
      <c r="DN56" s="172" t="n">
        <v>1</v>
      </c>
      <c r="DO56" s="172" t="n">
        <v>1</v>
      </c>
      <c r="DP56" s="172" t="n">
        <v>1</v>
      </c>
      <c r="DQ56" s="172" t="n">
        <v>1</v>
      </c>
      <c r="DR56" s="172" t="n">
        <v>1</v>
      </c>
      <c r="DS56" s="172" t="n">
        <v>1</v>
      </c>
      <c r="DT56" s="172" t="n">
        <v>1</v>
      </c>
      <c r="DU56" s="172" t="n">
        <v>1</v>
      </c>
      <c r="DV56" s="172" t="n">
        <v>1</v>
      </c>
      <c r="DW56" s="172" t="n">
        <v>1</v>
      </c>
      <c r="DX56" s="172" t="n">
        <v>1</v>
      </c>
      <c r="DY56" s="172" t="n">
        <v>1</v>
      </c>
      <c r="DZ56" s="172" t="n">
        <v>1</v>
      </c>
      <c r="EA56" s="172" t="n">
        <v>1</v>
      </c>
      <c r="EB56" s="172" t="n">
        <v>1</v>
      </c>
      <c r="EC56" s="172" t="n">
        <v>1</v>
      </c>
      <c r="ED56" s="172" t="n">
        <v>1</v>
      </c>
      <c r="EE56" s="172" t="n">
        <v>1</v>
      </c>
      <c r="EF56" s="172" t="n">
        <v>1</v>
      </c>
      <c r="EG56" s="172" t="n">
        <v>1</v>
      </c>
      <c r="EH56" s="172" t="n">
        <v>1</v>
      </c>
      <c r="EI56" s="172" t="n">
        <v>1</v>
      </c>
      <c r="EJ56" s="172" t="n">
        <v>1</v>
      </c>
      <c r="EK56" s="172" t="n">
        <v>1</v>
      </c>
      <c r="EL56" s="172" t="n">
        <v>1</v>
      </c>
      <c r="EM56" s="172" t="n">
        <v>1</v>
      </c>
      <c r="EN56" s="172" t="n">
        <v>1</v>
      </c>
      <c r="EO56" s="172" t="n">
        <v>1</v>
      </c>
      <c r="EP56" s="172" t="n">
        <v>1</v>
      </c>
      <c r="EQ56" s="172" t="n">
        <v>1</v>
      </c>
      <c r="ER56" s="172" t="n">
        <v>1</v>
      </c>
      <c r="ES56" s="172" t="n">
        <v>1</v>
      </c>
      <c r="ET56" s="172" t="n">
        <v>1</v>
      </c>
      <c r="EU56" s="172" t="n">
        <v>1</v>
      </c>
      <c r="EV56" s="173" t="n">
        <v>1</v>
      </c>
      <c r="EW56" s="172" t="n">
        <v>1</v>
      </c>
      <c r="EX56" s="172" t="n">
        <v>1</v>
      </c>
      <c r="EY56" s="172" t="n">
        <v>1</v>
      </c>
      <c r="EZ56" s="172" t="n">
        <v>1</v>
      </c>
      <c r="FA56" s="172" t="n">
        <v>1</v>
      </c>
      <c r="FB56" s="172" t="n">
        <v>1</v>
      </c>
      <c r="FC56" s="172" t="n">
        <v>1</v>
      </c>
      <c r="FD56" s="172" t="n">
        <v>1</v>
      </c>
      <c r="FE56" s="172" t="n">
        <v>1</v>
      </c>
      <c r="FF56" s="172" t="n">
        <v>1</v>
      </c>
      <c r="FG56" s="172" t="n">
        <v>1</v>
      </c>
      <c r="FH56" s="172" t="n">
        <v>1</v>
      </c>
      <c r="FI56" s="172" t="n">
        <v>1</v>
      </c>
      <c r="FJ56" s="172" t="n">
        <v>1</v>
      </c>
      <c r="FK56" s="172" t="n">
        <v>1</v>
      </c>
      <c r="FL56" s="172" t="n">
        <v>1</v>
      </c>
      <c r="FM56" s="172" t="n">
        <v>1</v>
      </c>
      <c r="FN56" s="172" t="n">
        <v>1</v>
      </c>
      <c r="FO56" s="172" t="n">
        <v>1</v>
      </c>
      <c r="FP56" s="172" t="n">
        <v>1</v>
      </c>
      <c r="FQ56" s="172" t="n">
        <v>1</v>
      </c>
      <c r="FR56" s="172" t="n">
        <v>1</v>
      </c>
      <c r="FS56" s="172" t="n">
        <v>1</v>
      </c>
      <c r="FT56" s="172" t="n">
        <v>1</v>
      </c>
      <c r="FU56" s="172" t="n">
        <v>1</v>
      </c>
      <c r="FV56" s="172" t="n">
        <v>1</v>
      </c>
      <c r="FW56" s="172" t="n">
        <v>1</v>
      </c>
      <c r="FX56" s="172" t="n">
        <v>1</v>
      </c>
      <c r="FY56" s="172" t="n">
        <v>1</v>
      </c>
      <c r="FZ56" s="172" t="n">
        <v>1</v>
      </c>
      <c r="GA56" s="172" t="n">
        <v>1</v>
      </c>
      <c r="GB56" s="172" t="n">
        <v>1</v>
      </c>
      <c r="GC56" s="172" t="n">
        <v>1</v>
      </c>
      <c r="GD56" s="172" t="n">
        <v>1</v>
      </c>
      <c r="GE56" s="172" t="n">
        <v>1</v>
      </c>
      <c r="GF56" s="172" t="n">
        <v>1</v>
      </c>
      <c r="GG56" s="172" t="n">
        <v>1</v>
      </c>
      <c r="GH56" s="172" t="n">
        <v>1</v>
      </c>
      <c r="GI56" s="172" t="n">
        <v>1</v>
      </c>
      <c r="GJ56" s="172" t="n">
        <v>1</v>
      </c>
      <c r="GK56" s="172" t="n">
        <v>1</v>
      </c>
      <c r="GL56" s="172" t="n">
        <v>1</v>
      </c>
      <c r="GM56" s="172" t="n">
        <v>1</v>
      </c>
      <c r="GN56" s="172" t="n">
        <v>1</v>
      </c>
      <c r="GO56" s="172" t="n">
        <v>1</v>
      </c>
      <c r="GP56" s="172" t="n">
        <v>1</v>
      </c>
      <c r="GQ56" s="172" t="n">
        <v>1</v>
      </c>
      <c r="GR56" s="172" t="n">
        <v>1</v>
      </c>
      <c r="GS56" s="172" t="n">
        <v>1</v>
      </c>
      <c r="GT56" s="172" t="n">
        <v>1</v>
      </c>
      <c r="GU56" s="172" t="n">
        <v>1</v>
      </c>
      <c r="GV56" s="172" t="n">
        <v>1</v>
      </c>
      <c r="GW56" s="172" t="n">
        <v>1</v>
      </c>
      <c r="GX56" s="172" t="n">
        <v>1</v>
      </c>
      <c r="GY56" s="172" t="n">
        <v>1</v>
      </c>
      <c r="GZ56" s="172" t="n">
        <v>1</v>
      </c>
      <c r="HA56" s="172" t="n">
        <v>1</v>
      </c>
      <c r="HB56" s="172" t="n">
        <v>1</v>
      </c>
      <c r="HC56" s="172" t="n">
        <v>1</v>
      </c>
      <c r="HD56" s="172" t="n">
        <v>1</v>
      </c>
      <c r="HE56" s="172" t="n">
        <v>1</v>
      </c>
      <c r="HF56" s="172" t="n">
        <v>1</v>
      </c>
      <c r="HG56" s="172" t="n">
        <v>1</v>
      </c>
      <c r="HH56" s="172" t="n">
        <v>1</v>
      </c>
      <c r="HI56" s="172" t="n">
        <v>1</v>
      </c>
      <c r="HJ56" s="172" t="n">
        <v>1</v>
      </c>
      <c r="HK56" s="172" t="n">
        <v>1</v>
      </c>
      <c r="HL56" s="172" t="n">
        <v>1</v>
      </c>
      <c r="HM56" s="172" t="n">
        <v>1</v>
      </c>
      <c r="HN56" s="172" t="n">
        <v>1</v>
      </c>
      <c r="HO56" s="172" t="n">
        <v>1</v>
      </c>
      <c r="HP56" s="172" t="n">
        <v>1</v>
      </c>
      <c r="HQ56" s="172" t="n">
        <v>1</v>
      </c>
      <c r="HR56" s="172" t="n">
        <v>1</v>
      </c>
      <c r="HS56" s="172" t="n">
        <v>1</v>
      </c>
      <c r="HT56" s="172" t="n">
        <v>1</v>
      </c>
      <c r="HU56" s="172" t="n">
        <v>1</v>
      </c>
      <c r="HV56" s="172" t="n">
        <v>1</v>
      </c>
      <c r="HW56" s="172" t="n">
        <v>1</v>
      </c>
      <c r="HX56" s="172" t="n">
        <v>1</v>
      </c>
      <c r="HY56" s="172" t="n">
        <v>1</v>
      </c>
      <c r="HZ56" s="172" t="n">
        <v>1</v>
      </c>
      <c r="IA56" s="172" t="n">
        <v>1</v>
      </c>
      <c r="IB56" s="172" t="n">
        <v>1</v>
      </c>
      <c r="IC56" s="172" t="n">
        <v>1</v>
      </c>
      <c r="ID56" s="172" t="n">
        <v>1</v>
      </c>
      <c r="IE56" s="172" t="n">
        <v>1</v>
      </c>
      <c r="IF56" s="172" t="n">
        <v>1</v>
      </c>
      <c r="IG56" s="172" t="n">
        <v>1</v>
      </c>
      <c r="IH56" s="172" t="n">
        <v>1</v>
      </c>
      <c r="II56" s="172" t="n">
        <v>1</v>
      </c>
      <c r="IJ56" s="172" t="n">
        <v>1</v>
      </c>
      <c r="IK56" s="172" t="n">
        <v>1</v>
      </c>
      <c r="IL56" s="172" t="n">
        <v>1</v>
      </c>
      <c r="IM56" s="172" t="n">
        <v>1</v>
      </c>
      <c r="IN56" s="172" t="n">
        <v>1</v>
      </c>
      <c r="IO56" s="172" t="n">
        <v>1</v>
      </c>
      <c r="IP56" s="172" t="n">
        <v>1</v>
      </c>
      <c r="IQ56" s="172" t="n">
        <v>1</v>
      </c>
      <c r="IR56" s="172" t="n">
        <v>1</v>
      </c>
    </row>
    <row r="57" ht="29.15" customHeight="1" s="123">
      <c r="A57" s="89" t="inlineStr">
        <is>
          <t>ЧМ (сырье)</t>
        </is>
      </c>
      <c r="B57" s="90" t="n">
        <v>4</v>
      </c>
      <c r="C57" s="5" t="inlineStr">
        <is>
          <t>Руды  всякие</t>
        </is>
      </c>
      <c r="D57" s="91" t="n">
        <v>14109</v>
      </c>
      <c r="E57" s="91" t="inlineStr">
        <is>
          <t xml:space="preserve">Концентрат железорудный (гематит) </t>
        </is>
      </c>
      <c r="F57" s="92" t="inlineStr">
        <is>
          <t>РУДЫ И КОНЦЕНТРАТЫ ЖЕЛЕЗН</t>
        </is>
      </c>
      <c r="G57" s="91" t="inlineStr">
        <is>
          <t>ВСБ</t>
        </is>
      </c>
      <c r="H57" s="91" t="inlineStr">
        <is>
          <t>ЮУР</t>
        </is>
      </c>
      <c r="I57" s="91" t="inlineStr">
        <is>
          <t>КОРШУНИХА-АН</t>
        </is>
      </c>
      <c r="J57" s="91" t="inlineStr">
        <is>
          <t>МЕТАЛЛУРГИЧ.</t>
        </is>
      </c>
      <c r="K57" s="91" t="n">
        <v>3192</v>
      </c>
      <c r="L57" s="91" t="inlineStr">
        <is>
          <t>Полувагоны</t>
        </is>
      </c>
      <c r="M57" s="91" t="inlineStr">
        <is>
          <t>Внутр. перевозки</t>
        </is>
      </c>
      <c r="N57" s="91" t="inlineStr">
        <is>
          <t>вагонная</t>
        </is>
      </c>
      <c r="O57" s="91" t="inlineStr">
        <is>
          <t xml:space="preserve">Южное </t>
        </is>
      </c>
      <c r="P57" s="89" t="inlineStr">
        <is>
          <t>'000000186720</t>
        </is>
      </c>
      <c r="Q57" s="91" t="inlineStr">
        <is>
          <t>'ПАО "Коршуновский ГОК"</t>
        </is>
      </c>
      <c r="R57" s="91" t="inlineStr">
        <is>
          <t>ПАО "Мечел"</t>
        </is>
      </c>
      <c r="S57" s="87" t="n">
        <v>1622604</v>
      </c>
      <c r="T57" s="87" t="n">
        <v>5180008704</v>
      </c>
      <c r="U57" s="88" t="n">
        <v>22758</v>
      </c>
      <c r="V57" s="88" t="n">
        <v>0</v>
      </c>
      <c r="W57" s="87" t="n">
        <v>1989123358</v>
      </c>
      <c r="X57" s="112" t="n">
        <v>72</v>
      </c>
      <c r="Y57" s="112" t="inlineStr">
        <is>
          <t>маршрутная</t>
        </is>
      </c>
      <c r="Z57" s="113" t="n">
        <v>8</v>
      </c>
      <c r="AA57" s="113" t="n">
        <v>8</v>
      </c>
      <c r="AB57" s="113" t="n">
        <v>4</v>
      </c>
      <c r="AC57" s="161" t="n">
        <v>1323.67</v>
      </c>
      <c r="AD57" s="161">
        <f>AE57-AC57</f>
        <v/>
      </c>
      <c r="AE57" s="161" t="n">
        <v>2057.47</v>
      </c>
      <c r="AF57" s="162">
        <f>(Z57+AA57+AB57)*'Ставки аренды'!$B$2/X57</f>
        <v/>
      </c>
      <c r="AG57" s="163" t="n">
        <v>0</v>
      </c>
      <c r="AH57" s="164" t="n">
        <v>0</v>
      </c>
      <c r="AI57" s="165">
        <f>11375575/13225688*AJ57</f>
        <v/>
      </c>
      <c r="AJ57" s="166">
        <f>Цены!$D$14</f>
        <v/>
      </c>
      <c r="AK57" s="164">
        <f>AJ57/Цены!$B$1</f>
        <v/>
      </c>
      <c r="AL57" s="164">
        <f>AE57+AF57+AG57</f>
        <v/>
      </c>
      <c r="AM57" s="164">
        <f>AJ57-AL57</f>
        <v/>
      </c>
      <c r="AN57" s="164">
        <f>AI57+AH57+AG57+AF57+AE57</f>
        <v/>
      </c>
      <c r="AO57" s="167">
        <f>(AJ57-AN57)/AJ57</f>
        <v/>
      </c>
      <c r="AP57" s="168">
        <f>AL57/AJ57</f>
        <v/>
      </c>
      <c r="AQ57" s="168">
        <f>AE57/AJ57</f>
        <v/>
      </c>
      <c r="AR57" s="168">
        <f>AE57/AL57</f>
        <v/>
      </c>
      <c r="AS57" s="169" t="n">
        <v>1</v>
      </c>
      <c r="AT57" s="121">
        <f>S57*AS57</f>
        <v/>
      </c>
      <c r="AU57" s="7" t="inlineStr">
        <is>
          <t>Внутренняя логистика</t>
        </is>
      </c>
      <c r="AV57" s="170">
        <f>(AJ57-(AE57*(1+$IS$2)+AF57+AG57+AH57+AI57))/AJ57</f>
        <v/>
      </c>
      <c r="AW57" s="171">
        <f>(AE57*(1+$IS$2)+AF57+AG57)/AJ57</f>
        <v/>
      </c>
      <c r="AX57" s="171">
        <f>(AE57*(1+$IS$2))/AJ57</f>
        <v/>
      </c>
      <c r="AY57" s="171">
        <f>(AE57*(1+$IS$2))/(AE57*(1+$IS$2)+AF57+AG57)</f>
        <v/>
      </c>
      <c r="AZ57" s="172" t="n">
        <v>1</v>
      </c>
      <c r="BA57" s="172" t="n">
        <v>1</v>
      </c>
      <c r="BB57" s="172" t="n">
        <v>1</v>
      </c>
      <c r="BC57" s="172" t="n">
        <v>1</v>
      </c>
      <c r="BD57" s="172" t="n">
        <v>1</v>
      </c>
      <c r="BE57" s="172" t="n">
        <v>1</v>
      </c>
      <c r="BF57" s="172" t="n">
        <v>1</v>
      </c>
      <c r="BG57" s="172" t="n">
        <v>1</v>
      </c>
      <c r="BH57" s="172" t="n">
        <v>1</v>
      </c>
      <c r="BI57" s="172" t="n">
        <v>1</v>
      </c>
      <c r="BJ57" s="172" t="n">
        <v>1</v>
      </c>
      <c r="BK57" s="172" t="n">
        <v>1</v>
      </c>
      <c r="BL57" s="172" t="n">
        <v>1</v>
      </c>
      <c r="BM57" s="172" t="n">
        <v>1</v>
      </c>
      <c r="BN57" s="172" t="n">
        <v>1</v>
      </c>
      <c r="BO57" s="172" t="n">
        <v>1</v>
      </c>
      <c r="BP57" s="172" t="n">
        <v>1</v>
      </c>
      <c r="BQ57" s="172" t="n">
        <v>1</v>
      </c>
      <c r="BR57" s="172" t="n">
        <v>1</v>
      </c>
      <c r="BS57" s="172" t="n">
        <v>1</v>
      </c>
      <c r="BT57" s="172" t="n">
        <v>1</v>
      </c>
      <c r="BU57" s="172" t="n">
        <v>1</v>
      </c>
      <c r="BV57" s="172" t="n">
        <v>1</v>
      </c>
      <c r="BW57" s="172" t="n">
        <v>1</v>
      </c>
      <c r="BX57" s="172" t="n">
        <v>1</v>
      </c>
      <c r="BY57" s="172" t="n">
        <v>1</v>
      </c>
      <c r="BZ57" s="172" t="n">
        <v>1</v>
      </c>
      <c r="CA57" s="172" t="n">
        <v>1</v>
      </c>
      <c r="CB57" s="172" t="n">
        <v>1</v>
      </c>
      <c r="CC57" s="172" t="n">
        <v>1</v>
      </c>
      <c r="CD57" s="172" t="n">
        <v>1</v>
      </c>
      <c r="CE57" s="172" t="n">
        <v>1</v>
      </c>
      <c r="CF57" s="172" t="n">
        <v>1</v>
      </c>
      <c r="CG57" s="172" t="n">
        <v>1</v>
      </c>
      <c r="CH57" s="172" t="n">
        <v>1</v>
      </c>
      <c r="CI57" s="172" t="n">
        <v>1</v>
      </c>
      <c r="CJ57" s="172" t="n">
        <v>1</v>
      </c>
      <c r="CK57" s="172" t="n">
        <v>1</v>
      </c>
      <c r="CL57" s="172" t="n">
        <v>1</v>
      </c>
      <c r="CM57" s="172" t="n">
        <v>1</v>
      </c>
      <c r="CN57" s="172" t="n">
        <v>1</v>
      </c>
      <c r="CO57" s="172" t="n">
        <v>1</v>
      </c>
      <c r="CP57" s="172" t="n">
        <v>1</v>
      </c>
      <c r="CQ57" s="172" t="n">
        <v>1</v>
      </c>
      <c r="CR57" s="172" t="n">
        <v>1</v>
      </c>
      <c r="CS57" s="172" t="n">
        <v>1</v>
      </c>
      <c r="CT57" s="172" t="n">
        <v>1</v>
      </c>
      <c r="CU57" s="172" t="n">
        <v>1</v>
      </c>
      <c r="CV57" s="172" t="n">
        <v>1</v>
      </c>
      <c r="CW57" s="172" t="n">
        <v>1</v>
      </c>
      <c r="CX57" s="172" t="n">
        <v>1</v>
      </c>
      <c r="CY57" s="172" t="n">
        <v>1</v>
      </c>
      <c r="CZ57" s="172" t="n">
        <v>1</v>
      </c>
      <c r="DA57" s="172" t="n">
        <v>1</v>
      </c>
      <c r="DB57" s="172" t="n">
        <v>1</v>
      </c>
      <c r="DC57" s="172" t="n">
        <v>1</v>
      </c>
      <c r="DD57" s="172" t="n">
        <v>1</v>
      </c>
      <c r="DE57" s="172" t="n">
        <v>1</v>
      </c>
      <c r="DF57" s="172" t="n">
        <v>1</v>
      </c>
      <c r="DG57" s="172" t="n">
        <v>1</v>
      </c>
      <c r="DH57" s="172" t="n">
        <v>1</v>
      </c>
      <c r="DI57" s="172" t="n">
        <v>1</v>
      </c>
      <c r="DJ57" s="172" t="n">
        <v>1</v>
      </c>
      <c r="DK57" s="172" t="n">
        <v>1</v>
      </c>
      <c r="DL57" s="172" t="n">
        <v>1</v>
      </c>
      <c r="DM57" s="172" t="n">
        <v>1</v>
      </c>
      <c r="DN57" s="172" t="n">
        <v>1</v>
      </c>
      <c r="DO57" s="172" t="n">
        <v>1</v>
      </c>
      <c r="DP57" s="172" t="n">
        <v>1</v>
      </c>
      <c r="DQ57" s="172" t="n">
        <v>1</v>
      </c>
      <c r="DR57" s="172" t="n">
        <v>1</v>
      </c>
      <c r="DS57" s="172" t="n">
        <v>1</v>
      </c>
      <c r="DT57" s="172" t="n">
        <v>1</v>
      </c>
      <c r="DU57" s="172" t="n">
        <v>1</v>
      </c>
      <c r="DV57" s="172" t="n">
        <v>1</v>
      </c>
      <c r="DW57" s="172" t="n">
        <v>1</v>
      </c>
      <c r="DX57" s="172" t="n">
        <v>1</v>
      </c>
      <c r="DY57" s="172" t="n">
        <v>1</v>
      </c>
      <c r="DZ57" s="172" t="n">
        <v>1</v>
      </c>
      <c r="EA57" s="172" t="n">
        <v>1</v>
      </c>
      <c r="EB57" s="172" t="n">
        <v>1</v>
      </c>
      <c r="EC57" s="172" t="n">
        <v>1</v>
      </c>
      <c r="ED57" s="172" t="n">
        <v>1</v>
      </c>
      <c r="EE57" s="172" t="n">
        <v>1</v>
      </c>
      <c r="EF57" s="172" t="n">
        <v>1</v>
      </c>
      <c r="EG57" s="172" t="n">
        <v>1</v>
      </c>
      <c r="EH57" s="172" t="n">
        <v>1</v>
      </c>
      <c r="EI57" s="172" t="n">
        <v>1</v>
      </c>
      <c r="EJ57" s="172" t="n">
        <v>1</v>
      </c>
      <c r="EK57" s="172" t="n">
        <v>1</v>
      </c>
      <c r="EL57" s="172" t="n">
        <v>1</v>
      </c>
      <c r="EM57" s="172" t="n">
        <v>1</v>
      </c>
      <c r="EN57" s="172" t="n">
        <v>1</v>
      </c>
      <c r="EO57" s="172" t="n">
        <v>1</v>
      </c>
      <c r="EP57" s="172" t="n">
        <v>1</v>
      </c>
      <c r="EQ57" s="172" t="n">
        <v>1</v>
      </c>
      <c r="ER57" s="172" t="n">
        <v>1</v>
      </c>
      <c r="ES57" s="172" t="n">
        <v>1</v>
      </c>
      <c r="ET57" s="172" t="n">
        <v>1</v>
      </c>
      <c r="EU57" s="172" t="n">
        <v>1</v>
      </c>
      <c r="EV57" s="173" t="n">
        <v>1</v>
      </c>
      <c r="EW57" s="172" t="n">
        <v>1</v>
      </c>
      <c r="EX57" s="172" t="n">
        <v>1</v>
      </c>
      <c r="EY57" s="172" t="n">
        <v>1</v>
      </c>
      <c r="EZ57" s="172" t="n">
        <v>1</v>
      </c>
      <c r="FA57" s="172" t="n">
        <v>1</v>
      </c>
      <c r="FB57" s="172" t="n">
        <v>1</v>
      </c>
      <c r="FC57" s="172" t="n">
        <v>1</v>
      </c>
      <c r="FD57" s="172" t="n">
        <v>1</v>
      </c>
      <c r="FE57" s="172" t="n">
        <v>1</v>
      </c>
      <c r="FF57" s="172" t="n">
        <v>1</v>
      </c>
      <c r="FG57" s="172" t="n">
        <v>1</v>
      </c>
      <c r="FH57" s="172" t="n">
        <v>1</v>
      </c>
      <c r="FI57" s="172" t="n">
        <v>1</v>
      </c>
      <c r="FJ57" s="172" t="n">
        <v>1</v>
      </c>
      <c r="FK57" s="172" t="n">
        <v>1</v>
      </c>
      <c r="FL57" s="172" t="n">
        <v>1</v>
      </c>
      <c r="FM57" s="172" t="n">
        <v>1</v>
      </c>
      <c r="FN57" s="172" t="n">
        <v>1</v>
      </c>
      <c r="FO57" s="172" t="n">
        <v>1</v>
      </c>
      <c r="FP57" s="172" t="n">
        <v>1</v>
      </c>
      <c r="FQ57" s="172" t="n">
        <v>1</v>
      </c>
      <c r="FR57" s="172" t="n">
        <v>1</v>
      </c>
      <c r="FS57" s="172" t="n">
        <v>1</v>
      </c>
      <c r="FT57" s="172" t="n">
        <v>1</v>
      </c>
      <c r="FU57" s="172" t="n">
        <v>1</v>
      </c>
      <c r="FV57" s="172" t="n">
        <v>1</v>
      </c>
      <c r="FW57" s="172" t="n">
        <v>1</v>
      </c>
      <c r="FX57" s="172" t="n">
        <v>1</v>
      </c>
      <c r="FY57" s="172" t="n">
        <v>1</v>
      </c>
      <c r="FZ57" s="172" t="n">
        <v>1</v>
      </c>
      <c r="GA57" s="172" t="n">
        <v>1</v>
      </c>
      <c r="GB57" s="172" t="n">
        <v>1</v>
      </c>
      <c r="GC57" s="172" t="n">
        <v>1</v>
      </c>
      <c r="GD57" s="172" t="n">
        <v>1</v>
      </c>
      <c r="GE57" s="172" t="n">
        <v>1</v>
      </c>
      <c r="GF57" s="172" t="n">
        <v>1</v>
      </c>
      <c r="GG57" s="172" t="n">
        <v>1</v>
      </c>
      <c r="GH57" s="172" t="n">
        <v>1</v>
      </c>
      <c r="GI57" s="172" t="n">
        <v>1</v>
      </c>
      <c r="GJ57" s="172" t="n">
        <v>1</v>
      </c>
      <c r="GK57" s="172" t="n">
        <v>1</v>
      </c>
      <c r="GL57" s="172" t="n">
        <v>1</v>
      </c>
      <c r="GM57" s="172" t="n">
        <v>1</v>
      </c>
      <c r="GN57" s="172" t="n">
        <v>1</v>
      </c>
      <c r="GO57" s="172" t="n">
        <v>1</v>
      </c>
      <c r="GP57" s="172" t="n">
        <v>1</v>
      </c>
      <c r="GQ57" s="172" t="n">
        <v>1</v>
      </c>
      <c r="GR57" s="172" t="n">
        <v>1</v>
      </c>
      <c r="GS57" s="172" t="n">
        <v>1</v>
      </c>
      <c r="GT57" s="172" t="n">
        <v>1</v>
      </c>
      <c r="GU57" s="172" t="n">
        <v>1</v>
      </c>
      <c r="GV57" s="172" t="n">
        <v>1</v>
      </c>
      <c r="GW57" s="172" t="n">
        <v>1</v>
      </c>
      <c r="GX57" s="172" t="n">
        <v>1</v>
      </c>
      <c r="GY57" s="172" t="n">
        <v>1</v>
      </c>
      <c r="GZ57" s="172" t="n">
        <v>1</v>
      </c>
      <c r="HA57" s="172" t="n">
        <v>1</v>
      </c>
      <c r="HB57" s="172" t="n">
        <v>1</v>
      </c>
      <c r="HC57" s="172" t="n">
        <v>1</v>
      </c>
      <c r="HD57" s="172" t="n">
        <v>1</v>
      </c>
      <c r="HE57" s="172" t="n">
        <v>1</v>
      </c>
      <c r="HF57" s="172" t="n">
        <v>1</v>
      </c>
      <c r="HG57" s="172" t="n">
        <v>1</v>
      </c>
      <c r="HH57" s="172" t="n">
        <v>1</v>
      </c>
      <c r="HI57" s="172" t="n">
        <v>1</v>
      </c>
      <c r="HJ57" s="172" t="n">
        <v>1</v>
      </c>
      <c r="HK57" s="172" t="n">
        <v>1</v>
      </c>
      <c r="HL57" s="172" t="n">
        <v>1</v>
      </c>
      <c r="HM57" s="172" t="n">
        <v>1</v>
      </c>
      <c r="HN57" s="172" t="n">
        <v>1</v>
      </c>
      <c r="HO57" s="172" t="n">
        <v>1</v>
      </c>
      <c r="HP57" s="172" t="n">
        <v>1</v>
      </c>
      <c r="HQ57" s="172" t="n">
        <v>1</v>
      </c>
      <c r="HR57" s="172" t="n">
        <v>1</v>
      </c>
      <c r="HS57" s="172" t="n">
        <v>1</v>
      </c>
      <c r="HT57" s="172" t="n">
        <v>1</v>
      </c>
      <c r="HU57" s="172" t="n">
        <v>1</v>
      </c>
      <c r="HV57" s="172" t="n">
        <v>1</v>
      </c>
      <c r="HW57" s="172" t="n">
        <v>1</v>
      </c>
      <c r="HX57" s="172" t="n">
        <v>1</v>
      </c>
      <c r="HY57" s="172" t="n">
        <v>1</v>
      </c>
      <c r="HZ57" s="172" t="n">
        <v>1</v>
      </c>
      <c r="IA57" s="172" t="n">
        <v>1</v>
      </c>
      <c r="IB57" s="172" t="n">
        <v>1</v>
      </c>
      <c r="IC57" s="172" t="n">
        <v>1</v>
      </c>
      <c r="ID57" s="172" t="n">
        <v>1</v>
      </c>
      <c r="IE57" s="172" t="n">
        <v>1</v>
      </c>
      <c r="IF57" s="172" t="n">
        <v>1</v>
      </c>
      <c r="IG57" s="172" t="n">
        <v>1</v>
      </c>
      <c r="IH57" s="172" t="n">
        <v>1</v>
      </c>
      <c r="II57" s="172" t="n">
        <v>1</v>
      </c>
      <c r="IJ57" s="172" t="n">
        <v>1</v>
      </c>
      <c r="IK57" s="172" t="n">
        <v>1</v>
      </c>
      <c r="IL57" s="172" t="n">
        <v>1</v>
      </c>
      <c r="IM57" s="172" t="n">
        <v>1</v>
      </c>
      <c r="IN57" s="172" t="n">
        <v>1</v>
      </c>
      <c r="IO57" s="172" t="n">
        <v>1</v>
      </c>
      <c r="IP57" s="172" t="n">
        <v>1</v>
      </c>
      <c r="IQ57" s="172" t="n">
        <v>1</v>
      </c>
      <c r="IR57" s="172" t="n">
        <v>1</v>
      </c>
    </row>
    <row r="58" ht="29.15" customHeight="1" s="123">
      <c r="A58" s="89" t="inlineStr">
        <is>
          <t>ЧМ (сырье)</t>
        </is>
      </c>
      <c r="B58" s="90" t="n">
        <v>4</v>
      </c>
      <c r="C58" s="5" t="inlineStr">
        <is>
          <t>Руды  всякие</t>
        </is>
      </c>
      <c r="D58" s="91" t="n">
        <v>14109</v>
      </c>
      <c r="E58" s="91" t="inlineStr">
        <is>
          <t xml:space="preserve">Концентрат железорудный (гематит) </t>
        </is>
      </c>
      <c r="F58" s="92" t="inlineStr">
        <is>
          <t>РУДЫ И КОНЦЕНТРАТЫ ЖЕЛЕЗН</t>
        </is>
      </c>
      <c r="G58" s="91" t="inlineStr">
        <is>
          <t>ЮВС</t>
        </is>
      </c>
      <c r="H58" s="91" t="inlineStr">
        <is>
          <t>ЮВС</t>
        </is>
      </c>
      <c r="I58" s="91" t="inlineStr">
        <is>
          <t>СТОЙЛЕНСКАЯ</t>
        </is>
      </c>
      <c r="J58" s="91" t="inlineStr">
        <is>
          <t>ЧУГУН 2</t>
        </is>
      </c>
      <c r="K58" s="91" t="n">
        <v>284</v>
      </c>
      <c r="L58" s="91" t="inlineStr">
        <is>
          <t>Полувагоны</t>
        </is>
      </c>
      <c r="M58" s="91" t="inlineStr">
        <is>
          <t>Внутр. перевозки</t>
        </is>
      </c>
      <c r="N58" s="91" t="inlineStr">
        <is>
          <t>вагонная</t>
        </is>
      </c>
      <c r="O58" s="91" t="inlineStr">
        <is>
          <t xml:space="preserve">Южное </t>
        </is>
      </c>
      <c r="P58" s="89" t="inlineStr">
        <is>
          <t>'000000186826</t>
        </is>
      </c>
      <c r="Q58" s="91" t="inlineStr">
        <is>
          <t>'АО "Стойленский ГОК"</t>
        </is>
      </c>
      <c r="R58" s="91" t="inlineStr">
        <is>
          <t>ПАО "НЛМК"</t>
        </is>
      </c>
      <c r="S58" s="87" t="n">
        <v>10323377</v>
      </c>
      <c r="T58" s="87" t="n">
        <v>2932807082</v>
      </c>
      <c r="U58" s="88" t="n">
        <v>145590</v>
      </c>
      <c r="V58" s="88" t="n">
        <v>0</v>
      </c>
      <c r="W58" s="87" t="n">
        <v>3363460983</v>
      </c>
      <c r="X58" s="112" t="n">
        <v>71</v>
      </c>
      <c r="Y58" s="112" t="inlineStr">
        <is>
          <t>маршрутная</t>
        </is>
      </c>
      <c r="Z58" s="113" t="n">
        <v>3</v>
      </c>
      <c r="AA58" s="113" t="n">
        <v>3</v>
      </c>
      <c r="AB58" s="113" t="n">
        <v>4</v>
      </c>
      <c r="AC58" s="161" t="n">
        <v>350.55</v>
      </c>
      <c r="AD58" s="161">
        <f>AE58-AC58</f>
        <v/>
      </c>
      <c r="AE58" s="161" t="n">
        <v>463.96</v>
      </c>
      <c r="AF58" s="162">
        <f>(Z58+AA58+AB58)*'Ставки аренды'!$B$2/X58</f>
        <v/>
      </c>
      <c r="AG58" s="163" t="n">
        <v>0</v>
      </c>
      <c r="AH58" s="164" t="n">
        <v>0</v>
      </c>
      <c r="AI58" s="165">
        <f>61867494/140470743*AJ58</f>
        <v/>
      </c>
      <c r="AJ58" s="166">
        <f>Цены!$D$14</f>
        <v/>
      </c>
      <c r="AK58" s="164">
        <f>AJ58/Цены!$B$1</f>
        <v/>
      </c>
      <c r="AL58" s="164">
        <f>AE58+AF58+AG58</f>
        <v/>
      </c>
      <c r="AM58" s="164">
        <f>AJ58-AL58</f>
        <v/>
      </c>
      <c r="AN58" s="164">
        <f>AI58+AH58+AG58+AF58+AE58</f>
        <v/>
      </c>
      <c r="AO58" s="167">
        <f>(AJ58-AN58)/AJ58</f>
        <v/>
      </c>
      <c r="AP58" s="168">
        <f>AL58/AJ58</f>
        <v/>
      </c>
      <c r="AQ58" s="168">
        <f>AE58/AJ58</f>
        <v/>
      </c>
      <c r="AR58" s="168">
        <f>AE58/AL58</f>
        <v/>
      </c>
      <c r="AS58" s="169" t="n">
        <v>1</v>
      </c>
      <c r="AT58" s="121">
        <f>S58*AS58</f>
        <v/>
      </c>
      <c r="AU58" s="7" t="inlineStr">
        <is>
          <t>Внутренняя логистика</t>
        </is>
      </c>
      <c r="AV58" s="170">
        <f>(AJ58-(AE58*(1+$IS$2)+AF58+AG58+AH58+AI58))/AJ58</f>
        <v/>
      </c>
      <c r="AW58" s="171">
        <f>(AE58*(1+$IS$2)+AF58+AG58)/AJ58</f>
        <v/>
      </c>
      <c r="AX58" s="171">
        <f>(AE58*(1+$IS$2))/AJ58</f>
        <v/>
      </c>
      <c r="AY58" s="171">
        <f>(AE58*(1+$IS$2))/(AE58*(1+$IS$2)+AF58+AG58)</f>
        <v/>
      </c>
      <c r="AZ58" s="172" t="n">
        <v>1</v>
      </c>
      <c r="BA58" s="172" t="n">
        <v>1</v>
      </c>
      <c r="BB58" s="172" t="n">
        <v>1</v>
      </c>
      <c r="BC58" s="172" t="n">
        <v>1</v>
      </c>
      <c r="BD58" s="172" t="n">
        <v>1</v>
      </c>
      <c r="BE58" s="172" t="n">
        <v>1</v>
      </c>
      <c r="BF58" s="172" t="n">
        <v>1</v>
      </c>
      <c r="BG58" s="172" t="n">
        <v>1</v>
      </c>
      <c r="BH58" s="172" t="n">
        <v>1</v>
      </c>
      <c r="BI58" s="172" t="n">
        <v>1</v>
      </c>
      <c r="BJ58" s="172" t="n">
        <v>1</v>
      </c>
      <c r="BK58" s="172" t="n">
        <v>1</v>
      </c>
      <c r="BL58" s="172" t="n">
        <v>1</v>
      </c>
      <c r="BM58" s="172" t="n">
        <v>1</v>
      </c>
      <c r="BN58" s="172" t="n">
        <v>1</v>
      </c>
      <c r="BO58" s="172" t="n">
        <v>1</v>
      </c>
      <c r="BP58" s="172" t="n">
        <v>1</v>
      </c>
      <c r="BQ58" s="172" t="n">
        <v>1</v>
      </c>
      <c r="BR58" s="172" t="n">
        <v>1</v>
      </c>
      <c r="BS58" s="172" t="n">
        <v>1</v>
      </c>
      <c r="BT58" s="172" t="n">
        <v>1</v>
      </c>
      <c r="BU58" s="172" t="n">
        <v>1</v>
      </c>
      <c r="BV58" s="172" t="n">
        <v>1</v>
      </c>
      <c r="BW58" s="172" t="n">
        <v>1</v>
      </c>
      <c r="BX58" s="172" t="n">
        <v>1</v>
      </c>
      <c r="BY58" s="172" t="n">
        <v>1</v>
      </c>
      <c r="BZ58" s="172" t="n">
        <v>1</v>
      </c>
      <c r="CA58" s="172" t="n">
        <v>1</v>
      </c>
      <c r="CB58" s="172" t="n">
        <v>1</v>
      </c>
      <c r="CC58" s="172" t="n">
        <v>1</v>
      </c>
      <c r="CD58" s="172" t="n">
        <v>1</v>
      </c>
      <c r="CE58" s="172" t="n">
        <v>1</v>
      </c>
      <c r="CF58" s="172" t="n">
        <v>1</v>
      </c>
      <c r="CG58" s="172" t="n">
        <v>1</v>
      </c>
      <c r="CH58" s="172" t="n">
        <v>1</v>
      </c>
      <c r="CI58" s="172" t="n">
        <v>1</v>
      </c>
      <c r="CJ58" s="172" t="n">
        <v>1</v>
      </c>
      <c r="CK58" s="172" t="n">
        <v>1</v>
      </c>
      <c r="CL58" s="172" t="n">
        <v>1</v>
      </c>
      <c r="CM58" s="172" t="n">
        <v>1</v>
      </c>
      <c r="CN58" s="172" t="n">
        <v>1</v>
      </c>
      <c r="CO58" s="172" t="n">
        <v>1</v>
      </c>
      <c r="CP58" s="172" t="n">
        <v>1</v>
      </c>
      <c r="CQ58" s="172" t="n">
        <v>1</v>
      </c>
      <c r="CR58" s="172" t="n">
        <v>1</v>
      </c>
      <c r="CS58" s="172" t="n">
        <v>1</v>
      </c>
      <c r="CT58" s="172" t="n">
        <v>1</v>
      </c>
      <c r="CU58" s="172" t="n">
        <v>1</v>
      </c>
      <c r="CV58" s="172" t="n">
        <v>1</v>
      </c>
      <c r="CW58" s="172" t="n">
        <v>1</v>
      </c>
      <c r="CX58" s="172" t="n">
        <v>1</v>
      </c>
      <c r="CY58" s="172" t="n">
        <v>1</v>
      </c>
      <c r="CZ58" s="172" t="n">
        <v>1</v>
      </c>
      <c r="DA58" s="172" t="n">
        <v>1</v>
      </c>
      <c r="DB58" s="172" t="n">
        <v>1</v>
      </c>
      <c r="DC58" s="172" t="n">
        <v>1</v>
      </c>
      <c r="DD58" s="172" t="n">
        <v>1</v>
      </c>
      <c r="DE58" s="172" t="n">
        <v>1</v>
      </c>
      <c r="DF58" s="172" t="n">
        <v>1</v>
      </c>
      <c r="DG58" s="172" t="n">
        <v>1</v>
      </c>
      <c r="DH58" s="172" t="n">
        <v>1</v>
      </c>
      <c r="DI58" s="172" t="n">
        <v>1</v>
      </c>
      <c r="DJ58" s="172" t="n">
        <v>1</v>
      </c>
      <c r="DK58" s="172" t="n">
        <v>1</v>
      </c>
      <c r="DL58" s="172" t="n">
        <v>1</v>
      </c>
      <c r="DM58" s="172" t="n">
        <v>1</v>
      </c>
      <c r="DN58" s="172" t="n">
        <v>1</v>
      </c>
      <c r="DO58" s="172" t="n">
        <v>1</v>
      </c>
      <c r="DP58" s="172" t="n">
        <v>1</v>
      </c>
      <c r="DQ58" s="172" t="n">
        <v>1</v>
      </c>
      <c r="DR58" s="172" t="n">
        <v>1</v>
      </c>
      <c r="DS58" s="172" t="n">
        <v>1</v>
      </c>
      <c r="DT58" s="172" t="n">
        <v>1</v>
      </c>
      <c r="DU58" s="172" t="n">
        <v>1</v>
      </c>
      <c r="DV58" s="172" t="n">
        <v>1</v>
      </c>
      <c r="DW58" s="172" t="n">
        <v>1</v>
      </c>
      <c r="DX58" s="172" t="n">
        <v>1</v>
      </c>
      <c r="DY58" s="172" t="n">
        <v>1</v>
      </c>
      <c r="DZ58" s="172" t="n">
        <v>1</v>
      </c>
      <c r="EA58" s="172" t="n">
        <v>1</v>
      </c>
      <c r="EB58" s="172" t="n">
        <v>1</v>
      </c>
      <c r="EC58" s="172" t="n">
        <v>1</v>
      </c>
      <c r="ED58" s="172" t="n">
        <v>1</v>
      </c>
      <c r="EE58" s="172" t="n">
        <v>1</v>
      </c>
      <c r="EF58" s="172" t="n">
        <v>1</v>
      </c>
      <c r="EG58" s="172" t="n">
        <v>1</v>
      </c>
      <c r="EH58" s="172" t="n">
        <v>1</v>
      </c>
      <c r="EI58" s="172" t="n">
        <v>1</v>
      </c>
      <c r="EJ58" s="172" t="n">
        <v>1</v>
      </c>
      <c r="EK58" s="172" t="n">
        <v>1</v>
      </c>
      <c r="EL58" s="172" t="n">
        <v>1</v>
      </c>
      <c r="EM58" s="172" t="n">
        <v>1</v>
      </c>
      <c r="EN58" s="172" t="n">
        <v>1</v>
      </c>
      <c r="EO58" s="172" t="n">
        <v>1</v>
      </c>
      <c r="EP58" s="172" t="n">
        <v>1</v>
      </c>
      <c r="EQ58" s="172" t="n">
        <v>1</v>
      </c>
      <c r="ER58" s="172" t="n">
        <v>1</v>
      </c>
      <c r="ES58" s="172" t="n">
        <v>1</v>
      </c>
      <c r="ET58" s="172" t="n">
        <v>1</v>
      </c>
      <c r="EU58" s="172" t="n">
        <v>1</v>
      </c>
      <c r="EV58" s="173" t="n">
        <v>1</v>
      </c>
      <c r="EW58" s="172" t="n">
        <v>1</v>
      </c>
      <c r="EX58" s="172" t="n">
        <v>1</v>
      </c>
      <c r="EY58" s="172" t="n">
        <v>1</v>
      </c>
      <c r="EZ58" s="172" t="n">
        <v>1</v>
      </c>
      <c r="FA58" s="172" t="n">
        <v>1</v>
      </c>
      <c r="FB58" s="172" t="n">
        <v>1</v>
      </c>
      <c r="FC58" s="172" t="n">
        <v>1</v>
      </c>
      <c r="FD58" s="172" t="n">
        <v>1</v>
      </c>
      <c r="FE58" s="172" t="n">
        <v>1</v>
      </c>
      <c r="FF58" s="172" t="n">
        <v>1</v>
      </c>
      <c r="FG58" s="172" t="n">
        <v>1</v>
      </c>
      <c r="FH58" s="172" t="n">
        <v>1</v>
      </c>
      <c r="FI58" s="172" t="n">
        <v>1</v>
      </c>
      <c r="FJ58" s="172" t="n">
        <v>1</v>
      </c>
      <c r="FK58" s="172" t="n">
        <v>1</v>
      </c>
      <c r="FL58" s="172" t="n">
        <v>1</v>
      </c>
      <c r="FM58" s="172" t="n">
        <v>1</v>
      </c>
      <c r="FN58" s="172" t="n">
        <v>1</v>
      </c>
      <c r="FO58" s="172" t="n">
        <v>1</v>
      </c>
      <c r="FP58" s="172" t="n">
        <v>1</v>
      </c>
      <c r="FQ58" s="172" t="n">
        <v>1</v>
      </c>
      <c r="FR58" s="172" t="n">
        <v>1</v>
      </c>
      <c r="FS58" s="172" t="n">
        <v>1</v>
      </c>
      <c r="FT58" s="172" t="n">
        <v>1</v>
      </c>
      <c r="FU58" s="172" t="n">
        <v>1</v>
      </c>
      <c r="FV58" s="172" t="n">
        <v>1</v>
      </c>
      <c r="FW58" s="172" t="n">
        <v>1</v>
      </c>
      <c r="FX58" s="172" t="n">
        <v>1</v>
      </c>
      <c r="FY58" s="172" t="n">
        <v>1</v>
      </c>
      <c r="FZ58" s="172" t="n">
        <v>1</v>
      </c>
      <c r="GA58" s="172" t="n">
        <v>1</v>
      </c>
      <c r="GB58" s="172" t="n">
        <v>1</v>
      </c>
      <c r="GC58" s="172" t="n">
        <v>1</v>
      </c>
      <c r="GD58" s="172" t="n">
        <v>1</v>
      </c>
      <c r="GE58" s="172" t="n">
        <v>1</v>
      </c>
      <c r="GF58" s="172" t="n">
        <v>1</v>
      </c>
      <c r="GG58" s="172" t="n">
        <v>1</v>
      </c>
      <c r="GH58" s="172" t="n">
        <v>1</v>
      </c>
      <c r="GI58" s="172" t="n">
        <v>1</v>
      </c>
      <c r="GJ58" s="172" t="n">
        <v>1</v>
      </c>
      <c r="GK58" s="172" t="n">
        <v>1</v>
      </c>
      <c r="GL58" s="172" t="n">
        <v>1</v>
      </c>
      <c r="GM58" s="172" t="n">
        <v>1</v>
      </c>
      <c r="GN58" s="172" t="n">
        <v>1</v>
      </c>
      <c r="GO58" s="172" t="n">
        <v>1</v>
      </c>
      <c r="GP58" s="172" t="n">
        <v>1</v>
      </c>
      <c r="GQ58" s="172" t="n">
        <v>1</v>
      </c>
      <c r="GR58" s="172" t="n">
        <v>1</v>
      </c>
      <c r="GS58" s="172" t="n">
        <v>1</v>
      </c>
      <c r="GT58" s="172" t="n">
        <v>1</v>
      </c>
      <c r="GU58" s="172" t="n">
        <v>1</v>
      </c>
      <c r="GV58" s="172" t="n">
        <v>1</v>
      </c>
      <c r="GW58" s="172" t="n">
        <v>1</v>
      </c>
      <c r="GX58" s="172" t="n">
        <v>1</v>
      </c>
      <c r="GY58" s="172" t="n">
        <v>1</v>
      </c>
      <c r="GZ58" s="172" t="n">
        <v>1</v>
      </c>
      <c r="HA58" s="172" t="n">
        <v>1</v>
      </c>
      <c r="HB58" s="172" t="n">
        <v>1</v>
      </c>
      <c r="HC58" s="172" t="n">
        <v>1</v>
      </c>
      <c r="HD58" s="172" t="n">
        <v>1</v>
      </c>
      <c r="HE58" s="172" t="n">
        <v>1</v>
      </c>
      <c r="HF58" s="172" t="n">
        <v>1</v>
      </c>
      <c r="HG58" s="172" t="n">
        <v>1</v>
      </c>
      <c r="HH58" s="172" t="n">
        <v>1</v>
      </c>
      <c r="HI58" s="172" t="n">
        <v>1</v>
      </c>
      <c r="HJ58" s="172" t="n">
        <v>1</v>
      </c>
      <c r="HK58" s="172" t="n">
        <v>1</v>
      </c>
      <c r="HL58" s="172" t="n">
        <v>1</v>
      </c>
      <c r="HM58" s="172" t="n">
        <v>1</v>
      </c>
      <c r="HN58" s="172" t="n">
        <v>1</v>
      </c>
      <c r="HO58" s="172" t="n">
        <v>1</v>
      </c>
      <c r="HP58" s="172" t="n">
        <v>1</v>
      </c>
      <c r="HQ58" s="172" t="n">
        <v>1</v>
      </c>
      <c r="HR58" s="172" t="n">
        <v>1</v>
      </c>
      <c r="HS58" s="172" t="n">
        <v>1</v>
      </c>
      <c r="HT58" s="172" t="n">
        <v>1</v>
      </c>
      <c r="HU58" s="172" t="n">
        <v>1</v>
      </c>
      <c r="HV58" s="172" t="n">
        <v>1</v>
      </c>
      <c r="HW58" s="172" t="n">
        <v>1</v>
      </c>
      <c r="HX58" s="172" t="n">
        <v>1</v>
      </c>
      <c r="HY58" s="172" t="n">
        <v>1</v>
      </c>
      <c r="HZ58" s="172" t="n">
        <v>1</v>
      </c>
      <c r="IA58" s="172" t="n">
        <v>1</v>
      </c>
      <c r="IB58" s="172" t="n">
        <v>1</v>
      </c>
      <c r="IC58" s="172" t="n">
        <v>1</v>
      </c>
      <c r="ID58" s="172" t="n">
        <v>1</v>
      </c>
      <c r="IE58" s="172" t="n">
        <v>1</v>
      </c>
      <c r="IF58" s="172" t="n">
        <v>1</v>
      </c>
      <c r="IG58" s="172" t="n">
        <v>1</v>
      </c>
      <c r="IH58" s="172" t="n">
        <v>1</v>
      </c>
      <c r="II58" s="172" t="n">
        <v>1</v>
      </c>
      <c r="IJ58" s="172" t="n">
        <v>1</v>
      </c>
      <c r="IK58" s="172" t="n">
        <v>1</v>
      </c>
      <c r="IL58" s="172" t="n">
        <v>1</v>
      </c>
      <c r="IM58" s="172" t="n">
        <v>1</v>
      </c>
      <c r="IN58" s="172" t="n">
        <v>1</v>
      </c>
      <c r="IO58" s="172" t="n">
        <v>1</v>
      </c>
      <c r="IP58" s="172" t="n">
        <v>1</v>
      </c>
      <c r="IQ58" s="172" t="n">
        <v>1</v>
      </c>
      <c r="IR58" s="172" t="n">
        <v>1</v>
      </c>
    </row>
    <row r="59">
      <c r="A59" s="89" t="inlineStr">
        <is>
          <t>ЧМ (сырье)</t>
        </is>
      </c>
      <c r="B59" s="90" t="n">
        <v>4</v>
      </c>
      <c r="C59" s="5" t="inlineStr">
        <is>
          <t>Руды  всякие</t>
        </is>
      </c>
      <c r="D59" s="91" t="n">
        <v>14111</v>
      </c>
      <c r="E59" s="91" t="inlineStr">
        <is>
          <t xml:space="preserve">Окатыши железорудные </t>
        </is>
      </c>
      <c r="F59" s="92" t="inlineStr">
        <is>
          <t>РУДЫ И КОНЦЕНТРАТЫ ЖЕЛЕЗН</t>
        </is>
      </c>
      <c r="G59" s="91" t="inlineStr">
        <is>
          <t>ОКТ</t>
        </is>
      </c>
      <c r="H59" s="91" t="inlineStr">
        <is>
          <t>СЕВ</t>
        </is>
      </c>
      <c r="I59" s="91" t="inlineStr">
        <is>
          <t>КОСТОМУКША-Т</t>
        </is>
      </c>
      <c r="J59" s="91" t="inlineStr">
        <is>
          <t>КОШТА</t>
        </is>
      </c>
      <c r="K59" s="91" t="n">
        <v>1350</v>
      </c>
      <c r="L59" s="91" t="inlineStr">
        <is>
          <t>Полувагоны</t>
        </is>
      </c>
      <c r="M59" s="91" t="inlineStr">
        <is>
          <t>Внутр. перевозки</t>
        </is>
      </c>
      <c r="N59" s="91" t="inlineStr">
        <is>
          <t>вагонная</t>
        </is>
      </c>
      <c r="O59" s="91" t="inlineStr">
        <is>
          <t xml:space="preserve">Северо-Западное </t>
        </is>
      </c>
      <c r="P59" s="89" t="inlineStr">
        <is>
          <t>'000005789251</t>
        </is>
      </c>
      <c r="Q59" s="91" t="inlineStr">
        <is>
          <t>'АО "Карельский окатыш"</t>
        </is>
      </c>
      <c r="R59" s="91" t="inlineStr">
        <is>
          <t>ПАО "СЕВЕРСТАЛЬ"</t>
        </is>
      </c>
      <c r="S59" s="87" t="n">
        <v>6683811</v>
      </c>
      <c r="T59" s="87" t="n">
        <v>9025915022</v>
      </c>
      <c r="U59" s="88" t="n">
        <v>94362</v>
      </c>
      <c r="V59" s="88" t="n">
        <v>0</v>
      </c>
      <c r="W59" s="87" t="n">
        <v>4877827694</v>
      </c>
      <c r="X59" s="112" t="n">
        <v>69</v>
      </c>
      <c r="Y59" s="112" t="inlineStr">
        <is>
          <t>маршрутная</t>
        </is>
      </c>
      <c r="Z59" s="113" t="n">
        <v>5</v>
      </c>
      <c r="AA59" s="113" t="n">
        <v>5</v>
      </c>
      <c r="AB59" s="113" t="n">
        <v>4</v>
      </c>
      <c r="AC59" s="161" t="n">
        <v>823.83</v>
      </c>
      <c r="AD59" s="161">
        <f>AE59-AC59</f>
        <v/>
      </c>
      <c r="AE59" s="161" t="n">
        <v>1277.16</v>
      </c>
      <c r="AF59" s="162">
        <f>(Z59+AA59+AB59)*'Ставки аренды'!$B$3/X59</f>
        <v/>
      </c>
      <c r="AG59" s="163" t="n">
        <v>0</v>
      </c>
      <c r="AH59" s="164" t="n">
        <v>0</v>
      </c>
      <c r="AI59" s="174">
        <f>507353/712157*AJ59</f>
        <v/>
      </c>
      <c r="AJ59" s="166">
        <f>Цены!$D$12</f>
        <v/>
      </c>
      <c r="AK59" s="164">
        <f>AJ59/Цены!$B$1</f>
        <v/>
      </c>
      <c r="AL59" s="164">
        <f>AE59+AF59+AG59</f>
        <v/>
      </c>
      <c r="AM59" s="164">
        <f>AJ59-AL59</f>
        <v/>
      </c>
      <c r="AN59" s="164">
        <f>AI59+AH59+AG59+AF59+AE59</f>
        <v/>
      </c>
      <c r="AO59" s="167">
        <f>(AJ59-AN59)/AJ59</f>
        <v/>
      </c>
      <c r="AP59" s="168">
        <f>AL59/AJ59</f>
        <v/>
      </c>
      <c r="AQ59" s="168">
        <f>AE59/AJ59</f>
        <v/>
      </c>
      <c r="AR59" s="168">
        <f>AE59/AL59</f>
        <v/>
      </c>
      <c r="AS59" s="169" t="n">
        <v>1</v>
      </c>
      <c r="AT59" s="121">
        <f>S59*AS59</f>
        <v/>
      </c>
      <c r="AU59" s="7" t="inlineStr">
        <is>
          <t>Внутренняя логистика</t>
        </is>
      </c>
      <c r="AV59" s="170">
        <f>(AJ59-(AE59*(1+$IS$2)+AF59+AG59+AH59+AI59))/AJ59</f>
        <v/>
      </c>
      <c r="AW59" s="171">
        <f>(AE59*(1+$IS$2)+AF59+AG59)/AJ59</f>
        <v/>
      </c>
      <c r="AX59" s="171">
        <f>(AE59*(1+$IS$2))/AJ59</f>
        <v/>
      </c>
      <c r="AY59" s="171">
        <f>(AE59*(1+$IS$2))/(AE59*(1+$IS$2)+AF59+AG59)</f>
        <v/>
      </c>
      <c r="AZ59" s="172" t="n">
        <v>1</v>
      </c>
      <c r="BA59" s="172" t="n">
        <v>1</v>
      </c>
      <c r="BB59" s="172" t="n">
        <v>1</v>
      </c>
      <c r="BC59" s="172" t="n">
        <v>1</v>
      </c>
      <c r="BD59" s="172" t="n">
        <v>1</v>
      </c>
      <c r="BE59" s="172" t="n">
        <v>1</v>
      </c>
      <c r="BF59" s="172" t="n">
        <v>1</v>
      </c>
      <c r="BG59" s="172" t="n">
        <v>1</v>
      </c>
      <c r="BH59" s="172" t="n">
        <v>1</v>
      </c>
      <c r="BI59" s="172" t="n">
        <v>1</v>
      </c>
      <c r="BJ59" s="172" t="n">
        <v>1</v>
      </c>
      <c r="BK59" s="172" t="n">
        <v>1</v>
      </c>
      <c r="BL59" s="172" t="n">
        <v>1</v>
      </c>
      <c r="BM59" s="172" t="n">
        <v>1</v>
      </c>
      <c r="BN59" s="172" t="n">
        <v>1</v>
      </c>
      <c r="BO59" s="172" t="n">
        <v>1</v>
      </c>
      <c r="BP59" s="172" t="n">
        <v>1</v>
      </c>
      <c r="BQ59" s="172" t="n">
        <v>1</v>
      </c>
      <c r="BR59" s="172" t="n">
        <v>1</v>
      </c>
      <c r="BS59" s="172" t="n">
        <v>1</v>
      </c>
      <c r="BT59" s="172" t="n">
        <v>1</v>
      </c>
      <c r="BU59" s="172" t="n">
        <v>1</v>
      </c>
      <c r="BV59" s="172" t="n">
        <v>1</v>
      </c>
      <c r="BW59" s="172" t="n">
        <v>1</v>
      </c>
      <c r="BX59" s="172" t="n">
        <v>1</v>
      </c>
      <c r="BY59" s="172" t="n">
        <v>1</v>
      </c>
      <c r="BZ59" s="172" t="n">
        <v>1</v>
      </c>
      <c r="CA59" s="172" t="n">
        <v>1</v>
      </c>
      <c r="CB59" s="172" t="n">
        <v>1</v>
      </c>
      <c r="CC59" s="172" t="n">
        <v>1</v>
      </c>
      <c r="CD59" s="172" t="n">
        <v>1</v>
      </c>
      <c r="CE59" s="172" t="n">
        <v>1</v>
      </c>
      <c r="CF59" s="172" t="n">
        <v>1</v>
      </c>
      <c r="CG59" s="172" t="n">
        <v>1</v>
      </c>
      <c r="CH59" s="172" t="n">
        <v>1</v>
      </c>
      <c r="CI59" s="172" t="n">
        <v>1</v>
      </c>
      <c r="CJ59" s="172" t="n">
        <v>1</v>
      </c>
      <c r="CK59" s="172" t="n">
        <v>1</v>
      </c>
      <c r="CL59" s="172" t="n">
        <v>1</v>
      </c>
      <c r="CM59" s="172" t="n">
        <v>1</v>
      </c>
      <c r="CN59" s="172" t="n">
        <v>1</v>
      </c>
      <c r="CO59" s="172" t="n">
        <v>1</v>
      </c>
      <c r="CP59" s="172" t="n">
        <v>1</v>
      </c>
      <c r="CQ59" s="172" t="n">
        <v>1</v>
      </c>
      <c r="CR59" s="172" t="n">
        <v>1</v>
      </c>
      <c r="CS59" s="172" t="n">
        <v>1</v>
      </c>
      <c r="CT59" s="172" t="n">
        <v>1</v>
      </c>
      <c r="CU59" s="172" t="n">
        <v>1</v>
      </c>
      <c r="CV59" s="172" t="n">
        <v>1</v>
      </c>
      <c r="CW59" s="172" t="n">
        <v>1</v>
      </c>
      <c r="CX59" s="172" t="n">
        <v>1</v>
      </c>
      <c r="CY59" s="172" t="n">
        <v>1</v>
      </c>
      <c r="CZ59" s="172" t="n">
        <v>1</v>
      </c>
      <c r="DA59" s="172" t="n">
        <v>1</v>
      </c>
      <c r="DB59" s="172" t="n">
        <v>1</v>
      </c>
      <c r="DC59" s="172" t="n">
        <v>1</v>
      </c>
      <c r="DD59" s="172" t="n">
        <v>1</v>
      </c>
      <c r="DE59" s="172" t="n">
        <v>1</v>
      </c>
      <c r="DF59" s="172" t="n">
        <v>1</v>
      </c>
      <c r="DG59" s="172" t="n">
        <v>1</v>
      </c>
      <c r="DH59" s="172" t="n">
        <v>1</v>
      </c>
      <c r="DI59" s="172" t="n">
        <v>1</v>
      </c>
      <c r="DJ59" s="172" t="n">
        <v>1</v>
      </c>
      <c r="DK59" s="172" t="n">
        <v>1</v>
      </c>
      <c r="DL59" s="172" t="n">
        <v>1</v>
      </c>
      <c r="DM59" s="172" t="n">
        <v>1</v>
      </c>
      <c r="DN59" s="172" t="n">
        <v>1</v>
      </c>
      <c r="DO59" s="172" t="n">
        <v>1</v>
      </c>
      <c r="DP59" s="172" t="n">
        <v>1</v>
      </c>
      <c r="DQ59" s="172" t="n">
        <v>1</v>
      </c>
      <c r="DR59" s="172" t="n">
        <v>1</v>
      </c>
      <c r="DS59" s="172" t="n">
        <v>1</v>
      </c>
      <c r="DT59" s="172" t="n">
        <v>1</v>
      </c>
      <c r="DU59" s="172" t="n">
        <v>1</v>
      </c>
      <c r="DV59" s="172" t="n">
        <v>1</v>
      </c>
      <c r="DW59" s="172" t="n">
        <v>1</v>
      </c>
      <c r="DX59" s="172" t="n">
        <v>1</v>
      </c>
      <c r="DY59" s="172" t="n">
        <v>1</v>
      </c>
      <c r="DZ59" s="172" t="n">
        <v>1</v>
      </c>
      <c r="EA59" s="172" t="n">
        <v>1</v>
      </c>
      <c r="EB59" s="172" t="n">
        <v>1</v>
      </c>
      <c r="EC59" s="172" t="n">
        <v>1</v>
      </c>
      <c r="ED59" s="172" t="n">
        <v>1</v>
      </c>
      <c r="EE59" s="172" t="n">
        <v>1</v>
      </c>
      <c r="EF59" s="172" t="n">
        <v>1</v>
      </c>
      <c r="EG59" s="172" t="n">
        <v>1</v>
      </c>
      <c r="EH59" s="172" t="n">
        <v>1</v>
      </c>
      <c r="EI59" s="172" t="n">
        <v>1</v>
      </c>
      <c r="EJ59" s="172" t="n">
        <v>1</v>
      </c>
      <c r="EK59" s="172" t="n">
        <v>1</v>
      </c>
      <c r="EL59" s="172" t="n">
        <v>1</v>
      </c>
      <c r="EM59" s="172" t="n">
        <v>1</v>
      </c>
      <c r="EN59" s="172" t="n">
        <v>1</v>
      </c>
      <c r="EO59" s="172" t="n">
        <v>1</v>
      </c>
      <c r="EP59" s="172" t="n">
        <v>1</v>
      </c>
      <c r="EQ59" s="172" t="n">
        <v>1</v>
      </c>
      <c r="ER59" s="172" t="n">
        <v>1</v>
      </c>
      <c r="ES59" s="172" t="n">
        <v>1</v>
      </c>
      <c r="ET59" s="172" t="n">
        <v>1</v>
      </c>
      <c r="EU59" s="172" t="n">
        <v>1</v>
      </c>
      <c r="EV59" s="173" t="n">
        <v>1</v>
      </c>
      <c r="EW59" s="172" t="n">
        <v>1</v>
      </c>
      <c r="EX59" s="172" t="n">
        <v>1</v>
      </c>
      <c r="EY59" s="172" t="n">
        <v>1</v>
      </c>
      <c r="EZ59" s="172" t="n">
        <v>1</v>
      </c>
      <c r="FA59" s="172" t="n">
        <v>1</v>
      </c>
      <c r="FB59" s="172" t="n">
        <v>1</v>
      </c>
      <c r="FC59" s="172" t="n">
        <v>1</v>
      </c>
      <c r="FD59" s="172" t="n">
        <v>1</v>
      </c>
      <c r="FE59" s="172" t="n">
        <v>1</v>
      </c>
      <c r="FF59" s="172" t="n">
        <v>1</v>
      </c>
      <c r="FG59" s="172" t="n">
        <v>1</v>
      </c>
      <c r="FH59" s="172" t="n">
        <v>1</v>
      </c>
      <c r="FI59" s="172" t="n">
        <v>1</v>
      </c>
      <c r="FJ59" s="172" t="n">
        <v>1</v>
      </c>
      <c r="FK59" s="172" t="n">
        <v>1</v>
      </c>
      <c r="FL59" s="172" t="n">
        <v>1</v>
      </c>
      <c r="FM59" s="172" t="n">
        <v>1</v>
      </c>
      <c r="FN59" s="172" t="n">
        <v>1</v>
      </c>
      <c r="FO59" s="172" t="n">
        <v>1</v>
      </c>
      <c r="FP59" s="172" t="n">
        <v>1</v>
      </c>
      <c r="FQ59" s="172" t="n">
        <v>1</v>
      </c>
      <c r="FR59" s="172" t="n">
        <v>1</v>
      </c>
      <c r="FS59" s="172" t="n">
        <v>1</v>
      </c>
      <c r="FT59" s="172" t="n">
        <v>1</v>
      </c>
      <c r="FU59" s="172" t="n">
        <v>1</v>
      </c>
      <c r="FV59" s="172" t="n">
        <v>1</v>
      </c>
      <c r="FW59" s="172" t="n">
        <v>1</v>
      </c>
      <c r="FX59" s="172" t="n">
        <v>1</v>
      </c>
      <c r="FY59" s="172" t="n">
        <v>1</v>
      </c>
      <c r="FZ59" s="172" t="n">
        <v>1</v>
      </c>
      <c r="GA59" s="172" t="n">
        <v>1</v>
      </c>
      <c r="GB59" s="172" t="n">
        <v>1</v>
      </c>
      <c r="GC59" s="172" t="n">
        <v>1</v>
      </c>
      <c r="GD59" s="172" t="n">
        <v>1</v>
      </c>
      <c r="GE59" s="172" t="n">
        <v>1</v>
      </c>
      <c r="GF59" s="172" t="n">
        <v>1</v>
      </c>
      <c r="GG59" s="172" t="n">
        <v>1</v>
      </c>
      <c r="GH59" s="172" t="n">
        <v>1</v>
      </c>
      <c r="GI59" s="172" t="n">
        <v>1</v>
      </c>
      <c r="GJ59" s="172" t="n">
        <v>1</v>
      </c>
      <c r="GK59" s="172" t="n">
        <v>1</v>
      </c>
      <c r="GL59" s="172" t="n">
        <v>1</v>
      </c>
      <c r="GM59" s="172" t="n">
        <v>1</v>
      </c>
      <c r="GN59" s="172" t="n">
        <v>1</v>
      </c>
      <c r="GO59" s="172" t="n">
        <v>1</v>
      </c>
      <c r="GP59" s="172" t="n">
        <v>1</v>
      </c>
      <c r="GQ59" s="172" t="n">
        <v>1</v>
      </c>
      <c r="GR59" s="172" t="n">
        <v>1</v>
      </c>
      <c r="GS59" s="172" t="n">
        <v>1</v>
      </c>
      <c r="GT59" s="172" t="n">
        <v>1</v>
      </c>
      <c r="GU59" s="172" t="n">
        <v>1</v>
      </c>
      <c r="GV59" s="172" t="n">
        <v>1</v>
      </c>
      <c r="GW59" s="172" t="n">
        <v>1</v>
      </c>
      <c r="GX59" s="172" t="n">
        <v>1</v>
      </c>
      <c r="GY59" s="172" t="n">
        <v>1</v>
      </c>
      <c r="GZ59" s="172" t="n">
        <v>1</v>
      </c>
      <c r="HA59" s="172" t="n">
        <v>1</v>
      </c>
      <c r="HB59" s="172" t="n">
        <v>1</v>
      </c>
      <c r="HC59" s="172" t="n">
        <v>1</v>
      </c>
      <c r="HD59" s="172" t="n">
        <v>1</v>
      </c>
      <c r="HE59" s="172" t="n">
        <v>1</v>
      </c>
      <c r="HF59" s="172" t="n">
        <v>1</v>
      </c>
      <c r="HG59" s="172" t="n">
        <v>1</v>
      </c>
      <c r="HH59" s="172" t="n">
        <v>1</v>
      </c>
      <c r="HI59" s="172" t="n">
        <v>1</v>
      </c>
      <c r="HJ59" s="172" t="n">
        <v>1</v>
      </c>
      <c r="HK59" s="172" t="n">
        <v>1</v>
      </c>
      <c r="HL59" s="172" t="n">
        <v>1</v>
      </c>
      <c r="HM59" s="172" t="n">
        <v>1</v>
      </c>
      <c r="HN59" s="172" t="n">
        <v>1</v>
      </c>
      <c r="HO59" s="172" t="n">
        <v>1</v>
      </c>
      <c r="HP59" s="172" t="n">
        <v>1</v>
      </c>
      <c r="HQ59" s="172" t="n">
        <v>1</v>
      </c>
      <c r="HR59" s="172" t="n">
        <v>1</v>
      </c>
      <c r="HS59" s="172" t="n">
        <v>1</v>
      </c>
      <c r="HT59" s="172" t="n">
        <v>1</v>
      </c>
      <c r="HU59" s="172" t="n">
        <v>1</v>
      </c>
      <c r="HV59" s="172" t="n">
        <v>1</v>
      </c>
      <c r="HW59" s="172" t="n">
        <v>1</v>
      </c>
      <c r="HX59" s="172" t="n">
        <v>1</v>
      </c>
      <c r="HY59" s="172" t="n">
        <v>1</v>
      </c>
      <c r="HZ59" s="172" t="n">
        <v>1</v>
      </c>
      <c r="IA59" s="172" t="n">
        <v>1</v>
      </c>
      <c r="IB59" s="172" t="n">
        <v>1</v>
      </c>
      <c r="IC59" s="172" t="n">
        <v>1</v>
      </c>
      <c r="ID59" s="172" t="n">
        <v>1</v>
      </c>
      <c r="IE59" s="172" t="n">
        <v>1</v>
      </c>
      <c r="IF59" s="172" t="n">
        <v>1</v>
      </c>
      <c r="IG59" s="172" t="n">
        <v>1</v>
      </c>
      <c r="IH59" s="172" t="n">
        <v>1</v>
      </c>
      <c r="II59" s="172" t="n">
        <v>1</v>
      </c>
      <c r="IJ59" s="172" t="n">
        <v>1</v>
      </c>
      <c r="IK59" s="172" t="n">
        <v>1</v>
      </c>
      <c r="IL59" s="172" t="n">
        <v>1</v>
      </c>
      <c r="IM59" s="172" t="n">
        <v>1</v>
      </c>
      <c r="IN59" s="172" t="n">
        <v>1</v>
      </c>
      <c r="IO59" s="172" t="n">
        <v>1</v>
      </c>
      <c r="IP59" s="172" t="n">
        <v>1</v>
      </c>
      <c r="IQ59" s="172" t="n">
        <v>1</v>
      </c>
      <c r="IR59" s="172" t="n">
        <v>1</v>
      </c>
    </row>
    <row r="60" ht="43.75" customHeight="1" s="123">
      <c r="A60" s="89" t="inlineStr">
        <is>
          <t>ЧМ (сырье)</t>
        </is>
      </c>
      <c r="B60" s="90" t="n">
        <v>4</v>
      </c>
      <c r="C60" s="5" t="inlineStr">
        <is>
          <t>Руды  всякие</t>
        </is>
      </c>
      <c r="D60" s="91" t="n">
        <v>14113</v>
      </c>
      <c r="E60" s="91" t="inlineStr">
        <is>
          <t xml:space="preserve">Руда железная агломерационная (аглоруда) </t>
        </is>
      </c>
      <c r="F60" s="92" t="inlineStr">
        <is>
          <t>РУДЫ И КОНЦЕНТРАТЫ ЖЕЛЕЗН</t>
        </is>
      </c>
      <c r="G60" s="91" t="inlineStr">
        <is>
          <t>ЮВС</t>
        </is>
      </c>
      <c r="H60" s="91" t="inlineStr">
        <is>
          <t>ЮУР</t>
        </is>
      </c>
      <c r="I60" s="91" t="inlineStr">
        <is>
          <t>БЕЛЕНИХИНО</t>
        </is>
      </c>
      <c r="J60" s="91" t="inlineStr">
        <is>
          <t>КУЙБАС</t>
        </is>
      </c>
      <c r="K60" s="91" t="n">
        <v>2458</v>
      </c>
      <c r="L60" s="91" t="inlineStr">
        <is>
          <t>Полувагоны</t>
        </is>
      </c>
      <c r="M60" s="91" t="inlineStr">
        <is>
          <t>Внутр. перевозки</t>
        </is>
      </c>
      <c r="N60" s="91" t="inlineStr">
        <is>
          <t>вагонная</t>
        </is>
      </c>
      <c r="O60" s="91" t="inlineStr">
        <is>
          <t xml:space="preserve">Южное </t>
        </is>
      </c>
      <c r="P60" s="89" t="inlineStr">
        <is>
          <t>'000000186217</t>
        </is>
      </c>
      <c r="Q60" s="91" t="inlineStr">
        <is>
          <t>ПАО "Северсталь"</t>
        </is>
      </c>
      <c r="R60" s="91" t="inlineStr">
        <is>
          <t>ПАО "СЕВЕРСТАЛЬ"</t>
        </is>
      </c>
      <c r="S60" s="87" t="n">
        <v>1080878</v>
      </c>
      <c r="T60" s="87" t="n">
        <v>2656526979</v>
      </c>
      <c r="U60" s="88" t="n">
        <v>15226</v>
      </c>
      <c r="V60" s="88" t="n">
        <v>0</v>
      </c>
      <c r="W60" s="87" t="n">
        <v>1109434759</v>
      </c>
      <c r="X60" s="112" t="n">
        <v>69</v>
      </c>
      <c r="Y60" s="112" t="inlineStr">
        <is>
          <t>маршрутная</t>
        </is>
      </c>
      <c r="Z60" s="113" t="n">
        <v>6</v>
      </c>
      <c r="AA60" s="113" t="n">
        <v>6</v>
      </c>
      <c r="AB60" s="113" t="n">
        <v>4</v>
      </c>
      <c r="AC60" s="161" t="n">
        <v>1168.64</v>
      </c>
      <c r="AD60" s="161">
        <f>AE60-AC60</f>
        <v/>
      </c>
      <c r="AE60" s="161" t="n">
        <v>1795.51</v>
      </c>
      <c r="AF60" s="162">
        <f>(Z60+AA60+AB60)*'Ставки аренды'!$B$3/X60</f>
        <v/>
      </c>
      <c r="AG60" s="163" t="n">
        <v>0</v>
      </c>
      <c r="AH60" s="164" t="n">
        <v>0</v>
      </c>
      <c r="AI60" s="174">
        <f>507353/712157*AJ60</f>
        <v/>
      </c>
      <c r="AJ60" s="166">
        <f>Цены!D22</f>
        <v/>
      </c>
      <c r="AK60" s="164">
        <f>AJ60/Цены!$B$1</f>
        <v/>
      </c>
      <c r="AL60" s="164">
        <f>AE60+AF60+AG60</f>
        <v/>
      </c>
      <c r="AM60" s="164">
        <f>AJ60-AL60</f>
        <v/>
      </c>
      <c r="AN60" s="164">
        <f>AI60+AH60+AG60+AF60+AE60</f>
        <v/>
      </c>
      <c r="AO60" s="167">
        <f>(AJ60-AN60)/AJ60</f>
        <v/>
      </c>
      <c r="AP60" s="168">
        <f>AL60/AJ60</f>
        <v/>
      </c>
      <c r="AQ60" s="168">
        <f>AE60/AJ60</f>
        <v/>
      </c>
      <c r="AR60" s="168">
        <f>AE60/AL60</f>
        <v/>
      </c>
      <c r="AS60" s="169" t="n">
        <v>1</v>
      </c>
      <c r="AT60" s="121">
        <f>S60*AS60</f>
        <v/>
      </c>
      <c r="AU60" s="83" t="n">
        <v>0.95</v>
      </c>
      <c r="AV60" s="170">
        <f>(AJ60-(AE60*(1+$IS$2)+AF60+AG60+AH60+AI60))/AJ60</f>
        <v/>
      </c>
      <c r="AW60" s="171">
        <f>(AE60*(1+$IS$2)+AF60+AG60)/AJ60</f>
        <v/>
      </c>
      <c r="AX60" s="171">
        <f>(AE60*(1+$IS$2))/AJ60</f>
        <v/>
      </c>
      <c r="AY60" s="171">
        <f>(AE60*(1+$IS$2))/(AE60*(1+$IS$2)+AF60+AG60)</f>
        <v/>
      </c>
      <c r="AZ60" s="172">
        <f>MIN(IF($AU60=100%,1,1+VLOOKUP(($AJ60-$AI60-$AH60-$AG60-$AF60-$AE60*(1+AZ$3))/$AJ60,'Технический лист'!$M:$N,2,1)-VLOOKUP($AO60,'Технический лист'!$M:$N,2,1)),1+(1-$AU60))</f>
        <v/>
      </c>
      <c r="BA60" s="172">
        <f>MIN(IF($AU60=100%,1,1+VLOOKUP(($AJ60-$AI60-$AH60-$AG60-$AF60-$AE60*(1+BA$3))/$AJ60,'Технический лист'!$M:$N,2,1)-VLOOKUP($AO60,'Технический лист'!$M:$N,2,1)),1+(1-$AU60))</f>
        <v/>
      </c>
      <c r="BB60" s="172">
        <f>MIN(IF($AU60=100%,1,1+VLOOKUP(($AJ60-$AI60-$AH60-$AG60-$AF60-$AE60*(1+BB$3))/$AJ60,'Технический лист'!$M:$N,2,1)-VLOOKUP($AO60,'Технический лист'!$M:$N,2,1)),1+(1-$AU60))</f>
        <v/>
      </c>
      <c r="BC60" s="172">
        <f>MIN(IF($AU60=100%,1,1+VLOOKUP(($AJ60-$AI60-$AH60-$AG60-$AF60-$AE60*(1+BC$3))/$AJ60,'Технический лист'!$M:$N,2,1)-VLOOKUP($AO60,'Технический лист'!$M:$N,2,1)),1+(1-$AU60))</f>
        <v/>
      </c>
      <c r="BD60" s="172">
        <f>MIN(IF($AU60=100%,1,1+VLOOKUP(($AJ60-$AI60-$AH60-$AG60-$AF60-$AE60*(1+BD$3))/$AJ60,'Технический лист'!$M:$N,2,1)-VLOOKUP($AO60,'Технический лист'!$M:$N,2,1)),1+(1-$AU60))</f>
        <v/>
      </c>
      <c r="BE60" s="172">
        <f>MIN(IF($AU60=100%,1,1+VLOOKUP(($AJ60-$AI60-$AH60-$AG60-$AF60-$AE60*(1+BE$3))/$AJ60,'Технический лист'!$M:$N,2,1)-VLOOKUP($AO60,'Технический лист'!$M:$N,2,1)),1+(1-$AU60))</f>
        <v/>
      </c>
      <c r="BF60" s="172">
        <f>MIN(IF($AU60=100%,1,1+VLOOKUP(($AJ60-$AI60-$AH60-$AG60-$AF60-$AE60*(1+BF$3))/$AJ60,'Технический лист'!$M:$N,2,1)-VLOOKUP($AO60,'Технический лист'!$M:$N,2,1)),1+(1-$AU60))</f>
        <v/>
      </c>
      <c r="BG60" s="172">
        <f>MIN(IF($AU60=100%,1,1+VLOOKUP(($AJ60-$AI60-$AH60-$AG60-$AF60-$AE60*(1+BG$3))/$AJ60,'Технический лист'!$M:$N,2,1)-VLOOKUP($AO60,'Технический лист'!$M:$N,2,1)),1+(1-$AU60))</f>
        <v/>
      </c>
      <c r="BH60" s="172">
        <f>MIN(IF($AU60=100%,1,1+VLOOKUP(($AJ60-$AI60-$AH60-$AG60-$AF60-$AE60*(1+BH$3))/$AJ60,'Технический лист'!$M:$N,2,1)-VLOOKUP($AO60,'Технический лист'!$M:$N,2,1)),1+(1-$AU60))</f>
        <v/>
      </c>
      <c r="BI60" s="172">
        <f>MIN(IF($AU60=100%,1,1+VLOOKUP(($AJ60-$AI60-$AH60-$AG60-$AF60-$AE60*(1+BI$3))/$AJ60,'Технический лист'!$M:$N,2,1)-VLOOKUP($AO60,'Технический лист'!$M:$N,2,1)),1+(1-$AU60))</f>
        <v/>
      </c>
      <c r="BJ60" s="172">
        <f>MIN(IF($AU60=100%,1,1+VLOOKUP(($AJ60-$AI60-$AH60-$AG60-$AF60-$AE60*(1+BJ$3))/$AJ60,'Технический лист'!$M:$N,2,1)-VLOOKUP($AO60,'Технический лист'!$M:$N,2,1)),1+(1-$AU60))</f>
        <v/>
      </c>
      <c r="BK60" s="172">
        <f>MIN(IF($AU60=100%,1,1+VLOOKUP(($AJ60-$AI60-$AH60-$AG60-$AF60-$AE60*(1+BK$3))/$AJ60,'Технический лист'!$M:$N,2,1)-VLOOKUP($AO60,'Технический лист'!$M:$N,2,1)),1+(1-$AU60))</f>
        <v/>
      </c>
      <c r="BL60" s="172">
        <f>MIN(IF($AU60=100%,1,1+VLOOKUP(($AJ60-$AI60-$AH60-$AG60-$AF60-$AE60*(1+BL$3))/$AJ60,'Технический лист'!$M:$N,2,1)-VLOOKUP($AO60,'Технический лист'!$M:$N,2,1)),1+(1-$AU60))</f>
        <v/>
      </c>
      <c r="BM60" s="172">
        <f>MIN(IF($AU60=100%,1,1+VLOOKUP(($AJ60-$AI60-$AH60-$AG60-$AF60-$AE60*(1+BM$3))/$AJ60,'Технический лист'!$M:$N,2,1)-VLOOKUP($AO60,'Технический лист'!$M:$N,2,1)),1+(1-$AU60))</f>
        <v/>
      </c>
      <c r="BN60" s="172">
        <f>MIN(IF($AU60=100%,1,1+VLOOKUP(($AJ60-$AI60-$AH60-$AG60-$AF60-$AE60*(1+BN$3))/$AJ60,'Технический лист'!$M:$N,2,1)-VLOOKUP($AO60,'Технический лист'!$M:$N,2,1)),1+(1-$AU60))</f>
        <v/>
      </c>
      <c r="BO60" s="172">
        <f>MIN(IF($AU60=100%,1,1+VLOOKUP(($AJ60-$AI60-$AH60-$AG60-$AF60-$AE60*(1+BO$3))/$AJ60,'Технический лист'!$M:$N,2,1)-VLOOKUP($AO60,'Технический лист'!$M:$N,2,1)),1+(1-$AU60))</f>
        <v/>
      </c>
      <c r="BP60" s="172">
        <f>MIN(IF($AU60=100%,1,1+VLOOKUP(($AJ60-$AI60-$AH60-$AG60-$AF60-$AE60*(1+BP$3))/$AJ60,'Технический лист'!$M:$N,2,1)-VLOOKUP($AO60,'Технический лист'!$M:$N,2,1)),1+(1-$AU60))</f>
        <v/>
      </c>
      <c r="BQ60" s="172">
        <f>MIN(IF($AU60=100%,1,1+VLOOKUP(($AJ60-$AI60-$AH60-$AG60-$AF60-$AE60*(1+BQ$3))/$AJ60,'Технический лист'!$M:$N,2,1)-VLOOKUP($AO60,'Технический лист'!$M:$N,2,1)),1+(1-$AU60))</f>
        <v/>
      </c>
      <c r="BR60" s="172">
        <f>MIN(IF($AU60=100%,1,1+VLOOKUP(($AJ60-$AI60-$AH60-$AG60-$AF60-$AE60*(1+BR$3))/$AJ60,'Технический лист'!$M:$N,2,1)-VLOOKUP($AO60,'Технический лист'!$M:$N,2,1)),1+(1-$AU60))</f>
        <v/>
      </c>
      <c r="BS60" s="172">
        <f>MIN(IF($AU60=100%,1,1+VLOOKUP(($AJ60-$AI60-$AH60-$AG60-$AF60-$AE60*(1+BS$3))/$AJ60,'Технический лист'!$M:$N,2,1)-VLOOKUP($AO60,'Технический лист'!$M:$N,2,1)),1+(1-$AU60))</f>
        <v/>
      </c>
      <c r="BT60" s="172">
        <f>MIN(IF($AU60=100%,1,1+VLOOKUP(($AJ60-$AI60-$AH60-$AG60-$AF60-$AE60*(1+BT$3))/$AJ60,'Технический лист'!$M:$N,2,1)-VLOOKUP($AO60,'Технический лист'!$M:$N,2,1)),1+(1-$AU60))</f>
        <v/>
      </c>
      <c r="BU60" s="172">
        <f>MIN(IF($AU60=100%,1,1+VLOOKUP(($AJ60-$AI60-$AH60-$AG60-$AF60-$AE60*(1+BU$3))/$AJ60,'Технический лист'!$M:$N,2,1)-VLOOKUP($AO60,'Технический лист'!$M:$N,2,1)),1+(1-$AU60))</f>
        <v/>
      </c>
      <c r="BV60" s="172">
        <f>MIN(IF($AU60=100%,1,1+VLOOKUP(($AJ60-$AI60-$AH60-$AG60-$AF60-$AE60*(1+BV$3))/$AJ60,'Технический лист'!$M:$N,2,1)-VLOOKUP($AO60,'Технический лист'!$M:$N,2,1)),1+(1-$AU60))</f>
        <v/>
      </c>
      <c r="BW60" s="172">
        <f>MIN(IF($AU60=100%,1,1+VLOOKUP(($AJ60-$AI60-$AH60-$AG60-$AF60-$AE60*(1+BW$3))/$AJ60,'Технический лист'!$M:$N,2,1)-VLOOKUP($AO60,'Технический лист'!$M:$N,2,1)),1+(1-$AU60))</f>
        <v/>
      </c>
      <c r="BX60" s="172">
        <f>MIN(IF($AU60=100%,1,1+VLOOKUP(($AJ60-$AI60-$AH60-$AG60-$AF60-$AE60*(1+BX$3))/$AJ60,'Технический лист'!$M:$N,2,1)-VLOOKUP($AO60,'Технический лист'!$M:$N,2,1)),1+(1-$AU60))</f>
        <v/>
      </c>
      <c r="BY60" s="172">
        <f>MIN(IF($AU60=100%,1,1+VLOOKUP(($AJ60-$AI60-$AH60-$AG60-$AF60-$AE60*(1+BY$3))/$AJ60,'Технический лист'!$M:$N,2,1)-VLOOKUP($AO60,'Технический лист'!$M:$N,2,1)),1+(1-$AU60))</f>
        <v/>
      </c>
      <c r="BZ60" s="172">
        <f>MIN(IF($AU60=100%,1,1+VLOOKUP(($AJ60-$AI60-$AH60-$AG60-$AF60-$AE60*(1+BZ$3))/$AJ60,'Технический лист'!$M:$N,2,1)-VLOOKUP($AO60,'Технический лист'!$M:$N,2,1)),1+(1-$AU60))</f>
        <v/>
      </c>
      <c r="CA60" s="172">
        <f>MIN(IF($AU60=100%,1,1+VLOOKUP(($AJ60-$AI60-$AH60-$AG60-$AF60-$AE60*(1+CA$3))/$AJ60,'Технический лист'!$M:$N,2,1)-VLOOKUP($AO60,'Технический лист'!$M:$N,2,1)),1+(1-$AU60))</f>
        <v/>
      </c>
      <c r="CB60" s="172">
        <f>MIN(IF($AU60=100%,1,1+VLOOKUP(($AJ60-$AI60-$AH60-$AG60-$AF60-$AE60*(1+CB$3))/$AJ60,'Технический лист'!$M:$N,2,1)-VLOOKUP($AO60,'Технический лист'!$M:$N,2,1)),1+(1-$AU60))</f>
        <v/>
      </c>
      <c r="CC60" s="172">
        <f>MIN(IF($AU60=100%,1,1+VLOOKUP(($AJ60-$AI60-$AH60-$AG60-$AF60-$AE60*(1+CC$3))/$AJ60,'Технический лист'!$M:$N,2,1)-VLOOKUP($AO60,'Технический лист'!$M:$N,2,1)),1+(1-$AU60))</f>
        <v/>
      </c>
      <c r="CD60" s="172">
        <f>MIN(IF($AU60=100%,1,1+VLOOKUP(($AJ60-$AI60-$AH60-$AG60-$AF60-$AE60*(1+CD$3))/$AJ60,'Технический лист'!$M:$N,2,1)-VLOOKUP($AO60,'Технический лист'!$M:$N,2,1)),1+(1-$AU60))</f>
        <v/>
      </c>
      <c r="CE60" s="172">
        <f>MIN(IF($AU60=100%,1,1+VLOOKUP(($AJ60-$AI60-$AH60-$AG60-$AF60-$AE60*(1+CE$3))/$AJ60,'Технический лист'!$M:$N,2,1)-VLOOKUP($AO60,'Технический лист'!$M:$N,2,1)),1+(1-$AU60))</f>
        <v/>
      </c>
      <c r="CF60" s="172">
        <f>MIN(IF($AU60=100%,1,1+VLOOKUP(($AJ60-$AI60-$AH60-$AG60-$AF60-$AE60*(1+CF$3))/$AJ60,'Технический лист'!$M:$N,2,1)-VLOOKUP($AO60,'Технический лист'!$M:$N,2,1)),1+(1-$AU60))</f>
        <v/>
      </c>
      <c r="CG60" s="172">
        <f>MIN(IF($AU60=100%,1,1+VLOOKUP(($AJ60-$AI60-$AH60-$AG60-$AF60-$AE60*(1+CG$3))/$AJ60,'Технический лист'!$M:$N,2,1)-VLOOKUP($AO60,'Технический лист'!$M:$N,2,1)),1+(1-$AU60))</f>
        <v/>
      </c>
      <c r="CH60" s="172">
        <f>MIN(IF($AU60=100%,1,1+VLOOKUP(($AJ60-$AI60-$AH60-$AG60-$AF60-$AE60*(1+CH$3))/$AJ60,'Технический лист'!$M:$N,2,1)-VLOOKUP($AO60,'Технический лист'!$M:$N,2,1)),1+(1-$AU60))</f>
        <v/>
      </c>
      <c r="CI60" s="172">
        <f>MIN(IF($AU60=100%,1,1+VLOOKUP(($AJ60-$AI60-$AH60-$AG60-$AF60-$AE60*(1+CI$3))/$AJ60,'Технический лист'!$M:$N,2,1)-VLOOKUP($AO60,'Технический лист'!$M:$N,2,1)),1+(1-$AU60))</f>
        <v/>
      </c>
      <c r="CJ60" s="172">
        <f>MIN(IF($AU60=100%,1,1+VLOOKUP(($AJ60-$AI60-$AH60-$AG60-$AF60-$AE60*(1+CJ$3))/$AJ60,'Технический лист'!$M:$N,2,1)-VLOOKUP($AO60,'Технический лист'!$M:$N,2,1)),1+(1-$AU60))</f>
        <v/>
      </c>
      <c r="CK60" s="172">
        <f>MIN(IF($AU60=100%,1,1+VLOOKUP(($AJ60-$AI60-$AH60-$AG60-$AF60-$AE60*(1+CK$3))/$AJ60,'Технический лист'!$M:$N,2,1)-VLOOKUP($AO60,'Технический лист'!$M:$N,2,1)),1+(1-$AU60))</f>
        <v/>
      </c>
      <c r="CL60" s="172">
        <f>MIN(IF($AU60=100%,1,1+VLOOKUP(($AJ60-$AI60-$AH60-$AG60-$AF60-$AE60*(1+CL$3))/$AJ60,'Технический лист'!$M:$N,2,1)-VLOOKUP($AO60,'Технический лист'!$M:$N,2,1)),1+(1-$AU60))</f>
        <v/>
      </c>
      <c r="CM60" s="172">
        <f>MIN(IF($AU60=100%,1,1+VLOOKUP(($AJ60-$AI60-$AH60-$AG60-$AF60-$AE60*(1+CM$3))/$AJ60,'Технический лист'!$M:$N,2,1)-VLOOKUP($AO60,'Технический лист'!$M:$N,2,1)),1+(1-$AU60))</f>
        <v/>
      </c>
      <c r="CN60" s="172">
        <f>MIN(IF($AU60=100%,1,1+VLOOKUP(($AJ60-$AI60-$AH60-$AG60-$AF60-$AE60*(1+CN$3))/$AJ60,'Технический лист'!$M:$N,2,1)-VLOOKUP($AO60,'Технический лист'!$M:$N,2,1)),1+(1-$AU60))</f>
        <v/>
      </c>
      <c r="CO60" s="172">
        <f>MIN(IF($AU60=100%,1,1+VLOOKUP(($AJ60-$AI60-$AH60-$AG60-$AF60-$AE60*(1+CO$3))/$AJ60,'Технический лист'!$M:$N,2,1)-VLOOKUP($AO60,'Технический лист'!$M:$N,2,1)),1+(1-$AU60))</f>
        <v/>
      </c>
      <c r="CP60" s="172">
        <f>MIN(IF($AU60=100%,1,1+VLOOKUP(($AJ60-$AI60-$AH60-$AG60-$AF60-$AE60*(1+CP$3))/$AJ60,'Технический лист'!$M:$N,2,1)-VLOOKUP($AO60,'Технический лист'!$M:$N,2,1)),1+(1-$AU60))</f>
        <v/>
      </c>
      <c r="CQ60" s="172">
        <f>MIN(IF($AU60=100%,1,1+VLOOKUP(($AJ60-$AI60-$AH60-$AG60-$AF60-$AE60*(1+CQ$3))/$AJ60,'Технический лист'!$M:$N,2,1)-VLOOKUP($AO60,'Технический лист'!$M:$N,2,1)),1+(1-$AU60))</f>
        <v/>
      </c>
      <c r="CR60" s="172">
        <f>MIN(IF($AU60=100%,1,1+VLOOKUP(($AJ60-$AI60-$AH60-$AG60-$AF60-$AE60*(1+CR$3))/$AJ60,'Технический лист'!$M:$N,2,1)-VLOOKUP($AO60,'Технический лист'!$M:$N,2,1)),1+(1-$AU60))</f>
        <v/>
      </c>
      <c r="CS60" s="172">
        <f>MIN(IF($AU60=100%,1,1+VLOOKUP(($AJ60-$AI60-$AH60-$AG60-$AF60-$AE60*(1+CS$3))/$AJ60,'Технический лист'!$M:$N,2,1)-VLOOKUP($AO60,'Технический лист'!$M:$N,2,1)),1+(1-$AU60))</f>
        <v/>
      </c>
      <c r="CT60" s="172">
        <f>MIN(IF($AU60=100%,1,1+VLOOKUP(($AJ60-$AI60-$AH60-$AG60-$AF60-$AE60*(1+CT$3))/$AJ60,'Технический лист'!$M:$N,2,1)-VLOOKUP($AO60,'Технический лист'!$M:$N,2,1)),1+(1-$AU60))</f>
        <v/>
      </c>
      <c r="CU60" s="172">
        <f>MIN(IF($AU60=100%,1,1+VLOOKUP(($AJ60-$AI60-$AH60-$AG60-$AF60-$AE60*(1+CU$3))/$AJ60,'Технический лист'!$M:$N,2,1)-VLOOKUP($AO60,'Технический лист'!$M:$N,2,1)),1+(1-$AU60))</f>
        <v/>
      </c>
      <c r="CV60" s="172">
        <f>MIN(IF($AU60=100%,1,1+VLOOKUP(($AJ60-$AI60-$AH60-$AG60-$AF60-$AE60*(1+CV$3))/$AJ60,'Технический лист'!$M:$N,2,1)-VLOOKUP($AO60,'Технический лист'!$M:$N,2,1)),1+(1-$AU60))</f>
        <v/>
      </c>
      <c r="CW60" s="172">
        <f>MIN(IF($AU60=100%,1,1+VLOOKUP(($AJ60-$AI60-$AH60-$AG60-$AF60-$AE60*(1+CW$3))/$AJ60,'Технический лист'!$M:$N,2,1)-VLOOKUP($AO60,'Технический лист'!$M:$N,2,1)),1+(1-$AU60))</f>
        <v/>
      </c>
      <c r="CX60" s="172">
        <f>MIN(IF($AU60=100%,1,1+VLOOKUP(($AJ60-$AI60-$AH60-$AG60-$AF60-$AE60*(1+CX$3))/$AJ60,'Технический лист'!$M:$N,2,1)-VLOOKUP($AO60,'Технический лист'!$M:$N,2,1)),1+(1-$AU60))</f>
        <v/>
      </c>
      <c r="CY60" s="172">
        <f>MIN(IF($AU60=100%,1,1+VLOOKUP(($AJ60-$AI60-$AH60-$AG60-$AF60-$AE60*(1+CY$3))/$AJ60,'Технический лист'!$M:$N,2,1)-VLOOKUP($AO60,'Технический лист'!$M:$N,2,1)),1+(1-$AU60))</f>
        <v/>
      </c>
      <c r="CZ60" s="172">
        <f>MIN(IF($AU60=100%,1,1+VLOOKUP(($AJ60-$AI60-$AH60-$AG60-$AF60-$AE60*(1+CZ$3))/$AJ60,'Технический лист'!$M:$N,2,1)-VLOOKUP($AO60,'Технический лист'!$M:$N,2,1)),1+(1-$AU60))</f>
        <v/>
      </c>
      <c r="DA60" s="172">
        <f>MIN(IF($AU60=100%,1,1+VLOOKUP(($AJ60-$AI60-$AH60-$AG60-$AF60-$AE60*(1+DA$3))/$AJ60,'Технический лист'!$M:$N,2,1)-VLOOKUP($AO60,'Технический лист'!$M:$N,2,1)),1+(1-$AU60))</f>
        <v/>
      </c>
      <c r="DB60" s="172">
        <f>MIN(IF($AU60=100%,1,1+VLOOKUP(($AJ60-$AI60-$AH60-$AG60-$AF60-$AE60*(1+DB$3))/$AJ60,'Технический лист'!$M:$N,2,1)-VLOOKUP($AO60,'Технический лист'!$M:$N,2,1)),1+(1-$AU60))</f>
        <v/>
      </c>
      <c r="DC60" s="172">
        <f>MIN(IF($AU60=100%,1,1+VLOOKUP(($AJ60-$AI60-$AH60-$AG60-$AF60-$AE60*(1+DC$3))/$AJ60,'Технический лист'!$M:$N,2,1)-VLOOKUP($AO60,'Технический лист'!$M:$N,2,1)),1+(1-$AU60))</f>
        <v/>
      </c>
      <c r="DD60" s="172">
        <f>MIN(IF($AU60=100%,1,1+VLOOKUP(($AJ60-$AI60-$AH60-$AG60-$AF60-$AE60*(1+DD$3))/$AJ60,'Технический лист'!$M:$N,2,1)-VLOOKUP($AO60,'Технический лист'!$M:$N,2,1)),1+(1-$AU60))</f>
        <v/>
      </c>
      <c r="DE60" s="172">
        <f>MIN(IF($AU60=100%,1,1+VLOOKUP(($AJ60-$AI60-$AH60-$AG60-$AF60-$AE60*(1+DE$3))/$AJ60,'Технический лист'!$M:$N,2,1)-VLOOKUP($AO60,'Технический лист'!$M:$N,2,1)),1+(1-$AU60))</f>
        <v/>
      </c>
      <c r="DF60" s="172">
        <f>MIN(IF($AU60=100%,1,1+VLOOKUP(($AJ60-$AI60-$AH60-$AG60-$AF60-$AE60*(1+DF$3))/$AJ60,'Технический лист'!$M:$N,2,1)-VLOOKUP($AO60,'Технический лист'!$M:$N,2,1)),1+(1-$AU60))</f>
        <v/>
      </c>
      <c r="DG60" s="172">
        <f>MIN(IF($AU60=100%,1,1+VLOOKUP(($AJ60-$AI60-$AH60-$AG60-$AF60-$AE60*(1+DG$3))/$AJ60,'Технический лист'!$M:$N,2,1)-VLOOKUP($AO60,'Технический лист'!$M:$N,2,1)),1+(1-$AU60))</f>
        <v/>
      </c>
      <c r="DH60" s="172">
        <f>MIN(IF($AU60=100%,1,1+VLOOKUP(($AJ60-$AI60-$AH60-$AG60-$AF60-$AE60*(1+DH$3))/$AJ60,'Технический лист'!$M:$N,2,1)-VLOOKUP($AO60,'Технический лист'!$M:$N,2,1)),1+(1-$AU60))</f>
        <v/>
      </c>
      <c r="DI60" s="172">
        <f>MIN(IF($AU60=100%,1,1+VLOOKUP(($AJ60-$AI60-$AH60-$AG60-$AF60-$AE60*(1+DI$3))/$AJ60,'Технический лист'!$M:$N,2,1)-VLOOKUP($AO60,'Технический лист'!$M:$N,2,1)),1+(1-$AU60))</f>
        <v/>
      </c>
      <c r="DJ60" s="172">
        <f>MIN(IF($AU60=100%,1,1+VLOOKUP(($AJ60-$AI60-$AH60-$AG60-$AF60-$AE60*(1+DJ$3))/$AJ60,'Технический лист'!$M:$N,2,1)-VLOOKUP($AO60,'Технический лист'!$M:$N,2,1)),1+(1-$AU60))</f>
        <v/>
      </c>
      <c r="DK60" s="172">
        <f>MIN(IF($AU60=100%,1,1+VLOOKUP(($AJ60-$AI60-$AH60-$AG60-$AF60-$AE60*(1+DK$3))/$AJ60,'Технический лист'!$M:$N,2,1)-VLOOKUP($AO60,'Технический лист'!$M:$N,2,1)),1+(1-$AU60))</f>
        <v/>
      </c>
      <c r="DL60" s="172">
        <f>MIN(IF($AU60=100%,1,1+VLOOKUP(($AJ60-$AI60-$AH60-$AG60-$AF60-$AE60*(1+DL$3))/$AJ60,'Технический лист'!$M:$N,2,1)-VLOOKUP($AO60,'Технический лист'!$M:$N,2,1)),1+(1-$AU60))</f>
        <v/>
      </c>
      <c r="DM60" s="172">
        <f>MIN(IF($AU60=100%,1,1+VLOOKUP(($AJ60-$AI60-$AH60-$AG60-$AF60-$AE60*(1+DM$3))/$AJ60,'Технический лист'!$M:$N,2,1)-VLOOKUP($AO60,'Технический лист'!$M:$N,2,1)),1+(1-$AU60))</f>
        <v/>
      </c>
      <c r="DN60" s="172">
        <f>MIN(IF($AU60=100%,1,1+VLOOKUP(($AJ60-$AI60-$AH60-$AG60-$AF60-$AE60*(1+DN$3))/$AJ60,'Технический лист'!$M:$N,2,1)-VLOOKUP($AO60,'Технический лист'!$M:$N,2,1)),1+(1-$AU60))</f>
        <v/>
      </c>
      <c r="DO60" s="172">
        <f>MIN(IF($AU60=100%,1,1+VLOOKUP(($AJ60-$AI60-$AH60-$AG60-$AF60-$AE60*(1+DO$3))/$AJ60,'Технический лист'!$M:$N,2,1)-VLOOKUP($AO60,'Технический лист'!$M:$N,2,1)),1+(1-$AU60))</f>
        <v/>
      </c>
      <c r="DP60" s="172">
        <f>MIN(IF($AU60=100%,1,1+VLOOKUP(($AJ60-$AI60-$AH60-$AG60-$AF60-$AE60*(1+DP$3))/$AJ60,'Технический лист'!$M:$N,2,1)-VLOOKUP($AO60,'Технический лист'!$M:$N,2,1)),1+(1-$AU60))</f>
        <v/>
      </c>
      <c r="DQ60" s="172">
        <f>MIN(IF($AU60=100%,1,1+VLOOKUP(($AJ60-$AI60-$AH60-$AG60-$AF60-$AE60*(1+DQ$3))/$AJ60,'Технический лист'!$M:$N,2,1)-VLOOKUP($AO60,'Технический лист'!$M:$N,2,1)),1+(1-$AU60))</f>
        <v/>
      </c>
      <c r="DR60" s="172">
        <f>MIN(IF($AU60=100%,1,1+VLOOKUP(($AJ60-$AI60-$AH60-$AG60-$AF60-$AE60*(1+DR$3))/$AJ60,'Технический лист'!$M:$N,2,1)-VLOOKUP($AO60,'Технический лист'!$M:$N,2,1)),1+(1-$AU60))</f>
        <v/>
      </c>
      <c r="DS60" s="172">
        <f>MIN(IF($AU60=100%,1,1+VLOOKUP(($AJ60-$AI60-$AH60-$AG60-$AF60-$AE60*(1+DS$3))/$AJ60,'Технический лист'!$M:$N,2,1)-VLOOKUP($AO60,'Технический лист'!$M:$N,2,1)),1+(1-$AU60))</f>
        <v/>
      </c>
      <c r="DT60" s="172">
        <f>MIN(IF($AU60=100%,1,1+VLOOKUP(($AJ60-$AI60-$AH60-$AG60-$AF60-$AE60*(1+DT$3))/$AJ60,'Технический лист'!$M:$N,2,1)-VLOOKUP($AO60,'Технический лист'!$M:$N,2,1)),1+(1-$AU60))</f>
        <v/>
      </c>
      <c r="DU60" s="172">
        <f>MIN(IF($AU60=100%,1,1+VLOOKUP(($AJ60-$AI60-$AH60-$AG60-$AF60-$AE60*(1+DU$3))/$AJ60,'Технический лист'!$M:$N,2,1)-VLOOKUP($AO60,'Технический лист'!$M:$N,2,1)),1+(1-$AU60))</f>
        <v/>
      </c>
      <c r="DV60" s="172">
        <f>MIN(IF($AU60=100%,1,1+VLOOKUP(($AJ60-$AI60-$AH60-$AG60-$AF60-$AE60*(1+DV$3))/$AJ60,'Технический лист'!$M:$N,2,1)-VLOOKUP($AO60,'Технический лист'!$M:$N,2,1)),1+(1-$AU60))</f>
        <v/>
      </c>
      <c r="DW60" s="172">
        <f>MIN(IF($AU60=100%,1,1+VLOOKUP(($AJ60-$AI60-$AH60-$AG60-$AF60-$AE60*(1+DW$3))/$AJ60,'Технический лист'!$M:$N,2,1)-VLOOKUP($AO60,'Технический лист'!$M:$N,2,1)),1+(1-$AU60))</f>
        <v/>
      </c>
      <c r="DX60" s="172">
        <f>MIN(IF($AU60=100%,1,1+VLOOKUP(($AJ60-$AI60-$AH60-$AG60-$AF60-$AE60*(1+DX$3))/$AJ60,'Технический лист'!$M:$N,2,1)-VLOOKUP($AO60,'Технический лист'!$M:$N,2,1)),1+(1-$AU60))</f>
        <v/>
      </c>
      <c r="DY60" s="172">
        <f>MIN(IF($AU60=100%,1,1+VLOOKUP(($AJ60-$AI60-$AH60-$AG60-$AF60-$AE60*(1+DY$3))/$AJ60,'Технический лист'!$M:$N,2,1)-VLOOKUP($AO60,'Технический лист'!$M:$N,2,1)),1+(1-$AU60))</f>
        <v/>
      </c>
      <c r="DZ60" s="172">
        <f>MIN(IF($AU60=100%,1,1+VLOOKUP(($AJ60-$AI60-$AH60-$AG60-$AF60-$AE60*(1+DZ$3))/$AJ60,'Технический лист'!$M:$N,2,1)-VLOOKUP($AO60,'Технический лист'!$M:$N,2,1)),1+(1-$AU60))</f>
        <v/>
      </c>
      <c r="EA60" s="172">
        <f>MIN(IF($AU60=100%,1,1+VLOOKUP(($AJ60-$AI60-$AH60-$AG60-$AF60-$AE60*(1+EA$3))/$AJ60,'Технический лист'!$M:$N,2,1)-VLOOKUP($AO60,'Технический лист'!$M:$N,2,1)),1+(1-$AU60))</f>
        <v/>
      </c>
      <c r="EB60" s="172">
        <f>MIN(IF($AU60=100%,1,1+VLOOKUP(($AJ60-$AI60-$AH60-$AG60-$AF60-$AE60*(1+EB$3))/$AJ60,'Технический лист'!$M:$N,2,1)-VLOOKUP($AO60,'Технический лист'!$M:$N,2,1)),1+(1-$AU60))</f>
        <v/>
      </c>
      <c r="EC60" s="172">
        <f>MIN(IF($AU60=100%,1,1+VLOOKUP(($AJ60-$AI60-$AH60-$AG60-$AF60-$AE60*(1+EC$3))/$AJ60,'Технический лист'!$M:$N,2,1)-VLOOKUP($AO60,'Технический лист'!$M:$N,2,1)),1+(1-$AU60))</f>
        <v/>
      </c>
      <c r="ED60" s="172">
        <f>MIN(IF($AU60=100%,1,1+VLOOKUP(($AJ60-$AI60-$AH60-$AG60-$AF60-$AE60*(1+ED$3))/$AJ60,'Технический лист'!$M:$N,2,1)-VLOOKUP($AO60,'Технический лист'!$M:$N,2,1)),1+(1-$AU60))</f>
        <v/>
      </c>
      <c r="EE60" s="172">
        <f>MIN(IF($AU60=100%,1,1+VLOOKUP(($AJ60-$AI60-$AH60-$AG60-$AF60-$AE60*(1+EE$3))/$AJ60,'Технический лист'!$M:$N,2,1)-VLOOKUP($AO60,'Технический лист'!$M:$N,2,1)),1+(1-$AU60))</f>
        <v/>
      </c>
      <c r="EF60" s="172">
        <f>MIN(IF($AU60=100%,1,1+VLOOKUP(($AJ60-$AI60-$AH60-$AG60-$AF60-$AE60*(1+EF$3))/$AJ60,'Технический лист'!$M:$N,2,1)-VLOOKUP($AO60,'Технический лист'!$M:$N,2,1)),1+(1-$AU60))</f>
        <v/>
      </c>
      <c r="EG60" s="172">
        <f>MIN(IF($AU60=100%,1,1+VLOOKUP(($AJ60-$AI60-$AH60-$AG60-$AF60-$AE60*(1+EG$3))/$AJ60,'Технический лист'!$M:$N,2,1)-VLOOKUP($AO60,'Технический лист'!$M:$N,2,1)),1+(1-$AU60))</f>
        <v/>
      </c>
      <c r="EH60" s="172">
        <f>MIN(IF($AU60=100%,1,1+VLOOKUP(($AJ60-$AI60-$AH60-$AG60-$AF60-$AE60*(1+EH$3))/$AJ60,'Технический лист'!$M:$N,2,1)-VLOOKUP($AO60,'Технический лист'!$M:$N,2,1)),1+(1-$AU60))</f>
        <v/>
      </c>
      <c r="EI60" s="172">
        <f>MIN(IF($AU60=100%,1,1+VLOOKUP(($AJ60-$AI60-$AH60-$AG60-$AF60-$AE60*(1+EI$3))/$AJ60,'Технический лист'!$M:$N,2,1)-VLOOKUP($AO60,'Технический лист'!$M:$N,2,1)),1+(1-$AU60))</f>
        <v/>
      </c>
      <c r="EJ60" s="172">
        <f>MIN(IF($AU60=100%,1,1+VLOOKUP(($AJ60-$AI60-$AH60-$AG60-$AF60-$AE60*(1+EJ$3))/$AJ60,'Технический лист'!$M:$N,2,1)-VLOOKUP($AO60,'Технический лист'!$M:$N,2,1)),1+(1-$AU60))</f>
        <v/>
      </c>
      <c r="EK60" s="172">
        <f>MIN(IF($AU60=100%,1,1+VLOOKUP(($AJ60-$AI60-$AH60-$AG60-$AF60-$AE60*(1+EK$3))/$AJ60,'Технический лист'!$M:$N,2,1)-VLOOKUP($AO60,'Технический лист'!$M:$N,2,1)),1+(1-$AU60))</f>
        <v/>
      </c>
      <c r="EL60" s="172">
        <f>MIN(IF($AU60=100%,1,1+VLOOKUP(($AJ60-$AI60-$AH60-$AG60-$AF60-$AE60*(1+EL$3))/$AJ60,'Технический лист'!$M:$N,2,1)-VLOOKUP($AO60,'Технический лист'!$M:$N,2,1)),1+(1-$AU60))</f>
        <v/>
      </c>
      <c r="EM60" s="172">
        <f>MIN(IF($AU60=100%,1,1+VLOOKUP(($AJ60-$AI60-$AH60-$AG60-$AF60-$AE60*(1+EM$3))/$AJ60,'Технический лист'!$M:$N,2,1)-VLOOKUP($AO60,'Технический лист'!$M:$N,2,1)),1+(1-$AU60))</f>
        <v/>
      </c>
      <c r="EN60" s="172">
        <f>MIN(IF($AU60=100%,1,1+VLOOKUP(($AJ60-$AI60-$AH60-$AG60-$AF60-$AE60*(1+EN$3))/$AJ60,'Технический лист'!$M:$N,2,1)-VLOOKUP($AO60,'Технический лист'!$M:$N,2,1)),1+(1-$AU60))</f>
        <v/>
      </c>
      <c r="EO60" s="172">
        <f>MIN(IF($AU60=100%,1,1+VLOOKUP(($AJ60-$AI60-$AH60-$AG60-$AF60-$AE60*(1+EO$3))/$AJ60,'Технический лист'!$M:$N,2,1)-VLOOKUP($AO60,'Технический лист'!$M:$N,2,1)),1+(1-$AU60))</f>
        <v/>
      </c>
      <c r="EP60" s="172">
        <f>MIN(IF($AU60=100%,1,1+VLOOKUP(($AJ60-$AI60-$AH60-$AG60-$AF60-$AE60*(1+EP$3))/$AJ60,'Технический лист'!$M:$N,2,1)-VLOOKUP($AO60,'Технический лист'!$M:$N,2,1)),1+(1-$AU60))</f>
        <v/>
      </c>
      <c r="EQ60" s="172">
        <f>MIN(IF($AU60=100%,1,1+VLOOKUP(($AJ60-$AI60-$AH60-$AG60-$AF60-$AE60*(1+EQ$3))/$AJ60,'Технический лист'!$M:$N,2,1)-VLOOKUP($AO60,'Технический лист'!$M:$N,2,1)),1+(1-$AU60))</f>
        <v/>
      </c>
      <c r="ER60" s="172">
        <f>MIN(IF($AU60=100%,1,1+VLOOKUP(($AJ60-$AI60-$AH60-$AG60-$AF60-$AE60*(1+ER$3))/$AJ60,'Технический лист'!$M:$N,2,1)-VLOOKUP($AO60,'Технический лист'!$M:$N,2,1)),1+(1-$AU60))</f>
        <v/>
      </c>
      <c r="ES60" s="172">
        <f>MIN(IF($AU60=100%,1,1+VLOOKUP(($AJ60-$AI60-$AH60-$AG60-$AF60-$AE60*(1+ES$3))/$AJ60,'Технический лист'!$M:$N,2,1)-VLOOKUP($AO60,'Технический лист'!$M:$N,2,1)),1+(1-$AU60))</f>
        <v/>
      </c>
      <c r="ET60" s="172">
        <f>MIN(IF($AU60=100%,1,1+VLOOKUP(($AJ60-$AI60-$AH60-$AG60-$AF60-$AE60*(1+ET$3))/$AJ60,'Технический лист'!$M:$N,2,1)-VLOOKUP($AO60,'Технический лист'!$M:$N,2,1)),1+(1-$AU60))</f>
        <v/>
      </c>
      <c r="EU60" s="172">
        <f>MIN(IF($AU60=100%,1,1+VLOOKUP(($AJ60-$AI60-$AH60-$AG60-$AF60-$AE60*(1+EU$3))/$AJ60,'Технический лист'!$M:$N,2,1)-VLOOKUP($AO60,'Технический лист'!$M:$N,2,1)),1+(1-$AU60))</f>
        <v/>
      </c>
      <c r="EV60" s="173" t="n">
        <v>1</v>
      </c>
      <c r="EW60" s="172">
        <f>MIN(1,MAX(VLOOKUP(($AJ60-$AI60-$AH60-$AG60-$AF60-$AE60*(1+EW$3))/$AJ60,'Технический лист'!$M:$N,2,1),(EV60-0.05)))</f>
        <v/>
      </c>
      <c r="EX60" s="172">
        <f>MIN(1,MAX(VLOOKUP(($AJ60-$AI60-$AH60-$AG60-$AF60-$AE60*(1+EX$3))/$AJ60,'Технический лист'!$M:$N,2,1),(EW60-0.05)))</f>
        <v/>
      </c>
      <c r="EY60" s="172">
        <f>MIN(1,MAX(VLOOKUP(($AJ60-$AI60-$AH60-$AG60-$AF60-$AE60*(1+EY$3))/$AJ60,'Технический лист'!$M:$N,2,1),(EX60-0.05)))</f>
        <v/>
      </c>
      <c r="EZ60" s="172">
        <f>MIN(1,MAX(VLOOKUP(($AJ60-$AI60-$AH60-$AG60-$AF60-$AE60*(1+EZ$3))/$AJ60,'Технический лист'!$M:$N,2,1),(EY60-0.05)))</f>
        <v/>
      </c>
      <c r="FA60" s="172">
        <f>MIN(1,MAX(VLOOKUP(($AJ60-$AI60-$AH60-$AG60-$AF60-$AE60*(1+FA$3))/$AJ60,'Технический лист'!$M:$N,2,1),(EZ60-0.05)))</f>
        <v/>
      </c>
      <c r="FB60" s="172">
        <f>MIN(1,MAX(VLOOKUP(($AJ60-$AI60-$AH60-$AG60-$AF60-$AE60*(1+FB$3))/$AJ60,'Технический лист'!$M:$N,2,1),(FA60-0.05)))</f>
        <v/>
      </c>
      <c r="FC60" s="172">
        <f>MIN(1,MAX(VLOOKUP(($AJ60-$AI60-$AH60-$AG60-$AF60-$AE60*(1+FC$3))/$AJ60,'Технический лист'!$M:$N,2,1),(FB60-0.05)))</f>
        <v/>
      </c>
      <c r="FD60" s="172">
        <f>MIN(1,MAX(VLOOKUP(($AJ60-$AI60-$AH60-$AG60-$AF60-$AE60*(1+FD$3))/$AJ60,'Технический лист'!$M:$N,2,1),(FC60-0.05)))</f>
        <v/>
      </c>
      <c r="FE60" s="172">
        <f>MIN(1,MAX(VLOOKUP(($AJ60-$AI60-$AH60-$AG60-$AF60-$AE60*(1+FE$3))/$AJ60,'Технический лист'!$M:$N,2,1),(FD60-0.05)))</f>
        <v/>
      </c>
      <c r="FF60" s="172">
        <f>MIN(1,MAX(VLOOKUP(($AJ60-$AI60-$AH60-$AG60-$AF60-$AE60*(1+FF$3))/$AJ60,'Технический лист'!$M:$N,2,1),(FE60-0.05)))</f>
        <v/>
      </c>
      <c r="FG60" s="172">
        <f>MIN(1,MAX(VLOOKUP(($AJ60-$AI60-$AH60-$AG60-$AF60-$AE60*(1+FG$3))/$AJ60,'Технический лист'!$M:$N,2,1),(FF60-0.05)))</f>
        <v/>
      </c>
      <c r="FH60" s="172">
        <f>MIN(1,MAX(VLOOKUP(($AJ60-$AI60-$AH60-$AG60-$AF60-$AE60*(1+FH$3))/$AJ60,'Технический лист'!$M:$N,2,1),(FG60-0.05)))</f>
        <v/>
      </c>
      <c r="FI60" s="172">
        <f>MIN(1,MAX(VLOOKUP(($AJ60-$AI60-$AH60-$AG60-$AF60-$AE60*(1+FI$3))/$AJ60,'Технический лист'!$M:$N,2,1),(FH60-0.05)))</f>
        <v/>
      </c>
      <c r="FJ60" s="172">
        <f>MIN(1,MAX(VLOOKUP(($AJ60-$AI60-$AH60-$AG60-$AF60-$AE60*(1+FJ$3))/$AJ60,'Технический лист'!$M:$N,2,1),(FI60-0.05)))</f>
        <v/>
      </c>
      <c r="FK60" s="172">
        <f>MIN(1,MAX(VLOOKUP(($AJ60-$AI60-$AH60-$AG60-$AF60-$AE60*(1+FK$3))/$AJ60,'Технический лист'!$M:$N,2,1),(FJ60-0.05)))</f>
        <v/>
      </c>
      <c r="FL60" s="172">
        <f>MIN(1,MAX(VLOOKUP(($AJ60-$AI60-$AH60-$AG60-$AF60-$AE60*(1+FL$3))/$AJ60,'Технический лист'!$M:$N,2,1),(FK60-0.05)))</f>
        <v/>
      </c>
      <c r="FM60" s="172">
        <f>MIN(1,MAX(VLOOKUP(($AJ60-$AI60-$AH60-$AG60-$AF60-$AE60*(1+FM$3))/$AJ60,'Технический лист'!$M:$N,2,1),(FL60-0.05)))</f>
        <v/>
      </c>
      <c r="FN60" s="172">
        <f>MIN(1,MAX(VLOOKUP(($AJ60-$AI60-$AH60-$AG60-$AF60-$AE60*(1+FN$3))/$AJ60,'Технический лист'!$M:$N,2,1),(FM60-0.05)))</f>
        <v/>
      </c>
      <c r="FO60" s="172">
        <f>MIN(1,MAX(VLOOKUP(($AJ60-$AI60-$AH60-$AG60-$AF60-$AE60*(1+FO$3))/$AJ60,'Технический лист'!$M:$N,2,1),(FN60-0.05)))</f>
        <v/>
      </c>
      <c r="FP60" s="172">
        <f>MIN(1,MAX(VLOOKUP(($AJ60-$AI60-$AH60-$AG60-$AF60-$AE60*(1+FP$3))/$AJ60,'Технический лист'!$M:$N,2,1),(FO60-0.05)))</f>
        <v/>
      </c>
      <c r="FQ60" s="172">
        <f>MIN(1,MAX(VLOOKUP(($AJ60-$AI60-$AH60-$AG60-$AF60-$AE60*(1+FQ$3))/$AJ60,'Технический лист'!$M:$N,2,1),(FP60-0.05)))</f>
        <v/>
      </c>
      <c r="FR60" s="172">
        <f>MIN(1,MAX(VLOOKUP(($AJ60-$AI60-$AH60-$AG60-$AF60-$AE60*(1+FR$3))/$AJ60,'Технический лист'!$M:$N,2,1),(FQ60-0.05)))</f>
        <v/>
      </c>
      <c r="FS60" s="172">
        <f>MIN(1,MAX(VLOOKUP(($AJ60-$AI60-$AH60-$AG60-$AF60-$AE60*(1+FS$3))/$AJ60,'Технический лист'!$M:$N,2,1),(FR60-0.05)))</f>
        <v/>
      </c>
      <c r="FT60" s="172">
        <f>MIN(1,MAX(VLOOKUP(($AJ60-$AI60-$AH60-$AG60-$AF60-$AE60*(1+FT$3))/$AJ60,'Технический лист'!$M:$N,2,1),(FS60-0.05)))</f>
        <v/>
      </c>
      <c r="FU60" s="172">
        <f>MIN(1,MAX(VLOOKUP(($AJ60-$AI60-$AH60-$AG60-$AF60-$AE60*(1+FU$3))/$AJ60,'Технический лист'!$M:$N,2,1),(FT60-0.05)))</f>
        <v/>
      </c>
      <c r="FV60" s="172">
        <f>MIN(1,MAX(VLOOKUP(($AJ60-$AI60-$AH60-$AG60-$AF60-$AE60*(1+FV$3))/$AJ60,'Технический лист'!$M:$N,2,1),(FU60-0.05)))</f>
        <v/>
      </c>
      <c r="FW60" s="172">
        <f>MIN(1,MAX(VLOOKUP(($AJ60-$AI60-$AH60-$AG60-$AF60-$AE60*(1+FW$3))/$AJ60,'Технический лист'!$M:$N,2,1),(FV60-0.05)))</f>
        <v/>
      </c>
      <c r="FX60" s="172">
        <f>MIN(1,MAX(VLOOKUP(($AJ60-$AI60-$AH60-$AG60-$AF60-$AE60*(1+FX$3))/$AJ60,'Технический лист'!$M:$N,2,1),(FW60-0.05)))</f>
        <v/>
      </c>
      <c r="FY60" s="172">
        <f>MIN(1,MAX(VLOOKUP(($AJ60-$AI60-$AH60-$AG60-$AF60-$AE60*(1+FY$3))/$AJ60,'Технический лист'!$M:$N,2,1),(FX60-0.05)))</f>
        <v/>
      </c>
      <c r="FZ60" s="172">
        <f>MIN(1,MAX(VLOOKUP(($AJ60-$AI60-$AH60-$AG60-$AF60-$AE60*(1+FZ$3))/$AJ60,'Технический лист'!$M:$N,2,1),(FY60-0.05)))</f>
        <v/>
      </c>
      <c r="GA60" s="172">
        <f>MIN(1,MAX(VLOOKUP(($AJ60-$AI60-$AH60-$AG60-$AF60-$AE60*(1+GA$3))/$AJ60,'Технический лист'!$M:$N,2,1),(FZ60-0.05)))</f>
        <v/>
      </c>
      <c r="GB60" s="172">
        <f>MIN(1,MAX(VLOOKUP(($AJ60-$AI60-$AH60-$AG60-$AF60-$AE60*(1+GB$3))/$AJ60,'Технический лист'!$M:$N,2,1),(GA60-0.05)))</f>
        <v/>
      </c>
      <c r="GC60" s="172">
        <f>MIN(1,MAX(VLOOKUP(($AJ60-$AI60-$AH60-$AG60-$AF60-$AE60*(1+GC$3))/$AJ60,'Технический лист'!$M:$N,2,1),(GB60-0.05)))</f>
        <v/>
      </c>
      <c r="GD60" s="172">
        <f>MIN(1,MAX(VLOOKUP(($AJ60-$AI60-$AH60-$AG60-$AF60-$AE60*(1+GD$3))/$AJ60,'Технический лист'!$M:$N,2,1),(GC60-0.05)))</f>
        <v/>
      </c>
      <c r="GE60" s="172">
        <f>MIN(1,MAX(VLOOKUP(($AJ60-$AI60-$AH60-$AG60-$AF60-$AE60*(1+GE$3))/$AJ60,'Технический лист'!$M:$N,2,1),(GD60-0.05)))</f>
        <v/>
      </c>
      <c r="GF60" s="172">
        <f>MIN(1,MAX(VLOOKUP(($AJ60-$AI60-$AH60-$AG60-$AF60-$AE60*(1+GF$3))/$AJ60,'Технический лист'!$M:$N,2,1),(GE60-0.05)))</f>
        <v/>
      </c>
      <c r="GG60" s="172">
        <f>MIN(1,MAX(VLOOKUP(($AJ60-$AI60-$AH60-$AG60-$AF60-$AE60*(1+GG$3))/$AJ60,'Технический лист'!$M:$N,2,1),(GF60-0.05)))</f>
        <v/>
      </c>
      <c r="GH60" s="172">
        <f>MIN(1,MAX(VLOOKUP(($AJ60-$AI60-$AH60-$AG60-$AF60-$AE60*(1+GH$3))/$AJ60,'Технический лист'!$M:$N,2,1),(GG60-0.05)))</f>
        <v/>
      </c>
      <c r="GI60" s="172">
        <f>MIN(1,MAX(VLOOKUP(($AJ60-$AI60-$AH60-$AG60-$AF60-$AE60*(1+GI$3))/$AJ60,'Технический лист'!$M:$N,2,1),(GH60-0.05)))</f>
        <v/>
      </c>
      <c r="GJ60" s="172">
        <f>MIN(1,MAX(VLOOKUP(($AJ60-$AI60-$AH60-$AG60-$AF60-$AE60*(1+GJ$3))/$AJ60,'Технический лист'!$M:$N,2,1),(GI60-0.05)))</f>
        <v/>
      </c>
      <c r="GK60" s="172">
        <f>MIN(1,MAX(VLOOKUP(($AJ60-$AI60-$AH60-$AG60-$AF60-$AE60*(1+GK$3))/$AJ60,'Технический лист'!$M:$N,2,1),(GJ60-0.05)))</f>
        <v/>
      </c>
      <c r="GL60" s="172">
        <f>MIN(1,MAX(VLOOKUP(($AJ60-$AI60-$AH60-$AG60-$AF60-$AE60*(1+GL$3))/$AJ60,'Технический лист'!$M:$N,2,1),(GK60-0.05)))</f>
        <v/>
      </c>
      <c r="GM60" s="172">
        <f>MIN(1,MAX(VLOOKUP(($AJ60-$AI60-$AH60-$AG60-$AF60-$AE60*(1+GM$3))/$AJ60,'Технический лист'!$M:$N,2,1),(GL60-0.05)))</f>
        <v/>
      </c>
      <c r="GN60" s="172">
        <f>MIN(1,MAX(VLOOKUP(($AJ60-$AI60-$AH60-$AG60-$AF60-$AE60*(1+GN$3))/$AJ60,'Технический лист'!$M:$N,2,1),(GM60-0.05)))</f>
        <v/>
      </c>
      <c r="GO60" s="172">
        <f>MIN(1,MAX(VLOOKUP(($AJ60-$AI60-$AH60-$AG60-$AF60-$AE60*(1+GO$3))/$AJ60,'Технический лист'!$M:$N,2,1),(GN60-0.05)))</f>
        <v/>
      </c>
      <c r="GP60" s="172">
        <f>MIN(1,MAX(VLOOKUP(($AJ60-$AI60-$AH60-$AG60-$AF60-$AE60*(1+GP$3))/$AJ60,'Технический лист'!$M:$N,2,1),(GO60-0.05)))</f>
        <v/>
      </c>
      <c r="GQ60" s="172">
        <f>MIN(1,MAX(VLOOKUP(($AJ60-$AI60-$AH60-$AG60-$AF60-$AE60*(1+GQ$3))/$AJ60,'Технический лист'!$M:$N,2,1),(GP60-0.05)))</f>
        <v/>
      </c>
      <c r="GR60" s="172">
        <f>MIN(1,MAX(VLOOKUP(($AJ60-$AI60-$AH60-$AG60-$AF60-$AE60*(1+GR$3))/$AJ60,'Технический лист'!$M:$N,2,1),(GQ60-0.05)))</f>
        <v/>
      </c>
      <c r="GS60" s="172">
        <f>MIN(1,MAX(VLOOKUP(($AJ60-$AI60-$AH60-$AG60-$AF60-$AE60*(1+GS$3))/$AJ60,'Технический лист'!$M:$N,2,1),(GR60-0.05)))</f>
        <v/>
      </c>
      <c r="GT60" s="172">
        <f>MIN(1,MAX(VLOOKUP(($AJ60-$AI60-$AH60-$AG60-$AF60-$AE60*(1+GT$3))/$AJ60,'Технический лист'!$M:$N,2,1),(GS60-0.05)))</f>
        <v/>
      </c>
      <c r="GU60" s="172">
        <f>MIN(1,MAX(VLOOKUP(($AJ60-$AI60-$AH60-$AG60-$AF60-$AE60*(1+GU$3))/$AJ60,'Технический лист'!$M:$N,2,1),(GT60-0.05)))</f>
        <v/>
      </c>
      <c r="GV60" s="172">
        <f>MIN(1,MAX(VLOOKUP(($AJ60-$AI60-$AH60-$AG60-$AF60-$AE60*(1+GV$3))/$AJ60,'Технический лист'!$M:$N,2,1),(GU60-0.05)))</f>
        <v/>
      </c>
      <c r="GW60" s="172">
        <f>MIN(1,MAX(VLOOKUP(($AJ60-$AI60-$AH60-$AG60-$AF60-$AE60*(1+GW$3))/$AJ60,'Технический лист'!$M:$N,2,1),(GV60-0.05)))</f>
        <v/>
      </c>
      <c r="GX60" s="172">
        <f>MIN(1,MAX(VLOOKUP(($AJ60-$AI60-$AH60-$AG60-$AF60-$AE60*(1+GX$3))/$AJ60,'Технический лист'!$M:$N,2,1),(GW60-0.05)))</f>
        <v/>
      </c>
      <c r="GY60" s="172">
        <f>MIN(1,MAX(VLOOKUP(($AJ60-$AI60-$AH60-$AG60-$AF60-$AE60*(1+GY$3))/$AJ60,'Технический лист'!$M:$N,2,1),(GX60-0.05)))</f>
        <v/>
      </c>
      <c r="GZ60" s="172">
        <f>MIN(1,MAX(VLOOKUP(($AJ60-$AI60-$AH60-$AG60-$AF60-$AE60*(1+GZ$3))/$AJ60,'Технический лист'!$M:$N,2,1),(GY60-0.05)))</f>
        <v/>
      </c>
      <c r="HA60" s="172">
        <f>MIN(1,MAX(VLOOKUP(($AJ60-$AI60-$AH60-$AG60-$AF60-$AE60*(1+HA$3))/$AJ60,'Технический лист'!$M:$N,2,1),(GZ60-0.05)))</f>
        <v/>
      </c>
      <c r="HB60" s="172">
        <f>MIN(1,MAX(VLOOKUP(($AJ60-$AI60-$AH60-$AG60-$AF60-$AE60*(1+HB$3))/$AJ60,'Технический лист'!$M:$N,2,1),(HA60-0.05)))</f>
        <v/>
      </c>
      <c r="HC60" s="172">
        <f>MIN(1,MAX(VLOOKUP(($AJ60-$AI60-$AH60-$AG60-$AF60-$AE60*(1+HC$3))/$AJ60,'Технический лист'!$M:$N,2,1),(HB60-0.05)))</f>
        <v/>
      </c>
      <c r="HD60" s="172">
        <f>MIN(1,MAX(VLOOKUP(($AJ60-$AI60-$AH60-$AG60-$AF60-$AE60*(1+HD$3))/$AJ60,'Технический лист'!$M:$N,2,1),(HC60-0.05)))</f>
        <v/>
      </c>
      <c r="HE60" s="172">
        <f>MIN(1,MAX(VLOOKUP(($AJ60-$AI60-$AH60-$AG60-$AF60-$AE60*(1+HE$3))/$AJ60,'Технический лист'!$M:$N,2,1),(HD60-0.05)))</f>
        <v/>
      </c>
      <c r="HF60" s="172">
        <f>MIN(1,MAX(VLOOKUP(($AJ60-$AI60-$AH60-$AG60-$AF60-$AE60*(1+HF$3))/$AJ60,'Технический лист'!$M:$N,2,1),(HE60-0.05)))</f>
        <v/>
      </c>
      <c r="HG60" s="172">
        <f>MIN(1,MAX(VLOOKUP(($AJ60-$AI60-$AH60-$AG60-$AF60-$AE60*(1+HG$3))/$AJ60,'Технический лист'!$M:$N,2,1),(HF60-0.05)))</f>
        <v/>
      </c>
      <c r="HH60" s="172">
        <f>MIN(1,MAX(VLOOKUP(($AJ60-$AI60-$AH60-$AG60-$AF60-$AE60*(1+HH$3))/$AJ60,'Технический лист'!$M:$N,2,1),(HG60-0.05)))</f>
        <v/>
      </c>
      <c r="HI60" s="172">
        <f>MIN(1,MAX(VLOOKUP(($AJ60-$AI60-$AH60-$AG60-$AF60-$AE60*(1+HI$3))/$AJ60,'Технический лист'!$M:$N,2,1),(HH60-0.05)))</f>
        <v/>
      </c>
      <c r="HJ60" s="172">
        <f>MIN(1,MAX(VLOOKUP(($AJ60-$AI60-$AH60-$AG60-$AF60-$AE60*(1+HJ$3))/$AJ60,'Технический лист'!$M:$N,2,1),(HI60-0.05)))</f>
        <v/>
      </c>
      <c r="HK60" s="172">
        <f>MIN(1,MAX(VLOOKUP(($AJ60-$AI60-$AH60-$AG60-$AF60-$AE60*(1+HK$3))/$AJ60,'Технический лист'!$M:$N,2,1),(HJ60-0.05)))</f>
        <v/>
      </c>
      <c r="HL60" s="172">
        <f>MIN(1,MAX(VLOOKUP(($AJ60-$AI60-$AH60-$AG60-$AF60-$AE60*(1+HL$3))/$AJ60,'Технический лист'!$M:$N,2,1),(HK60-0.05)))</f>
        <v/>
      </c>
      <c r="HM60" s="172">
        <f>MIN(1,MAX(VLOOKUP(($AJ60-$AI60-$AH60-$AG60-$AF60-$AE60*(1+HM$3))/$AJ60,'Технический лист'!$M:$N,2,1),(HL60-0.05)))</f>
        <v/>
      </c>
      <c r="HN60" s="172">
        <f>MIN(1,MAX(VLOOKUP(($AJ60-$AI60-$AH60-$AG60-$AF60-$AE60*(1+HN$3))/$AJ60,'Технический лист'!$M:$N,2,1),(HM60-0.05)))</f>
        <v/>
      </c>
      <c r="HO60" s="172">
        <f>MIN(1,MAX(VLOOKUP(($AJ60-$AI60-$AH60-$AG60-$AF60-$AE60*(1+HO$3))/$AJ60,'Технический лист'!$M:$N,2,1),(HN60-0.05)))</f>
        <v/>
      </c>
      <c r="HP60" s="172">
        <f>MIN(1,MAX(VLOOKUP(($AJ60-$AI60-$AH60-$AG60-$AF60-$AE60*(1+HP$3))/$AJ60,'Технический лист'!$M:$N,2,1),(HO60-0.05)))</f>
        <v/>
      </c>
      <c r="HQ60" s="172">
        <f>MIN(1,MAX(VLOOKUP(($AJ60-$AI60-$AH60-$AG60-$AF60-$AE60*(1+HQ$3))/$AJ60,'Технический лист'!$M:$N,2,1),(HP60-0.05)))</f>
        <v/>
      </c>
      <c r="HR60" s="172">
        <f>MIN(1,MAX(VLOOKUP(($AJ60-$AI60-$AH60-$AG60-$AF60-$AE60*(1+HR$3))/$AJ60,'Технический лист'!$M:$N,2,1),(HQ60-0.05)))</f>
        <v/>
      </c>
      <c r="HS60" s="172">
        <f>MIN(1,MAX(VLOOKUP(($AJ60-$AI60-$AH60-$AG60-$AF60-$AE60*(1+HS$3))/$AJ60,'Технический лист'!$M:$N,2,1),(HR60-0.05)))</f>
        <v/>
      </c>
      <c r="HT60" s="172">
        <f>MIN(1,MAX(VLOOKUP(($AJ60-$AI60-$AH60-$AG60-$AF60-$AE60*(1+HT$3))/$AJ60,'Технический лист'!$M:$N,2,1),(HS60-0.05)))</f>
        <v/>
      </c>
      <c r="HU60" s="172">
        <f>MIN(1,MAX(VLOOKUP(($AJ60-$AI60-$AH60-$AG60-$AF60-$AE60*(1+HU$3))/$AJ60,'Технический лист'!$M:$N,2,1),(HT60-0.05)))</f>
        <v/>
      </c>
      <c r="HV60" s="172">
        <f>MIN(1,MAX(VLOOKUP(($AJ60-$AI60-$AH60-$AG60-$AF60-$AE60*(1+HV$3))/$AJ60,'Технический лист'!$M:$N,2,1),(HU60-0.05)))</f>
        <v/>
      </c>
      <c r="HW60" s="172">
        <f>MIN(1,MAX(VLOOKUP(($AJ60-$AI60-$AH60-$AG60-$AF60-$AE60*(1+HW$3))/$AJ60,'Технический лист'!$M:$N,2,1),(HV60-0.05)))</f>
        <v/>
      </c>
      <c r="HX60" s="172">
        <f>MIN(1,MAX(VLOOKUP(($AJ60-$AI60-$AH60-$AG60-$AF60-$AE60*(1+HX$3))/$AJ60,'Технический лист'!$M:$N,2,1),(HW60-0.05)))</f>
        <v/>
      </c>
      <c r="HY60" s="172">
        <f>MIN(1,MAX(VLOOKUP(($AJ60-$AI60-$AH60-$AG60-$AF60-$AE60*(1+HY$3))/$AJ60,'Технический лист'!$M:$N,2,1),(HX60-0.05)))</f>
        <v/>
      </c>
      <c r="HZ60" s="172">
        <f>MIN(1,MAX(VLOOKUP(($AJ60-$AI60-$AH60-$AG60-$AF60-$AE60*(1+HZ$3))/$AJ60,'Технический лист'!$M:$N,2,1),(HY60-0.05)))</f>
        <v/>
      </c>
      <c r="IA60" s="172">
        <f>MIN(1,MAX(VLOOKUP(($AJ60-$AI60-$AH60-$AG60-$AF60-$AE60*(1+IA$3))/$AJ60,'Технический лист'!$M:$N,2,1),(HZ60-0.05)))</f>
        <v/>
      </c>
      <c r="IB60" s="172">
        <f>MIN(1,MAX(VLOOKUP(($AJ60-$AI60-$AH60-$AG60-$AF60-$AE60*(1+IB$3))/$AJ60,'Технический лист'!$M:$N,2,1),(IA60-0.05)))</f>
        <v/>
      </c>
      <c r="IC60" s="172">
        <f>MIN(1,MAX(VLOOKUP(($AJ60-$AI60-$AH60-$AG60-$AF60-$AE60*(1+IC$3))/$AJ60,'Технический лист'!$M:$N,2,1),(IB60-0.05)))</f>
        <v/>
      </c>
      <c r="ID60" s="172">
        <f>MIN(1,MAX(VLOOKUP(($AJ60-$AI60-$AH60-$AG60-$AF60-$AE60*(1+ID$3))/$AJ60,'Технический лист'!$M:$N,2,1),(IC60-0.05)))</f>
        <v/>
      </c>
      <c r="IE60" s="172">
        <f>MIN(1,MAX(VLOOKUP(($AJ60-$AI60-$AH60-$AG60-$AF60-$AE60*(1+IE$3))/$AJ60,'Технический лист'!$M:$N,2,1),(ID60-0.05)))</f>
        <v/>
      </c>
      <c r="IF60" s="172">
        <f>MIN(1,MAX(VLOOKUP(($AJ60-$AI60-$AH60-$AG60-$AF60-$AE60*(1+IF$3))/$AJ60,'Технический лист'!$M:$N,2,1),(IE60-0.05)))</f>
        <v/>
      </c>
      <c r="IG60" s="172">
        <f>MIN(1,MAX(VLOOKUP(($AJ60-$AI60-$AH60-$AG60-$AF60-$AE60*(1+IG$3))/$AJ60,'Технический лист'!$M:$N,2,1),(IF60-0.05)))</f>
        <v/>
      </c>
      <c r="IH60" s="172">
        <f>MIN(1,MAX(VLOOKUP(($AJ60-$AI60-$AH60-$AG60-$AF60-$AE60*(1+IH$3))/$AJ60,'Технический лист'!$M:$N,2,1),(IG60-0.05)))</f>
        <v/>
      </c>
      <c r="II60" s="172">
        <f>MIN(1,MAX(VLOOKUP(($AJ60-$AI60-$AH60-$AG60-$AF60-$AE60*(1+II$3))/$AJ60,'Технический лист'!$M:$N,2,1),(IH60-0.05)))</f>
        <v/>
      </c>
      <c r="IJ60" s="172">
        <f>MIN(1,MAX(VLOOKUP(($AJ60-$AI60-$AH60-$AG60-$AF60-$AE60*(1+IJ$3))/$AJ60,'Технический лист'!$M:$N,2,1),(II60-0.05)))</f>
        <v/>
      </c>
      <c r="IK60" s="172">
        <f>MIN(1,MAX(VLOOKUP(($AJ60-$AI60-$AH60-$AG60-$AF60-$AE60*(1+IK$3))/$AJ60,'Технический лист'!$M:$N,2,1),(IJ60-0.05)))</f>
        <v/>
      </c>
      <c r="IL60" s="172">
        <f>MIN(1,MAX(VLOOKUP(($AJ60-$AI60-$AH60-$AG60-$AF60-$AE60*(1+IL$3))/$AJ60,'Технический лист'!$M:$N,2,1),(IK60-0.05)))</f>
        <v/>
      </c>
      <c r="IM60" s="172">
        <f>MIN(1,MAX(VLOOKUP(($AJ60-$AI60-$AH60-$AG60-$AF60-$AE60*(1+IM$3))/$AJ60,'Технический лист'!$M:$N,2,1),(IL60-0.05)))</f>
        <v/>
      </c>
      <c r="IN60" s="172">
        <f>MIN(1,MAX(VLOOKUP(($AJ60-$AI60-$AH60-$AG60-$AF60-$AE60*(1+IN$3))/$AJ60,'Технический лист'!$M:$N,2,1),(IM60-0.05)))</f>
        <v/>
      </c>
      <c r="IO60" s="172">
        <f>MIN(1,MAX(VLOOKUP(($AJ60-$AI60-$AH60-$AG60-$AF60-$AE60*(1+IO$3))/$AJ60,'Технический лист'!$M:$N,2,1),(IN60-0.05)))</f>
        <v/>
      </c>
      <c r="IP60" s="172">
        <f>MIN(1,MAX(VLOOKUP(($AJ60-$AI60-$AH60-$AG60-$AF60-$AE60*(1+IP$3))/$AJ60,'Технический лист'!$M:$N,2,1),(IO60-0.05)))</f>
        <v/>
      </c>
      <c r="IQ60" s="172">
        <f>MIN(1,MAX(VLOOKUP(($AJ60-$AI60-$AH60-$AG60-$AF60-$AE60*(1+IQ$3))/$AJ60,'Технический лист'!$M:$N,2,1),(IP60-0.05)))</f>
        <v/>
      </c>
      <c r="IR60" s="172">
        <f>MIN(1,MAX(VLOOKUP(($AJ60-$AI60-$AH60-$AG60-$AF60-$AE60*(1+IR$3))/$AJ60,'Технический лист'!$M:$N,2,1),(IQ60-0.05)))</f>
        <v/>
      </c>
    </row>
    <row r="61" ht="29.15" customFormat="1" customHeight="1" s="6">
      <c r="A61" s="89" t="inlineStr">
        <is>
          <t>ЧМ (сырье)</t>
        </is>
      </c>
      <c r="B61" s="76" t="n">
        <v>4</v>
      </c>
      <c r="C61" s="3" t="inlineStr">
        <is>
          <t>Руды  всякие</t>
        </is>
      </c>
      <c r="D61" s="77" t="n">
        <v>14109</v>
      </c>
      <c r="E61" s="77" t="inlineStr">
        <is>
          <t xml:space="preserve">Концентрат железорудный (гематит) </t>
        </is>
      </c>
      <c r="F61" s="78" t="inlineStr">
        <is>
          <t>РУДЫ И КОНЦЕНТРАТЫ ЖЕЛЕЗН</t>
        </is>
      </c>
      <c r="G61" s="77" t="inlineStr">
        <is>
          <t>ЗАБ</t>
        </is>
      </c>
      <c r="H61" s="77" t="inlineStr">
        <is>
          <t>ЗАБ</t>
        </is>
      </c>
      <c r="I61" s="77" t="inlineStr">
        <is>
          <t>БОРЗЯ</t>
        </is>
      </c>
      <c r="J61" s="77" t="inlineStr">
        <is>
          <t>ЗАБАЙКАЛ ЭК</t>
        </is>
      </c>
      <c r="K61" s="77" t="n">
        <v>119</v>
      </c>
      <c r="L61" s="77" t="inlineStr">
        <is>
          <t>Полувагоны</t>
        </is>
      </c>
      <c r="M61" s="77" t="inlineStr">
        <is>
          <t>Экспорт</t>
        </is>
      </c>
      <c r="N61" s="77" t="inlineStr">
        <is>
          <t>вагонная</t>
        </is>
      </c>
      <c r="O61" s="77" t="inlineStr">
        <is>
          <t xml:space="preserve">Восточное </t>
        </is>
      </c>
      <c r="P61" s="79" t="inlineStr">
        <is>
          <t>000086311376</t>
        </is>
      </c>
      <c r="Q61" s="77" t="inlineStr">
        <is>
          <t>ООО "Металл и КС"</t>
        </is>
      </c>
      <c r="R61" s="77" t="inlineStr">
        <is>
          <t>ПАО "ГМК "Норильский никель"</t>
        </is>
      </c>
      <c r="S61" s="80" t="n">
        <v>1644135</v>
      </c>
      <c r="T61" s="80" t="n">
        <v>195652743</v>
      </c>
      <c r="U61" s="88" t="n">
        <v>23694</v>
      </c>
      <c r="V61" s="88" t="n">
        <v>0</v>
      </c>
      <c r="W61" s="87" t="n">
        <v>366863978</v>
      </c>
      <c r="X61" s="112" t="n">
        <v>69</v>
      </c>
      <c r="Y61" s="112" t="inlineStr">
        <is>
          <t>маршрутная</t>
        </is>
      </c>
      <c r="Z61" s="113" t="n">
        <v>2</v>
      </c>
      <c r="AA61" s="113" t="n">
        <v>1</v>
      </c>
      <c r="AB61" s="113" t="n">
        <v>4</v>
      </c>
      <c r="AC61" s="161" t="n">
        <v>247.06</v>
      </c>
      <c r="AD61" s="161">
        <f>AE61-AC61</f>
        <v/>
      </c>
      <c r="AE61" s="161" t="n">
        <v>298.39</v>
      </c>
      <c r="AF61" s="162">
        <f>(Z61+AA61+AB61)*'Ставки аренды'!$B$3/X61</f>
        <v/>
      </c>
      <c r="AG61" s="163" t="n">
        <v>0</v>
      </c>
      <c r="AH61" s="164" t="n">
        <v>0</v>
      </c>
      <c r="AI61" s="165">
        <f>575152/1082467*AJ61</f>
        <v/>
      </c>
      <c r="AJ61" s="166">
        <f>Цены!C15*'Курсы валют'!B2</f>
        <v/>
      </c>
      <c r="AK61" s="164">
        <f>AJ61/Цены!$B$1</f>
        <v/>
      </c>
      <c r="AL61" s="164">
        <f>AE61+AF61+AG61</f>
        <v/>
      </c>
      <c r="AM61" s="164">
        <f>AJ61-AL61</f>
        <v/>
      </c>
      <c r="AN61" s="164">
        <f>AI61+AH61+AG61+AF61+AE61</f>
        <v/>
      </c>
      <c r="AO61" s="167">
        <f>(AJ61-AN61)/AJ61</f>
        <v/>
      </c>
      <c r="AP61" s="168">
        <f>AL61/AJ61</f>
        <v/>
      </c>
      <c r="AQ61" s="168">
        <f>AE61/AJ61</f>
        <v/>
      </c>
      <c r="AR61" s="168">
        <f>AE61/AL61</f>
        <v/>
      </c>
      <c r="AS61" s="169" t="n">
        <v>1</v>
      </c>
      <c r="AT61" s="121">
        <f>S61*AS61</f>
        <v/>
      </c>
      <c r="AU61" s="83" t="n">
        <v>0.9</v>
      </c>
      <c r="AV61" s="170">
        <f>(AJ61-(AE61*(1+$IS$2)+AF61+AG61+AH61+AI61))/AJ61</f>
        <v/>
      </c>
      <c r="AW61" s="171">
        <f>(AE61*(1+$IS$2)+AF61+AG61)/AJ61</f>
        <v/>
      </c>
      <c r="AX61" s="171">
        <f>(AE61*(1+$IS$2))/AJ61</f>
        <v/>
      </c>
      <c r="AY61" s="171">
        <f>(AE61*(1+$IS$2))/(AE61*(1+$IS$2)+AF61+AG61)</f>
        <v/>
      </c>
      <c r="AZ61" s="172">
        <f>MIN(IF($AU61=100%,1,1+VLOOKUP(($AJ61-$AI61-$AH61-$AG61-$AF61-$AE61*(1+AZ$3))/$AJ61,'Технический лист'!$M:$N,2,1)-VLOOKUP($AO61,'Технический лист'!$M:$N,2,1)),1+(1-$AU61))</f>
        <v/>
      </c>
      <c r="BA61" s="172">
        <f>MIN(IF($AU61=100%,1,1+VLOOKUP(($AJ61-$AI61-$AH61-$AG61-$AF61-$AE61*(1+BA$3))/$AJ61,'Технический лист'!$M:$N,2,1)-VLOOKUP($AO61,'Технический лист'!$M:$N,2,1)),1+(1-$AU61))</f>
        <v/>
      </c>
      <c r="BB61" s="172">
        <f>MIN(IF($AU61=100%,1,1+VLOOKUP(($AJ61-$AI61-$AH61-$AG61-$AF61-$AE61*(1+BB$3))/$AJ61,'Технический лист'!$M:$N,2,1)-VLOOKUP($AO61,'Технический лист'!$M:$N,2,1)),1+(1-$AU61))</f>
        <v/>
      </c>
      <c r="BC61" s="172">
        <f>MIN(IF($AU61=100%,1,1+VLOOKUP(($AJ61-$AI61-$AH61-$AG61-$AF61-$AE61*(1+BC$3))/$AJ61,'Технический лист'!$M:$N,2,1)-VLOOKUP($AO61,'Технический лист'!$M:$N,2,1)),1+(1-$AU61))</f>
        <v/>
      </c>
      <c r="BD61" s="172">
        <f>MIN(IF($AU61=100%,1,1+VLOOKUP(($AJ61-$AI61-$AH61-$AG61-$AF61-$AE61*(1+BD$3))/$AJ61,'Технический лист'!$M:$N,2,1)-VLOOKUP($AO61,'Технический лист'!$M:$N,2,1)),1+(1-$AU61))</f>
        <v/>
      </c>
      <c r="BE61" s="172">
        <f>MIN(IF($AU61=100%,1,1+VLOOKUP(($AJ61-$AI61-$AH61-$AG61-$AF61-$AE61*(1+BE$3))/$AJ61,'Технический лист'!$M:$N,2,1)-VLOOKUP($AO61,'Технический лист'!$M:$N,2,1)),1+(1-$AU61))</f>
        <v/>
      </c>
      <c r="BF61" s="172">
        <f>MIN(IF($AU61=100%,1,1+VLOOKUP(($AJ61-$AI61-$AH61-$AG61-$AF61-$AE61*(1+BF$3))/$AJ61,'Технический лист'!$M:$N,2,1)-VLOOKUP($AO61,'Технический лист'!$M:$N,2,1)),1+(1-$AU61))</f>
        <v/>
      </c>
      <c r="BG61" s="172">
        <f>MIN(IF($AU61=100%,1,1+VLOOKUP(($AJ61-$AI61-$AH61-$AG61-$AF61-$AE61*(1+BG$3))/$AJ61,'Технический лист'!$M:$N,2,1)-VLOOKUP($AO61,'Технический лист'!$M:$N,2,1)),1+(1-$AU61))</f>
        <v/>
      </c>
      <c r="BH61" s="172">
        <f>MIN(IF($AU61=100%,1,1+VLOOKUP(($AJ61-$AI61-$AH61-$AG61-$AF61-$AE61*(1+BH$3))/$AJ61,'Технический лист'!$M:$N,2,1)-VLOOKUP($AO61,'Технический лист'!$M:$N,2,1)),1+(1-$AU61))</f>
        <v/>
      </c>
      <c r="BI61" s="172">
        <f>MIN(IF($AU61=100%,1,1+VLOOKUP(($AJ61-$AI61-$AH61-$AG61-$AF61-$AE61*(1+BI$3))/$AJ61,'Технический лист'!$M:$N,2,1)-VLOOKUP($AO61,'Технический лист'!$M:$N,2,1)),1+(1-$AU61))</f>
        <v/>
      </c>
      <c r="BJ61" s="172">
        <f>MIN(IF($AU61=100%,1,1+VLOOKUP(($AJ61-$AI61-$AH61-$AG61-$AF61-$AE61*(1+BJ$3))/$AJ61,'Технический лист'!$M:$N,2,1)-VLOOKUP($AO61,'Технический лист'!$M:$N,2,1)),1+(1-$AU61))</f>
        <v/>
      </c>
      <c r="BK61" s="172">
        <f>MIN(IF($AU61=100%,1,1+VLOOKUP(($AJ61-$AI61-$AH61-$AG61-$AF61-$AE61*(1+BK$3))/$AJ61,'Технический лист'!$M:$N,2,1)-VLOOKUP($AO61,'Технический лист'!$M:$N,2,1)),1+(1-$AU61))</f>
        <v/>
      </c>
      <c r="BL61" s="172">
        <f>MIN(IF($AU61=100%,1,1+VLOOKUP(($AJ61-$AI61-$AH61-$AG61-$AF61-$AE61*(1+BL$3))/$AJ61,'Технический лист'!$M:$N,2,1)-VLOOKUP($AO61,'Технический лист'!$M:$N,2,1)),1+(1-$AU61))</f>
        <v/>
      </c>
      <c r="BM61" s="172">
        <f>MIN(IF($AU61=100%,1,1+VLOOKUP(($AJ61-$AI61-$AH61-$AG61-$AF61-$AE61*(1+BM$3))/$AJ61,'Технический лист'!$M:$N,2,1)-VLOOKUP($AO61,'Технический лист'!$M:$N,2,1)),1+(1-$AU61))</f>
        <v/>
      </c>
      <c r="BN61" s="172">
        <f>MIN(IF($AU61=100%,1,1+VLOOKUP(($AJ61-$AI61-$AH61-$AG61-$AF61-$AE61*(1+BN$3))/$AJ61,'Технический лист'!$M:$N,2,1)-VLOOKUP($AO61,'Технический лист'!$M:$N,2,1)),1+(1-$AU61))</f>
        <v/>
      </c>
      <c r="BO61" s="172">
        <f>MIN(IF($AU61=100%,1,1+VLOOKUP(($AJ61-$AI61-$AH61-$AG61-$AF61-$AE61*(1+BO$3))/$AJ61,'Технический лист'!$M:$N,2,1)-VLOOKUP($AO61,'Технический лист'!$M:$N,2,1)),1+(1-$AU61))</f>
        <v/>
      </c>
      <c r="BP61" s="172">
        <f>MIN(IF($AU61=100%,1,1+VLOOKUP(($AJ61-$AI61-$AH61-$AG61-$AF61-$AE61*(1+BP$3))/$AJ61,'Технический лист'!$M:$N,2,1)-VLOOKUP($AO61,'Технический лист'!$M:$N,2,1)),1+(1-$AU61))</f>
        <v/>
      </c>
      <c r="BQ61" s="172">
        <f>MIN(IF($AU61=100%,1,1+VLOOKUP(($AJ61-$AI61-$AH61-$AG61-$AF61-$AE61*(1+BQ$3))/$AJ61,'Технический лист'!$M:$N,2,1)-VLOOKUP($AO61,'Технический лист'!$M:$N,2,1)),1+(1-$AU61))</f>
        <v/>
      </c>
      <c r="BR61" s="172">
        <f>MIN(IF($AU61=100%,1,1+VLOOKUP(($AJ61-$AI61-$AH61-$AG61-$AF61-$AE61*(1+BR$3))/$AJ61,'Технический лист'!$M:$N,2,1)-VLOOKUP($AO61,'Технический лист'!$M:$N,2,1)),1+(1-$AU61))</f>
        <v/>
      </c>
      <c r="BS61" s="172">
        <f>MIN(IF($AU61=100%,1,1+VLOOKUP(($AJ61-$AI61-$AH61-$AG61-$AF61-$AE61*(1+BS$3))/$AJ61,'Технический лист'!$M:$N,2,1)-VLOOKUP($AO61,'Технический лист'!$M:$N,2,1)),1+(1-$AU61))</f>
        <v/>
      </c>
      <c r="BT61" s="172">
        <f>MIN(IF($AU61=100%,1,1+VLOOKUP(($AJ61-$AI61-$AH61-$AG61-$AF61-$AE61*(1+BT$3))/$AJ61,'Технический лист'!$M:$N,2,1)-VLOOKUP($AO61,'Технический лист'!$M:$N,2,1)),1+(1-$AU61))</f>
        <v/>
      </c>
      <c r="BU61" s="172">
        <f>MIN(IF($AU61=100%,1,1+VLOOKUP(($AJ61-$AI61-$AH61-$AG61-$AF61-$AE61*(1+BU$3))/$AJ61,'Технический лист'!$M:$N,2,1)-VLOOKUP($AO61,'Технический лист'!$M:$N,2,1)),1+(1-$AU61))</f>
        <v/>
      </c>
      <c r="BV61" s="172">
        <f>MIN(IF($AU61=100%,1,1+VLOOKUP(($AJ61-$AI61-$AH61-$AG61-$AF61-$AE61*(1+BV$3))/$AJ61,'Технический лист'!$M:$N,2,1)-VLOOKUP($AO61,'Технический лист'!$M:$N,2,1)),1+(1-$AU61))</f>
        <v/>
      </c>
      <c r="BW61" s="172">
        <f>MIN(IF($AU61=100%,1,1+VLOOKUP(($AJ61-$AI61-$AH61-$AG61-$AF61-$AE61*(1+BW$3))/$AJ61,'Технический лист'!$M:$N,2,1)-VLOOKUP($AO61,'Технический лист'!$M:$N,2,1)),1+(1-$AU61))</f>
        <v/>
      </c>
      <c r="BX61" s="172">
        <f>MIN(IF($AU61=100%,1,1+VLOOKUP(($AJ61-$AI61-$AH61-$AG61-$AF61-$AE61*(1+BX$3))/$AJ61,'Технический лист'!$M:$N,2,1)-VLOOKUP($AO61,'Технический лист'!$M:$N,2,1)),1+(1-$AU61))</f>
        <v/>
      </c>
      <c r="BY61" s="172">
        <f>MIN(IF($AU61=100%,1,1+VLOOKUP(($AJ61-$AI61-$AH61-$AG61-$AF61-$AE61*(1+BY$3))/$AJ61,'Технический лист'!$M:$N,2,1)-VLOOKUP($AO61,'Технический лист'!$M:$N,2,1)),1+(1-$AU61))</f>
        <v/>
      </c>
      <c r="BZ61" s="172">
        <f>MIN(IF($AU61=100%,1,1+VLOOKUP(($AJ61-$AI61-$AH61-$AG61-$AF61-$AE61*(1+BZ$3))/$AJ61,'Технический лист'!$M:$N,2,1)-VLOOKUP($AO61,'Технический лист'!$M:$N,2,1)),1+(1-$AU61))</f>
        <v/>
      </c>
      <c r="CA61" s="172">
        <f>MIN(IF($AU61=100%,1,1+VLOOKUP(($AJ61-$AI61-$AH61-$AG61-$AF61-$AE61*(1+CA$3))/$AJ61,'Технический лист'!$M:$N,2,1)-VLOOKUP($AO61,'Технический лист'!$M:$N,2,1)),1+(1-$AU61))</f>
        <v/>
      </c>
      <c r="CB61" s="172">
        <f>MIN(IF($AU61=100%,1,1+VLOOKUP(($AJ61-$AI61-$AH61-$AG61-$AF61-$AE61*(1+CB$3))/$AJ61,'Технический лист'!$M:$N,2,1)-VLOOKUP($AO61,'Технический лист'!$M:$N,2,1)),1+(1-$AU61))</f>
        <v/>
      </c>
      <c r="CC61" s="172">
        <f>MIN(IF($AU61=100%,1,1+VLOOKUP(($AJ61-$AI61-$AH61-$AG61-$AF61-$AE61*(1+CC$3))/$AJ61,'Технический лист'!$M:$N,2,1)-VLOOKUP($AO61,'Технический лист'!$M:$N,2,1)),1+(1-$AU61))</f>
        <v/>
      </c>
      <c r="CD61" s="172">
        <f>MIN(IF($AU61=100%,1,1+VLOOKUP(($AJ61-$AI61-$AH61-$AG61-$AF61-$AE61*(1+CD$3))/$AJ61,'Технический лист'!$M:$N,2,1)-VLOOKUP($AO61,'Технический лист'!$M:$N,2,1)),1+(1-$AU61))</f>
        <v/>
      </c>
      <c r="CE61" s="172">
        <f>MIN(IF($AU61=100%,1,1+VLOOKUP(($AJ61-$AI61-$AH61-$AG61-$AF61-$AE61*(1+CE$3))/$AJ61,'Технический лист'!$M:$N,2,1)-VLOOKUP($AO61,'Технический лист'!$M:$N,2,1)),1+(1-$AU61))</f>
        <v/>
      </c>
      <c r="CF61" s="172">
        <f>MIN(IF($AU61=100%,1,1+VLOOKUP(($AJ61-$AI61-$AH61-$AG61-$AF61-$AE61*(1+CF$3))/$AJ61,'Технический лист'!$M:$N,2,1)-VLOOKUP($AO61,'Технический лист'!$M:$N,2,1)),1+(1-$AU61))</f>
        <v/>
      </c>
      <c r="CG61" s="172">
        <f>MIN(IF($AU61=100%,1,1+VLOOKUP(($AJ61-$AI61-$AH61-$AG61-$AF61-$AE61*(1+CG$3))/$AJ61,'Технический лист'!$M:$N,2,1)-VLOOKUP($AO61,'Технический лист'!$M:$N,2,1)),1+(1-$AU61))</f>
        <v/>
      </c>
      <c r="CH61" s="172">
        <f>MIN(IF($AU61=100%,1,1+VLOOKUP(($AJ61-$AI61-$AH61-$AG61-$AF61-$AE61*(1+CH$3))/$AJ61,'Технический лист'!$M:$N,2,1)-VLOOKUP($AO61,'Технический лист'!$M:$N,2,1)),1+(1-$AU61))</f>
        <v/>
      </c>
      <c r="CI61" s="172">
        <f>MIN(IF($AU61=100%,1,1+VLOOKUP(($AJ61-$AI61-$AH61-$AG61-$AF61-$AE61*(1+CI$3))/$AJ61,'Технический лист'!$M:$N,2,1)-VLOOKUP($AO61,'Технический лист'!$M:$N,2,1)),1+(1-$AU61))</f>
        <v/>
      </c>
      <c r="CJ61" s="172">
        <f>MIN(IF($AU61=100%,1,1+VLOOKUP(($AJ61-$AI61-$AH61-$AG61-$AF61-$AE61*(1+CJ$3))/$AJ61,'Технический лист'!$M:$N,2,1)-VLOOKUP($AO61,'Технический лист'!$M:$N,2,1)),1+(1-$AU61))</f>
        <v/>
      </c>
      <c r="CK61" s="172">
        <f>MIN(IF($AU61=100%,1,1+VLOOKUP(($AJ61-$AI61-$AH61-$AG61-$AF61-$AE61*(1+CK$3))/$AJ61,'Технический лист'!$M:$N,2,1)-VLOOKUP($AO61,'Технический лист'!$M:$N,2,1)),1+(1-$AU61))</f>
        <v/>
      </c>
      <c r="CL61" s="172">
        <f>MIN(IF($AU61=100%,1,1+VLOOKUP(($AJ61-$AI61-$AH61-$AG61-$AF61-$AE61*(1+CL$3))/$AJ61,'Технический лист'!$M:$N,2,1)-VLOOKUP($AO61,'Технический лист'!$M:$N,2,1)),1+(1-$AU61))</f>
        <v/>
      </c>
      <c r="CM61" s="172">
        <f>MIN(IF($AU61=100%,1,1+VLOOKUP(($AJ61-$AI61-$AH61-$AG61-$AF61-$AE61*(1+CM$3))/$AJ61,'Технический лист'!$M:$N,2,1)-VLOOKUP($AO61,'Технический лист'!$M:$N,2,1)),1+(1-$AU61))</f>
        <v/>
      </c>
      <c r="CN61" s="172">
        <f>MIN(IF($AU61=100%,1,1+VLOOKUP(($AJ61-$AI61-$AH61-$AG61-$AF61-$AE61*(1+CN$3))/$AJ61,'Технический лист'!$M:$N,2,1)-VLOOKUP($AO61,'Технический лист'!$M:$N,2,1)),1+(1-$AU61))</f>
        <v/>
      </c>
      <c r="CO61" s="172">
        <f>MIN(IF($AU61=100%,1,1+VLOOKUP(($AJ61-$AI61-$AH61-$AG61-$AF61-$AE61*(1+CO$3))/$AJ61,'Технический лист'!$M:$N,2,1)-VLOOKUP($AO61,'Технический лист'!$M:$N,2,1)),1+(1-$AU61))</f>
        <v/>
      </c>
      <c r="CP61" s="172">
        <f>MIN(IF($AU61=100%,1,1+VLOOKUP(($AJ61-$AI61-$AH61-$AG61-$AF61-$AE61*(1+CP$3))/$AJ61,'Технический лист'!$M:$N,2,1)-VLOOKUP($AO61,'Технический лист'!$M:$N,2,1)),1+(1-$AU61))</f>
        <v/>
      </c>
      <c r="CQ61" s="172">
        <f>MIN(IF($AU61=100%,1,1+VLOOKUP(($AJ61-$AI61-$AH61-$AG61-$AF61-$AE61*(1+CQ$3))/$AJ61,'Технический лист'!$M:$N,2,1)-VLOOKUP($AO61,'Технический лист'!$M:$N,2,1)),1+(1-$AU61))</f>
        <v/>
      </c>
      <c r="CR61" s="172">
        <f>MIN(IF($AU61=100%,1,1+VLOOKUP(($AJ61-$AI61-$AH61-$AG61-$AF61-$AE61*(1+CR$3))/$AJ61,'Технический лист'!$M:$N,2,1)-VLOOKUP($AO61,'Технический лист'!$M:$N,2,1)),1+(1-$AU61))</f>
        <v/>
      </c>
      <c r="CS61" s="172">
        <f>MIN(IF($AU61=100%,1,1+VLOOKUP(($AJ61-$AI61-$AH61-$AG61-$AF61-$AE61*(1+CS$3))/$AJ61,'Технический лист'!$M:$N,2,1)-VLOOKUP($AO61,'Технический лист'!$M:$N,2,1)),1+(1-$AU61))</f>
        <v/>
      </c>
      <c r="CT61" s="172">
        <f>MIN(IF($AU61=100%,1,1+VLOOKUP(($AJ61-$AI61-$AH61-$AG61-$AF61-$AE61*(1+CT$3))/$AJ61,'Технический лист'!$M:$N,2,1)-VLOOKUP($AO61,'Технический лист'!$M:$N,2,1)),1+(1-$AU61))</f>
        <v/>
      </c>
      <c r="CU61" s="172">
        <f>MIN(IF($AU61=100%,1,1+VLOOKUP(($AJ61-$AI61-$AH61-$AG61-$AF61-$AE61*(1+CU$3))/$AJ61,'Технический лист'!$M:$N,2,1)-VLOOKUP($AO61,'Технический лист'!$M:$N,2,1)),1+(1-$AU61))</f>
        <v/>
      </c>
      <c r="CV61" s="172">
        <f>MIN(IF($AU61=100%,1,1+VLOOKUP(($AJ61-$AI61-$AH61-$AG61-$AF61-$AE61*(1+CV$3))/$AJ61,'Технический лист'!$M:$N,2,1)-VLOOKUP($AO61,'Технический лист'!$M:$N,2,1)),1+(1-$AU61))</f>
        <v/>
      </c>
      <c r="CW61" s="172">
        <f>MIN(IF($AU61=100%,1,1+VLOOKUP(($AJ61-$AI61-$AH61-$AG61-$AF61-$AE61*(1+CW$3))/$AJ61,'Технический лист'!$M:$N,2,1)-VLOOKUP($AO61,'Технический лист'!$M:$N,2,1)),1+(1-$AU61))</f>
        <v/>
      </c>
      <c r="CX61" s="172">
        <f>MIN(IF($AU61=100%,1,1+VLOOKUP(($AJ61-$AI61-$AH61-$AG61-$AF61-$AE61*(1+CX$3))/$AJ61,'Технический лист'!$M:$N,2,1)-VLOOKUP($AO61,'Технический лист'!$M:$N,2,1)),1+(1-$AU61))</f>
        <v/>
      </c>
      <c r="CY61" s="172">
        <f>MIN(IF($AU61=100%,1,1+VLOOKUP(($AJ61-$AI61-$AH61-$AG61-$AF61-$AE61*(1+CY$3))/$AJ61,'Технический лист'!$M:$N,2,1)-VLOOKUP($AO61,'Технический лист'!$M:$N,2,1)),1+(1-$AU61))</f>
        <v/>
      </c>
      <c r="CZ61" s="172">
        <f>MIN(IF($AU61=100%,1,1+VLOOKUP(($AJ61-$AI61-$AH61-$AG61-$AF61-$AE61*(1+CZ$3))/$AJ61,'Технический лист'!$M:$N,2,1)-VLOOKUP($AO61,'Технический лист'!$M:$N,2,1)),1+(1-$AU61))</f>
        <v/>
      </c>
      <c r="DA61" s="172">
        <f>MIN(IF($AU61=100%,1,1+VLOOKUP(($AJ61-$AI61-$AH61-$AG61-$AF61-$AE61*(1+DA$3))/$AJ61,'Технический лист'!$M:$N,2,1)-VLOOKUP($AO61,'Технический лист'!$M:$N,2,1)),1+(1-$AU61))</f>
        <v/>
      </c>
      <c r="DB61" s="172">
        <f>MIN(IF($AU61=100%,1,1+VLOOKUP(($AJ61-$AI61-$AH61-$AG61-$AF61-$AE61*(1+DB$3))/$AJ61,'Технический лист'!$M:$N,2,1)-VLOOKUP($AO61,'Технический лист'!$M:$N,2,1)),1+(1-$AU61))</f>
        <v/>
      </c>
      <c r="DC61" s="172">
        <f>MIN(IF($AU61=100%,1,1+VLOOKUP(($AJ61-$AI61-$AH61-$AG61-$AF61-$AE61*(1+DC$3))/$AJ61,'Технический лист'!$M:$N,2,1)-VLOOKUP($AO61,'Технический лист'!$M:$N,2,1)),1+(1-$AU61))</f>
        <v/>
      </c>
      <c r="DD61" s="172">
        <f>MIN(IF($AU61=100%,1,1+VLOOKUP(($AJ61-$AI61-$AH61-$AG61-$AF61-$AE61*(1+DD$3))/$AJ61,'Технический лист'!$M:$N,2,1)-VLOOKUP($AO61,'Технический лист'!$M:$N,2,1)),1+(1-$AU61))</f>
        <v/>
      </c>
      <c r="DE61" s="172">
        <f>MIN(IF($AU61=100%,1,1+VLOOKUP(($AJ61-$AI61-$AH61-$AG61-$AF61-$AE61*(1+DE$3))/$AJ61,'Технический лист'!$M:$N,2,1)-VLOOKUP($AO61,'Технический лист'!$M:$N,2,1)),1+(1-$AU61))</f>
        <v/>
      </c>
      <c r="DF61" s="172">
        <f>MIN(IF($AU61=100%,1,1+VLOOKUP(($AJ61-$AI61-$AH61-$AG61-$AF61-$AE61*(1+DF$3))/$AJ61,'Технический лист'!$M:$N,2,1)-VLOOKUP($AO61,'Технический лист'!$M:$N,2,1)),1+(1-$AU61))</f>
        <v/>
      </c>
      <c r="DG61" s="172">
        <f>MIN(IF($AU61=100%,1,1+VLOOKUP(($AJ61-$AI61-$AH61-$AG61-$AF61-$AE61*(1+DG$3))/$AJ61,'Технический лист'!$M:$N,2,1)-VLOOKUP($AO61,'Технический лист'!$M:$N,2,1)),1+(1-$AU61))</f>
        <v/>
      </c>
      <c r="DH61" s="172">
        <f>MIN(IF($AU61=100%,1,1+VLOOKUP(($AJ61-$AI61-$AH61-$AG61-$AF61-$AE61*(1+DH$3))/$AJ61,'Технический лист'!$M:$N,2,1)-VLOOKUP($AO61,'Технический лист'!$M:$N,2,1)),1+(1-$AU61))</f>
        <v/>
      </c>
      <c r="DI61" s="172">
        <f>MIN(IF($AU61=100%,1,1+VLOOKUP(($AJ61-$AI61-$AH61-$AG61-$AF61-$AE61*(1+DI$3))/$AJ61,'Технический лист'!$M:$N,2,1)-VLOOKUP($AO61,'Технический лист'!$M:$N,2,1)),1+(1-$AU61))</f>
        <v/>
      </c>
      <c r="DJ61" s="172">
        <f>MIN(IF($AU61=100%,1,1+VLOOKUP(($AJ61-$AI61-$AH61-$AG61-$AF61-$AE61*(1+DJ$3))/$AJ61,'Технический лист'!$M:$N,2,1)-VLOOKUP($AO61,'Технический лист'!$M:$N,2,1)),1+(1-$AU61))</f>
        <v/>
      </c>
      <c r="DK61" s="172">
        <f>MIN(IF($AU61=100%,1,1+VLOOKUP(($AJ61-$AI61-$AH61-$AG61-$AF61-$AE61*(1+DK$3))/$AJ61,'Технический лист'!$M:$N,2,1)-VLOOKUP($AO61,'Технический лист'!$M:$N,2,1)),1+(1-$AU61))</f>
        <v/>
      </c>
      <c r="DL61" s="172">
        <f>MIN(IF($AU61=100%,1,1+VLOOKUP(($AJ61-$AI61-$AH61-$AG61-$AF61-$AE61*(1+DL$3))/$AJ61,'Технический лист'!$M:$N,2,1)-VLOOKUP($AO61,'Технический лист'!$M:$N,2,1)),1+(1-$AU61))</f>
        <v/>
      </c>
      <c r="DM61" s="172">
        <f>MIN(IF($AU61=100%,1,1+VLOOKUP(($AJ61-$AI61-$AH61-$AG61-$AF61-$AE61*(1+DM$3))/$AJ61,'Технический лист'!$M:$N,2,1)-VLOOKUP($AO61,'Технический лист'!$M:$N,2,1)),1+(1-$AU61))</f>
        <v/>
      </c>
      <c r="DN61" s="172">
        <f>MIN(IF($AU61=100%,1,1+VLOOKUP(($AJ61-$AI61-$AH61-$AG61-$AF61-$AE61*(1+DN$3))/$AJ61,'Технический лист'!$M:$N,2,1)-VLOOKUP($AO61,'Технический лист'!$M:$N,2,1)),1+(1-$AU61))</f>
        <v/>
      </c>
      <c r="DO61" s="172">
        <f>MIN(IF($AU61=100%,1,1+VLOOKUP(($AJ61-$AI61-$AH61-$AG61-$AF61-$AE61*(1+DO$3))/$AJ61,'Технический лист'!$M:$N,2,1)-VLOOKUP($AO61,'Технический лист'!$M:$N,2,1)),1+(1-$AU61))</f>
        <v/>
      </c>
      <c r="DP61" s="172">
        <f>MIN(IF($AU61=100%,1,1+VLOOKUP(($AJ61-$AI61-$AH61-$AG61-$AF61-$AE61*(1+DP$3))/$AJ61,'Технический лист'!$M:$N,2,1)-VLOOKUP($AO61,'Технический лист'!$M:$N,2,1)),1+(1-$AU61))</f>
        <v/>
      </c>
      <c r="DQ61" s="172">
        <f>MIN(IF($AU61=100%,1,1+VLOOKUP(($AJ61-$AI61-$AH61-$AG61-$AF61-$AE61*(1+DQ$3))/$AJ61,'Технический лист'!$M:$N,2,1)-VLOOKUP($AO61,'Технический лист'!$M:$N,2,1)),1+(1-$AU61))</f>
        <v/>
      </c>
      <c r="DR61" s="172">
        <f>MIN(IF($AU61=100%,1,1+VLOOKUP(($AJ61-$AI61-$AH61-$AG61-$AF61-$AE61*(1+DR$3))/$AJ61,'Технический лист'!$M:$N,2,1)-VLOOKUP($AO61,'Технический лист'!$M:$N,2,1)),1+(1-$AU61))</f>
        <v/>
      </c>
      <c r="DS61" s="172">
        <f>MIN(IF($AU61=100%,1,1+VLOOKUP(($AJ61-$AI61-$AH61-$AG61-$AF61-$AE61*(1+DS$3))/$AJ61,'Технический лист'!$M:$N,2,1)-VLOOKUP($AO61,'Технический лист'!$M:$N,2,1)),1+(1-$AU61))</f>
        <v/>
      </c>
      <c r="DT61" s="172">
        <f>MIN(IF($AU61=100%,1,1+VLOOKUP(($AJ61-$AI61-$AH61-$AG61-$AF61-$AE61*(1+DT$3))/$AJ61,'Технический лист'!$M:$N,2,1)-VLOOKUP($AO61,'Технический лист'!$M:$N,2,1)),1+(1-$AU61))</f>
        <v/>
      </c>
      <c r="DU61" s="172">
        <f>MIN(IF($AU61=100%,1,1+VLOOKUP(($AJ61-$AI61-$AH61-$AG61-$AF61-$AE61*(1+DU$3))/$AJ61,'Технический лист'!$M:$N,2,1)-VLOOKUP($AO61,'Технический лист'!$M:$N,2,1)),1+(1-$AU61))</f>
        <v/>
      </c>
      <c r="DV61" s="172">
        <f>MIN(IF($AU61=100%,1,1+VLOOKUP(($AJ61-$AI61-$AH61-$AG61-$AF61-$AE61*(1+DV$3))/$AJ61,'Технический лист'!$M:$N,2,1)-VLOOKUP($AO61,'Технический лист'!$M:$N,2,1)),1+(1-$AU61))</f>
        <v/>
      </c>
      <c r="DW61" s="172">
        <f>MIN(IF($AU61=100%,1,1+VLOOKUP(($AJ61-$AI61-$AH61-$AG61-$AF61-$AE61*(1+DW$3))/$AJ61,'Технический лист'!$M:$N,2,1)-VLOOKUP($AO61,'Технический лист'!$M:$N,2,1)),1+(1-$AU61))</f>
        <v/>
      </c>
      <c r="DX61" s="172">
        <f>MIN(IF($AU61=100%,1,1+VLOOKUP(($AJ61-$AI61-$AH61-$AG61-$AF61-$AE61*(1+DX$3))/$AJ61,'Технический лист'!$M:$N,2,1)-VLOOKUP($AO61,'Технический лист'!$M:$N,2,1)),1+(1-$AU61))</f>
        <v/>
      </c>
      <c r="DY61" s="172">
        <f>MIN(IF($AU61=100%,1,1+VLOOKUP(($AJ61-$AI61-$AH61-$AG61-$AF61-$AE61*(1+DY$3))/$AJ61,'Технический лист'!$M:$N,2,1)-VLOOKUP($AO61,'Технический лист'!$M:$N,2,1)),1+(1-$AU61))</f>
        <v/>
      </c>
      <c r="DZ61" s="172">
        <f>MIN(IF($AU61=100%,1,1+VLOOKUP(($AJ61-$AI61-$AH61-$AG61-$AF61-$AE61*(1+DZ$3))/$AJ61,'Технический лист'!$M:$N,2,1)-VLOOKUP($AO61,'Технический лист'!$M:$N,2,1)),1+(1-$AU61))</f>
        <v/>
      </c>
      <c r="EA61" s="172">
        <f>MIN(IF($AU61=100%,1,1+VLOOKUP(($AJ61-$AI61-$AH61-$AG61-$AF61-$AE61*(1+EA$3))/$AJ61,'Технический лист'!$M:$N,2,1)-VLOOKUP($AO61,'Технический лист'!$M:$N,2,1)),1+(1-$AU61))</f>
        <v/>
      </c>
      <c r="EB61" s="172">
        <f>MIN(IF($AU61=100%,1,1+VLOOKUP(($AJ61-$AI61-$AH61-$AG61-$AF61-$AE61*(1+EB$3))/$AJ61,'Технический лист'!$M:$N,2,1)-VLOOKUP($AO61,'Технический лист'!$M:$N,2,1)),1+(1-$AU61))</f>
        <v/>
      </c>
      <c r="EC61" s="172">
        <f>MIN(IF($AU61=100%,1,1+VLOOKUP(($AJ61-$AI61-$AH61-$AG61-$AF61-$AE61*(1+EC$3))/$AJ61,'Технический лист'!$M:$N,2,1)-VLOOKUP($AO61,'Технический лист'!$M:$N,2,1)),1+(1-$AU61))</f>
        <v/>
      </c>
      <c r="ED61" s="172">
        <f>MIN(IF($AU61=100%,1,1+VLOOKUP(($AJ61-$AI61-$AH61-$AG61-$AF61-$AE61*(1+ED$3))/$AJ61,'Технический лист'!$M:$N,2,1)-VLOOKUP($AO61,'Технический лист'!$M:$N,2,1)),1+(1-$AU61))</f>
        <v/>
      </c>
      <c r="EE61" s="172">
        <f>MIN(IF($AU61=100%,1,1+VLOOKUP(($AJ61-$AI61-$AH61-$AG61-$AF61-$AE61*(1+EE$3))/$AJ61,'Технический лист'!$M:$N,2,1)-VLOOKUP($AO61,'Технический лист'!$M:$N,2,1)),1+(1-$AU61))</f>
        <v/>
      </c>
      <c r="EF61" s="172">
        <f>MIN(IF($AU61=100%,1,1+VLOOKUP(($AJ61-$AI61-$AH61-$AG61-$AF61-$AE61*(1+EF$3))/$AJ61,'Технический лист'!$M:$N,2,1)-VLOOKUP($AO61,'Технический лист'!$M:$N,2,1)),1+(1-$AU61))</f>
        <v/>
      </c>
      <c r="EG61" s="172">
        <f>MIN(IF($AU61=100%,1,1+VLOOKUP(($AJ61-$AI61-$AH61-$AG61-$AF61-$AE61*(1+EG$3))/$AJ61,'Технический лист'!$M:$N,2,1)-VLOOKUP($AO61,'Технический лист'!$M:$N,2,1)),1+(1-$AU61))</f>
        <v/>
      </c>
      <c r="EH61" s="172">
        <f>MIN(IF($AU61=100%,1,1+VLOOKUP(($AJ61-$AI61-$AH61-$AG61-$AF61-$AE61*(1+EH$3))/$AJ61,'Технический лист'!$M:$N,2,1)-VLOOKUP($AO61,'Технический лист'!$M:$N,2,1)),1+(1-$AU61))</f>
        <v/>
      </c>
      <c r="EI61" s="172">
        <f>MIN(IF($AU61=100%,1,1+VLOOKUP(($AJ61-$AI61-$AH61-$AG61-$AF61-$AE61*(1+EI$3))/$AJ61,'Технический лист'!$M:$N,2,1)-VLOOKUP($AO61,'Технический лист'!$M:$N,2,1)),1+(1-$AU61))</f>
        <v/>
      </c>
      <c r="EJ61" s="172">
        <f>MIN(IF($AU61=100%,1,1+VLOOKUP(($AJ61-$AI61-$AH61-$AG61-$AF61-$AE61*(1+EJ$3))/$AJ61,'Технический лист'!$M:$N,2,1)-VLOOKUP($AO61,'Технический лист'!$M:$N,2,1)),1+(1-$AU61))</f>
        <v/>
      </c>
      <c r="EK61" s="172">
        <f>MIN(IF($AU61=100%,1,1+VLOOKUP(($AJ61-$AI61-$AH61-$AG61-$AF61-$AE61*(1+EK$3))/$AJ61,'Технический лист'!$M:$N,2,1)-VLOOKUP($AO61,'Технический лист'!$M:$N,2,1)),1+(1-$AU61))</f>
        <v/>
      </c>
      <c r="EL61" s="172">
        <f>MIN(IF($AU61=100%,1,1+VLOOKUP(($AJ61-$AI61-$AH61-$AG61-$AF61-$AE61*(1+EL$3))/$AJ61,'Технический лист'!$M:$N,2,1)-VLOOKUP($AO61,'Технический лист'!$M:$N,2,1)),1+(1-$AU61))</f>
        <v/>
      </c>
      <c r="EM61" s="172">
        <f>MIN(IF($AU61=100%,1,1+VLOOKUP(($AJ61-$AI61-$AH61-$AG61-$AF61-$AE61*(1+EM$3))/$AJ61,'Технический лист'!$M:$N,2,1)-VLOOKUP($AO61,'Технический лист'!$M:$N,2,1)),1+(1-$AU61))</f>
        <v/>
      </c>
      <c r="EN61" s="172">
        <f>MIN(IF($AU61=100%,1,1+VLOOKUP(($AJ61-$AI61-$AH61-$AG61-$AF61-$AE61*(1+EN$3))/$AJ61,'Технический лист'!$M:$N,2,1)-VLOOKUP($AO61,'Технический лист'!$M:$N,2,1)),1+(1-$AU61))</f>
        <v/>
      </c>
      <c r="EO61" s="172">
        <f>MIN(IF($AU61=100%,1,1+VLOOKUP(($AJ61-$AI61-$AH61-$AG61-$AF61-$AE61*(1+EO$3))/$AJ61,'Технический лист'!$M:$N,2,1)-VLOOKUP($AO61,'Технический лист'!$M:$N,2,1)),1+(1-$AU61))</f>
        <v/>
      </c>
      <c r="EP61" s="172">
        <f>MIN(IF($AU61=100%,1,1+VLOOKUP(($AJ61-$AI61-$AH61-$AG61-$AF61-$AE61*(1+EP$3))/$AJ61,'Технический лист'!$M:$N,2,1)-VLOOKUP($AO61,'Технический лист'!$M:$N,2,1)),1+(1-$AU61))</f>
        <v/>
      </c>
      <c r="EQ61" s="172">
        <f>MIN(IF($AU61=100%,1,1+VLOOKUP(($AJ61-$AI61-$AH61-$AG61-$AF61-$AE61*(1+EQ$3))/$AJ61,'Технический лист'!$M:$N,2,1)-VLOOKUP($AO61,'Технический лист'!$M:$N,2,1)),1+(1-$AU61))</f>
        <v/>
      </c>
      <c r="ER61" s="172">
        <f>MIN(IF($AU61=100%,1,1+VLOOKUP(($AJ61-$AI61-$AH61-$AG61-$AF61-$AE61*(1+ER$3))/$AJ61,'Технический лист'!$M:$N,2,1)-VLOOKUP($AO61,'Технический лист'!$M:$N,2,1)),1+(1-$AU61))</f>
        <v/>
      </c>
      <c r="ES61" s="172">
        <f>MIN(IF($AU61=100%,1,1+VLOOKUP(($AJ61-$AI61-$AH61-$AG61-$AF61-$AE61*(1+ES$3))/$AJ61,'Технический лист'!$M:$N,2,1)-VLOOKUP($AO61,'Технический лист'!$M:$N,2,1)),1+(1-$AU61))</f>
        <v/>
      </c>
      <c r="ET61" s="172">
        <f>MIN(IF($AU61=100%,1,1+VLOOKUP(($AJ61-$AI61-$AH61-$AG61-$AF61-$AE61*(1+ET$3))/$AJ61,'Технический лист'!$M:$N,2,1)-VLOOKUP($AO61,'Технический лист'!$M:$N,2,1)),1+(1-$AU61))</f>
        <v/>
      </c>
      <c r="EU61" s="172">
        <f>MIN(IF($AU61=100%,1,1+VLOOKUP(($AJ61-$AI61-$AH61-$AG61-$AF61-$AE61*(1+EU$3))/$AJ61,'Технический лист'!$M:$N,2,1)-VLOOKUP($AO61,'Технический лист'!$M:$N,2,1)),1+(1-$AU61))</f>
        <v/>
      </c>
      <c r="EV61" s="173" t="n">
        <v>1</v>
      </c>
      <c r="EW61" s="172">
        <f>MIN(1,MAX(VLOOKUP(($AJ61-$AI61-$AH61-$AG61-$AF61-$AE61*(1+EW$3))/$AJ61,'Технический лист'!$M:$N,2,1),(EV61-0.05)))</f>
        <v/>
      </c>
      <c r="EX61" s="172">
        <f>MIN(1,MAX(VLOOKUP(($AJ61-$AI61-$AH61-$AG61-$AF61-$AE61*(1+EX$3))/$AJ61,'Технический лист'!$M:$N,2,1),(EW61-0.05)))</f>
        <v/>
      </c>
      <c r="EY61" s="172">
        <f>MIN(1,MAX(VLOOKUP(($AJ61-$AI61-$AH61-$AG61-$AF61-$AE61*(1+EY$3))/$AJ61,'Технический лист'!$M:$N,2,1),(EX61-0.05)))</f>
        <v/>
      </c>
      <c r="EZ61" s="172">
        <f>MIN(1,MAX(VLOOKUP(($AJ61-$AI61-$AH61-$AG61-$AF61-$AE61*(1+EZ$3))/$AJ61,'Технический лист'!$M:$N,2,1),(EY61-0.05)))</f>
        <v/>
      </c>
      <c r="FA61" s="172">
        <f>MIN(1,MAX(VLOOKUP(($AJ61-$AI61-$AH61-$AG61-$AF61-$AE61*(1+FA$3))/$AJ61,'Технический лист'!$M:$N,2,1),(EZ61-0.05)))</f>
        <v/>
      </c>
      <c r="FB61" s="172">
        <f>MIN(1,MAX(VLOOKUP(($AJ61-$AI61-$AH61-$AG61-$AF61-$AE61*(1+FB$3))/$AJ61,'Технический лист'!$M:$N,2,1),(FA61-0.05)))</f>
        <v/>
      </c>
      <c r="FC61" s="172">
        <f>MIN(1,MAX(VLOOKUP(($AJ61-$AI61-$AH61-$AG61-$AF61-$AE61*(1+FC$3))/$AJ61,'Технический лист'!$M:$N,2,1),(FB61-0.05)))</f>
        <v/>
      </c>
      <c r="FD61" s="172">
        <f>MIN(1,MAX(VLOOKUP(($AJ61-$AI61-$AH61-$AG61-$AF61-$AE61*(1+FD$3))/$AJ61,'Технический лист'!$M:$N,2,1),(FC61-0.05)))</f>
        <v/>
      </c>
      <c r="FE61" s="172">
        <f>MIN(1,MAX(VLOOKUP(($AJ61-$AI61-$AH61-$AG61-$AF61-$AE61*(1+FE$3))/$AJ61,'Технический лист'!$M:$N,2,1),(FD61-0.05)))</f>
        <v/>
      </c>
      <c r="FF61" s="172">
        <f>MIN(1,MAX(VLOOKUP(($AJ61-$AI61-$AH61-$AG61-$AF61-$AE61*(1+FF$3))/$AJ61,'Технический лист'!$M:$N,2,1),(FE61-0.05)))</f>
        <v/>
      </c>
      <c r="FG61" s="172">
        <f>MIN(1,MAX(VLOOKUP(($AJ61-$AI61-$AH61-$AG61-$AF61-$AE61*(1+FG$3))/$AJ61,'Технический лист'!$M:$N,2,1),(FF61-0.05)))</f>
        <v/>
      </c>
      <c r="FH61" s="172">
        <f>MIN(1,MAX(VLOOKUP(($AJ61-$AI61-$AH61-$AG61-$AF61-$AE61*(1+FH$3))/$AJ61,'Технический лист'!$M:$N,2,1),(FG61-0.05)))</f>
        <v/>
      </c>
      <c r="FI61" s="172">
        <f>MIN(1,MAX(VLOOKUP(($AJ61-$AI61-$AH61-$AG61-$AF61-$AE61*(1+FI$3))/$AJ61,'Технический лист'!$M:$N,2,1),(FH61-0.05)))</f>
        <v/>
      </c>
      <c r="FJ61" s="172">
        <f>MIN(1,MAX(VLOOKUP(($AJ61-$AI61-$AH61-$AG61-$AF61-$AE61*(1+FJ$3))/$AJ61,'Технический лист'!$M:$N,2,1),(FI61-0.05)))</f>
        <v/>
      </c>
      <c r="FK61" s="172">
        <f>MIN(1,MAX(VLOOKUP(($AJ61-$AI61-$AH61-$AG61-$AF61-$AE61*(1+FK$3))/$AJ61,'Технический лист'!$M:$N,2,1),(FJ61-0.05)))</f>
        <v/>
      </c>
      <c r="FL61" s="172">
        <f>MIN(1,MAX(VLOOKUP(($AJ61-$AI61-$AH61-$AG61-$AF61-$AE61*(1+FL$3))/$AJ61,'Технический лист'!$M:$N,2,1),(FK61-0.05)))</f>
        <v/>
      </c>
      <c r="FM61" s="172">
        <f>MIN(1,MAX(VLOOKUP(($AJ61-$AI61-$AH61-$AG61-$AF61-$AE61*(1+FM$3))/$AJ61,'Технический лист'!$M:$N,2,1),(FL61-0.05)))</f>
        <v/>
      </c>
      <c r="FN61" s="172">
        <f>MIN(1,MAX(VLOOKUP(($AJ61-$AI61-$AH61-$AG61-$AF61-$AE61*(1+FN$3))/$AJ61,'Технический лист'!$M:$N,2,1),(FM61-0.05)))</f>
        <v/>
      </c>
      <c r="FO61" s="172">
        <f>MIN(1,MAX(VLOOKUP(($AJ61-$AI61-$AH61-$AG61-$AF61-$AE61*(1+FO$3))/$AJ61,'Технический лист'!$M:$N,2,1),(FN61-0.05)))</f>
        <v/>
      </c>
      <c r="FP61" s="172">
        <f>MIN(1,MAX(VLOOKUP(($AJ61-$AI61-$AH61-$AG61-$AF61-$AE61*(1+FP$3))/$AJ61,'Технический лист'!$M:$N,2,1),(FO61-0.05)))</f>
        <v/>
      </c>
      <c r="FQ61" s="172">
        <f>MIN(1,MAX(VLOOKUP(($AJ61-$AI61-$AH61-$AG61-$AF61-$AE61*(1+FQ$3))/$AJ61,'Технический лист'!$M:$N,2,1),(FP61-0.05)))</f>
        <v/>
      </c>
      <c r="FR61" s="172">
        <f>MIN(1,MAX(VLOOKUP(($AJ61-$AI61-$AH61-$AG61-$AF61-$AE61*(1+FR$3))/$AJ61,'Технический лист'!$M:$N,2,1),(FQ61-0.05)))</f>
        <v/>
      </c>
      <c r="FS61" s="172">
        <f>MIN(1,MAX(VLOOKUP(($AJ61-$AI61-$AH61-$AG61-$AF61-$AE61*(1+FS$3))/$AJ61,'Технический лист'!$M:$N,2,1),(FR61-0.05)))</f>
        <v/>
      </c>
      <c r="FT61" s="172">
        <f>MIN(1,MAX(VLOOKUP(($AJ61-$AI61-$AH61-$AG61-$AF61-$AE61*(1+FT$3))/$AJ61,'Технический лист'!$M:$N,2,1),(FS61-0.05)))</f>
        <v/>
      </c>
      <c r="FU61" s="172">
        <f>MIN(1,MAX(VLOOKUP(($AJ61-$AI61-$AH61-$AG61-$AF61-$AE61*(1+FU$3))/$AJ61,'Технический лист'!$M:$N,2,1),(FT61-0.05)))</f>
        <v/>
      </c>
      <c r="FV61" s="172">
        <f>MIN(1,MAX(VLOOKUP(($AJ61-$AI61-$AH61-$AG61-$AF61-$AE61*(1+FV$3))/$AJ61,'Технический лист'!$M:$N,2,1),(FU61-0.05)))</f>
        <v/>
      </c>
      <c r="FW61" s="172">
        <f>MIN(1,MAX(VLOOKUP(($AJ61-$AI61-$AH61-$AG61-$AF61-$AE61*(1+FW$3))/$AJ61,'Технический лист'!$M:$N,2,1),(FV61-0.05)))</f>
        <v/>
      </c>
      <c r="FX61" s="172">
        <f>MIN(1,MAX(VLOOKUP(($AJ61-$AI61-$AH61-$AG61-$AF61-$AE61*(1+FX$3))/$AJ61,'Технический лист'!$M:$N,2,1),(FW61-0.05)))</f>
        <v/>
      </c>
      <c r="FY61" s="172">
        <f>MIN(1,MAX(VLOOKUP(($AJ61-$AI61-$AH61-$AG61-$AF61-$AE61*(1+FY$3))/$AJ61,'Технический лист'!$M:$N,2,1),(FX61-0.05)))</f>
        <v/>
      </c>
      <c r="FZ61" s="172">
        <f>MIN(1,MAX(VLOOKUP(($AJ61-$AI61-$AH61-$AG61-$AF61-$AE61*(1+FZ$3))/$AJ61,'Технический лист'!$M:$N,2,1),(FY61-0.05)))</f>
        <v/>
      </c>
      <c r="GA61" s="172">
        <f>MIN(1,MAX(VLOOKUP(($AJ61-$AI61-$AH61-$AG61-$AF61-$AE61*(1+GA$3))/$AJ61,'Технический лист'!$M:$N,2,1),(FZ61-0.05)))</f>
        <v/>
      </c>
      <c r="GB61" s="172">
        <f>MIN(1,MAX(VLOOKUP(($AJ61-$AI61-$AH61-$AG61-$AF61-$AE61*(1+GB$3))/$AJ61,'Технический лист'!$M:$N,2,1),(GA61-0.05)))</f>
        <v/>
      </c>
      <c r="GC61" s="172">
        <f>MIN(1,MAX(VLOOKUP(($AJ61-$AI61-$AH61-$AG61-$AF61-$AE61*(1+GC$3))/$AJ61,'Технический лист'!$M:$N,2,1),(GB61-0.05)))</f>
        <v/>
      </c>
      <c r="GD61" s="172">
        <f>MIN(1,MAX(VLOOKUP(($AJ61-$AI61-$AH61-$AG61-$AF61-$AE61*(1+GD$3))/$AJ61,'Технический лист'!$M:$N,2,1),(GC61-0.05)))</f>
        <v/>
      </c>
      <c r="GE61" s="172">
        <f>MIN(1,MAX(VLOOKUP(($AJ61-$AI61-$AH61-$AG61-$AF61-$AE61*(1+GE$3))/$AJ61,'Технический лист'!$M:$N,2,1),(GD61-0.05)))</f>
        <v/>
      </c>
      <c r="GF61" s="172">
        <f>MIN(1,MAX(VLOOKUP(($AJ61-$AI61-$AH61-$AG61-$AF61-$AE61*(1+GF$3))/$AJ61,'Технический лист'!$M:$N,2,1),(GE61-0.05)))</f>
        <v/>
      </c>
      <c r="GG61" s="172">
        <f>MIN(1,MAX(VLOOKUP(($AJ61-$AI61-$AH61-$AG61-$AF61-$AE61*(1+GG$3))/$AJ61,'Технический лист'!$M:$N,2,1),(GF61-0.05)))</f>
        <v/>
      </c>
      <c r="GH61" s="172">
        <f>MIN(1,MAX(VLOOKUP(($AJ61-$AI61-$AH61-$AG61-$AF61-$AE61*(1+GH$3))/$AJ61,'Технический лист'!$M:$N,2,1),(GG61-0.05)))</f>
        <v/>
      </c>
      <c r="GI61" s="172">
        <f>MIN(1,MAX(VLOOKUP(($AJ61-$AI61-$AH61-$AG61-$AF61-$AE61*(1+GI$3))/$AJ61,'Технический лист'!$M:$N,2,1),(GH61-0.05)))</f>
        <v/>
      </c>
      <c r="GJ61" s="172">
        <f>MIN(1,MAX(VLOOKUP(($AJ61-$AI61-$AH61-$AG61-$AF61-$AE61*(1+GJ$3))/$AJ61,'Технический лист'!$M:$N,2,1),(GI61-0.05)))</f>
        <v/>
      </c>
      <c r="GK61" s="172">
        <f>MIN(1,MAX(VLOOKUP(($AJ61-$AI61-$AH61-$AG61-$AF61-$AE61*(1+GK$3))/$AJ61,'Технический лист'!$M:$N,2,1),(GJ61-0.05)))</f>
        <v/>
      </c>
      <c r="GL61" s="172">
        <f>MIN(1,MAX(VLOOKUP(($AJ61-$AI61-$AH61-$AG61-$AF61-$AE61*(1+GL$3))/$AJ61,'Технический лист'!$M:$N,2,1),(GK61-0.05)))</f>
        <v/>
      </c>
      <c r="GM61" s="172">
        <f>MIN(1,MAX(VLOOKUP(($AJ61-$AI61-$AH61-$AG61-$AF61-$AE61*(1+GM$3))/$AJ61,'Технический лист'!$M:$N,2,1),(GL61-0.05)))</f>
        <v/>
      </c>
      <c r="GN61" s="172">
        <f>MIN(1,MAX(VLOOKUP(($AJ61-$AI61-$AH61-$AG61-$AF61-$AE61*(1+GN$3))/$AJ61,'Технический лист'!$M:$N,2,1),(GM61-0.05)))</f>
        <v/>
      </c>
      <c r="GO61" s="172">
        <f>MIN(1,MAX(VLOOKUP(($AJ61-$AI61-$AH61-$AG61-$AF61-$AE61*(1+GO$3))/$AJ61,'Технический лист'!$M:$N,2,1),(GN61-0.05)))</f>
        <v/>
      </c>
      <c r="GP61" s="172">
        <f>MIN(1,MAX(VLOOKUP(($AJ61-$AI61-$AH61-$AG61-$AF61-$AE61*(1+GP$3))/$AJ61,'Технический лист'!$M:$N,2,1),(GO61-0.05)))</f>
        <v/>
      </c>
      <c r="GQ61" s="172">
        <f>MIN(1,MAX(VLOOKUP(($AJ61-$AI61-$AH61-$AG61-$AF61-$AE61*(1+GQ$3))/$AJ61,'Технический лист'!$M:$N,2,1),(GP61-0.05)))</f>
        <v/>
      </c>
      <c r="GR61" s="172">
        <f>MIN(1,MAX(VLOOKUP(($AJ61-$AI61-$AH61-$AG61-$AF61-$AE61*(1+GR$3))/$AJ61,'Технический лист'!$M:$N,2,1),(GQ61-0.05)))</f>
        <v/>
      </c>
      <c r="GS61" s="172">
        <f>MIN(1,MAX(VLOOKUP(($AJ61-$AI61-$AH61-$AG61-$AF61-$AE61*(1+GS$3))/$AJ61,'Технический лист'!$M:$N,2,1),(GR61-0.05)))</f>
        <v/>
      </c>
      <c r="GT61" s="172">
        <f>MIN(1,MAX(VLOOKUP(($AJ61-$AI61-$AH61-$AG61-$AF61-$AE61*(1+GT$3))/$AJ61,'Технический лист'!$M:$N,2,1),(GS61-0.05)))</f>
        <v/>
      </c>
      <c r="GU61" s="172">
        <f>MIN(1,MAX(VLOOKUP(($AJ61-$AI61-$AH61-$AG61-$AF61-$AE61*(1+GU$3))/$AJ61,'Технический лист'!$M:$N,2,1),(GT61-0.05)))</f>
        <v/>
      </c>
      <c r="GV61" s="172">
        <f>MIN(1,MAX(VLOOKUP(($AJ61-$AI61-$AH61-$AG61-$AF61-$AE61*(1+GV$3))/$AJ61,'Технический лист'!$M:$N,2,1),(GU61-0.05)))</f>
        <v/>
      </c>
      <c r="GW61" s="172">
        <f>MIN(1,MAX(VLOOKUP(($AJ61-$AI61-$AH61-$AG61-$AF61-$AE61*(1+GW$3))/$AJ61,'Технический лист'!$M:$N,2,1),(GV61-0.05)))</f>
        <v/>
      </c>
      <c r="GX61" s="172">
        <f>MIN(1,MAX(VLOOKUP(($AJ61-$AI61-$AH61-$AG61-$AF61-$AE61*(1+GX$3))/$AJ61,'Технический лист'!$M:$N,2,1),(GW61-0.05)))</f>
        <v/>
      </c>
      <c r="GY61" s="172">
        <f>MIN(1,MAX(VLOOKUP(($AJ61-$AI61-$AH61-$AG61-$AF61-$AE61*(1+GY$3))/$AJ61,'Технический лист'!$M:$N,2,1),(GX61-0.05)))</f>
        <v/>
      </c>
      <c r="GZ61" s="172">
        <f>MIN(1,MAX(VLOOKUP(($AJ61-$AI61-$AH61-$AG61-$AF61-$AE61*(1+GZ$3))/$AJ61,'Технический лист'!$M:$N,2,1),(GY61-0.05)))</f>
        <v/>
      </c>
      <c r="HA61" s="172">
        <f>MIN(1,MAX(VLOOKUP(($AJ61-$AI61-$AH61-$AG61-$AF61-$AE61*(1+HA$3))/$AJ61,'Технический лист'!$M:$N,2,1),(GZ61-0.05)))</f>
        <v/>
      </c>
      <c r="HB61" s="172">
        <f>MIN(1,MAX(VLOOKUP(($AJ61-$AI61-$AH61-$AG61-$AF61-$AE61*(1+HB$3))/$AJ61,'Технический лист'!$M:$N,2,1),(HA61-0.05)))</f>
        <v/>
      </c>
      <c r="HC61" s="172">
        <f>MIN(1,MAX(VLOOKUP(($AJ61-$AI61-$AH61-$AG61-$AF61-$AE61*(1+HC$3))/$AJ61,'Технический лист'!$M:$N,2,1),(HB61-0.05)))</f>
        <v/>
      </c>
      <c r="HD61" s="172">
        <f>MIN(1,MAX(VLOOKUP(($AJ61-$AI61-$AH61-$AG61-$AF61-$AE61*(1+HD$3))/$AJ61,'Технический лист'!$M:$N,2,1),(HC61-0.05)))</f>
        <v/>
      </c>
      <c r="HE61" s="172">
        <f>MIN(1,MAX(VLOOKUP(($AJ61-$AI61-$AH61-$AG61-$AF61-$AE61*(1+HE$3))/$AJ61,'Технический лист'!$M:$N,2,1),(HD61-0.05)))</f>
        <v/>
      </c>
      <c r="HF61" s="172">
        <f>MIN(1,MAX(VLOOKUP(($AJ61-$AI61-$AH61-$AG61-$AF61-$AE61*(1+HF$3))/$AJ61,'Технический лист'!$M:$N,2,1),(HE61-0.05)))</f>
        <v/>
      </c>
      <c r="HG61" s="172">
        <f>MIN(1,MAX(VLOOKUP(($AJ61-$AI61-$AH61-$AG61-$AF61-$AE61*(1+HG$3))/$AJ61,'Технический лист'!$M:$N,2,1),(HF61-0.05)))</f>
        <v/>
      </c>
      <c r="HH61" s="172">
        <f>MIN(1,MAX(VLOOKUP(($AJ61-$AI61-$AH61-$AG61-$AF61-$AE61*(1+HH$3))/$AJ61,'Технический лист'!$M:$N,2,1),(HG61-0.05)))</f>
        <v/>
      </c>
      <c r="HI61" s="172">
        <f>MIN(1,MAX(VLOOKUP(($AJ61-$AI61-$AH61-$AG61-$AF61-$AE61*(1+HI$3))/$AJ61,'Технический лист'!$M:$N,2,1),(HH61-0.05)))</f>
        <v/>
      </c>
      <c r="HJ61" s="172">
        <f>MIN(1,MAX(VLOOKUP(($AJ61-$AI61-$AH61-$AG61-$AF61-$AE61*(1+HJ$3))/$AJ61,'Технический лист'!$M:$N,2,1),(HI61-0.05)))</f>
        <v/>
      </c>
      <c r="HK61" s="172">
        <f>MIN(1,MAX(VLOOKUP(($AJ61-$AI61-$AH61-$AG61-$AF61-$AE61*(1+HK$3))/$AJ61,'Технический лист'!$M:$N,2,1),(HJ61-0.05)))</f>
        <v/>
      </c>
      <c r="HL61" s="172">
        <f>MIN(1,MAX(VLOOKUP(($AJ61-$AI61-$AH61-$AG61-$AF61-$AE61*(1+HL$3))/$AJ61,'Технический лист'!$M:$N,2,1),(HK61-0.05)))</f>
        <v/>
      </c>
      <c r="HM61" s="172">
        <f>MIN(1,MAX(VLOOKUP(($AJ61-$AI61-$AH61-$AG61-$AF61-$AE61*(1+HM$3))/$AJ61,'Технический лист'!$M:$N,2,1),(HL61-0.05)))</f>
        <v/>
      </c>
      <c r="HN61" s="172">
        <f>MIN(1,MAX(VLOOKUP(($AJ61-$AI61-$AH61-$AG61-$AF61-$AE61*(1+HN$3))/$AJ61,'Технический лист'!$M:$N,2,1),(HM61-0.05)))</f>
        <v/>
      </c>
      <c r="HO61" s="172">
        <f>MIN(1,MAX(VLOOKUP(($AJ61-$AI61-$AH61-$AG61-$AF61-$AE61*(1+HO$3))/$AJ61,'Технический лист'!$M:$N,2,1),(HN61-0.05)))</f>
        <v/>
      </c>
      <c r="HP61" s="172">
        <f>MIN(1,MAX(VLOOKUP(($AJ61-$AI61-$AH61-$AG61-$AF61-$AE61*(1+HP$3))/$AJ61,'Технический лист'!$M:$N,2,1),(HO61-0.05)))</f>
        <v/>
      </c>
      <c r="HQ61" s="172">
        <f>MIN(1,MAX(VLOOKUP(($AJ61-$AI61-$AH61-$AG61-$AF61-$AE61*(1+HQ$3))/$AJ61,'Технический лист'!$M:$N,2,1),(HP61-0.05)))</f>
        <v/>
      </c>
      <c r="HR61" s="172">
        <f>MIN(1,MAX(VLOOKUP(($AJ61-$AI61-$AH61-$AG61-$AF61-$AE61*(1+HR$3))/$AJ61,'Технический лист'!$M:$N,2,1),(HQ61-0.05)))</f>
        <v/>
      </c>
      <c r="HS61" s="172">
        <f>MIN(1,MAX(VLOOKUP(($AJ61-$AI61-$AH61-$AG61-$AF61-$AE61*(1+HS$3))/$AJ61,'Технический лист'!$M:$N,2,1),(HR61-0.05)))</f>
        <v/>
      </c>
      <c r="HT61" s="172">
        <f>MIN(1,MAX(VLOOKUP(($AJ61-$AI61-$AH61-$AG61-$AF61-$AE61*(1+HT$3))/$AJ61,'Технический лист'!$M:$N,2,1),(HS61-0.05)))</f>
        <v/>
      </c>
      <c r="HU61" s="172">
        <f>MIN(1,MAX(VLOOKUP(($AJ61-$AI61-$AH61-$AG61-$AF61-$AE61*(1+HU$3))/$AJ61,'Технический лист'!$M:$N,2,1),(HT61-0.05)))</f>
        <v/>
      </c>
      <c r="HV61" s="172">
        <f>MIN(1,MAX(VLOOKUP(($AJ61-$AI61-$AH61-$AG61-$AF61-$AE61*(1+HV$3))/$AJ61,'Технический лист'!$M:$N,2,1),(HU61-0.05)))</f>
        <v/>
      </c>
      <c r="HW61" s="172">
        <f>MIN(1,MAX(VLOOKUP(($AJ61-$AI61-$AH61-$AG61-$AF61-$AE61*(1+HW$3))/$AJ61,'Технический лист'!$M:$N,2,1),(HV61-0.05)))</f>
        <v/>
      </c>
      <c r="HX61" s="172">
        <f>MIN(1,MAX(VLOOKUP(($AJ61-$AI61-$AH61-$AG61-$AF61-$AE61*(1+HX$3))/$AJ61,'Технический лист'!$M:$N,2,1),(HW61-0.05)))</f>
        <v/>
      </c>
      <c r="HY61" s="172">
        <f>MIN(1,MAX(VLOOKUP(($AJ61-$AI61-$AH61-$AG61-$AF61-$AE61*(1+HY$3))/$AJ61,'Технический лист'!$M:$N,2,1),(HX61-0.05)))</f>
        <v/>
      </c>
      <c r="HZ61" s="172">
        <f>MIN(1,MAX(VLOOKUP(($AJ61-$AI61-$AH61-$AG61-$AF61-$AE61*(1+HZ$3))/$AJ61,'Технический лист'!$M:$N,2,1),(HY61-0.05)))</f>
        <v/>
      </c>
      <c r="IA61" s="172">
        <f>MIN(1,MAX(VLOOKUP(($AJ61-$AI61-$AH61-$AG61-$AF61-$AE61*(1+IA$3))/$AJ61,'Технический лист'!$M:$N,2,1),(HZ61-0.05)))</f>
        <v/>
      </c>
      <c r="IB61" s="172">
        <f>MIN(1,MAX(VLOOKUP(($AJ61-$AI61-$AH61-$AG61-$AF61-$AE61*(1+IB$3))/$AJ61,'Технический лист'!$M:$N,2,1),(IA61-0.05)))</f>
        <v/>
      </c>
      <c r="IC61" s="172">
        <f>MIN(1,MAX(VLOOKUP(($AJ61-$AI61-$AH61-$AG61-$AF61-$AE61*(1+IC$3))/$AJ61,'Технический лист'!$M:$N,2,1),(IB61-0.05)))</f>
        <v/>
      </c>
      <c r="ID61" s="172">
        <f>MIN(1,MAX(VLOOKUP(($AJ61-$AI61-$AH61-$AG61-$AF61-$AE61*(1+ID$3))/$AJ61,'Технический лист'!$M:$N,2,1),(IC61-0.05)))</f>
        <v/>
      </c>
      <c r="IE61" s="172">
        <f>MIN(1,MAX(VLOOKUP(($AJ61-$AI61-$AH61-$AG61-$AF61-$AE61*(1+IE$3))/$AJ61,'Технический лист'!$M:$N,2,1),(ID61-0.05)))</f>
        <v/>
      </c>
      <c r="IF61" s="172">
        <f>MIN(1,MAX(VLOOKUP(($AJ61-$AI61-$AH61-$AG61-$AF61-$AE61*(1+IF$3))/$AJ61,'Технический лист'!$M:$N,2,1),(IE61-0.05)))</f>
        <v/>
      </c>
      <c r="IG61" s="172">
        <f>MIN(1,MAX(VLOOKUP(($AJ61-$AI61-$AH61-$AG61-$AF61-$AE61*(1+IG$3))/$AJ61,'Технический лист'!$M:$N,2,1),(IF61-0.05)))</f>
        <v/>
      </c>
      <c r="IH61" s="172">
        <f>MIN(1,MAX(VLOOKUP(($AJ61-$AI61-$AH61-$AG61-$AF61-$AE61*(1+IH$3))/$AJ61,'Технический лист'!$M:$N,2,1),(IG61-0.05)))</f>
        <v/>
      </c>
      <c r="II61" s="172">
        <f>MIN(1,MAX(VLOOKUP(($AJ61-$AI61-$AH61-$AG61-$AF61-$AE61*(1+II$3))/$AJ61,'Технический лист'!$M:$N,2,1),(IH61-0.05)))</f>
        <v/>
      </c>
      <c r="IJ61" s="172">
        <f>MIN(1,MAX(VLOOKUP(($AJ61-$AI61-$AH61-$AG61-$AF61-$AE61*(1+IJ$3))/$AJ61,'Технический лист'!$M:$N,2,1),(II61-0.05)))</f>
        <v/>
      </c>
      <c r="IK61" s="172">
        <f>MIN(1,MAX(VLOOKUP(($AJ61-$AI61-$AH61-$AG61-$AF61-$AE61*(1+IK$3))/$AJ61,'Технический лист'!$M:$N,2,1),(IJ61-0.05)))</f>
        <v/>
      </c>
      <c r="IL61" s="172">
        <f>MIN(1,MAX(VLOOKUP(($AJ61-$AI61-$AH61-$AG61-$AF61-$AE61*(1+IL$3))/$AJ61,'Технический лист'!$M:$N,2,1),(IK61-0.05)))</f>
        <v/>
      </c>
      <c r="IM61" s="172">
        <f>MIN(1,MAX(VLOOKUP(($AJ61-$AI61-$AH61-$AG61-$AF61-$AE61*(1+IM$3))/$AJ61,'Технический лист'!$M:$N,2,1),(IL61-0.05)))</f>
        <v/>
      </c>
      <c r="IN61" s="172">
        <f>MIN(1,MAX(VLOOKUP(($AJ61-$AI61-$AH61-$AG61-$AF61-$AE61*(1+IN$3))/$AJ61,'Технический лист'!$M:$N,2,1),(IM61-0.05)))</f>
        <v/>
      </c>
      <c r="IO61" s="172">
        <f>MIN(1,MAX(VLOOKUP(($AJ61-$AI61-$AH61-$AG61-$AF61-$AE61*(1+IO$3))/$AJ61,'Технический лист'!$M:$N,2,1),(IN61-0.05)))</f>
        <v/>
      </c>
      <c r="IP61" s="172">
        <f>MIN(1,MAX(VLOOKUP(($AJ61-$AI61-$AH61-$AG61-$AF61-$AE61*(1+IP$3))/$AJ61,'Технический лист'!$M:$N,2,1),(IO61-0.05)))</f>
        <v/>
      </c>
      <c r="IQ61" s="172">
        <f>MIN(1,MAX(VLOOKUP(($AJ61-$AI61-$AH61-$AG61-$AF61-$AE61*(1+IQ$3))/$AJ61,'Технический лист'!$M:$N,2,1),(IP61-0.05)))</f>
        <v/>
      </c>
      <c r="IR61" s="172">
        <f>MIN(1,MAX(VLOOKUP(($AJ61-$AI61-$AH61-$AG61-$AF61-$AE61*(1+IR$3))/$AJ61,'Технический лист'!$M:$N,2,1),(IQ61-0.05)))</f>
        <v/>
      </c>
    </row>
    <row r="62" ht="44.15" customFormat="1" customHeight="1" s="6">
      <c r="A62" s="89" t="inlineStr">
        <is>
          <t>ЦМ (сырье)</t>
        </is>
      </c>
      <c r="B62" s="76" t="n">
        <v>4</v>
      </c>
      <c r="C62" s="3" t="inlineStr">
        <is>
          <t>Руды  всякие</t>
        </is>
      </c>
      <c r="D62" s="77" t="n">
        <v>15144</v>
      </c>
      <c r="E62" s="77" t="inlineStr">
        <is>
          <t xml:space="preserve">Руда нефелиновая </t>
        </is>
      </c>
      <c r="F62" s="78" t="inlineStr">
        <is>
          <t xml:space="preserve">Сырье цветных металлов, сырье серное </t>
        </is>
      </c>
      <c r="G62" s="77" t="inlineStr">
        <is>
          <t>КРС</t>
        </is>
      </c>
      <c r="H62" s="77" t="inlineStr">
        <is>
          <t>КРС</t>
        </is>
      </c>
      <c r="I62" s="77" t="inlineStr">
        <is>
          <t>КИЯ-ШАЛТЫРЬ</t>
        </is>
      </c>
      <c r="J62" s="77" t="inlineStr">
        <is>
          <t>АЧИНСК 2</t>
        </is>
      </c>
      <c r="K62" s="77" t="n">
        <v>258</v>
      </c>
      <c r="L62" s="77" t="inlineStr">
        <is>
          <t>Полувагоны</t>
        </is>
      </c>
      <c r="M62" s="91" t="inlineStr">
        <is>
          <t>Внутр. перевозки</t>
        </is>
      </c>
      <c r="N62" s="77" t="inlineStr">
        <is>
          <t>вагонная</t>
        </is>
      </c>
      <c r="O62" s="77" t="inlineStr">
        <is>
          <t xml:space="preserve">Восточное </t>
        </is>
      </c>
      <c r="P62" s="79" t="inlineStr">
        <is>
          <t>'000005785164</t>
        </is>
      </c>
      <c r="Q62" s="77" t="inlineStr">
        <is>
          <t>ОК РУСАЛ</t>
        </is>
      </c>
      <c r="R62" s="77" t="inlineStr">
        <is>
          <t>ОК РУСАЛ</t>
        </is>
      </c>
      <c r="S62" s="80" t="n">
        <v>3657292</v>
      </c>
      <c r="T62" s="80" t="n">
        <v>943583935</v>
      </c>
      <c r="U62" s="88" t="n">
        <v>52156</v>
      </c>
      <c r="V62" s="88" t="n">
        <v>0</v>
      </c>
      <c r="W62" s="87" t="n">
        <v>976556844</v>
      </c>
      <c r="X62" s="112" t="n">
        <v>69</v>
      </c>
      <c r="Y62" s="112" t="inlineStr">
        <is>
          <t>маршрутная</t>
        </is>
      </c>
      <c r="Z62" s="113" t="n">
        <v>3</v>
      </c>
      <c r="AA62" s="113" t="n">
        <v>3</v>
      </c>
      <c r="AB62" s="113" t="n">
        <v>4</v>
      </c>
      <c r="AC62" s="161" t="n">
        <v>297.86</v>
      </c>
      <c r="AD62" s="161">
        <f>AE62-AC62</f>
        <v/>
      </c>
      <c r="AE62" s="161" t="n">
        <v>406.9</v>
      </c>
      <c r="AF62" s="162">
        <f>(Z62+AA62+AB62)*'Ставки аренды'!$B$3/X62</f>
        <v/>
      </c>
      <c r="AG62" s="163" t="n">
        <v>0</v>
      </c>
      <c r="AH62" s="164" t="n">
        <v>0</v>
      </c>
      <c r="AI62" s="165">
        <f>12254/14812*AJ62</f>
        <v/>
      </c>
      <c r="AJ62" s="166">
        <f>Цены!D27</f>
        <v/>
      </c>
      <c r="AK62" s="164">
        <f>AJ62/Цены!$B$1</f>
        <v/>
      </c>
      <c r="AL62" s="164">
        <f>AE62+AF62+AG62</f>
        <v/>
      </c>
      <c r="AM62" s="164">
        <f>AJ62-AL62</f>
        <v/>
      </c>
      <c r="AN62" s="164">
        <f>AI62+AH62+AG62+AF62+AE62</f>
        <v/>
      </c>
      <c r="AO62" s="167">
        <f>(AJ62-AN62)/AJ62</f>
        <v/>
      </c>
      <c r="AP62" s="168">
        <f>AL62/AJ62</f>
        <v/>
      </c>
      <c r="AQ62" s="168">
        <f>AE62/AJ62</f>
        <v/>
      </c>
      <c r="AR62" s="168">
        <f>AE62/AL62</f>
        <v/>
      </c>
      <c r="AS62" s="169" t="n">
        <v>1</v>
      </c>
      <c r="AT62" s="121">
        <f>S62*AS62</f>
        <v/>
      </c>
      <c r="AU62" s="7" t="inlineStr">
        <is>
          <t>Внутренняя логистика</t>
        </is>
      </c>
      <c r="AV62" s="170">
        <f>(AJ62-(AE62*(1+$IS$2)+AF62+AG62+AH62+AI62))/AJ62</f>
        <v/>
      </c>
      <c r="AW62" s="171">
        <f>(AE62*(1+$IS$2)+AF62+AG62)/AJ62</f>
        <v/>
      </c>
      <c r="AX62" s="171">
        <f>(AE62*(1+$IS$2))/AJ62</f>
        <v/>
      </c>
      <c r="AY62" s="171">
        <f>(AE62*(1+$IS$2))/(AE62*(1+$IS$2)+AF62+AG62)</f>
        <v/>
      </c>
      <c r="AZ62" s="172" t="n">
        <v>1</v>
      </c>
      <c r="BA62" s="172" t="n">
        <v>1</v>
      </c>
      <c r="BB62" s="172" t="n">
        <v>1</v>
      </c>
      <c r="BC62" s="172" t="n">
        <v>1</v>
      </c>
      <c r="BD62" s="172" t="n">
        <v>1</v>
      </c>
      <c r="BE62" s="172" t="n">
        <v>1</v>
      </c>
      <c r="BF62" s="172" t="n">
        <v>1</v>
      </c>
      <c r="BG62" s="172" t="n">
        <v>1</v>
      </c>
      <c r="BH62" s="172" t="n">
        <v>1</v>
      </c>
      <c r="BI62" s="172" t="n">
        <v>1</v>
      </c>
      <c r="BJ62" s="172" t="n">
        <v>1</v>
      </c>
      <c r="BK62" s="172" t="n">
        <v>1</v>
      </c>
      <c r="BL62" s="172" t="n">
        <v>1</v>
      </c>
      <c r="BM62" s="172" t="n">
        <v>1</v>
      </c>
      <c r="BN62" s="172" t="n">
        <v>1</v>
      </c>
      <c r="BO62" s="172" t="n">
        <v>1</v>
      </c>
      <c r="BP62" s="172" t="n">
        <v>1</v>
      </c>
      <c r="BQ62" s="172" t="n">
        <v>1</v>
      </c>
      <c r="BR62" s="172" t="n">
        <v>1</v>
      </c>
      <c r="BS62" s="172" t="n">
        <v>1</v>
      </c>
      <c r="BT62" s="172" t="n">
        <v>1</v>
      </c>
      <c r="BU62" s="172" t="n">
        <v>1</v>
      </c>
      <c r="BV62" s="172" t="n">
        <v>1</v>
      </c>
      <c r="BW62" s="172" t="n">
        <v>1</v>
      </c>
      <c r="BX62" s="172" t="n">
        <v>1</v>
      </c>
      <c r="BY62" s="172" t="n">
        <v>1</v>
      </c>
      <c r="BZ62" s="172" t="n">
        <v>1</v>
      </c>
      <c r="CA62" s="172" t="n">
        <v>1</v>
      </c>
      <c r="CB62" s="172" t="n">
        <v>1</v>
      </c>
      <c r="CC62" s="172" t="n">
        <v>1</v>
      </c>
      <c r="CD62" s="172" t="n">
        <v>1</v>
      </c>
      <c r="CE62" s="172" t="n">
        <v>1</v>
      </c>
      <c r="CF62" s="172" t="n">
        <v>1</v>
      </c>
      <c r="CG62" s="172" t="n">
        <v>1</v>
      </c>
      <c r="CH62" s="172" t="n">
        <v>1</v>
      </c>
      <c r="CI62" s="172" t="n">
        <v>1</v>
      </c>
      <c r="CJ62" s="172" t="n">
        <v>1</v>
      </c>
      <c r="CK62" s="172" t="n">
        <v>1</v>
      </c>
      <c r="CL62" s="172" t="n">
        <v>1</v>
      </c>
      <c r="CM62" s="172" t="n">
        <v>1</v>
      </c>
      <c r="CN62" s="172" t="n">
        <v>1</v>
      </c>
      <c r="CO62" s="172" t="n">
        <v>1</v>
      </c>
      <c r="CP62" s="172" t="n">
        <v>1</v>
      </c>
      <c r="CQ62" s="172" t="n">
        <v>1</v>
      </c>
      <c r="CR62" s="172" t="n">
        <v>1</v>
      </c>
      <c r="CS62" s="172" t="n">
        <v>1</v>
      </c>
      <c r="CT62" s="172" t="n">
        <v>1</v>
      </c>
      <c r="CU62" s="172" t="n">
        <v>1</v>
      </c>
      <c r="CV62" s="172" t="n">
        <v>1</v>
      </c>
      <c r="CW62" s="172" t="n">
        <v>1</v>
      </c>
      <c r="CX62" s="172" t="n">
        <v>1</v>
      </c>
      <c r="CY62" s="172" t="n">
        <v>1</v>
      </c>
      <c r="CZ62" s="172" t="n">
        <v>1</v>
      </c>
      <c r="DA62" s="172" t="n">
        <v>1</v>
      </c>
      <c r="DB62" s="172" t="n">
        <v>1</v>
      </c>
      <c r="DC62" s="172" t="n">
        <v>1</v>
      </c>
      <c r="DD62" s="172" t="n">
        <v>1</v>
      </c>
      <c r="DE62" s="172" t="n">
        <v>1</v>
      </c>
      <c r="DF62" s="172" t="n">
        <v>1</v>
      </c>
      <c r="DG62" s="172" t="n">
        <v>1</v>
      </c>
      <c r="DH62" s="172" t="n">
        <v>1</v>
      </c>
      <c r="DI62" s="172" t="n">
        <v>1</v>
      </c>
      <c r="DJ62" s="172" t="n">
        <v>1</v>
      </c>
      <c r="DK62" s="172" t="n">
        <v>1</v>
      </c>
      <c r="DL62" s="172" t="n">
        <v>1</v>
      </c>
      <c r="DM62" s="172" t="n">
        <v>1</v>
      </c>
      <c r="DN62" s="172" t="n">
        <v>1</v>
      </c>
      <c r="DO62" s="172" t="n">
        <v>1</v>
      </c>
      <c r="DP62" s="172" t="n">
        <v>1</v>
      </c>
      <c r="DQ62" s="172" t="n">
        <v>1</v>
      </c>
      <c r="DR62" s="172" t="n">
        <v>1</v>
      </c>
      <c r="DS62" s="172" t="n">
        <v>1</v>
      </c>
      <c r="DT62" s="172" t="n">
        <v>1</v>
      </c>
      <c r="DU62" s="172" t="n">
        <v>1</v>
      </c>
      <c r="DV62" s="172" t="n">
        <v>1</v>
      </c>
      <c r="DW62" s="172" t="n">
        <v>1</v>
      </c>
      <c r="DX62" s="172" t="n">
        <v>1</v>
      </c>
      <c r="DY62" s="172" t="n">
        <v>1</v>
      </c>
      <c r="DZ62" s="172" t="n">
        <v>1</v>
      </c>
      <c r="EA62" s="172" t="n">
        <v>1</v>
      </c>
      <c r="EB62" s="172" t="n">
        <v>1</v>
      </c>
      <c r="EC62" s="172" t="n">
        <v>1</v>
      </c>
      <c r="ED62" s="172" t="n">
        <v>1</v>
      </c>
      <c r="EE62" s="172" t="n">
        <v>1</v>
      </c>
      <c r="EF62" s="172" t="n">
        <v>1</v>
      </c>
      <c r="EG62" s="172" t="n">
        <v>1</v>
      </c>
      <c r="EH62" s="172" t="n">
        <v>1</v>
      </c>
      <c r="EI62" s="172" t="n">
        <v>1</v>
      </c>
      <c r="EJ62" s="172" t="n">
        <v>1</v>
      </c>
      <c r="EK62" s="172" t="n">
        <v>1</v>
      </c>
      <c r="EL62" s="172" t="n">
        <v>1</v>
      </c>
      <c r="EM62" s="172" t="n">
        <v>1</v>
      </c>
      <c r="EN62" s="172" t="n">
        <v>1</v>
      </c>
      <c r="EO62" s="172" t="n">
        <v>1</v>
      </c>
      <c r="EP62" s="172" t="n">
        <v>1</v>
      </c>
      <c r="EQ62" s="172" t="n">
        <v>1</v>
      </c>
      <c r="ER62" s="172" t="n">
        <v>1</v>
      </c>
      <c r="ES62" s="172" t="n">
        <v>1</v>
      </c>
      <c r="ET62" s="172" t="n">
        <v>1</v>
      </c>
      <c r="EU62" s="172" t="n">
        <v>1</v>
      </c>
      <c r="EV62" s="173" t="n">
        <v>1</v>
      </c>
      <c r="EW62" s="172" t="n">
        <v>1</v>
      </c>
      <c r="EX62" s="172" t="n">
        <v>1</v>
      </c>
      <c r="EY62" s="172" t="n">
        <v>1</v>
      </c>
      <c r="EZ62" s="172" t="n">
        <v>1</v>
      </c>
      <c r="FA62" s="172" t="n">
        <v>1</v>
      </c>
      <c r="FB62" s="172" t="n">
        <v>1</v>
      </c>
      <c r="FC62" s="172" t="n">
        <v>1</v>
      </c>
      <c r="FD62" s="172" t="n">
        <v>1</v>
      </c>
      <c r="FE62" s="172" t="n">
        <v>1</v>
      </c>
      <c r="FF62" s="172" t="n">
        <v>1</v>
      </c>
      <c r="FG62" s="172" t="n">
        <v>1</v>
      </c>
      <c r="FH62" s="172" t="n">
        <v>1</v>
      </c>
      <c r="FI62" s="172" t="n">
        <v>1</v>
      </c>
      <c r="FJ62" s="172" t="n">
        <v>1</v>
      </c>
      <c r="FK62" s="172" t="n">
        <v>1</v>
      </c>
      <c r="FL62" s="172" t="n">
        <v>1</v>
      </c>
      <c r="FM62" s="172" t="n">
        <v>1</v>
      </c>
      <c r="FN62" s="172" t="n">
        <v>1</v>
      </c>
      <c r="FO62" s="172" t="n">
        <v>1</v>
      </c>
      <c r="FP62" s="172" t="n">
        <v>1</v>
      </c>
      <c r="FQ62" s="172" t="n">
        <v>1</v>
      </c>
      <c r="FR62" s="172" t="n">
        <v>1</v>
      </c>
      <c r="FS62" s="172" t="n">
        <v>1</v>
      </c>
      <c r="FT62" s="172" t="n">
        <v>1</v>
      </c>
      <c r="FU62" s="172" t="n">
        <v>1</v>
      </c>
      <c r="FV62" s="172" t="n">
        <v>1</v>
      </c>
      <c r="FW62" s="172" t="n">
        <v>1</v>
      </c>
      <c r="FX62" s="172" t="n">
        <v>1</v>
      </c>
      <c r="FY62" s="172" t="n">
        <v>1</v>
      </c>
      <c r="FZ62" s="172" t="n">
        <v>1</v>
      </c>
      <c r="GA62" s="172" t="n">
        <v>1</v>
      </c>
      <c r="GB62" s="172" t="n">
        <v>1</v>
      </c>
      <c r="GC62" s="172" t="n">
        <v>1</v>
      </c>
      <c r="GD62" s="172" t="n">
        <v>1</v>
      </c>
      <c r="GE62" s="172" t="n">
        <v>1</v>
      </c>
      <c r="GF62" s="172" t="n">
        <v>1</v>
      </c>
      <c r="GG62" s="172" t="n">
        <v>1</v>
      </c>
      <c r="GH62" s="172" t="n">
        <v>1</v>
      </c>
      <c r="GI62" s="172" t="n">
        <v>1</v>
      </c>
      <c r="GJ62" s="172" t="n">
        <v>1</v>
      </c>
      <c r="GK62" s="172" t="n">
        <v>1</v>
      </c>
      <c r="GL62" s="172" t="n">
        <v>1</v>
      </c>
      <c r="GM62" s="172" t="n">
        <v>1</v>
      </c>
      <c r="GN62" s="172" t="n">
        <v>1</v>
      </c>
      <c r="GO62" s="172" t="n">
        <v>1</v>
      </c>
      <c r="GP62" s="172" t="n">
        <v>1</v>
      </c>
      <c r="GQ62" s="172" t="n">
        <v>1</v>
      </c>
      <c r="GR62" s="172" t="n">
        <v>1</v>
      </c>
      <c r="GS62" s="172" t="n">
        <v>1</v>
      </c>
      <c r="GT62" s="172" t="n">
        <v>1</v>
      </c>
      <c r="GU62" s="172" t="n">
        <v>1</v>
      </c>
      <c r="GV62" s="172" t="n">
        <v>1</v>
      </c>
      <c r="GW62" s="172" t="n">
        <v>1</v>
      </c>
      <c r="GX62" s="172" t="n">
        <v>1</v>
      </c>
      <c r="GY62" s="172" t="n">
        <v>1</v>
      </c>
      <c r="GZ62" s="172" t="n">
        <v>1</v>
      </c>
      <c r="HA62" s="172" t="n">
        <v>1</v>
      </c>
      <c r="HB62" s="172" t="n">
        <v>1</v>
      </c>
      <c r="HC62" s="172" t="n">
        <v>1</v>
      </c>
      <c r="HD62" s="172" t="n">
        <v>1</v>
      </c>
      <c r="HE62" s="172" t="n">
        <v>1</v>
      </c>
      <c r="HF62" s="172" t="n">
        <v>1</v>
      </c>
      <c r="HG62" s="172" t="n">
        <v>1</v>
      </c>
      <c r="HH62" s="172" t="n">
        <v>1</v>
      </c>
      <c r="HI62" s="172" t="n">
        <v>1</v>
      </c>
      <c r="HJ62" s="172" t="n">
        <v>1</v>
      </c>
      <c r="HK62" s="172" t="n">
        <v>1</v>
      </c>
      <c r="HL62" s="172" t="n">
        <v>1</v>
      </c>
      <c r="HM62" s="172" t="n">
        <v>1</v>
      </c>
      <c r="HN62" s="172" t="n">
        <v>1</v>
      </c>
      <c r="HO62" s="172" t="n">
        <v>1</v>
      </c>
      <c r="HP62" s="172" t="n">
        <v>1</v>
      </c>
      <c r="HQ62" s="172" t="n">
        <v>1</v>
      </c>
      <c r="HR62" s="172" t="n">
        <v>1</v>
      </c>
      <c r="HS62" s="172" t="n">
        <v>1</v>
      </c>
      <c r="HT62" s="172" t="n">
        <v>1</v>
      </c>
      <c r="HU62" s="172" t="n">
        <v>1</v>
      </c>
      <c r="HV62" s="172" t="n">
        <v>1</v>
      </c>
      <c r="HW62" s="172" t="n">
        <v>1</v>
      </c>
      <c r="HX62" s="172" t="n">
        <v>1</v>
      </c>
      <c r="HY62" s="172" t="n">
        <v>1</v>
      </c>
      <c r="HZ62" s="172" t="n">
        <v>1</v>
      </c>
      <c r="IA62" s="172" t="n">
        <v>1</v>
      </c>
      <c r="IB62" s="172" t="n">
        <v>1</v>
      </c>
      <c r="IC62" s="172" t="n">
        <v>1</v>
      </c>
      <c r="ID62" s="172" t="n">
        <v>1</v>
      </c>
      <c r="IE62" s="172" t="n">
        <v>1</v>
      </c>
      <c r="IF62" s="172" t="n">
        <v>1</v>
      </c>
      <c r="IG62" s="172" t="n">
        <v>1</v>
      </c>
      <c r="IH62" s="172" t="n">
        <v>1</v>
      </c>
      <c r="II62" s="172" t="n">
        <v>1</v>
      </c>
      <c r="IJ62" s="172" t="n">
        <v>1</v>
      </c>
      <c r="IK62" s="172" t="n">
        <v>1</v>
      </c>
      <c r="IL62" s="172" t="n">
        <v>1</v>
      </c>
      <c r="IM62" s="172" t="n">
        <v>1</v>
      </c>
      <c r="IN62" s="172" t="n">
        <v>1</v>
      </c>
      <c r="IO62" s="172" t="n">
        <v>1</v>
      </c>
      <c r="IP62" s="172" t="n">
        <v>1</v>
      </c>
      <c r="IQ62" s="172" t="n">
        <v>1</v>
      </c>
      <c r="IR62" s="172" t="n">
        <v>1</v>
      </c>
    </row>
    <row r="63" ht="29.15" customFormat="1" customHeight="1" s="6">
      <c r="A63" s="89" t="inlineStr">
        <is>
          <t>ЦМ (сырье)</t>
        </is>
      </c>
      <c r="B63" s="76" t="n">
        <v>4</v>
      </c>
      <c r="C63" s="3" t="inlineStr">
        <is>
          <t>Руды  всякие</t>
        </is>
      </c>
      <c r="D63" s="77" t="n">
        <v>15103</v>
      </c>
      <c r="E63" s="77" t="inlineStr">
        <is>
          <t xml:space="preserve">Бокситы </t>
        </is>
      </c>
      <c r="F63" s="77" t="inlineStr">
        <is>
          <t xml:space="preserve">Сырье цветных металлов, сырье серное </t>
        </is>
      </c>
      <c r="G63" s="77" t="inlineStr">
        <is>
          <t>СЕВ</t>
        </is>
      </c>
      <c r="H63" s="77" t="inlineStr">
        <is>
          <t>СВР</t>
        </is>
      </c>
      <c r="I63" s="77" t="inlineStr">
        <is>
          <t>ЧИНЬЯВОРЫК</t>
        </is>
      </c>
      <c r="J63" s="77" t="inlineStr">
        <is>
          <t>УАЗ</t>
        </is>
      </c>
      <c r="K63" s="77" t="n">
        <v>1920</v>
      </c>
      <c r="L63" s="77" t="inlineStr">
        <is>
          <t>Полувагоны</t>
        </is>
      </c>
      <c r="M63" s="91" t="inlineStr">
        <is>
          <t>Внутр. перевозки</t>
        </is>
      </c>
      <c r="N63" s="77" t="inlineStr">
        <is>
          <t>вагонная</t>
        </is>
      </c>
      <c r="O63" s="77" t="inlineStr">
        <is>
          <t xml:space="preserve">Южное </t>
        </is>
      </c>
      <c r="P63" s="79" t="inlineStr">
        <is>
          <t>'000024938159</t>
        </is>
      </c>
      <c r="Q63" s="77" t="inlineStr">
        <is>
          <t>ОК РУСАЛ</t>
        </is>
      </c>
      <c r="R63" s="77" t="inlineStr">
        <is>
          <t>ОК РУСАЛ</t>
        </is>
      </c>
      <c r="S63" s="80" t="n">
        <v>2919995</v>
      </c>
      <c r="T63" s="80" t="n">
        <v>5605197268</v>
      </c>
      <c r="U63" s="88" t="n">
        <v>41746</v>
      </c>
      <c r="V63" s="88" t="n">
        <v>0</v>
      </c>
      <c r="W63" s="87" t="n">
        <v>2736697552</v>
      </c>
      <c r="X63" s="112" t="n">
        <v>69</v>
      </c>
      <c r="Y63" s="112" t="inlineStr">
        <is>
          <t>маршрутная</t>
        </is>
      </c>
      <c r="Z63" s="113" t="n">
        <v>6</v>
      </c>
      <c r="AA63" s="113" t="n">
        <v>6</v>
      </c>
      <c r="AB63" s="113" t="n">
        <v>4</v>
      </c>
      <c r="AC63" s="161" t="n">
        <v>1051.04</v>
      </c>
      <c r="AD63" s="161">
        <f>AE63-AC63</f>
        <v/>
      </c>
      <c r="AE63" s="161" t="n">
        <v>1617.35</v>
      </c>
      <c r="AF63" s="162">
        <f>(Z63+AA63+AB63)*'Ставки аренды'!$B$3/X63</f>
        <v/>
      </c>
      <c r="AG63" s="163" t="n">
        <v>0</v>
      </c>
      <c r="AH63" s="164" t="n">
        <v>0</v>
      </c>
      <c r="AI63" s="165">
        <f>12254/14812*AJ63</f>
        <v/>
      </c>
      <c r="AJ63" s="166">
        <f>Цены!D27</f>
        <v/>
      </c>
      <c r="AK63" s="164">
        <f>AJ63/Цены!$B$1</f>
        <v/>
      </c>
      <c r="AL63" s="164">
        <f>AE63+AF63+AG63</f>
        <v/>
      </c>
      <c r="AM63" s="164">
        <f>AJ63-AL63</f>
        <v/>
      </c>
      <c r="AN63" s="164">
        <f>AI63+AH63+AG63+AF63+AE63</f>
        <v/>
      </c>
      <c r="AO63" s="167">
        <f>(AJ63-AN63)/AJ63</f>
        <v/>
      </c>
      <c r="AP63" s="168">
        <f>AL63/AJ63</f>
        <v/>
      </c>
      <c r="AQ63" s="168">
        <f>AE63/AJ63</f>
        <v/>
      </c>
      <c r="AR63" s="168">
        <f>AE63/AL63</f>
        <v/>
      </c>
      <c r="AS63" s="169" t="n">
        <v>1</v>
      </c>
      <c r="AT63" s="121">
        <f>S63*AS63</f>
        <v/>
      </c>
      <c r="AU63" s="7" t="inlineStr">
        <is>
          <t>Внутренняя логистика</t>
        </is>
      </c>
      <c r="AV63" s="170">
        <f>(AJ63-(AE63*(1+$IS$2)+AF63+AG63+AH63+AI63))/AJ63</f>
        <v/>
      </c>
      <c r="AW63" s="171">
        <f>(AE63*(1+$IS$2)+AF63+AG63)/AJ63</f>
        <v/>
      </c>
      <c r="AX63" s="171">
        <f>(AE63*(1+$IS$2))/AJ63</f>
        <v/>
      </c>
      <c r="AY63" s="171">
        <f>(AE63*(1+$IS$2))/(AE63*(1+$IS$2)+AF63+AG63)</f>
        <v/>
      </c>
      <c r="AZ63" s="172" t="n">
        <v>1</v>
      </c>
      <c r="BA63" s="172" t="n">
        <v>1</v>
      </c>
      <c r="BB63" s="172" t="n">
        <v>1</v>
      </c>
      <c r="BC63" s="172" t="n">
        <v>1</v>
      </c>
      <c r="BD63" s="172" t="n">
        <v>1</v>
      </c>
      <c r="BE63" s="172" t="n">
        <v>1</v>
      </c>
      <c r="BF63" s="172" t="n">
        <v>1</v>
      </c>
      <c r="BG63" s="172" t="n">
        <v>1</v>
      </c>
      <c r="BH63" s="172" t="n">
        <v>1</v>
      </c>
      <c r="BI63" s="172" t="n">
        <v>1</v>
      </c>
      <c r="BJ63" s="172" t="n">
        <v>1</v>
      </c>
      <c r="BK63" s="172" t="n">
        <v>1</v>
      </c>
      <c r="BL63" s="172" t="n">
        <v>1</v>
      </c>
      <c r="BM63" s="172" t="n">
        <v>1</v>
      </c>
      <c r="BN63" s="172" t="n">
        <v>1</v>
      </c>
      <c r="BO63" s="172" t="n">
        <v>1</v>
      </c>
      <c r="BP63" s="172" t="n">
        <v>1</v>
      </c>
      <c r="BQ63" s="172" t="n">
        <v>1</v>
      </c>
      <c r="BR63" s="172" t="n">
        <v>1</v>
      </c>
      <c r="BS63" s="172" t="n">
        <v>1</v>
      </c>
      <c r="BT63" s="172" t="n">
        <v>1</v>
      </c>
      <c r="BU63" s="172" t="n">
        <v>1</v>
      </c>
      <c r="BV63" s="172" t="n">
        <v>1</v>
      </c>
      <c r="BW63" s="172" t="n">
        <v>1</v>
      </c>
      <c r="BX63" s="172" t="n">
        <v>1</v>
      </c>
      <c r="BY63" s="172" t="n">
        <v>1</v>
      </c>
      <c r="BZ63" s="172" t="n">
        <v>1</v>
      </c>
      <c r="CA63" s="172" t="n">
        <v>1</v>
      </c>
      <c r="CB63" s="172" t="n">
        <v>1</v>
      </c>
      <c r="CC63" s="172" t="n">
        <v>1</v>
      </c>
      <c r="CD63" s="172" t="n">
        <v>1</v>
      </c>
      <c r="CE63" s="172" t="n">
        <v>1</v>
      </c>
      <c r="CF63" s="172" t="n">
        <v>1</v>
      </c>
      <c r="CG63" s="172" t="n">
        <v>1</v>
      </c>
      <c r="CH63" s="172" t="n">
        <v>1</v>
      </c>
      <c r="CI63" s="172" t="n">
        <v>1</v>
      </c>
      <c r="CJ63" s="172" t="n">
        <v>1</v>
      </c>
      <c r="CK63" s="172" t="n">
        <v>1</v>
      </c>
      <c r="CL63" s="172" t="n">
        <v>1</v>
      </c>
      <c r="CM63" s="172" t="n">
        <v>1</v>
      </c>
      <c r="CN63" s="172" t="n">
        <v>1</v>
      </c>
      <c r="CO63" s="172" t="n">
        <v>1</v>
      </c>
      <c r="CP63" s="172" t="n">
        <v>1</v>
      </c>
      <c r="CQ63" s="172" t="n">
        <v>1</v>
      </c>
      <c r="CR63" s="172" t="n">
        <v>1</v>
      </c>
      <c r="CS63" s="172" t="n">
        <v>1</v>
      </c>
      <c r="CT63" s="172" t="n">
        <v>1</v>
      </c>
      <c r="CU63" s="172" t="n">
        <v>1</v>
      </c>
      <c r="CV63" s="172" t="n">
        <v>1</v>
      </c>
      <c r="CW63" s="172" t="n">
        <v>1</v>
      </c>
      <c r="CX63" s="172" t="n">
        <v>1</v>
      </c>
      <c r="CY63" s="172" t="n">
        <v>1</v>
      </c>
      <c r="CZ63" s="172" t="n">
        <v>1</v>
      </c>
      <c r="DA63" s="172" t="n">
        <v>1</v>
      </c>
      <c r="DB63" s="172" t="n">
        <v>1</v>
      </c>
      <c r="DC63" s="172" t="n">
        <v>1</v>
      </c>
      <c r="DD63" s="172" t="n">
        <v>1</v>
      </c>
      <c r="DE63" s="172" t="n">
        <v>1</v>
      </c>
      <c r="DF63" s="172" t="n">
        <v>1</v>
      </c>
      <c r="DG63" s="172" t="n">
        <v>1</v>
      </c>
      <c r="DH63" s="172" t="n">
        <v>1</v>
      </c>
      <c r="DI63" s="172" t="n">
        <v>1</v>
      </c>
      <c r="DJ63" s="172" t="n">
        <v>1</v>
      </c>
      <c r="DK63" s="172" t="n">
        <v>1</v>
      </c>
      <c r="DL63" s="172" t="n">
        <v>1</v>
      </c>
      <c r="DM63" s="172" t="n">
        <v>1</v>
      </c>
      <c r="DN63" s="172" t="n">
        <v>1</v>
      </c>
      <c r="DO63" s="172" t="n">
        <v>1</v>
      </c>
      <c r="DP63" s="172" t="n">
        <v>1</v>
      </c>
      <c r="DQ63" s="172" t="n">
        <v>1</v>
      </c>
      <c r="DR63" s="172" t="n">
        <v>1</v>
      </c>
      <c r="DS63" s="172" t="n">
        <v>1</v>
      </c>
      <c r="DT63" s="172" t="n">
        <v>1</v>
      </c>
      <c r="DU63" s="172" t="n">
        <v>1</v>
      </c>
      <c r="DV63" s="172" t="n">
        <v>1</v>
      </c>
      <c r="DW63" s="172" t="n">
        <v>1</v>
      </c>
      <c r="DX63" s="172" t="n">
        <v>1</v>
      </c>
      <c r="DY63" s="172" t="n">
        <v>1</v>
      </c>
      <c r="DZ63" s="172" t="n">
        <v>1</v>
      </c>
      <c r="EA63" s="172" t="n">
        <v>1</v>
      </c>
      <c r="EB63" s="172" t="n">
        <v>1</v>
      </c>
      <c r="EC63" s="172" t="n">
        <v>1</v>
      </c>
      <c r="ED63" s="172" t="n">
        <v>1</v>
      </c>
      <c r="EE63" s="172" t="n">
        <v>1</v>
      </c>
      <c r="EF63" s="172" t="n">
        <v>1</v>
      </c>
      <c r="EG63" s="172" t="n">
        <v>1</v>
      </c>
      <c r="EH63" s="172" t="n">
        <v>1</v>
      </c>
      <c r="EI63" s="172" t="n">
        <v>1</v>
      </c>
      <c r="EJ63" s="172" t="n">
        <v>1</v>
      </c>
      <c r="EK63" s="172" t="n">
        <v>1</v>
      </c>
      <c r="EL63" s="172" t="n">
        <v>1</v>
      </c>
      <c r="EM63" s="172" t="n">
        <v>1</v>
      </c>
      <c r="EN63" s="172" t="n">
        <v>1</v>
      </c>
      <c r="EO63" s="172" t="n">
        <v>1</v>
      </c>
      <c r="EP63" s="172" t="n">
        <v>1</v>
      </c>
      <c r="EQ63" s="172" t="n">
        <v>1</v>
      </c>
      <c r="ER63" s="172" t="n">
        <v>1</v>
      </c>
      <c r="ES63" s="172" t="n">
        <v>1</v>
      </c>
      <c r="ET63" s="172" t="n">
        <v>1</v>
      </c>
      <c r="EU63" s="172" t="n">
        <v>1</v>
      </c>
      <c r="EV63" s="173" t="n">
        <v>1</v>
      </c>
      <c r="EW63" s="172" t="n">
        <v>1</v>
      </c>
      <c r="EX63" s="172" t="n">
        <v>1</v>
      </c>
      <c r="EY63" s="172" t="n">
        <v>1</v>
      </c>
      <c r="EZ63" s="172" t="n">
        <v>1</v>
      </c>
      <c r="FA63" s="172" t="n">
        <v>1</v>
      </c>
      <c r="FB63" s="172" t="n">
        <v>1</v>
      </c>
      <c r="FC63" s="172" t="n">
        <v>1</v>
      </c>
      <c r="FD63" s="172" t="n">
        <v>1</v>
      </c>
      <c r="FE63" s="172" t="n">
        <v>1</v>
      </c>
      <c r="FF63" s="172" t="n">
        <v>1</v>
      </c>
      <c r="FG63" s="172" t="n">
        <v>1</v>
      </c>
      <c r="FH63" s="172" t="n">
        <v>1</v>
      </c>
      <c r="FI63" s="172" t="n">
        <v>1</v>
      </c>
      <c r="FJ63" s="172" t="n">
        <v>1</v>
      </c>
      <c r="FK63" s="172" t="n">
        <v>1</v>
      </c>
      <c r="FL63" s="172" t="n">
        <v>1</v>
      </c>
      <c r="FM63" s="172" t="n">
        <v>1</v>
      </c>
      <c r="FN63" s="172" t="n">
        <v>1</v>
      </c>
      <c r="FO63" s="172" t="n">
        <v>1</v>
      </c>
      <c r="FP63" s="172" t="n">
        <v>1</v>
      </c>
      <c r="FQ63" s="172" t="n">
        <v>1</v>
      </c>
      <c r="FR63" s="172" t="n">
        <v>1</v>
      </c>
      <c r="FS63" s="172" t="n">
        <v>1</v>
      </c>
      <c r="FT63" s="172" t="n">
        <v>1</v>
      </c>
      <c r="FU63" s="172" t="n">
        <v>1</v>
      </c>
      <c r="FV63" s="172" t="n">
        <v>1</v>
      </c>
      <c r="FW63" s="172" t="n">
        <v>1</v>
      </c>
      <c r="FX63" s="172" t="n">
        <v>1</v>
      </c>
      <c r="FY63" s="172" t="n">
        <v>1</v>
      </c>
      <c r="FZ63" s="172" t="n">
        <v>1</v>
      </c>
      <c r="GA63" s="172" t="n">
        <v>1</v>
      </c>
      <c r="GB63" s="172" t="n">
        <v>1</v>
      </c>
      <c r="GC63" s="172" t="n">
        <v>1</v>
      </c>
      <c r="GD63" s="172" t="n">
        <v>1</v>
      </c>
      <c r="GE63" s="172" t="n">
        <v>1</v>
      </c>
      <c r="GF63" s="172" t="n">
        <v>1</v>
      </c>
      <c r="GG63" s="172" t="n">
        <v>1</v>
      </c>
      <c r="GH63" s="172" t="n">
        <v>1</v>
      </c>
      <c r="GI63" s="172" t="n">
        <v>1</v>
      </c>
      <c r="GJ63" s="172" t="n">
        <v>1</v>
      </c>
      <c r="GK63" s="172" t="n">
        <v>1</v>
      </c>
      <c r="GL63" s="172" t="n">
        <v>1</v>
      </c>
      <c r="GM63" s="172" t="n">
        <v>1</v>
      </c>
      <c r="GN63" s="172" t="n">
        <v>1</v>
      </c>
      <c r="GO63" s="172" t="n">
        <v>1</v>
      </c>
      <c r="GP63" s="172" t="n">
        <v>1</v>
      </c>
      <c r="GQ63" s="172" t="n">
        <v>1</v>
      </c>
      <c r="GR63" s="172" t="n">
        <v>1</v>
      </c>
      <c r="GS63" s="172" t="n">
        <v>1</v>
      </c>
      <c r="GT63" s="172" t="n">
        <v>1</v>
      </c>
      <c r="GU63" s="172" t="n">
        <v>1</v>
      </c>
      <c r="GV63" s="172" t="n">
        <v>1</v>
      </c>
      <c r="GW63" s="172" t="n">
        <v>1</v>
      </c>
      <c r="GX63" s="172" t="n">
        <v>1</v>
      </c>
      <c r="GY63" s="172" t="n">
        <v>1</v>
      </c>
      <c r="GZ63" s="172" t="n">
        <v>1</v>
      </c>
      <c r="HA63" s="172" t="n">
        <v>1</v>
      </c>
      <c r="HB63" s="172" t="n">
        <v>1</v>
      </c>
      <c r="HC63" s="172" t="n">
        <v>1</v>
      </c>
      <c r="HD63" s="172" t="n">
        <v>1</v>
      </c>
      <c r="HE63" s="172" t="n">
        <v>1</v>
      </c>
      <c r="HF63" s="172" t="n">
        <v>1</v>
      </c>
      <c r="HG63" s="172" t="n">
        <v>1</v>
      </c>
      <c r="HH63" s="172" t="n">
        <v>1</v>
      </c>
      <c r="HI63" s="172" t="n">
        <v>1</v>
      </c>
      <c r="HJ63" s="172" t="n">
        <v>1</v>
      </c>
      <c r="HK63" s="172" t="n">
        <v>1</v>
      </c>
      <c r="HL63" s="172" t="n">
        <v>1</v>
      </c>
      <c r="HM63" s="172" t="n">
        <v>1</v>
      </c>
      <c r="HN63" s="172" t="n">
        <v>1</v>
      </c>
      <c r="HO63" s="172" t="n">
        <v>1</v>
      </c>
      <c r="HP63" s="172" t="n">
        <v>1</v>
      </c>
      <c r="HQ63" s="172" t="n">
        <v>1</v>
      </c>
      <c r="HR63" s="172" t="n">
        <v>1</v>
      </c>
      <c r="HS63" s="172" t="n">
        <v>1</v>
      </c>
      <c r="HT63" s="172" t="n">
        <v>1</v>
      </c>
      <c r="HU63" s="172" t="n">
        <v>1</v>
      </c>
      <c r="HV63" s="172" t="n">
        <v>1</v>
      </c>
      <c r="HW63" s="172" t="n">
        <v>1</v>
      </c>
      <c r="HX63" s="172" t="n">
        <v>1</v>
      </c>
      <c r="HY63" s="172" t="n">
        <v>1</v>
      </c>
      <c r="HZ63" s="172" t="n">
        <v>1</v>
      </c>
      <c r="IA63" s="172" t="n">
        <v>1</v>
      </c>
      <c r="IB63" s="172" t="n">
        <v>1</v>
      </c>
      <c r="IC63" s="172" t="n">
        <v>1</v>
      </c>
      <c r="ID63" s="172" t="n">
        <v>1</v>
      </c>
      <c r="IE63" s="172" t="n">
        <v>1</v>
      </c>
      <c r="IF63" s="172" t="n">
        <v>1</v>
      </c>
      <c r="IG63" s="172" t="n">
        <v>1</v>
      </c>
      <c r="IH63" s="172" t="n">
        <v>1</v>
      </c>
      <c r="II63" s="172" t="n">
        <v>1</v>
      </c>
      <c r="IJ63" s="172" t="n">
        <v>1</v>
      </c>
      <c r="IK63" s="172" t="n">
        <v>1</v>
      </c>
      <c r="IL63" s="172" t="n">
        <v>1</v>
      </c>
      <c r="IM63" s="172" t="n">
        <v>1</v>
      </c>
      <c r="IN63" s="172" t="n">
        <v>1</v>
      </c>
      <c r="IO63" s="172" t="n">
        <v>1</v>
      </c>
      <c r="IP63" s="172" t="n">
        <v>1</v>
      </c>
      <c r="IQ63" s="172" t="n">
        <v>1</v>
      </c>
      <c r="IR63" s="172" t="n">
        <v>1</v>
      </c>
    </row>
    <row r="64" ht="29.15" customFormat="1" customHeight="1" s="6">
      <c r="A64" s="89" t="inlineStr">
        <is>
          <t>ЦМ (сырье)</t>
        </is>
      </c>
      <c r="B64" s="76" t="n">
        <v>4</v>
      </c>
      <c r="C64" s="3" t="inlineStr">
        <is>
          <t>Руды  всякие</t>
        </is>
      </c>
      <c r="D64" s="77" t="n">
        <v>15103</v>
      </c>
      <c r="E64" s="77" t="inlineStr">
        <is>
          <t xml:space="preserve">Бокситы </t>
        </is>
      </c>
      <c r="F64" s="77" t="inlineStr">
        <is>
          <t xml:space="preserve">Сырье цветных металлов, сырье серное </t>
        </is>
      </c>
      <c r="G64" s="77" t="inlineStr">
        <is>
          <t>СВР</t>
        </is>
      </c>
      <c r="H64" s="77" t="inlineStr">
        <is>
          <t>СВР</t>
        </is>
      </c>
      <c r="I64" s="77" t="inlineStr">
        <is>
          <t>БОКСИТЫ</t>
        </is>
      </c>
      <c r="J64" s="77" t="inlineStr">
        <is>
          <t>КЛИМКИ</t>
        </is>
      </c>
      <c r="K64" s="77" t="n">
        <v>39</v>
      </c>
      <c r="L64" s="91" t="inlineStr">
        <is>
          <t>Полувагоны</t>
        </is>
      </c>
      <c r="M64" s="91" t="inlineStr">
        <is>
          <t>Внутр. перевозки</t>
        </is>
      </c>
      <c r="N64" s="77" t="inlineStr">
        <is>
          <t>вагонная</t>
        </is>
      </c>
      <c r="O64" s="77" t="inlineStr">
        <is>
          <t xml:space="preserve">Южное </t>
        </is>
      </c>
      <c r="P64" s="79" t="inlineStr">
        <is>
          <t>'000000194079</t>
        </is>
      </c>
      <c r="Q64" s="77" t="inlineStr">
        <is>
          <t>ОК РУСАЛ</t>
        </is>
      </c>
      <c r="R64" s="77" t="inlineStr">
        <is>
          <t>ОК РУСАЛ</t>
        </is>
      </c>
      <c r="S64" s="80" t="n">
        <v>1839866</v>
      </c>
      <c r="T64" s="80" t="n">
        <v>71754115</v>
      </c>
      <c r="U64" s="88" t="n">
        <v>28047</v>
      </c>
      <c r="V64" s="88" t="n">
        <v>0</v>
      </c>
      <c r="W64" s="87" t="n">
        <v>363376688</v>
      </c>
      <c r="X64" s="112" t="n">
        <v>66</v>
      </c>
      <c r="Y64" s="112" t="inlineStr">
        <is>
          <t>групповая</t>
        </is>
      </c>
      <c r="Z64" s="113" t="n">
        <v>3</v>
      </c>
      <c r="AA64" s="113" t="n">
        <v>3</v>
      </c>
      <c r="AB64" s="113" t="n">
        <v>4</v>
      </c>
      <c r="AC64" s="161" t="n">
        <v>206.27</v>
      </c>
      <c r="AD64" s="161">
        <f>AE64-AC64</f>
        <v/>
      </c>
      <c r="AE64" s="161" t="n">
        <v>227.42</v>
      </c>
      <c r="AF64" s="162">
        <f>(Z64+AA64+AB64)*'Ставки аренды'!$B$3/X64</f>
        <v/>
      </c>
      <c r="AG64" s="163" t="n">
        <v>0</v>
      </c>
      <c r="AH64" s="164" t="n">
        <v>0</v>
      </c>
      <c r="AI64" s="165">
        <f>12254/14812*AJ64</f>
        <v/>
      </c>
      <c r="AJ64" s="166">
        <f>Цены!D27</f>
        <v/>
      </c>
      <c r="AK64" s="164">
        <f>AJ64/Цены!$B$1</f>
        <v/>
      </c>
      <c r="AL64" s="164">
        <f>AE64+AF64+AG64</f>
        <v/>
      </c>
      <c r="AM64" s="164">
        <f>AJ64-AL64</f>
        <v/>
      </c>
      <c r="AN64" s="164">
        <f>AI64+AH64+AG64+AF64+AE64</f>
        <v/>
      </c>
      <c r="AO64" s="167">
        <f>(AJ64-AN64)/AJ64</f>
        <v/>
      </c>
      <c r="AP64" s="168">
        <f>AL64/AJ64</f>
        <v/>
      </c>
      <c r="AQ64" s="168">
        <f>AE64/AJ64</f>
        <v/>
      </c>
      <c r="AR64" s="168">
        <f>AE64/AL64</f>
        <v/>
      </c>
      <c r="AS64" s="169" t="n">
        <v>1</v>
      </c>
      <c r="AT64" s="121">
        <f>S64*AS64</f>
        <v/>
      </c>
      <c r="AU64" s="7" t="inlineStr">
        <is>
          <t>Внутренняя логистика</t>
        </is>
      </c>
      <c r="AV64" s="170">
        <f>(AJ64-(AE64*(1+$IS$2)+AF64+AG64+AH64+AI64))/AJ64</f>
        <v/>
      </c>
      <c r="AW64" s="171">
        <f>(AE64*(1+$IS$2)+AF64+AG64)/AJ64</f>
        <v/>
      </c>
      <c r="AX64" s="171">
        <f>(AE64*(1+$IS$2))/AJ64</f>
        <v/>
      </c>
      <c r="AY64" s="171">
        <f>(AE64*(1+$IS$2))/(AE64*(1+$IS$2)+AF64+AG64)</f>
        <v/>
      </c>
      <c r="AZ64" s="172" t="n">
        <v>1</v>
      </c>
      <c r="BA64" s="172" t="n">
        <v>1</v>
      </c>
      <c r="BB64" s="172" t="n">
        <v>1</v>
      </c>
      <c r="BC64" s="172" t="n">
        <v>1</v>
      </c>
      <c r="BD64" s="172" t="n">
        <v>1</v>
      </c>
      <c r="BE64" s="172" t="n">
        <v>1</v>
      </c>
      <c r="BF64" s="172" t="n">
        <v>1</v>
      </c>
      <c r="BG64" s="172" t="n">
        <v>1</v>
      </c>
      <c r="BH64" s="172" t="n">
        <v>1</v>
      </c>
      <c r="BI64" s="172" t="n">
        <v>1</v>
      </c>
      <c r="BJ64" s="172" t="n">
        <v>1</v>
      </c>
      <c r="BK64" s="172" t="n">
        <v>1</v>
      </c>
      <c r="BL64" s="172" t="n">
        <v>1</v>
      </c>
      <c r="BM64" s="172" t="n">
        <v>1</v>
      </c>
      <c r="BN64" s="172" t="n">
        <v>1</v>
      </c>
      <c r="BO64" s="172" t="n">
        <v>1</v>
      </c>
      <c r="BP64" s="172" t="n">
        <v>1</v>
      </c>
      <c r="BQ64" s="172" t="n">
        <v>1</v>
      </c>
      <c r="BR64" s="172" t="n">
        <v>1</v>
      </c>
      <c r="BS64" s="172" t="n">
        <v>1</v>
      </c>
      <c r="BT64" s="172" t="n">
        <v>1</v>
      </c>
      <c r="BU64" s="172" t="n">
        <v>1</v>
      </c>
      <c r="BV64" s="172" t="n">
        <v>1</v>
      </c>
      <c r="BW64" s="172" t="n">
        <v>1</v>
      </c>
      <c r="BX64" s="172" t="n">
        <v>1</v>
      </c>
      <c r="BY64" s="172" t="n">
        <v>1</v>
      </c>
      <c r="BZ64" s="172" t="n">
        <v>1</v>
      </c>
      <c r="CA64" s="172" t="n">
        <v>1</v>
      </c>
      <c r="CB64" s="172" t="n">
        <v>1</v>
      </c>
      <c r="CC64" s="172" t="n">
        <v>1</v>
      </c>
      <c r="CD64" s="172" t="n">
        <v>1</v>
      </c>
      <c r="CE64" s="172" t="n">
        <v>1</v>
      </c>
      <c r="CF64" s="172" t="n">
        <v>1</v>
      </c>
      <c r="CG64" s="172" t="n">
        <v>1</v>
      </c>
      <c r="CH64" s="172" t="n">
        <v>1</v>
      </c>
      <c r="CI64" s="172" t="n">
        <v>1</v>
      </c>
      <c r="CJ64" s="172" t="n">
        <v>1</v>
      </c>
      <c r="CK64" s="172" t="n">
        <v>1</v>
      </c>
      <c r="CL64" s="172" t="n">
        <v>1</v>
      </c>
      <c r="CM64" s="172" t="n">
        <v>1</v>
      </c>
      <c r="CN64" s="172" t="n">
        <v>1</v>
      </c>
      <c r="CO64" s="172" t="n">
        <v>1</v>
      </c>
      <c r="CP64" s="172" t="n">
        <v>1</v>
      </c>
      <c r="CQ64" s="172" t="n">
        <v>1</v>
      </c>
      <c r="CR64" s="172" t="n">
        <v>1</v>
      </c>
      <c r="CS64" s="172" t="n">
        <v>1</v>
      </c>
      <c r="CT64" s="172" t="n">
        <v>1</v>
      </c>
      <c r="CU64" s="172" t="n">
        <v>1</v>
      </c>
      <c r="CV64" s="172" t="n">
        <v>1</v>
      </c>
      <c r="CW64" s="172" t="n">
        <v>1</v>
      </c>
      <c r="CX64" s="172" t="n">
        <v>1</v>
      </c>
      <c r="CY64" s="172" t="n">
        <v>1</v>
      </c>
      <c r="CZ64" s="172" t="n">
        <v>1</v>
      </c>
      <c r="DA64" s="172" t="n">
        <v>1</v>
      </c>
      <c r="DB64" s="172" t="n">
        <v>1</v>
      </c>
      <c r="DC64" s="172" t="n">
        <v>1</v>
      </c>
      <c r="DD64" s="172" t="n">
        <v>1</v>
      </c>
      <c r="DE64" s="172" t="n">
        <v>1</v>
      </c>
      <c r="DF64" s="172" t="n">
        <v>1</v>
      </c>
      <c r="DG64" s="172" t="n">
        <v>1</v>
      </c>
      <c r="DH64" s="172" t="n">
        <v>1</v>
      </c>
      <c r="DI64" s="172" t="n">
        <v>1</v>
      </c>
      <c r="DJ64" s="172" t="n">
        <v>1</v>
      </c>
      <c r="DK64" s="172" t="n">
        <v>1</v>
      </c>
      <c r="DL64" s="172" t="n">
        <v>1</v>
      </c>
      <c r="DM64" s="172" t="n">
        <v>1</v>
      </c>
      <c r="DN64" s="172" t="n">
        <v>1</v>
      </c>
      <c r="DO64" s="172" t="n">
        <v>1</v>
      </c>
      <c r="DP64" s="172" t="n">
        <v>1</v>
      </c>
      <c r="DQ64" s="172" t="n">
        <v>1</v>
      </c>
      <c r="DR64" s="172" t="n">
        <v>1</v>
      </c>
      <c r="DS64" s="172" t="n">
        <v>1</v>
      </c>
      <c r="DT64" s="172" t="n">
        <v>1</v>
      </c>
      <c r="DU64" s="172" t="n">
        <v>1</v>
      </c>
      <c r="DV64" s="172" t="n">
        <v>1</v>
      </c>
      <c r="DW64" s="172" t="n">
        <v>1</v>
      </c>
      <c r="DX64" s="172" t="n">
        <v>1</v>
      </c>
      <c r="DY64" s="172" t="n">
        <v>1</v>
      </c>
      <c r="DZ64" s="172" t="n">
        <v>1</v>
      </c>
      <c r="EA64" s="172" t="n">
        <v>1</v>
      </c>
      <c r="EB64" s="172" t="n">
        <v>1</v>
      </c>
      <c r="EC64" s="172" t="n">
        <v>1</v>
      </c>
      <c r="ED64" s="172" t="n">
        <v>1</v>
      </c>
      <c r="EE64" s="172" t="n">
        <v>1</v>
      </c>
      <c r="EF64" s="172" t="n">
        <v>1</v>
      </c>
      <c r="EG64" s="172" t="n">
        <v>1</v>
      </c>
      <c r="EH64" s="172" t="n">
        <v>1</v>
      </c>
      <c r="EI64" s="172" t="n">
        <v>1</v>
      </c>
      <c r="EJ64" s="172" t="n">
        <v>1</v>
      </c>
      <c r="EK64" s="172" t="n">
        <v>1</v>
      </c>
      <c r="EL64" s="172" t="n">
        <v>1</v>
      </c>
      <c r="EM64" s="172" t="n">
        <v>1</v>
      </c>
      <c r="EN64" s="172" t="n">
        <v>1</v>
      </c>
      <c r="EO64" s="172" t="n">
        <v>1</v>
      </c>
      <c r="EP64" s="172" t="n">
        <v>1</v>
      </c>
      <c r="EQ64" s="172" t="n">
        <v>1</v>
      </c>
      <c r="ER64" s="172" t="n">
        <v>1</v>
      </c>
      <c r="ES64" s="172" t="n">
        <v>1</v>
      </c>
      <c r="ET64" s="172" t="n">
        <v>1</v>
      </c>
      <c r="EU64" s="172" t="n">
        <v>1</v>
      </c>
      <c r="EV64" s="173" t="n">
        <v>1</v>
      </c>
      <c r="EW64" s="172" t="n">
        <v>1</v>
      </c>
      <c r="EX64" s="172" t="n">
        <v>1</v>
      </c>
      <c r="EY64" s="172" t="n">
        <v>1</v>
      </c>
      <c r="EZ64" s="172" t="n">
        <v>1</v>
      </c>
      <c r="FA64" s="172" t="n">
        <v>1</v>
      </c>
      <c r="FB64" s="172" t="n">
        <v>1</v>
      </c>
      <c r="FC64" s="172" t="n">
        <v>1</v>
      </c>
      <c r="FD64" s="172" t="n">
        <v>1</v>
      </c>
      <c r="FE64" s="172" t="n">
        <v>1</v>
      </c>
      <c r="FF64" s="172" t="n">
        <v>1</v>
      </c>
      <c r="FG64" s="172" t="n">
        <v>1</v>
      </c>
      <c r="FH64" s="172" t="n">
        <v>1</v>
      </c>
      <c r="FI64" s="172" t="n">
        <v>1</v>
      </c>
      <c r="FJ64" s="172" t="n">
        <v>1</v>
      </c>
      <c r="FK64" s="172" t="n">
        <v>1</v>
      </c>
      <c r="FL64" s="172" t="n">
        <v>1</v>
      </c>
      <c r="FM64" s="172" t="n">
        <v>1</v>
      </c>
      <c r="FN64" s="172" t="n">
        <v>1</v>
      </c>
      <c r="FO64" s="172" t="n">
        <v>1</v>
      </c>
      <c r="FP64" s="172" t="n">
        <v>1</v>
      </c>
      <c r="FQ64" s="172" t="n">
        <v>1</v>
      </c>
      <c r="FR64" s="172" t="n">
        <v>1</v>
      </c>
      <c r="FS64" s="172" t="n">
        <v>1</v>
      </c>
      <c r="FT64" s="172" t="n">
        <v>1</v>
      </c>
      <c r="FU64" s="172" t="n">
        <v>1</v>
      </c>
      <c r="FV64" s="172" t="n">
        <v>1</v>
      </c>
      <c r="FW64" s="172" t="n">
        <v>1</v>
      </c>
      <c r="FX64" s="172" t="n">
        <v>1</v>
      </c>
      <c r="FY64" s="172" t="n">
        <v>1</v>
      </c>
      <c r="FZ64" s="172" t="n">
        <v>1</v>
      </c>
      <c r="GA64" s="172" t="n">
        <v>1</v>
      </c>
      <c r="GB64" s="172" t="n">
        <v>1</v>
      </c>
      <c r="GC64" s="172" t="n">
        <v>1</v>
      </c>
      <c r="GD64" s="172" t="n">
        <v>1</v>
      </c>
      <c r="GE64" s="172" t="n">
        <v>1</v>
      </c>
      <c r="GF64" s="172" t="n">
        <v>1</v>
      </c>
      <c r="GG64" s="172" t="n">
        <v>1</v>
      </c>
      <c r="GH64" s="172" t="n">
        <v>1</v>
      </c>
      <c r="GI64" s="172" t="n">
        <v>1</v>
      </c>
      <c r="GJ64" s="172" t="n">
        <v>1</v>
      </c>
      <c r="GK64" s="172" t="n">
        <v>1</v>
      </c>
      <c r="GL64" s="172" t="n">
        <v>1</v>
      </c>
      <c r="GM64" s="172" t="n">
        <v>1</v>
      </c>
      <c r="GN64" s="172" t="n">
        <v>1</v>
      </c>
      <c r="GO64" s="172" t="n">
        <v>1</v>
      </c>
      <c r="GP64" s="172" t="n">
        <v>1</v>
      </c>
      <c r="GQ64" s="172" t="n">
        <v>1</v>
      </c>
      <c r="GR64" s="172" t="n">
        <v>1</v>
      </c>
      <c r="GS64" s="172" t="n">
        <v>1</v>
      </c>
      <c r="GT64" s="172" t="n">
        <v>1</v>
      </c>
      <c r="GU64" s="172" t="n">
        <v>1</v>
      </c>
      <c r="GV64" s="172" t="n">
        <v>1</v>
      </c>
      <c r="GW64" s="172" t="n">
        <v>1</v>
      </c>
      <c r="GX64" s="172" t="n">
        <v>1</v>
      </c>
      <c r="GY64" s="172" t="n">
        <v>1</v>
      </c>
      <c r="GZ64" s="172" t="n">
        <v>1</v>
      </c>
      <c r="HA64" s="172" t="n">
        <v>1</v>
      </c>
      <c r="HB64" s="172" t="n">
        <v>1</v>
      </c>
      <c r="HC64" s="172" t="n">
        <v>1</v>
      </c>
      <c r="HD64" s="172" t="n">
        <v>1</v>
      </c>
      <c r="HE64" s="172" t="n">
        <v>1</v>
      </c>
      <c r="HF64" s="172" t="n">
        <v>1</v>
      </c>
      <c r="HG64" s="172" t="n">
        <v>1</v>
      </c>
      <c r="HH64" s="172" t="n">
        <v>1</v>
      </c>
      <c r="HI64" s="172" t="n">
        <v>1</v>
      </c>
      <c r="HJ64" s="172" t="n">
        <v>1</v>
      </c>
      <c r="HK64" s="172" t="n">
        <v>1</v>
      </c>
      <c r="HL64" s="172" t="n">
        <v>1</v>
      </c>
      <c r="HM64" s="172" t="n">
        <v>1</v>
      </c>
      <c r="HN64" s="172" t="n">
        <v>1</v>
      </c>
      <c r="HO64" s="172" t="n">
        <v>1</v>
      </c>
      <c r="HP64" s="172" t="n">
        <v>1</v>
      </c>
      <c r="HQ64" s="172" t="n">
        <v>1</v>
      </c>
      <c r="HR64" s="172" t="n">
        <v>1</v>
      </c>
      <c r="HS64" s="172" t="n">
        <v>1</v>
      </c>
      <c r="HT64" s="172" t="n">
        <v>1</v>
      </c>
      <c r="HU64" s="172" t="n">
        <v>1</v>
      </c>
      <c r="HV64" s="172" t="n">
        <v>1</v>
      </c>
      <c r="HW64" s="172" t="n">
        <v>1</v>
      </c>
      <c r="HX64" s="172" t="n">
        <v>1</v>
      </c>
      <c r="HY64" s="172" t="n">
        <v>1</v>
      </c>
      <c r="HZ64" s="172" t="n">
        <v>1</v>
      </c>
      <c r="IA64" s="172" t="n">
        <v>1</v>
      </c>
      <c r="IB64" s="172" t="n">
        <v>1</v>
      </c>
      <c r="IC64" s="172" t="n">
        <v>1</v>
      </c>
      <c r="ID64" s="172" t="n">
        <v>1</v>
      </c>
      <c r="IE64" s="172" t="n">
        <v>1</v>
      </c>
      <c r="IF64" s="172" t="n">
        <v>1</v>
      </c>
      <c r="IG64" s="172" t="n">
        <v>1</v>
      </c>
      <c r="IH64" s="172" t="n">
        <v>1</v>
      </c>
      <c r="II64" s="172" t="n">
        <v>1</v>
      </c>
      <c r="IJ64" s="172" t="n">
        <v>1</v>
      </c>
      <c r="IK64" s="172" t="n">
        <v>1</v>
      </c>
      <c r="IL64" s="172" t="n">
        <v>1</v>
      </c>
      <c r="IM64" s="172" t="n">
        <v>1</v>
      </c>
      <c r="IN64" s="172" t="n">
        <v>1</v>
      </c>
      <c r="IO64" s="172" t="n">
        <v>1</v>
      </c>
      <c r="IP64" s="172" t="n">
        <v>1</v>
      </c>
      <c r="IQ64" s="172" t="n">
        <v>1</v>
      </c>
      <c r="IR64" s="172" t="n">
        <v>1</v>
      </c>
    </row>
    <row r="65" ht="29.15" customFormat="1" customHeight="1" s="6">
      <c r="A65" s="89" t="inlineStr">
        <is>
          <t>ЦМ (сырье)</t>
        </is>
      </c>
      <c r="B65" s="76" t="n">
        <v>4</v>
      </c>
      <c r="C65" s="3" t="inlineStr">
        <is>
          <t>Руды  всякие</t>
        </is>
      </c>
      <c r="D65" s="77" t="n">
        <v>15103</v>
      </c>
      <c r="E65" s="77" t="inlineStr">
        <is>
          <t xml:space="preserve">Бокситы </t>
        </is>
      </c>
      <c r="F65" s="77" t="inlineStr">
        <is>
          <t xml:space="preserve">Сырье цветных металлов, сырье серное </t>
        </is>
      </c>
      <c r="G65" s="77" t="inlineStr">
        <is>
          <t>СЕВ</t>
        </is>
      </c>
      <c r="H65" s="77" t="inlineStr">
        <is>
          <t>СВР</t>
        </is>
      </c>
      <c r="I65" s="77" t="inlineStr">
        <is>
          <t>ЧИНЬЯВОРЫК</t>
        </is>
      </c>
      <c r="J65" s="77" t="inlineStr">
        <is>
          <t>КЛИМКИ</t>
        </is>
      </c>
      <c r="K65" s="77" t="n">
        <v>1985</v>
      </c>
      <c r="L65" s="77" t="inlineStr">
        <is>
          <t>Полувагоны</t>
        </is>
      </c>
      <c r="M65" s="91" t="inlineStr">
        <is>
          <t>Внутр. перевозки</t>
        </is>
      </c>
      <c r="N65" s="77" t="inlineStr">
        <is>
          <t>вагонная</t>
        </is>
      </c>
      <c r="O65" s="77" t="inlineStr">
        <is>
          <t xml:space="preserve">Южное </t>
        </is>
      </c>
      <c r="P65" s="79" t="inlineStr">
        <is>
          <t>'000024938159</t>
        </is>
      </c>
      <c r="Q65" s="77" t="inlineStr">
        <is>
          <t>ОК РУСАЛ</t>
        </is>
      </c>
      <c r="R65" s="77" t="inlineStr">
        <is>
          <t>ОК РУСАЛ</t>
        </is>
      </c>
      <c r="S65" s="80" t="n">
        <v>735313</v>
      </c>
      <c r="T65" s="80" t="n">
        <v>1459232387</v>
      </c>
      <c r="U65" s="88" t="n">
        <v>10514</v>
      </c>
      <c r="V65" s="88" t="n">
        <v>0</v>
      </c>
      <c r="W65" s="87" t="n">
        <v>714949528</v>
      </c>
      <c r="X65" s="112" t="n">
        <v>69</v>
      </c>
      <c r="Y65" s="112" t="inlineStr">
        <is>
          <t>маршрутная</t>
        </is>
      </c>
      <c r="Z65" s="113" t="n">
        <v>6</v>
      </c>
      <c r="AA65" s="113" t="n">
        <v>6</v>
      </c>
      <c r="AB65" s="113" t="n">
        <v>4</v>
      </c>
      <c r="AC65" s="161" t="n">
        <v>1086.97</v>
      </c>
      <c r="AD65" s="161">
        <f>AE65-AC65</f>
        <v/>
      </c>
      <c r="AE65" s="161" t="n">
        <v>1669.67</v>
      </c>
      <c r="AF65" s="162">
        <f>(Z65+AA65+AB65)*'Ставки аренды'!$B$3/X65</f>
        <v/>
      </c>
      <c r="AG65" s="163" t="n">
        <v>0</v>
      </c>
      <c r="AH65" s="164" t="n">
        <v>0</v>
      </c>
      <c r="AI65" s="165">
        <f>12254/14812*AJ65</f>
        <v/>
      </c>
      <c r="AJ65" s="166">
        <f>Цены!D27</f>
        <v/>
      </c>
      <c r="AK65" s="164">
        <f>AJ65/Цены!$B$1</f>
        <v/>
      </c>
      <c r="AL65" s="164">
        <f>AE65+AF65+AG65</f>
        <v/>
      </c>
      <c r="AM65" s="164">
        <f>AJ65-AL65</f>
        <v/>
      </c>
      <c r="AN65" s="164">
        <f>AI65+AH65+AG65+AF65+AE65</f>
        <v/>
      </c>
      <c r="AO65" s="167">
        <f>(AJ65-AN65)/AJ65</f>
        <v/>
      </c>
      <c r="AP65" s="168">
        <f>AL65/AJ65</f>
        <v/>
      </c>
      <c r="AQ65" s="168">
        <f>AE65/AJ65</f>
        <v/>
      </c>
      <c r="AR65" s="168">
        <f>AE65/AL65</f>
        <v/>
      </c>
      <c r="AS65" s="169" t="n">
        <v>1</v>
      </c>
      <c r="AT65" s="121">
        <f>S65*AS65</f>
        <v/>
      </c>
      <c r="AU65" s="7" t="inlineStr">
        <is>
          <t>Внутренняя логистика</t>
        </is>
      </c>
      <c r="AV65" s="170">
        <f>(AJ65-(AE65*(1+$IS$2)+AF65+AG65+AH65+AI65))/AJ65</f>
        <v/>
      </c>
      <c r="AW65" s="171">
        <f>(AE65*(1+$IS$2)+AF65+AG65)/AJ65</f>
        <v/>
      </c>
      <c r="AX65" s="171">
        <f>(AE65*(1+$IS$2))/AJ65</f>
        <v/>
      </c>
      <c r="AY65" s="171">
        <f>(AE65*(1+$IS$2))/(AE65*(1+$IS$2)+AF65+AG65)</f>
        <v/>
      </c>
      <c r="AZ65" s="172" t="n">
        <v>1</v>
      </c>
      <c r="BA65" s="172" t="n">
        <v>1</v>
      </c>
      <c r="BB65" s="172" t="n">
        <v>1</v>
      </c>
      <c r="BC65" s="172" t="n">
        <v>1</v>
      </c>
      <c r="BD65" s="172" t="n">
        <v>1</v>
      </c>
      <c r="BE65" s="172" t="n">
        <v>1</v>
      </c>
      <c r="BF65" s="172" t="n">
        <v>1</v>
      </c>
      <c r="BG65" s="172" t="n">
        <v>1</v>
      </c>
      <c r="BH65" s="172" t="n">
        <v>1</v>
      </c>
      <c r="BI65" s="172" t="n">
        <v>1</v>
      </c>
      <c r="BJ65" s="172" t="n">
        <v>1</v>
      </c>
      <c r="BK65" s="172" t="n">
        <v>1</v>
      </c>
      <c r="BL65" s="172" t="n">
        <v>1</v>
      </c>
      <c r="BM65" s="172" t="n">
        <v>1</v>
      </c>
      <c r="BN65" s="172" t="n">
        <v>1</v>
      </c>
      <c r="BO65" s="172" t="n">
        <v>1</v>
      </c>
      <c r="BP65" s="172" t="n">
        <v>1</v>
      </c>
      <c r="BQ65" s="172" t="n">
        <v>1</v>
      </c>
      <c r="BR65" s="172" t="n">
        <v>1</v>
      </c>
      <c r="BS65" s="172" t="n">
        <v>1</v>
      </c>
      <c r="BT65" s="172" t="n">
        <v>1</v>
      </c>
      <c r="BU65" s="172" t="n">
        <v>1</v>
      </c>
      <c r="BV65" s="172" t="n">
        <v>1</v>
      </c>
      <c r="BW65" s="172" t="n">
        <v>1</v>
      </c>
      <c r="BX65" s="172" t="n">
        <v>1</v>
      </c>
      <c r="BY65" s="172" t="n">
        <v>1</v>
      </c>
      <c r="BZ65" s="172" t="n">
        <v>1</v>
      </c>
      <c r="CA65" s="172" t="n">
        <v>1</v>
      </c>
      <c r="CB65" s="172" t="n">
        <v>1</v>
      </c>
      <c r="CC65" s="172" t="n">
        <v>1</v>
      </c>
      <c r="CD65" s="172" t="n">
        <v>1</v>
      </c>
      <c r="CE65" s="172" t="n">
        <v>1</v>
      </c>
      <c r="CF65" s="172" t="n">
        <v>1</v>
      </c>
      <c r="CG65" s="172" t="n">
        <v>1</v>
      </c>
      <c r="CH65" s="172" t="n">
        <v>1</v>
      </c>
      <c r="CI65" s="172" t="n">
        <v>1</v>
      </c>
      <c r="CJ65" s="172" t="n">
        <v>1</v>
      </c>
      <c r="CK65" s="172" t="n">
        <v>1</v>
      </c>
      <c r="CL65" s="172" t="n">
        <v>1</v>
      </c>
      <c r="CM65" s="172" t="n">
        <v>1</v>
      </c>
      <c r="CN65" s="172" t="n">
        <v>1</v>
      </c>
      <c r="CO65" s="172" t="n">
        <v>1</v>
      </c>
      <c r="CP65" s="172" t="n">
        <v>1</v>
      </c>
      <c r="CQ65" s="172" t="n">
        <v>1</v>
      </c>
      <c r="CR65" s="172" t="n">
        <v>1</v>
      </c>
      <c r="CS65" s="172" t="n">
        <v>1</v>
      </c>
      <c r="CT65" s="172" t="n">
        <v>1</v>
      </c>
      <c r="CU65" s="172" t="n">
        <v>1</v>
      </c>
      <c r="CV65" s="172" t="n">
        <v>1</v>
      </c>
      <c r="CW65" s="172" t="n">
        <v>1</v>
      </c>
      <c r="CX65" s="172" t="n">
        <v>1</v>
      </c>
      <c r="CY65" s="172" t="n">
        <v>1</v>
      </c>
      <c r="CZ65" s="172" t="n">
        <v>1</v>
      </c>
      <c r="DA65" s="172" t="n">
        <v>1</v>
      </c>
      <c r="DB65" s="172" t="n">
        <v>1</v>
      </c>
      <c r="DC65" s="172" t="n">
        <v>1</v>
      </c>
      <c r="DD65" s="172" t="n">
        <v>1</v>
      </c>
      <c r="DE65" s="172" t="n">
        <v>1</v>
      </c>
      <c r="DF65" s="172" t="n">
        <v>1</v>
      </c>
      <c r="DG65" s="172" t="n">
        <v>1</v>
      </c>
      <c r="DH65" s="172" t="n">
        <v>1</v>
      </c>
      <c r="DI65" s="172" t="n">
        <v>1</v>
      </c>
      <c r="DJ65" s="172" t="n">
        <v>1</v>
      </c>
      <c r="DK65" s="172" t="n">
        <v>1</v>
      </c>
      <c r="DL65" s="172" t="n">
        <v>1</v>
      </c>
      <c r="DM65" s="172" t="n">
        <v>1</v>
      </c>
      <c r="DN65" s="172" t="n">
        <v>1</v>
      </c>
      <c r="DO65" s="172" t="n">
        <v>1</v>
      </c>
      <c r="DP65" s="172" t="n">
        <v>1</v>
      </c>
      <c r="DQ65" s="172" t="n">
        <v>1</v>
      </c>
      <c r="DR65" s="172" t="n">
        <v>1</v>
      </c>
      <c r="DS65" s="172" t="n">
        <v>1</v>
      </c>
      <c r="DT65" s="172" t="n">
        <v>1</v>
      </c>
      <c r="DU65" s="172" t="n">
        <v>1</v>
      </c>
      <c r="DV65" s="172" t="n">
        <v>1</v>
      </c>
      <c r="DW65" s="172" t="n">
        <v>1</v>
      </c>
      <c r="DX65" s="172" t="n">
        <v>1</v>
      </c>
      <c r="DY65" s="172" t="n">
        <v>1</v>
      </c>
      <c r="DZ65" s="172" t="n">
        <v>1</v>
      </c>
      <c r="EA65" s="172" t="n">
        <v>1</v>
      </c>
      <c r="EB65" s="172" t="n">
        <v>1</v>
      </c>
      <c r="EC65" s="172" t="n">
        <v>1</v>
      </c>
      <c r="ED65" s="172" t="n">
        <v>1</v>
      </c>
      <c r="EE65" s="172" t="n">
        <v>1</v>
      </c>
      <c r="EF65" s="172" t="n">
        <v>1</v>
      </c>
      <c r="EG65" s="172" t="n">
        <v>1</v>
      </c>
      <c r="EH65" s="172" t="n">
        <v>1</v>
      </c>
      <c r="EI65" s="172" t="n">
        <v>1</v>
      </c>
      <c r="EJ65" s="172" t="n">
        <v>1</v>
      </c>
      <c r="EK65" s="172" t="n">
        <v>1</v>
      </c>
      <c r="EL65" s="172" t="n">
        <v>1</v>
      </c>
      <c r="EM65" s="172" t="n">
        <v>1</v>
      </c>
      <c r="EN65" s="172" t="n">
        <v>1</v>
      </c>
      <c r="EO65" s="172" t="n">
        <v>1</v>
      </c>
      <c r="EP65" s="172" t="n">
        <v>1</v>
      </c>
      <c r="EQ65" s="172" t="n">
        <v>1</v>
      </c>
      <c r="ER65" s="172" t="n">
        <v>1</v>
      </c>
      <c r="ES65" s="172" t="n">
        <v>1</v>
      </c>
      <c r="ET65" s="172" t="n">
        <v>1</v>
      </c>
      <c r="EU65" s="172" t="n">
        <v>1</v>
      </c>
      <c r="EV65" s="173" t="n">
        <v>1</v>
      </c>
      <c r="EW65" s="172" t="n">
        <v>1</v>
      </c>
      <c r="EX65" s="172" t="n">
        <v>1</v>
      </c>
      <c r="EY65" s="172" t="n">
        <v>1</v>
      </c>
      <c r="EZ65" s="172" t="n">
        <v>1</v>
      </c>
      <c r="FA65" s="172" t="n">
        <v>1</v>
      </c>
      <c r="FB65" s="172" t="n">
        <v>1</v>
      </c>
      <c r="FC65" s="172" t="n">
        <v>1</v>
      </c>
      <c r="FD65" s="172" t="n">
        <v>1</v>
      </c>
      <c r="FE65" s="172" t="n">
        <v>1</v>
      </c>
      <c r="FF65" s="172" t="n">
        <v>1</v>
      </c>
      <c r="FG65" s="172" t="n">
        <v>1</v>
      </c>
      <c r="FH65" s="172" t="n">
        <v>1</v>
      </c>
      <c r="FI65" s="172" t="n">
        <v>1</v>
      </c>
      <c r="FJ65" s="172" t="n">
        <v>1</v>
      </c>
      <c r="FK65" s="172" t="n">
        <v>1</v>
      </c>
      <c r="FL65" s="172" t="n">
        <v>1</v>
      </c>
      <c r="FM65" s="172" t="n">
        <v>1</v>
      </c>
      <c r="FN65" s="172" t="n">
        <v>1</v>
      </c>
      <c r="FO65" s="172" t="n">
        <v>1</v>
      </c>
      <c r="FP65" s="172" t="n">
        <v>1</v>
      </c>
      <c r="FQ65" s="172" t="n">
        <v>1</v>
      </c>
      <c r="FR65" s="172" t="n">
        <v>1</v>
      </c>
      <c r="FS65" s="172" t="n">
        <v>1</v>
      </c>
      <c r="FT65" s="172" t="n">
        <v>1</v>
      </c>
      <c r="FU65" s="172" t="n">
        <v>1</v>
      </c>
      <c r="FV65" s="172" t="n">
        <v>1</v>
      </c>
      <c r="FW65" s="172" t="n">
        <v>1</v>
      </c>
      <c r="FX65" s="172" t="n">
        <v>1</v>
      </c>
      <c r="FY65" s="172" t="n">
        <v>1</v>
      </c>
      <c r="FZ65" s="172" t="n">
        <v>1</v>
      </c>
      <c r="GA65" s="172" t="n">
        <v>1</v>
      </c>
      <c r="GB65" s="172" t="n">
        <v>1</v>
      </c>
      <c r="GC65" s="172" t="n">
        <v>1</v>
      </c>
      <c r="GD65" s="172" t="n">
        <v>1</v>
      </c>
      <c r="GE65" s="172" t="n">
        <v>1</v>
      </c>
      <c r="GF65" s="172" t="n">
        <v>1</v>
      </c>
      <c r="GG65" s="172" t="n">
        <v>1</v>
      </c>
      <c r="GH65" s="172" t="n">
        <v>1</v>
      </c>
      <c r="GI65" s="172" t="n">
        <v>1</v>
      </c>
      <c r="GJ65" s="172" t="n">
        <v>1</v>
      </c>
      <c r="GK65" s="172" t="n">
        <v>1</v>
      </c>
      <c r="GL65" s="172" t="n">
        <v>1</v>
      </c>
      <c r="GM65" s="172" t="n">
        <v>1</v>
      </c>
      <c r="GN65" s="172" t="n">
        <v>1</v>
      </c>
      <c r="GO65" s="172" t="n">
        <v>1</v>
      </c>
      <c r="GP65" s="172" t="n">
        <v>1</v>
      </c>
      <c r="GQ65" s="172" t="n">
        <v>1</v>
      </c>
      <c r="GR65" s="172" t="n">
        <v>1</v>
      </c>
      <c r="GS65" s="172" t="n">
        <v>1</v>
      </c>
      <c r="GT65" s="172" t="n">
        <v>1</v>
      </c>
      <c r="GU65" s="172" t="n">
        <v>1</v>
      </c>
      <c r="GV65" s="172" t="n">
        <v>1</v>
      </c>
      <c r="GW65" s="172" t="n">
        <v>1</v>
      </c>
      <c r="GX65" s="172" t="n">
        <v>1</v>
      </c>
      <c r="GY65" s="172" t="n">
        <v>1</v>
      </c>
      <c r="GZ65" s="172" t="n">
        <v>1</v>
      </c>
      <c r="HA65" s="172" t="n">
        <v>1</v>
      </c>
      <c r="HB65" s="172" t="n">
        <v>1</v>
      </c>
      <c r="HC65" s="172" t="n">
        <v>1</v>
      </c>
      <c r="HD65" s="172" t="n">
        <v>1</v>
      </c>
      <c r="HE65" s="172" t="n">
        <v>1</v>
      </c>
      <c r="HF65" s="172" t="n">
        <v>1</v>
      </c>
      <c r="HG65" s="172" t="n">
        <v>1</v>
      </c>
      <c r="HH65" s="172" t="n">
        <v>1</v>
      </c>
      <c r="HI65" s="172" t="n">
        <v>1</v>
      </c>
      <c r="HJ65" s="172" t="n">
        <v>1</v>
      </c>
      <c r="HK65" s="172" t="n">
        <v>1</v>
      </c>
      <c r="HL65" s="172" t="n">
        <v>1</v>
      </c>
      <c r="HM65" s="172" t="n">
        <v>1</v>
      </c>
      <c r="HN65" s="172" t="n">
        <v>1</v>
      </c>
      <c r="HO65" s="172" t="n">
        <v>1</v>
      </c>
      <c r="HP65" s="172" t="n">
        <v>1</v>
      </c>
      <c r="HQ65" s="172" t="n">
        <v>1</v>
      </c>
      <c r="HR65" s="172" t="n">
        <v>1</v>
      </c>
      <c r="HS65" s="172" t="n">
        <v>1</v>
      </c>
      <c r="HT65" s="172" t="n">
        <v>1</v>
      </c>
      <c r="HU65" s="172" t="n">
        <v>1</v>
      </c>
      <c r="HV65" s="172" t="n">
        <v>1</v>
      </c>
      <c r="HW65" s="172" t="n">
        <v>1</v>
      </c>
      <c r="HX65" s="172" t="n">
        <v>1</v>
      </c>
      <c r="HY65" s="172" t="n">
        <v>1</v>
      </c>
      <c r="HZ65" s="172" t="n">
        <v>1</v>
      </c>
      <c r="IA65" s="172" t="n">
        <v>1</v>
      </c>
      <c r="IB65" s="172" t="n">
        <v>1</v>
      </c>
      <c r="IC65" s="172" t="n">
        <v>1</v>
      </c>
      <c r="ID65" s="172" t="n">
        <v>1</v>
      </c>
      <c r="IE65" s="172" t="n">
        <v>1</v>
      </c>
      <c r="IF65" s="172" t="n">
        <v>1</v>
      </c>
      <c r="IG65" s="172" t="n">
        <v>1</v>
      </c>
      <c r="IH65" s="172" t="n">
        <v>1</v>
      </c>
      <c r="II65" s="172" t="n">
        <v>1</v>
      </c>
      <c r="IJ65" s="172" t="n">
        <v>1</v>
      </c>
      <c r="IK65" s="172" t="n">
        <v>1</v>
      </c>
      <c r="IL65" s="172" t="n">
        <v>1</v>
      </c>
      <c r="IM65" s="172" t="n">
        <v>1</v>
      </c>
      <c r="IN65" s="172" t="n">
        <v>1</v>
      </c>
      <c r="IO65" s="172" t="n">
        <v>1</v>
      </c>
      <c r="IP65" s="172" t="n">
        <v>1</v>
      </c>
      <c r="IQ65" s="172" t="n">
        <v>1</v>
      </c>
      <c r="IR65" s="172" t="n">
        <v>1</v>
      </c>
    </row>
    <row r="66" ht="29.15" customFormat="1" customHeight="1" s="6">
      <c r="A66" s="89" t="inlineStr">
        <is>
          <t>ЦМ (сырье)</t>
        </is>
      </c>
      <c r="B66" s="76" t="n">
        <v>4</v>
      </c>
      <c r="C66" s="3" t="inlineStr">
        <is>
          <t>Руды  всякие</t>
        </is>
      </c>
      <c r="D66" s="77" t="n">
        <v>15106</v>
      </c>
      <c r="E66" s="77" t="inlineStr">
        <is>
          <t xml:space="preserve">Глинозем </t>
        </is>
      </c>
      <c r="F66" s="77" t="inlineStr">
        <is>
          <t xml:space="preserve">Сырье цветных металлов, сырье серное </t>
        </is>
      </c>
      <c r="G66" s="77" t="inlineStr">
        <is>
          <t>КРС</t>
        </is>
      </c>
      <c r="H66" s="77" t="inlineStr">
        <is>
          <t>КРС</t>
        </is>
      </c>
      <c r="I66" s="77" t="inlineStr">
        <is>
          <t>АЧИНСК 2</t>
        </is>
      </c>
      <c r="J66" s="77" t="inlineStr">
        <is>
          <t>КРАСНОЯРСК-С</t>
        </is>
      </c>
      <c r="K66" s="77" t="n">
        <v>197</v>
      </c>
      <c r="L66" s="77" t="inlineStr">
        <is>
          <t>Прочие</t>
        </is>
      </c>
      <c r="M66" s="91" t="inlineStr">
        <is>
          <t>Внутр. перевозки</t>
        </is>
      </c>
      <c r="N66" s="77" t="inlineStr">
        <is>
          <t>вагонная</t>
        </is>
      </c>
      <c r="O66" s="77" t="inlineStr">
        <is>
          <t xml:space="preserve">Восточное </t>
        </is>
      </c>
      <c r="P66" s="79" t="inlineStr">
        <is>
          <t>'000005785164</t>
        </is>
      </c>
      <c r="Q66" s="77" t="inlineStr">
        <is>
          <t>ОК РУСАЛ</t>
        </is>
      </c>
      <c r="R66" s="77" t="inlineStr">
        <is>
          <t>ОК РУСАЛ</t>
        </is>
      </c>
      <c r="S66" s="80" t="n">
        <v>698187</v>
      </c>
      <c r="T66" s="80" t="n">
        <v>137543224</v>
      </c>
      <c r="U66" s="88" t="n">
        <v>10140</v>
      </c>
      <c r="V66" s="88" t="n">
        <v>0</v>
      </c>
      <c r="W66" s="87" t="n">
        <v>315562898</v>
      </c>
      <c r="X66" s="112" t="n">
        <v>75</v>
      </c>
      <c r="Y66" s="112" t="inlineStr">
        <is>
          <t>маршрутная</t>
        </is>
      </c>
      <c r="Z66" s="113" t="n">
        <v>3</v>
      </c>
      <c r="AA66" s="113" t="n">
        <v>3</v>
      </c>
      <c r="AB66" s="113" t="n">
        <v>4</v>
      </c>
      <c r="AC66" s="161" t="n">
        <v>456.57</v>
      </c>
      <c r="AD66" s="161">
        <f>AE66-AC66</f>
        <v/>
      </c>
      <c r="AE66" s="161" t="n">
        <v>554.63</v>
      </c>
      <c r="AF66" s="162">
        <f>(AB66+AA66+Z66)*'Ставки аренды'!$B$4/X66</f>
        <v/>
      </c>
      <c r="AG66" s="163" t="n">
        <v>0</v>
      </c>
      <c r="AH66" s="164" t="n">
        <v>0</v>
      </c>
      <c r="AI66" s="165">
        <f>12254/14812*AJ66</f>
        <v/>
      </c>
      <c r="AJ66" s="166">
        <f>Цены!D21</f>
        <v/>
      </c>
      <c r="AK66" s="164">
        <f>AJ66/Цены!$B$1</f>
        <v/>
      </c>
      <c r="AL66" s="164">
        <f>AE66+AF66+AG66</f>
        <v/>
      </c>
      <c r="AM66" s="164">
        <f>AJ66-AL66</f>
        <v/>
      </c>
      <c r="AN66" s="164">
        <f>AI66+AH66+AG66+AF66+AE66</f>
        <v/>
      </c>
      <c r="AO66" s="167">
        <f>(AJ66-AN66)/AJ66</f>
        <v/>
      </c>
      <c r="AP66" s="168">
        <f>AL66/AJ66</f>
        <v/>
      </c>
      <c r="AQ66" s="168">
        <f>AE66/AJ66</f>
        <v/>
      </c>
      <c r="AR66" s="168">
        <f>AE66/AL66</f>
        <v/>
      </c>
      <c r="AS66" s="169" t="n">
        <v>1</v>
      </c>
      <c r="AT66" s="121">
        <f>S66*AS66</f>
        <v/>
      </c>
      <c r="AU66" s="7" t="inlineStr">
        <is>
          <t>Внутренняя логистика</t>
        </is>
      </c>
      <c r="AV66" s="170">
        <f>(AJ66-(AE66*(1+$IS$2)+AF66+AG66+AH66+AI66))/AJ66</f>
        <v/>
      </c>
      <c r="AW66" s="171">
        <f>(AE66*(1+$IS$2)+AF66+AG66)/AJ66</f>
        <v/>
      </c>
      <c r="AX66" s="171">
        <f>(AE66*(1+$IS$2))/AJ66</f>
        <v/>
      </c>
      <c r="AY66" s="171">
        <f>(AE66*(1+$IS$2))/(AE66*(1+$IS$2)+AF66+AG66)</f>
        <v/>
      </c>
      <c r="AZ66" s="172" t="n">
        <v>1</v>
      </c>
      <c r="BA66" s="172" t="n">
        <v>1</v>
      </c>
      <c r="BB66" s="172" t="n">
        <v>1</v>
      </c>
      <c r="BC66" s="172" t="n">
        <v>1</v>
      </c>
      <c r="BD66" s="172" t="n">
        <v>1</v>
      </c>
      <c r="BE66" s="172" t="n">
        <v>1</v>
      </c>
      <c r="BF66" s="172" t="n">
        <v>1</v>
      </c>
      <c r="BG66" s="172" t="n">
        <v>1</v>
      </c>
      <c r="BH66" s="172" t="n">
        <v>1</v>
      </c>
      <c r="BI66" s="172" t="n">
        <v>1</v>
      </c>
      <c r="BJ66" s="172" t="n">
        <v>1</v>
      </c>
      <c r="BK66" s="172" t="n">
        <v>1</v>
      </c>
      <c r="BL66" s="172" t="n">
        <v>1</v>
      </c>
      <c r="BM66" s="172" t="n">
        <v>1</v>
      </c>
      <c r="BN66" s="172" t="n">
        <v>1</v>
      </c>
      <c r="BO66" s="172" t="n">
        <v>1</v>
      </c>
      <c r="BP66" s="172" t="n">
        <v>1</v>
      </c>
      <c r="BQ66" s="172" t="n">
        <v>1</v>
      </c>
      <c r="BR66" s="172" t="n">
        <v>1</v>
      </c>
      <c r="BS66" s="172" t="n">
        <v>1</v>
      </c>
      <c r="BT66" s="172" t="n">
        <v>1</v>
      </c>
      <c r="BU66" s="172" t="n">
        <v>1</v>
      </c>
      <c r="BV66" s="172" t="n">
        <v>1</v>
      </c>
      <c r="BW66" s="172" t="n">
        <v>1</v>
      </c>
      <c r="BX66" s="172" t="n">
        <v>1</v>
      </c>
      <c r="BY66" s="172" t="n">
        <v>1</v>
      </c>
      <c r="BZ66" s="172" t="n">
        <v>1</v>
      </c>
      <c r="CA66" s="172" t="n">
        <v>1</v>
      </c>
      <c r="CB66" s="172" t="n">
        <v>1</v>
      </c>
      <c r="CC66" s="172" t="n">
        <v>1</v>
      </c>
      <c r="CD66" s="172" t="n">
        <v>1</v>
      </c>
      <c r="CE66" s="172" t="n">
        <v>1</v>
      </c>
      <c r="CF66" s="172" t="n">
        <v>1</v>
      </c>
      <c r="CG66" s="172" t="n">
        <v>1</v>
      </c>
      <c r="CH66" s="172" t="n">
        <v>1</v>
      </c>
      <c r="CI66" s="172" t="n">
        <v>1</v>
      </c>
      <c r="CJ66" s="172" t="n">
        <v>1</v>
      </c>
      <c r="CK66" s="172" t="n">
        <v>1</v>
      </c>
      <c r="CL66" s="172" t="n">
        <v>1</v>
      </c>
      <c r="CM66" s="172" t="n">
        <v>1</v>
      </c>
      <c r="CN66" s="172" t="n">
        <v>1</v>
      </c>
      <c r="CO66" s="172" t="n">
        <v>1</v>
      </c>
      <c r="CP66" s="172" t="n">
        <v>1</v>
      </c>
      <c r="CQ66" s="172" t="n">
        <v>1</v>
      </c>
      <c r="CR66" s="172" t="n">
        <v>1</v>
      </c>
      <c r="CS66" s="172" t="n">
        <v>1</v>
      </c>
      <c r="CT66" s="172" t="n">
        <v>1</v>
      </c>
      <c r="CU66" s="172" t="n">
        <v>1</v>
      </c>
      <c r="CV66" s="172" t="n">
        <v>1</v>
      </c>
      <c r="CW66" s="172" t="n">
        <v>1</v>
      </c>
      <c r="CX66" s="172" t="n">
        <v>1</v>
      </c>
      <c r="CY66" s="172" t="n">
        <v>1</v>
      </c>
      <c r="CZ66" s="172" t="n">
        <v>1</v>
      </c>
      <c r="DA66" s="172" t="n">
        <v>1</v>
      </c>
      <c r="DB66" s="172" t="n">
        <v>1</v>
      </c>
      <c r="DC66" s="172" t="n">
        <v>1</v>
      </c>
      <c r="DD66" s="172" t="n">
        <v>1</v>
      </c>
      <c r="DE66" s="172" t="n">
        <v>1</v>
      </c>
      <c r="DF66" s="172" t="n">
        <v>1</v>
      </c>
      <c r="DG66" s="172" t="n">
        <v>1</v>
      </c>
      <c r="DH66" s="172" t="n">
        <v>1</v>
      </c>
      <c r="DI66" s="172" t="n">
        <v>1</v>
      </c>
      <c r="DJ66" s="172" t="n">
        <v>1</v>
      </c>
      <c r="DK66" s="172" t="n">
        <v>1</v>
      </c>
      <c r="DL66" s="172" t="n">
        <v>1</v>
      </c>
      <c r="DM66" s="172" t="n">
        <v>1</v>
      </c>
      <c r="DN66" s="172" t="n">
        <v>1</v>
      </c>
      <c r="DO66" s="172" t="n">
        <v>1</v>
      </c>
      <c r="DP66" s="172" t="n">
        <v>1</v>
      </c>
      <c r="DQ66" s="172" t="n">
        <v>1</v>
      </c>
      <c r="DR66" s="172" t="n">
        <v>1</v>
      </c>
      <c r="DS66" s="172" t="n">
        <v>1</v>
      </c>
      <c r="DT66" s="172" t="n">
        <v>1</v>
      </c>
      <c r="DU66" s="172" t="n">
        <v>1</v>
      </c>
      <c r="DV66" s="172" t="n">
        <v>1</v>
      </c>
      <c r="DW66" s="172" t="n">
        <v>1</v>
      </c>
      <c r="DX66" s="172" t="n">
        <v>1</v>
      </c>
      <c r="DY66" s="172" t="n">
        <v>1</v>
      </c>
      <c r="DZ66" s="172" t="n">
        <v>1</v>
      </c>
      <c r="EA66" s="172" t="n">
        <v>1</v>
      </c>
      <c r="EB66" s="172" t="n">
        <v>1</v>
      </c>
      <c r="EC66" s="172" t="n">
        <v>1</v>
      </c>
      <c r="ED66" s="172" t="n">
        <v>1</v>
      </c>
      <c r="EE66" s="172" t="n">
        <v>1</v>
      </c>
      <c r="EF66" s="172" t="n">
        <v>1</v>
      </c>
      <c r="EG66" s="172" t="n">
        <v>1</v>
      </c>
      <c r="EH66" s="172" t="n">
        <v>1</v>
      </c>
      <c r="EI66" s="172" t="n">
        <v>1</v>
      </c>
      <c r="EJ66" s="172" t="n">
        <v>1</v>
      </c>
      <c r="EK66" s="172" t="n">
        <v>1</v>
      </c>
      <c r="EL66" s="172" t="n">
        <v>1</v>
      </c>
      <c r="EM66" s="172" t="n">
        <v>1</v>
      </c>
      <c r="EN66" s="172" t="n">
        <v>1</v>
      </c>
      <c r="EO66" s="172" t="n">
        <v>1</v>
      </c>
      <c r="EP66" s="172" t="n">
        <v>1</v>
      </c>
      <c r="EQ66" s="172" t="n">
        <v>1</v>
      </c>
      <c r="ER66" s="172" t="n">
        <v>1</v>
      </c>
      <c r="ES66" s="172" t="n">
        <v>1</v>
      </c>
      <c r="ET66" s="172" t="n">
        <v>1</v>
      </c>
      <c r="EU66" s="172" t="n">
        <v>1</v>
      </c>
      <c r="EV66" s="173" t="n">
        <v>1</v>
      </c>
      <c r="EW66" s="172" t="n">
        <v>1</v>
      </c>
      <c r="EX66" s="172" t="n">
        <v>1</v>
      </c>
      <c r="EY66" s="172" t="n">
        <v>1</v>
      </c>
      <c r="EZ66" s="172" t="n">
        <v>1</v>
      </c>
      <c r="FA66" s="172" t="n">
        <v>1</v>
      </c>
      <c r="FB66" s="172" t="n">
        <v>1</v>
      </c>
      <c r="FC66" s="172" t="n">
        <v>1</v>
      </c>
      <c r="FD66" s="172" t="n">
        <v>1</v>
      </c>
      <c r="FE66" s="172" t="n">
        <v>1</v>
      </c>
      <c r="FF66" s="172" t="n">
        <v>1</v>
      </c>
      <c r="FG66" s="172" t="n">
        <v>1</v>
      </c>
      <c r="FH66" s="172" t="n">
        <v>1</v>
      </c>
      <c r="FI66" s="172" t="n">
        <v>1</v>
      </c>
      <c r="FJ66" s="172" t="n">
        <v>1</v>
      </c>
      <c r="FK66" s="172" t="n">
        <v>1</v>
      </c>
      <c r="FL66" s="172" t="n">
        <v>1</v>
      </c>
      <c r="FM66" s="172" t="n">
        <v>1</v>
      </c>
      <c r="FN66" s="172" t="n">
        <v>1</v>
      </c>
      <c r="FO66" s="172" t="n">
        <v>1</v>
      </c>
      <c r="FP66" s="172" t="n">
        <v>1</v>
      </c>
      <c r="FQ66" s="172" t="n">
        <v>1</v>
      </c>
      <c r="FR66" s="172" t="n">
        <v>1</v>
      </c>
      <c r="FS66" s="172" t="n">
        <v>1</v>
      </c>
      <c r="FT66" s="172" t="n">
        <v>1</v>
      </c>
      <c r="FU66" s="172" t="n">
        <v>1</v>
      </c>
      <c r="FV66" s="172" t="n">
        <v>1</v>
      </c>
      <c r="FW66" s="172" t="n">
        <v>1</v>
      </c>
      <c r="FX66" s="172" t="n">
        <v>1</v>
      </c>
      <c r="FY66" s="172" t="n">
        <v>1</v>
      </c>
      <c r="FZ66" s="172" t="n">
        <v>1</v>
      </c>
      <c r="GA66" s="172" t="n">
        <v>1</v>
      </c>
      <c r="GB66" s="172" t="n">
        <v>1</v>
      </c>
      <c r="GC66" s="172" t="n">
        <v>1</v>
      </c>
      <c r="GD66" s="172" t="n">
        <v>1</v>
      </c>
      <c r="GE66" s="172" t="n">
        <v>1</v>
      </c>
      <c r="GF66" s="172" t="n">
        <v>1</v>
      </c>
      <c r="GG66" s="172" t="n">
        <v>1</v>
      </c>
      <c r="GH66" s="172" t="n">
        <v>1</v>
      </c>
      <c r="GI66" s="172" t="n">
        <v>1</v>
      </c>
      <c r="GJ66" s="172" t="n">
        <v>1</v>
      </c>
      <c r="GK66" s="172" t="n">
        <v>1</v>
      </c>
      <c r="GL66" s="172" t="n">
        <v>1</v>
      </c>
      <c r="GM66" s="172" t="n">
        <v>1</v>
      </c>
      <c r="GN66" s="172" t="n">
        <v>1</v>
      </c>
      <c r="GO66" s="172" t="n">
        <v>1</v>
      </c>
      <c r="GP66" s="172" t="n">
        <v>1</v>
      </c>
      <c r="GQ66" s="172" t="n">
        <v>1</v>
      </c>
      <c r="GR66" s="172" t="n">
        <v>1</v>
      </c>
      <c r="GS66" s="172" t="n">
        <v>1</v>
      </c>
      <c r="GT66" s="172" t="n">
        <v>1</v>
      </c>
      <c r="GU66" s="172" t="n">
        <v>1</v>
      </c>
      <c r="GV66" s="172" t="n">
        <v>1</v>
      </c>
      <c r="GW66" s="172" t="n">
        <v>1</v>
      </c>
      <c r="GX66" s="172" t="n">
        <v>1</v>
      </c>
      <c r="GY66" s="172" t="n">
        <v>1</v>
      </c>
      <c r="GZ66" s="172" t="n">
        <v>1</v>
      </c>
      <c r="HA66" s="172" t="n">
        <v>1</v>
      </c>
      <c r="HB66" s="172" t="n">
        <v>1</v>
      </c>
      <c r="HC66" s="172" t="n">
        <v>1</v>
      </c>
      <c r="HD66" s="172" t="n">
        <v>1</v>
      </c>
      <c r="HE66" s="172" t="n">
        <v>1</v>
      </c>
      <c r="HF66" s="172" t="n">
        <v>1</v>
      </c>
      <c r="HG66" s="172" t="n">
        <v>1</v>
      </c>
      <c r="HH66" s="172" t="n">
        <v>1</v>
      </c>
      <c r="HI66" s="172" t="n">
        <v>1</v>
      </c>
      <c r="HJ66" s="172" t="n">
        <v>1</v>
      </c>
      <c r="HK66" s="172" t="n">
        <v>1</v>
      </c>
      <c r="HL66" s="172" t="n">
        <v>1</v>
      </c>
      <c r="HM66" s="172" t="n">
        <v>1</v>
      </c>
      <c r="HN66" s="172" t="n">
        <v>1</v>
      </c>
      <c r="HO66" s="172" t="n">
        <v>1</v>
      </c>
      <c r="HP66" s="172" t="n">
        <v>1</v>
      </c>
      <c r="HQ66" s="172" t="n">
        <v>1</v>
      </c>
      <c r="HR66" s="172" t="n">
        <v>1</v>
      </c>
      <c r="HS66" s="172" t="n">
        <v>1</v>
      </c>
      <c r="HT66" s="172" t="n">
        <v>1</v>
      </c>
      <c r="HU66" s="172" t="n">
        <v>1</v>
      </c>
      <c r="HV66" s="172" t="n">
        <v>1</v>
      </c>
      <c r="HW66" s="172" t="n">
        <v>1</v>
      </c>
      <c r="HX66" s="172" t="n">
        <v>1</v>
      </c>
      <c r="HY66" s="172" t="n">
        <v>1</v>
      </c>
      <c r="HZ66" s="172" t="n">
        <v>1</v>
      </c>
      <c r="IA66" s="172" t="n">
        <v>1</v>
      </c>
      <c r="IB66" s="172" t="n">
        <v>1</v>
      </c>
      <c r="IC66" s="172" t="n">
        <v>1</v>
      </c>
      <c r="ID66" s="172" t="n">
        <v>1</v>
      </c>
      <c r="IE66" s="172" t="n">
        <v>1</v>
      </c>
      <c r="IF66" s="172" t="n">
        <v>1</v>
      </c>
      <c r="IG66" s="172" t="n">
        <v>1</v>
      </c>
      <c r="IH66" s="172" t="n">
        <v>1</v>
      </c>
      <c r="II66" s="172" t="n">
        <v>1</v>
      </c>
      <c r="IJ66" s="172" t="n">
        <v>1</v>
      </c>
      <c r="IK66" s="172" t="n">
        <v>1</v>
      </c>
      <c r="IL66" s="172" t="n">
        <v>1</v>
      </c>
      <c r="IM66" s="172" t="n">
        <v>1</v>
      </c>
      <c r="IN66" s="172" t="n">
        <v>1</v>
      </c>
      <c r="IO66" s="172" t="n">
        <v>1</v>
      </c>
      <c r="IP66" s="172" t="n">
        <v>1</v>
      </c>
      <c r="IQ66" s="172" t="n">
        <v>1</v>
      </c>
      <c r="IR66" s="172" t="n">
        <v>1</v>
      </c>
    </row>
    <row r="67" ht="29.15" customFormat="1" customHeight="1" s="6">
      <c r="A67" s="89" t="inlineStr">
        <is>
          <t>ЦМ (сырье)</t>
        </is>
      </c>
      <c r="B67" s="76" t="n">
        <v>4</v>
      </c>
      <c r="C67" s="3" t="inlineStr">
        <is>
          <t>Руды  всякие</t>
        </is>
      </c>
      <c r="D67" s="77" t="n">
        <v>15139</v>
      </c>
      <c r="E67" s="77" t="inlineStr">
        <is>
          <t xml:space="preserve">Руда медная </t>
        </is>
      </c>
      <c r="F67" s="77" t="inlineStr">
        <is>
          <t xml:space="preserve">Сырье цветных металлов, сырье серное </t>
        </is>
      </c>
      <c r="G67" s="77" t="inlineStr">
        <is>
          <t>СВР</t>
        </is>
      </c>
      <c r="H67" s="77" t="inlineStr">
        <is>
          <t>ЮУР</t>
        </is>
      </c>
      <c r="I67" s="77" t="inlineStr">
        <is>
          <t>РЕЖ</t>
        </is>
      </c>
      <c r="J67" s="77" t="inlineStr">
        <is>
          <t>УЧАЛЫ</t>
        </is>
      </c>
      <c r="K67" s="77" t="n">
        <v>497</v>
      </c>
      <c r="L67" s="77" t="inlineStr">
        <is>
          <t>Полувагоны</t>
        </is>
      </c>
      <c r="M67" s="91" t="inlineStr">
        <is>
          <t>Внутр. перевозки</t>
        </is>
      </c>
      <c r="N67" s="77" t="inlineStr">
        <is>
          <t>вагонная</t>
        </is>
      </c>
      <c r="O67" s="77" t="inlineStr">
        <is>
          <t xml:space="preserve">Южное </t>
        </is>
      </c>
      <c r="P67" s="79" t="inlineStr">
        <is>
          <t>'000025009918</t>
        </is>
      </c>
      <c r="Q67" s="77" t="inlineStr">
        <is>
          <t>ООО "УГМК-Холдинг"</t>
        </is>
      </c>
      <c r="R67" s="77" t="inlineStr">
        <is>
          <t>ООО "УГМК-Холдинг"</t>
        </is>
      </c>
      <c r="S67" s="80" t="n">
        <v>494752</v>
      </c>
      <c r="T67" s="80" t="n">
        <v>245802758</v>
      </c>
      <c r="U67" s="88" t="n">
        <v>7030</v>
      </c>
      <c r="V67" s="88" t="n">
        <v>0</v>
      </c>
      <c r="W67" s="87" t="n">
        <v>495641820</v>
      </c>
      <c r="X67" s="112" t="n">
        <v>69</v>
      </c>
      <c r="Y67" s="112" t="inlineStr">
        <is>
          <t>маршрутная</t>
        </is>
      </c>
      <c r="Z67" s="113" t="n">
        <v>3</v>
      </c>
      <c r="AA67" s="113" t="n">
        <v>3</v>
      </c>
      <c r="AB67" s="113" t="n">
        <v>4</v>
      </c>
      <c r="AC67" s="161" t="n">
        <v>1129.26</v>
      </c>
      <c r="AD67" s="161">
        <f>AE67-AC67</f>
        <v/>
      </c>
      <c r="AE67" s="161" t="n">
        <v>1330.1</v>
      </c>
      <c r="AF67" s="162">
        <f>(Z67+AA67+AB67)*'Ставки аренды'!$B$3/X67</f>
        <v/>
      </c>
      <c r="AG67" s="163" t="n">
        <v>0</v>
      </c>
      <c r="AH67" s="164" t="n">
        <v>0</v>
      </c>
      <c r="AI67" s="165">
        <f>0.85*AJ67</f>
        <v/>
      </c>
      <c r="AJ67" s="166">
        <f>Цены!C30*'Курсы валют'!B2</f>
        <v/>
      </c>
      <c r="AK67" s="164">
        <f>AJ67/Цены!$B$1</f>
        <v/>
      </c>
      <c r="AL67" s="164">
        <f>AE67+AF67+AG67</f>
        <v/>
      </c>
      <c r="AM67" s="164">
        <f>AJ67-AL67</f>
        <v/>
      </c>
      <c r="AN67" s="164">
        <f>AI67+AH67+AG67+AF67+AE67</f>
        <v/>
      </c>
      <c r="AO67" s="167">
        <f>(AJ67-AN67)/AJ67</f>
        <v/>
      </c>
      <c r="AP67" s="168">
        <f>AL67/AJ67</f>
        <v/>
      </c>
      <c r="AQ67" s="168">
        <f>AE67/AJ67</f>
        <v/>
      </c>
      <c r="AR67" s="168">
        <f>AE67/AL67</f>
        <v/>
      </c>
      <c r="AS67" s="169" t="n">
        <v>1</v>
      </c>
      <c r="AT67" s="121">
        <f>S67*AS67</f>
        <v/>
      </c>
      <c r="AU67" s="7" t="inlineStr">
        <is>
          <t>Внутренняя логистика</t>
        </is>
      </c>
      <c r="AV67" s="170">
        <f>(AJ67-(AE67*(1+$IS$2)+AF67+AG67+AH67+AI67))/AJ67</f>
        <v/>
      </c>
      <c r="AW67" s="171">
        <f>(AE67*(1+$IS$2)+AF67+AG67)/AJ67</f>
        <v/>
      </c>
      <c r="AX67" s="171">
        <f>(AE67*(1+$IS$2))/AJ67</f>
        <v/>
      </c>
      <c r="AY67" s="171">
        <f>(AE67*(1+$IS$2))/(AE67*(1+$IS$2)+AF67+AG67)</f>
        <v/>
      </c>
      <c r="AZ67" s="172" t="n">
        <v>1</v>
      </c>
      <c r="BA67" s="172" t="n">
        <v>1</v>
      </c>
      <c r="BB67" s="172" t="n">
        <v>1</v>
      </c>
      <c r="BC67" s="172" t="n">
        <v>1</v>
      </c>
      <c r="BD67" s="172" t="n">
        <v>1</v>
      </c>
      <c r="BE67" s="172" t="n">
        <v>1</v>
      </c>
      <c r="BF67" s="172" t="n">
        <v>1</v>
      </c>
      <c r="BG67" s="172" t="n">
        <v>1</v>
      </c>
      <c r="BH67" s="172" t="n">
        <v>1</v>
      </c>
      <c r="BI67" s="172" t="n">
        <v>1</v>
      </c>
      <c r="BJ67" s="172" t="n">
        <v>1</v>
      </c>
      <c r="BK67" s="172" t="n">
        <v>1</v>
      </c>
      <c r="BL67" s="172" t="n">
        <v>1</v>
      </c>
      <c r="BM67" s="172" t="n">
        <v>1</v>
      </c>
      <c r="BN67" s="172" t="n">
        <v>1</v>
      </c>
      <c r="BO67" s="172" t="n">
        <v>1</v>
      </c>
      <c r="BP67" s="172" t="n">
        <v>1</v>
      </c>
      <c r="BQ67" s="172" t="n">
        <v>1</v>
      </c>
      <c r="BR67" s="172" t="n">
        <v>1</v>
      </c>
      <c r="BS67" s="172" t="n">
        <v>1</v>
      </c>
      <c r="BT67" s="172" t="n">
        <v>1</v>
      </c>
      <c r="BU67" s="172" t="n">
        <v>1</v>
      </c>
      <c r="BV67" s="172" t="n">
        <v>1</v>
      </c>
      <c r="BW67" s="172" t="n">
        <v>1</v>
      </c>
      <c r="BX67" s="172" t="n">
        <v>1</v>
      </c>
      <c r="BY67" s="172" t="n">
        <v>1</v>
      </c>
      <c r="BZ67" s="172" t="n">
        <v>1</v>
      </c>
      <c r="CA67" s="172" t="n">
        <v>1</v>
      </c>
      <c r="CB67" s="172" t="n">
        <v>1</v>
      </c>
      <c r="CC67" s="172" t="n">
        <v>1</v>
      </c>
      <c r="CD67" s="172" t="n">
        <v>1</v>
      </c>
      <c r="CE67" s="172" t="n">
        <v>1</v>
      </c>
      <c r="CF67" s="172" t="n">
        <v>1</v>
      </c>
      <c r="CG67" s="172" t="n">
        <v>1</v>
      </c>
      <c r="CH67" s="172" t="n">
        <v>1</v>
      </c>
      <c r="CI67" s="172" t="n">
        <v>1</v>
      </c>
      <c r="CJ67" s="172" t="n">
        <v>1</v>
      </c>
      <c r="CK67" s="172" t="n">
        <v>1</v>
      </c>
      <c r="CL67" s="172" t="n">
        <v>1</v>
      </c>
      <c r="CM67" s="172" t="n">
        <v>1</v>
      </c>
      <c r="CN67" s="172" t="n">
        <v>1</v>
      </c>
      <c r="CO67" s="172" t="n">
        <v>1</v>
      </c>
      <c r="CP67" s="172" t="n">
        <v>1</v>
      </c>
      <c r="CQ67" s="172" t="n">
        <v>1</v>
      </c>
      <c r="CR67" s="172" t="n">
        <v>1</v>
      </c>
      <c r="CS67" s="172" t="n">
        <v>1</v>
      </c>
      <c r="CT67" s="172" t="n">
        <v>1</v>
      </c>
      <c r="CU67" s="172" t="n">
        <v>1</v>
      </c>
      <c r="CV67" s="172" t="n">
        <v>1</v>
      </c>
      <c r="CW67" s="172" t="n">
        <v>1</v>
      </c>
      <c r="CX67" s="172" t="n">
        <v>1</v>
      </c>
      <c r="CY67" s="172" t="n">
        <v>1</v>
      </c>
      <c r="CZ67" s="172" t="n">
        <v>1</v>
      </c>
      <c r="DA67" s="172" t="n">
        <v>1</v>
      </c>
      <c r="DB67" s="172" t="n">
        <v>1</v>
      </c>
      <c r="DC67" s="172" t="n">
        <v>1</v>
      </c>
      <c r="DD67" s="172" t="n">
        <v>1</v>
      </c>
      <c r="DE67" s="172" t="n">
        <v>1</v>
      </c>
      <c r="DF67" s="172" t="n">
        <v>1</v>
      </c>
      <c r="DG67" s="172" t="n">
        <v>1</v>
      </c>
      <c r="DH67" s="172" t="n">
        <v>1</v>
      </c>
      <c r="DI67" s="172" t="n">
        <v>1</v>
      </c>
      <c r="DJ67" s="172" t="n">
        <v>1</v>
      </c>
      <c r="DK67" s="172" t="n">
        <v>1</v>
      </c>
      <c r="DL67" s="172" t="n">
        <v>1</v>
      </c>
      <c r="DM67" s="172" t="n">
        <v>1</v>
      </c>
      <c r="DN67" s="172" t="n">
        <v>1</v>
      </c>
      <c r="DO67" s="172" t="n">
        <v>1</v>
      </c>
      <c r="DP67" s="172" t="n">
        <v>1</v>
      </c>
      <c r="DQ67" s="172" t="n">
        <v>1</v>
      </c>
      <c r="DR67" s="172" t="n">
        <v>1</v>
      </c>
      <c r="DS67" s="172" t="n">
        <v>1</v>
      </c>
      <c r="DT67" s="172" t="n">
        <v>1</v>
      </c>
      <c r="DU67" s="172" t="n">
        <v>1</v>
      </c>
      <c r="DV67" s="172" t="n">
        <v>1</v>
      </c>
      <c r="DW67" s="172" t="n">
        <v>1</v>
      </c>
      <c r="DX67" s="172" t="n">
        <v>1</v>
      </c>
      <c r="DY67" s="172" t="n">
        <v>1</v>
      </c>
      <c r="DZ67" s="172" t="n">
        <v>1</v>
      </c>
      <c r="EA67" s="172" t="n">
        <v>1</v>
      </c>
      <c r="EB67" s="172" t="n">
        <v>1</v>
      </c>
      <c r="EC67" s="172" t="n">
        <v>1</v>
      </c>
      <c r="ED67" s="172" t="n">
        <v>1</v>
      </c>
      <c r="EE67" s="172" t="n">
        <v>1</v>
      </c>
      <c r="EF67" s="172" t="n">
        <v>1</v>
      </c>
      <c r="EG67" s="172" t="n">
        <v>1</v>
      </c>
      <c r="EH67" s="172" t="n">
        <v>1</v>
      </c>
      <c r="EI67" s="172" t="n">
        <v>1</v>
      </c>
      <c r="EJ67" s="172" t="n">
        <v>1</v>
      </c>
      <c r="EK67" s="172" t="n">
        <v>1</v>
      </c>
      <c r="EL67" s="172" t="n">
        <v>1</v>
      </c>
      <c r="EM67" s="172" t="n">
        <v>1</v>
      </c>
      <c r="EN67" s="172" t="n">
        <v>1</v>
      </c>
      <c r="EO67" s="172" t="n">
        <v>1</v>
      </c>
      <c r="EP67" s="172" t="n">
        <v>1</v>
      </c>
      <c r="EQ67" s="172" t="n">
        <v>1</v>
      </c>
      <c r="ER67" s="172" t="n">
        <v>1</v>
      </c>
      <c r="ES67" s="172" t="n">
        <v>1</v>
      </c>
      <c r="ET67" s="172" t="n">
        <v>1</v>
      </c>
      <c r="EU67" s="172" t="n">
        <v>1</v>
      </c>
      <c r="EV67" s="173" t="n">
        <v>1</v>
      </c>
      <c r="EW67" s="172" t="n">
        <v>1</v>
      </c>
      <c r="EX67" s="172" t="n">
        <v>1</v>
      </c>
      <c r="EY67" s="172" t="n">
        <v>1</v>
      </c>
      <c r="EZ67" s="172" t="n">
        <v>1</v>
      </c>
      <c r="FA67" s="172" t="n">
        <v>1</v>
      </c>
      <c r="FB67" s="172" t="n">
        <v>1</v>
      </c>
      <c r="FC67" s="172" t="n">
        <v>1</v>
      </c>
      <c r="FD67" s="172" t="n">
        <v>1</v>
      </c>
      <c r="FE67" s="172" t="n">
        <v>1</v>
      </c>
      <c r="FF67" s="172" t="n">
        <v>1</v>
      </c>
      <c r="FG67" s="172" t="n">
        <v>1</v>
      </c>
      <c r="FH67" s="172" t="n">
        <v>1</v>
      </c>
      <c r="FI67" s="172" t="n">
        <v>1</v>
      </c>
      <c r="FJ67" s="172" t="n">
        <v>1</v>
      </c>
      <c r="FK67" s="172" t="n">
        <v>1</v>
      </c>
      <c r="FL67" s="172" t="n">
        <v>1</v>
      </c>
      <c r="FM67" s="172" t="n">
        <v>1</v>
      </c>
      <c r="FN67" s="172" t="n">
        <v>1</v>
      </c>
      <c r="FO67" s="172" t="n">
        <v>1</v>
      </c>
      <c r="FP67" s="172" t="n">
        <v>1</v>
      </c>
      <c r="FQ67" s="172" t="n">
        <v>1</v>
      </c>
      <c r="FR67" s="172" t="n">
        <v>1</v>
      </c>
      <c r="FS67" s="172" t="n">
        <v>1</v>
      </c>
      <c r="FT67" s="172" t="n">
        <v>1</v>
      </c>
      <c r="FU67" s="172" t="n">
        <v>1</v>
      </c>
      <c r="FV67" s="172" t="n">
        <v>1</v>
      </c>
      <c r="FW67" s="172" t="n">
        <v>1</v>
      </c>
      <c r="FX67" s="172" t="n">
        <v>1</v>
      </c>
      <c r="FY67" s="172" t="n">
        <v>1</v>
      </c>
      <c r="FZ67" s="172" t="n">
        <v>1</v>
      </c>
      <c r="GA67" s="172" t="n">
        <v>1</v>
      </c>
      <c r="GB67" s="172" t="n">
        <v>1</v>
      </c>
      <c r="GC67" s="172" t="n">
        <v>1</v>
      </c>
      <c r="GD67" s="172" t="n">
        <v>1</v>
      </c>
      <c r="GE67" s="172" t="n">
        <v>1</v>
      </c>
      <c r="GF67" s="172" t="n">
        <v>1</v>
      </c>
      <c r="GG67" s="172" t="n">
        <v>1</v>
      </c>
      <c r="GH67" s="172" t="n">
        <v>1</v>
      </c>
      <c r="GI67" s="172" t="n">
        <v>1</v>
      </c>
      <c r="GJ67" s="172" t="n">
        <v>1</v>
      </c>
      <c r="GK67" s="172" t="n">
        <v>1</v>
      </c>
      <c r="GL67" s="172" t="n">
        <v>1</v>
      </c>
      <c r="GM67" s="172" t="n">
        <v>1</v>
      </c>
      <c r="GN67" s="172" t="n">
        <v>1</v>
      </c>
      <c r="GO67" s="172" t="n">
        <v>1</v>
      </c>
      <c r="GP67" s="172" t="n">
        <v>1</v>
      </c>
      <c r="GQ67" s="172" t="n">
        <v>1</v>
      </c>
      <c r="GR67" s="172" t="n">
        <v>1</v>
      </c>
      <c r="GS67" s="172" t="n">
        <v>1</v>
      </c>
      <c r="GT67" s="172" t="n">
        <v>1</v>
      </c>
      <c r="GU67" s="172" t="n">
        <v>1</v>
      </c>
      <c r="GV67" s="172" t="n">
        <v>1</v>
      </c>
      <c r="GW67" s="172" t="n">
        <v>1</v>
      </c>
      <c r="GX67" s="172" t="n">
        <v>1</v>
      </c>
      <c r="GY67" s="172" t="n">
        <v>1</v>
      </c>
      <c r="GZ67" s="172" t="n">
        <v>1</v>
      </c>
      <c r="HA67" s="172" t="n">
        <v>1</v>
      </c>
      <c r="HB67" s="172" t="n">
        <v>1</v>
      </c>
      <c r="HC67" s="172" t="n">
        <v>1</v>
      </c>
      <c r="HD67" s="172" t="n">
        <v>1</v>
      </c>
      <c r="HE67" s="172" t="n">
        <v>1</v>
      </c>
      <c r="HF67" s="172" t="n">
        <v>1</v>
      </c>
      <c r="HG67" s="172" t="n">
        <v>1</v>
      </c>
      <c r="HH67" s="172" t="n">
        <v>1</v>
      </c>
      <c r="HI67" s="172" t="n">
        <v>1</v>
      </c>
      <c r="HJ67" s="172" t="n">
        <v>1</v>
      </c>
      <c r="HK67" s="172" t="n">
        <v>1</v>
      </c>
      <c r="HL67" s="172" t="n">
        <v>1</v>
      </c>
      <c r="HM67" s="172" t="n">
        <v>1</v>
      </c>
      <c r="HN67" s="172" t="n">
        <v>1</v>
      </c>
      <c r="HO67" s="172" t="n">
        <v>1</v>
      </c>
      <c r="HP67" s="172" t="n">
        <v>1</v>
      </c>
      <c r="HQ67" s="172" t="n">
        <v>1</v>
      </c>
      <c r="HR67" s="172" t="n">
        <v>1</v>
      </c>
      <c r="HS67" s="172" t="n">
        <v>1</v>
      </c>
      <c r="HT67" s="172" t="n">
        <v>1</v>
      </c>
      <c r="HU67" s="172" t="n">
        <v>1</v>
      </c>
      <c r="HV67" s="172" t="n">
        <v>1</v>
      </c>
      <c r="HW67" s="172" t="n">
        <v>1</v>
      </c>
      <c r="HX67" s="172" t="n">
        <v>1</v>
      </c>
      <c r="HY67" s="172" t="n">
        <v>1</v>
      </c>
      <c r="HZ67" s="172" t="n">
        <v>1</v>
      </c>
      <c r="IA67" s="172" t="n">
        <v>1</v>
      </c>
      <c r="IB67" s="172" t="n">
        <v>1</v>
      </c>
      <c r="IC67" s="172" t="n">
        <v>1</v>
      </c>
      <c r="ID67" s="172" t="n">
        <v>1</v>
      </c>
      <c r="IE67" s="172" t="n">
        <v>1</v>
      </c>
      <c r="IF67" s="172" t="n">
        <v>1</v>
      </c>
      <c r="IG67" s="172" t="n">
        <v>1</v>
      </c>
      <c r="IH67" s="172" t="n">
        <v>1</v>
      </c>
      <c r="II67" s="172" t="n">
        <v>1</v>
      </c>
      <c r="IJ67" s="172" t="n">
        <v>1</v>
      </c>
      <c r="IK67" s="172" t="n">
        <v>1</v>
      </c>
      <c r="IL67" s="172" t="n">
        <v>1</v>
      </c>
      <c r="IM67" s="172" t="n">
        <v>1</v>
      </c>
      <c r="IN67" s="172" t="n">
        <v>1</v>
      </c>
      <c r="IO67" s="172" t="n">
        <v>1</v>
      </c>
      <c r="IP67" s="172" t="n">
        <v>1</v>
      </c>
      <c r="IQ67" s="172" t="n">
        <v>1</v>
      </c>
      <c r="IR67" s="172" t="n">
        <v>1</v>
      </c>
    </row>
    <row r="68" ht="29.15" customFormat="1" customHeight="1" s="6">
      <c r="A68" s="89" t="inlineStr">
        <is>
          <t>ЦМ (сырье)</t>
        </is>
      </c>
      <c r="B68" s="76" t="n">
        <v>4</v>
      </c>
      <c r="C68" s="3" t="inlineStr">
        <is>
          <t>Руды  всякие</t>
        </is>
      </c>
      <c r="D68" s="77" t="n">
        <v>15165</v>
      </c>
      <c r="E68" s="77" t="inlineStr">
        <is>
          <t xml:space="preserve">Штейн никелевый </t>
        </is>
      </c>
      <c r="F68" s="77" t="inlineStr">
        <is>
          <t xml:space="preserve">Сырье цветных металлов, сырье серное </t>
        </is>
      </c>
      <c r="G68" s="77" t="inlineStr">
        <is>
          <t>ОКТ</t>
        </is>
      </c>
      <c r="H68" s="77" t="inlineStr">
        <is>
          <t>ОКТ</t>
        </is>
      </c>
      <c r="I68" s="77" t="inlineStr">
        <is>
          <t>МУРМАНСК</t>
        </is>
      </c>
      <c r="J68" s="77" t="inlineStr">
        <is>
          <t>МОНЧЕГОРСК</t>
        </is>
      </c>
      <c r="K68" s="77" t="n">
        <v>143</v>
      </c>
      <c r="L68" s="77" t="inlineStr">
        <is>
          <t>Платформы</t>
        </is>
      </c>
      <c r="M68" s="91" t="inlineStr">
        <is>
          <t>Внутр. перевозки</t>
        </is>
      </c>
      <c r="N68" s="77" t="inlineStr">
        <is>
          <t>контейнерная</t>
        </is>
      </c>
      <c r="O68" s="77" t="inlineStr">
        <is>
          <t xml:space="preserve">Северо-Западное </t>
        </is>
      </c>
      <c r="P68" s="79" t="inlineStr">
        <is>
          <t>'000056967211</t>
        </is>
      </c>
      <c r="Q68" s="77" t="inlineStr">
        <is>
          <t>ПАО "ГМК "Норильский никель"</t>
        </is>
      </c>
      <c r="R68" s="77" t="inlineStr">
        <is>
          <t>ПАО "ГМК "Норильский никель"</t>
        </is>
      </c>
      <c r="S68" s="80" t="n">
        <v>395083</v>
      </c>
      <c r="T68" s="80" t="n">
        <v>56496891</v>
      </c>
      <c r="U68" s="88" t="n">
        <v>6853</v>
      </c>
      <c r="V68" s="88" t="n">
        <v>0</v>
      </c>
      <c r="W68" s="87" t="n">
        <v>185153173</v>
      </c>
      <c r="X68" s="112" t="n">
        <v>58</v>
      </c>
      <c r="Y68" s="112" t="inlineStr">
        <is>
          <t>контейнерный поезд</t>
        </is>
      </c>
      <c r="Z68" s="113" t="n">
        <v>3</v>
      </c>
      <c r="AA68" s="113" t="n">
        <v>0</v>
      </c>
      <c r="AB68" s="113" t="n">
        <v>4</v>
      </c>
      <c r="AC68" s="161">
        <f>22582/X68</f>
        <v/>
      </c>
      <c r="AD68" s="161" t="n">
        <v>0</v>
      </c>
      <c r="AE68" s="161">
        <f>AC68</f>
        <v/>
      </c>
      <c r="AF68" s="162">
        <f>(AB68+AA68+Z68)*'Ставки аренды'!$B$6/X68</f>
        <v/>
      </c>
      <c r="AG68" s="163" t="n">
        <v>0</v>
      </c>
      <c r="AH68" s="164" t="n">
        <v>0</v>
      </c>
      <c r="AI68" s="165">
        <f>575152/1082467*AJ68</f>
        <v/>
      </c>
      <c r="AJ68" s="166">
        <f>Цены!C34*'Курсы валют'!B2</f>
        <v/>
      </c>
      <c r="AK68" s="164">
        <f>AJ68/Цены!$B$1</f>
        <v/>
      </c>
      <c r="AL68" s="164">
        <f>AE68+AF68+AG68</f>
        <v/>
      </c>
      <c r="AM68" s="164">
        <f>AJ68-AL68</f>
        <v/>
      </c>
      <c r="AN68" s="164">
        <f>AI68+AH68+AG68+AF68+AE68</f>
        <v/>
      </c>
      <c r="AO68" s="167">
        <f>(AJ68-AN68)/AJ68</f>
        <v/>
      </c>
      <c r="AP68" s="168">
        <f>AL68/AJ68</f>
        <v/>
      </c>
      <c r="AQ68" s="168">
        <f>AE68/AJ68</f>
        <v/>
      </c>
      <c r="AR68" s="168">
        <f>AE68/AL68</f>
        <v/>
      </c>
      <c r="AS68" s="169" t="n">
        <v>1</v>
      </c>
      <c r="AT68" s="121">
        <f>S68*AS68</f>
        <v/>
      </c>
      <c r="AU68" s="83" t="n">
        <v>0.9</v>
      </c>
      <c r="AV68" s="170">
        <f>(AJ68-(AE68*(1+$IS$2)+AF68+AG68+AH68+AI68))/AJ68</f>
        <v/>
      </c>
      <c r="AW68" s="171">
        <f>(AE68*(1+$IS$2)+AF68+AG68)/AJ68</f>
        <v/>
      </c>
      <c r="AX68" s="171">
        <f>(AE68*(1+$IS$2))/AJ68</f>
        <v/>
      </c>
      <c r="AY68" s="171">
        <f>(AE68*(1+$IS$2))/(AE68*(1+$IS$2)+AF68+AG68)</f>
        <v/>
      </c>
      <c r="AZ68" s="172">
        <f>MIN(IF($AU68=100%,1,1+VLOOKUP(($AJ68-$AI68-$AH68-$AG68-$AF68-$AE68*(1+AZ$3))/$AJ68,'Технический лист'!$M:$N,2,1)-VLOOKUP($AO68,'Технический лист'!$M:$N,2,1)),1+(1-$AU68))</f>
        <v/>
      </c>
      <c r="BA68" s="172">
        <f>MIN(IF($AU68=100%,1,1+VLOOKUP(($AJ68-$AI68-$AH68-$AG68-$AF68-$AE68*(1+BA$3))/$AJ68,'Технический лист'!$M:$N,2,1)-VLOOKUP($AO68,'Технический лист'!$M:$N,2,1)),1+(1-$AU68))</f>
        <v/>
      </c>
      <c r="BB68" s="172">
        <f>MIN(IF($AU68=100%,1,1+VLOOKUP(($AJ68-$AI68-$AH68-$AG68-$AF68-$AE68*(1+BB$3))/$AJ68,'Технический лист'!$M:$N,2,1)-VLOOKUP($AO68,'Технический лист'!$M:$N,2,1)),1+(1-$AU68))</f>
        <v/>
      </c>
      <c r="BC68" s="172">
        <f>MIN(IF($AU68=100%,1,1+VLOOKUP(($AJ68-$AI68-$AH68-$AG68-$AF68-$AE68*(1+BC$3))/$AJ68,'Технический лист'!$M:$N,2,1)-VLOOKUP($AO68,'Технический лист'!$M:$N,2,1)),1+(1-$AU68))</f>
        <v/>
      </c>
      <c r="BD68" s="172">
        <f>MIN(IF($AU68=100%,1,1+VLOOKUP(($AJ68-$AI68-$AH68-$AG68-$AF68-$AE68*(1+BD$3))/$AJ68,'Технический лист'!$M:$N,2,1)-VLOOKUP($AO68,'Технический лист'!$M:$N,2,1)),1+(1-$AU68))</f>
        <v/>
      </c>
      <c r="BE68" s="172">
        <f>MIN(IF($AU68=100%,1,1+VLOOKUP(($AJ68-$AI68-$AH68-$AG68-$AF68-$AE68*(1+BE$3))/$AJ68,'Технический лист'!$M:$N,2,1)-VLOOKUP($AO68,'Технический лист'!$M:$N,2,1)),1+(1-$AU68))</f>
        <v/>
      </c>
      <c r="BF68" s="172">
        <f>MIN(IF($AU68=100%,1,1+VLOOKUP(($AJ68-$AI68-$AH68-$AG68-$AF68-$AE68*(1+BF$3))/$AJ68,'Технический лист'!$M:$N,2,1)-VLOOKUP($AO68,'Технический лист'!$M:$N,2,1)),1+(1-$AU68))</f>
        <v/>
      </c>
      <c r="BG68" s="172">
        <f>MIN(IF($AU68=100%,1,1+VLOOKUP(($AJ68-$AI68-$AH68-$AG68-$AF68-$AE68*(1+BG$3))/$AJ68,'Технический лист'!$M:$N,2,1)-VLOOKUP($AO68,'Технический лист'!$M:$N,2,1)),1+(1-$AU68))</f>
        <v/>
      </c>
      <c r="BH68" s="172">
        <f>MIN(IF($AU68=100%,1,1+VLOOKUP(($AJ68-$AI68-$AH68-$AG68-$AF68-$AE68*(1+BH$3))/$AJ68,'Технический лист'!$M:$N,2,1)-VLOOKUP($AO68,'Технический лист'!$M:$N,2,1)),1+(1-$AU68))</f>
        <v/>
      </c>
      <c r="BI68" s="172">
        <f>MIN(IF($AU68=100%,1,1+VLOOKUP(($AJ68-$AI68-$AH68-$AG68-$AF68-$AE68*(1+BI$3))/$AJ68,'Технический лист'!$M:$N,2,1)-VLOOKUP($AO68,'Технический лист'!$M:$N,2,1)),1+(1-$AU68))</f>
        <v/>
      </c>
      <c r="BJ68" s="172">
        <f>MIN(IF($AU68=100%,1,1+VLOOKUP(($AJ68-$AI68-$AH68-$AG68-$AF68-$AE68*(1+BJ$3))/$AJ68,'Технический лист'!$M:$N,2,1)-VLOOKUP($AO68,'Технический лист'!$M:$N,2,1)),1+(1-$AU68))</f>
        <v/>
      </c>
      <c r="BK68" s="172">
        <f>MIN(IF($AU68=100%,1,1+VLOOKUP(($AJ68-$AI68-$AH68-$AG68-$AF68-$AE68*(1+BK$3))/$AJ68,'Технический лист'!$M:$N,2,1)-VLOOKUP($AO68,'Технический лист'!$M:$N,2,1)),1+(1-$AU68))</f>
        <v/>
      </c>
      <c r="BL68" s="172">
        <f>MIN(IF($AU68=100%,1,1+VLOOKUP(($AJ68-$AI68-$AH68-$AG68-$AF68-$AE68*(1+BL$3))/$AJ68,'Технический лист'!$M:$N,2,1)-VLOOKUP($AO68,'Технический лист'!$M:$N,2,1)),1+(1-$AU68))</f>
        <v/>
      </c>
      <c r="BM68" s="172">
        <f>MIN(IF($AU68=100%,1,1+VLOOKUP(($AJ68-$AI68-$AH68-$AG68-$AF68-$AE68*(1+BM$3))/$AJ68,'Технический лист'!$M:$N,2,1)-VLOOKUP($AO68,'Технический лист'!$M:$N,2,1)),1+(1-$AU68))</f>
        <v/>
      </c>
      <c r="BN68" s="172">
        <f>MIN(IF($AU68=100%,1,1+VLOOKUP(($AJ68-$AI68-$AH68-$AG68-$AF68-$AE68*(1+BN$3))/$AJ68,'Технический лист'!$M:$N,2,1)-VLOOKUP($AO68,'Технический лист'!$M:$N,2,1)),1+(1-$AU68))</f>
        <v/>
      </c>
      <c r="BO68" s="172">
        <f>MIN(IF($AU68=100%,1,1+VLOOKUP(($AJ68-$AI68-$AH68-$AG68-$AF68-$AE68*(1+BO$3))/$AJ68,'Технический лист'!$M:$N,2,1)-VLOOKUP($AO68,'Технический лист'!$M:$N,2,1)),1+(1-$AU68))</f>
        <v/>
      </c>
      <c r="BP68" s="172">
        <f>MIN(IF($AU68=100%,1,1+VLOOKUP(($AJ68-$AI68-$AH68-$AG68-$AF68-$AE68*(1+BP$3))/$AJ68,'Технический лист'!$M:$N,2,1)-VLOOKUP($AO68,'Технический лист'!$M:$N,2,1)),1+(1-$AU68))</f>
        <v/>
      </c>
      <c r="BQ68" s="172">
        <f>MIN(IF($AU68=100%,1,1+VLOOKUP(($AJ68-$AI68-$AH68-$AG68-$AF68-$AE68*(1+BQ$3))/$AJ68,'Технический лист'!$M:$N,2,1)-VLOOKUP($AO68,'Технический лист'!$M:$N,2,1)),1+(1-$AU68))</f>
        <v/>
      </c>
      <c r="BR68" s="172">
        <f>MIN(IF($AU68=100%,1,1+VLOOKUP(($AJ68-$AI68-$AH68-$AG68-$AF68-$AE68*(1+BR$3))/$AJ68,'Технический лист'!$M:$N,2,1)-VLOOKUP($AO68,'Технический лист'!$M:$N,2,1)),1+(1-$AU68))</f>
        <v/>
      </c>
      <c r="BS68" s="172">
        <f>MIN(IF($AU68=100%,1,1+VLOOKUP(($AJ68-$AI68-$AH68-$AG68-$AF68-$AE68*(1+BS$3))/$AJ68,'Технический лист'!$M:$N,2,1)-VLOOKUP($AO68,'Технический лист'!$M:$N,2,1)),1+(1-$AU68))</f>
        <v/>
      </c>
      <c r="BT68" s="172">
        <f>MIN(IF($AU68=100%,1,1+VLOOKUP(($AJ68-$AI68-$AH68-$AG68-$AF68-$AE68*(1+BT$3))/$AJ68,'Технический лист'!$M:$N,2,1)-VLOOKUP($AO68,'Технический лист'!$M:$N,2,1)),1+(1-$AU68))</f>
        <v/>
      </c>
      <c r="BU68" s="172">
        <f>MIN(IF($AU68=100%,1,1+VLOOKUP(($AJ68-$AI68-$AH68-$AG68-$AF68-$AE68*(1+BU$3))/$AJ68,'Технический лист'!$M:$N,2,1)-VLOOKUP($AO68,'Технический лист'!$M:$N,2,1)),1+(1-$AU68))</f>
        <v/>
      </c>
      <c r="BV68" s="172">
        <f>MIN(IF($AU68=100%,1,1+VLOOKUP(($AJ68-$AI68-$AH68-$AG68-$AF68-$AE68*(1+BV$3))/$AJ68,'Технический лист'!$M:$N,2,1)-VLOOKUP($AO68,'Технический лист'!$M:$N,2,1)),1+(1-$AU68))</f>
        <v/>
      </c>
      <c r="BW68" s="172">
        <f>MIN(IF($AU68=100%,1,1+VLOOKUP(($AJ68-$AI68-$AH68-$AG68-$AF68-$AE68*(1+BW$3))/$AJ68,'Технический лист'!$M:$N,2,1)-VLOOKUP($AO68,'Технический лист'!$M:$N,2,1)),1+(1-$AU68))</f>
        <v/>
      </c>
      <c r="BX68" s="172">
        <f>MIN(IF($AU68=100%,1,1+VLOOKUP(($AJ68-$AI68-$AH68-$AG68-$AF68-$AE68*(1+BX$3))/$AJ68,'Технический лист'!$M:$N,2,1)-VLOOKUP($AO68,'Технический лист'!$M:$N,2,1)),1+(1-$AU68))</f>
        <v/>
      </c>
      <c r="BY68" s="172">
        <f>MIN(IF($AU68=100%,1,1+VLOOKUP(($AJ68-$AI68-$AH68-$AG68-$AF68-$AE68*(1+BY$3))/$AJ68,'Технический лист'!$M:$N,2,1)-VLOOKUP($AO68,'Технический лист'!$M:$N,2,1)),1+(1-$AU68))</f>
        <v/>
      </c>
      <c r="BZ68" s="172">
        <f>MIN(IF($AU68=100%,1,1+VLOOKUP(($AJ68-$AI68-$AH68-$AG68-$AF68-$AE68*(1+BZ$3))/$AJ68,'Технический лист'!$M:$N,2,1)-VLOOKUP($AO68,'Технический лист'!$M:$N,2,1)),1+(1-$AU68))</f>
        <v/>
      </c>
      <c r="CA68" s="172">
        <f>MIN(IF($AU68=100%,1,1+VLOOKUP(($AJ68-$AI68-$AH68-$AG68-$AF68-$AE68*(1+CA$3))/$AJ68,'Технический лист'!$M:$N,2,1)-VLOOKUP($AO68,'Технический лист'!$M:$N,2,1)),1+(1-$AU68))</f>
        <v/>
      </c>
      <c r="CB68" s="172">
        <f>MIN(IF($AU68=100%,1,1+VLOOKUP(($AJ68-$AI68-$AH68-$AG68-$AF68-$AE68*(1+CB$3))/$AJ68,'Технический лист'!$M:$N,2,1)-VLOOKUP($AO68,'Технический лист'!$M:$N,2,1)),1+(1-$AU68))</f>
        <v/>
      </c>
      <c r="CC68" s="172">
        <f>MIN(IF($AU68=100%,1,1+VLOOKUP(($AJ68-$AI68-$AH68-$AG68-$AF68-$AE68*(1+CC$3))/$AJ68,'Технический лист'!$M:$N,2,1)-VLOOKUP($AO68,'Технический лист'!$M:$N,2,1)),1+(1-$AU68))</f>
        <v/>
      </c>
      <c r="CD68" s="172">
        <f>MIN(IF($AU68=100%,1,1+VLOOKUP(($AJ68-$AI68-$AH68-$AG68-$AF68-$AE68*(1+CD$3))/$AJ68,'Технический лист'!$M:$N,2,1)-VLOOKUP($AO68,'Технический лист'!$M:$N,2,1)),1+(1-$AU68))</f>
        <v/>
      </c>
      <c r="CE68" s="172">
        <f>MIN(IF($AU68=100%,1,1+VLOOKUP(($AJ68-$AI68-$AH68-$AG68-$AF68-$AE68*(1+CE$3))/$AJ68,'Технический лист'!$M:$N,2,1)-VLOOKUP($AO68,'Технический лист'!$M:$N,2,1)),1+(1-$AU68))</f>
        <v/>
      </c>
      <c r="CF68" s="172">
        <f>MIN(IF($AU68=100%,1,1+VLOOKUP(($AJ68-$AI68-$AH68-$AG68-$AF68-$AE68*(1+CF$3))/$AJ68,'Технический лист'!$M:$N,2,1)-VLOOKUP($AO68,'Технический лист'!$M:$N,2,1)),1+(1-$AU68))</f>
        <v/>
      </c>
      <c r="CG68" s="172">
        <f>MIN(IF($AU68=100%,1,1+VLOOKUP(($AJ68-$AI68-$AH68-$AG68-$AF68-$AE68*(1+CG$3))/$AJ68,'Технический лист'!$M:$N,2,1)-VLOOKUP($AO68,'Технический лист'!$M:$N,2,1)),1+(1-$AU68))</f>
        <v/>
      </c>
      <c r="CH68" s="172">
        <f>MIN(IF($AU68=100%,1,1+VLOOKUP(($AJ68-$AI68-$AH68-$AG68-$AF68-$AE68*(1+CH$3))/$AJ68,'Технический лист'!$M:$N,2,1)-VLOOKUP($AO68,'Технический лист'!$M:$N,2,1)),1+(1-$AU68))</f>
        <v/>
      </c>
      <c r="CI68" s="172">
        <f>MIN(IF($AU68=100%,1,1+VLOOKUP(($AJ68-$AI68-$AH68-$AG68-$AF68-$AE68*(1+CI$3))/$AJ68,'Технический лист'!$M:$N,2,1)-VLOOKUP($AO68,'Технический лист'!$M:$N,2,1)),1+(1-$AU68))</f>
        <v/>
      </c>
      <c r="CJ68" s="172">
        <f>MIN(IF($AU68=100%,1,1+VLOOKUP(($AJ68-$AI68-$AH68-$AG68-$AF68-$AE68*(1+CJ$3))/$AJ68,'Технический лист'!$M:$N,2,1)-VLOOKUP($AO68,'Технический лист'!$M:$N,2,1)),1+(1-$AU68))</f>
        <v/>
      </c>
      <c r="CK68" s="172">
        <f>MIN(IF($AU68=100%,1,1+VLOOKUP(($AJ68-$AI68-$AH68-$AG68-$AF68-$AE68*(1+CK$3))/$AJ68,'Технический лист'!$M:$N,2,1)-VLOOKUP($AO68,'Технический лист'!$M:$N,2,1)),1+(1-$AU68))</f>
        <v/>
      </c>
      <c r="CL68" s="172">
        <f>MIN(IF($AU68=100%,1,1+VLOOKUP(($AJ68-$AI68-$AH68-$AG68-$AF68-$AE68*(1+CL$3))/$AJ68,'Технический лист'!$M:$N,2,1)-VLOOKUP($AO68,'Технический лист'!$M:$N,2,1)),1+(1-$AU68))</f>
        <v/>
      </c>
      <c r="CM68" s="172">
        <f>MIN(IF($AU68=100%,1,1+VLOOKUP(($AJ68-$AI68-$AH68-$AG68-$AF68-$AE68*(1+CM$3))/$AJ68,'Технический лист'!$M:$N,2,1)-VLOOKUP($AO68,'Технический лист'!$M:$N,2,1)),1+(1-$AU68))</f>
        <v/>
      </c>
      <c r="CN68" s="172">
        <f>MIN(IF($AU68=100%,1,1+VLOOKUP(($AJ68-$AI68-$AH68-$AG68-$AF68-$AE68*(1+CN$3))/$AJ68,'Технический лист'!$M:$N,2,1)-VLOOKUP($AO68,'Технический лист'!$M:$N,2,1)),1+(1-$AU68))</f>
        <v/>
      </c>
      <c r="CO68" s="172">
        <f>MIN(IF($AU68=100%,1,1+VLOOKUP(($AJ68-$AI68-$AH68-$AG68-$AF68-$AE68*(1+CO$3))/$AJ68,'Технический лист'!$M:$N,2,1)-VLOOKUP($AO68,'Технический лист'!$M:$N,2,1)),1+(1-$AU68))</f>
        <v/>
      </c>
      <c r="CP68" s="172">
        <f>MIN(IF($AU68=100%,1,1+VLOOKUP(($AJ68-$AI68-$AH68-$AG68-$AF68-$AE68*(1+CP$3))/$AJ68,'Технический лист'!$M:$N,2,1)-VLOOKUP($AO68,'Технический лист'!$M:$N,2,1)),1+(1-$AU68))</f>
        <v/>
      </c>
      <c r="CQ68" s="172">
        <f>MIN(IF($AU68=100%,1,1+VLOOKUP(($AJ68-$AI68-$AH68-$AG68-$AF68-$AE68*(1+CQ$3))/$AJ68,'Технический лист'!$M:$N,2,1)-VLOOKUP($AO68,'Технический лист'!$M:$N,2,1)),1+(1-$AU68))</f>
        <v/>
      </c>
      <c r="CR68" s="172">
        <f>MIN(IF($AU68=100%,1,1+VLOOKUP(($AJ68-$AI68-$AH68-$AG68-$AF68-$AE68*(1+CR$3))/$AJ68,'Технический лист'!$M:$N,2,1)-VLOOKUP($AO68,'Технический лист'!$M:$N,2,1)),1+(1-$AU68))</f>
        <v/>
      </c>
      <c r="CS68" s="172">
        <f>MIN(IF($AU68=100%,1,1+VLOOKUP(($AJ68-$AI68-$AH68-$AG68-$AF68-$AE68*(1+CS$3))/$AJ68,'Технический лист'!$M:$N,2,1)-VLOOKUP($AO68,'Технический лист'!$M:$N,2,1)),1+(1-$AU68))</f>
        <v/>
      </c>
      <c r="CT68" s="172">
        <f>MIN(IF($AU68=100%,1,1+VLOOKUP(($AJ68-$AI68-$AH68-$AG68-$AF68-$AE68*(1+CT$3))/$AJ68,'Технический лист'!$M:$N,2,1)-VLOOKUP($AO68,'Технический лист'!$M:$N,2,1)),1+(1-$AU68))</f>
        <v/>
      </c>
      <c r="CU68" s="172">
        <f>MIN(IF($AU68=100%,1,1+VLOOKUP(($AJ68-$AI68-$AH68-$AG68-$AF68-$AE68*(1+CU$3))/$AJ68,'Технический лист'!$M:$N,2,1)-VLOOKUP($AO68,'Технический лист'!$M:$N,2,1)),1+(1-$AU68))</f>
        <v/>
      </c>
      <c r="CV68" s="172">
        <f>MIN(IF($AU68=100%,1,1+VLOOKUP(($AJ68-$AI68-$AH68-$AG68-$AF68-$AE68*(1+CV$3))/$AJ68,'Технический лист'!$M:$N,2,1)-VLOOKUP($AO68,'Технический лист'!$M:$N,2,1)),1+(1-$AU68))</f>
        <v/>
      </c>
      <c r="CW68" s="172">
        <f>MIN(IF($AU68=100%,1,1+VLOOKUP(($AJ68-$AI68-$AH68-$AG68-$AF68-$AE68*(1+CW$3))/$AJ68,'Технический лист'!$M:$N,2,1)-VLOOKUP($AO68,'Технический лист'!$M:$N,2,1)),1+(1-$AU68))</f>
        <v/>
      </c>
      <c r="CX68" s="172">
        <f>MIN(IF($AU68=100%,1,1+VLOOKUP(($AJ68-$AI68-$AH68-$AG68-$AF68-$AE68*(1+CX$3))/$AJ68,'Технический лист'!$M:$N,2,1)-VLOOKUP($AO68,'Технический лист'!$M:$N,2,1)),1+(1-$AU68))</f>
        <v/>
      </c>
      <c r="CY68" s="172">
        <f>MIN(IF($AU68=100%,1,1+VLOOKUP(($AJ68-$AI68-$AH68-$AG68-$AF68-$AE68*(1+CY$3))/$AJ68,'Технический лист'!$M:$N,2,1)-VLOOKUP($AO68,'Технический лист'!$M:$N,2,1)),1+(1-$AU68))</f>
        <v/>
      </c>
      <c r="CZ68" s="172">
        <f>MIN(IF($AU68=100%,1,1+VLOOKUP(($AJ68-$AI68-$AH68-$AG68-$AF68-$AE68*(1+CZ$3))/$AJ68,'Технический лист'!$M:$N,2,1)-VLOOKUP($AO68,'Технический лист'!$M:$N,2,1)),1+(1-$AU68))</f>
        <v/>
      </c>
      <c r="DA68" s="172">
        <f>MIN(IF($AU68=100%,1,1+VLOOKUP(($AJ68-$AI68-$AH68-$AG68-$AF68-$AE68*(1+DA$3))/$AJ68,'Технический лист'!$M:$N,2,1)-VLOOKUP($AO68,'Технический лист'!$M:$N,2,1)),1+(1-$AU68))</f>
        <v/>
      </c>
      <c r="DB68" s="172">
        <f>MIN(IF($AU68=100%,1,1+VLOOKUP(($AJ68-$AI68-$AH68-$AG68-$AF68-$AE68*(1+DB$3))/$AJ68,'Технический лист'!$M:$N,2,1)-VLOOKUP($AO68,'Технический лист'!$M:$N,2,1)),1+(1-$AU68))</f>
        <v/>
      </c>
      <c r="DC68" s="172">
        <f>MIN(IF($AU68=100%,1,1+VLOOKUP(($AJ68-$AI68-$AH68-$AG68-$AF68-$AE68*(1+DC$3))/$AJ68,'Технический лист'!$M:$N,2,1)-VLOOKUP($AO68,'Технический лист'!$M:$N,2,1)),1+(1-$AU68))</f>
        <v/>
      </c>
      <c r="DD68" s="172">
        <f>MIN(IF($AU68=100%,1,1+VLOOKUP(($AJ68-$AI68-$AH68-$AG68-$AF68-$AE68*(1+DD$3))/$AJ68,'Технический лист'!$M:$N,2,1)-VLOOKUP($AO68,'Технический лист'!$M:$N,2,1)),1+(1-$AU68))</f>
        <v/>
      </c>
      <c r="DE68" s="172">
        <f>MIN(IF($AU68=100%,1,1+VLOOKUP(($AJ68-$AI68-$AH68-$AG68-$AF68-$AE68*(1+DE$3))/$AJ68,'Технический лист'!$M:$N,2,1)-VLOOKUP($AO68,'Технический лист'!$M:$N,2,1)),1+(1-$AU68))</f>
        <v/>
      </c>
      <c r="DF68" s="172">
        <f>MIN(IF($AU68=100%,1,1+VLOOKUP(($AJ68-$AI68-$AH68-$AG68-$AF68-$AE68*(1+DF$3))/$AJ68,'Технический лист'!$M:$N,2,1)-VLOOKUP($AO68,'Технический лист'!$M:$N,2,1)),1+(1-$AU68))</f>
        <v/>
      </c>
      <c r="DG68" s="172">
        <f>MIN(IF($AU68=100%,1,1+VLOOKUP(($AJ68-$AI68-$AH68-$AG68-$AF68-$AE68*(1+DG$3))/$AJ68,'Технический лист'!$M:$N,2,1)-VLOOKUP($AO68,'Технический лист'!$M:$N,2,1)),1+(1-$AU68))</f>
        <v/>
      </c>
      <c r="DH68" s="172">
        <f>MIN(IF($AU68=100%,1,1+VLOOKUP(($AJ68-$AI68-$AH68-$AG68-$AF68-$AE68*(1+DH$3))/$AJ68,'Технический лист'!$M:$N,2,1)-VLOOKUP($AO68,'Технический лист'!$M:$N,2,1)),1+(1-$AU68))</f>
        <v/>
      </c>
      <c r="DI68" s="172">
        <f>MIN(IF($AU68=100%,1,1+VLOOKUP(($AJ68-$AI68-$AH68-$AG68-$AF68-$AE68*(1+DI$3))/$AJ68,'Технический лист'!$M:$N,2,1)-VLOOKUP($AO68,'Технический лист'!$M:$N,2,1)),1+(1-$AU68))</f>
        <v/>
      </c>
      <c r="DJ68" s="172">
        <f>MIN(IF($AU68=100%,1,1+VLOOKUP(($AJ68-$AI68-$AH68-$AG68-$AF68-$AE68*(1+DJ$3))/$AJ68,'Технический лист'!$M:$N,2,1)-VLOOKUP($AO68,'Технический лист'!$M:$N,2,1)),1+(1-$AU68))</f>
        <v/>
      </c>
      <c r="DK68" s="172">
        <f>MIN(IF($AU68=100%,1,1+VLOOKUP(($AJ68-$AI68-$AH68-$AG68-$AF68-$AE68*(1+DK$3))/$AJ68,'Технический лист'!$M:$N,2,1)-VLOOKUP($AO68,'Технический лист'!$M:$N,2,1)),1+(1-$AU68))</f>
        <v/>
      </c>
      <c r="DL68" s="172">
        <f>MIN(IF($AU68=100%,1,1+VLOOKUP(($AJ68-$AI68-$AH68-$AG68-$AF68-$AE68*(1+DL$3))/$AJ68,'Технический лист'!$M:$N,2,1)-VLOOKUP($AO68,'Технический лист'!$M:$N,2,1)),1+(1-$AU68))</f>
        <v/>
      </c>
      <c r="DM68" s="172">
        <f>MIN(IF($AU68=100%,1,1+VLOOKUP(($AJ68-$AI68-$AH68-$AG68-$AF68-$AE68*(1+DM$3))/$AJ68,'Технический лист'!$M:$N,2,1)-VLOOKUP($AO68,'Технический лист'!$M:$N,2,1)),1+(1-$AU68))</f>
        <v/>
      </c>
      <c r="DN68" s="172">
        <f>MIN(IF($AU68=100%,1,1+VLOOKUP(($AJ68-$AI68-$AH68-$AG68-$AF68-$AE68*(1+DN$3))/$AJ68,'Технический лист'!$M:$N,2,1)-VLOOKUP($AO68,'Технический лист'!$M:$N,2,1)),1+(1-$AU68))</f>
        <v/>
      </c>
      <c r="DO68" s="172">
        <f>MIN(IF($AU68=100%,1,1+VLOOKUP(($AJ68-$AI68-$AH68-$AG68-$AF68-$AE68*(1+DO$3))/$AJ68,'Технический лист'!$M:$N,2,1)-VLOOKUP($AO68,'Технический лист'!$M:$N,2,1)),1+(1-$AU68))</f>
        <v/>
      </c>
      <c r="DP68" s="172">
        <f>MIN(IF($AU68=100%,1,1+VLOOKUP(($AJ68-$AI68-$AH68-$AG68-$AF68-$AE68*(1+DP$3))/$AJ68,'Технический лист'!$M:$N,2,1)-VLOOKUP($AO68,'Технический лист'!$M:$N,2,1)),1+(1-$AU68))</f>
        <v/>
      </c>
      <c r="DQ68" s="172">
        <f>MIN(IF($AU68=100%,1,1+VLOOKUP(($AJ68-$AI68-$AH68-$AG68-$AF68-$AE68*(1+DQ$3))/$AJ68,'Технический лист'!$M:$N,2,1)-VLOOKUP($AO68,'Технический лист'!$M:$N,2,1)),1+(1-$AU68))</f>
        <v/>
      </c>
      <c r="DR68" s="172">
        <f>MIN(IF($AU68=100%,1,1+VLOOKUP(($AJ68-$AI68-$AH68-$AG68-$AF68-$AE68*(1+DR$3))/$AJ68,'Технический лист'!$M:$N,2,1)-VLOOKUP($AO68,'Технический лист'!$M:$N,2,1)),1+(1-$AU68))</f>
        <v/>
      </c>
      <c r="DS68" s="172">
        <f>MIN(IF($AU68=100%,1,1+VLOOKUP(($AJ68-$AI68-$AH68-$AG68-$AF68-$AE68*(1+DS$3))/$AJ68,'Технический лист'!$M:$N,2,1)-VLOOKUP($AO68,'Технический лист'!$M:$N,2,1)),1+(1-$AU68))</f>
        <v/>
      </c>
      <c r="DT68" s="172">
        <f>MIN(IF($AU68=100%,1,1+VLOOKUP(($AJ68-$AI68-$AH68-$AG68-$AF68-$AE68*(1+DT$3))/$AJ68,'Технический лист'!$M:$N,2,1)-VLOOKUP($AO68,'Технический лист'!$M:$N,2,1)),1+(1-$AU68))</f>
        <v/>
      </c>
      <c r="DU68" s="172">
        <f>MIN(IF($AU68=100%,1,1+VLOOKUP(($AJ68-$AI68-$AH68-$AG68-$AF68-$AE68*(1+DU$3))/$AJ68,'Технический лист'!$M:$N,2,1)-VLOOKUP($AO68,'Технический лист'!$M:$N,2,1)),1+(1-$AU68))</f>
        <v/>
      </c>
      <c r="DV68" s="172">
        <f>MIN(IF($AU68=100%,1,1+VLOOKUP(($AJ68-$AI68-$AH68-$AG68-$AF68-$AE68*(1+DV$3))/$AJ68,'Технический лист'!$M:$N,2,1)-VLOOKUP($AO68,'Технический лист'!$M:$N,2,1)),1+(1-$AU68))</f>
        <v/>
      </c>
      <c r="DW68" s="172">
        <f>MIN(IF($AU68=100%,1,1+VLOOKUP(($AJ68-$AI68-$AH68-$AG68-$AF68-$AE68*(1+DW$3))/$AJ68,'Технический лист'!$M:$N,2,1)-VLOOKUP($AO68,'Технический лист'!$M:$N,2,1)),1+(1-$AU68))</f>
        <v/>
      </c>
      <c r="DX68" s="172">
        <f>MIN(IF($AU68=100%,1,1+VLOOKUP(($AJ68-$AI68-$AH68-$AG68-$AF68-$AE68*(1+DX$3))/$AJ68,'Технический лист'!$M:$N,2,1)-VLOOKUP($AO68,'Технический лист'!$M:$N,2,1)),1+(1-$AU68))</f>
        <v/>
      </c>
      <c r="DY68" s="172">
        <f>MIN(IF($AU68=100%,1,1+VLOOKUP(($AJ68-$AI68-$AH68-$AG68-$AF68-$AE68*(1+DY$3))/$AJ68,'Технический лист'!$M:$N,2,1)-VLOOKUP($AO68,'Технический лист'!$M:$N,2,1)),1+(1-$AU68))</f>
        <v/>
      </c>
      <c r="DZ68" s="172">
        <f>MIN(IF($AU68=100%,1,1+VLOOKUP(($AJ68-$AI68-$AH68-$AG68-$AF68-$AE68*(1+DZ$3))/$AJ68,'Технический лист'!$M:$N,2,1)-VLOOKUP($AO68,'Технический лист'!$M:$N,2,1)),1+(1-$AU68))</f>
        <v/>
      </c>
      <c r="EA68" s="172">
        <f>MIN(IF($AU68=100%,1,1+VLOOKUP(($AJ68-$AI68-$AH68-$AG68-$AF68-$AE68*(1+EA$3))/$AJ68,'Технический лист'!$M:$N,2,1)-VLOOKUP($AO68,'Технический лист'!$M:$N,2,1)),1+(1-$AU68))</f>
        <v/>
      </c>
      <c r="EB68" s="172">
        <f>MIN(IF($AU68=100%,1,1+VLOOKUP(($AJ68-$AI68-$AH68-$AG68-$AF68-$AE68*(1+EB$3))/$AJ68,'Технический лист'!$M:$N,2,1)-VLOOKUP($AO68,'Технический лист'!$M:$N,2,1)),1+(1-$AU68))</f>
        <v/>
      </c>
      <c r="EC68" s="172">
        <f>MIN(IF($AU68=100%,1,1+VLOOKUP(($AJ68-$AI68-$AH68-$AG68-$AF68-$AE68*(1+EC$3))/$AJ68,'Технический лист'!$M:$N,2,1)-VLOOKUP($AO68,'Технический лист'!$M:$N,2,1)),1+(1-$AU68))</f>
        <v/>
      </c>
      <c r="ED68" s="172">
        <f>MIN(IF($AU68=100%,1,1+VLOOKUP(($AJ68-$AI68-$AH68-$AG68-$AF68-$AE68*(1+ED$3))/$AJ68,'Технический лист'!$M:$N,2,1)-VLOOKUP($AO68,'Технический лист'!$M:$N,2,1)),1+(1-$AU68))</f>
        <v/>
      </c>
      <c r="EE68" s="172">
        <f>MIN(IF($AU68=100%,1,1+VLOOKUP(($AJ68-$AI68-$AH68-$AG68-$AF68-$AE68*(1+EE$3))/$AJ68,'Технический лист'!$M:$N,2,1)-VLOOKUP($AO68,'Технический лист'!$M:$N,2,1)),1+(1-$AU68))</f>
        <v/>
      </c>
      <c r="EF68" s="172">
        <f>MIN(IF($AU68=100%,1,1+VLOOKUP(($AJ68-$AI68-$AH68-$AG68-$AF68-$AE68*(1+EF$3))/$AJ68,'Технический лист'!$M:$N,2,1)-VLOOKUP($AO68,'Технический лист'!$M:$N,2,1)),1+(1-$AU68))</f>
        <v/>
      </c>
      <c r="EG68" s="172">
        <f>MIN(IF($AU68=100%,1,1+VLOOKUP(($AJ68-$AI68-$AH68-$AG68-$AF68-$AE68*(1+EG$3))/$AJ68,'Технический лист'!$M:$N,2,1)-VLOOKUP($AO68,'Технический лист'!$M:$N,2,1)),1+(1-$AU68))</f>
        <v/>
      </c>
      <c r="EH68" s="172">
        <f>MIN(IF($AU68=100%,1,1+VLOOKUP(($AJ68-$AI68-$AH68-$AG68-$AF68-$AE68*(1+EH$3))/$AJ68,'Технический лист'!$M:$N,2,1)-VLOOKUP($AO68,'Технический лист'!$M:$N,2,1)),1+(1-$AU68))</f>
        <v/>
      </c>
      <c r="EI68" s="172">
        <f>MIN(IF($AU68=100%,1,1+VLOOKUP(($AJ68-$AI68-$AH68-$AG68-$AF68-$AE68*(1+EI$3))/$AJ68,'Технический лист'!$M:$N,2,1)-VLOOKUP($AO68,'Технический лист'!$M:$N,2,1)),1+(1-$AU68))</f>
        <v/>
      </c>
      <c r="EJ68" s="172">
        <f>MIN(IF($AU68=100%,1,1+VLOOKUP(($AJ68-$AI68-$AH68-$AG68-$AF68-$AE68*(1+EJ$3))/$AJ68,'Технический лист'!$M:$N,2,1)-VLOOKUP($AO68,'Технический лист'!$M:$N,2,1)),1+(1-$AU68))</f>
        <v/>
      </c>
      <c r="EK68" s="172">
        <f>MIN(IF($AU68=100%,1,1+VLOOKUP(($AJ68-$AI68-$AH68-$AG68-$AF68-$AE68*(1+EK$3))/$AJ68,'Технический лист'!$M:$N,2,1)-VLOOKUP($AO68,'Технический лист'!$M:$N,2,1)),1+(1-$AU68))</f>
        <v/>
      </c>
      <c r="EL68" s="172">
        <f>MIN(IF($AU68=100%,1,1+VLOOKUP(($AJ68-$AI68-$AH68-$AG68-$AF68-$AE68*(1+EL$3))/$AJ68,'Технический лист'!$M:$N,2,1)-VLOOKUP($AO68,'Технический лист'!$M:$N,2,1)),1+(1-$AU68))</f>
        <v/>
      </c>
      <c r="EM68" s="172">
        <f>MIN(IF($AU68=100%,1,1+VLOOKUP(($AJ68-$AI68-$AH68-$AG68-$AF68-$AE68*(1+EM$3))/$AJ68,'Технический лист'!$M:$N,2,1)-VLOOKUP($AO68,'Технический лист'!$M:$N,2,1)),1+(1-$AU68))</f>
        <v/>
      </c>
      <c r="EN68" s="172">
        <f>MIN(IF($AU68=100%,1,1+VLOOKUP(($AJ68-$AI68-$AH68-$AG68-$AF68-$AE68*(1+EN$3))/$AJ68,'Технический лист'!$M:$N,2,1)-VLOOKUP($AO68,'Технический лист'!$M:$N,2,1)),1+(1-$AU68))</f>
        <v/>
      </c>
      <c r="EO68" s="172">
        <f>MIN(IF($AU68=100%,1,1+VLOOKUP(($AJ68-$AI68-$AH68-$AG68-$AF68-$AE68*(1+EO$3))/$AJ68,'Технический лист'!$M:$N,2,1)-VLOOKUP($AO68,'Технический лист'!$M:$N,2,1)),1+(1-$AU68))</f>
        <v/>
      </c>
      <c r="EP68" s="172">
        <f>MIN(IF($AU68=100%,1,1+VLOOKUP(($AJ68-$AI68-$AH68-$AG68-$AF68-$AE68*(1+EP$3))/$AJ68,'Технический лист'!$M:$N,2,1)-VLOOKUP($AO68,'Технический лист'!$M:$N,2,1)),1+(1-$AU68))</f>
        <v/>
      </c>
      <c r="EQ68" s="172">
        <f>MIN(IF($AU68=100%,1,1+VLOOKUP(($AJ68-$AI68-$AH68-$AG68-$AF68-$AE68*(1+EQ$3))/$AJ68,'Технический лист'!$M:$N,2,1)-VLOOKUP($AO68,'Технический лист'!$M:$N,2,1)),1+(1-$AU68))</f>
        <v/>
      </c>
      <c r="ER68" s="172">
        <f>MIN(IF($AU68=100%,1,1+VLOOKUP(($AJ68-$AI68-$AH68-$AG68-$AF68-$AE68*(1+ER$3))/$AJ68,'Технический лист'!$M:$N,2,1)-VLOOKUP($AO68,'Технический лист'!$M:$N,2,1)),1+(1-$AU68))</f>
        <v/>
      </c>
      <c r="ES68" s="172">
        <f>MIN(IF($AU68=100%,1,1+VLOOKUP(($AJ68-$AI68-$AH68-$AG68-$AF68-$AE68*(1+ES$3))/$AJ68,'Технический лист'!$M:$N,2,1)-VLOOKUP($AO68,'Технический лист'!$M:$N,2,1)),1+(1-$AU68))</f>
        <v/>
      </c>
      <c r="ET68" s="172">
        <f>MIN(IF($AU68=100%,1,1+VLOOKUP(($AJ68-$AI68-$AH68-$AG68-$AF68-$AE68*(1+ET$3))/$AJ68,'Технический лист'!$M:$N,2,1)-VLOOKUP($AO68,'Технический лист'!$M:$N,2,1)),1+(1-$AU68))</f>
        <v/>
      </c>
      <c r="EU68" s="172">
        <f>MIN(IF($AU68=100%,1,1+VLOOKUP(($AJ68-$AI68-$AH68-$AG68-$AF68-$AE68*(1+EU$3))/$AJ68,'Технический лист'!$M:$N,2,1)-VLOOKUP($AO68,'Технический лист'!$M:$N,2,1)),1+(1-$AU68))</f>
        <v/>
      </c>
      <c r="EV68" s="173" t="n">
        <v>1</v>
      </c>
      <c r="EW68" s="172">
        <f>MIN(1,MAX(VLOOKUP(($AJ68-$AI68-$AH68-$AG68-$AF68-$AE68*(1+EW$3))/$AJ68,'Технический лист'!$M:$N,2,1),(EV68-0.05)))</f>
        <v/>
      </c>
      <c r="EX68" s="172">
        <f>MIN(1,MAX(VLOOKUP(($AJ68-$AI68-$AH68-$AG68-$AF68-$AE68*(1+EX$3))/$AJ68,'Технический лист'!$M:$N,2,1),(EW68-0.05)))</f>
        <v/>
      </c>
      <c r="EY68" s="172">
        <f>MIN(1,MAX(VLOOKUP(($AJ68-$AI68-$AH68-$AG68-$AF68-$AE68*(1+EY$3))/$AJ68,'Технический лист'!$M:$N,2,1),(EX68-0.05)))</f>
        <v/>
      </c>
      <c r="EZ68" s="172">
        <f>MIN(1,MAX(VLOOKUP(($AJ68-$AI68-$AH68-$AG68-$AF68-$AE68*(1+EZ$3))/$AJ68,'Технический лист'!$M:$N,2,1),(EY68-0.05)))</f>
        <v/>
      </c>
      <c r="FA68" s="172">
        <f>MIN(1,MAX(VLOOKUP(($AJ68-$AI68-$AH68-$AG68-$AF68-$AE68*(1+FA$3))/$AJ68,'Технический лист'!$M:$N,2,1),(EZ68-0.05)))</f>
        <v/>
      </c>
      <c r="FB68" s="172">
        <f>MIN(1,MAX(VLOOKUP(($AJ68-$AI68-$AH68-$AG68-$AF68-$AE68*(1+FB$3))/$AJ68,'Технический лист'!$M:$N,2,1),(FA68-0.05)))</f>
        <v/>
      </c>
      <c r="FC68" s="172">
        <f>MIN(1,MAX(VLOOKUP(($AJ68-$AI68-$AH68-$AG68-$AF68-$AE68*(1+FC$3))/$AJ68,'Технический лист'!$M:$N,2,1),(FB68-0.05)))</f>
        <v/>
      </c>
      <c r="FD68" s="172">
        <f>MIN(1,MAX(VLOOKUP(($AJ68-$AI68-$AH68-$AG68-$AF68-$AE68*(1+FD$3))/$AJ68,'Технический лист'!$M:$N,2,1),(FC68-0.05)))</f>
        <v/>
      </c>
      <c r="FE68" s="172">
        <f>MIN(1,MAX(VLOOKUP(($AJ68-$AI68-$AH68-$AG68-$AF68-$AE68*(1+FE$3))/$AJ68,'Технический лист'!$M:$N,2,1),(FD68-0.05)))</f>
        <v/>
      </c>
      <c r="FF68" s="172">
        <f>MIN(1,MAX(VLOOKUP(($AJ68-$AI68-$AH68-$AG68-$AF68-$AE68*(1+FF$3))/$AJ68,'Технический лист'!$M:$N,2,1),(FE68-0.05)))</f>
        <v/>
      </c>
      <c r="FG68" s="172">
        <f>MIN(1,MAX(VLOOKUP(($AJ68-$AI68-$AH68-$AG68-$AF68-$AE68*(1+FG$3))/$AJ68,'Технический лист'!$M:$N,2,1),(FF68-0.05)))</f>
        <v/>
      </c>
      <c r="FH68" s="172">
        <f>MIN(1,MAX(VLOOKUP(($AJ68-$AI68-$AH68-$AG68-$AF68-$AE68*(1+FH$3))/$AJ68,'Технический лист'!$M:$N,2,1),(FG68-0.05)))</f>
        <v/>
      </c>
      <c r="FI68" s="172">
        <f>MIN(1,MAX(VLOOKUP(($AJ68-$AI68-$AH68-$AG68-$AF68-$AE68*(1+FI$3))/$AJ68,'Технический лист'!$M:$N,2,1),(FH68-0.05)))</f>
        <v/>
      </c>
      <c r="FJ68" s="172">
        <f>MIN(1,MAX(VLOOKUP(($AJ68-$AI68-$AH68-$AG68-$AF68-$AE68*(1+FJ$3))/$AJ68,'Технический лист'!$M:$N,2,1),(FI68-0.05)))</f>
        <v/>
      </c>
      <c r="FK68" s="172">
        <f>MIN(1,MAX(VLOOKUP(($AJ68-$AI68-$AH68-$AG68-$AF68-$AE68*(1+FK$3))/$AJ68,'Технический лист'!$M:$N,2,1),(FJ68-0.05)))</f>
        <v/>
      </c>
      <c r="FL68" s="172">
        <f>MIN(1,MAX(VLOOKUP(($AJ68-$AI68-$AH68-$AG68-$AF68-$AE68*(1+FL$3))/$AJ68,'Технический лист'!$M:$N,2,1),(FK68-0.05)))</f>
        <v/>
      </c>
      <c r="FM68" s="172">
        <f>MIN(1,MAX(VLOOKUP(($AJ68-$AI68-$AH68-$AG68-$AF68-$AE68*(1+FM$3))/$AJ68,'Технический лист'!$M:$N,2,1),(FL68-0.05)))</f>
        <v/>
      </c>
      <c r="FN68" s="172">
        <f>MIN(1,MAX(VLOOKUP(($AJ68-$AI68-$AH68-$AG68-$AF68-$AE68*(1+FN$3))/$AJ68,'Технический лист'!$M:$N,2,1),(FM68-0.05)))</f>
        <v/>
      </c>
      <c r="FO68" s="172">
        <f>MIN(1,MAX(VLOOKUP(($AJ68-$AI68-$AH68-$AG68-$AF68-$AE68*(1+FO$3))/$AJ68,'Технический лист'!$M:$N,2,1),(FN68-0.05)))</f>
        <v/>
      </c>
      <c r="FP68" s="172">
        <f>MIN(1,MAX(VLOOKUP(($AJ68-$AI68-$AH68-$AG68-$AF68-$AE68*(1+FP$3))/$AJ68,'Технический лист'!$M:$N,2,1),(FO68-0.05)))</f>
        <v/>
      </c>
      <c r="FQ68" s="172">
        <f>MIN(1,MAX(VLOOKUP(($AJ68-$AI68-$AH68-$AG68-$AF68-$AE68*(1+FQ$3))/$AJ68,'Технический лист'!$M:$N,2,1),(FP68-0.05)))</f>
        <v/>
      </c>
      <c r="FR68" s="172">
        <f>MIN(1,MAX(VLOOKUP(($AJ68-$AI68-$AH68-$AG68-$AF68-$AE68*(1+FR$3))/$AJ68,'Технический лист'!$M:$N,2,1),(FQ68-0.05)))</f>
        <v/>
      </c>
      <c r="FS68" s="172">
        <f>MIN(1,MAX(VLOOKUP(($AJ68-$AI68-$AH68-$AG68-$AF68-$AE68*(1+FS$3))/$AJ68,'Технический лист'!$M:$N,2,1),(FR68-0.05)))</f>
        <v/>
      </c>
      <c r="FT68" s="172">
        <f>MIN(1,MAX(VLOOKUP(($AJ68-$AI68-$AH68-$AG68-$AF68-$AE68*(1+FT$3))/$AJ68,'Технический лист'!$M:$N,2,1),(FS68-0.05)))</f>
        <v/>
      </c>
      <c r="FU68" s="172">
        <f>MIN(1,MAX(VLOOKUP(($AJ68-$AI68-$AH68-$AG68-$AF68-$AE68*(1+FU$3))/$AJ68,'Технический лист'!$M:$N,2,1),(FT68-0.05)))</f>
        <v/>
      </c>
      <c r="FV68" s="172">
        <f>MIN(1,MAX(VLOOKUP(($AJ68-$AI68-$AH68-$AG68-$AF68-$AE68*(1+FV$3))/$AJ68,'Технический лист'!$M:$N,2,1),(FU68-0.05)))</f>
        <v/>
      </c>
      <c r="FW68" s="172">
        <f>MIN(1,MAX(VLOOKUP(($AJ68-$AI68-$AH68-$AG68-$AF68-$AE68*(1+FW$3))/$AJ68,'Технический лист'!$M:$N,2,1),(FV68-0.05)))</f>
        <v/>
      </c>
      <c r="FX68" s="172">
        <f>MIN(1,MAX(VLOOKUP(($AJ68-$AI68-$AH68-$AG68-$AF68-$AE68*(1+FX$3))/$AJ68,'Технический лист'!$M:$N,2,1),(FW68-0.05)))</f>
        <v/>
      </c>
      <c r="FY68" s="172">
        <f>MIN(1,MAX(VLOOKUP(($AJ68-$AI68-$AH68-$AG68-$AF68-$AE68*(1+FY$3))/$AJ68,'Технический лист'!$M:$N,2,1),(FX68-0.05)))</f>
        <v/>
      </c>
      <c r="FZ68" s="172">
        <f>MIN(1,MAX(VLOOKUP(($AJ68-$AI68-$AH68-$AG68-$AF68-$AE68*(1+FZ$3))/$AJ68,'Технический лист'!$M:$N,2,1),(FY68-0.05)))</f>
        <v/>
      </c>
      <c r="GA68" s="172">
        <f>MIN(1,MAX(VLOOKUP(($AJ68-$AI68-$AH68-$AG68-$AF68-$AE68*(1+GA$3))/$AJ68,'Технический лист'!$M:$N,2,1),(FZ68-0.05)))</f>
        <v/>
      </c>
      <c r="GB68" s="172">
        <f>MIN(1,MAX(VLOOKUP(($AJ68-$AI68-$AH68-$AG68-$AF68-$AE68*(1+GB$3))/$AJ68,'Технический лист'!$M:$N,2,1),(GA68-0.05)))</f>
        <v/>
      </c>
      <c r="GC68" s="172">
        <f>MIN(1,MAX(VLOOKUP(($AJ68-$AI68-$AH68-$AG68-$AF68-$AE68*(1+GC$3))/$AJ68,'Технический лист'!$M:$N,2,1),(GB68-0.05)))</f>
        <v/>
      </c>
      <c r="GD68" s="172">
        <f>MIN(1,MAX(VLOOKUP(($AJ68-$AI68-$AH68-$AG68-$AF68-$AE68*(1+GD$3))/$AJ68,'Технический лист'!$M:$N,2,1),(GC68-0.05)))</f>
        <v/>
      </c>
      <c r="GE68" s="172">
        <f>MIN(1,MAX(VLOOKUP(($AJ68-$AI68-$AH68-$AG68-$AF68-$AE68*(1+GE$3))/$AJ68,'Технический лист'!$M:$N,2,1),(GD68-0.05)))</f>
        <v/>
      </c>
      <c r="GF68" s="172">
        <f>MIN(1,MAX(VLOOKUP(($AJ68-$AI68-$AH68-$AG68-$AF68-$AE68*(1+GF$3))/$AJ68,'Технический лист'!$M:$N,2,1),(GE68-0.05)))</f>
        <v/>
      </c>
      <c r="GG68" s="172">
        <f>MIN(1,MAX(VLOOKUP(($AJ68-$AI68-$AH68-$AG68-$AF68-$AE68*(1+GG$3))/$AJ68,'Технический лист'!$M:$N,2,1),(GF68-0.05)))</f>
        <v/>
      </c>
      <c r="GH68" s="172">
        <f>MIN(1,MAX(VLOOKUP(($AJ68-$AI68-$AH68-$AG68-$AF68-$AE68*(1+GH$3))/$AJ68,'Технический лист'!$M:$N,2,1),(GG68-0.05)))</f>
        <v/>
      </c>
      <c r="GI68" s="172">
        <f>MIN(1,MAX(VLOOKUP(($AJ68-$AI68-$AH68-$AG68-$AF68-$AE68*(1+GI$3))/$AJ68,'Технический лист'!$M:$N,2,1),(GH68-0.05)))</f>
        <v/>
      </c>
      <c r="GJ68" s="172">
        <f>MIN(1,MAX(VLOOKUP(($AJ68-$AI68-$AH68-$AG68-$AF68-$AE68*(1+GJ$3))/$AJ68,'Технический лист'!$M:$N,2,1),(GI68-0.05)))</f>
        <v/>
      </c>
      <c r="GK68" s="172">
        <f>MIN(1,MAX(VLOOKUP(($AJ68-$AI68-$AH68-$AG68-$AF68-$AE68*(1+GK$3))/$AJ68,'Технический лист'!$M:$N,2,1),(GJ68-0.05)))</f>
        <v/>
      </c>
      <c r="GL68" s="172">
        <f>MIN(1,MAX(VLOOKUP(($AJ68-$AI68-$AH68-$AG68-$AF68-$AE68*(1+GL$3))/$AJ68,'Технический лист'!$M:$N,2,1),(GK68-0.05)))</f>
        <v/>
      </c>
      <c r="GM68" s="172">
        <f>MIN(1,MAX(VLOOKUP(($AJ68-$AI68-$AH68-$AG68-$AF68-$AE68*(1+GM$3))/$AJ68,'Технический лист'!$M:$N,2,1),(GL68-0.05)))</f>
        <v/>
      </c>
      <c r="GN68" s="172">
        <f>MIN(1,MAX(VLOOKUP(($AJ68-$AI68-$AH68-$AG68-$AF68-$AE68*(1+GN$3))/$AJ68,'Технический лист'!$M:$N,2,1),(GM68-0.05)))</f>
        <v/>
      </c>
      <c r="GO68" s="172">
        <f>MIN(1,MAX(VLOOKUP(($AJ68-$AI68-$AH68-$AG68-$AF68-$AE68*(1+GO$3))/$AJ68,'Технический лист'!$M:$N,2,1),(GN68-0.05)))</f>
        <v/>
      </c>
      <c r="GP68" s="172">
        <f>MIN(1,MAX(VLOOKUP(($AJ68-$AI68-$AH68-$AG68-$AF68-$AE68*(1+GP$3))/$AJ68,'Технический лист'!$M:$N,2,1),(GO68-0.05)))</f>
        <v/>
      </c>
      <c r="GQ68" s="172">
        <f>MIN(1,MAX(VLOOKUP(($AJ68-$AI68-$AH68-$AG68-$AF68-$AE68*(1+GQ$3))/$AJ68,'Технический лист'!$M:$N,2,1),(GP68-0.05)))</f>
        <v/>
      </c>
      <c r="GR68" s="172">
        <f>MIN(1,MAX(VLOOKUP(($AJ68-$AI68-$AH68-$AG68-$AF68-$AE68*(1+GR$3))/$AJ68,'Технический лист'!$M:$N,2,1),(GQ68-0.05)))</f>
        <v/>
      </c>
      <c r="GS68" s="172">
        <f>MIN(1,MAX(VLOOKUP(($AJ68-$AI68-$AH68-$AG68-$AF68-$AE68*(1+GS$3))/$AJ68,'Технический лист'!$M:$N,2,1),(GR68-0.05)))</f>
        <v/>
      </c>
      <c r="GT68" s="172">
        <f>MIN(1,MAX(VLOOKUP(($AJ68-$AI68-$AH68-$AG68-$AF68-$AE68*(1+GT$3))/$AJ68,'Технический лист'!$M:$N,2,1),(GS68-0.05)))</f>
        <v/>
      </c>
      <c r="GU68" s="172">
        <f>MIN(1,MAX(VLOOKUP(($AJ68-$AI68-$AH68-$AG68-$AF68-$AE68*(1+GU$3))/$AJ68,'Технический лист'!$M:$N,2,1),(GT68-0.05)))</f>
        <v/>
      </c>
      <c r="GV68" s="172">
        <f>MIN(1,MAX(VLOOKUP(($AJ68-$AI68-$AH68-$AG68-$AF68-$AE68*(1+GV$3))/$AJ68,'Технический лист'!$M:$N,2,1),(GU68-0.05)))</f>
        <v/>
      </c>
      <c r="GW68" s="172">
        <f>MIN(1,MAX(VLOOKUP(($AJ68-$AI68-$AH68-$AG68-$AF68-$AE68*(1+GW$3))/$AJ68,'Технический лист'!$M:$N,2,1),(GV68-0.05)))</f>
        <v/>
      </c>
      <c r="GX68" s="172">
        <f>MIN(1,MAX(VLOOKUP(($AJ68-$AI68-$AH68-$AG68-$AF68-$AE68*(1+GX$3))/$AJ68,'Технический лист'!$M:$N,2,1),(GW68-0.05)))</f>
        <v/>
      </c>
      <c r="GY68" s="172">
        <f>MIN(1,MAX(VLOOKUP(($AJ68-$AI68-$AH68-$AG68-$AF68-$AE68*(1+GY$3))/$AJ68,'Технический лист'!$M:$N,2,1),(GX68-0.05)))</f>
        <v/>
      </c>
      <c r="GZ68" s="172">
        <f>MIN(1,MAX(VLOOKUP(($AJ68-$AI68-$AH68-$AG68-$AF68-$AE68*(1+GZ$3))/$AJ68,'Технический лист'!$M:$N,2,1),(GY68-0.05)))</f>
        <v/>
      </c>
      <c r="HA68" s="172">
        <f>MIN(1,MAX(VLOOKUP(($AJ68-$AI68-$AH68-$AG68-$AF68-$AE68*(1+HA$3))/$AJ68,'Технический лист'!$M:$N,2,1),(GZ68-0.05)))</f>
        <v/>
      </c>
      <c r="HB68" s="172">
        <f>MIN(1,MAX(VLOOKUP(($AJ68-$AI68-$AH68-$AG68-$AF68-$AE68*(1+HB$3))/$AJ68,'Технический лист'!$M:$N,2,1),(HA68-0.05)))</f>
        <v/>
      </c>
      <c r="HC68" s="172">
        <f>MIN(1,MAX(VLOOKUP(($AJ68-$AI68-$AH68-$AG68-$AF68-$AE68*(1+HC$3))/$AJ68,'Технический лист'!$M:$N,2,1),(HB68-0.05)))</f>
        <v/>
      </c>
      <c r="HD68" s="172">
        <f>MIN(1,MAX(VLOOKUP(($AJ68-$AI68-$AH68-$AG68-$AF68-$AE68*(1+HD$3))/$AJ68,'Технический лист'!$M:$N,2,1),(HC68-0.05)))</f>
        <v/>
      </c>
      <c r="HE68" s="172">
        <f>MIN(1,MAX(VLOOKUP(($AJ68-$AI68-$AH68-$AG68-$AF68-$AE68*(1+HE$3))/$AJ68,'Технический лист'!$M:$N,2,1),(HD68-0.05)))</f>
        <v/>
      </c>
      <c r="HF68" s="172">
        <f>MIN(1,MAX(VLOOKUP(($AJ68-$AI68-$AH68-$AG68-$AF68-$AE68*(1+HF$3))/$AJ68,'Технический лист'!$M:$N,2,1),(HE68-0.05)))</f>
        <v/>
      </c>
      <c r="HG68" s="172">
        <f>MIN(1,MAX(VLOOKUP(($AJ68-$AI68-$AH68-$AG68-$AF68-$AE68*(1+HG$3))/$AJ68,'Технический лист'!$M:$N,2,1),(HF68-0.05)))</f>
        <v/>
      </c>
      <c r="HH68" s="172">
        <f>MIN(1,MAX(VLOOKUP(($AJ68-$AI68-$AH68-$AG68-$AF68-$AE68*(1+HH$3))/$AJ68,'Технический лист'!$M:$N,2,1),(HG68-0.05)))</f>
        <v/>
      </c>
      <c r="HI68" s="172">
        <f>MIN(1,MAX(VLOOKUP(($AJ68-$AI68-$AH68-$AG68-$AF68-$AE68*(1+HI$3))/$AJ68,'Технический лист'!$M:$N,2,1),(HH68-0.05)))</f>
        <v/>
      </c>
      <c r="HJ68" s="172">
        <f>MIN(1,MAX(VLOOKUP(($AJ68-$AI68-$AH68-$AG68-$AF68-$AE68*(1+HJ$3))/$AJ68,'Технический лист'!$M:$N,2,1),(HI68-0.05)))</f>
        <v/>
      </c>
      <c r="HK68" s="172">
        <f>MIN(1,MAX(VLOOKUP(($AJ68-$AI68-$AH68-$AG68-$AF68-$AE68*(1+HK$3))/$AJ68,'Технический лист'!$M:$N,2,1),(HJ68-0.05)))</f>
        <v/>
      </c>
      <c r="HL68" s="172">
        <f>MIN(1,MAX(VLOOKUP(($AJ68-$AI68-$AH68-$AG68-$AF68-$AE68*(1+HL$3))/$AJ68,'Технический лист'!$M:$N,2,1),(HK68-0.05)))</f>
        <v/>
      </c>
      <c r="HM68" s="172">
        <f>MIN(1,MAX(VLOOKUP(($AJ68-$AI68-$AH68-$AG68-$AF68-$AE68*(1+HM$3))/$AJ68,'Технический лист'!$M:$N,2,1),(HL68-0.05)))</f>
        <v/>
      </c>
      <c r="HN68" s="172">
        <f>MIN(1,MAX(VLOOKUP(($AJ68-$AI68-$AH68-$AG68-$AF68-$AE68*(1+HN$3))/$AJ68,'Технический лист'!$M:$N,2,1),(HM68-0.05)))</f>
        <v/>
      </c>
      <c r="HO68" s="172">
        <f>MIN(1,MAX(VLOOKUP(($AJ68-$AI68-$AH68-$AG68-$AF68-$AE68*(1+HO$3))/$AJ68,'Технический лист'!$M:$N,2,1),(HN68-0.05)))</f>
        <v/>
      </c>
      <c r="HP68" s="172">
        <f>MIN(1,MAX(VLOOKUP(($AJ68-$AI68-$AH68-$AG68-$AF68-$AE68*(1+HP$3))/$AJ68,'Технический лист'!$M:$N,2,1),(HO68-0.05)))</f>
        <v/>
      </c>
      <c r="HQ68" s="172">
        <f>MIN(1,MAX(VLOOKUP(($AJ68-$AI68-$AH68-$AG68-$AF68-$AE68*(1+HQ$3))/$AJ68,'Технический лист'!$M:$N,2,1),(HP68-0.05)))</f>
        <v/>
      </c>
      <c r="HR68" s="172">
        <f>MIN(1,MAX(VLOOKUP(($AJ68-$AI68-$AH68-$AG68-$AF68-$AE68*(1+HR$3))/$AJ68,'Технический лист'!$M:$N,2,1),(HQ68-0.05)))</f>
        <v/>
      </c>
      <c r="HS68" s="172">
        <f>MIN(1,MAX(VLOOKUP(($AJ68-$AI68-$AH68-$AG68-$AF68-$AE68*(1+HS$3))/$AJ68,'Технический лист'!$M:$N,2,1),(HR68-0.05)))</f>
        <v/>
      </c>
      <c r="HT68" s="172">
        <f>MIN(1,MAX(VLOOKUP(($AJ68-$AI68-$AH68-$AG68-$AF68-$AE68*(1+HT$3))/$AJ68,'Технический лист'!$M:$N,2,1),(HS68-0.05)))</f>
        <v/>
      </c>
      <c r="HU68" s="172">
        <f>MIN(1,MAX(VLOOKUP(($AJ68-$AI68-$AH68-$AG68-$AF68-$AE68*(1+HU$3))/$AJ68,'Технический лист'!$M:$N,2,1),(HT68-0.05)))</f>
        <v/>
      </c>
      <c r="HV68" s="172">
        <f>MIN(1,MAX(VLOOKUP(($AJ68-$AI68-$AH68-$AG68-$AF68-$AE68*(1+HV$3))/$AJ68,'Технический лист'!$M:$N,2,1),(HU68-0.05)))</f>
        <v/>
      </c>
      <c r="HW68" s="172">
        <f>MIN(1,MAX(VLOOKUP(($AJ68-$AI68-$AH68-$AG68-$AF68-$AE68*(1+HW$3))/$AJ68,'Технический лист'!$M:$N,2,1),(HV68-0.05)))</f>
        <v/>
      </c>
      <c r="HX68" s="172">
        <f>MIN(1,MAX(VLOOKUP(($AJ68-$AI68-$AH68-$AG68-$AF68-$AE68*(1+HX$3))/$AJ68,'Технический лист'!$M:$N,2,1),(HW68-0.05)))</f>
        <v/>
      </c>
      <c r="HY68" s="172">
        <f>MIN(1,MAX(VLOOKUP(($AJ68-$AI68-$AH68-$AG68-$AF68-$AE68*(1+HY$3))/$AJ68,'Технический лист'!$M:$N,2,1),(HX68-0.05)))</f>
        <v/>
      </c>
      <c r="HZ68" s="172">
        <f>MIN(1,MAX(VLOOKUP(($AJ68-$AI68-$AH68-$AG68-$AF68-$AE68*(1+HZ$3))/$AJ68,'Технический лист'!$M:$N,2,1),(HY68-0.05)))</f>
        <v/>
      </c>
      <c r="IA68" s="172">
        <f>MIN(1,MAX(VLOOKUP(($AJ68-$AI68-$AH68-$AG68-$AF68-$AE68*(1+IA$3))/$AJ68,'Технический лист'!$M:$N,2,1),(HZ68-0.05)))</f>
        <v/>
      </c>
      <c r="IB68" s="172">
        <f>MIN(1,MAX(VLOOKUP(($AJ68-$AI68-$AH68-$AG68-$AF68-$AE68*(1+IB$3))/$AJ68,'Технический лист'!$M:$N,2,1),(IA68-0.05)))</f>
        <v/>
      </c>
      <c r="IC68" s="172">
        <f>MIN(1,MAX(VLOOKUP(($AJ68-$AI68-$AH68-$AG68-$AF68-$AE68*(1+IC$3))/$AJ68,'Технический лист'!$M:$N,2,1),(IB68-0.05)))</f>
        <v/>
      </c>
      <c r="ID68" s="172">
        <f>MIN(1,MAX(VLOOKUP(($AJ68-$AI68-$AH68-$AG68-$AF68-$AE68*(1+ID$3))/$AJ68,'Технический лист'!$M:$N,2,1),(IC68-0.05)))</f>
        <v/>
      </c>
      <c r="IE68" s="172">
        <f>MIN(1,MAX(VLOOKUP(($AJ68-$AI68-$AH68-$AG68-$AF68-$AE68*(1+IE$3))/$AJ68,'Технический лист'!$M:$N,2,1),(ID68-0.05)))</f>
        <v/>
      </c>
      <c r="IF68" s="172">
        <f>MIN(1,MAX(VLOOKUP(($AJ68-$AI68-$AH68-$AG68-$AF68-$AE68*(1+IF$3))/$AJ68,'Технический лист'!$M:$N,2,1),(IE68-0.05)))</f>
        <v/>
      </c>
      <c r="IG68" s="172">
        <f>MIN(1,MAX(VLOOKUP(($AJ68-$AI68-$AH68-$AG68-$AF68-$AE68*(1+IG$3))/$AJ68,'Технический лист'!$M:$N,2,1),(IF68-0.05)))</f>
        <v/>
      </c>
      <c r="IH68" s="172">
        <f>MIN(1,MAX(VLOOKUP(($AJ68-$AI68-$AH68-$AG68-$AF68-$AE68*(1+IH$3))/$AJ68,'Технический лист'!$M:$N,2,1),(IG68-0.05)))</f>
        <v/>
      </c>
      <c r="II68" s="172">
        <f>MIN(1,MAX(VLOOKUP(($AJ68-$AI68-$AH68-$AG68-$AF68-$AE68*(1+II$3))/$AJ68,'Технический лист'!$M:$N,2,1),(IH68-0.05)))</f>
        <v/>
      </c>
      <c r="IJ68" s="172">
        <f>MIN(1,MAX(VLOOKUP(($AJ68-$AI68-$AH68-$AG68-$AF68-$AE68*(1+IJ$3))/$AJ68,'Технический лист'!$M:$N,2,1),(II68-0.05)))</f>
        <v/>
      </c>
      <c r="IK68" s="172">
        <f>MIN(1,MAX(VLOOKUP(($AJ68-$AI68-$AH68-$AG68-$AF68-$AE68*(1+IK$3))/$AJ68,'Технический лист'!$M:$N,2,1),(IJ68-0.05)))</f>
        <v/>
      </c>
      <c r="IL68" s="172">
        <f>MIN(1,MAX(VLOOKUP(($AJ68-$AI68-$AH68-$AG68-$AF68-$AE68*(1+IL$3))/$AJ68,'Технический лист'!$M:$N,2,1),(IK68-0.05)))</f>
        <v/>
      </c>
      <c r="IM68" s="172">
        <f>MIN(1,MAX(VLOOKUP(($AJ68-$AI68-$AH68-$AG68-$AF68-$AE68*(1+IM$3))/$AJ68,'Технический лист'!$M:$N,2,1),(IL68-0.05)))</f>
        <v/>
      </c>
      <c r="IN68" s="172">
        <f>MIN(1,MAX(VLOOKUP(($AJ68-$AI68-$AH68-$AG68-$AF68-$AE68*(1+IN$3))/$AJ68,'Технический лист'!$M:$N,2,1),(IM68-0.05)))</f>
        <v/>
      </c>
      <c r="IO68" s="172">
        <f>MIN(1,MAX(VLOOKUP(($AJ68-$AI68-$AH68-$AG68-$AF68-$AE68*(1+IO$3))/$AJ68,'Технический лист'!$M:$N,2,1),(IN68-0.05)))</f>
        <v/>
      </c>
      <c r="IP68" s="172">
        <f>MIN(1,MAX(VLOOKUP(($AJ68-$AI68-$AH68-$AG68-$AF68-$AE68*(1+IP$3))/$AJ68,'Технический лист'!$M:$N,2,1),(IO68-0.05)))</f>
        <v/>
      </c>
      <c r="IQ68" s="172">
        <f>MIN(1,MAX(VLOOKUP(($AJ68-$AI68-$AH68-$AG68-$AF68-$AE68*(1+IQ$3))/$AJ68,'Технический лист'!$M:$N,2,1),(IP68-0.05)))</f>
        <v/>
      </c>
      <c r="IR68" s="172">
        <f>MIN(1,MAX(VLOOKUP(($AJ68-$AI68-$AH68-$AG68-$AF68-$AE68*(1+IR$3))/$AJ68,'Технический лист'!$M:$N,2,1),(IQ68-0.05)))</f>
        <v/>
      </c>
    </row>
    <row r="69" ht="29.15" customFormat="1" customHeight="1" s="6">
      <c r="A69" s="89" t="inlineStr">
        <is>
          <t>ЦМ (сырье)</t>
        </is>
      </c>
      <c r="B69" s="76" t="n">
        <v>4</v>
      </c>
      <c r="C69" s="3" t="inlineStr">
        <is>
          <t>Руды  всякие</t>
        </is>
      </c>
      <c r="D69" s="77" t="n">
        <v>15106</v>
      </c>
      <c r="E69" s="77" t="inlineStr">
        <is>
          <t xml:space="preserve">Глинозем </t>
        </is>
      </c>
      <c r="F69" s="77" t="inlineStr">
        <is>
          <t xml:space="preserve">Сырье цветных металлов, сырье серное </t>
        </is>
      </c>
      <c r="G69" s="77" t="inlineStr">
        <is>
          <t>СВР</t>
        </is>
      </c>
      <c r="H69" s="77" t="inlineStr">
        <is>
          <t>КРС</t>
        </is>
      </c>
      <c r="I69" s="77" t="inlineStr">
        <is>
          <t>КЛИМКИ</t>
        </is>
      </c>
      <c r="J69" s="77" t="inlineStr">
        <is>
          <t>КАМЫШТА</t>
        </is>
      </c>
      <c r="K69" s="77" t="n">
        <v>2717</v>
      </c>
      <c r="L69" s="77" t="inlineStr">
        <is>
          <t>Полувагоны</t>
        </is>
      </c>
      <c r="M69" s="91" t="inlineStr">
        <is>
          <t>Внутр. перевозки</t>
        </is>
      </c>
      <c r="N69" s="77" t="inlineStr">
        <is>
          <t>вагонная</t>
        </is>
      </c>
      <c r="O69" s="77" t="inlineStr">
        <is>
          <t xml:space="preserve">Восточное </t>
        </is>
      </c>
      <c r="P69" s="79" t="inlineStr">
        <is>
          <t>'000055782863</t>
        </is>
      </c>
      <c r="Q69" s="77" t="inlineStr">
        <is>
          <t>ОК РУСАЛ</t>
        </is>
      </c>
      <c r="R69" s="77" t="inlineStr">
        <is>
          <t>ОК РУСАЛ</t>
        </is>
      </c>
      <c r="S69" s="80" t="n">
        <v>374805</v>
      </c>
      <c r="T69" s="80" t="n">
        <v>1018407289</v>
      </c>
      <c r="U69" s="88" t="n">
        <v>5327</v>
      </c>
      <c r="V69" s="88" t="n">
        <v>13742</v>
      </c>
      <c r="W69" s="87" t="n">
        <v>712666588</v>
      </c>
      <c r="X69" s="112" t="n">
        <v>69</v>
      </c>
      <c r="Y69" s="112" t="inlineStr">
        <is>
          <t>групповая</t>
        </is>
      </c>
      <c r="Z69" s="113" t="n">
        <v>11</v>
      </c>
      <c r="AA69" s="113" t="n">
        <v>8</v>
      </c>
      <c r="AB69" s="113" t="n">
        <v>4</v>
      </c>
      <c r="AC69" s="161" t="n">
        <v>2180.74</v>
      </c>
      <c r="AD69" s="161">
        <f>AE69-AC69</f>
        <v/>
      </c>
      <c r="AE69" s="161" t="n">
        <v>2805.28</v>
      </c>
      <c r="AF69" s="162">
        <f>(Z69+AA69+AB69)*'Ставки аренды'!$B$3/X69</f>
        <v/>
      </c>
      <c r="AG69" s="163" t="n">
        <v>0</v>
      </c>
      <c r="AH69" s="164" t="n">
        <v>0</v>
      </c>
      <c r="AI69" s="165">
        <f>12254/14812*AJ69</f>
        <v/>
      </c>
      <c r="AJ69" s="166">
        <f>Цены!D21</f>
        <v/>
      </c>
      <c r="AK69" s="164">
        <f>AJ69/Цены!$B$1</f>
        <v/>
      </c>
      <c r="AL69" s="164">
        <f>AE69+AF69+AG69</f>
        <v/>
      </c>
      <c r="AM69" s="164">
        <f>AJ69-AL69</f>
        <v/>
      </c>
      <c r="AN69" s="164">
        <f>AI69+AH69+AG69+AF69+AE69</f>
        <v/>
      </c>
      <c r="AO69" s="167">
        <f>(AJ69-AN69)/AJ69</f>
        <v/>
      </c>
      <c r="AP69" s="168">
        <f>AL69/AJ69</f>
        <v/>
      </c>
      <c r="AQ69" s="168">
        <f>AE69/AJ69</f>
        <v/>
      </c>
      <c r="AR69" s="168">
        <f>AE69/AL69</f>
        <v/>
      </c>
      <c r="AS69" s="169" t="n">
        <v>1</v>
      </c>
      <c r="AT69" s="121">
        <f>S69*AS69</f>
        <v/>
      </c>
      <c r="AU69" s="7" t="inlineStr">
        <is>
          <t>Внутренняя логистика</t>
        </is>
      </c>
      <c r="AV69" s="170">
        <f>(AJ69-(AE69*(1+$IS$2)+AF69+AG69+AH69+AI69))/AJ69</f>
        <v/>
      </c>
      <c r="AW69" s="171">
        <f>(AE69*(1+$IS$2)+AF69+AG69)/AJ69</f>
        <v/>
      </c>
      <c r="AX69" s="171">
        <f>(AE69*(1+$IS$2))/AJ69</f>
        <v/>
      </c>
      <c r="AY69" s="171">
        <f>(AE69*(1+$IS$2))/(AE69*(1+$IS$2)+AF69+AG69)</f>
        <v/>
      </c>
      <c r="AZ69" s="172" t="n">
        <v>1</v>
      </c>
      <c r="BA69" s="172" t="n">
        <v>1</v>
      </c>
      <c r="BB69" s="172" t="n">
        <v>1</v>
      </c>
      <c r="BC69" s="172" t="n">
        <v>1</v>
      </c>
      <c r="BD69" s="172" t="n">
        <v>1</v>
      </c>
      <c r="BE69" s="172" t="n">
        <v>1</v>
      </c>
      <c r="BF69" s="172" t="n">
        <v>1</v>
      </c>
      <c r="BG69" s="172" t="n">
        <v>1</v>
      </c>
      <c r="BH69" s="172" t="n">
        <v>1</v>
      </c>
      <c r="BI69" s="172" t="n">
        <v>1</v>
      </c>
      <c r="BJ69" s="172" t="n">
        <v>1</v>
      </c>
      <c r="BK69" s="172" t="n">
        <v>1</v>
      </c>
      <c r="BL69" s="172" t="n">
        <v>1</v>
      </c>
      <c r="BM69" s="172" t="n">
        <v>1</v>
      </c>
      <c r="BN69" s="172" t="n">
        <v>1</v>
      </c>
      <c r="BO69" s="172" t="n">
        <v>1</v>
      </c>
      <c r="BP69" s="172" t="n">
        <v>1</v>
      </c>
      <c r="BQ69" s="172" t="n">
        <v>1</v>
      </c>
      <c r="BR69" s="172" t="n">
        <v>1</v>
      </c>
      <c r="BS69" s="172" t="n">
        <v>1</v>
      </c>
      <c r="BT69" s="172" t="n">
        <v>1</v>
      </c>
      <c r="BU69" s="172" t="n">
        <v>1</v>
      </c>
      <c r="BV69" s="172" t="n">
        <v>1</v>
      </c>
      <c r="BW69" s="172" t="n">
        <v>1</v>
      </c>
      <c r="BX69" s="172" t="n">
        <v>1</v>
      </c>
      <c r="BY69" s="172" t="n">
        <v>1</v>
      </c>
      <c r="BZ69" s="172" t="n">
        <v>1</v>
      </c>
      <c r="CA69" s="172" t="n">
        <v>1</v>
      </c>
      <c r="CB69" s="172" t="n">
        <v>1</v>
      </c>
      <c r="CC69" s="172" t="n">
        <v>1</v>
      </c>
      <c r="CD69" s="172" t="n">
        <v>1</v>
      </c>
      <c r="CE69" s="172" t="n">
        <v>1</v>
      </c>
      <c r="CF69" s="172" t="n">
        <v>1</v>
      </c>
      <c r="CG69" s="172" t="n">
        <v>1</v>
      </c>
      <c r="CH69" s="172" t="n">
        <v>1</v>
      </c>
      <c r="CI69" s="172" t="n">
        <v>1</v>
      </c>
      <c r="CJ69" s="172" t="n">
        <v>1</v>
      </c>
      <c r="CK69" s="172" t="n">
        <v>1</v>
      </c>
      <c r="CL69" s="172" t="n">
        <v>1</v>
      </c>
      <c r="CM69" s="172" t="n">
        <v>1</v>
      </c>
      <c r="CN69" s="172" t="n">
        <v>1</v>
      </c>
      <c r="CO69" s="172" t="n">
        <v>1</v>
      </c>
      <c r="CP69" s="172" t="n">
        <v>1</v>
      </c>
      <c r="CQ69" s="172" t="n">
        <v>1</v>
      </c>
      <c r="CR69" s="172" t="n">
        <v>1</v>
      </c>
      <c r="CS69" s="172" t="n">
        <v>1</v>
      </c>
      <c r="CT69" s="172" t="n">
        <v>1</v>
      </c>
      <c r="CU69" s="172" t="n">
        <v>1</v>
      </c>
      <c r="CV69" s="172" t="n">
        <v>1</v>
      </c>
      <c r="CW69" s="172" t="n">
        <v>1</v>
      </c>
      <c r="CX69" s="172" t="n">
        <v>1</v>
      </c>
      <c r="CY69" s="172" t="n">
        <v>1</v>
      </c>
      <c r="CZ69" s="172" t="n">
        <v>1</v>
      </c>
      <c r="DA69" s="172" t="n">
        <v>1</v>
      </c>
      <c r="DB69" s="172" t="n">
        <v>1</v>
      </c>
      <c r="DC69" s="172" t="n">
        <v>1</v>
      </c>
      <c r="DD69" s="172" t="n">
        <v>1</v>
      </c>
      <c r="DE69" s="172" t="n">
        <v>1</v>
      </c>
      <c r="DF69" s="172" t="n">
        <v>1</v>
      </c>
      <c r="DG69" s="172" t="n">
        <v>1</v>
      </c>
      <c r="DH69" s="172" t="n">
        <v>1</v>
      </c>
      <c r="DI69" s="172" t="n">
        <v>1</v>
      </c>
      <c r="DJ69" s="172" t="n">
        <v>1</v>
      </c>
      <c r="DK69" s="172" t="n">
        <v>1</v>
      </c>
      <c r="DL69" s="172" t="n">
        <v>1</v>
      </c>
      <c r="DM69" s="172" t="n">
        <v>1</v>
      </c>
      <c r="DN69" s="172" t="n">
        <v>1</v>
      </c>
      <c r="DO69" s="172" t="n">
        <v>1</v>
      </c>
      <c r="DP69" s="172" t="n">
        <v>1</v>
      </c>
      <c r="DQ69" s="172" t="n">
        <v>1</v>
      </c>
      <c r="DR69" s="172" t="n">
        <v>1</v>
      </c>
      <c r="DS69" s="172" t="n">
        <v>1</v>
      </c>
      <c r="DT69" s="172" t="n">
        <v>1</v>
      </c>
      <c r="DU69" s="172" t="n">
        <v>1</v>
      </c>
      <c r="DV69" s="172" t="n">
        <v>1</v>
      </c>
      <c r="DW69" s="172" t="n">
        <v>1</v>
      </c>
      <c r="DX69" s="172" t="n">
        <v>1</v>
      </c>
      <c r="DY69" s="172" t="n">
        <v>1</v>
      </c>
      <c r="DZ69" s="172" t="n">
        <v>1</v>
      </c>
      <c r="EA69" s="172" t="n">
        <v>1</v>
      </c>
      <c r="EB69" s="172" t="n">
        <v>1</v>
      </c>
      <c r="EC69" s="172" t="n">
        <v>1</v>
      </c>
      <c r="ED69" s="172" t="n">
        <v>1</v>
      </c>
      <c r="EE69" s="172" t="n">
        <v>1</v>
      </c>
      <c r="EF69" s="172" t="n">
        <v>1</v>
      </c>
      <c r="EG69" s="172" t="n">
        <v>1</v>
      </c>
      <c r="EH69" s="172" t="n">
        <v>1</v>
      </c>
      <c r="EI69" s="172" t="n">
        <v>1</v>
      </c>
      <c r="EJ69" s="172" t="n">
        <v>1</v>
      </c>
      <c r="EK69" s="172" t="n">
        <v>1</v>
      </c>
      <c r="EL69" s="172" t="n">
        <v>1</v>
      </c>
      <c r="EM69" s="172" t="n">
        <v>1</v>
      </c>
      <c r="EN69" s="172" t="n">
        <v>1</v>
      </c>
      <c r="EO69" s="172" t="n">
        <v>1</v>
      </c>
      <c r="EP69" s="172" t="n">
        <v>1</v>
      </c>
      <c r="EQ69" s="172" t="n">
        <v>1</v>
      </c>
      <c r="ER69" s="172" t="n">
        <v>1</v>
      </c>
      <c r="ES69" s="172" t="n">
        <v>1</v>
      </c>
      <c r="ET69" s="172" t="n">
        <v>1</v>
      </c>
      <c r="EU69" s="172" t="n">
        <v>1</v>
      </c>
      <c r="EV69" s="173" t="n">
        <v>1</v>
      </c>
      <c r="EW69" s="172" t="n">
        <v>1</v>
      </c>
      <c r="EX69" s="172" t="n">
        <v>1</v>
      </c>
      <c r="EY69" s="172" t="n">
        <v>1</v>
      </c>
      <c r="EZ69" s="172" t="n">
        <v>1</v>
      </c>
      <c r="FA69" s="172" t="n">
        <v>1</v>
      </c>
      <c r="FB69" s="172" t="n">
        <v>1</v>
      </c>
      <c r="FC69" s="172" t="n">
        <v>1</v>
      </c>
      <c r="FD69" s="172" t="n">
        <v>1</v>
      </c>
      <c r="FE69" s="172" t="n">
        <v>1</v>
      </c>
      <c r="FF69" s="172" t="n">
        <v>1</v>
      </c>
      <c r="FG69" s="172" t="n">
        <v>1</v>
      </c>
      <c r="FH69" s="172" t="n">
        <v>1</v>
      </c>
      <c r="FI69" s="172" t="n">
        <v>1</v>
      </c>
      <c r="FJ69" s="172" t="n">
        <v>1</v>
      </c>
      <c r="FK69" s="172" t="n">
        <v>1</v>
      </c>
      <c r="FL69" s="172" t="n">
        <v>1</v>
      </c>
      <c r="FM69" s="172" t="n">
        <v>1</v>
      </c>
      <c r="FN69" s="172" t="n">
        <v>1</v>
      </c>
      <c r="FO69" s="172" t="n">
        <v>1</v>
      </c>
      <c r="FP69" s="172" t="n">
        <v>1</v>
      </c>
      <c r="FQ69" s="172" t="n">
        <v>1</v>
      </c>
      <c r="FR69" s="172" t="n">
        <v>1</v>
      </c>
      <c r="FS69" s="172" t="n">
        <v>1</v>
      </c>
      <c r="FT69" s="172" t="n">
        <v>1</v>
      </c>
      <c r="FU69" s="172" t="n">
        <v>1</v>
      </c>
      <c r="FV69" s="172" t="n">
        <v>1</v>
      </c>
      <c r="FW69" s="172" t="n">
        <v>1</v>
      </c>
      <c r="FX69" s="172" t="n">
        <v>1</v>
      </c>
      <c r="FY69" s="172" t="n">
        <v>1</v>
      </c>
      <c r="FZ69" s="172" t="n">
        <v>1</v>
      </c>
      <c r="GA69" s="172" t="n">
        <v>1</v>
      </c>
      <c r="GB69" s="172" t="n">
        <v>1</v>
      </c>
      <c r="GC69" s="172" t="n">
        <v>1</v>
      </c>
      <c r="GD69" s="172" t="n">
        <v>1</v>
      </c>
      <c r="GE69" s="172" t="n">
        <v>1</v>
      </c>
      <c r="GF69" s="172" t="n">
        <v>1</v>
      </c>
      <c r="GG69" s="172" t="n">
        <v>1</v>
      </c>
      <c r="GH69" s="172" t="n">
        <v>1</v>
      </c>
      <c r="GI69" s="172" t="n">
        <v>1</v>
      </c>
      <c r="GJ69" s="172" t="n">
        <v>1</v>
      </c>
      <c r="GK69" s="172" t="n">
        <v>1</v>
      </c>
      <c r="GL69" s="172" t="n">
        <v>1</v>
      </c>
      <c r="GM69" s="172" t="n">
        <v>1</v>
      </c>
      <c r="GN69" s="172" t="n">
        <v>1</v>
      </c>
      <c r="GO69" s="172" t="n">
        <v>1</v>
      </c>
      <c r="GP69" s="172" t="n">
        <v>1</v>
      </c>
      <c r="GQ69" s="172" t="n">
        <v>1</v>
      </c>
      <c r="GR69" s="172" t="n">
        <v>1</v>
      </c>
      <c r="GS69" s="172" t="n">
        <v>1</v>
      </c>
      <c r="GT69" s="172" t="n">
        <v>1</v>
      </c>
      <c r="GU69" s="172" t="n">
        <v>1</v>
      </c>
      <c r="GV69" s="172" t="n">
        <v>1</v>
      </c>
      <c r="GW69" s="172" t="n">
        <v>1</v>
      </c>
      <c r="GX69" s="172" t="n">
        <v>1</v>
      </c>
      <c r="GY69" s="172" t="n">
        <v>1</v>
      </c>
      <c r="GZ69" s="172" t="n">
        <v>1</v>
      </c>
      <c r="HA69" s="172" t="n">
        <v>1</v>
      </c>
      <c r="HB69" s="172" t="n">
        <v>1</v>
      </c>
      <c r="HC69" s="172" t="n">
        <v>1</v>
      </c>
      <c r="HD69" s="172" t="n">
        <v>1</v>
      </c>
      <c r="HE69" s="172" t="n">
        <v>1</v>
      </c>
      <c r="HF69" s="172" t="n">
        <v>1</v>
      </c>
      <c r="HG69" s="172" t="n">
        <v>1</v>
      </c>
      <c r="HH69" s="172" t="n">
        <v>1</v>
      </c>
      <c r="HI69" s="172" t="n">
        <v>1</v>
      </c>
      <c r="HJ69" s="172" t="n">
        <v>1</v>
      </c>
      <c r="HK69" s="172" t="n">
        <v>1</v>
      </c>
      <c r="HL69" s="172" t="n">
        <v>1</v>
      </c>
      <c r="HM69" s="172" t="n">
        <v>1</v>
      </c>
      <c r="HN69" s="172" t="n">
        <v>1</v>
      </c>
      <c r="HO69" s="172" t="n">
        <v>1</v>
      </c>
      <c r="HP69" s="172" t="n">
        <v>1</v>
      </c>
      <c r="HQ69" s="172" t="n">
        <v>1</v>
      </c>
      <c r="HR69" s="172" t="n">
        <v>1</v>
      </c>
      <c r="HS69" s="172" t="n">
        <v>1</v>
      </c>
      <c r="HT69" s="172" t="n">
        <v>1</v>
      </c>
      <c r="HU69" s="172" t="n">
        <v>1</v>
      </c>
      <c r="HV69" s="172" t="n">
        <v>1</v>
      </c>
      <c r="HW69" s="172" t="n">
        <v>1</v>
      </c>
      <c r="HX69" s="172" t="n">
        <v>1</v>
      </c>
      <c r="HY69" s="172" t="n">
        <v>1</v>
      </c>
      <c r="HZ69" s="172" t="n">
        <v>1</v>
      </c>
      <c r="IA69" s="172" t="n">
        <v>1</v>
      </c>
      <c r="IB69" s="172" t="n">
        <v>1</v>
      </c>
      <c r="IC69" s="172" t="n">
        <v>1</v>
      </c>
      <c r="ID69" s="172" t="n">
        <v>1</v>
      </c>
      <c r="IE69" s="172" t="n">
        <v>1</v>
      </c>
      <c r="IF69" s="172" t="n">
        <v>1</v>
      </c>
      <c r="IG69" s="172" t="n">
        <v>1</v>
      </c>
      <c r="IH69" s="172" t="n">
        <v>1</v>
      </c>
      <c r="II69" s="172" t="n">
        <v>1</v>
      </c>
      <c r="IJ69" s="172" t="n">
        <v>1</v>
      </c>
      <c r="IK69" s="172" t="n">
        <v>1</v>
      </c>
      <c r="IL69" s="172" t="n">
        <v>1</v>
      </c>
      <c r="IM69" s="172" t="n">
        <v>1</v>
      </c>
      <c r="IN69" s="172" t="n">
        <v>1</v>
      </c>
      <c r="IO69" s="172" t="n">
        <v>1</v>
      </c>
      <c r="IP69" s="172" t="n">
        <v>1</v>
      </c>
      <c r="IQ69" s="172" t="n">
        <v>1</v>
      </c>
      <c r="IR69" s="172" t="n">
        <v>1</v>
      </c>
    </row>
    <row r="70" ht="29.15" customFormat="1" customHeight="1" s="6">
      <c r="A70" s="89" t="inlineStr">
        <is>
          <t>ЦМ (сырье)</t>
        </is>
      </c>
      <c r="B70" s="76" t="n">
        <v>4</v>
      </c>
      <c r="C70" s="3" t="inlineStr">
        <is>
          <t>Руды  всякие</t>
        </is>
      </c>
      <c r="D70" s="77" t="n">
        <v>15116</v>
      </c>
      <c r="E70" s="77" t="inlineStr">
        <is>
          <t xml:space="preserve">Концентрат медный </t>
        </is>
      </c>
      <c r="F70" s="77" t="inlineStr">
        <is>
          <t xml:space="preserve">Сырье цветных металлов, сырье серное </t>
        </is>
      </c>
      <c r="G70" s="77" t="inlineStr">
        <is>
          <t>ДВС</t>
        </is>
      </c>
      <c r="H70" s="77" t="inlineStr">
        <is>
          <t>СВР</t>
        </is>
      </c>
      <c r="I70" s="77" t="inlineStr">
        <is>
          <t>СЕЛИХИН</t>
        </is>
      </c>
      <c r="J70" s="77" t="inlineStr">
        <is>
          <t>РЕВДА</t>
        </is>
      </c>
      <c r="K70" s="77" t="n">
        <v>7120</v>
      </c>
      <c r="L70" s="77" t="inlineStr">
        <is>
          <t>Полувагоны</t>
        </is>
      </c>
      <c r="M70" s="91" t="inlineStr">
        <is>
          <t>Внутр. перевозки</t>
        </is>
      </c>
      <c r="N70" s="77" t="inlineStr">
        <is>
          <t>вагонная</t>
        </is>
      </c>
      <c r="O70" s="77" t="inlineStr">
        <is>
          <t xml:space="preserve">Южное </t>
        </is>
      </c>
      <c r="P70" s="79" t="inlineStr">
        <is>
          <t>'000077260705</t>
        </is>
      </c>
      <c r="Q70" s="77" t="inlineStr">
        <is>
          <t>ООО "Амур Минералс"</t>
        </is>
      </c>
      <c r="R70" s="77" t="inlineStr">
        <is>
          <t>АО "Русская медная компания"</t>
        </is>
      </c>
      <c r="S70" s="80" t="n">
        <v>369636</v>
      </c>
      <c r="T70" s="80" t="n">
        <v>2631670227</v>
      </c>
      <c r="U70" s="88" t="n">
        <v>5260</v>
      </c>
      <c r="V70" s="88" t="n">
        <v>0</v>
      </c>
      <c r="W70" s="87" t="n">
        <v>2354140578</v>
      </c>
      <c r="X70" s="112" t="n">
        <v>69</v>
      </c>
      <c r="Y70" s="112" t="inlineStr">
        <is>
          <t xml:space="preserve"> групповая</t>
        </is>
      </c>
      <c r="Z70" s="113" t="n">
        <v>19</v>
      </c>
      <c r="AA70" s="113" t="n">
        <v>14</v>
      </c>
      <c r="AB70" s="113" t="n">
        <v>4</v>
      </c>
      <c r="AC70" s="161" t="n">
        <v>7197.57</v>
      </c>
      <c r="AD70" s="161">
        <f>AE70-AC70</f>
        <v/>
      </c>
      <c r="AE70" s="161" t="n">
        <v>8210.700000000001</v>
      </c>
      <c r="AF70" s="162">
        <f>(Z70+AA70+AB70)*'Ставки аренды'!$B$3/X70</f>
        <v/>
      </c>
      <c r="AG70" s="163" t="n">
        <v>0</v>
      </c>
      <c r="AH70" s="164" t="n">
        <v>0</v>
      </c>
      <c r="AI70" s="165">
        <f>AJ70*0.35</f>
        <v/>
      </c>
      <c r="AJ70" s="166">
        <f>Цены!C30*'Курсы валют'!B2</f>
        <v/>
      </c>
      <c r="AK70" s="164">
        <f>AJ70/Цены!$B$1</f>
        <v/>
      </c>
      <c r="AL70" s="164">
        <f>AE70+AF70+AG70</f>
        <v/>
      </c>
      <c r="AM70" s="164">
        <f>AJ70-AL70</f>
        <v/>
      </c>
      <c r="AN70" s="164">
        <f>AI70+AH70+AG70+AF70+AE70</f>
        <v/>
      </c>
      <c r="AO70" s="167">
        <f>(AJ70-AN70)/AJ70</f>
        <v/>
      </c>
      <c r="AP70" s="168">
        <f>AL70/AJ70</f>
        <v/>
      </c>
      <c r="AQ70" s="168">
        <f>AE70/AJ70</f>
        <v/>
      </c>
      <c r="AR70" s="168">
        <f>AE70/AL70</f>
        <v/>
      </c>
      <c r="AS70" s="169" t="n">
        <v>1</v>
      </c>
      <c r="AT70" s="121">
        <f>S70*AS70</f>
        <v/>
      </c>
      <c r="AU70" s="83" t="n">
        <v>1</v>
      </c>
      <c r="AV70" s="170">
        <f>(AJ70-(AE70*(1+$IS$2)+AF70+AG70+AH70+AI70))/AJ70</f>
        <v/>
      </c>
      <c r="AW70" s="171">
        <f>(AE70*(1+$IS$2)+AF70+AG70)/AJ70</f>
        <v/>
      </c>
      <c r="AX70" s="171">
        <f>(AE70*(1+$IS$2))/AJ70</f>
        <v/>
      </c>
      <c r="AY70" s="171">
        <f>(AE70*(1+$IS$2))/(AE70*(1+$IS$2)+AF70+AG70)</f>
        <v/>
      </c>
      <c r="AZ70" s="172">
        <f>MIN(IF($AU70=100%,1,1+VLOOKUP(($AJ70-$AI70-$AH70-$AG70-$AF70-$AE70*(1+AZ$3))/$AJ70,'Технический лист'!$M:$N,2,1)-VLOOKUP($AO70,'Технический лист'!$M:$N,2,1)),1+(1-$AU70))</f>
        <v/>
      </c>
      <c r="BA70" s="172">
        <f>MIN(IF($AU70=100%,1,1+VLOOKUP(($AJ70-$AI70-$AH70-$AG70-$AF70-$AE70*(1+BA$3))/$AJ70,'Технический лист'!$M:$N,2,1)-VLOOKUP($AO70,'Технический лист'!$M:$N,2,1)),1+(1-$AU70))</f>
        <v/>
      </c>
      <c r="BB70" s="172">
        <f>MIN(IF($AU70=100%,1,1+VLOOKUP(($AJ70-$AI70-$AH70-$AG70-$AF70-$AE70*(1+BB$3))/$AJ70,'Технический лист'!$M:$N,2,1)-VLOOKUP($AO70,'Технический лист'!$M:$N,2,1)),1+(1-$AU70))</f>
        <v/>
      </c>
      <c r="BC70" s="172">
        <f>MIN(IF($AU70=100%,1,1+VLOOKUP(($AJ70-$AI70-$AH70-$AG70-$AF70-$AE70*(1+BC$3))/$AJ70,'Технический лист'!$M:$N,2,1)-VLOOKUP($AO70,'Технический лист'!$M:$N,2,1)),1+(1-$AU70))</f>
        <v/>
      </c>
      <c r="BD70" s="172">
        <f>MIN(IF($AU70=100%,1,1+VLOOKUP(($AJ70-$AI70-$AH70-$AG70-$AF70-$AE70*(1+BD$3))/$AJ70,'Технический лист'!$M:$N,2,1)-VLOOKUP($AO70,'Технический лист'!$M:$N,2,1)),1+(1-$AU70))</f>
        <v/>
      </c>
      <c r="BE70" s="172">
        <f>MIN(IF($AU70=100%,1,1+VLOOKUP(($AJ70-$AI70-$AH70-$AG70-$AF70-$AE70*(1+BE$3))/$AJ70,'Технический лист'!$M:$N,2,1)-VLOOKUP($AO70,'Технический лист'!$M:$N,2,1)),1+(1-$AU70))</f>
        <v/>
      </c>
      <c r="BF70" s="172">
        <f>MIN(IF($AU70=100%,1,1+VLOOKUP(($AJ70-$AI70-$AH70-$AG70-$AF70-$AE70*(1+BF$3))/$AJ70,'Технический лист'!$M:$N,2,1)-VLOOKUP($AO70,'Технический лист'!$M:$N,2,1)),1+(1-$AU70))</f>
        <v/>
      </c>
      <c r="BG70" s="172">
        <f>MIN(IF($AU70=100%,1,1+VLOOKUP(($AJ70-$AI70-$AH70-$AG70-$AF70-$AE70*(1+BG$3))/$AJ70,'Технический лист'!$M:$N,2,1)-VLOOKUP($AO70,'Технический лист'!$M:$N,2,1)),1+(1-$AU70))</f>
        <v/>
      </c>
      <c r="BH70" s="172">
        <f>MIN(IF($AU70=100%,1,1+VLOOKUP(($AJ70-$AI70-$AH70-$AG70-$AF70-$AE70*(1+BH$3))/$AJ70,'Технический лист'!$M:$N,2,1)-VLOOKUP($AO70,'Технический лист'!$M:$N,2,1)),1+(1-$AU70))</f>
        <v/>
      </c>
      <c r="BI70" s="172">
        <f>MIN(IF($AU70=100%,1,1+VLOOKUP(($AJ70-$AI70-$AH70-$AG70-$AF70-$AE70*(1+BI$3))/$AJ70,'Технический лист'!$M:$N,2,1)-VLOOKUP($AO70,'Технический лист'!$M:$N,2,1)),1+(1-$AU70))</f>
        <v/>
      </c>
      <c r="BJ70" s="172">
        <f>MIN(IF($AU70=100%,1,1+VLOOKUP(($AJ70-$AI70-$AH70-$AG70-$AF70-$AE70*(1+BJ$3))/$AJ70,'Технический лист'!$M:$N,2,1)-VLOOKUP($AO70,'Технический лист'!$M:$N,2,1)),1+(1-$AU70))</f>
        <v/>
      </c>
      <c r="BK70" s="172">
        <f>MIN(IF($AU70=100%,1,1+VLOOKUP(($AJ70-$AI70-$AH70-$AG70-$AF70-$AE70*(1+BK$3))/$AJ70,'Технический лист'!$M:$N,2,1)-VLOOKUP($AO70,'Технический лист'!$M:$N,2,1)),1+(1-$AU70))</f>
        <v/>
      </c>
      <c r="BL70" s="172">
        <f>MIN(IF($AU70=100%,1,1+VLOOKUP(($AJ70-$AI70-$AH70-$AG70-$AF70-$AE70*(1+BL$3))/$AJ70,'Технический лист'!$M:$N,2,1)-VLOOKUP($AO70,'Технический лист'!$M:$N,2,1)),1+(1-$AU70))</f>
        <v/>
      </c>
      <c r="BM70" s="172">
        <f>MIN(IF($AU70=100%,1,1+VLOOKUP(($AJ70-$AI70-$AH70-$AG70-$AF70-$AE70*(1+BM$3))/$AJ70,'Технический лист'!$M:$N,2,1)-VLOOKUP($AO70,'Технический лист'!$M:$N,2,1)),1+(1-$AU70))</f>
        <v/>
      </c>
      <c r="BN70" s="172">
        <f>MIN(IF($AU70=100%,1,1+VLOOKUP(($AJ70-$AI70-$AH70-$AG70-$AF70-$AE70*(1+BN$3))/$AJ70,'Технический лист'!$M:$N,2,1)-VLOOKUP($AO70,'Технический лист'!$M:$N,2,1)),1+(1-$AU70))</f>
        <v/>
      </c>
      <c r="BO70" s="172">
        <f>MIN(IF($AU70=100%,1,1+VLOOKUP(($AJ70-$AI70-$AH70-$AG70-$AF70-$AE70*(1+BO$3))/$AJ70,'Технический лист'!$M:$N,2,1)-VLOOKUP($AO70,'Технический лист'!$M:$N,2,1)),1+(1-$AU70))</f>
        <v/>
      </c>
      <c r="BP70" s="172">
        <f>MIN(IF($AU70=100%,1,1+VLOOKUP(($AJ70-$AI70-$AH70-$AG70-$AF70-$AE70*(1+BP$3))/$AJ70,'Технический лист'!$M:$N,2,1)-VLOOKUP($AO70,'Технический лист'!$M:$N,2,1)),1+(1-$AU70))</f>
        <v/>
      </c>
      <c r="BQ70" s="172">
        <f>MIN(IF($AU70=100%,1,1+VLOOKUP(($AJ70-$AI70-$AH70-$AG70-$AF70-$AE70*(1+BQ$3))/$AJ70,'Технический лист'!$M:$N,2,1)-VLOOKUP($AO70,'Технический лист'!$M:$N,2,1)),1+(1-$AU70))</f>
        <v/>
      </c>
      <c r="BR70" s="172">
        <f>MIN(IF($AU70=100%,1,1+VLOOKUP(($AJ70-$AI70-$AH70-$AG70-$AF70-$AE70*(1+BR$3))/$AJ70,'Технический лист'!$M:$N,2,1)-VLOOKUP($AO70,'Технический лист'!$M:$N,2,1)),1+(1-$AU70))</f>
        <v/>
      </c>
      <c r="BS70" s="172">
        <f>MIN(IF($AU70=100%,1,1+VLOOKUP(($AJ70-$AI70-$AH70-$AG70-$AF70-$AE70*(1+BS$3))/$AJ70,'Технический лист'!$M:$N,2,1)-VLOOKUP($AO70,'Технический лист'!$M:$N,2,1)),1+(1-$AU70))</f>
        <v/>
      </c>
      <c r="BT70" s="172">
        <f>MIN(IF($AU70=100%,1,1+VLOOKUP(($AJ70-$AI70-$AH70-$AG70-$AF70-$AE70*(1+BT$3))/$AJ70,'Технический лист'!$M:$N,2,1)-VLOOKUP($AO70,'Технический лист'!$M:$N,2,1)),1+(1-$AU70))</f>
        <v/>
      </c>
      <c r="BU70" s="172">
        <f>MIN(IF($AU70=100%,1,1+VLOOKUP(($AJ70-$AI70-$AH70-$AG70-$AF70-$AE70*(1+BU$3))/$AJ70,'Технический лист'!$M:$N,2,1)-VLOOKUP($AO70,'Технический лист'!$M:$N,2,1)),1+(1-$AU70))</f>
        <v/>
      </c>
      <c r="BV70" s="172">
        <f>MIN(IF($AU70=100%,1,1+VLOOKUP(($AJ70-$AI70-$AH70-$AG70-$AF70-$AE70*(1+BV$3))/$AJ70,'Технический лист'!$M:$N,2,1)-VLOOKUP($AO70,'Технический лист'!$M:$N,2,1)),1+(1-$AU70))</f>
        <v/>
      </c>
      <c r="BW70" s="172">
        <f>MIN(IF($AU70=100%,1,1+VLOOKUP(($AJ70-$AI70-$AH70-$AG70-$AF70-$AE70*(1+BW$3))/$AJ70,'Технический лист'!$M:$N,2,1)-VLOOKUP($AO70,'Технический лист'!$M:$N,2,1)),1+(1-$AU70))</f>
        <v/>
      </c>
      <c r="BX70" s="172">
        <f>MIN(IF($AU70=100%,1,1+VLOOKUP(($AJ70-$AI70-$AH70-$AG70-$AF70-$AE70*(1+BX$3))/$AJ70,'Технический лист'!$M:$N,2,1)-VLOOKUP($AO70,'Технический лист'!$M:$N,2,1)),1+(1-$AU70))</f>
        <v/>
      </c>
      <c r="BY70" s="172">
        <f>MIN(IF($AU70=100%,1,1+VLOOKUP(($AJ70-$AI70-$AH70-$AG70-$AF70-$AE70*(1+BY$3))/$AJ70,'Технический лист'!$M:$N,2,1)-VLOOKUP($AO70,'Технический лист'!$M:$N,2,1)),1+(1-$AU70))</f>
        <v/>
      </c>
      <c r="BZ70" s="172">
        <f>MIN(IF($AU70=100%,1,1+VLOOKUP(($AJ70-$AI70-$AH70-$AG70-$AF70-$AE70*(1+BZ$3))/$AJ70,'Технический лист'!$M:$N,2,1)-VLOOKUP($AO70,'Технический лист'!$M:$N,2,1)),1+(1-$AU70))</f>
        <v/>
      </c>
      <c r="CA70" s="172">
        <f>MIN(IF($AU70=100%,1,1+VLOOKUP(($AJ70-$AI70-$AH70-$AG70-$AF70-$AE70*(1+CA$3))/$AJ70,'Технический лист'!$M:$N,2,1)-VLOOKUP($AO70,'Технический лист'!$M:$N,2,1)),1+(1-$AU70))</f>
        <v/>
      </c>
      <c r="CB70" s="172">
        <f>MIN(IF($AU70=100%,1,1+VLOOKUP(($AJ70-$AI70-$AH70-$AG70-$AF70-$AE70*(1+CB$3))/$AJ70,'Технический лист'!$M:$N,2,1)-VLOOKUP($AO70,'Технический лист'!$M:$N,2,1)),1+(1-$AU70))</f>
        <v/>
      </c>
      <c r="CC70" s="172">
        <f>MIN(IF($AU70=100%,1,1+VLOOKUP(($AJ70-$AI70-$AH70-$AG70-$AF70-$AE70*(1+CC$3))/$AJ70,'Технический лист'!$M:$N,2,1)-VLOOKUP($AO70,'Технический лист'!$M:$N,2,1)),1+(1-$AU70))</f>
        <v/>
      </c>
      <c r="CD70" s="172">
        <f>MIN(IF($AU70=100%,1,1+VLOOKUP(($AJ70-$AI70-$AH70-$AG70-$AF70-$AE70*(1+CD$3))/$AJ70,'Технический лист'!$M:$N,2,1)-VLOOKUP($AO70,'Технический лист'!$M:$N,2,1)),1+(1-$AU70))</f>
        <v/>
      </c>
      <c r="CE70" s="172">
        <f>MIN(IF($AU70=100%,1,1+VLOOKUP(($AJ70-$AI70-$AH70-$AG70-$AF70-$AE70*(1+CE$3))/$AJ70,'Технический лист'!$M:$N,2,1)-VLOOKUP($AO70,'Технический лист'!$M:$N,2,1)),1+(1-$AU70))</f>
        <v/>
      </c>
      <c r="CF70" s="172">
        <f>MIN(IF($AU70=100%,1,1+VLOOKUP(($AJ70-$AI70-$AH70-$AG70-$AF70-$AE70*(1+CF$3))/$AJ70,'Технический лист'!$M:$N,2,1)-VLOOKUP($AO70,'Технический лист'!$M:$N,2,1)),1+(1-$AU70))</f>
        <v/>
      </c>
      <c r="CG70" s="172">
        <f>MIN(IF($AU70=100%,1,1+VLOOKUP(($AJ70-$AI70-$AH70-$AG70-$AF70-$AE70*(1+CG$3))/$AJ70,'Технический лист'!$M:$N,2,1)-VLOOKUP($AO70,'Технический лист'!$M:$N,2,1)),1+(1-$AU70))</f>
        <v/>
      </c>
      <c r="CH70" s="172">
        <f>MIN(IF($AU70=100%,1,1+VLOOKUP(($AJ70-$AI70-$AH70-$AG70-$AF70-$AE70*(1+CH$3))/$AJ70,'Технический лист'!$M:$N,2,1)-VLOOKUP($AO70,'Технический лист'!$M:$N,2,1)),1+(1-$AU70))</f>
        <v/>
      </c>
      <c r="CI70" s="172">
        <f>MIN(IF($AU70=100%,1,1+VLOOKUP(($AJ70-$AI70-$AH70-$AG70-$AF70-$AE70*(1+CI$3))/$AJ70,'Технический лист'!$M:$N,2,1)-VLOOKUP($AO70,'Технический лист'!$M:$N,2,1)),1+(1-$AU70))</f>
        <v/>
      </c>
      <c r="CJ70" s="172">
        <f>MIN(IF($AU70=100%,1,1+VLOOKUP(($AJ70-$AI70-$AH70-$AG70-$AF70-$AE70*(1+CJ$3))/$AJ70,'Технический лист'!$M:$N,2,1)-VLOOKUP($AO70,'Технический лист'!$M:$N,2,1)),1+(1-$AU70))</f>
        <v/>
      </c>
      <c r="CK70" s="172">
        <f>MIN(IF($AU70=100%,1,1+VLOOKUP(($AJ70-$AI70-$AH70-$AG70-$AF70-$AE70*(1+CK$3))/$AJ70,'Технический лист'!$M:$N,2,1)-VLOOKUP($AO70,'Технический лист'!$M:$N,2,1)),1+(1-$AU70))</f>
        <v/>
      </c>
      <c r="CL70" s="172">
        <f>MIN(IF($AU70=100%,1,1+VLOOKUP(($AJ70-$AI70-$AH70-$AG70-$AF70-$AE70*(1+CL$3))/$AJ70,'Технический лист'!$M:$N,2,1)-VLOOKUP($AO70,'Технический лист'!$M:$N,2,1)),1+(1-$AU70))</f>
        <v/>
      </c>
      <c r="CM70" s="172">
        <f>MIN(IF($AU70=100%,1,1+VLOOKUP(($AJ70-$AI70-$AH70-$AG70-$AF70-$AE70*(1+CM$3))/$AJ70,'Технический лист'!$M:$N,2,1)-VLOOKUP($AO70,'Технический лист'!$M:$N,2,1)),1+(1-$AU70))</f>
        <v/>
      </c>
      <c r="CN70" s="172">
        <f>MIN(IF($AU70=100%,1,1+VLOOKUP(($AJ70-$AI70-$AH70-$AG70-$AF70-$AE70*(1+CN$3))/$AJ70,'Технический лист'!$M:$N,2,1)-VLOOKUP($AO70,'Технический лист'!$M:$N,2,1)),1+(1-$AU70))</f>
        <v/>
      </c>
      <c r="CO70" s="172">
        <f>MIN(IF($AU70=100%,1,1+VLOOKUP(($AJ70-$AI70-$AH70-$AG70-$AF70-$AE70*(1+CO$3))/$AJ70,'Технический лист'!$M:$N,2,1)-VLOOKUP($AO70,'Технический лист'!$M:$N,2,1)),1+(1-$AU70))</f>
        <v/>
      </c>
      <c r="CP70" s="172">
        <f>MIN(IF($AU70=100%,1,1+VLOOKUP(($AJ70-$AI70-$AH70-$AG70-$AF70-$AE70*(1+CP$3))/$AJ70,'Технический лист'!$M:$N,2,1)-VLOOKUP($AO70,'Технический лист'!$M:$N,2,1)),1+(1-$AU70))</f>
        <v/>
      </c>
      <c r="CQ70" s="172">
        <f>MIN(IF($AU70=100%,1,1+VLOOKUP(($AJ70-$AI70-$AH70-$AG70-$AF70-$AE70*(1+CQ$3))/$AJ70,'Технический лист'!$M:$N,2,1)-VLOOKUP($AO70,'Технический лист'!$M:$N,2,1)),1+(1-$AU70))</f>
        <v/>
      </c>
      <c r="CR70" s="172">
        <f>MIN(IF($AU70=100%,1,1+VLOOKUP(($AJ70-$AI70-$AH70-$AG70-$AF70-$AE70*(1+CR$3))/$AJ70,'Технический лист'!$M:$N,2,1)-VLOOKUP($AO70,'Технический лист'!$M:$N,2,1)),1+(1-$AU70))</f>
        <v/>
      </c>
      <c r="CS70" s="172">
        <f>MIN(IF($AU70=100%,1,1+VLOOKUP(($AJ70-$AI70-$AH70-$AG70-$AF70-$AE70*(1+CS$3))/$AJ70,'Технический лист'!$M:$N,2,1)-VLOOKUP($AO70,'Технический лист'!$M:$N,2,1)),1+(1-$AU70))</f>
        <v/>
      </c>
      <c r="CT70" s="172">
        <f>MIN(IF($AU70=100%,1,1+VLOOKUP(($AJ70-$AI70-$AH70-$AG70-$AF70-$AE70*(1+CT$3))/$AJ70,'Технический лист'!$M:$N,2,1)-VLOOKUP($AO70,'Технический лист'!$M:$N,2,1)),1+(1-$AU70))</f>
        <v/>
      </c>
      <c r="CU70" s="172">
        <f>MIN(IF($AU70=100%,1,1+VLOOKUP(($AJ70-$AI70-$AH70-$AG70-$AF70-$AE70*(1+CU$3))/$AJ70,'Технический лист'!$M:$N,2,1)-VLOOKUP($AO70,'Технический лист'!$M:$N,2,1)),1+(1-$AU70))</f>
        <v/>
      </c>
      <c r="CV70" s="172">
        <f>MIN(IF($AU70=100%,1,1+VLOOKUP(($AJ70-$AI70-$AH70-$AG70-$AF70-$AE70*(1+CV$3))/$AJ70,'Технический лист'!$M:$N,2,1)-VLOOKUP($AO70,'Технический лист'!$M:$N,2,1)),1+(1-$AU70))</f>
        <v/>
      </c>
      <c r="CW70" s="172">
        <f>MIN(IF($AU70=100%,1,1+VLOOKUP(($AJ70-$AI70-$AH70-$AG70-$AF70-$AE70*(1+CW$3))/$AJ70,'Технический лист'!$M:$N,2,1)-VLOOKUP($AO70,'Технический лист'!$M:$N,2,1)),1+(1-$AU70))</f>
        <v/>
      </c>
      <c r="CX70" s="172">
        <f>MIN(IF($AU70=100%,1,1+VLOOKUP(($AJ70-$AI70-$AH70-$AG70-$AF70-$AE70*(1+CX$3))/$AJ70,'Технический лист'!$M:$N,2,1)-VLOOKUP($AO70,'Технический лист'!$M:$N,2,1)),1+(1-$AU70))</f>
        <v/>
      </c>
      <c r="CY70" s="172">
        <f>MIN(IF($AU70=100%,1,1+VLOOKUP(($AJ70-$AI70-$AH70-$AG70-$AF70-$AE70*(1+CY$3))/$AJ70,'Технический лист'!$M:$N,2,1)-VLOOKUP($AO70,'Технический лист'!$M:$N,2,1)),1+(1-$AU70))</f>
        <v/>
      </c>
      <c r="CZ70" s="172">
        <f>MIN(IF($AU70=100%,1,1+VLOOKUP(($AJ70-$AI70-$AH70-$AG70-$AF70-$AE70*(1+CZ$3))/$AJ70,'Технический лист'!$M:$N,2,1)-VLOOKUP($AO70,'Технический лист'!$M:$N,2,1)),1+(1-$AU70))</f>
        <v/>
      </c>
      <c r="DA70" s="172">
        <f>MIN(IF($AU70=100%,1,1+VLOOKUP(($AJ70-$AI70-$AH70-$AG70-$AF70-$AE70*(1+DA$3))/$AJ70,'Технический лист'!$M:$N,2,1)-VLOOKUP($AO70,'Технический лист'!$M:$N,2,1)),1+(1-$AU70))</f>
        <v/>
      </c>
      <c r="DB70" s="172">
        <f>MIN(IF($AU70=100%,1,1+VLOOKUP(($AJ70-$AI70-$AH70-$AG70-$AF70-$AE70*(1+DB$3))/$AJ70,'Технический лист'!$M:$N,2,1)-VLOOKUP($AO70,'Технический лист'!$M:$N,2,1)),1+(1-$AU70))</f>
        <v/>
      </c>
      <c r="DC70" s="172">
        <f>MIN(IF($AU70=100%,1,1+VLOOKUP(($AJ70-$AI70-$AH70-$AG70-$AF70-$AE70*(1+DC$3))/$AJ70,'Технический лист'!$M:$N,2,1)-VLOOKUP($AO70,'Технический лист'!$M:$N,2,1)),1+(1-$AU70))</f>
        <v/>
      </c>
      <c r="DD70" s="172">
        <f>MIN(IF($AU70=100%,1,1+VLOOKUP(($AJ70-$AI70-$AH70-$AG70-$AF70-$AE70*(1+DD$3))/$AJ70,'Технический лист'!$M:$N,2,1)-VLOOKUP($AO70,'Технический лист'!$M:$N,2,1)),1+(1-$AU70))</f>
        <v/>
      </c>
      <c r="DE70" s="172">
        <f>MIN(IF($AU70=100%,1,1+VLOOKUP(($AJ70-$AI70-$AH70-$AG70-$AF70-$AE70*(1+DE$3))/$AJ70,'Технический лист'!$M:$N,2,1)-VLOOKUP($AO70,'Технический лист'!$M:$N,2,1)),1+(1-$AU70))</f>
        <v/>
      </c>
      <c r="DF70" s="172">
        <f>MIN(IF($AU70=100%,1,1+VLOOKUP(($AJ70-$AI70-$AH70-$AG70-$AF70-$AE70*(1+DF$3))/$AJ70,'Технический лист'!$M:$N,2,1)-VLOOKUP($AO70,'Технический лист'!$M:$N,2,1)),1+(1-$AU70))</f>
        <v/>
      </c>
      <c r="DG70" s="172">
        <f>MIN(IF($AU70=100%,1,1+VLOOKUP(($AJ70-$AI70-$AH70-$AG70-$AF70-$AE70*(1+DG$3))/$AJ70,'Технический лист'!$M:$N,2,1)-VLOOKUP($AO70,'Технический лист'!$M:$N,2,1)),1+(1-$AU70))</f>
        <v/>
      </c>
      <c r="DH70" s="172">
        <f>MIN(IF($AU70=100%,1,1+VLOOKUP(($AJ70-$AI70-$AH70-$AG70-$AF70-$AE70*(1+DH$3))/$AJ70,'Технический лист'!$M:$N,2,1)-VLOOKUP($AO70,'Технический лист'!$M:$N,2,1)),1+(1-$AU70))</f>
        <v/>
      </c>
      <c r="DI70" s="172">
        <f>MIN(IF($AU70=100%,1,1+VLOOKUP(($AJ70-$AI70-$AH70-$AG70-$AF70-$AE70*(1+DI$3))/$AJ70,'Технический лист'!$M:$N,2,1)-VLOOKUP($AO70,'Технический лист'!$M:$N,2,1)),1+(1-$AU70))</f>
        <v/>
      </c>
      <c r="DJ70" s="172">
        <f>MIN(IF($AU70=100%,1,1+VLOOKUP(($AJ70-$AI70-$AH70-$AG70-$AF70-$AE70*(1+DJ$3))/$AJ70,'Технический лист'!$M:$N,2,1)-VLOOKUP($AO70,'Технический лист'!$M:$N,2,1)),1+(1-$AU70))</f>
        <v/>
      </c>
      <c r="DK70" s="172">
        <f>MIN(IF($AU70=100%,1,1+VLOOKUP(($AJ70-$AI70-$AH70-$AG70-$AF70-$AE70*(1+DK$3))/$AJ70,'Технический лист'!$M:$N,2,1)-VLOOKUP($AO70,'Технический лист'!$M:$N,2,1)),1+(1-$AU70))</f>
        <v/>
      </c>
      <c r="DL70" s="172">
        <f>MIN(IF($AU70=100%,1,1+VLOOKUP(($AJ70-$AI70-$AH70-$AG70-$AF70-$AE70*(1+DL$3))/$AJ70,'Технический лист'!$M:$N,2,1)-VLOOKUP($AO70,'Технический лист'!$M:$N,2,1)),1+(1-$AU70))</f>
        <v/>
      </c>
      <c r="DM70" s="172">
        <f>MIN(IF($AU70=100%,1,1+VLOOKUP(($AJ70-$AI70-$AH70-$AG70-$AF70-$AE70*(1+DM$3))/$AJ70,'Технический лист'!$M:$N,2,1)-VLOOKUP($AO70,'Технический лист'!$M:$N,2,1)),1+(1-$AU70))</f>
        <v/>
      </c>
      <c r="DN70" s="172">
        <f>MIN(IF($AU70=100%,1,1+VLOOKUP(($AJ70-$AI70-$AH70-$AG70-$AF70-$AE70*(1+DN$3))/$AJ70,'Технический лист'!$M:$N,2,1)-VLOOKUP($AO70,'Технический лист'!$M:$N,2,1)),1+(1-$AU70))</f>
        <v/>
      </c>
      <c r="DO70" s="172">
        <f>MIN(IF($AU70=100%,1,1+VLOOKUP(($AJ70-$AI70-$AH70-$AG70-$AF70-$AE70*(1+DO$3))/$AJ70,'Технический лист'!$M:$N,2,1)-VLOOKUP($AO70,'Технический лист'!$M:$N,2,1)),1+(1-$AU70))</f>
        <v/>
      </c>
      <c r="DP70" s="172">
        <f>MIN(IF($AU70=100%,1,1+VLOOKUP(($AJ70-$AI70-$AH70-$AG70-$AF70-$AE70*(1+DP$3))/$AJ70,'Технический лист'!$M:$N,2,1)-VLOOKUP($AO70,'Технический лист'!$M:$N,2,1)),1+(1-$AU70))</f>
        <v/>
      </c>
      <c r="DQ70" s="172">
        <f>MIN(IF($AU70=100%,1,1+VLOOKUP(($AJ70-$AI70-$AH70-$AG70-$AF70-$AE70*(1+DQ$3))/$AJ70,'Технический лист'!$M:$N,2,1)-VLOOKUP($AO70,'Технический лист'!$M:$N,2,1)),1+(1-$AU70))</f>
        <v/>
      </c>
      <c r="DR70" s="172">
        <f>MIN(IF($AU70=100%,1,1+VLOOKUP(($AJ70-$AI70-$AH70-$AG70-$AF70-$AE70*(1+DR$3))/$AJ70,'Технический лист'!$M:$N,2,1)-VLOOKUP($AO70,'Технический лист'!$M:$N,2,1)),1+(1-$AU70))</f>
        <v/>
      </c>
      <c r="DS70" s="172">
        <f>MIN(IF($AU70=100%,1,1+VLOOKUP(($AJ70-$AI70-$AH70-$AG70-$AF70-$AE70*(1+DS$3))/$AJ70,'Технический лист'!$M:$N,2,1)-VLOOKUP($AO70,'Технический лист'!$M:$N,2,1)),1+(1-$AU70))</f>
        <v/>
      </c>
      <c r="DT70" s="172">
        <f>MIN(IF($AU70=100%,1,1+VLOOKUP(($AJ70-$AI70-$AH70-$AG70-$AF70-$AE70*(1+DT$3))/$AJ70,'Технический лист'!$M:$N,2,1)-VLOOKUP($AO70,'Технический лист'!$M:$N,2,1)),1+(1-$AU70))</f>
        <v/>
      </c>
      <c r="DU70" s="172">
        <f>MIN(IF($AU70=100%,1,1+VLOOKUP(($AJ70-$AI70-$AH70-$AG70-$AF70-$AE70*(1+DU$3))/$AJ70,'Технический лист'!$M:$N,2,1)-VLOOKUP($AO70,'Технический лист'!$M:$N,2,1)),1+(1-$AU70))</f>
        <v/>
      </c>
      <c r="DV70" s="172">
        <f>MIN(IF($AU70=100%,1,1+VLOOKUP(($AJ70-$AI70-$AH70-$AG70-$AF70-$AE70*(1+DV$3))/$AJ70,'Технический лист'!$M:$N,2,1)-VLOOKUP($AO70,'Технический лист'!$M:$N,2,1)),1+(1-$AU70))</f>
        <v/>
      </c>
      <c r="DW70" s="172">
        <f>MIN(IF($AU70=100%,1,1+VLOOKUP(($AJ70-$AI70-$AH70-$AG70-$AF70-$AE70*(1+DW$3))/$AJ70,'Технический лист'!$M:$N,2,1)-VLOOKUP($AO70,'Технический лист'!$M:$N,2,1)),1+(1-$AU70))</f>
        <v/>
      </c>
      <c r="DX70" s="172">
        <f>MIN(IF($AU70=100%,1,1+VLOOKUP(($AJ70-$AI70-$AH70-$AG70-$AF70-$AE70*(1+DX$3))/$AJ70,'Технический лист'!$M:$N,2,1)-VLOOKUP($AO70,'Технический лист'!$M:$N,2,1)),1+(1-$AU70))</f>
        <v/>
      </c>
      <c r="DY70" s="172">
        <f>MIN(IF($AU70=100%,1,1+VLOOKUP(($AJ70-$AI70-$AH70-$AG70-$AF70-$AE70*(1+DY$3))/$AJ70,'Технический лист'!$M:$N,2,1)-VLOOKUP($AO70,'Технический лист'!$M:$N,2,1)),1+(1-$AU70))</f>
        <v/>
      </c>
      <c r="DZ70" s="172">
        <f>MIN(IF($AU70=100%,1,1+VLOOKUP(($AJ70-$AI70-$AH70-$AG70-$AF70-$AE70*(1+DZ$3))/$AJ70,'Технический лист'!$M:$N,2,1)-VLOOKUP($AO70,'Технический лист'!$M:$N,2,1)),1+(1-$AU70))</f>
        <v/>
      </c>
      <c r="EA70" s="172">
        <f>MIN(IF($AU70=100%,1,1+VLOOKUP(($AJ70-$AI70-$AH70-$AG70-$AF70-$AE70*(1+EA$3))/$AJ70,'Технический лист'!$M:$N,2,1)-VLOOKUP($AO70,'Технический лист'!$M:$N,2,1)),1+(1-$AU70))</f>
        <v/>
      </c>
      <c r="EB70" s="172">
        <f>MIN(IF($AU70=100%,1,1+VLOOKUP(($AJ70-$AI70-$AH70-$AG70-$AF70-$AE70*(1+EB$3))/$AJ70,'Технический лист'!$M:$N,2,1)-VLOOKUP($AO70,'Технический лист'!$M:$N,2,1)),1+(1-$AU70))</f>
        <v/>
      </c>
      <c r="EC70" s="172">
        <f>MIN(IF($AU70=100%,1,1+VLOOKUP(($AJ70-$AI70-$AH70-$AG70-$AF70-$AE70*(1+EC$3))/$AJ70,'Технический лист'!$M:$N,2,1)-VLOOKUP($AO70,'Технический лист'!$M:$N,2,1)),1+(1-$AU70))</f>
        <v/>
      </c>
      <c r="ED70" s="172">
        <f>MIN(IF($AU70=100%,1,1+VLOOKUP(($AJ70-$AI70-$AH70-$AG70-$AF70-$AE70*(1+ED$3))/$AJ70,'Технический лист'!$M:$N,2,1)-VLOOKUP($AO70,'Технический лист'!$M:$N,2,1)),1+(1-$AU70))</f>
        <v/>
      </c>
      <c r="EE70" s="172">
        <f>MIN(IF($AU70=100%,1,1+VLOOKUP(($AJ70-$AI70-$AH70-$AG70-$AF70-$AE70*(1+EE$3))/$AJ70,'Технический лист'!$M:$N,2,1)-VLOOKUP($AO70,'Технический лист'!$M:$N,2,1)),1+(1-$AU70))</f>
        <v/>
      </c>
      <c r="EF70" s="172">
        <f>MIN(IF($AU70=100%,1,1+VLOOKUP(($AJ70-$AI70-$AH70-$AG70-$AF70-$AE70*(1+EF$3))/$AJ70,'Технический лист'!$M:$N,2,1)-VLOOKUP($AO70,'Технический лист'!$M:$N,2,1)),1+(1-$AU70))</f>
        <v/>
      </c>
      <c r="EG70" s="172">
        <f>MIN(IF($AU70=100%,1,1+VLOOKUP(($AJ70-$AI70-$AH70-$AG70-$AF70-$AE70*(1+EG$3))/$AJ70,'Технический лист'!$M:$N,2,1)-VLOOKUP($AO70,'Технический лист'!$M:$N,2,1)),1+(1-$AU70))</f>
        <v/>
      </c>
      <c r="EH70" s="172">
        <f>MIN(IF($AU70=100%,1,1+VLOOKUP(($AJ70-$AI70-$AH70-$AG70-$AF70-$AE70*(1+EH$3))/$AJ70,'Технический лист'!$M:$N,2,1)-VLOOKUP($AO70,'Технический лист'!$M:$N,2,1)),1+(1-$AU70))</f>
        <v/>
      </c>
      <c r="EI70" s="172">
        <f>MIN(IF($AU70=100%,1,1+VLOOKUP(($AJ70-$AI70-$AH70-$AG70-$AF70-$AE70*(1+EI$3))/$AJ70,'Технический лист'!$M:$N,2,1)-VLOOKUP($AO70,'Технический лист'!$M:$N,2,1)),1+(1-$AU70))</f>
        <v/>
      </c>
      <c r="EJ70" s="172">
        <f>MIN(IF($AU70=100%,1,1+VLOOKUP(($AJ70-$AI70-$AH70-$AG70-$AF70-$AE70*(1+EJ$3))/$AJ70,'Технический лист'!$M:$N,2,1)-VLOOKUP($AO70,'Технический лист'!$M:$N,2,1)),1+(1-$AU70))</f>
        <v/>
      </c>
      <c r="EK70" s="172">
        <f>MIN(IF($AU70=100%,1,1+VLOOKUP(($AJ70-$AI70-$AH70-$AG70-$AF70-$AE70*(1+EK$3))/$AJ70,'Технический лист'!$M:$N,2,1)-VLOOKUP($AO70,'Технический лист'!$M:$N,2,1)),1+(1-$AU70))</f>
        <v/>
      </c>
      <c r="EL70" s="172">
        <f>MIN(IF($AU70=100%,1,1+VLOOKUP(($AJ70-$AI70-$AH70-$AG70-$AF70-$AE70*(1+EL$3))/$AJ70,'Технический лист'!$M:$N,2,1)-VLOOKUP($AO70,'Технический лист'!$M:$N,2,1)),1+(1-$AU70))</f>
        <v/>
      </c>
      <c r="EM70" s="172">
        <f>MIN(IF($AU70=100%,1,1+VLOOKUP(($AJ70-$AI70-$AH70-$AG70-$AF70-$AE70*(1+EM$3))/$AJ70,'Технический лист'!$M:$N,2,1)-VLOOKUP($AO70,'Технический лист'!$M:$N,2,1)),1+(1-$AU70))</f>
        <v/>
      </c>
      <c r="EN70" s="172">
        <f>MIN(IF($AU70=100%,1,1+VLOOKUP(($AJ70-$AI70-$AH70-$AG70-$AF70-$AE70*(1+EN$3))/$AJ70,'Технический лист'!$M:$N,2,1)-VLOOKUP($AO70,'Технический лист'!$M:$N,2,1)),1+(1-$AU70))</f>
        <v/>
      </c>
      <c r="EO70" s="172">
        <f>MIN(IF($AU70=100%,1,1+VLOOKUP(($AJ70-$AI70-$AH70-$AG70-$AF70-$AE70*(1+EO$3))/$AJ70,'Технический лист'!$M:$N,2,1)-VLOOKUP($AO70,'Технический лист'!$M:$N,2,1)),1+(1-$AU70))</f>
        <v/>
      </c>
      <c r="EP70" s="172">
        <f>MIN(IF($AU70=100%,1,1+VLOOKUP(($AJ70-$AI70-$AH70-$AG70-$AF70-$AE70*(1+EP$3))/$AJ70,'Технический лист'!$M:$N,2,1)-VLOOKUP($AO70,'Технический лист'!$M:$N,2,1)),1+(1-$AU70))</f>
        <v/>
      </c>
      <c r="EQ70" s="172">
        <f>MIN(IF($AU70=100%,1,1+VLOOKUP(($AJ70-$AI70-$AH70-$AG70-$AF70-$AE70*(1+EQ$3))/$AJ70,'Технический лист'!$M:$N,2,1)-VLOOKUP($AO70,'Технический лист'!$M:$N,2,1)),1+(1-$AU70))</f>
        <v/>
      </c>
      <c r="ER70" s="172">
        <f>MIN(IF($AU70=100%,1,1+VLOOKUP(($AJ70-$AI70-$AH70-$AG70-$AF70-$AE70*(1+ER$3))/$AJ70,'Технический лист'!$M:$N,2,1)-VLOOKUP($AO70,'Технический лист'!$M:$N,2,1)),1+(1-$AU70))</f>
        <v/>
      </c>
      <c r="ES70" s="172">
        <f>MIN(IF($AU70=100%,1,1+VLOOKUP(($AJ70-$AI70-$AH70-$AG70-$AF70-$AE70*(1+ES$3))/$AJ70,'Технический лист'!$M:$N,2,1)-VLOOKUP($AO70,'Технический лист'!$M:$N,2,1)),1+(1-$AU70))</f>
        <v/>
      </c>
      <c r="ET70" s="172">
        <f>MIN(IF($AU70=100%,1,1+VLOOKUP(($AJ70-$AI70-$AH70-$AG70-$AF70-$AE70*(1+ET$3))/$AJ70,'Технический лист'!$M:$N,2,1)-VLOOKUP($AO70,'Технический лист'!$M:$N,2,1)),1+(1-$AU70))</f>
        <v/>
      </c>
      <c r="EU70" s="172">
        <f>MIN(IF($AU70=100%,1,1+VLOOKUP(($AJ70-$AI70-$AH70-$AG70-$AF70-$AE70*(1+EU$3))/$AJ70,'Технический лист'!$M:$N,2,1)-VLOOKUP($AO70,'Технический лист'!$M:$N,2,1)),1+(1-$AU70))</f>
        <v/>
      </c>
      <c r="EV70" s="173" t="n">
        <v>1</v>
      </c>
      <c r="EW70" s="172">
        <f>MIN(1,MAX(VLOOKUP(($AJ70-$AI70-$AH70-$AG70-$AF70-$AE70*(1+EW$3))/$AJ70,'Технический лист'!$M:$N,2,1),(EV70-0.05)))</f>
        <v/>
      </c>
      <c r="EX70" s="172">
        <f>MIN(1,MAX(VLOOKUP(($AJ70-$AI70-$AH70-$AG70-$AF70-$AE70*(1+EX$3))/$AJ70,'Технический лист'!$M:$N,2,1),(EW70-0.05)))</f>
        <v/>
      </c>
      <c r="EY70" s="172">
        <f>MIN(1,MAX(VLOOKUP(($AJ70-$AI70-$AH70-$AG70-$AF70-$AE70*(1+EY$3))/$AJ70,'Технический лист'!$M:$N,2,1),(EX70-0.05)))</f>
        <v/>
      </c>
      <c r="EZ70" s="172">
        <f>MIN(1,MAX(VLOOKUP(($AJ70-$AI70-$AH70-$AG70-$AF70-$AE70*(1+EZ$3))/$AJ70,'Технический лист'!$M:$N,2,1),(EY70-0.05)))</f>
        <v/>
      </c>
      <c r="FA70" s="172">
        <f>MIN(1,MAX(VLOOKUP(($AJ70-$AI70-$AH70-$AG70-$AF70-$AE70*(1+FA$3))/$AJ70,'Технический лист'!$M:$N,2,1),(EZ70-0.05)))</f>
        <v/>
      </c>
      <c r="FB70" s="172">
        <f>MIN(1,MAX(VLOOKUP(($AJ70-$AI70-$AH70-$AG70-$AF70-$AE70*(1+FB$3))/$AJ70,'Технический лист'!$M:$N,2,1),(FA70-0.05)))</f>
        <v/>
      </c>
      <c r="FC70" s="172">
        <f>MIN(1,MAX(VLOOKUP(($AJ70-$AI70-$AH70-$AG70-$AF70-$AE70*(1+FC$3))/$AJ70,'Технический лист'!$M:$N,2,1),(FB70-0.05)))</f>
        <v/>
      </c>
      <c r="FD70" s="172">
        <f>MIN(1,MAX(VLOOKUP(($AJ70-$AI70-$AH70-$AG70-$AF70-$AE70*(1+FD$3))/$AJ70,'Технический лист'!$M:$N,2,1),(FC70-0.05)))</f>
        <v/>
      </c>
      <c r="FE70" s="172">
        <f>MIN(1,MAX(VLOOKUP(($AJ70-$AI70-$AH70-$AG70-$AF70-$AE70*(1+FE$3))/$AJ70,'Технический лист'!$M:$N,2,1),(FD70-0.05)))</f>
        <v/>
      </c>
      <c r="FF70" s="172">
        <f>MIN(1,MAX(VLOOKUP(($AJ70-$AI70-$AH70-$AG70-$AF70-$AE70*(1+FF$3))/$AJ70,'Технический лист'!$M:$N,2,1),(FE70-0.05)))</f>
        <v/>
      </c>
      <c r="FG70" s="172">
        <f>MIN(1,MAX(VLOOKUP(($AJ70-$AI70-$AH70-$AG70-$AF70-$AE70*(1+FG$3))/$AJ70,'Технический лист'!$M:$N,2,1),(FF70-0.05)))</f>
        <v/>
      </c>
      <c r="FH70" s="172">
        <f>MIN(1,MAX(VLOOKUP(($AJ70-$AI70-$AH70-$AG70-$AF70-$AE70*(1+FH$3))/$AJ70,'Технический лист'!$M:$N,2,1),(FG70-0.05)))</f>
        <v/>
      </c>
      <c r="FI70" s="172">
        <f>MIN(1,MAX(VLOOKUP(($AJ70-$AI70-$AH70-$AG70-$AF70-$AE70*(1+FI$3))/$AJ70,'Технический лист'!$M:$N,2,1),(FH70-0.05)))</f>
        <v/>
      </c>
      <c r="FJ70" s="172">
        <f>MIN(1,MAX(VLOOKUP(($AJ70-$AI70-$AH70-$AG70-$AF70-$AE70*(1+FJ$3))/$AJ70,'Технический лист'!$M:$N,2,1),(FI70-0.05)))</f>
        <v/>
      </c>
      <c r="FK70" s="172">
        <f>MIN(1,MAX(VLOOKUP(($AJ70-$AI70-$AH70-$AG70-$AF70-$AE70*(1+FK$3))/$AJ70,'Технический лист'!$M:$N,2,1),(FJ70-0.05)))</f>
        <v/>
      </c>
      <c r="FL70" s="172">
        <f>MIN(1,MAX(VLOOKUP(($AJ70-$AI70-$AH70-$AG70-$AF70-$AE70*(1+FL$3))/$AJ70,'Технический лист'!$M:$N,2,1),(FK70-0.05)))</f>
        <v/>
      </c>
      <c r="FM70" s="172">
        <f>MIN(1,MAX(VLOOKUP(($AJ70-$AI70-$AH70-$AG70-$AF70-$AE70*(1+FM$3))/$AJ70,'Технический лист'!$M:$N,2,1),(FL70-0.05)))</f>
        <v/>
      </c>
      <c r="FN70" s="172">
        <f>MIN(1,MAX(VLOOKUP(($AJ70-$AI70-$AH70-$AG70-$AF70-$AE70*(1+FN$3))/$AJ70,'Технический лист'!$M:$N,2,1),(FM70-0.05)))</f>
        <v/>
      </c>
      <c r="FO70" s="172">
        <f>MIN(1,MAX(VLOOKUP(($AJ70-$AI70-$AH70-$AG70-$AF70-$AE70*(1+FO$3))/$AJ70,'Технический лист'!$M:$N,2,1),(FN70-0.05)))</f>
        <v/>
      </c>
      <c r="FP70" s="172">
        <f>MIN(1,MAX(VLOOKUP(($AJ70-$AI70-$AH70-$AG70-$AF70-$AE70*(1+FP$3))/$AJ70,'Технический лист'!$M:$N,2,1),(FO70-0.05)))</f>
        <v/>
      </c>
      <c r="FQ70" s="172">
        <f>MIN(1,MAX(VLOOKUP(($AJ70-$AI70-$AH70-$AG70-$AF70-$AE70*(1+FQ$3))/$AJ70,'Технический лист'!$M:$N,2,1),(FP70-0.05)))</f>
        <v/>
      </c>
      <c r="FR70" s="172">
        <f>MIN(1,MAX(VLOOKUP(($AJ70-$AI70-$AH70-$AG70-$AF70-$AE70*(1+FR$3))/$AJ70,'Технический лист'!$M:$N,2,1),(FQ70-0.05)))</f>
        <v/>
      </c>
      <c r="FS70" s="172">
        <f>MIN(1,MAX(VLOOKUP(($AJ70-$AI70-$AH70-$AG70-$AF70-$AE70*(1+FS$3))/$AJ70,'Технический лист'!$M:$N,2,1),(FR70-0.05)))</f>
        <v/>
      </c>
      <c r="FT70" s="172">
        <f>MIN(1,MAX(VLOOKUP(($AJ70-$AI70-$AH70-$AG70-$AF70-$AE70*(1+FT$3))/$AJ70,'Технический лист'!$M:$N,2,1),(FS70-0.05)))</f>
        <v/>
      </c>
      <c r="FU70" s="172">
        <f>MIN(1,MAX(VLOOKUP(($AJ70-$AI70-$AH70-$AG70-$AF70-$AE70*(1+FU$3))/$AJ70,'Технический лист'!$M:$N,2,1),(FT70-0.05)))</f>
        <v/>
      </c>
      <c r="FV70" s="172">
        <f>MIN(1,MAX(VLOOKUP(($AJ70-$AI70-$AH70-$AG70-$AF70-$AE70*(1+FV$3))/$AJ70,'Технический лист'!$M:$N,2,1),(FU70-0.05)))</f>
        <v/>
      </c>
      <c r="FW70" s="172">
        <f>MIN(1,MAX(VLOOKUP(($AJ70-$AI70-$AH70-$AG70-$AF70-$AE70*(1+FW$3))/$AJ70,'Технический лист'!$M:$N,2,1),(FV70-0.05)))</f>
        <v/>
      </c>
      <c r="FX70" s="172">
        <f>MIN(1,MAX(VLOOKUP(($AJ70-$AI70-$AH70-$AG70-$AF70-$AE70*(1+FX$3))/$AJ70,'Технический лист'!$M:$N,2,1),(FW70-0.05)))</f>
        <v/>
      </c>
      <c r="FY70" s="172">
        <f>MIN(1,MAX(VLOOKUP(($AJ70-$AI70-$AH70-$AG70-$AF70-$AE70*(1+FY$3))/$AJ70,'Технический лист'!$M:$N,2,1),(FX70-0.05)))</f>
        <v/>
      </c>
      <c r="FZ70" s="172">
        <f>MIN(1,MAX(VLOOKUP(($AJ70-$AI70-$AH70-$AG70-$AF70-$AE70*(1+FZ$3))/$AJ70,'Технический лист'!$M:$N,2,1),(FY70-0.05)))</f>
        <v/>
      </c>
      <c r="GA70" s="172">
        <f>MIN(1,MAX(VLOOKUP(($AJ70-$AI70-$AH70-$AG70-$AF70-$AE70*(1+GA$3))/$AJ70,'Технический лист'!$M:$N,2,1),(FZ70-0.05)))</f>
        <v/>
      </c>
      <c r="GB70" s="172">
        <f>MIN(1,MAX(VLOOKUP(($AJ70-$AI70-$AH70-$AG70-$AF70-$AE70*(1+GB$3))/$AJ70,'Технический лист'!$M:$N,2,1),(GA70-0.05)))</f>
        <v/>
      </c>
      <c r="GC70" s="172">
        <f>MIN(1,MAX(VLOOKUP(($AJ70-$AI70-$AH70-$AG70-$AF70-$AE70*(1+GC$3))/$AJ70,'Технический лист'!$M:$N,2,1),(GB70-0.05)))</f>
        <v/>
      </c>
      <c r="GD70" s="172">
        <f>MIN(1,MAX(VLOOKUP(($AJ70-$AI70-$AH70-$AG70-$AF70-$AE70*(1+GD$3))/$AJ70,'Технический лист'!$M:$N,2,1),(GC70-0.05)))</f>
        <v/>
      </c>
      <c r="GE70" s="172">
        <f>MIN(1,MAX(VLOOKUP(($AJ70-$AI70-$AH70-$AG70-$AF70-$AE70*(1+GE$3))/$AJ70,'Технический лист'!$M:$N,2,1),(GD70-0.05)))</f>
        <v/>
      </c>
      <c r="GF70" s="172">
        <f>MIN(1,MAX(VLOOKUP(($AJ70-$AI70-$AH70-$AG70-$AF70-$AE70*(1+GF$3))/$AJ70,'Технический лист'!$M:$N,2,1),(GE70-0.05)))</f>
        <v/>
      </c>
      <c r="GG70" s="172">
        <f>MIN(1,MAX(VLOOKUP(($AJ70-$AI70-$AH70-$AG70-$AF70-$AE70*(1+GG$3))/$AJ70,'Технический лист'!$M:$N,2,1),(GF70-0.05)))</f>
        <v/>
      </c>
      <c r="GH70" s="172">
        <f>MIN(1,MAX(VLOOKUP(($AJ70-$AI70-$AH70-$AG70-$AF70-$AE70*(1+GH$3))/$AJ70,'Технический лист'!$M:$N,2,1),(GG70-0.05)))</f>
        <v/>
      </c>
      <c r="GI70" s="172">
        <f>MIN(1,MAX(VLOOKUP(($AJ70-$AI70-$AH70-$AG70-$AF70-$AE70*(1+GI$3))/$AJ70,'Технический лист'!$M:$N,2,1),(GH70-0.05)))</f>
        <v/>
      </c>
      <c r="GJ70" s="172">
        <f>MIN(1,MAX(VLOOKUP(($AJ70-$AI70-$AH70-$AG70-$AF70-$AE70*(1+GJ$3))/$AJ70,'Технический лист'!$M:$N,2,1),(GI70-0.05)))</f>
        <v/>
      </c>
      <c r="GK70" s="172">
        <f>MIN(1,MAX(VLOOKUP(($AJ70-$AI70-$AH70-$AG70-$AF70-$AE70*(1+GK$3))/$AJ70,'Технический лист'!$M:$N,2,1),(GJ70-0.05)))</f>
        <v/>
      </c>
      <c r="GL70" s="172">
        <f>MIN(1,MAX(VLOOKUP(($AJ70-$AI70-$AH70-$AG70-$AF70-$AE70*(1+GL$3))/$AJ70,'Технический лист'!$M:$N,2,1),(GK70-0.05)))</f>
        <v/>
      </c>
      <c r="GM70" s="172">
        <f>MIN(1,MAX(VLOOKUP(($AJ70-$AI70-$AH70-$AG70-$AF70-$AE70*(1+GM$3))/$AJ70,'Технический лист'!$M:$N,2,1),(GL70-0.05)))</f>
        <v/>
      </c>
      <c r="GN70" s="172">
        <f>MIN(1,MAX(VLOOKUP(($AJ70-$AI70-$AH70-$AG70-$AF70-$AE70*(1+GN$3))/$AJ70,'Технический лист'!$M:$N,2,1),(GM70-0.05)))</f>
        <v/>
      </c>
      <c r="GO70" s="172">
        <f>MIN(1,MAX(VLOOKUP(($AJ70-$AI70-$AH70-$AG70-$AF70-$AE70*(1+GO$3))/$AJ70,'Технический лист'!$M:$N,2,1),(GN70-0.05)))</f>
        <v/>
      </c>
      <c r="GP70" s="172">
        <f>MIN(1,MAX(VLOOKUP(($AJ70-$AI70-$AH70-$AG70-$AF70-$AE70*(1+GP$3))/$AJ70,'Технический лист'!$M:$N,2,1),(GO70-0.05)))</f>
        <v/>
      </c>
      <c r="GQ70" s="172">
        <f>MIN(1,MAX(VLOOKUP(($AJ70-$AI70-$AH70-$AG70-$AF70-$AE70*(1+GQ$3))/$AJ70,'Технический лист'!$M:$N,2,1),(GP70-0.05)))</f>
        <v/>
      </c>
      <c r="GR70" s="172">
        <f>MIN(1,MAX(VLOOKUP(($AJ70-$AI70-$AH70-$AG70-$AF70-$AE70*(1+GR$3))/$AJ70,'Технический лист'!$M:$N,2,1),(GQ70-0.05)))</f>
        <v/>
      </c>
      <c r="GS70" s="172">
        <f>MIN(1,MAX(VLOOKUP(($AJ70-$AI70-$AH70-$AG70-$AF70-$AE70*(1+GS$3))/$AJ70,'Технический лист'!$M:$N,2,1),(GR70-0.05)))</f>
        <v/>
      </c>
      <c r="GT70" s="172">
        <f>MIN(1,MAX(VLOOKUP(($AJ70-$AI70-$AH70-$AG70-$AF70-$AE70*(1+GT$3))/$AJ70,'Технический лист'!$M:$N,2,1),(GS70-0.05)))</f>
        <v/>
      </c>
      <c r="GU70" s="172">
        <f>MIN(1,MAX(VLOOKUP(($AJ70-$AI70-$AH70-$AG70-$AF70-$AE70*(1+GU$3))/$AJ70,'Технический лист'!$M:$N,2,1),(GT70-0.05)))</f>
        <v/>
      </c>
      <c r="GV70" s="172">
        <f>MIN(1,MAX(VLOOKUP(($AJ70-$AI70-$AH70-$AG70-$AF70-$AE70*(1+GV$3))/$AJ70,'Технический лист'!$M:$N,2,1),(GU70-0.05)))</f>
        <v/>
      </c>
      <c r="GW70" s="172">
        <f>MIN(1,MAX(VLOOKUP(($AJ70-$AI70-$AH70-$AG70-$AF70-$AE70*(1+GW$3))/$AJ70,'Технический лист'!$M:$N,2,1),(GV70-0.05)))</f>
        <v/>
      </c>
      <c r="GX70" s="172">
        <f>MIN(1,MAX(VLOOKUP(($AJ70-$AI70-$AH70-$AG70-$AF70-$AE70*(1+GX$3))/$AJ70,'Технический лист'!$M:$N,2,1),(GW70-0.05)))</f>
        <v/>
      </c>
      <c r="GY70" s="172">
        <f>MIN(1,MAX(VLOOKUP(($AJ70-$AI70-$AH70-$AG70-$AF70-$AE70*(1+GY$3))/$AJ70,'Технический лист'!$M:$N,2,1),(GX70-0.05)))</f>
        <v/>
      </c>
      <c r="GZ70" s="172">
        <f>MIN(1,MAX(VLOOKUP(($AJ70-$AI70-$AH70-$AG70-$AF70-$AE70*(1+GZ$3))/$AJ70,'Технический лист'!$M:$N,2,1),(GY70-0.05)))</f>
        <v/>
      </c>
      <c r="HA70" s="172">
        <f>MIN(1,MAX(VLOOKUP(($AJ70-$AI70-$AH70-$AG70-$AF70-$AE70*(1+HA$3))/$AJ70,'Технический лист'!$M:$N,2,1),(GZ70-0.05)))</f>
        <v/>
      </c>
      <c r="HB70" s="172">
        <f>MIN(1,MAX(VLOOKUP(($AJ70-$AI70-$AH70-$AG70-$AF70-$AE70*(1+HB$3))/$AJ70,'Технический лист'!$M:$N,2,1),(HA70-0.05)))</f>
        <v/>
      </c>
      <c r="HC70" s="172">
        <f>MIN(1,MAX(VLOOKUP(($AJ70-$AI70-$AH70-$AG70-$AF70-$AE70*(1+HC$3))/$AJ70,'Технический лист'!$M:$N,2,1),(HB70-0.05)))</f>
        <v/>
      </c>
      <c r="HD70" s="172">
        <f>MIN(1,MAX(VLOOKUP(($AJ70-$AI70-$AH70-$AG70-$AF70-$AE70*(1+HD$3))/$AJ70,'Технический лист'!$M:$N,2,1),(HC70-0.05)))</f>
        <v/>
      </c>
      <c r="HE70" s="172">
        <f>MIN(1,MAX(VLOOKUP(($AJ70-$AI70-$AH70-$AG70-$AF70-$AE70*(1+HE$3))/$AJ70,'Технический лист'!$M:$N,2,1),(HD70-0.05)))</f>
        <v/>
      </c>
      <c r="HF70" s="172">
        <f>MIN(1,MAX(VLOOKUP(($AJ70-$AI70-$AH70-$AG70-$AF70-$AE70*(1+HF$3))/$AJ70,'Технический лист'!$M:$N,2,1),(HE70-0.05)))</f>
        <v/>
      </c>
      <c r="HG70" s="172">
        <f>MIN(1,MAX(VLOOKUP(($AJ70-$AI70-$AH70-$AG70-$AF70-$AE70*(1+HG$3))/$AJ70,'Технический лист'!$M:$N,2,1),(HF70-0.05)))</f>
        <v/>
      </c>
      <c r="HH70" s="172">
        <f>MIN(1,MAX(VLOOKUP(($AJ70-$AI70-$AH70-$AG70-$AF70-$AE70*(1+HH$3))/$AJ70,'Технический лист'!$M:$N,2,1),(HG70-0.05)))</f>
        <v/>
      </c>
      <c r="HI70" s="172">
        <f>MIN(1,MAX(VLOOKUP(($AJ70-$AI70-$AH70-$AG70-$AF70-$AE70*(1+HI$3))/$AJ70,'Технический лист'!$M:$N,2,1),(HH70-0.05)))</f>
        <v/>
      </c>
      <c r="HJ70" s="172">
        <f>MIN(1,MAX(VLOOKUP(($AJ70-$AI70-$AH70-$AG70-$AF70-$AE70*(1+HJ$3))/$AJ70,'Технический лист'!$M:$N,2,1),(HI70-0.05)))</f>
        <v/>
      </c>
      <c r="HK70" s="172">
        <f>MIN(1,MAX(VLOOKUP(($AJ70-$AI70-$AH70-$AG70-$AF70-$AE70*(1+HK$3))/$AJ70,'Технический лист'!$M:$N,2,1),(HJ70-0.05)))</f>
        <v/>
      </c>
      <c r="HL70" s="172">
        <f>MIN(1,MAX(VLOOKUP(($AJ70-$AI70-$AH70-$AG70-$AF70-$AE70*(1+HL$3))/$AJ70,'Технический лист'!$M:$N,2,1),(HK70-0.05)))</f>
        <v/>
      </c>
      <c r="HM70" s="172">
        <f>MIN(1,MAX(VLOOKUP(($AJ70-$AI70-$AH70-$AG70-$AF70-$AE70*(1+HM$3))/$AJ70,'Технический лист'!$M:$N,2,1),(HL70-0.05)))</f>
        <v/>
      </c>
      <c r="HN70" s="172">
        <f>MIN(1,MAX(VLOOKUP(($AJ70-$AI70-$AH70-$AG70-$AF70-$AE70*(1+HN$3))/$AJ70,'Технический лист'!$M:$N,2,1),(HM70-0.05)))</f>
        <v/>
      </c>
      <c r="HO70" s="172">
        <f>MIN(1,MAX(VLOOKUP(($AJ70-$AI70-$AH70-$AG70-$AF70-$AE70*(1+HO$3))/$AJ70,'Технический лист'!$M:$N,2,1),(HN70-0.05)))</f>
        <v/>
      </c>
      <c r="HP70" s="172">
        <f>MIN(1,MAX(VLOOKUP(($AJ70-$AI70-$AH70-$AG70-$AF70-$AE70*(1+HP$3))/$AJ70,'Технический лист'!$M:$N,2,1),(HO70-0.05)))</f>
        <v/>
      </c>
      <c r="HQ70" s="172">
        <f>MIN(1,MAX(VLOOKUP(($AJ70-$AI70-$AH70-$AG70-$AF70-$AE70*(1+HQ$3))/$AJ70,'Технический лист'!$M:$N,2,1),(HP70-0.05)))</f>
        <v/>
      </c>
      <c r="HR70" s="172">
        <f>MIN(1,MAX(VLOOKUP(($AJ70-$AI70-$AH70-$AG70-$AF70-$AE70*(1+HR$3))/$AJ70,'Технический лист'!$M:$N,2,1),(HQ70-0.05)))</f>
        <v/>
      </c>
      <c r="HS70" s="172">
        <f>MIN(1,MAX(VLOOKUP(($AJ70-$AI70-$AH70-$AG70-$AF70-$AE70*(1+HS$3))/$AJ70,'Технический лист'!$M:$N,2,1),(HR70-0.05)))</f>
        <v/>
      </c>
      <c r="HT70" s="172">
        <f>MIN(1,MAX(VLOOKUP(($AJ70-$AI70-$AH70-$AG70-$AF70-$AE70*(1+HT$3))/$AJ70,'Технический лист'!$M:$N,2,1),(HS70-0.05)))</f>
        <v/>
      </c>
      <c r="HU70" s="172">
        <f>MIN(1,MAX(VLOOKUP(($AJ70-$AI70-$AH70-$AG70-$AF70-$AE70*(1+HU$3))/$AJ70,'Технический лист'!$M:$N,2,1),(HT70-0.05)))</f>
        <v/>
      </c>
      <c r="HV70" s="172">
        <f>MIN(1,MAX(VLOOKUP(($AJ70-$AI70-$AH70-$AG70-$AF70-$AE70*(1+HV$3))/$AJ70,'Технический лист'!$M:$N,2,1),(HU70-0.05)))</f>
        <v/>
      </c>
      <c r="HW70" s="172">
        <f>MIN(1,MAX(VLOOKUP(($AJ70-$AI70-$AH70-$AG70-$AF70-$AE70*(1+HW$3))/$AJ70,'Технический лист'!$M:$N,2,1),(HV70-0.05)))</f>
        <v/>
      </c>
      <c r="HX70" s="172">
        <f>MIN(1,MAX(VLOOKUP(($AJ70-$AI70-$AH70-$AG70-$AF70-$AE70*(1+HX$3))/$AJ70,'Технический лист'!$M:$N,2,1),(HW70-0.05)))</f>
        <v/>
      </c>
      <c r="HY70" s="172">
        <f>MIN(1,MAX(VLOOKUP(($AJ70-$AI70-$AH70-$AG70-$AF70-$AE70*(1+HY$3))/$AJ70,'Технический лист'!$M:$N,2,1),(HX70-0.05)))</f>
        <v/>
      </c>
      <c r="HZ70" s="172">
        <f>MIN(1,MAX(VLOOKUP(($AJ70-$AI70-$AH70-$AG70-$AF70-$AE70*(1+HZ$3))/$AJ70,'Технический лист'!$M:$N,2,1),(HY70-0.05)))</f>
        <v/>
      </c>
      <c r="IA70" s="172">
        <f>MIN(1,MAX(VLOOKUP(($AJ70-$AI70-$AH70-$AG70-$AF70-$AE70*(1+IA$3))/$AJ70,'Технический лист'!$M:$N,2,1),(HZ70-0.05)))</f>
        <v/>
      </c>
      <c r="IB70" s="172">
        <f>MIN(1,MAX(VLOOKUP(($AJ70-$AI70-$AH70-$AG70-$AF70-$AE70*(1+IB$3))/$AJ70,'Технический лист'!$M:$N,2,1),(IA70-0.05)))</f>
        <v/>
      </c>
      <c r="IC70" s="172">
        <f>MIN(1,MAX(VLOOKUP(($AJ70-$AI70-$AH70-$AG70-$AF70-$AE70*(1+IC$3))/$AJ70,'Технический лист'!$M:$N,2,1),(IB70-0.05)))</f>
        <v/>
      </c>
      <c r="ID70" s="172">
        <f>MIN(1,MAX(VLOOKUP(($AJ70-$AI70-$AH70-$AG70-$AF70-$AE70*(1+ID$3))/$AJ70,'Технический лист'!$M:$N,2,1),(IC70-0.05)))</f>
        <v/>
      </c>
      <c r="IE70" s="172">
        <f>MIN(1,MAX(VLOOKUP(($AJ70-$AI70-$AH70-$AG70-$AF70-$AE70*(1+IE$3))/$AJ70,'Технический лист'!$M:$N,2,1),(ID70-0.05)))</f>
        <v/>
      </c>
      <c r="IF70" s="172">
        <f>MIN(1,MAX(VLOOKUP(($AJ70-$AI70-$AH70-$AG70-$AF70-$AE70*(1+IF$3))/$AJ70,'Технический лист'!$M:$N,2,1),(IE70-0.05)))</f>
        <v/>
      </c>
      <c r="IG70" s="172">
        <f>MIN(1,MAX(VLOOKUP(($AJ70-$AI70-$AH70-$AG70-$AF70-$AE70*(1+IG$3))/$AJ70,'Технический лист'!$M:$N,2,1),(IF70-0.05)))</f>
        <v/>
      </c>
      <c r="IH70" s="172">
        <f>MIN(1,MAX(VLOOKUP(($AJ70-$AI70-$AH70-$AG70-$AF70-$AE70*(1+IH$3))/$AJ70,'Технический лист'!$M:$N,2,1),(IG70-0.05)))</f>
        <v/>
      </c>
      <c r="II70" s="172">
        <f>MIN(1,MAX(VLOOKUP(($AJ70-$AI70-$AH70-$AG70-$AF70-$AE70*(1+II$3))/$AJ70,'Технический лист'!$M:$N,2,1),(IH70-0.05)))</f>
        <v/>
      </c>
      <c r="IJ70" s="172">
        <f>MIN(1,MAX(VLOOKUP(($AJ70-$AI70-$AH70-$AG70-$AF70-$AE70*(1+IJ$3))/$AJ70,'Технический лист'!$M:$N,2,1),(II70-0.05)))</f>
        <v/>
      </c>
      <c r="IK70" s="172">
        <f>MIN(1,MAX(VLOOKUP(($AJ70-$AI70-$AH70-$AG70-$AF70-$AE70*(1+IK$3))/$AJ70,'Технический лист'!$M:$N,2,1),(IJ70-0.05)))</f>
        <v/>
      </c>
      <c r="IL70" s="172">
        <f>MIN(1,MAX(VLOOKUP(($AJ70-$AI70-$AH70-$AG70-$AF70-$AE70*(1+IL$3))/$AJ70,'Технический лист'!$M:$N,2,1),(IK70-0.05)))</f>
        <v/>
      </c>
      <c r="IM70" s="172">
        <f>MIN(1,MAX(VLOOKUP(($AJ70-$AI70-$AH70-$AG70-$AF70-$AE70*(1+IM$3))/$AJ70,'Технический лист'!$M:$N,2,1),(IL70-0.05)))</f>
        <v/>
      </c>
      <c r="IN70" s="172">
        <f>MIN(1,MAX(VLOOKUP(($AJ70-$AI70-$AH70-$AG70-$AF70-$AE70*(1+IN$3))/$AJ70,'Технический лист'!$M:$N,2,1),(IM70-0.05)))</f>
        <v/>
      </c>
      <c r="IO70" s="172">
        <f>MIN(1,MAX(VLOOKUP(($AJ70-$AI70-$AH70-$AG70-$AF70-$AE70*(1+IO$3))/$AJ70,'Технический лист'!$M:$N,2,1),(IN70-0.05)))</f>
        <v/>
      </c>
      <c r="IP70" s="172">
        <f>MIN(1,MAX(VLOOKUP(($AJ70-$AI70-$AH70-$AG70-$AF70-$AE70*(1+IP$3))/$AJ70,'Технический лист'!$M:$N,2,1),(IO70-0.05)))</f>
        <v/>
      </c>
      <c r="IQ70" s="172">
        <f>MIN(1,MAX(VLOOKUP(($AJ70-$AI70-$AH70-$AG70-$AF70-$AE70*(1+IQ$3))/$AJ70,'Технический лист'!$M:$N,2,1),(IP70-0.05)))</f>
        <v/>
      </c>
      <c r="IR70" s="172">
        <f>MIN(1,MAX(VLOOKUP(($AJ70-$AI70-$AH70-$AG70-$AF70-$AE70*(1+IR$3))/$AJ70,'Технический лист'!$M:$N,2,1),(IQ70-0.05)))</f>
        <v/>
      </c>
    </row>
    <row r="71" ht="29.15" customFormat="1" customHeight="1" s="6">
      <c r="A71" s="89" t="inlineStr">
        <is>
          <t>ЦМ (сырье)</t>
        </is>
      </c>
      <c r="B71" s="76" t="n">
        <v>4</v>
      </c>
      <c r="C71" s="3" t="inlineStr">
        <is>
          <t>Руды  всякие</t>
        </is>
      </c>
      <c r="D71" s="77" t="n">
        <v>15116</v>
      </c>
      <c r="E71" s="77" t="inlineStr">
        <is>
          <t xml:space="preserve">Концентрат медный </t>
        </is>
      </c>
      <c r="F71" s="77" t="inlineStr">
        <is>
          <t xml:space="preserve">Сырье цветных металлов, сырье серное </t>
        </is>
      </c>
      <c r="G71" s="77" t="inlineStr">
        <is>
          <t>ЮУР</t>
        </is>
      </c>
      <c r="H71" s="77" t="inlineStr">
        <is>
          <t>ЮУР</t>
        </is>
      </c>
      <c r="I71" s="77" t="inlineStr">
        <is>
          <t>ТАМЕРЛАН</t>
        </is>
      </c>
      <c r="J71" s="77" t="inlineStr">
        <is>
          <t>ПИРИТ</t>
        </is>
      </c>
      <c r="K71" s="77" t="n">
        <v>352</v>
      </c>
      <c r="L71" s="77" t="inlineStr">
        <is>
          <t>Полувагоны</t>
        </is>
      </c>
      <c r="M71" s="91" t="inlineStr">
        <is>
          <t>Внутр. перевозки</t>
        </is>
      </c>
      <c r="N71" s="77" t="inlineStr">
        <is>
          <t>вагонная</t>
        </is>
      </c>
      <c r="O71" s="77" t="inlineStr">
        <is>
          <t xml:space="preserve">Южное </t>
        </is>
      </c>
      <c r="P71" s="79" t="inlineStr">
        <is>
          <t>'000056394071</t>
        </is>
      </c>
      <c r="Q71" s="77" t="inlineStr">
        <is>
          <t>АО "Русская медная компания"</t>
        </is>
      </c>
      <c r="R71" s="77" t="inlineStr">
        <is>
          <t>АО "Русская медная компания"</t>
        </is>
      </c>
      <c r="S71" s="80" t="n">
        <v>285328</v>
      </c>
      <c r="T71" s="80" t="n">
        <v>100435883</v>
      </c>
      <c r="U71" s="88" t="n">
        <v>4148</v>
      </c>
      <c r="V71" s="88" t="n">
        <v>0</v>
      </c>
      <c r="W71" s="87" t="n">
        <v>275485045</v>
      </c>
      <c r="X71" s="112" t="n">
        <v>69</v>
      </c>
      <c r="Y71" s="112" t="inlineStr">
        <is>
          <t>групповая</t>
        </is>
      </c>
      <c r="Z71" s="113" t="n">
        <v>5</v>
      </c>
      <c r="AA71" s="113" t="n">
        <v>4</v>
      </c>
      <c r="AB71" s="113" t="n">
        <v>4</v>
      </c>
      <c r="AC71" s="161" t="n">
        <v>1057.01</v>
      </c>
      <c r="AD71" s="161">
        <f>AE71-AC71</f>
        <v/>
      </c>
      <c r="AE71" s="161" t="n">
        <v>1172.48</v>
      </c>
      <c r="AF71" s="162">
        <f>(Z71+AA71+AB71)*'Ставки аренды'!$B$3/X71</f>
        <v/>
      </c>
      <c r="AG71" s="163" t="n">
        <v>0</v>
      </c>
      <c r="AH71" s="164" t="n">
        <v>0</v>
      </c>
      <c r="AI71" s="165">
        <f>AJ71*0.35</f>
        <v/>
      </c>
      <c r="AJ71" s="166">
        <f>Цены!C30*'Курсы валют'!B2</f>
        <v/>
      </c>
      <c r="AK71" s="164">
        <f>AJ71/Цены!$B$1</f>
        <v/>
      </c>
      <c r="AL71" s="164">
        <f>AE71+AF71+AG71</f>
        <v/>
      </c>
      <c r="AM71" s="164">
        <f>AJ71-AL71</f>
        <v/>
      </c>
      <c r="AN71" s="164">
        <f>AI71+AH71+AG71+AF71+AE71</f>
        <v/>
      </c>
      <c r="AO71" s="167">
        <f>(AJ71-AN71)/AJ71</f>
        <v/>
      </c>
      <c r="AP71" s="168">
        <f>AL71/AJ71</f>
        <v/>
      </c>
      <c r="AQ71" s="168">
        <f>AE71/AJ71</f>
        <v/>
      </c>
      <c r="AR71" s="168">
        <f>AE71/AL71</f>
        <v/>
      </c>
      <c r="AS71" s="169" t="n">
        <v>1</v>
      </c>
      <c r="AT71" s="121">
        <f>S71*AS71</f>
        <v/>
      </c>
      <c r="AU71" s="83" t="n">
        <v>1</v>
      </c>
      <c r="AV71" s="170">
        <f>(AJ71-(AE71*(1+$IS$2)+AF71+AG71+AH71+AI71))/AJ71</f>
        <v/>
      </c>
      <c r="AW71" s="171">
        <f>(AE71*(1+$IS$2)+AF71+AG71)/AJ71</f>
        <v/>
      </c>
      <c r="AX71" s="171">
        <f>(AE71*(1+$IS$2))/AJ71</f>
        <v/>
      </c>
      <c r="AY71" s="171">
        <f>(AE71*(1+$IS$2))/(AE71*(1+$IS$2)+AF71+AG71)</f>
        <v/>
      </c>
      <c r="AZ71" s="172">
        <f>MIN(IF($AU71=100%,1,1+VLOOKUP(($AJ71-$AI71-$AH71-$AG71-$AF71-$AE71*(1+AZ$3))/$AJ71,'Технический лист'!$M:$N,2,1)-VLOOKUP($AO71,'Технический лист'!$M:$N,2,1)),1+(1-$AU71))</f>
        <v/>
      </c>
      <c r="BA71" s="172">
        <f>MIN(IF($AU71=100%,1,1+VLOOKUP(($AJ71-$AI71-$AH71-$AG71-$AF71-$AE71*(1+BA$3))/$AJ71,'Технический лист'!$M:$N,2,1)-VLOOKUP($AO71,'Технический лист'!$M:$N,2,1)),1+(1-$AU71))</f>
        <v/>
      </c>
      <c r="BB71" s="172">
        <f>MIN(IF($AU71=100%,1,1+VLOOKUP(($AJ71-$AI71-$AH71-$AG71-$AF71-$AE71*(1+BB$3))/$AJ71,'Технический лист'!$M:$N,2,1)-VLOOKUP($AO71,'Технический лист'!$M:$N,2,1)),1+(1-$AU71))</f>
        <v/>
      </c>
      <c r="BC71" s="172">
        <f>MIN(IF($AU71=100%,1,1+VLOOKUP(($AJ71-$AI71-$AH71-$AG71-$AF71-$AE71*(1+BC$3))/$AJ71,'Технический лист'!$M:$N,2,1)-VLOOKUP($AO71,'Технический лист'!$M:$N,2,1)),1+(1-$AU71))</f>
        <v/>
      </c>
      <c r="BD71" s="172">
        <f>MIN(IF($AU71=100%,1,1+VLOOKUP(($AJ71-$AI71-$AH71-$AG71-$AF71-$AE71*(1+BD$3))/$AJ71,'Технический лист'!$M:$N,2,1)-VLOOKUP($AO71,'Технический лист'!$M:$N,2,1)),1+(1-$AU71))</f>
        <v/>
      </c>
      <c r="BE71" s="172">
        <f>MIN(IF($AU71=100%,1,1+VLOOKUP(($AJ71-$AI71-$AH71-$AG71-$AF71-$AE71*(1+BE$3))/$AJ71,'Технический лист'!$M:$N,2,1)-VLOOKUP($AO71,'Технический лист'!$M:$N,2,1)),1+(1-$AU71))</f>
        <v/>
      </c>
      <c r="BF71" s="172">
        <f>MIN(IF($AU71=100%,1,1+VLOOKUP(($AJ71-$AI71-$AH71-$AG71-$AF71-$AE71*(1+BF$3))/$AJ71,'Технический лист'!$M:$N,2,1)-VLOOKUP($AO71,'Технический лист'!$M:$N,2,1)),1+(1-$AU71))</f>
        <v/>
      </c>
      <c r="BG71" s="172">
        <f>MIN(IF($AU71=100%,1,1+VLOOKUP(($AJ71-$AI71-$AH71-$AG71-$AF71-$AE71*(1+BG$3))/$AJ71,'Технический лист'!$M:$N,2,1)-VLOOKUP($AO71,'Технический лист'!$M:$N,2,1)),1+(1-$AU71))</f>
        <v/>
      </c>
      <c r="BH71" s="172">
        <f>MIN(IF($AU71=100%,1,1+VLOOKUP(($AJ71-$AI71-$AH71-$AG71-$AF71-$AE71*(1+BH$3))/$AJ71,'Технический лист'!$M:$N,2,1)-VLOOKUP($AO71,'Технический лист'!$M:$N,2,1)),1+(1-$AU71))</f>
        <v/>
      </c>
      <c r="BI71" s="172">
        <f>MIN(IF($AU71=100%,1,1+VLOOKUP(($AJ71-$AI71-$AH71-$AG71-$AF71-$AE71*(1+BI$3))/$AJ71,'Технический лист'!$M:$N,2,1)-VLOOKUP($AO71,'Технический лист'!$M:$N,2,1)),1+(1-$AU71))</f>
        <v/>
      </c>
      <c r="BJ71" s="172">
        <f>MIN(IF($AU71=100%,1,1+VLOOKUP(($AJ71-$AI71-$AH71-$AG71-$AF71-$AE71*(1+BJ$3))/$AJ71,'Технический лист'!$M:$N,2,1)-VLOOKUP($AO71,'Технический лист'!$M:$N,2,1)),1+(1-$AU71))</f>
        <v/>
      </c>
      <c r="BK71" s="172">
        <f>MIN(IF($AU71=100%,1,1+VLOOKUP(($AJ71-$AI71-$AH71-$AG71-$AF71-$AE71*(1+BK$3))/$AJ71,'Технический лист'!$M:$N,2,1)-VLOOKUP($AO71,'Технический лист'!$M:$N,2,1)),1+(1-$AU71))</f>
        <v/>
      </c>
      <c r="BL71" s="172">
        <f>MIN(IF($AU71=100%,1,1+VLOOKUP(($AJ71-$AI71-$AH71-$AG71-$AF71-$AE71*(1+BL$3))/$AJ71,'Технический лист'!$M:$N,2,1)-VLOOKUP($AO71,'Технический лист'!$M:$N,2,1)),1+(1-$AU71))</f>
        <v/>
      </c>
      <c r="BM71" s="172">
        <f>MIN(IF($AU71=100%,1,1+VLOOKUP(($AJ71-$AI71-$AH71-$AG71-$AF71-$AE71*(1+BM$3))/$AJ71,'Технический лист'!$M:$N,2,1)-VLOOKUP($AO71,'Технический лист'!$M:$N,2,1)),1+(1-$AU71))</f>
        <v/>
      </c>
      <c r="BN71" s="172">
        <f>MIN(IF($AU71=100%,1,1+VLOOKUP(($AJ71-$AI71-$AH71-$AG71-$AF71-$AE71*(1+BN$3))/$AJ71,'Технический лист'!$M:$N,2,1)-VLOOKUP($AO71,'Технический лист'!$M:$N,2,1)),1+(1-$AU71))</f>
        <v/>
      </c>
      <c r="BO71" s="172">
        <f>MIN(IF($AU71=100%,1,1+VLOOKUP(($AJ71-$AI71-$AH71-$AG71-$AF71-$AE71*(1+BO$3))/$AJ71,'Технический лист'!$M:$N,2,1)-VLOOKUP($AO71,'Технический лист'!$M:$N,2,1)),1+(1-$AU71))</f>
        <v/>
      </c>
      <c r="BP71" s="172">
        <f>MIN(IF($AU71=100%,1,1+VLOOKUP(($AJ71-$AI71-$AH71-$AG71-$AF71-$AE71*(1+BP$3))/$AJ71,'Технический лист'!$M:$N,2,1)-VLOOKUP($AO71,'Технический лист'!$M:$N,2,1)),1+(1-$AU71))</f>
        <v/>
      </c>
      <c r="BQ71" s="172">
        <f>MIN(IF($AU71=100%,1,1+VLOOKUP(($AJ71-$AI71-$AH71-$AG71-$AF71-$AE71*(1+BQ$3))/$AJ71,'Технический лист'!$M:$N,2,1)-VLOOKUP($AO71,'Технический лист'!$M:$N,2,1)),1+(1-$AU71))</f>
        <v/>
      </c>
      <c r="BR71" s="172">
        <f>MIN(IF($AU71=100%,1,1+VLOOKUP(($AJ71-$AI71-$AH71-$AG71-$AF71-$AE71*(1+BR$3))/$AJ71,'Технический лист'!$M:$N,2,1)-VLOOKUP($AO71,'Технический лист'!$M:$N,2,1)),1+(1-$AU71))</f>
        <v/>
      </c>
      <c r="BS71" s="172">
        <f>MIN(IF($AU71=100%,1,1+VLOOKUP(($AJ71-$AI71-$AH71-$AG71-$AF71-$AE71*(1+BS$3))/$AJ71,'Технический лист'!$M:$N,2,1)-VLOOKUP($AO71,'Технический лист'!$M:$N,2,1)),1+(1-$AU71))</f>
        <v/>
      </c>
      <c r="BT71" s="172">
        <f>MIN(IF($AU71=100%,1,1+VLOOKUP(($AJ71-$AI71-$AH71-$AG71-$AF71-$AE71*(1+BT$3))/$AJ71,'Технический лист'!$M:$N,2,1)-VLOOKUP($AO71,'Технический лист'!$M:$N,2,1)),1+(1-$AU71))</f>
        <v/>
      </c>
      <c r="BU71" s="172">
        <f>MIN(IF($AU71=100%,1,1+VLOOKUP(($AJ71-$AI71-$AH71-$AG71-$AF71-$AE71*(1+BU$3))/$AJ71,'Технический лист'!$M:$N,2,1)-VLOOKUP($AO71,'Технический лист'!$M:$N,2,1)),1+(1-$AU71))</f>
        <v/>
      </c>
      <c r="BV71" s="172">
        <f>MIN(IF($AU71=100%,1,1+VLOOKUP(($AJ71-$AI71-$AH71-$AG71-$AF71-$AE71*(1+BV$3))/$AJ71,'Технический лист'!$M:$N,2,1)-VLOOKUP($AO71,'Технический лист'!$M:$N,2,1)),1+(1-$AU71))</f>
        <v/>
      </c>
      <c r="BW71" s="172">
        <f>MIN(IF($AU71=100%,1,1+VLOOKUP(($AJ71-$AI71-$AH71-$AG71-$AF71-$AE71*(1+BW$3))/$AJ71,'Технический лист'!$M:$N,2,1)-VLOOKUP($AO71,'Технический лист'!$M:$N,2,1)),1+(1-$AU71))</f>
        <v/>
      </c>
      <c r="BX71" s="172">
        <f>MIN(IF($AU71=100%,1,1+VLOOKUP(($AJ71-$AI71-$AH71-$AG71-$AF71-$AE71*(1+BX$3))/$AJ71,'Технический лист'!$M:$N,2,1)-VLOOKUP($AO71,'Технический лист'!$M:$N,2,1)),1+(1-$AU71))</f>
        <v/>
      </c>
      <c r="BY71" s="172">
        <f>MIN(IF($AU71=100%,1,1+VLOOKUP(($AJ71-$AI71-$AH71-$AG71-$AF71-$AE71*(1+BY$3))/$AJ71,'Технический лист'!$M:$N,2,1)-VLOOKUP($AO71,'Технический лист'!$M:$N,2,1)),1+(1-$AU71))</f>
        <v/>
      </c>
      <c r="BZ71" s="172">
        <f>MIN(IF($AU71=100%,1,1+VLOOKUP(($AJ71-$AI71-$AH71-$AG71-$AF71-$AE71*(1+BZ$3))/$AJ71,'Технический лист'!$M:$N,2,1)-VLOOKUP($AO71,'Технический лист'!$M:$N,2,1)),1+(1-$AU71))</f>
        <v/>
      </c>
      <c r="CA71" s="172">
        <f>MIN(IF($AU71=100%,1,1+VLOOKUP(($AJ71-$AI71-$AH71-$AG71-$AF71-$AE71*(1+CA$3))/$AJ71,'Технический лист'!$M:$N,2,1)-VLOOKUP($AO71,'Технический лист'!$M:$N,2,1)),1+(1-$AU71))</f>
        <v/>
      </c>
      <c r="CB71" s="172">
        <f>MIN(IF($AU71=100%,1,1+VLOOKUP(($AJ71-$AI71-$AH71-$AG71-$AF71-$AE71*(1+CB$3))/$AJ71,'Технический лист'!$M:$N,2,1)-VLOOKUP($AO71,'Технический лист'!$M:$N,2,1)),1+(1-$AU71))</f>
        <v/>
      </c>
      <c r="CC71" s="172">
        <f>MIN(IF($AU71=100%,1,1+VLOOKUP(($AJ71-$AI71-$AH71-$AG71-$AF71-$AE71*(1+CC$3))/$AJ71,'Технический лист'!$M:$N,2,1)-VLOOKUP($AO71,'Технический лист'!$M:$N,2,1)),1+(1-$AU71))</f>
        <v/>
      </c>
      <c r="CD71" s="172">
        <f>MIN(IF($AU71=100%,1,1+VLOOKUP(($AJ71-$AI71-$AH71-$AG71-$AF71-$AE71*(1+CD$3))/$AJ71,'Технический лист'!$M:$N,2,1)-VLOOKUP($AO71,'Технический лист'!$M:$N,2,1)),1+(1-$AU71))</f>
        <v/>
      </c>
      <c r="CE71" s="172">
        <f>MIN(IF($AU71=100%,1,1+VLOOKUP(($AJ71-$AI71-$AH71-$AG71-$AF71-$AE71*(1+CE$3))/$AJ71,'Технический лист'!$M:$N,2,1)-VLOOKUP($AO71,'Технический лист'!$M:$N,2,1)),1+(1-$AU71))</f>
        <v/>
      </c>
      <c r="CF71" s="172">
        <f>MIN(IF($AU71=100%,1,1+VLOOKUP(($AJ71-$AI71-$AH71-$AG71-$AF71-$AE71*(1+CF$3))/$AJ71,'Технический лист'!$M:$N,2,1)-VLOOKUP($AO71,'Технический лист'!$M:$N,2,1)),1+(1-$AU71))</f>
        <v/>
      </c>
      <c r="CG71" s="172">
        <f>MIN(IF($AU71=100%,1,1+VLOOKUP(($AJ71-$AI71-$AH71-$AG71-$AF71-$AE71*(1+CG$3))/$AJ71,'Технический лист'!$M:$N,2,1)-VLOOKUP($AO71,'Технический лист'!$M:$N,2,1)),1+(1-$AU71))</f>
        <v/>
      </c>
      <c r="CH71" s="172">
        <f>MIN(IF($AU71=100%,1,1+VLOOKUP(($AJ71-$AI71-$AH71-$AG71-$AF71-$AE71*(1+CH$3))/$AJ71,'Технический лист'!$M:$N,2,1)-VLOOKUP($AO71,'Технический лист'!$M:$N,2,1)),1+(1-$AU71))</f>
        <v/>
      </c>
      <c r="CI71" s="172">
        <f>MIN(IF($AU71=100%,1,1+VLOOKUP(($AJ71-$AI71-$AH71-$AG71-$AF71-$AE71*(1+CI$3))/$AJ71,'Технический лист'!$M:$N,2,1)-VLOOKUP($AO71,'Технический лист'!$M:$N,2,1)),1+(1-$AU71))</f>
        <v/>
      </c>
      <c r="CJ71" s="172">
        <f>MIN(IF($AU71=100%,1,1+VLOOKUP(($AJ71-$AI71-$AH71-$AG71-$AF71-$AE71*(1+CJ$3))/$AJ71,'Технический лист'!$M:$N,2,1)-VLOOKUP($AO71,'Технический лист'!$M:$N,2,1)),1+(1-$AU71))</f>
        <v/>
      </c>
      <c r="CK71" s="172">
        <f>MIN(IF($AU71=100%,1,1+VLOOKUP(($AJ71-$AI71-$AH71-$AG71-$AF71-$AE71*(1+CK$3))/$AJ71,'Технический лист'!$M:$N,2,1)-VLOOKUP($AO71,'Технический лист'!$M:$N,2,1)),1+(1-$AU71))</f>
        <v/>
      </c>
      <c r="CL71" s="172">
        <f>MIN(IF($AU71=100%,1,1+VLOOKUP(($AJ71-$AI71-$AH71-$AG71-$AF71-$AE71*(1+CL$3))/$AJ71,'Технический лист'!$M:$N,2,1)-VLOOKUP($AO71,'Технический лист'!$M:$N,2,1)),1+(1-$AU71))</f>
        <v/>
      </c>
      <c r="CM71" s="172">
        <f>MIN(IF($AU71=100%,1,1+VLOOKUP(($AJ71-$AI71-$AH71-$AG71-$AF71-$AE71*(1+CM$3))/$AJ71,'Технический лист'!$M:$N,2,1)-VLOOKUP($AO71,'Технический лист'!$M:$N,2,1)),1+(1-$AU71))</f>
        <v/>
      </c>
      <c r="CN71" s="172">
        <f>MIN(IF($AU71=100%,1,1+VLOOKUP(($AJ71-$AI71-$AH71-$AG71-$AF71-$AE71*(1+CN$3))/$AJ71,'Технический лист'!$M:$N,2,1)-VLOOKUP($AO71,'Технический лист'!$M:$N,2,1)),1+(1-$AU71))</f>
        <v/>
      </c>
      <c r="CO71" s="172">
        <f>MIN(IF($AU71=100%,1,1+VLOOKUP(($AJ71-$AI71-$AH71-$AG71-$AF71-$AE71*(1+CO$3))/$AJ71,'Технический лист'!$M:$N,2,1)-VLOOKUP($AO71,'Технический лист'!$M:$N,2,1)),1+(1-$AU71))</f>
        <v/>
      </c>
      <c r="CP71" s="172">
        <f>MIN(IF($AU71=100%,1,1+VLOOKUP(($AJ71-$AI71-$AH71-$AG71-$AF71-$AE71*(1+CP$3))/$AJ71,'Технический лист'!$M:$N,2,1)-VLOOKUP($AO71,'Технический лист'!$M:$N,2,1)),1+(1-$AU71))</f>
        <v/>
      </c>
      <c r="CQ71" s="172">
        <f>MIN(IF($AU71=100%,1,1+VLOOKUP(($AJ71-$AI71-$AH71-$AG71-$AF71-$AE71*(1+CQ$3))/$AJ71,'Технический лист'!$M:$N,2,1)-VLOOKUP($AO71,'Технический лист'!$M:$N,2,1)),1+(1-$AU71))</f>
        <v/>
      </c>
      <c r="CR71" s="172">
        <f>MIN(IF($AU71=100%,1,1+VLOOKUP(($AJ71-$AI71-$AH71-$AG71-$AF71-$AE71*(1+CR$3))/$AJ71,'Технический лист'!$M:$N,2,1)-VLOOKUP($AO71,'Технический лист'!$M:$N,2,1)),1+(1-$AU71))</f>
        <v/>
      </c>
      <c r="CS71" s="172">
        <f>MIN(IF($AU71=100%,1,1+VLOOKUP(($AJ71-$AI71-$AH71-$AG71-$AF71-$AE71*(1+CS$3))/$AJ71,'Технический лист'!$M:$N,2,1)-VLOOKUP($AO71,'Технический лист'!$M:$N,2,1)),1+(1-$AU71))</f>
        <v/>
      </c>
      <c r="CT71" s="172">
        <f>MIN(IF($AU71=100%,1,1+VLOOKUP(($AJ71-$AI71-$AH71-$AG71-$AF71-$AE71*(1+CT$3))/$AJ71,'Технический лист'!$M:$N,2,1)-VLOOKUP($AO71,'Технический лист'!$M:$N,2,1)),1+(1-$AU71))</f>
        <v/>
      </c>
      <c r="CU71" s="172">
        <f>MIN(IF($AU71=100%,1,1+VLOOKUP(($AJ71-$AI71-$AH71-$AG71-$AF71-$AE71*(1+CU$3))/$AJ71,'Технический лист'!$M:$N,2,1)-VLOOKUP($AO71,'Технический лист'!$M:$N,2,1)),1+(1-$AU71))</f>
        <v/>
      </c>
      <c r="CV71" s="172">
        <f>MIN(IF($AU71=100%,1,1+VLOOKUP(($AJ71-$AI71-$AH71-$AG71-$AF71-$AE71*(1+CV$3))/$AJ71,'Технический лист'!$M:$N,2,1)-VLOOKUP($AO71,'Технический лист'!$M:$N,2,1)),1+(1-$AU71))</f>
        <v/>
      </c>
      <c r="CW71" s="172">
        <f>MIN(IF($AU71=100%,1,1+VLOOKUP(($AJ71-$AI71-$AH71-$AG71-$AF71-$AE71*(1+CW$3))/$AJ71,'Технический лист'!$M:$N,2,1)-VLOOKUP($AO71,'Технический лист'!$M:$N,2,1)),1+(1-$AU71))</f>
        <v/>
      </c>
      <c r="CX71" s="172">
        <f>MIN(IF($AU71=100%,1,1+VLOOKUP(($AJ71-$AI71-$AH71-$AG71-$AF71-$AE71*(1+CX$3))/$AJ71,'Технический лист'!$M:$N,2,1)-VLOOKUP($AO71,'Технический лист'!$M:$N,2,1)),1+(1-$AU71))</f>
        <v/>
      </c>
      <c r="CY71" s="172">
        <f>MIN(IF($AU71=100%,1,1+VLOOKUP(($AJ71-$AI71-$AH71-$AG71-$AF71-$AE71*(1+CY$3))/$AJ71,'Технический лист'!$M:$N,2,1)-VLOOKUP($AO71,'Технический лист'!$M:$N,2,1)),1+(1-$AU71))</f>
        <v/>
      </c>
      <c r="CZ71" s="172">
        <f>MIN(IF($AU71=100%,1,1+VLOOKUP(($AJ71-$AI71-$AH71-$AG71-$AF71-$AE71*(1+CZ$3))/$AJ71,'Технический лист'!$M:$N,2,1)-VLOOKUP($AO71,'Технический лист'!$M:$N,2,1)),1+(1-$AU71))</f>
        <v/>
      </c>
      <c r="DA71" s="172">
        <f>MIN(IF($AU71=100%,1,1+VLOOKUP(($AJ71-$AI71-$AH71-$AG71-$AF71-$AE71*(1+DA$3))/$AJ71,'Технический лист'!$M:$N,2,1)-VLOOKUP($AO71,'Технический лист'!$M:$N,2,1)),1+(1-$AU71))</f>
        <v/>
      </c>
      <c r="DB71" s="172">
        <f>MIN(IF($AU71=100%,1,1+VLOOKUP(($AJ71-$AI71-$AH71-$AG71-$AF71-$AE71*(1+DB$3))/$AJ71,'Технический лист'!$M:$N,2,1)-VLOOKUP($AO71,'Технический лист'!$M:$N,2,1)),1+(1-$AU71))</f>
        <v/>
      </c>
      <c r="DC71" s="172">
        <f>MIN(IF($AU71=100%,1,1+VLOOKUP(($AJ71-$AI71-$AH71-$AG71-$AF71-$AE71*(1+DC$3))/$AJ71,'Технический лист'!$M:$N,2,1)-VLOOKUP($AO71,'Технический лист'!$M:$N,2,1)),1+(1-$AU71))</f>
        <v/>
      </c>
      <c r="DD71" s="172">
        <f>MIN(IF($AU71=100%,1,1+VLOOKUP(($AJ71-$AI71-$AH71-$AG71-$AF71-$AE71*(1+DD$3))/$AJ71,'Технический лист'!$M:$N,2,1)-VLOOKUP($AO71,'Технический лист'!$M:$N,2,1)),1+(1-$AU71))</f>
        <v/>
      </c>
      <c r="DE71" s="172">
        <f>MIN(IF($AU71=100%,1,1+VLOOKUP(($AJ71-$AI71-$AH71-$AG71-$AF71-$AE71*(1+DE$3))/$AJ71,'Технический лист'!$M:$N,2,1)-VLOOKUP($AO71,'Технический лист'!$M:$N,2,1)),1+(1-$AU71))</f>
        <v/>
      </c>
      <c r="DF71" s="172">
        <f>MIN(IF($AU71=100%,1,1+VLOOKUP(($AJ71-$AI71-$AH71-$AG71-$AF71-$AE71*(1+DF$3))/$AJ71,'Технический лист'!$M:$N,2,1)-VLOOKUP($AO71,'Технический лист'!$M:$N,2,1)),1+(1-$AU71))</f>
        <v/>
      </c>
      <c r="DG71" s="172">
        <f>MIN(IF($AU71=100%,1,1+VLOOKUP(($AJ71-$AI71-$AH71-$AG71-$AF71-$AE71*(1+DG$3))/$AJ71,'Технический лист'!$M:$N,2,1)-VLOOKUP($AO71,'Технический лист'!$M:$N,2,1)),1+(1-$AU71))</f>
        <v/>
      </c>
      <c r="DH71" s="172">
        <f>MIN(IF($AU71=100%,1,1+VLOOKUP(($AJ71-$AI71-$AH71-$AG71-$AF71-$AE71*(1+DH$3))/$AJ71,'Технический лист'!$M:$N,2,1)-VLOOKUP($AO71,'Технический лист'!$M:$N,2,1)),1+(1-$AU71))</f>
        <v/>
      </c>
      <c r="DI71" s="172">
        <f>MIN(IF($AU71=100%,1,1+VLOOKUP(($AJ71-$AI71-$AH71-$AG71-$AF71-$AE71*(1+DI$3))/$AJ71,'Технический лист'!$M:$N,2,1)-VLOOKUP($AO71,'Технический лист'!$M:$N,2,1)),1+(1-$AU71))</f>
        <v/>
      </c>
      <c r="DJ71" s="172">
        <f>MIN(IF($AU71=100%,1,1+VLOOKUP(($AJ71-$AI71-$AH71-$AG71-$AF71-$AE71*(1+DJ$3))/$AJ71,'Технический лист'!$M:$N,2,1)-VLOOKUP($AO71,'Технический лист'!$M:$N,2,1)),1+(1-$AU71))</f>
        <v/>
      </c>
      <c r="DK71" s="172">
        <f>MIN(IF($AU71=100%,1,1+VLOOKUP(($AJ71-$AI71-$AH71-$AG71-$AF71-$AE71*(1+DK$3))/$AJ71,'Технический лист'!$M:$N,2,1)-VLOOKUP($AO71,'Технический лист'!$M:$N,2,1)),1+(1-$AU71))</f>
        <v/>
      </c>
      <c r="DL71" s="172">
        <f>MIN(IF($AU71=100%,1,1+VLOOKUP(($AJ71-$AI71-$AH71-$AG71-$AF71-$AE71*(1+DL$3))/$AJ71,'Технический лист'!$M:$N,2,1)-VLOOKUP($AO71,'Технический лист'!$M:$N,2,1)),1+(1-$AU71))</f>
        <v/>
      </c>
      <c r="DM71" s="172">
        <f>MIN(IF($AU71=100%,1,1+VLOOKUP(($AJ71-$AI71-$AH71-$AG71-$AF71-$AE71*(1+DM$3))/$AJ71,'Технический лист'!$M:$N,2,1)-VLOOKUP($AO71,'Технический лист'!$M:$N,2,1)),1+(1-$AU71))</f>
        <v/>
      </c>
      <c r="DN71" s="172">
        <f>MIN(IF($AU71=100%,1,1+VLOOKUP(($AJ71-$AI71-$AH71-$AG71-$AF71-$AE71*(1+DN$3))/$AJ71,'Технический лист'!$M:$N,2,1)-VLOOKUP($AO71,'Технический лист'!$M:$N,2,1)),1+(1-$AU71))</f>
        <v/>
      </c>
      <c r="DO71" s="172">
        <f>MIN(IF($AU71=100%,1,1+VLOOKUP(($AJ71-$AI71-$AH71-$AG71-$AF71-$AE71*(1+DO$3))/$AJ71,'Технический лист'!$M:$N,2,1)-VLOOKUP($AO71,'Технический лист'!$M:$N,2,1)),1+(1-$AU71))</f>
        <v/>
      </c>
      <c r="DP71" s="172">
        <f>MIN(IF($AU71=100%,1,1+VLOOKUP(($AJ71-$AI71-$AH71-$AG71-$AF71-$AE71*(1+DP$3))/$AJ71,'Технический лист'!$M:$N,2,1)-VLOOKUP($AO71,'Технический лист'!$M:$N,2,1)),1+(1-$AU71))</f>
        <v/>
      </c>
      <c r="DQ71" s="172">
        <f>MIN(IF($AU71=100%,1,1+VLOOKUP(($AJ71-$AI71-$AH71-$AG71-$AF71-$AE71*(1+DQ$3))/$AJ71,'Технический лист'!$M:$N,2,1)-VLOOKUP($AO71,'Технический лист'!$M:$N,2,1)),1+(1-$AU71))</f>
        <v/>
      </c>
      <c r="DR71" s="172">
        <f>MIN(IF($AU71=100%,1,1+VLOOKUP(($AJ71-$AI71-$AH71-$AG71-$AF71-$AE71*(1+DR$3))/$AJ71,'Технический лист'!$M:$N,2,1)-VLOOKUP($AO71,'Технический лист'!$M:$N,2,1)),1+(1-$AU71))</f>
        <v/>
      </c>
      <c r="DS71" s="172">
        <f>MIN(IF($AU71=100%,1,1+VLOOKUP(($AJ71-$AI71-$AH71-$AG71-$AF71-$AE71*(1+DS$3))/$AJ71,'Технический лист'!$M:$N,2,1)-VLOOKUP($AO71,'Технический лист'!$M:$N,2,1)),1+(1-$AU71))</f>
        <v/>
      </c>
      <c r="DT71" s="172">
        <f>MIN(IF($AU71=100%,1,1+VLOOKUP(($AJ71-$AI71-$AH71-$AG71-$AF71-$AE71*(1+DT$3))/$AJ71,'Технический лист'!$M:$N,2,1)-VLOOKUP($AO71,'Технический лист'!$M:$N,2,1)),1+(1-$AU71))</f>
        <v/>
      </c>
      <c r="DU71" s="172">
        <f>MIN(IF($AU71=100%,1,1+VLOOKUP(($AJ71-$AI71-$AH71-$AG71-$AF71-$AE71*(1+DU$3))/$AJ71,'Технический лист'!$M:$N,2,1)-VLOOKUP($AO71,'Технический лист'!$M:$N,2,1)),1+(1-$AU71))</f>
        <v/>
      </c>
      <c r="DV71" s="172">
        <f>MIN(IF($AU71=100%,1,1+VLOOKUP(($AJ71-$AI71-$AH71-$AG71-$AF71-$AE71*(1+DV$3))/$AJ71,'Технический лист'!$M:$N,2,1)-VLOOKUP($AO71,'Технический лист'!$M:$N,2,1)),1+(1-$AU71))</f>
        <v/>
      </c>
      <c r="DW71" s="172">
        <f>MIN(IF($AU71=100%,1,1+VLOOKUP(($AJ71-$AI71-$AH71-$AG71-$AF71-$AE71*(1+DW$3))/$AJ71,'Технический лист'!$M:$N,2,1)-VLOOKUP($AO71,'Технический лист'!$M:$N,2,1)),1+(1-$AU71))</f>
        <v/>
      </c>
      <c r="DX71" s="172">
        <f>MIN(IF($AU71=100%,1,1+VLOOKUP(($AJ71-$AI71-$AH71-$AG71-$AF71-$AE71*(1+DX$3))/$AJ71,'Технический лист'!$M:$N,2,1)-VLOOKUP($AO71,'Технический лист'!$M:$N,2,1)),1+(1-$AU71))</f>
        <v/>
      </c>
      <c r="DY71" s="172">
        <f>MIN(IF($AU71=100%,1,1+VLOOKUP(($AJ71-$AI71-$AH71-$AG71-$AF71-$AE71*(1+DY$3))/$AJ71,'Технический лист'!$M:$N,2,1)-VLOOKUP($AO71,'Технический лист'!$M:$N,2,1)),1+(1-$AU71))</f>
        <v/>
      </c>
      <c r="DZ71" s="172">
        <f>MIN(IF($AU71=100%,1,1+VLOOKUP(($AJ71-$AI71-$AH71-$AG71-$AF71-$AE71*(1+DZ$3))/$AJ71,'Технический лист'!$M:$N,2,1)-VLOOKUP($AO71,'Технический лист'!$M:$N,2,1)),1+(1-$AU71))</f>
        <v/>
      </c>
      <c r="EA71" s="172">
        <f>MIN(IF($AU71=100%,1,1+VLOOKUP(($AJ71-$AI71-$AH71-$AG71-$AF71-$AE71*(1+EA$3))/$AJ71,'Технический лист'!$M:$N,2,1)-VLOOKUP($AO71,'Технический лист'!$M:$N,2,1)),1+(1-$AU71))</f>
        <v/>
      </c>
      <c r="EB71" s="172">
        <f>MIN(IF($AU71=100%,1,1+VLOOKUP(($AJ71-$AI71-$AH71-$AG71-$AF71-$AE71*(1+EB$3))/$AJ71,'Технический лист'!$M:$N,2,1)-VLOOKUP($AO71,'Технический лист'!$M:$N,2,1)),1+(1-$AU71))</f>
        <v/>
      </c>
      <c r="EC71" s="172">
        <f>MIN(IF($AU71=100%,1,1+VLOOKUP(($AJ71-$AI71-$AH71-$AG71-$AF71-$AE71*(1+EC$3))/$AJ71,'Технический лист'!$M:$N,2,1)-VLOOKUP($AO71,'Технический лист'!$M:$N,2,1)),1+(1-$AU71))</f>
        <v/>
      </c>
      <c r="ED71" s="172">
        <f>MIN(IF($AU71=100%,1,1+VLOOKUP(($AJ71-$AI71-$AH71-$AG71-$AF71-$AE71*(1+ED$3))/$AJ71,'Технический лист'!$M:$N,2,1)-VLOOKUP($AO71,'Технический лист'!$M:$N,2,1)),1+(1-$AU71))</f>
        <v/>
      </c>
      <c r="EE71" s="172">
        <f>MIN(IF($AU71=100%,1,1+VLOOKUP(($AJ71-$AI71-$AH71-$AG71-$AF71-$AE71*(1+EE$3))/$AJ71,'Технический лист'!$M:$N,2,1)-VLOOKUP($AO71,'Технический лист'!$M:$N,2,1)),1+(1-$AU71))</f>
        <v/>
      </c>
      <c r="EF71" s="172">
        <f>MIN(IF($AU71=100%,1,1+VLOOKUP(($AJ71-$AI71-$AH71-$AG71-$AF71-$AE71*(1+EF$3))/$AJ71,'Технический лист'!$M:$N,2,1)-VLOOKUP($AO71,'Технический лист'!$M:$N,2,1)),1+(1-$AU71))</f>
        <v/>
      </c>
      <c r="EG71" s="172">
        <f>MIN(IF($AU71=100%,1,1+VLOOKUP(($AJ71-$AI71-$AH71-$AG71-$AF71-$AE71*(1+EG$3))/$AJ71,'Технический лист'!$M:$N,2,1)-VLOOKUP($AO71,'Технический лист'!$M:$N,2,1)),1+(1-$AU71))</f>
        <v/>
      </c>
      <c r="EH71" s="172">
        <f>MIN(IF($AU71=100%,1,1+VLOOKUP(($AJ71-$AI71-$AH71-$AG71-$AF71-$AE71*(1+EH$3))/$AJ71,'Технический лист'!$M:$N,2,1)-VLOOKUP($AO71,'Технический лист'!$M:$N,2,1)),1+(1-$AU71))</f>
        <v/>
      </c>
      <c r="EI71" s="172">
        <f>MIN(IF($AU71=100%,1,1+VLOOKUP(($AJ71-$AI71-$AH71-$AG71-$AF71-$AE71*(1+EI$3))/$AJ71,'Технический лист'!$M:$N,2,1)-VLOOKUP($AO71,'Технический лист'!$M:$N,2,1)),1+(1-$AU71))</f>
        <v/>
      </c>
      <c r="EJ71" s="172">
        <f>MIN(IF($AU71=100%,1,1+VLOOKUP(($AJ71-$AI71-$AH71-$AG71-$AF71-$AE71*(1+EJ$3))/$AJ71,'Технический лист'!$M:$N,2,1)-VLOOKUP($AO71,'Технический лист'!$M:$N,2,1)),1+(1-$AU71))</f>
        <v/>
      </c>
      <c r="EK71" s="172">
        <f>MIN(IF($AU71=100%,1,1+VLOOKUP(($AJ71-$AI71-$AH71-$AG71-$AF71-$AE71*(1+EK$3))/$AJ71,'Технический лист'!$M:$N,2,1)-VLOOKUP($AO71,'Технический лист'!$M:$N,2,1)),1+(1-$AU71))</f>
        <v/>
      </c>
      <c r="EL71" s="172">
        <f>MIN(IF($AU71=100%,1,1+VLOOKUP(($AJ71-$AI71-$AH71-$AG71-$AF71-$AE71*(1+EL$3))/$AJ71,'Технический лист'!$M:$N,2,1)-VLOOKUP($AO71,'Технический лист'!$M:$N,2,1)),1+(1-$AU71))</f>
        <v/>
      </c>
      <c r="EM71" s="172">
        <f>MIN(IF($AU71=100%,1,1+VLOOKUP(($AJ71-$AI71-$AH71-$AG71-$AF71-$AE71*(1+EM$3))/$AJ71,'Технический лист'!$M:$N,2,1)-VLOOKUP($AO71,'Технический лист'!$M:$N,2,1)),1+(1-$AU71))</f>
        <v/>
      </c>
      <c r="EN71" s="172">
        <f>MIN(IF($AU71=100%,1,1+VLOOKUP(($AJ71-$AI71-$AH71-$AG71-$AF71-$AE71*(1+EN$3))/$AJ71,'Технический лист'!$M:$N,2,1)-VLOOKUP($AO71,'Технический лист'!$M:$N,2,1)),1+(1-$AU71))</f>
        <v/>
      </c>
      <c r="EO71" s="172">
        <f>MIN(IF($AU71=100%,1,1+VLOOKUP(($AJ71-$AI71-$AH71-$AG71-$AF71-$AE71*(1+EO$3))/$AJ71,'Технический лист'!$M:$N,2,1)-VLOOKUP($AO71,'Технический лист'!$M:$N,2,1)),1+(1-$AU71))</f>
        <v/>
      </c>
      <c r="EP71" s="172">
        <f>MIN(IF($AU71=100%,1,1+VLOOKUP(($AJ71-$AI71-$AH71-$AG71-$AF71-$AE71*(1+EP$3))/$AJ71,'Технический лист'!$M:$N,2,1)-VLOOKUP($AO71,'Технический лист'!$M:$N,2,1)),1+(1-$AU71))</f>
        <v/>
      </c>
      <c r="EQ71" s="172">
        <f>MIN(IF($AU71=100%,1,1+VLOOKUP(($AJ71-$AI71-$AH71-$AG71-$AF71-$AE71*(1+EQ$3))/$AJ71,'Технический лист'!$M:$N,2,1)-VLOOKUP($AO71,'Технический лист'!$M:$N,2,1)),1+(1-$AU71))</f>
        <v/>
      </c>
      <c r="ER71" s="172">
        <f>MIN(IF($AU71=100%,1,1+VLOOKUP(($AJ71-$AI71-$AH71-$AG71-$AF71-$AE71*(1+ER$3))/$AJ71,'Технический лист'!$M:$N,2,1)-VLOOKUP($AO71,'Технический лист'!$M:$N,2,1)),1+(1-$AU71))</f>
        <v/>
      </c>
      <c r="ES71" s="172">
        <f>MIN(IF($AU71=100%,1,1+VLOOKUP(($AJ71-$AI71-$AH71-$AG71-$AF71-$AE71*(1+ES$3))/$AJ71,'Технический лист'!$M:$N,2,1)-VLOOKUP($AO71,'Технический лист'!$M:$N,2,1)),1+(1-$AU71))</f>
        <v/>
      </c>
      <c r="ET71" s="172">
        <f>MIN(IF($AU71=100%,1,1+VLOOKUP(($AJ71-$AI71-$AH71-$AG71-$AF71-$AE71*(1+ET$3))/$AJ71,'Технический лист'!$M:$N,2,1)-VLOOKUP($AO71,'Технический лист'!$M:$N,2,1)),1+(1-$AU71))</f>
        <v/>
      </c>
      <c r="EU71" s="172">
        <f>MIN(IF($AU71=100%,1,1+VLOOKUP(($AJ71-$AI71-$AH71-$AG71-$AF71-$AE71*(1+EU$3))/$AJ71,'Технический лист'!$M:$N,2,1)-VLOOKUP($AO71,'Технический лист'!$M:$N,2,1)),1+(1-$AU71))</f>
        <v/>
      </c>
      <c r="EV71" s="173" t="n">
        <v>1</v>
      </c>
      <c r="EW71" s="172">
        <f>MIN(1,MAX(VLOOKUP(($AJ71-$AI71-$AH71-$AG71-$AF71-$AE71*(1+EW$3))/$AJ71,'Технический лист'!$M:$N,2,1),(EV71-0.05)))</f>
        <v/>
      </c>
      <c r="EX71" s="172">
        <f>MIN(1,MAX(VLOOKUP(($AJ71-$AI71-$AH71-$AG71-$AF71-$AE71*(1+EX$3))/$AJ71,'Технический лист'!$M:$N,2,1),(EW71-0.05)))</f>
        <v/>
      </c>
      <c r="EY71" s="172">
        <f>MIN(1,MAX(VLOOKUP(($AJ71-$AI71-$AH71-$AG71-$AF71-$AE71*(1+EY$3))/$AJ71,'Технический лист'!$M:$N,2,1),(EX71-0.05)))</f>
        <v/>
      </c>
      <c r="EZ71" s="172">
        <f>MIN(1,MAX(VLOOKUP(($AJ71-$AI71-$AH71-$AG71-$AF71-$AE71*(1+EZ$3))/$AJ71,'Технический лист'!$M:$N,2,1),(EY71-0.05)))</f>
        <v/>
      </c>
      <c r="FA71" s="172">
        <f>MIN(1,MAX(VLOOKUP(($AJ71-$AI71-$AH71-$AG71-$AF71-$AE71*(1+FA$3))/$AJ71,'Технический лист'!$M:$N,2,1),(EZ71-0.05)))</f>
        <v/>
      </c>
      <c r="FB71" s="172">
        <f>MIN(1,MAX(VLOOKUP(($AJ71-$AI71-$AH71-$AG71-$AF71-$AE71*(1+FB$3))/$AJ71,'Технический лист'!$M:$N,2,1),(FA71-0.05)))</f>
        <v/>
      </c>
      <c r="FC71" s="172">
        <f>MIN(1,MAX(VLOOKUP(($AJ71-$AI71-$AH71-$AG71-$AF71-$AE71*(1+FC$3))/$AJ71,'Технический лист'!$M:$N,2,1),(FB71-0.05)))</f>
        <v/>
      </c>
      <c r="FD71" s="172">
        <f>MIN(1,MAX(VLOOKUP(($AJ71-$AI71-$AH71-$AG71-$AF71-$AE71*(1+FD$3))/$AJ71,'Технический лист'!$M:$N,2,1),(FC71-0.05)))</f>
        <v/>
      </c>
      <c r="FE71" s="172">
        <f>MIN(1,MAX(VLOOKUP(($AJ71-$AI71-$AH71-$AG71-$AF71-$AE71*(1+FE$3))/$AJ71,'Технический лист'!$M:$N,2,1),(FD71-0.05)))</f>
        <v/>
      </c>
      <c r="FF71" s="172">
        <f>MIN(1,MAX(VLOOKUP(($AJ71-$AI71-$AH71-$AG71-$AF71-$AE71*(1+FF$3))/$AJ71,'Технический лист'!$M:$N,2,1),(FE71-0.05)))</f>
        <v/>
      </c>
      <c r="FG71" s="172">
        <f>MIN(1,MAX(VLOOKUP(($AJ71-$AI71-$AH71-$AG71-$AF71-$AE71*(1+FG$3))/$AJ71,'Технический лист'!$M:$N,2,1),(FF71-0.05)))</f>
        <v/>
      </c>
      <c r="FH71" s="172">
        <f>MIN(1,MAX(VLOOKUP(($AJ71-$AI71-$AH71-$AG71-$AF71-$AE71*(1+FH$3))/$AJ71,'Технический лист'!$M:$N,2,1),(FG71-0.05)))</f>
        <v/>
      </c>
      <c r="FI71" s="172">
        <f>MIN(1,MAX(VLOOKUP(($AJ71-$AI71-$AH71-$AG71-$AF71-$AE71*(1+FI$3))/$AJ71,'Технический лист'!$M:$N,2,1),(FH71-0.05)))</f>
        <v/>
      </c>
      <c r="FJ71" s="172">
        <f>MIN(1,MAX(VLOOKUP(($AJ71-$AI71-$AH71-$AG71-$AF71-$AE71*(1+FJ$3))/$AJ71,'Технический лист'!$M:$N,2,1),(FI71-0.05)))</f>
        <v/>
      </c>
      <c r="FK71" s="172">
        <f>MIN(1,MAX(VLOOKUP(($AJ71-$AI71-$AH71-$AG71-$AF71-$AE71*(1+FK$3))/$AJ71,'Технический лист'!$M:$N,2,1),(FJ71-0.05)))</f>
        <v/>
      </c>
      <c r="FL71" s="172">
        <f>MIN(1,MAX(VLOOKUP(($AJ71-$AI71-$AH71-$AG71-$AF71-$AE71*(1+FL$3))/$AJ71,'Технический лист'!$M:$N,2,1),(FK71-0.05)))</f>
        <v/>
      </c>
      <c r="FM71" s="172">
        <f>MIN(1,MAX(VLOOKUP(($AJ71-$AI71-$AH71-$AG71-$AF71-$AE71*(1+FM$3))/$AJ71,'Технический лист'!$M:$N,2,1),(FL71-0.05)))</f>
        <v/>
      </c>
      <c r="FN71" s="172">
        <f>MIN(1,MAX(VLOOKUP(($AJ71-$AI71-$AH71-$AG71-$AF71-$AE71*(1+FN$3))/$AJ71,'Технический лист'!$M:$N,2,1),(FM71-0.05)))</f>
        <v/>
      </c>
      <c r="FO71" s="172">
        <f>MIN(1,MAX(VLOOKUP(($AJ71-$AI71-$AH71-$AG71-$AF71-$AE71*(1+FO$3))/$AJ71,'Технический лист'!$M:$N,2,1),(FN71-0.05)))</f>
        <v/>
      </c>
      <c r="FP71" s="172">
        <f>MIN(1,MAX(VLOOKUP(($AJ71-$AI71-$AH71-$AG71-$AF71-$AE71*(1+FP$3))/$AJ71,'Технический лист'!$M:$N,2,1),(FO71-0.05)))</f>
        <v/>
      </c>
      <c r="FQ71" s="172">
        <f>MIN(1,MAX(VLOOKUP(($AJ71-$AI71-$AH71-$AG71-$AF71-$AE71*(1+FQ$3))/$AJ71,'Технический лист'!$M:$N,2,1),(FP71-0.05)))</f>
        <v/>
      </c>
      <c r="FR71" s="172">
        <f>MIN(1,MAX(VLOOKUP(($AJ71-$AI71-$AH71-$AG71-$AF71-$AE71*(1+FR$3))/$AJ71,'Технический лист'!$M:$N,2,1),(FQ71-0.05)))</f>
        <v/>
      </c>
      <c r="FS71" s="172">
        <f>MIN(1,MAX(VLOOKUP(($AJ71-$AI71-$AH71-$AG71-$AF71-$AE71*(1+FS$3))/$AJ71,'Технический лист'!$M:$N,2,1),(FR71-0.05)))</f>
        <v/>
      </c>
      <c r="FT71" s="172">
        <f>MIN(1,MAX(VLOOKUP(($AJ71-$AI71-$AH71-$AG71-$AF71-$AE71*(1+FT$3))/$AJ71,'Технический лист'!$M:$N,2,1),(FS71-0.05)))</f>
        <v/>
      </c>
      <c r="FU71" s="172">
        <f>MIN(1,MAX(VLOOKUP(($AJ71-$AI71-$AH71-$AG71-$AF71-$AE71*(1+FU$3))/$AJ71,'Технический лист'!$M:$N,2,1),(FT71-0.05)))</f>
        <v/>
      </c>
      <c r="FV71" s="172">
        <f>MIN(1,MAX(VLOOKUP(($AJ71-$AI71-$AH71-$AG71-$AF71-$AE71*(1+FV$3))/$AJ71,'Технический лист'!$M:$N,2,1),(FU71-0.05)))</f>
        <v/>
      </c>
      <c r="FW71" s="172">
        <f>MIN(1,MAX(VLOOKUP(($AJ71-$AI71-$AH71-$AG71-$AF71-$AE71*(1+FW$3))/$AJ71,'Технический лист'!$M:$N,2,1),(FV71-0.05)))</f>
        <v/>
      </c>
      <c r="FX71" s="172">
        <f>MIN(1,MAX(VLOOKUP(($AJ71-$AI71-$AH71-$AG71-$AF71-$AE71*(1+FX$3))/$AJ71,'Технический лист'!$M:$N,2,1),(FW71-0.05)))</f>
        <v/>
      </c>
      <c r="FY71" s="172">
        <f>MIN(1,MAX(VLOOKUP(($AJ71-$AI71-$AH71-$AG71-$AF71-$AE71*(1+FY$3))/$AJ71,'Технический лист'!$M:$N,2,1),(FX71-0.05)))</f>
        <v/>
      </c>
      <c r="FZ71" s="172">
        <f>MIN(1,MAX(VLOOKUP(($AJ71-$AI71-$AH71-$AG71-$AF71-$AE71*(1+FZ$3))/$AJ71,'Технический лист'!$M:$N,2,1),(FY71-0.05)))</f>
        <v/>
      </c>
      <c r="GA71" s="172">
        <f>MIN(1,MAX(VLOOKUP(($AJ71-$AI71-$AH71-$AG71-$AF71-$AE71*(1+GA$3))/$AJ71,'Технический лист'!$M:$N,2,1),(FZ71-0.05)))</f>
        <v/>
      </c>
      <c r="GB71" s="172">
        <f>MIN(1,MAX(VLOOKUP(($AJ71-$AI71-$AH71-$AG71-$AF71-$AE71*(1+GB$3))/$AJ71,'Технический лист'!$M:$N,2,1),(GA71-0.05)))</f>
        <v/>
      </c>
      <c r="GC71" s="172">
        <f>MIN(1,MAX(VLOOKUP(($AJ71-$AI71-$AH71-$AG71-$AF71-$AE71*(1+GC$3))/$AJ71,'Технический лист'!$M:$N,2,1),(GB71-0.05)))</f>
        <v/>
      </c>
      <c r="GD71" s="172">
        <f>MIN(1,MAX(VLOOKUP(($AJ71-$AI71-$AH71-$AG71-$AF71-$AE71*(1+GD$3))/$AJ71,'Технический лист'!$M:$N,2,1),(GC71-0.05)))</f>
        <v/>
      </c>
      <c r="GE71" s="172">
        <f>MIN(1,MAX(VLOOKUP(($AJ71-$AI71-$AH71-$AG71-$AF71-$AE71*(1+GE$3))/$AJ71,'Технический лист'!$M:$N,2,1),(GD71-0.05)))</f>
        <v/>
      </c>
      <c r="GF71" s="172">
        <f>MIN(1,MAX(VLOOKUP(($AJ71-$AI71-$AH71-$AG71-$AF71-$AE71*(1+GF$3))/$AJ71,'Технический лист'!$M:$N,2,1),(GE71-0.05)))</f>
        <v/>
      </c>
      <c r="GG71" s="172">
        <f>MIN(1,MAX(VLOOKUP(($AJ71-$AI71-$AH71-$AG71-$AF71-$AE71*(1+GG$3))/$AJ71,'Технический лист'!$M:$N,2,1),(GF71-0.05)))</f>
        <v/>
      </c>
      <c r="GH71" s="172">
        <f>MIN(1,MAX(VLOOKUP(($AJ71-$AI71-$AH71-$AG71-$AF71-$AE71*(1+GH$3))/$AJ71,'Технический лист'!$M:$N,2,1),(GG71-0.05)))</f>
        <v/>
      </c>
      <c r="GI71" s="172">
        <f>MIN(1,MAX(VLOOKUP(($AJ71-$AI71-$AH71-$AG71-$AF71-$AE71*(1+GI$3))/$AJ71,'Технический лист'!$M:$N,2,1),(GH71-0.05)))</f>
        <v/>
      </c>
      <c r="GJ71" s="172">
        <f>MIN(1,MAX(VLOOKUP(($AJ71-$AI71-$AH71-$AG71-$AF71-$AE71*(1+GJ$3))/$AJ71,'Технический лист'!$M:$N,2,1),(GI71-0.05)))</f>
        <v/>
      </c>
      <c r="GK71" s="172">
        <f>MIN(1,MAX(VLOOKUP(($AJ71-$AI71-$AH71-$AG71-$AF71-$AE71*(1+GK$3))/$AJ71,'Технический лист'!$M:$N,2,1),(GJ71-0.05)))</f>
        <v/>
      </c>
      <c r="GL71" s="172">
        <f>MIN(1,MAX(VLOOKUP(($AJ71-$AI71-$AH71-$AG71-$AF71-$AE71*(1+GL$3))/$AJ71,'Технический лист'!$M:$N,2,1),(GK71-0.05)))</f>
        <v/>
      </c>
      <c r="GM71" s="172">
        <f>MIN(1,MAX(VLOOKUP(($AJ71-$AI71-$AH71-$AG71-$AF71-$AE71*(1+GM$3))/$AJ71,'Технический лист'!$M:$N,2,1),(GL71-0.05)))</f>
        <v/>
      </c>
      <c r="GN71" s="172">
        <f>MIN(1,MAX(VLOOKUP(($AJ71-$AI71-$AH71-$AG71-$AF71-$AE71*(1+GN$3))/$AJ71,'Технический лист'!$M:$N,2,1),(GM71-0.05)))</f>
        <v/>
      </c>
      <c r="GO71" s="172">
        <f>MIN(1,MAX(VLOOKUP(($AJ71-$AI71-$AH71-$AG71-$AF71-$AE71*(1+GO$3))/$AJ71,'Технический лист'!$M:$N,2,1),(GN71-0.05)))</f>
        <v/>
      </c>
      <c r="GP71" s="172">
        <f>MIN(1,MAX(VLOOKUP(($AJ71-$AI71-$AH71-$AG71-$AF71-$AE71*(1+GP$3))/$AJ71,'Технический лист'!$M:$N,2,1),(GO71-0.05)))</f>
        <v/>
      </c>
      <c r="GQ71" s="172">
        <f>MIN(1,MAX(VLOOKUP(($AJ71-$AI71-$AH71-$AG71-$AF71-$AE71*(1+GQ$3))/$AJ71,'Технический лист'!$M:$N,2,1),(GP71-0.05)))</f>
        <v/>
      </c>
      <c r="GR71" s="172">
        <f>MIN(1,MAX(VLOOKUP(($AJ71-$AI71-$AH71-$AG71-$AF71-$AE71*(1+GR$3))/$AJ71,'Технический лист'!$M:$N,2,1),(GQ71-0.05)))</f>
        <v/>
      </c>
      <c r="GS71" s="172">
        <f>MIN(1,MAX(VLOOKUP(($AJ71-$AI71-$AH71-$AG71-$AF71-$AE71*(1+GS$3))/$AJ71,'Технический лист'!$M:$N,2,1),(GR71-0.05)))</f>
        <v/>
      </c>
      <c r="GT71" s="172">
        <f>MIN(1,MAX(VLOOKUP(($AJ71-$AI71-$AH71-$AG71-$AF71-$AE71*(1+GT$3))/$AJ71,'Технический лист'!$M:$N,2,1),(GS71-0.05)))</f>
        <v/>
      </c>
      <c r="GU71" s="172">
        <f>MIN(1,MAX(VLOOKUP(($AJ71-$AI71-$AH71-$AG71-$AF71-$AE71*(1+GU$3))/$AJ71,'Технический лист'!$M:$N,2,1),(GT71-0.05)))</f>
        <v/>
      </c>
      <c r="GV71" s="172">
        <f>MIN(1,MAX(VLOOKUP(($AJ71-$AI71-$AH71-$AG71-$AF71-$AE71*(1+GV$3))/$AJ71,'Технический лист'!$M:$N,2,1),(GU71-0.05)))</f>
        <v/>
      </c>
      <c r="GW71" s="172">
        <f>MIN(1,MAX(VLOOKUP(($AJ71-$AI71-$AH71-$AG71-$AF71-$AE71*(1+GW$3))/$AJ71,'Технический лист'!$M:$N,2,1),(GV71-0.05)))</f>
        <v/>
      </c>
      <c r="GX71" s="172">
        <f>MIN(1,MAX(VLOOKUP(($AJ71-$AI71-$AH71-$AG71-$AF71-$AE71*(1+GX$3))/$AJ71,'Технический лист'!$M:$N,2,1),(GW71-0.05)))</f>
        <v/>
      </c>
      <c r="GY71" s="172">
        <f>MIN(1,MAX(VLOOKUP(($AJ71-$AI71-$AH71-$AG71-$AF71-$AE71*(1+GY$3))/$AJ71,'Технический лист'!$M:$N,2,1),(GX71-0.05)))</f>
        <v/>
      </c>
      <c r="GZ71" s="172">
        <f>MIN(1,MAX(VLOOKUP(($AJ71-$AI71-$AH71-$AG71-$AF71-$AE71*(1+GZ$3))/$AJ71,'Технический лист'!$M:$N,2,1),(GY71-0.05)))</f>
        <v/>
      </c>
      <c r="HA71" s="172">
        <f>MIN(1,MAX(VLOOKUP(($AJ71-$AI71-$AH71-$AG71-$AF71-$AE71*(1+HA$3))/$AJ71,'Технический лист'!$M:$N,2,1),(GZ71-0.05)))</f>
        <v/>
      </c>
      <c r="HB71" s="172">
        <f>MIN(1,MAX(VLOOKUP(($AJ71-$AI71-$AH71-$AG71-$AF71-$AE71*(1+HB$3))/$AJ71,'Технический лист'!$M:$N,2,1),(HA71-0.05)))</f>
        <v/>
      </c>
      <c r="HC71" s="172">
        <f>MIN(1,MAX(VLOOKUP(($AJ71-$AI71-$AH71-$AG71-$AF71-$AE71*(1+HC$3))/$AJ71,'Технический лист'!$M:$N,2,1),(HB71-0.05)))</f>
        <v/>
      </c>
      <c r="HD71" s="172">
        <f>MIN(1,MAX(VLOOKUP(($AJ71-$AI71-$AH71-$AG71-$AF71-$AE71*(1+HD$3))/$AJ71,'Технический лист'!$M:$N,2,1),(HC71-0.05)))</f>
        <v/>
      </c>
      <c r="HE71" s="172">
        <f>MIN(1,MAX(VLOOKUP(($AJ71-$AI71-$AH71-$AG71-$AF71-$AE71*(1+HE$3))/$AJ71,'Технический лист'!$M:$N,2,1),(HD71-0.05)))</f>
        <v/>
      </c>
      <c r="HF71" s="172">
        <f>MIN(1,MAX(VLOOKUP(($AJ71-$AI71-$AH71-$AG71-$AF71-$AE71*(1+HF$3))/$AJ71,'Технический лист'!$M:$N,2,1),(HE71-0.05)))</f>
        <v/>
      </c>
      <c r="HG71" s="172">
        <f>MIN(1,MAX(VLOOKUP(($AJ71-$AI71-$AH71-$AG71-$AF71-$AE71*(1+HG$3))/$AJ71,'Технический лист'!$M:$N,2,1),(HF71-0.05)))</f>
        <v/>
      </c>
      <c r="HH71" s="172">
        <f>MIN(1,MAX(VLOOKUP(($AJ71-$AI71-$AH71-$AG71-$AF71-$AE71*(1+HH$3))/$AJ71,'Технический лист'!$M:$N,2,1),(HG71-0.05)))</f>
        <v/>
      </c>
      <c r="HI71" s="172">
        <f>MIN(1,MAX(VLOOKUP(($AJ71-$AI71-$AH71-$AG71-$AF71-$AE71*(1+HI$3))/$AJ71,'Технический лист'!$M:$N,2,1),(HH71-0.05)))</f>
        <v/>
      </c>
      <c r="HJ71" s="172">
        <f>MIN(1,MAX(VLOOKUP(($AJ71-$AI71-$AH71-$AG71-$AF71-$AE71*(1+HJ$3))/$AJ71,'Технический лист'!$M:$N,2,1),(HI71-0.05)))</f>
        <v/>
      </c>
      <c r="HK71" s="172">
        <f>MIN(1,MAX(VLOOKUP(($AJ71-$AI71-$AH71-$AG71-$AF71-$AE71*(1+HK$3))/$AJ71,'Технический лист'!$M:$N,2,1),(HJ71-0.05)))</f>
        <v/>
      </c>
      <c r="HL71" s="172">
        <f>MIN(1,MAX(VLOOKUP(($AJ71-$AI71-$AH71-$AG71-$AF71-$AE71*(1+HL$3))/$AJ71,'Технический лист'!$M:$N,2,1),(HK71-0.05)))</f>
        <v/>
      </c>
      <c r="HM71" s="172">
        <f>MIN(1,MAX(VLOOKUP(($AJ71-$AI71-$AH71-$AG71-$AF71-$AE71*(1+HM$3))/$AJ71,'Технический лист'!$M:$N,2,1),(HL71-0.05)))</f>
        <v/>
      </c>
      <c r="HN71" s="172">
        <f>MIN(1,MAX(VLOOKUP(($AJ71-$AI71-$AH71-$AG71-$AF71-$AE71*(1+HN$3))/$AJ71,'Технический лист'!$M:$N,2,1),(HM71-0.05)))</f>
        <v/>
      </c>
      <c r="HO71" s="172">
        <f>MIN(1,MAX(VLOOKUP(($AJ71-$AI71-$AH71-$AG71-$AF71-$AE71*(1+HO$3))/$AJ71,'Технический лист'!$M:$N,2,1),(HN71-0.05)))</f>
        <v/>
      </c>
      <c r="HP71" s="172">
        <f>MIN(1,MAX(VLOOKUP(($AJ71-$AI71-$AH71-$AG71-$AF71-$AE71*(1+HP$3))/$AJ71,'Технический лист'!$M:$N,2,1),(HO71-0.05)))</f>
        <v/>
      </c>
      <c r="HQ71" s="172">
        <f>MIN(1,MAX(VLOOKUP(($AJ71-$AI71-$AH71-$AG71-$AF71-$AE71*(1+HQ$3))/$AJ71,'Технический лист'!$M:$N,2,1),(HP71-0.05)))</f>
        <v/>
      </c>
      <c r="HR71" s="172">
        <f>MIN(1,MAX(VLOOKUP(($AJ71-$AI71-$AH71-$AG71-$AF71-$AE71*(1+HR$3))/$AJ71,'Технический лист'!$M:$N,2,1),(HQ71-0.05)))</f>
        <v/>
      </c>
      <c r="HS71" s="172">
        <f>MIN(1,MAX(VLOOKUP(($AJ71-$AI71-$AH71-$AG71-$AF71-$AE71*(1+HS$3))/$AJ71,'Технический лист'!$M:$N,2,1),(HR71-0.05)))</f>
        <v/>
      </c>
      <c r="HT71" s="172">
        <f>MIN(1,MAX(VLOOKUP(($AJ71-$AI71-$AH71-$AG71-$AF71-$AE71*(1+HT$3))/$AJ71,'Технический лист'!$M:$N,2,1),(HS71-0.05)))</f>
        <v/>
      </c>
      <c r="HU71" s="172">
        <f>MIN(1,MAX(VLOOKUP(($AJ71-$AI71-$AH71-$AG71-$AF71-$AE71*(1+HU$3))/$AJ71,'Технический лист'!$M:$N,2,1),(HT71-0.05)))</f>
        <v/>
      </c>
      <c r="HV71" s="172">
        <f>MIN(1,MAX(VLOOKUP(($AJ71-$AI71-$AH71-$AG71-$AF71-$AE71*(1+HV$3))/$AJ71,'Технический лист'!$M:$N,2,1),(HU71-0.05)))</f>
        <v/>
      </c>
      <c r="HW71" s="172">
        <f>MIN(1,MAX(VLOOKUP(($AJ71-$AI71-$AH71-$AG71-$AF71-$AE71*(1+HW$3))/$AJ71,'Технический лист'!$M:$N,2,1),(HV71-0.05)))</f>
        <v/>
      </c>
      <c r="HX71" s="172">
        <f>MIN(1,MAX(VLOOKUP(($AJ71-$AI71-$AH71-$AG71-$AF71-$AE71*(1+HX$3))/$AJ71,'Технический лист'!$M:$N,2,1),(HW71-0.05)))</f>
        <v/>
      </c>
      <c r="HY71" s="172">
        <f>MIN(1,MAX(VLOOKUP(($AJ71-$AI71-$AH71-$AG71-$AF71-$AE71*(1+HY$3))/$AJ71,'Технический лист'!$M:$N,2,1),(HX71-0.05)))</f>
        <v/>
      </c>
      <c r="HZ71" s="172">
        <f>MIN(1,MAX(VLOOKUP(($AJ71-$AI71-$AH71-$AG71-$AF71-$AE71*(1+HZ$3))/$AJ71,'Технический лист'!$M:$N,2,1),(HY71-0.05)))</f>
        <v/>
      </c>
      <c r="IA71" s="172">
        <f>MIN(1,MAX(VLOOKUP(($AJ71-$AI71-$AH71-$AG71-$AF71-$AE71*(1+IA$3))/$AJ71,'Технический лист'!$M:$N,2,1),(HZ71-0.05)))</f>
        <v/>
      </c>
      <c r="IB71" s="172">
        <f>MIN(1,MAX(VLOOKUP(($AJ71-$AI71-$AH71-$AG71-$AF71-$AE71*(1+IB$3))/$AJ71,'Технический лист'!$M:$N,2,1),(IA71-0.05)))</f>
        <v/>
      </c>
      <c r="IC71" s="172">
        <f>MIN(1,MAX(VLOOKUP(($AJ71-$AI71-$AH71-$AG71-$AF71-$AE71*(1+IC$3))/$AJ71,'Технический лист'!$M:$N,2,1),(IB71-0.05)))</f>
        <v/>
      </c>
      <c r="ID71" s="172">
        <f>MIN(1,MAX(VLOOKUP(($AJ71-$AI71-$AH71-$AG71-$AF71-$AE71*(1+ID$3))/$AJ71,'Технический лист'!$M:$N,2,1),(IC71-0.05)))</f>
        <v/>
      </c>
      <c r="IE71" s="172">
        <f>MIN(1,MAX(VLOOKUP(($AJ71-$AI71-$AH71-$AG71-$AF71-$AE71*(1+IE$3))/$AJ71,'Технический лист'!$M:$N,2,1),(ID71-0.05)))</f>
        <v/>
      </c>
      <c r="IF71" s="172">
        <f>MIN(1,MAX(VLOOKUP(($AJ71-$AI71-$AH71-$AG71-$AF71-$AE71*(1+IF$3))/$AJ71,'Технический лист'!$M:$N,2,1),(IE71-0.05)))</f>
        <v/>
      </c>
      <c r="IG71" s="172">
        <f>MIN(1,MAX(VLOOKUP(($AJ71-$AI71-$AH71-$AG71-$AF71-$AE71*(1+IG$3))/$AJ71,'Технический лист'!$M:$N,2,1),(IF71-0.05)))</f>
        <v/>
      </c>
      <c r="IH71" s="172">
        <f>MIN(1,MAX(VLOOKUP(($AJ71-$AI71-$AH71-$AG71-$AF71-$AE71*(1+IH$3))/$AJ71,'Технический лист'!$M:$N,2,1),(IG71-0.05)))</f>
        <v/>
      </c>
      <c r="II71" s="172">
        <f>MIN(1,MAX(VLOOKUP(($AJ71-$AI71-$AH71-$AG71-$AF71-$AE71*(1+II$3))/$AJ71,'Технический лист'!$M:$N,2,1),(IH71-0.05)))</f>
        <v/>
      </c>
      <c r="IJ71" s="172">
        <f>MIN(1,MAX(VLOOKUP(($AJ71-$AI71-$AH71-$AG71-$AF71-$AE71*(1+IJ$3))/$AJ71,'Технический лист'!$M:$N,2,1),(II71-0.05)))</f>
        <v/>
      </c>
      <c r="IK71" s="172">
        <f>MIN(1,MAX(VLOOKUP(($AJ71-$AI71-$AH71-$AG71-$AF71-$AE71*(1+IK$3))/$AJ71,'Технический лист'!$M:$N,2,1),(IJ71-0.05)))</f>
        <v/>
      </c>
      <c r="IL71" s="172">
        <f>MIN(1,MAX(VLOOKUP(($AJ71-$AI71-$AH71-$AG71-$AF71-$AE71*(1+IL$3))/$AJ71,'Технический лист'!$M:$N,2,1),(IK71-0.05)))</f>
        <v/>
      </c>
      <c r="IM71" s="172">
        <f>MIN(1,MAX(VLOOKUP(($AJ71-$AI71-$AH71-$AG71-$AF71-$AE71*(1+IM$3))/$AJ71,'Технический лист'!$M:$N,2,1),(IL71-0.05)))</f>
        <v/>
      </c>
      <c r="IN71" s="172">
        <f>MIN(1,MAX(VLOOKUP(($AJ71-$AI71-$AH71-$AG71-$AF71-$AE71*(1+IN$3))/$AJ71,'Технический лист'!$M:$N,2,1),(IM71-0.05)))</f>
        <v/>
      </c>
      <c r="IO71" s="172">
        <f>MIN(1,MAX(VLOOKUP(($AJ71-$AI71-$AH71-$AG71-$AF71-$AE71*(1+IO$3))/$AJ71,'Технический лист'!$M:$N,2,1),(IN71-0.05)))</f>
        <v/>
      </c>
      <c r="IP71" s="172">
        <f>MIN(1,MAX(VLOOKUP(($AJ71-$AI71-$AH71-$AG71-$AF71-$AE71*(1+IP$3))/$AJ71,'Технический лист'!$M:$N,2,1),(IO71-0.05)))</f>
        <v/>
      </c>
      <c r="IQ71" s="172">
        <f>MIN(1,MAX(VLOOKUP(($AJ71-$AI71-$AH71-$AG71-$AF71-$AE71*(1+IQ$3))/$AJ71,'Технический лист'!$M:$N,2,1),(IP71-0.05)))</f>
        <v/>
      </c>
      <c r="IR71" s="172">
        <f>MIN(1,MAX(VLOOKUP(($AJ71-$AI71-$AH71-$AG71-$AF71-$AE71*(1+IR$3))/$AJ71,'Технический лист'!$M:$N,2,1),(IQ71-0.05)))</f>
        <v/>
      </c>
    </row>
    <row r="72" ht="29.15" customFormat="1" customHeight="1" s="6">
      <c r="A72" s="89" t="inlineStr">
        <is>
          <t>ЦМ (сырье)</t>
        </is>
      </c>
      <c r="B72" s="76" t="n">
        <v>4</v>
      </c>
      <c r="C72" s="3" t="inlineStr">
        <is>
          <t>Руды  всякие</t>
        </is>
      </c>
      <c r="D72" s="77" t="n">
        <v>15119</v>
      </c>
      <c r="E72" s="77" t="inlineStr">
        <is>
          <t xml:space="preserve">Концентрат никелевый </t>
        </is>
      </c>
      <c r="F72" s="77" t="inlineStr">
        <is>
          <t xml:space="preserve">Сырье цветных металлов, сырье серное </t>
        </is>
      </c>
      <c r="G72" s="77" t="inlineStr">
        <is>
          <t>ОКТ</t>
        </is>
      </c>
      <c r="H72" s="77" t="inlineStr">
        <is>
          <t>ОКТ</t>
        </is>
      </c>
      <c r="I72" s="77" t="inlineStr">
        <is>
          <t>ЗАПОЛЯРНАЯ</t>
        </is>
      </c>
      <c r="J72" s="77" t="inlineStr">
        <is>
          <t>АВТОВО-ЭКСП</t>
        </is>
      </c>
      <c r="K72" s="77" t="n">
        <v>1593</v>
      </c>
      <c r="L72" s="77" t="inlineStr">
        <is>
          <t>Платформы</t>
        </is>
      </c>
      <c r="M72" s="77" t="inlineStr">
        <is>
          <t>Экспорт</t>
        </is>
      </c>
      <c r="N72" s="77" t="inlineStr">
        <is>
          <t>контейнерная</t>
        </is>
      </c>
      <c r="O72" s="77" t="inlineStr">
        <is>
          <t xml:space="preserve">Северо-Западное </t>
        </is>
      </c>
      <c r="P72" s="79" t="inlineStr">
        <is>
          <t>'000048200234</t>
        </is>
      </c>
      <c r="Q72" s="77" t="inlineStr">
        <is>
          <t>ПАО "ГМК "Норильский никель"</t>
        </is>
      </c>
      <c r="R72" s="77" t="inlineStr">
        <is>
          <t>ПАО "ГМК "Норильский никель"</t>
        </is>
      </c>
      <c r="S72" s="80" t="n">
        <v>157358</v>
      </c>
      <c r="T72" s="80" t="n">
        <v>250670843</v>
      </c>
      <c r="U72" s="88" t="n">
        <v>3061</v>
      </c>
      <c r="V72" s="88" t="n">
        <v>0</v>
      </c>
      <c r="W72" s="87" t="n">
        <v>146386403</v>
      </c>
      <c r="X72" s="112" t="n">
        <v>52</v>
      </c>
      <c r="Y72" s="112" t="inlineStr">
        <is>
          <t>контейнерный поезд</t>
        </is>
      </c>
      <c r="Z72" s="113" t="n">
        <v>6</v>
      </c>
      <c r="AA72" s="113" t="n">
        <v>0</v>
      </c>
      <c r="AB72" s="113" t="n">
        <v>4</v>
      </c>
      <c r="AC72" s="161">
        <f>74412/X72</f>
        <v/>
      </c>
      <c r="AD72" s="161" t="n">
        <v>0</v>
      </c>
      <c r="AE72" s="161">
        <f>AC72</f>
        <v/>
      </c>
      <c r="AF72" s="162">
        <f>(AB72+AA72+Z72)*'Ставки аренды'!$B$6/X72</f>
        <v/>
      </c>
      <c r="AG72" s="163">
        <f>'Ставки перевалки'!$B$16*2/X72</f>
        <v/>
      </c>
      <c r="AH72" s="164" t="n">
        <v>0</v>
      </c>
      <c r="AI72" s="165">
        <f>575152/1082467*AJ72</f>
        <v/>
      </c>
      <c r="AJ72" s="166">
        <f>Цены!C34*'Курсы валют'!B2</f>
        <v/>
      </c>
      <c r="AK72" s="164">
        <f>AJ72/Цены!$B$1</f>
        <v/>
      </c>
      <c r="AL72" s="164">
        <f>AE72+AF72+AG72</f>
        <v/>
      </c>
      <c r="AM72" s="164">
        <f>AJ72-AL72</f>
        <v/>
      </c>
      <c r="AN72" s="164">
        <f>AI72+AH72+AG72+AF72+AE72</f>
        <v/>
      </c>
      <c r="AO72" s="167">
        <f>(AJ72-AN72)/AJ72</f>
        <v/>
      </c>
      <c r="AP72" s="168">
        <f>AL72/AJ72</f>
        <v/>
      </c>
      <c r="AQ72" s="168">
        <f>AE72/AJ72</f>
        <v/>
      </c>
      <c r="AR72" s="168">
        <f>AE72/AL72</f>
        <v/>
      </c>
      <c r="AS72" s="169" t="n">
        <v>1</v>
      </c>
      <c r="AT72" s="121">
        <f>S72*AS72</f>
        <v/>
      </c>
      <c r="AU72" s="83" t="n">
        <v>0.9</v>
      </c>
      <c r="AV72" s="170">
        <f>(AJ72-(AE72*(1+$IS$2)+AF72+AG72+AH72+AI72))/AJ72</f>
        <v/>
      </c>
      <c r="AW72" s="171">
        <f>(AE72*(1+$IS$2)+AF72+AG72)/AJ72</f>
        <v/>
      </c>
      <c r="AX72" s="171">
        <f>(AE72*(1+$IS$2))/AJ72</f>
        <v/>
      </c>
      <c r="AY72" s="171">
        <f>(AE72*(1+$IS$2))/(AE72*(1+$IS$2)+AF72+AG72)</f>
        <v/>
      </c>
      <c r="AZ72" s="172">
        <f>MIN(IF($AU72=100%,1,1+VLOOKUP(($AJ72-$AI72-$AH72-$AG72-$AF72-$AE72*(1+AZ$3))/$AJ72,'Технический лист'!$M:$N,2,1)-VLOOKUP($AO72,'Технический лист'!$M:$N,2,1)),1+(1-$AU72))</f>
        <v/>
      </c>
      <c r="BA72" s="172">
        <f>MIN(IF($AU72=100%,1,1+VLOOKUP(($AJ72-$AI72-$AH72-$AG72-$AF72-$AE72*(1+BA$3))/$AJ72,'Технический лист'!$M:$N,2,1)-VLOOKUP($AO72,'Технический лист'!$M:$N,2,1)),1+(1-$AU72))</f>
        <v/>
      </c>
      <c r="BB72" s="172">
        <f>MIN(IF($AU72=100%,1,1+VLOOKUP(($AJ72-$AI72-$AH72-$AG72-$AF72-$AE72*(1+BB$3))/$AJ72,'Технический лист'!$M:$N,2,1)-VLOOKUP($AO72,'Технический лист'!$M:$N,2,1)),1+(1-$AU72))</f>
        <v/>
      </c>
      <c r="BC72" s="172">
        <f>MIN(IF($AU72=100%,1,1+VLOOKUP(($AJ72-$AI72-$AH72-$AG72-$AF72-$AE72*(1+BC$3))/$AJ72,'Технический лист'!$M:$N,2,1)-VLOOKUP($AO72,'Технический лист'!$M:$N,2,1)),1+(1-$AU72))</f>
        <v/>
      </c>
      <c r="BD72" s="172">
        <f>MIN(IF($AU72=100%,1,1+VLOOKUP(($AJ72-$AI72-$AH72-$AG72-$AF72-$AE72*(1+BD$3))/$AJ72,'Технический лист'!$M:$N,2,1)-VLOOKUP($AO72,'Технический лист'!$M:$N,2,1)),1+(1-$AU72))</f>
        <v/>
      </c>
      <c r="BE72" s="172">
        <f>MIN(IF($AU72=100%,1,1+VLOOKUP(($AJ72-$AI72-$AH72-$AG72-$AF72-$AE72*(1+BE$3))/$AJ72,'Технический лист'!$M:$N,2,1)-VLOOKUP($AO72,'Технический лист'!$M:$N,2,1)),1+(1-$AU72))</f>
        <v/>
      </c>
      <c r="BF72" s="172">
        <f>MIN(IF($AU72=100%,1,1+VLOOKUP(($AJ72-$AI72-$AH72-$AG72-$AF72-$AE72*(1+BF$3))/$AJ72,'Технический лист'!$M:$N,2,1)-VLOOKUP($AO72,'Технический лист'!$M:$N,2,1)),1+(1-$AU72))</f>
        <v/>
      </c>
      <c r="BG72" s="172">
        <f>MIN(IF($AU72=100%,1,1+VLOOKUP(($AJ72-$AI72-$AH72-$AG72-$AF72-$AE72*(1+BG$3))/$AJ72,'Технический лист'!$M:$N,2,1)-VLOOKUP($AO72,'Технический лист'!$M:$N,2,1)),1+(1-$AU72))</f>
        <v/>
      </c>
      <c r="BH72" s="172">
        <f>MIN(IF($AU72=100%,1,1+VLOOKUP(($AJ72-$AI72-$AH72-$AG72-$AF72-$AE72*(1+BH$3))/$AJ72,'Технический лист'!$M:$N,2,1)-VLOOKUP($AO72,'Технический лист'!$M:$N,2,1)),1+(1-$AU72))</f>
        <v/>
      </c>
      <c r="BI72" s="172">
        <f>MIN(IF($AU72=100%,1,1+VLOOKUP(($AJ72-$AI72-$AH72-$AG72-$AF72-$AE72*(1+BI$3))/$AJ72,'Технический лист'!$M:$N,2,1)-VLOOKUP($AO72,'Технический лист'!$M:$N,2,1)),1+(1-$AU72))</f>
        <v/>
      </c>
      <c r="BJ72" s="172">
        <f>MIN(IF($AU72=100%,1,1+VLOOKUP(($AJ72-$AI72-$AH72-$AG72-$AF72-$AE72*(1+BJ$3))/$AJ72,'Технический лист'!$M:$N,2,1)-VLOOKUP($AO72,'Технический лист'!$M:$N,2,1)),1+(1-$AU72))</f>
        <v/>
      </c>
      <c r="BK72" s="172">
        <f>MIN(IF($AU72=100%,1,1+VLOOKUP(($AJ72-$AI72-$AH72-$AG72-$AF72-$AE72*(1+BK$3))/$AJ72,'Технический лист'!$M:$N,2,1)-VLOOKUP($AO72,'Технический лист'!$M:$N,2,1)),1+(1-$AU72))</f>
        <v/>
      </c>
      <c r="BL72" s="172">
        <f>MIN(IF($AU72=100%,1,1+VLOOKUP(($AJ72-$AI72-$AH72-$AG72-$AF72-$AE72*(1+BL$3))/$AJ72,'Технический лист'!$M:$N,2,1)-VLOOKUP($AO72,'Технический лист'!$M:$N,2,1)),1+(1-$AU72))</f>
        <v/>
      </c>
      <c r="BM72" s="172">
        <f>MIN(IF($AU72=100%,1,1+VLOOKUP(($AJ72-$AI72-$AH72-$AG72-$AF72-$AE72*(1+BM$3))/$AJ72,'Технический лист'!$M:$N,2,1)-VLOOKUP($AO72,'Технический лист'!$M:$N,2,1)),1+(1-$AU72))</f>
        <v/>
      </c>
      <c r="BN72" s="172">
        <f>MIN(IF($AU72=100%,1,1+VLOOKUP(($AJ72-$AI72-$AH72-$AG72-$AF72-$AE72*(1+BN$3))/$AJ72,'Технический лист'!$M:$N,2,1)-VLOOKUP($AO72,'Технический лист'!$M:$N,2,1)),1+(1-$AU72))</f>
        <v/>
      </c>
      <c r="BO72" s="172">
        <f>MIN(IF($AU72=100%,1,1+VLOOKUP(($AJ72-$AI72-$AH72-$AG72-$AF72-$AE72*(1+BO$3))/$AJ72,'Технический лист'!$M:$N,2,1)-VLOOKUP($AO72,'Технический лист'!$M:$N,2,1)),1+(1-$AU72))</f>
        <v/>
      </c>
      <c r="BP72" s="172">
        <f>MIN(IF($AU72=100%,1,1+VLOOKUP(($AJ72-$AI72-$AH72-$AG72-$AF72-$AE72*(1+BP$3))/$AJ72,'Технический лист'!$M:$N,2,1)-VLOOKUP($AO72,'Технический лист'!$M:$N,2,1)),1+(1-$AU72))</f>
        <v/>
      </c>
      <c r="BQ72" s="172">
        <f>MIN(IF($AU72=100%,1,1+VLOOKUP(($AJ72-$AI72-$AH72-$AG72-$AF72-$AE72*(1+BQ$3))/$AJ72,'Технический лист'!$M:$N,2,1)-VLOOKUP($AO72,'Технический лист'!$M:$N,2,1)),1+(1-$AU72))</f>
        <v/>
      </c>
      <c r="BR72" s="172">
        <f>MIN(IF($AU72=100%,1,1+VLOOKUP(($AJ72-$AI72-$AH72-$AG72-$AF72-$AE72*(1+BR$3))/$AJ72,'Технический лист'!$M:$N,2,1)-VLOOKUP($AO72,'Технический лист'!$M:$N,2,1)),1+(1-$AU72))</f>
        <v/>
      </c>
      <c r="BS72" s="172">
        <f>MIN(IF($AU72=100%,1,1+VLOOKUP(($AJ72-$AI72-$AH72-$AG72-$AF72-$AE72*(1+BS$3))/$AJ72,'Технический лист'!$M:$N,2,1)-VLOOKUP($AO72,'Технический лист'!$M:$N,2,1)),1+(1-$AU72))</f>
        <v/>
      </c>
      <c r="BT72" s="172">
        <f>MIN(IF($AU72=100%,1,1+VLOOKUP(($AJ72-$AI72-$AH72-$AG72-$AF72-$AE72*(1+BT$3))/$AJ72,'Технический лист'!$M:$N,2,1)-VLOOKUP($AO72,'Технический лист'!$M:$N,2,1)),1+(1-$AU72))</f>
        <v/>
      </c>
      <c r="BU72" s="172">
        <f>MIN(IF($AU72=100%,1,1+VLOOKUP(($AJ72-$AI72-$AH72-$AG72-$AF72-$AE72*(1+BU$3))/$AJ72,'Технический лист'!$M:$N,2,1)-VLOOKUP($AO72,'Технический лист'!$M:$N,2,1)),1+(1-$AU72))</f>
        <v/>
      </c>
      <c r="BV72" s="172">
        <f>MIN(IF($AU72=100%,1,1+VLOOKUP(($AJ72-$AI72-$AH72-$AG72-$AF72-$AE72*(1+BV$3))/$AJ72,'Технический лист'!$M:$N,2,1)-VLOOKUP($AO72,'Технический лист'!$M:$N,2,1)),1+(1-$AU72))</f>
        <v/>
      </c>
      <c r="BW72" s="172">
        <f>MIN(IF($AU72=100%,1,1+VLOOKUP(($AJ72-$AI72-$AH72-$AG72-$AF72-$AE72*(1+BW$3))/$AJ72,'Технический лист'!$M:$N,2,1)-VLOOKUP($AO72,'Технический лист'!$M:$N,2,1)),1+(1-$AU72))</f>
        <v/>
      </c>
      <c r="BX72" s="172">
        <f>MIN(IF($AU72=100%,1,1+VLOOKUP(($AJ72-$AI72-$AH72-$AG72-$AF72-$AE72*(1+BX$3))/$AJ72,'Технический лист'!$M:$N,2,1)-VLOOKUP($AO72,'Технический лист'!$M:$N,2,1)),1+(1-$AU72))</f>
        <v/>
      </c>
      <c r="BY72" s="172">
        <f>MIN(IF($AU72=100%,1,1+VLOOKUP(($AJ72-$AI72-$AH72-$AG72-$AF72-$AE72*(1+BY$3))/$AJ72,'Технический лист'!$M:$N,2,1)-VLOOKUP($AO72,'Технический лист'!$M:$N,2,1)),1+(1-$AU72))</f>
        <v/>
      </c>
      <c r="BZ72" s="172">
        <f>MIN(IF($AU72=100%,1,1+VLOOKUP(($AJ72-$AI72-$AH72-$AG72-$AF72-$AE72*(1+BZ$3))/$AJ72,'Технический лист'!$M:$N,2,1)-VLOOKUP($AO72,'Технический лист'!$M:$N,2,1)),1+(1-$AU72))</f>
        <v/>
      </c>
      <c r="CA72" s="172">
        <f>MIN(IF($AU72=100%,1,1+VLOOKUP(($AJ72-$AI72-$AH72-$AG72-$AF72-$AE72*(1+CA$3))/$AJ72,'Технический лист'!$M:$N,2,1)-VLOOKUP($AO72,'Технический лист'!$M:$N,2,1)),1+(1-$AU72))</f>
        <v/>
      </c>
      <c r="CB72" s="172">
        <f>MIN(IF($AU72=100%,1,1+VLOOKUP(($AJ72-$AI72-$AH72-$AG72-$AF72-$AE72*(1+CB$3))/$AJ72,'Технический лист'!$M:$N,2,1)-VLOOKUP($AO72,'Технический лист'!$M:$N,2,1)),1+(1-$AU72))</f>
        <v/>
      </c>
      <c r="CC72" s="172">
        <f>MIN(IF($AU72=100%,1,1+VLOOKUP(($AJ72-$AI72-$AH72-$AG72-$AF72-$AE72*(1+CC$3))/$AJ72,'Технический лист'!$M:$N,2,1)-VLOOKUP($AO72,'Технический лист'!$M:$N,2,1)),1+(1-$AU72))</f>
        <v/>
      </c>
      <c r="CD72" s="172">
        <f>MIN(IF($AU72=100%,1,1+VLOOKUP(($AJ72-$AI72-$AH72-$AG72-$AF72-$AE72*(1+CD$3))/$AJ72,'Технический лист'!$M:$N,2,1)-VLOOKUP($AO72,'Технический лист'!$M:$N,2,1)),1+(1-$AU72))</f>
        <v/>
      </c>
      <c r="CE72" s="172">
        <f>MIN(IF($AU72=100%,1,1+VLOOKUP(($AJ72-$AI72-$AH72-$AG72-$AF72-$AE72*(1+CE$3))/$AJ72,'Технический лист'!$M:$N,2,1)-VLOOKUP($AO72,'Технический лист'!$M:$N,2,1)),1+(1-$AU72))</f>
        <v/>
      </c>
      <c r="CF72" s="172">
        <f>MIN(IF($AU72=100%,1,1+VLOOKUP(($AJ72-$AI72-$AH72-$AG72-$AF72-$AE72*(1+CF$3))/$AJ72,'Технический лист'!$M:$N,2,1)-VLOOKUP($AO72,'Технический лист'!$M:$N,2,1)),1+(1-$AU72))</f>
        <v/>
      </c>
      <c r="CG72" s="172">
        <f>MIN(IF($AU72=100%,1,1+VLOOKUP(($AJ72-$AI72-$AH72-$AG72-$AF72-$AE72*(1+CG$3))/$AJ72,'Технический лист'!$M:$N,2,1)-VLOOKUP($AO72,'Технический лист'!$M:$N,2,1)),1+(1-$AU72))</f>
        <v/>
      </c>
      <c r="CH72" s="172">
        <f>MIN(IF($AU72=100%,1,1+VLOOKUP(($AJ72-$AI72-$AH72-$AG72-$AF72-$AE72*(1+CH$3))/$AJ72,'Технический лист'!$M:$N,2,1)-VLOOKUP($AO72,'Технический лист'!$M:$N,2,1)),1+(1-$AU72))</f>
        <v/>
      </c>
      <c r="CI72" s="172">
        <f>MIN(IF($AU72=100%,1,1+VLOOKUP(($AJ72-$AI72-$AH72-$AG72-$AF72-$AE72*(1+CI$3))/$AJ72,'Технический лист'!$M:$N,2,1)-VLOOKUP($AO72,'Технический лист'!$M:$N,2,1)),1+(1-$AU72))</f>
        <v/>
      </c>
      <c r="CJ72" s="172">
        <f>MIN(IF($AU72=100%,1,1+VLOOKUP(($AJ72-$AI72-$AH72-$AG72-$AF72-$AE72*(1+CJ$3))/$AJ72,'Технический лист'!$M:$N,2,1)-VLOOKUP($AO72,'Технический лист'!$M:$N,2,1)),1+(1-$AU72))</f>
        <v/>
      </c>
      <c r="CK72" s="172">
        <f>MIN(IF($AU72=100%,1,1+VLOOKUP(($AJ72-$AI72-$AH72-$AG72-$AF72-$AE72*(1+CK$3))/$AJ72,'Технический лист'!$M:$N,2,1)-VLOOKUP($AO72,'Технический лист'!$M:$N,2,1)),1+(1-$AU72))</f>
        <v/>
      </c>
      <c r="CL72" s="172">
        <f>MIN(IF($AU72=100%,1,1+VLOOKUP(($AJ72-$AI72-$AH72-$AG72-$AF72-$AE72*(1+CL$3))/$AJ72,'Технический лист'!$M:$N,2,1)-VLOOKUP($AO72,'Технический лист'!$M:$N,2,1)),1+(1-$AU72))</f>
        <v/>
      </c>
      <c r="CM72" s="172">
        <f>MIN(IF($AU72=100%,1,1+VLOOKUP(($AJ72-$AI72-$AH72-$AG72-$AF72-$AE72*(1+CM$3))/$AJ72,'Технический лист'!$M:$N,2,1)-VLOOKUP($AO72,'Технический лист'!$M:$N,2,1)),1+(1-$AU72))</f>
        <v/>
      </c>
      <c r="CN72" s="172">
        <f>MIN(IF($AU72=100%,1,1+VLOOKUP(($AJ72-$AI72-$AH72-$AG72-$AF72-$AE72*(1+CN$3))/$AJ72,'Технический лист'!$M:$N,2,1)-VLOOKUP($AO72,'Технический лист'!$M:$N,2,1)),1+(1-$AU72))</f>
        <v/>
      </c>
      <c r="CO72" s="172">
        <f>MIN(IF($AU72=100%,1,1+VLOOKUP(($AJ72-$AI72-$AH72-$AG72-$AF72-$AE72*(1+CO$3))/$AJ72,'Технический лист'!$M:$N,2,1)-VLOOKUP($AO72,'Технический лист'!$M:$N,2,1)),1+(1-$AU72))</f>
        <v/>
      </c>
      <c r="CP72" s="172">
        <f>MIN(IF($AU72=100%,1,1+VLOOKUP(($AJ72-$AI72-$AH72-$AG72-$AF72-$AE72*(1+CP$3))/$AJ72,'Технический лист'!$M:$N,2,1)-VLOOKUP($AO72,'Технический лист'!$M:$N,2,1)),1+(1-$AU72))</f>
        <v/>
      </c>
      <c r="CQ72" s="172">
        <f>MIN(IF($AU72=100%,1,1+VLOOKUP(($AJ72-$AI72-$AH72-$AG72-$AF72-$AE72*(1+CQ$3))/$AJ72,'Технический лист'!$M:$N,2,1)-VLOOKUP($AO72,'Технический лист'!$M:$N,2,1)),1+(1-$AU72))</f>
        <v/>
      </c>
      <c r="CR72" s="172">
        <f>MIN(IF($AU72=100%,1,1+VLOOKUP(($AJ72-$AI72-$AH72-$AG72-$AF72-$AE72*(1+CR$3))/$AJ72,'Технический лист'!$M:$N,2,1)-VLOOKUP($AO72,'Технический лист'!$M:$N,2,1)),1+(1-$AU72))</f>
        <v/>
      </c>
      <c r="CS72" s="172">
        <f>MIN(IF($AU72=100%,1,1+VLOOKUP(($AJ72-$AI72-$AH72-$AG72-$AF72-$AE72*(1+CS$3))/$AJ72,'Технический лист'!$M:$N,2,1)-VLOOKUP($AO72,'Технический лист'!$M:$N,2,1)),1+(1-$AU72))</f>
        <v/>
      </c>
      <c r="CT72" s="172">
        <f>MIN(IF($AU72=100%,1,1+VLOOKUP(($AJ72-$AI72-$AH72-$AG72-$AF72-$AE72*(1+CT$3))/$AJ72,'Технический лист'!$M:$N,2,1)-VLOOKUP($AO72,'Технический лист'!$M:$N,2,1)),1+(1-$AU72))</f>
        <v/>
      </c>
      <c r="CU72" s="172">
        <f>MIN(IF($AU72=100%,1,1+VLOOKUP(($AJ72-$AI72-$AH72-$AG72-$AF72-$AE72*(1+CU$3))/$AJ72,'Технический лист'!$M:$N,2,1)-VLOOKUP($AO72,'Технический лист'!$M:$N,2,1)),1+(1-$AU72))</f>
        <v/>
      </c>
      <c r="CV72" s="172">
        <f>MIN(IF($AU72=100%,1,1+VLOOKUP(($AJ72-$AI72-$AH72-$AG72-$AF72-$AE72*(1+CV$3))/$AJ72,'Технический лист'!$M:$N,2,1)-VLOOKUP($AO72,'Технический лист'!$M:$N,2,1)),1+(1-$AU72))</f>
        <v/>
      </c>
      <c r="CW72" s="172">
        <f>MIN(IF($AU72=100%,1,1+VLOOKUP(($AJ72-$AI72-$AH72-$AG72-$AF72-$AE72*(1+CW$3))/$AJ72,'Технический лист'!$M:$N,2,1)-VLOOKUP($AO72,'Технический лист'!$M:$N,2,1)),1+(1-$AU72))</f>
        <v/>
      </c>
      <c r="CX72" s="172">
        <f>MIN(IF($AU72=100%,1,1+VLOOKUP(($AJ72-$AI72-$AH72-$AG72-$AF72-$AE72*(1+CX$3))/$AJ72,'Технический лист'!$M:$N,2,1)-VLOOKUP($AO72,'Технический лист'!$M:$N,2,1)),1+(1-$AU72))</f>
        <v/>
      </c>
      <c r="CY72" s="172">
        <f>MIN(IF($AU72=100%,1,1+VLOOKUP(($AJ72-$AI72-$AH72-$AG72-$AF72-$AE72*(1+CY$3))/$AJ72,'Технический лист'!$M:$N,2,1)-VLOOKUP($AO72,'Технический лист'!$M:$N,2,1)),1+(1-$AU72))</f>
        <v/>
      </c>
      <c r="CZ72" s="172">
        <f>MIN(IF($AU72=100%,1,1+VLOOKUP(($AJ72-$AI72-$AH72-$AG72-$AF72-$AE72*(1+CZ$3))/$AJ72,'Технический лист'!$M:$N,2,1)-VLOOKUP($AO72,'Технический лист'!$M:$N,2,1)),1+(1-$AU72))</f>
        <v/>
      </c>
      <c r="DA72" s="172">
        <f>MIN(IF($AU72=100%,1,1+VLOOKUP(($AJ72-$AI72-$AH72-$AG72-$AF72-$AE72*(1+DA$3))/$AJ72,'Технический лист'!$M:$N,2,1)-VLOOKUP($AO72,'Технический лист'!$M:$N,2,1)),1+(1-$AU72))</f>
        <v/>
      </c>
      <c r="DB72" s="172">
        <f>MIN(IF($AU72=100%,1,1+VLOOKUP(($AJ72-$AI72-$AH72-$AG72-$AF72-$AE72*(1+DB$3))/$AJ72,'Технический лист'!$M:$N,2,1)-VLOOKUP($AO72,'Технический лист'!$M:$N,2,1)),1+(1-$AU72))</f>
        <v/>
      </c>
      <c r="DC72" s="172">
        <f>MIN(IF($AU72=100%,1,1+VLOOKUP(($AJ72-$AI72-$AH72-$AG72-$AF72-$AE72*(1+DC$3))/$AJ72,'Технический лист'!$M:$N,2,1)-VLOOKUP($AO72,'Технический лист'!$M:$N,2,1)),1+(1-$AU72))</f>
        <v/>
      </c>
      <c r="DD72" s="172">
        <f>MIN(IF($AU72=100%,1,1+VLOOKUP(($AJ72-$AI72-$AH72-$AG72-$AF72-$AE72*(1+DD$3))/$AJ72,'Технический лист'!$M:$N,2,1)-VLOOKUP($AO72,'Технический лист'!$M:$N,2,1)),1+(1-$AU72))</f>
        <v/>
      </c>
      <c r="DE72" s="172">
        <f>MIN(IF($AU72=100%,1,1+VLOOKUP(($AJ72-$AI72-$AH72-$AG72-$AF72-$AE72*(1+DE$3))/$AJ72,'Технический лист'!$M:$N,2,1)-VLOOKUP($AO72,'Технический лист'!$M:$N,2,1)),1+(1-$AU72))</f>
        <v/>
      </c>
      <c r="DF72" s="172">
        <f>MIN(IF($AU72=100%,1,1+VLOOKUP(($AJ72-$AI72-$AH72-$AG72-$AF72-$AE72*(1+DF$3))/$AJ72,'Технический лист'!$M:$N,2,1)-VLOOKUP($AO72,'Технический лист'!$M:$N,2,1)),1+(1-$AU72))</f>
        <v/>
      </c>
      <c r="DG72" s="172">
        <f>MIN(IF($AU72=100%,1,1+VLOOKUP(($AJ72-$AI72-$AH72-$AG72-$AF72-$AE72*(1+DG$3))/$AJ72,'Технический лист'!$M:$N,2,1)-VLOOKUP($AO72,'Технический лист'!$M:$N,2,1)),1+(1-$AU72))</f>
        <v/>
      </c>
      <c r="DH72" s="172">
        <f>MIN(IF($AU72=100%,1,1+VLOOKUP(($AJ72-$AI72-$AH72-$AG72-$AF72-$AE72*(1+DH$3))/$AJ72,'Технический лист'!$M:$N,2,1)-VLOOKUP($AO72,'Технический лист'!$M:$N,2,1)),1+(1-$AU72))</f>
        <v/>
      </c>
      <c r="DI72" s="172">
        <f>MIN(IF($AU72=100%,1,1+VLOOKUP(($AJ72-$AI72-$AH72-$AG72-$AF72-$AE72*(1+DI$3))/$AJ72,'Технический лист'!$M:$N,2,1)-VLOOKUP($AO72,'Технический лист'!$M:$N,2,1)),1+(1-$AU72))</f>
        <v/>
      </c>
      <c r="DJ72" s="172">
        <f>MIN(IF($AU72=100%,1,1+VLOOKUP(($AJ72-$AI72-$AH72-$AG72-$AF72-$AE72*(1+DJ$3))/$AJ72,'Технический лист'!$M:$N,2,1)-VLOOKUP($AO72,'Технический лист'!$M:$N,2,1)),1+(1-$AU72))</f>
        <v/>
      </c>
      <c r="DK72" s="172">
        <f>MIN(IF($AU72=100%,1,1+VLOOKUP(($AJ72-$AI72-$AH72-$AG72-$AF72-$AE72*(1+DK$3))/$AJ72,'Технический лист'!$M:$N,2,1)-VLOOKUP($AO72,'Технический лист'!$M:$N,2,1)),1+(1-$AU72))</f>
        <v/>
      </c>
      <c r="DL72" s="172">
        <f>MIN(IF($AU72=100%,1,1+VLOOKUP(($AJ72-$AI72-$AH72-$AG72-$AF72-$AE72*(1+DL$3))/$AJ72,'Технический лист'!$M:$N,2,1)-VLOOKUP($AO72,'Технический лист'!$M:$N,2,1)),1+(1-$AU72))</f>
        <v/>
      </c>
      <c r="DM72" s="172">
        <f>MIN(IF($AU72=100%,1,1+VLOOKUP(($AJ72-$AI72-$AH72-$AG72-$AF72-$AE72*(1+DM$3))/$AJ72,'Технический лист'!$M:$N,2,1)-VLOOKUP($AO72,'Технический лист'!$M:$N,2,1)),1+(1-$AU72))</f>
        <v/>
      </c>
      <c r="DN72" s="172">
        <f>MIN(IF($AU72=100%,1,1+VLOOKUP(($AJ72-$AI72-$AH72-$AG72-$AF72-$AE72*(1+DN$3))/$AJ72,'Технический лист'!$M:$N,2,1)-VLOOKUP($AO72,'Технический лист'!$M:$N,2,1)),1+(1-$AU72))</f>
        <v/>
      </c>
      <c r="DO72" s="172">
        <f>MIN(IF($AU72=100%,1,1+VLOOKUP(($AJ72-$AI72-$AH72-$AG72-$AF72-$AE72*(1+DO$3))/$AJ72,'Технический лист'!$M:$N,2,1)-VLOOKUP($AO72,'Технический лист'!$M:$N,2,1)),1+(1-$AU72))</f>
        <v/>
      </c>
      <c r="DP72" s="172">
        <f>MIN(IF($AU72=100%,1,1+VLOOKUP(($AJ72-$AI72-$AH72-$AG72-$AF72-$AE72*(1+DP$3))/$AJ72,'Технический лист'!$M:$N,2,1)-VLOOKUP($AO72,'Технический лист'!$M:$N,2,1)),1+(1-$AU72))</f>
        <v/>
      </c>
      <c r="DQ72" s="172">
        <f>MIN(IF($AU72=100%,1,1+VLOOKUP(($AJ72-$AI72-$AH72-$AG72-$AF72-$AE72*(1+DQ$3))/$AJ72,'Технический лист'!$M:$N,2,1)-VLOOKUP($AO72,'Технический лист'!$M:$N,2,1)),1+(1-$AU72))</f>
        <v/>
      </c>
      <c r="DR72" s="172">
        <f>MIN(IF($AU72=100%,1,1+VLOOKUP(($AJ72-$AI72-$AH72-$AG72-$AF72-$AE72*(1+DR$3))/$AJ72,'Технический лист'!$M:$N,2,1)-VLOOKUP($AO72,'Технический лист'!$M:$N,2,1)),1+(1-$AU72))</f>
        <v/>
      </c>
      <c r="DS72" s="172">
        <f>MIN(IF($AU72=100%,1,1+VLOOKUP(($AJ72-$AI72-$AH72-$AG72-$AF72-$AE72*(1+DS$3))/$AJ72,'Технический лист'!$M:$N,2,1)-VLOOKUP($AO72,'Технический лист'!$M:$N,2,1)),1+(1-$AU72))</f>
        <v/>
      </c>
      <c r="DT72" s="172">
        <f>MIN(IF($AU72=100%,1,1+VLOOKUP(($AJ72-$AI72-$AH72-$AG72-$AF72-$AE72*(1+DT$3))/$AJ72,'Технический лист'!$M:$N,2,1)-VLOOKUP($AO72,'Технический лист'!$M:$N,2,1)),1+(1-$AU72))</f>
        <v/>
      </c>
      <c r="DU72" s="172">
        <f>MIN(IF($AU72=100%,1,1+VLOOKUP(($AJ72-$AI72-$AH72-$AG72-$AF72-$AE72*(1+DU$3))/$AJ72,'Технический лист'!$M:$N,2,1)-VLOOKUP($AO72,'Технический лист'!$M:$N,2,1)),1+(1-$AU72))</f>
        <v/>
      </c>
      <c r="DV72" s="172">
        <f>MIN(IF($AU72=100%,1,1+VLOOKUP(($AJ72-$AI72-$AH72-$AG72-$AF72-$AE72*(1+DV$3))/$AJ72,'Технический лист'!$M:$N,2,1)-VLOOKUP($AO72,'Технический лист'!$M:$N,2,1)),1+(1-$AU72))</f>
        <v/>
      </c>
      <c r="DW72" s="172">
        <f>MIN(IF($AU72=100%,1,1+VLOOKUP(($AJ72-$AI72-$AH72-$AG72-$AF72-$AE72*(1+DW$3))/$AJ72,'Технический лист'!$M:$N,2,1)-VLOOKUP($AO72,'Технический лист'!$M:$N,2,1)),1+(1-$AU72))</f>
        <v/>
      </c>
      <c r="DX72" s="172">
        <f>MIN(IF($AU72=100%,1,1+VLOOKUP(($AJ72-$AI72-$AH72-$AG72-$AF72-$AE72*(1+DX$3))/$AJ72,'Технический лист'!$M:$N,2,1)-VLOOKUP($AO72,'Технический лист'!$M:$N,2,1)),1+(1-$AU72))</f>
        <v/>
      </c>
      <c r="DY72" s="172">
        <f>MIN(IF($AU72=100%,1,1+VLOOKUP(($AJ72-$AI72-$AH72-$AG72-$AF72-$AE72*(1+DY$3))/$AJ72,'Технический лист'!$M:$N,2,1)-VLOOKUP($AO72,'Технический лист'!$M:$N,2,1)),1+(1-$AU72))</f>
        <v/>
      </c>
      <c r="DZ72" s="172">
        <f>MIN(IF($AU72=100%,1,1+VLOOKUP(($AJ72-$AI72-$AH72-$AG72-$AF72-$AE72*(1+DZ$3))/$AJ72,'Технический лист'!$M:$N,2,1)-VLOOKUP($AO72,'Технический лист'!$M:$N,2,1)),1+(1-$AU72))</f>
        <v/>
      </c>
      <c r="EA72" s="172">
        <f>MIN(IF($AU72=100%,1,1+VLOOKUP(($AJ72-$AI72-$AH72-$AG72-$AF72-$AE72*(1+EA$3))/$AJ72,'Технический лист'!$M:$N,2,1)-VLOOKUP($AO72,'Технический лист'!$M:$N,2,1)),1+(1-$AU72))</f>
        <v/>
      </c>
      <c r="EB72" s="172">
        <f>MIN(IF($AU72=100%,1,1+VLOOKUP(($AJ72-$AI72-$AH72-$AG72-$AF72-$AE72*(1+EB$3))/$AJ72,'Технический лист'!$M:$N,2,1)-VLOOKUP($AO72,'Технический лист'!$M:$N,2,1)),1+(1-$AU72))</f>
        <v/>
      </c>
      <c r="EC72" s="172">
        <f>MIN(IF($AU72=100%,1,1+VLOOKUP(($AJ72-$AI72-$AH72-$AG72-$AF72-$AE72*(1+EC$3))/$AJ72,'Технический лист'!$M:$N,2,1)-VLOOKUP($AO72,'Технический лист'!$M:$N,2,1)),1+(1-$AU72))</f>
        <v/>
      </c>
      <c r="ED72" s="172">
        <f>MIN(IF($AU72=100%,1,1+VLOOKUP(($AJ72-$AI72-$AH72-$AG72-$AF72-$AE72*(1+ED$3))/$AJ72,'Технический лист'!$M:$N,2,1)-VLOOKUP($AO72,'Технический лист'!$M:$N,2,1)),1+(1-$AU72))</f>
        <v/>
      </c>
      <c r="EE72" s="172">
        <f>MIN(IF($AU72=100%,1,1+VLOOKUP(($AJ72-$AI72-$AH72-$AG72-$AF72-$AE72*(1+EE$3))/$AJ72,'Технический лист'!$M:$N,2,1)-VLOOKUP($AO72,'Технический лист'!$M:$N,2,1)),1+(1-$AU72))</f>
        <v/>
      </c>
      <c r="EF72" s="172">
        <f>MIN(IF($AU72=100%,1,1+VLOOKUP(($AJ72-$AI72-$AH72-$AG72-$AF72-$AE72*(1+EF$3))/$AJ72,'Технический лист'!$M:$N,2,1)-VLOOKUP($AO72,'Технический лист'!$M:$N,2,1)),1+(1-$AU72))</f>
        <v/>
      </c>
      <c r="EG72" s="172">
        <f>MIN(IF($AU72=100%,1,1+VLOOKUP(($AJ72-$AI72-$AH72-$AG72-$AF72-$AE72*(1+EG$3))/$AJ72,'Технический лист'!$M:$N,2,1)-VLOOKUP($AO72,'Технический лист'!$M:$N,2,1)),1+(1-$AU72))</f>
        <v/>
      </c>
      <c r="EH72" s="172">
        <f>MIN(IF($AU72=100%,1,1+VLOOKUP(($AJ72-$AI72-$AH72-$AG72-$AF72-$AE72*(1+EH$3))/$AJ72,'Технический лист'!$M:$N,2,1)-VLOOKUP($AO72,'Технический лист'!$M:$N,2,1)),1+(1-$AU72))</f>
        <v/>
      </c>
      <c r="EI72" s="172">
        <f>MIN(IF($AU72=100%,1,1+VLOOKUP(($AJ72-$AI72-$AH72-$AG72-$AF72-$AE72*(1+EI$3))/$AJ72,'Технический лист'!$M:$N,2,1)-VLOOKUP($AO72,'Технический лист'!$M:$N,2,1)),1+(1-$AU72))</f>
        <v/>
      </c>
      <c r="EJ72" s="172">
        <f>MIN(IF($AU72=100%,1,1+VLOOKUP(($AJ72-$AI72-$AH72-$AG72-$AF72-$AE72*(1+EJ$3))/$AJ72,'Технический лист'!$M:$N,2,1)-VLOOKUP($AO72,'Технический лист'!$M:$N,2,1)),1+(1-$AU72))</f>
        <v/>
      </c>
      <c r="EK72" s="172">
        <f>MIN(IF($AU72=100%,1,1+VLOOKUP(($AJ72-$AI72-$AH72-$AG72-$AF72-$AE72*(1+EK$3))/$AJ72,'Технический лист'!$M:$N,2,1)-VLOOKUP($AO72,'Технический лист'!$M:$N,2,1)),1+(1-$AU72))</f>
        <v/>
      </c>
      <c r="EL72" s="172">
        <f>MIN(IF($AU72=100%,1,1+VLOOKUP(($AJ72-$AI72-$AH72-$AG72-$AF72-$AE72*(1+EL$3))/$AJ72,'Технический лист'!$M:$N,2,1)-VLOOKUP($AO72,'Технический лист'!$M:$N,2,1)),1+(1-$AU72))</f>
        <v/>
      </c>
      <c r="EM72" s="172">
        <f>MIN(IF($AU72=100%,1,1+VLOOKUP(($AJ72-$AI72-$AH72-$AG72-$AF72-$AE72*(1+EM$3))/$AJ72,'Технический лист'!$M:$N,2,1)-VLOOKUP($AO72,'Технический лист'!$M:$N,2,1)),1+(1-$AU72))</f>
        <v/>
      </c>
      <c r="EN72" s="172">
        <f>MIN(IF($AU72=100%,1,1+VLOOKUP(($AJ72-$AI72-$AH72-$AG72-$AF72-$AE72*(1+EN$3))/$AJ72,'Технический лист'!$M:$N,2,1)-VLOOKUP($AO72,'Технический лист'!$M:$N,2,1)),1+(1-$AU72))</f>
        <v/>
      </c>
      <c r="EO72" s="172">
        <f>MIN(IF($AU72=100%,1,1+VLOOKUP(($AJ72-$AI72-$AH72-$AG72-$AF72-$AE72*(1+EO$3))/$AJ72,'Технический лист'!$M:$N,2,1)-VLOOKUP($AO72,'Технический лист'!$M:$N,2,1)),1+(1-$AU72))</f>
        <v/>
      </c>
      <c r="EP72" s="172">
        <f>MIN(IF($AU72=100%,1,1+VLOOKUP(($AJ72-$AI72-$AH72-$AG72-$AF72-$AE72*(1+EP$3))/$AJ72,'Технический лист'!$M:$N,2,1)-VLOOKUP($AO72,'Технический лист'!$M:$N,2,1)),1+(1-$AU72))</f>
        <v/>
      </c>
      <c r="EQ72" s="172">
        <f>MIN(IF($AU72=100%,1,1+VLOOKUP(($AJ72-$AI72-$AH72-$AG72-$AF72-$AE72*(1+EQ$3))/$AJ72,'Технический лист'!$M:$N,2,1)-VLOOKUP($AO72,'Технический лист'!$M:$N,2,1)),1+(1-$AU72))</f>
        <v/>
      </c>
      <c r="ER72" s="172">
        <f>MIN(IF($AU72=100%,1,1+VLOOKUP(($AJ72-$AI72-$AH72-$AG72-$AF72-$AE72*(1+ER$3))/$AJ72,'Технический лист'!$M:$N,2,1)-VLOOKUP($AO72,'Технический лист'!$M:$N,2,1)),1+(1-$AU72))</f>
        <v/>
      </c>
      <c r="ES72" s="172">
        <f>MIN(IF($AU72=100%,1,1+VLOOKUP(($AJ72-$AI72-$AH72-$AG72-$AF72-$AE72*(1+ES$3))/$AJ72,'Технический лист'!$M:$N,2,1)-VLOOKUP($AO72,'Технический лист'!$M:$N,2,1)),1+(1-$AU72))</f>
        <v/>
      </c>
      <c r="ET72" s="172">
        <f>MIN(IF($AU72=100%,1,1+VLOOKUP(($AJ72-$AI72-$AH72-$AG72-$AF72-$AE72*(1+ET$3))/$AJ72,'Технический лист'!$M:$N,2,1)-VLOOKUP($AO72,'Технический лист'!$M:$N,2,1)),1+(1-$AU72))</f>
        <v/>
      </c>
      <c r="EU72" s="172">
        <f>MIN(IF($AU72=100%,1,1+VLOOKUP(($AJ72-$AI72-$AH72-$AG72-$AF72-$AE72*(1+EU$3))/$AJ72,'Технический лист'!$M:$N,2,1)-VLOOKUP($AO72,'Технический лист'!$M:$N,2,1)),1+(1-$AU72))</f>
        <v/>
      </c>
      <c r="EV72" s="173" t="n">
        <v>1</v>
      </c>
      <c r="EW72" s="172">
        <f>MIN(1,MAX(VLOOKUP(($AJ72-$AI72-$AH72-$AG72-$AF72-$AE72*(1+EW$3))/$AJ72,'Технический лист'!$M:$N,2,1),(EV72-0.05)))</f>
        <v/>
      </c>
      <c r="EX72" s="172">
        <f>MIN(1,MAX(VLOOKUP(($AJ72-$AI72-$AH72-$AG72-$AF72-$AE72*(1+EX$3))/$AJ72,'Технический лист'!$M:$N,2,1),(EW72-0.05)))</f>
        <v/>
      </c>
      <c r="EY72" s="172">
        <f>MIN(1,MAX(VLOOKUP(($AJ72-$AI72-$AH72-$AG72-$AF72-$AE72*(1+EY$3))/$AJ72,'Технический лист'!$M:$N,2,1),(EX72-0.05)))</f>
        <v/>
      </c>
      <c r="EZ72" s="172">
        <f>MIN(1,MAX(VLOOKUP(($AJ72-$AI72-$AH72-$AG72-$AF72-$AE72*(1+EZ$3))/$AJ72,'Технический лист'!$M:$N,2,1),(EY72-0.05)))</f>
        <v/>
      </c>
      <c r="FA72" s="172">
        <f>MIN(1,MAX(VLOOKUP(($AJ72-$AI72-$AH72-$AG72-$AF72-$AE72*(1+FA$3))/$AJ72,'Технический лист'!$M:$N,2,1),(EZ72-0.05)))</f>
        <v/>
      </c>
      <c r="FB72" s="172">
        <f>MIN(1,MAX(VLOOKUP(($AJ72-$AI72-$AH72-$AG72-$AF72-$AE72*(1+FB$3))/$AJ72,'Технический лист'!$M:$N,2,1),(FA72-0.05)))</f>
        <v/>
      </c>
      <c r="FC72" s="172">
        <f>MIN(1,MAX(VLOOKUP(($AJ72-$AI72-$AH72-$AG72-$AF72-$AE72*(1+FC$3))/$AJ72,'Технический лист'!$M:$N,2,1),(FB72-0.05)))</f>
        <v/>
      </c>
      <c r="FD72" s="172">
        <f>MIN(1,MAX(VLOOKUP(($AJ72-$AI72-$AH72-$AG72-$AF72-$AE72*(1+FD$3))/$AJ72,'Технический лист'!$M:$N,2,1),(FC72-0.05)))</f>
        <v/>
      </c>
      <c r="FE72" s="172">
        <f>MIN(1,MAX(VLOOKUP(($AJ72-$AI72-$AH72-$AG72-$AF72-$AE72*(1+FE$3))/$AJ72,'Технический лист'!$M:$N,2,1),(FD72-0.05)))</f>
        <v/>
      </c>
      <c r="FF72" s="172">
        <f>MIN(1,MAX(VLOOKUP(($AJ72-$AI72-$AH72-$AG72-$AF72-$AE72*(1+FF$3))/$AJ72,'Технический лист'!$M:$N,2,1),(FE72-0.05)))</f>
        <v/>
      </c>
      <c r="FG72" s="172">
        <f>MIN(1,MAX(VLOOKUP(($AJ72-$AI72-$AH72-$AG72-$AF72-$AE72*(1+FG$3))/$AJ72,'Технический лист'!$M:$N,2,1),(FF72-0.05)))</f>
        <v/>
      </c>
      <c r="FH72" s="172">
        <f>MIN(1,MAX(VLOOKUP(($AJ72-$AI72-$AH72-$AG72-$AF72-$AE72*(1+FH$3))/$AJ72,'Технический лист'!$M:$N,2,1),(FG72-0.05)))</f>
        <v/>
      </c>
      <c r="FI72" s="172">
        <f>MIN(1,MAX(VLOOKUP(($AJ72-$AI72-$AH72-$AG72-$AF72-$AE72*(1+FI$3))/$AJ72,'Технический лист'!$M:$N,2,1),(FH72-0.05)))</f>
        <v/>
      </c>
      <c r="FJ72" s="172">
        <f>MIN(1,MAX(VLOOKUP(($AJ72-$AI72-$AH72-$AG72-$AF72-$AE72*(1+FJ$3))/$AJ72,'Технический лист'!$M:$N,2,1),(FI72-0.05)))</f>
        <v/>
      </c>
      <c r="FK72" s="172">
        <f>MIN(1,MAX(VLOOKUP(($AJ72-$AI72-$AH72-$AG72-$AF72-$AE72*(1+FK$3))/$AJ72,'Технический лист'!$M:$N,2,1),(FJ72-0.05)))</f>
        <v/>
      </c>
      <c r="FL72" s="172">
        <f>MIN(1,MAX(VLOOKUP(($AJ72-$AI72-$AH72-$AG72-$AF72-$AE72*(1+FL$3))/$AJ72,'Технический лист'!$M:$N,2,1),(FK72-0.05)))</f>
        <v/>
      </c>
      <c r="FM72" s="172">
        <f>MIN(1,MAX(VLOOKUP(($AJ72-$AI72-$AH72-$AG72-$AF72-$AE72*(1+FM$3))/$AJ72,'Технический лист'!$M:$N,2,1),(FL72-0.05)))</f>
        <v/>
      </c>
      <c r="FN72" s="172">
        <f>MIN(1,MAX(VLOOKUP(($AJ72-$AI72-$AH72-$AG72-$AF72-$AE72*(1+FN$3))/$AJ72,'Технический лист'!$M:$N,2,1),(FM72-0.05)))</f>
        <v/>
      </c>
      <c r="FO72" s="172">
        <f>MIN(1,MAX(VLOOKUP(($AJ72-$AI72-$AH72-$AG72-$AF72-$AE72*(1+FO$3))/$AJ72,'Технический лист'!$M:$N,2,1),(FN72-0.05)))</f>
        <v/>
      </c>
      <c r="FP72" s="172">
        <f>MIN(1,MAX(VLOOKUP(($AJ72-$AI72-$AH72-$AG72-$AF72-$AE72*(1+FP$3))/$AJ72,'Технический лист'!$M:$N,2,1),(FO72-0.05)))</f>
        <v/>
      </c>
      <c r="FQ72" s="172">
        <f>MIN(1,MAX(VLOOKUP(($AJ72-$AI72-$AH72-$AG72-$AF72-$AE72*(1+FQ$3))/$AJ72,'Технический лист'!$M:$N,2,1),(FP72-0.05)))</f>
        <v/>
      </c>
      <c r="FR72" s="172">
        <f>MIN(1,MAX(VLOOKUP(($AJ72-$AI72-$AH72-$AG72-$AF72-$AE72*(1+FR$3))/$AJ72,'Технический лист'!$M:$N,2,1),(FQ72-0.05)))</f>
        <v/>
      </c>
      <c r="FS72" s="172">
        <f>MIN(1,MAX(VLOOKUP(($AJ72-$AI72-$AH72-$AG72-$AF72-$AE72*(1+FS$3))/$AJ72,'Технический лист'!$M:$N,2,1),(FR72-0.05)))</f>
        <v/>
      </c>
      <c r="FT72" s="172">
        <f>MIN(1,MAX(VLOOKUP(($AJ72-$AI72-$AH72-$AG72-$AF72-$AE72*(1+FT$3))/$AJ72,'Технический лист'!$M:$N,2,1),(FS72-0.05)))</f>
        <v/>
      </c>
      <c r="FU72" s="172">
        <f>MIN(1,MAX(VLOOKUP(($AJ72-$AI72-$AH72-$AG72-$AF72-$AE72*(1+FU$3))/$AJ72,'Технический лист'!$M:$N,2,1),(FT72-0.05)))</f>
        <v/>
      </c>
      <c r="FV72" s="172">
        <f>MIN(1,MAX(VLOOKUP(($AJ72-$AI72-$AH72-$AG72-$AF72-$AE72*(1+FV$3))/$AJ72,'Технический лист'!$M:$N,2,1),(FU72-0.05)))</f>
        <v/>
      </c>
      <c r="FW72" s="172">
        <f>MIN(1,MAX(VLOOKUP(($AJ72-$AI72-$AH72-$AG72-$AF72-$AE72*(1+FW$3))/$AJ72,'Технический лист'!$M:$N,2,1),(FV72-0.05)))</f>
        <v/>
      </c>
      <c r="FX72" s="172">
        <f>MIN(1,MAX(VLOOKUP(($AJ72-$AI72-$AH72-$AG72-$AF72-$AE72*(1+FX$3))/$AJ72,'Технический лист'!$M:$N,2,1),(FW72-0.05)))</f>
        <v/>
      </c>
      <c r="FY72" s="172">
        <f>MIN(1,MAX(VLOOKUP(($AJ72-$AI72-$AH72-$AG72-$AF72-$AE72*(1+FY$3))/$AJ72,'Технический лист'!$M:$N,2,1),(FX72-0.05)))</f>
        <v/>
      </c>
      <c r="FZ72" s="172">
        <f>MIN(1,MAX(VLOOKUP(($AJ72-$AI72-$AH72-$AG72-$AF72-$AE72*(1+FZ$3))/$AJ72,'Технический лист'!$M:$N,2,1),(FY72-0.05)))</f>
        <v/>
      </c>
      <c r="GA72" s="172">
        <f>MIN(1,MAX(VLOOKUP(($AJ72-$AI72-$AH72-$AG72-$AF72-$AE72*(1+GA$3))/$AJ72,'Технический лист'!$M:$N,2,1),(FZ72-0.05)))</f>
        <v/>
      </c>
      <c r="GB72" s="172">
        <f>MIN(1,MAX(VLOOKUP(($AJ72-$AI72-$AH72-$AG72-$AF72-$AE72*(1+GB$3))/$AJ72,'Технический лист'!$M:$N,2,1),(GA72-0.05)))</f>
        <v/>
      </c>
      <c r="GC72" s="172">
        <f>MIN(1,MAX(VLOOKUP(($AJ72-$AI72-$AH72-$AG72-$AF72-$AE72*(1+GC$3))/$AJ72,'Технический лист'!$M:$N,2,1),(GB72-0.05)))</f>
        <v/>
      </c>
      <c r="GD72" s="172">
        <f>MIN(1,MAX(VLOOKUP(($AJ72-$AI72-$AH72-$AG72-$AF72-$AE72*(1+GD$3))/$AJ72,'Технический лист'!$M:$N,2,1),(GC72-0.05)))</f>
        <v/>
      </c>
      <c r="GE72" s="172">
        <f>MIN(1,MAX(VLOOKUP(($AJ72-$AI72-$AH72-$AG72-$AF72-$AE72*(1+GE$3))/$AJ72,'Технический лист'!$M:$N,2,1),(GD72-0.05)))</f>
        <v/>
      </c>
      <c r="GF72" s="172">
        <f>MIN(1,MAX(VLOOKUP(($AJ72-$AI72-$AH72-$AG72-$AF72-$AE72*(1+GF$3))/$AJ72,'Технический лист'!$M:$N,2,1),(GE72-0.05)))</f>
        <v/>
      </c>
      <c r="GG72" s="172">
        <f>MIN(1,MAX(VLOOKUP(($AJ72-$AI72-$AH72-$AG72-$AF72-$AE72*(1+GG$3))/$AJ72,'Технический лист'!$M:$N,2,1),(GF72-0.05)))</f>
        <v/>
      </c>
      <c r="GH72" s="172">
        <f>MIN(1,MAX(VLOOKUP(($AJ72-$AI72-$AH72-$AG72-$AF72-$AE72*(1+GH$3))/$AJ72,'Технический лист'!$M:$N,2,1),(GG72-0.05)))</f>
        <v/>
      </c>
      <c r="GI72" s="172">
        <f>MIN(1,MAX(VLOOKUP(($AJ72-$AI72-$AH72-$AG72-$AF72-$AE72*(1+GI$3))/$AJ72,'Технический лист'!$M:$N,2,1),(GH72-0.05)))</f>
        <v/>
      </c>
      <c r="GJ72" s="172">
        <f>MIN(1,MAX(VLOOKUP(($AJ72-$AI72-$AH72-$AG72-$AF72-$AE72*(1+GJ$3))/$AJ72,'Технический лист'!$M:$N,2,1),(GI72-0.05)))</f>
        <v/>
      </c>
      <c r="GK72" s="172">
        <f>MIN(1,MAX(VLOOKUP(($AJ72-$AI72-$AH72-$AG72-$AF72-$AE72*(1+GK$3))/$AJ72,'Технический лист'!$M:$N,2,1),(GJ72-0.05)))</f>
        <v/>
      </c>
      <c r="GL72" s="172">
        <f>MIN(1,MAX(VLOOKUP(($AJ72-$AI72-$AH72-$AG72-$AF72-$AE72*(1+GL$3))/$AJ72,'Технический лист'!$M:$N,2,1),(GK72-0.05)))</f>
        <v/>
      </c>
      <c r="GM72" s="172">
        <f>MIN(1,MAX(VLOOKUP(($AJ72-$AI72-$AH72-$AG72-$AF72-$AE72*(1+GM$3))/$AJ72,'Технический лист'!$M:$N,2,1),(GL72-0.05)))</f>
        <v/>
      </c>
      <c r="GN72" s="172">
        <f>MIN(1,MAX(VLOOKUP(($AJ72-$AI72-$AH72-$AG72-$AF72-$AE72*(1+GN$3))/$AJ72,'Технический лист'!$M:$N,2,1),(GM72-0.05)))</f>
        <v/>
      </c>
      <c r="GO72" s="172">
        <f>MIN(1,MAX(VLOOKUP(($AJ72-$AI72-$AH72-$AG72-$AF72-$AE72*(1+GO$3))/$AJ72,'Технический лист'!$M:$N,2,1),(GN72-0.05)))</f>
        <v/>
      </c>
      <c r="GP72" s="172">
        <f>MIN(1,MAX(VLOOKUP(($AJ72-$AI72-$AH72-$AG72-$AF72-$AE72*(1+GP$3))/$AJ72,'Технический лист'!$M:$N,2,1),(GO72-0.05)))</f>
        <v/>
      </c>
      <c r="GQ72" s="172">
        <f>MIN(1,MAX(VLOOKUP(($AJ72-$AI72-$AH72-$AG72-$AF72-$AE72*(1+GQ$3))/$AJ72,'Технический лист'!$M:$N,2,1),(GP72-0.05)))</f>
        <v/>
      </c>
      <c r="GR72" s="172">
        <f>MIN(1,MAX(VLOOKUP(($AJ72-$AI72-$AH72-$AG72-$AF72-$AE72*(1+GR$3))/$AJ72,'Технический лист'!$M:$N,2,1),(GQ72-0.05)))</f>
        <v/>
      </c>
      <c r="GS72" s="172">
        <f>MIN(1,MAX(VLOOKUP(($AJ72-$AI72-$AH72-$AG72-$AF72-$AE72*(1+GS$3))/$AJ72,'Технический лист'!$M:$N,2,1),(GR72-0.05)))</f>
        <v/>
      </c>
      <c r="GT72" s="172">
        <f>MIN(1,MAX(VLOOKUP(($AJ72-$AI72-$AH72-$AG72-$AF72-$AE72*(1+GT$3))/$AJ72,'Технический лист'!$M:$N,2,1),(GS72-0.05)))</f>
        <v/>
      </c>
      <c r="GU72" s="172">
        <f>MIN(1,MAX(VLOOKUP(($AJ72-$AI72-$AH72-$AG72-$AF72-$AE72*(1+GU$3))/$AJ72,'Технический лист'!$M:$N,2,1),(GT72-0.05)))</f>
        <v/>
      </c>
      <c r="GV72" s="172">
        <f>MIN(1,MAX(VLOOKUP(($AJ72-$AI72-$AH72-$AG72-$AF72-$AE72*(1+GV$3))/$AJ72,'Технический лист'!$M:$N,2,1),(GU72-0.05)))</f>
        <v/>
      </c>
      <c r="GW72" s="172">
        <f>MIN(1,MAX(VLOOKUP(($AJ72-$AI72-$AH72-$AG72-$AF72-$AE72*(1+GW$3))/$AJ72,'Технический лист'!$M:$N,2,1),(GV72-0.05)))</f>
        <v/>
      </c>
      <c r="GX72" s="172">
        <f>MIN(1,MAX(VLOOKUP(($AJ72-$AI72-$AH72-$AG72-$AF72-$AE72*(1+GX$3))/$AJ72,'Технический лист'!$M:$N,2,1),(GW72-0.05)))</f>
        <v/>
      </c>
      <c r="GY72" s="172">
        <f>MIN(1,MAX(VLOOKUP(($AJ72-$AI72-$AH72-$AG72-$AF72-$AE72*(1+GY$3))/$AJ72,'Технический лист'!$M:$N,2,1),(GX72-0.05)))</f>
        <v/>
      </c>
      <c r="GZ72" s="172">
        <f>MIN(1,MAX(VLOOKUP(($AJ72-$AI72-$AH72-$AG72-$AF72-$AE72*(1+GZ$3))/$AJ72,'Технический лист'!$M:$N,2,1),(GY72-0.05)))</f>
        <v/>
      </c>
      <c r="HA72" s="172">
        <f>MIN(1,MAX(VLOOKUP(($AJ72-$AI72-$AH72-$AG72-$AF72-$AE72*(1+HA$3))/$AJ72,'Технический лист'!$M:$N,2,1),(GZ72-0.05)))</f>
        <v/>
      </c>
      <c r="HB72" s="172">
        <f>MIN(1,MAX(VLOOKUP(($AJ72-$AI72-$AH72-$AG72-$AF72-$AE72*(1+HB$3))/$AJ72,'Технический лист'!$M:$N,2,1),(HA72-0.05)))</f>
        <v/>
      </c>
      <c r="HC72" s="172">
        <f>MIN(1,MAX(VLOOKUP(($AJ72-$AI72-$AH72-$AG72-$AF72-$AE72*(1+HC$3))/$AJ72,'Технический лист'!$M:$N,2,1),(HB72-0.05)))</f>
        <v/>
      </c>
      <c r="HD72" s="172">
        <f>MIN(1,MAX(VLOOKUP(($AJ72-$AI72-$AH72-$AG72-$AF72-$AE72*(1+HD$3))/$AJ72,'Технический лист'!$M:$N,2,1),(HC72-0.05)))</f>
        <v/>
      </c>
      <c r="HE72" s="172">
        <f>MIN(1,MAX(VLOOKUP(($AJ72-$AI72-$AH72-$AG72-$AF72-$AE72*(1+HE$3))/$AJ72,'Технический лист'!$M:$N,2,1),(HD72-0.05)))</f>
        <v/>
      </c>
      <c r="HF72" s="172">
        <f>MIN(1,MAX(VLOOKUP(($AJ72-$AI72-$AH72-$AG72-$AF72-$AE72*(1+HF$3))/$AJ72,'Технический лист'!$M:$N,2,1),(HE72-0.05)))</f>
        <v/>
      </c>
      <c r="HG72" s="172">
        <f>MIN(1,MAX(VLOOKUP(($AJ72-$AI72-$AH72-$AG72-$AF72-$AE72*(1+HG$3))/$AJ72,'Технический лист'!$M:$N,2,1),(HF72-0.05)))</f>
        <v/>
      </c>
      <c r="HH72" s="172">
        <f>MIN(1,MAX(VLOOKUP(($AJ72-$AI72-$AH72-$AG72-$AF72-$AE72*(1+HH$3))/$AJ72,'Технический лист'!$M:$N,2,1),(HG72-0.05)))</f>
        <v/>
      </c>
      <c r="HI72" s="172">
        <f>MIN(1,MAX(VLOOKUP(($AJ72-$AI72-$AH72-$AG72-$AF72-$AE72*(1+HI$3))/$AJ72,'Технический лист'!$M:$N,2,1),(HH72-0.05)))</f>
        <v/>
      </c>
      <c r="HJ72" s="172">
        <f>MIN(1,MAX(VLOOKUP(($AJ72-$AI72-$AH72-$AG72-$AF72-$AE72*(1+HJ$3))/$AJ72,'Технический лист'!$M:$N,2,1),(HI72-0.05)))</f>
        <v/>
      </c>
      <c r="HK72" s="172">
        <f>MIN(1,MAX(VLOOKUP(($AJ72-$AI72-$AH72-$AG72-$AF72-$AE72*(1+HK$3))/$AJ72,'Технический лист'!$M:$N,2,1),(HJ72-0.05)))</f>
        <v/>
      </c>
      <c r="HL72" s="172">
        <f>MIN(1,MAX(VLOOKUP(($AJ72-$AI72-$AH72-$AG72-$AF72-$AE72*(1+HL$3))/$AJ72,'Технический лист'!$M:$N,2,1),(HK72-0.05)))</f>
        <v/>
      </c>
      <c r="HM72" s="172">
        <f>MIN(1,MAX(VLOOKUP(($AJ72-$AI72-$AH72-$AG72-$AF72-$AE72*(1+HM$3))/$AJ72,'Технический лист'!$M:$N,2,1),(HL72-0.05)))</f>
        <v/>
      </c>
      <c r="HN72" s="172">
        <f>MIN(1,MAX(VLOOKUP(($AJ72-$AI72-$AH72-$AG72-$AF72-$AE72*(1+HN$3))/$AJ72,'Технический лист'!$M:$N,2,1),(HM72-0.05)))</f>
        <v/>
      </c>
      <c r="HO72" s="172">
        <f>MIN(1,MAX(VLOOKUP(($AJ72-$AI72-$AH72-$AG72-$AF72-$AE72*(1+HO$3))/$AJ72,'Технический лист'!$M:$N,2,1),(HN72-0.05)))</f>
        <v/>
      </c>
      <c r="HP72" s="172">
        <f>MIN(1,MAX(VLOOKUP(($AJ72-$AI72-$AH72-$AG72-$AF72-$AE72*(1+HP$3))/$AJ72,'Технический лист'!$M:$N,2,1),(HO72-0.05)))</f>
        <v/>
      </c>
      <c r="HQ72" s="172">
        <f>MIN(1,MAX(VLOOKUP(($AJ72-$AI72-$AH72-$AG72-$AF72-$AE72*(1+HQ$3))/$AJ72,'Технический лист'!$M:$N,2,1),(HP72-0.05)))</f>
        <v/>
      </c>
      <c r="HR72" s="172">
        <f>MIN(1,MAX(VLOOKUP(($AJ72-$AI72-$AH72-$AG72-$AF72-$AE72*(1+HR$3))/$AJ72,'Технический лист'!$M:$N,2,1),(HQ72-0.05)))</f>
        <v/>
      </c>
      <c r="HS72" s="172">
        <f>MIN(1,MAX(VLOOKUP(($AJ72-$AI72-$AH72-$AG72-$AF72-$AE72*(1+HS$3))/$AJ72,'Технический лист'!$M:$N,2,1),(HR72-0.05)))</f>
        <v/>
      </c>
      <c r="HT72" s="172">
        <f>MIN(1,MAX(VLOOKUP(($AJ72-$AI72-$AH72-$AG72-$AF72-$AE72*(1+HT$3))/$AJ72,'Технический лист'!$M:$N,2,1),(HS72-0.05)))</f>
        <v/>
      </c>
      <c r="HU72" s="172">
        <f>MIN(1,MAX(VLOOKUP(($AJ72-$AI72-$AH72-$AG72-$AF72-$AE72*(1+HU$3))/$AJ72,'Технический лист'!$M:$N,2,1),(HT72-0.05)))</f>
        <v/>
      </c>
      <c r="HV72" s="172">
        <f>MIN(1,MAX(VLOOKUP(($AJ72-$AI72-$AH72-$AG72-$AF72-$AE72*(1+HV$3))/$AJ72,'Технический лист'!$M:$N,2,1),(HU72-0.05)))</f>
        <v/>
      </c>
      <c r="HW72" s="172">
        <f>MIN(1,MAX(VLOOKUP(($AJ72-$AI72-$AH72-$AG72-$AF72-$AE72*(1+HW$3))/$AJ72,'Технический лист'!$M:$N,2,1),(HV72-0.05)))</f>
        <v/>
      </c>
      <c r="HX72" s="172">
        <f>MIN(1,MAX(VLOOKUP(($AJ72-$AI72-$AH72-$AG72-$AF72-$AE72*(1+HX$3))/$AJ72,'Технический лист'!$M:$N,2,1),(HW72-0.05)))</f>
        <v/>
      </c>
      <c r="HY72" s="172">
        <f>MIN(1,MAX(VLOOKUP(($AJ72-$AI72-$AH72-$AG72-$AF72-$AE72*(1+HY$3))/$AJ72,'Технический лист'!$M:$N,2,1),(HX72-0.05)))</f>
        <v/>
      </c>
      <c r="HZ72" s="172">
        <f>MIN(1,MAX(VLOOKUP(($AJ72-$AI72-$AH72-$AG72-$AF72-$AE72*(1+HZ$3))/$AJ72,'Технический лист'!$M:$N,2,1),(HY72-0.05)))</f>
        <v/>
      </c>
      <c r="IA72" s="172">
        <f>MIN(1,MAX(VLOOKUP(($AJ72-$AI72-$AH72-$AG72-$AF72-$AE72*(1+IA$3))/$AJ72,'Технический лист'!$M:$N,2,1),(HZ72-0.05)))</f>
        <v/>
      </c>
      <c r="IB72" s="172">
        <f>MIN(1,MAX(VLOOKUP(($AJ72-$AI72-$AH72-$AG72-$AF72-$AE72*(1+IB$3))/$AJ72,'Технический лист'!$M:$N,2,1),(IA72-0.05)))</f>
        <v/>
      </c>
      <c r="IC72" s="172">
        <f>MIN(1,MAX(VLOOKUP(($AJ72-$AI72-$AH72-$AG72-$AF72-$AE72*(1+IC$3))/$AJ72,'Технический лист'!$M:$N,2,1),(IB72-0.05)))</f>
        <v/>
      </c>
      <c r="ID72" s="172">
        <f>MIN(1,MAX(VLOOKUP(($AJ72-$AI72-$AH72-$AG72-$AF72-$AE72*(1+ID$3))/$AJ72,'Технический лист'!$M:$N,2,1),(IC72-0.05)))</f>
        <v/>
      </c>
      <c r="IE72" s="172">
        <f>MIN(1,MAX(VLOOKUP(($AJ72-$AI72-$AH72-$AG72-$AF72-$AE72*(1+IE$3))/$AJ72,'Технический лист'!$M:$N,2,1),(ID72-0.05)))</f>
        <v/>
      </c>
      <c r="IF72" s="172">
        <f>MIN(1,MAX(VLOOKUP(($AJ72-$AI72-$AH72-$AG72-$AF72-$AE72*(1+IF$3))/$AJ72,'Технический лист'!$M:$N,2,1),(IE72-0.05)))</f>
        <v/>
      </c>
      <c r="IG72" s="172">
        <f>MIN(1,MAX(VLOOKUP(($AJ72-$AI72-$AH72-$AG72-$AF72-$AE72*(1+IG$3))/$AJ72,'Технический лист'!$M:$N,2,1),(IF72-0.05)))</f>
        <v/>
      </c>
      <c r="IH72" s="172">
        <f>MIN(1,MAX(VLOOKUP(($AJ72-$AI72-$AH72-$AG72-$AF72-$AE72*(1+IH$3))/$AJ72,'Технический лист'!$M:$N,2,1),(IG72-0.05)))</f>
        <v/>
      </c>
      <c r="II72" s="172">
        <f>MIN(1,MAX(VLOOKUP(($AJ72-$AI72-$AH72-$AG72-$AF72-$AE72*(1+II$3))/$AJ72,'Технический лист'!$M:$N,2,1),(IH72-0.05)))</f>
        <v/>
      </c>
      <c r="IJ72" s="172">
        <f>MIN(1,MAX(VLOOKUP(($AJ72-$AI72-$AH72-$AG72-$AF72-$AE72*(1+IJ$3))/$AJ72,'Технический лист'!$M:$N,2,1),(II72-0.05)))</f>
        <v/>
      </c>
      <c r="IK72" s="172">
        <f>MIN(1,MAX(VLOOKUP(($AJ72-$AI72-$AH72-$AG72-$AF72-$AE72*(1+IK$3))/$AJ72,'Технический лист'!$M:$N,2,1),(IJ72-0.05)))</f>
        <v/>
      </c>
      <c r="IL72" s="172">
        <f>MIN(1,MAX(VLOOKUP(($AJ72-$AI72-$AH72-$AG72-$AF72-$AE72*(1+IL$3))/$AJ72,'Технический лист'!$M:$N,2,1),(IK72-0.05)))</f>
        <v/>
      </c>
      <c r="IM72" s="172">
        <f>MIN(1,MAX(VLOOKUP(($AJ72-$AI72-$AH72-$AG72-$AF72-$AE72*(1+IM$3))/$AJ72,'Технический лист'!$M:$N,2,1),(IL72-0.05)))</f>
        <v/>
      </c>
      <c r="IN72" s="172">
        <f>MIN(1,MAX(VLOOKUP(($AJ72-$AI72-$AH72-$AG72-$AF72-$AE72*(1+IN$3))/$AJ72,'Технический лист'!$M:$N,2,1),(IM72-0.05)))</f>
        <v/>
      </c>
      <c r="IO72" s="172">
        <f>MIN(1,MAX(VLOOKUP(($AJ72-$AI72-$AH72-$AG72-$AF72-$AE72*(1+IO$3))/$AJ72,'Технический лист'!$M:$N,2,1),(IN72-0.05)))</f>
        <v/>
      </c>
      <c r="IP72" s="172">
        <f>MIN(1,MAX(VLOOKUP(($AJ72-$AI72-$AH72-$AG72-$AF72-$AE72*(1+IP$3))/$AJ72,'Технический лист'!$M:$N,2,1),(IO72-0.05)))</f>
        <v/>
      </c>
      <c r="IQ72" s="172">
        <f>MIN(1,MAX(VLOOKUP(($AJ72-$AI72-$AH72-$AG72-$AF72-$AE72*(1+IQ$3))/$AJ72,'Технический лист'!$M:$N,2,1),(IP72-0.05)))</f>
        <v/>
      </c>
      <c r="IR72" s="172">
        <f>MIN(1,MAX(VLOOKUP(($AJ72-$AI72-$AH72-$AG72-$AF72-$AE72*(1+IR$3))/$AJ72,'Технический лист'!$M:$N,2,1),(IQ72-0.05)))</f>
        <v/>
      </c>
    </row>
    <row r="73" ht="29.15" customFormat="1" customHeight="1" s="6">
      <c r="A73" s="89" t="inlineStr">
        <is>
          <t>ЦМ (сырье)</t>
        </is>
      </c>
      <c r="B73" s="76" t="n">
        <v>4</v>
      </c>
      <c r="C73" s="3" t="inlineStr">
        <is>
          <t>Руды  всякие</t>
        </is>
      </c>
      <c r="D73" s="77" t="n">
        <v>15123</v>
      </c>
      <c r="E73" s="77" t="inlineStr">
        <is>
          <t xml:space="preserve">Концентрат свинцовый </t>
        </is>
      </c>
      <c r="F73" s="77" t="inlineStr">
        <is>
          <t xml:space="preserve">Сырье цветных металлов, сырье серное </t>
        </is>
      </c>
      <c r="G73" s="77" t="inlineStr">
        <is>
          <t>КРС</t>
        </is>
      </c>
      <c r="H73" s="77" t="inlineStr">
        <is>
          <t>ЗАБ</t>
        </is>
      </c>
      <c r="I73" s="77" t="inlineStr">
        <is>
          <t>ЛЕСОСИБИРСК</t>
        </is>
      </c>
      <c r="J73" s="77" t="inlineStr">
        <is>
          <t>ЗАБАЙКАЛ ЭК</t>
        </is>
      </c>
      <c r="K73" s="77" t="n">
        <v>3023</v>
      </c>
      <c r="L73" s="77" t="inlineStr">
        <is>
          <t>Полувагоны</t>
        </is>
      </c>
      <c r="M73" s="77" t="inlineStr">
        <is>
          <t>Экспорт</t>
        </is>
      </c>
      <c r="N73" s="77" t="inlineStr">
        <is>
          <t>вагонная</t>
        </is>
      </c>
      <c r="O73" s="77" t="inlineStr">
        <is>
          <t xml:space="preserve">Восточное </t>
        </is>
      </c>
      <c r="P73" s="79" t="inlineStr">
        <is>
          <t>'000070541358</t>
        </is>
      </c>
      <c r="Q73" s="91" t="inlineStr">
        <is>
          <t>ОК РУСАЛ</t>
        </is>
      </c>
      <c r="R73" s="91" t="inlineStr">
        <is>
          <t>ОК РУСАЛ</t>
        </is>
      </c>
      <c r="S73" s="80" t="n">
        <v>148952</v>
      </c>
      <c r="T73" s="80" t="n">
        <v>450280970</v>
      </c>
      <c r="U73" s="88" t="n">
        <v>2189</v>
      </c>
      <c r="V73" s="88" t="n">
        <v>0</v>
      </c>
      <c r="W73" s="87" t="n">
        <v>610684665</v>
      </c>
      <c r="X73" s="112" t="n">
        <v>67</v>
      </c>
      <c r="Y73" s="112" t="inlineStr">
        <is>
          <t>групповая</t>
        </is>
      </c>
      <c r="Z73" s="113" t="n">
        <v>8</v>
      </c>
      <c r="AA73" s="113" t="n">
        <v>6</v>
      </c>
      <c r="AB73" s="113" t="n">
        <v>4</v>
      </c>
      <c r="AC73" s="161" t="n">
        <v>4613.84</v>
      </c>
      <c r="AD73" s="161">
        <f>AE73-AC73</f>
        <v/>
      </c>
      <c r="AE73" s="161" t="n">
        <v>5271.52</v>
      </c>
      <c r="AF73" s="162">
        <f>(Z73+AA73+AB73)*'Ставки аренды'!$B$3/X73</f>
        <v/>
      </c>
      <c r="AG73" s="163" t="n">
        <v>0</v>
      </c>
      <c r="AH73" s="164" t="n">
        <v>0</v>
      </c>
      <c r="AI73" s="165">
        <f>12254/14812*AJ73</f>
        <v/>
      </c>
      <c r="AJ73" s="166">
        <f>Цены!C35*'Курсы валют'!B2</f>
        <v/>
      </c>
      <c r="AK73" s="164">
        <f>AJ73/Цены!$B$1</f>
        <v/>
      </c>
      <c r="AL73" s="164">
        <f>AE73+AF73+AG73</f>
        <v/>
      </c>
      <c r="AM73" s="164">
        <f>AJ73-AL73</f>
        <v/>
      </c>
      <c r="AN73" s="164">
        <f>AI73+AH73+AG73+AF73+AE73</f>
        <v/>
      </c>
      <c r="AO73" s="167">
        <f>(AJ73-AN73)/AJ73</f>
        <v/>
      </c>
      <c r="AP73" s="168">
        <f>AL73/AJ73</f>
        <v/>
      </c>
      <c r="AQ73" s="168">
        <f>AE73/AJ73</f>
        <v/>
      </c>
      <c r="AR73" s="168">
        <f>AE73/AL73</f>
        <v/>
      </c>
      <c r="AS73" s="169" t="n">
        <v>1</v>
      </c>
      <c r="AT73" s="121">
        <f>S73*AS73</f>
        <v/>
      </c>
      <c r="AU73" s="83" t="n">
        <v>1</v>
      </c>
      <c r="AV73" s="170">
        <f>(AJ73-(AE73*(1+$IS$2)+AF73+AG73+AH73+AI73))/AJ73</f>
        <v/>
      </c>
      <c r="AW73" s="171">
        <f>(AE73*(1+$IS$2)+AF73+AG73)/AJ73</f>
        <v/>
      </c>
      <c r="AX73" s="171">
        <f>(AE73*(1+$IS$2))/AJ73</f>
        <v/>
      </c>
      <c r="AY73" s="171">
        <f>(AE73*(1+$IS$2))/(AE73*(1+$IS$2)+AF73+AG73)</f>
        <v/>
      </c>
      <c r="AZ73" s="172">
        <f>MIN(IF($AU73=100%,1,1+VLOOKUP(($AJ73-$AI73-$AH73-$AG73-$AF73-$AE73*(1+AZ$3))/$AJ73,'Технический лист'!$M:$N,2,1)-VLOOKUP($AO73,'Технический лист'!$M:$N,2,1)),1+(1-$AU73))</f>
        <v/>
      </c>
      <c r="BA73" s="172">
        <f>MIN(IF($AU73=100%,1,1+VLOOKUP(($AJ73-$AI73-$AH73-$AG73-$AF73-$AE73*(1+BA$3))/$AJ73,'Технический лист'!$M:$N,2,1)-VLOOKUP($AO73,'Технический лист'!$M:$N,2,1)),1+(1-$AU73))</f>
        <v/>
      </c>
      <c r="BB73" s="172">
        <f>MIN(IF($AU73=100%,1,1+VLOOKUP(($AJ73-$AI73-$AH73-$AG73-$AF73-$AE73*(1+BB$3))/$AJ73,'Технический лист'!$M:$N,2,1)-VLOOKUP($AO73,'Технический лист'!$M:$N,2,1)),1+(1-$AU73))</f>
        <v/>
      </c>
      <c r="BC73" s="172">
        <f>MIN(IF($AU73=100%,1,1+VLOOKUP(($AJ73-$AI73-$AH73-$AG73-$AF73-$AE73*(1+BC$3))/$AJ73,'Технический лист'!$M:$N,2,1)-VLOOKUP($AO73,'Технический лист'!$M:$N,2,1)),1+(1-$AU73))</f>
        <v/>
      </c>
      <c r="BD73" s="172">
        <f>MIN(IF($AU73=100%,1,1+VLOOKUP(($AJ73-$AI73-$AH73-$AG73-$AF73-$AE73*(1+BD$3))/$AJ73,'Технический лист'!$M:$N,2,1)-VLOOKUP($AO73,'Технический лист'!$M:$N,2,1)),1+(1-$AU73))</f>
        <v/>
      </c>
      <c r="BE73" s="172">
        <f>MIN(IF($AU73=100%,1,1+VLOOKUP(($AJ73-$AI73-$AH73-$AG73-$AF73-$AE73*(1+BE$3))/$AJ73,'Технический лист'!$M:$N,2,1)-VLOOKUP($AO73,'Технический лист'!$M:$N,2,1)),1+(1-$AU73))</f>
        <v/>
      </c>
      <c r="BF73" s="172">
        <f>MIN(IF($AU73=100%,1,1+VLOOKUP(($AJ73-$AI73-$AH73-$AG73-$AF73-$AE73*(1+BF$3))/$AJ73,'Технический лист'!$M:$N,2,1)-VLOOKUP($AO73,'Технический лист'!$M:$N,2,1)),1+(1-$AU73))</f>
        <v/>
      </c>
      <c r="BG73" s="172">
        <f>MIN(IF($AU73=100%,1,1+VLOOKUP(($AJ73-$AI73-$AH73-$AG73-$AF73-$AE73*(1+BG$3))/$AJ73,'Технический лист'!$M:$N,2,1)-VLOOKUP($AO73,'Технический лист'!$M:$N,2,1)),1+(1-$AU73))</f>
        <v/>
      </c>
      <c r="BH73" s="172">
        <f>MIN(IF($AU73=100%,1,1+VLOOKUP(($AJ73-$AI73-$AH73-$AG73-$AF73-$AE73*(1+BH$3))/$AJ73,'Технический лист'!$M:$N,2,1)-VLOOKUP($AO73,'Технический лист'!$M:$N,2,1)),1+(1-$AU73))</f>
        <v/>
      </c>
      <c r="BI73" s="172">
        <f>MIN(IF($AU73=100%,1,1+VLOOKUP(($AJ73-$AI73-$AH73-$AG73-$AF73-$AE73*(1+BI$3))/$AJ73,'Технический лист'!$M:$N,2,1)-VLOOKUP($AO73,'Технический лист'!$M:$N,2,1)),1+(1-$AU73))</f>
        <v/>
      </c>
      <c r="BJ73" s="172">
        <f>MIN(IF($AU73=100%,1,1+VLOOKUP(($AJ73-$AI73-$AH73-$AG73-$AF73-$AE73*(1+BJ$3))/$AJ73,'Технический лист'!$M:$N,2,1)-VLOOKUP($AO73,'Технический лист'!$M:$N,2,1)),1+(1-$AU73))</f>
        <v/>
      </c>
      <c r="BK73" s="172">
        <f>MIN(IF($AU73=100%,1,1+VLOOKUP(($AJ73-$AI73-$AH73-$AG73-$AF73-$AE73*(1+BK$3))/$AJ73,'Технический лист'!$M:$N,2,1)-VLOOKUP($AO73,'Технический лист'!$M:$N,2,1)),1+(1-$AU73))</f>
        <v/>
      </c>
      <c r="BL73" s="172">
        <f>MIN(IF($AU73=100%,1,1+VLOOKUP(($AJ73-$AI73-$AH73-$AG73-$AF73-$AE73*(1+BL$3))/$AJ73,'Технический лист'!$M:$N,2,1)-VLOOKUP($AO73,'Технический лист'!$M:$N,2,1)),1+(1-$AU73))</f>
        <v/>
      </c>
      <c r="BM73" s="172">
        <f>MIN(IF($AU73=100%,1,1+VLOOKUP(($AJ73-$AI73-$AH73-$AG73-$AF73-$AE73*(1+BM$3))/$AJ73,'Технический лист'!$M:$N,2,1)-VLOOKUP($AO73,'Технический лист'!$M:$N,2,1)),1+(1-$AU73))</f>
        <v/>
      </c>
      <c r="BN73" s="172">
        <f>MIN(IF($AU73=100%,1,1+VLOOKUP(($AJ73-$AI73-$AH73-$AG73-$AF73-$AE73*(1+BN$3))/$AJ73,'Технический лист'!$M:$N,2,1)-VLOOKUP($AO73,'Технический лист'!$M:$N,2,1)),1+(1-$AU73))</f>
        <v/>
      </c>
      <c r="BO73" s="172">
        <f>MIN(IF($AU73=100%,1,1+VLOOKUP(($AJ73-$AI73-$AH73-$AG73-$AF73-$AE73*(1+BO$3))/$AJ73,'Технический лист'!$M:$N,2,1)-VLOOKUP($AO73,'Технический лист'!$M:$N,2,1)),1+(1-$AU73))</f>
        <v/>
      </c>
      <c r="BP73" s="172">
        <f>MIN(IF($AU73=100%,1,1+VLOOKUP(($AJ73-$AI73-$AH73-$AG73-$AF73-$AE73*(1+BP$3))/$AJ73,'Технический лист'!$M:$N,2,1)-VLOOKUP($AO73,'Технический лист'!$M:$N,2,1)),1+(1-$AU73))</f>
        <v/>
      </c>
      <c r="BQ73" s="172">
        <f>MIN(IF($AU73=100%,1,1+VLOOKUP(($AJ73-$AI73-$AH73-$AG73-$AF73-$AE73*(1+BQ$3))/$AJ73,'Технический лист'!$M:$N,2,1)-VLOOKUP($AO73,'Технический лист'!$M:$N,2,1)),1+(1-$AU73))</f>
        <v/>
      </c>
      <c r="BR73" s="172">
        <f>MIN(IF($AU73=100%,1,1+VLOOKUP(($AJ73-$AI73-$AH73-$AG73-$AF73-$AE73*(1+BR$3))/$AJ73,'Технический лист'!$M:$N,2,1)-VLOOKUP($AO73,'Технический лист'!$M:$N,2,1)),1+(1-$AU73))</f>
        <v/>
      </c>
      <c r="BS73" s="172">
        <f>MIN(IF($AU73=100%,1,1+VLOOKUP(($AJ73-$AI73-$AH73-$AG73-$AF73-$AE73*(1+BS$3))/$AJ73,'Технический лист'!$M:$N,2,1)-VLOOKUP($AO73,'Технический лист'!$M:$N,2,1)),1+(1-$AU73))</f>
        <v/>
      </c>
      <c r="BT73" s="172">
        <f>MIN(IF($AU73=100%,1,1+VLOOKUP(($AJ73-$AI73-$AH73-$AG73-$AF73-$AE73*(1+BT$3))/$AJ73,'Технический лист'!$M:$N,2,1)-VLOOKUP($AO73,'Технический лист'!$M:$N,2,1)),1+(1-$AU73))</f>
        <v/>
      </c>
      <c r="BU73" s="172">
        <f>MIN(IF($AU73=100%,1,1+VLOOKUP(($AJ73-$AI73-$AH73-$AG73-$AF73-$AE73*(1+BU$3))/$AJ73,'Технический лист'!$M:$N,2,1)-VLOOKUP($AO73,'Технический лист'!$M:$N,2,1)),1+(1-$AU73))</f>
        <v/>
      </c>
      <c r="BV73" s="172">
        <f>MIN(IF($AU73=100%,1,1+VLOOKUP(($AJ73-$AI73-$AH73-$AG73-$AF73-$AE73*(1+BV$3))/$AJ73,'Технический лист'!$M:$N,2,1)-VLOOKUP($AO73,'Технический лист'!$M:$N,2,1)),1+(1-$AU73))</f>
        <v/>
      </c>
      <c r="BW73" s="172">
        <f>MIN(IF($AU73=100%,1,1+VLOOKUP(($AJ73-$AI73-$AH73-$AG73-$AF73-$AE73*(1+BW$3))/$AJ73,'Технический лист'!$M:$N,2,1)-VLOOKUP($AO73,'Технический лист'!$M:$N,2,1)),1+(1-$AU73))</f>
        <v/>
      </c>
      <c r="BX73" s="172">
        <f>MIN(IF($AU73=100%,1,1+VLOOKUP(($AJ73-$AI73-$AH73-$AG73-$AF73-$AE73*(1+BX$3))/$AJ73,'Технический лист'!$M:$N,2,1)-VLOOKUP($AO73,'Технический лист'!$M:$N,2,1)),1+(1-$AU73))</f>
        <v/>
      </c>
      <c r="BY73" s="172">
        <f>MIN(IF($AU73=100%,1,1+VLOOKUP(($AJ73-$AI73-$AH73-$AG73-$AF73-$AE73*(1+BY$3))/$AJ73,'Технический лист'!$M:$N,2,1)-VLOOKUP($AO73,'Технический лист'!$M:$N,2,1)),1+(1-$AU73))</f>
        <v/>
      </c>
      <c r="BZ73" s="172">
        <f>MIN(IF($AU73=100%,1,1+VLOOKUP(($AJ73-$AI73-$AH73-$AG73-$AF73-$AE73*(1+BZ$3))/$AJ73,'Технический лист'!$M:$N,2,1)-VLOOKUP($AO73,'Технический лист'!$M:$N,2,1)),1+(1-$AU73))</f>
        <v/>
      </c>
      <c r="CA73" s="172">
        <f>MIN(IF($AU73=100%,1,1+VLOOKUP(($AJ73-$AI73-$AH73-$AG73-$AF73-$AE73*(1+CA$3))/$AJ73,'Технический лист'!$M:$N,2,1)-VLOOKUP($AO73,'Технический лист'!$M:$N,2,1)),1+(1-$AU73))</f>
        <v/>
      </c>
      <c r="CB73" s="172">
        <f>MIN(IF($AU73=100%,1,1+VLOOKUP(($AJ73-$AI73-$AH73-$AG73-$AF73-$AE73*(1+CB$3))/$AJ73,'Технический лист'!$M:$N,2,1)-VLOOKUP($AO73,'Технический лист'!$M:$N,2,1)),1+(1-$AU73))</f>
        <v/>
      </c>
      <c r="CC73" s="172">
        <f>MIN(IF($AU73=100%,1,1+VLOOKUP(($AJ73-$AI73-$AH73-$AG73-$AF73-$AE73*(1+CC$3))/$AJ73,'Технический лист'!$M:$N,2,1)-VLOOKUP($AO73,'Технический лист'!$M:$N,2,1)),1+(1-$AU73))</f>
        <v/>
      </c>
      <c r="CD73" s="172">
        <f>MIN(IF($AU73=100%,1,1+VLOOKUP(($AJ73-$AI73-$AH73-$AG73-$AF73-$AE73*(1+CD$3))/$AJ73,'Технический лист'!$M:$N,2,1)-VLOOKUP($AO73,'Технический лист'!$M:$N,2,1)),1+(1-$AU73))</f>
        <v/>
      </c>
      <c r="CE73" s="172">
        <f>MIN(IF($AU73=100%,1,1+VLOOKUP(($AJ73-$AI73-$AH73-$AG73-$AF73-$AE73*(1+CE$3))/$AJ73,'Технический лист'!$M:$N,2,1)-VLOOKUP($AO73,'Технический лист'!$M:$N,2,1)),1+(1-$AU73))</f>
        <v/>
      </c>
      <c r="CF73" s="172">
        <f>MIN(IF($AU73=100%,1,1+VLOOKUP(($AJ73-$AI73-$AH73-$AG73-$AF73-$AE73*(1+CF$3))/$AJ73,'Технический лист'!$M:$N,2,1)-VLOOKUP($AO73,'Технический лист'!$M:$N,2,1)),1+(1-$AU73))</f>
        <v/>
      </c>
      <c r="CG73" s="172">
        <f>MIN(IF($AU73=100%,1,1+VLOOKUP(($AJ73-$AI73-$AH73-$AG73-$AF73-$AE73*(1+CG$3))/$AJ73,'Технический лист'!$M:$N,2,1)-VLOOKUP($AO73,'Технический лист'!$M:$N,2,1)),1+(1-$AU73))</f>
        <v/>
      </c>
      <c r="CH73" s="172">
        <f>MIN(IF($AU73=100%,1,1+VLOOKUP(($AJ73-$AI73-$AH73-$AG73-$AF73-$AE73*(1+CH$3))/$AJ73,'Технический лист'!$M:$N,2,1)-VLOOKUP($AO73,'Технический лист'!$M:$N,2,1)),1+(1-$AU73))</f>
        <v/>
      </c>
      <c r="CI73" s="172">
        <f>MIN(IF($AU73=100%,1,1+VLOOKUP(($AJ73-$AI73-$AH73-$AG73-$AF73-$AE73*(1+CI$3))/$AJ73,'Технический лист'!$M:$N,2,1)-VLOOKUP($AO73,'Технический лист'!$M:$N,2,1)),1+(1-$AU73))</f>
        <v/>
      </c>
      <c r="CJ73" s="172">
        <f>MIN(IF($AU73=100%,1,1+VLOOKUP(($AJ73-$AI73-$AH73-$AG73-$AF73-$AE73*(1+CJ$3))/$AJ73,'Технический лист'!$M:$N,2,1)-VLOOKUP($AO73,'Технический лист'!$M:$N,2,1)),1+(1-$AU73))</f>
        <v/>
      </c>
      <c r="CK73" s="172">
        <f>MIN(IF($AU73=100%,1,1+VLOOKUP(($AJ73-$AI73-$AH73-$AG73-$AF73-$AE73*(1+CK$3))/$AJ73,'Технический лист'!$M:$N,2,1)-VLOOKUP($AO73,'Технический лист'!$M:$N,2,1)),1+(1-$AU73))</f>
        <v/>
      </c>
      <c r="CL73" s="172">
        <f>MIN(IF($AU73=100%,1,1+VLOOKUP(($AJ73-$AI73-$AH73-$AG73-$AF73-$AE73*(1+CL$3))/$AJ73,'Технический лист'!$M:$N,2,1)-VLOOKUP($AO73,'Технический лист'!$M:$N,2,1)),1+(1-$AU73))</f>
        <v/>
      </c>
      <c r="CM73" s="172">
        <f>MIN(IF($AU73=100%,1,1+VLOOKUP(($AJ73-$AI73-$AH73-$AG73-$AF73-$AE73*(1+CM$3))/$AJ73,'Технический лист'!$M:$N,2,1)-VLOOKUP($AO73,'Технический лист'!$M:$N,2,1)),1+(1-$AU73))</f>
        <v/>
      </c>
      <c r="CN73" s="172">
        <f>MIN(IF($AU73=100%,1,1+VLOOKUP(($AJ73-$AI73-$AH73-$AG73-$AF73-$AE73*(1+CN$3))/$AJ73,'Технический лист'!$M:$N,2,1)-VLOOKUP($AO73,'Технический лист'!$M:$N,2,1)),1+(1-$AU73))</f>
        <v/>
      </c>
      <c r="CO73" s="172">
        <f>MIN(IF($AU73=100%,1,1+VLOOKUP(($AJ73-$AI73-$AH73-$AG73-$AF73-$AE73*(1+CO$3))/$AJ73,'Технический лист'!$M:$N,2,1)-VLOOKUP($AO73,'Технический лист'!$M:$N,2,1)),1+(1-$AU73))</f>
        <v/>
      </c>
      <c r="CP73" s="172">
        <f>MIN(IF($AU73=100%,1,1+VLOOKUP(($AJ73-$AI73-$AH73-$AG73-$AF73-$AE73*(1+CP$3))/$AJ73,'Технический лист'!$M:$N,2,1)-VLOOKUP($AO73,'Технический лист'!$M:$N,2,1)),1+(1-$AU73))</f>
        <v/>
      </c>
      <c r="CQ73" s="172">
        <f>MIN(IF($AU73=100%,1,1+VLOOKUP(($AJ73-$AI73-$AH73-$AG73-$AF73-$AE73*(1+CQ$3))/$AJ73,'Технический лист'!$M:$N,2,1)-VLOOKUP($AO73,'Технический лист'!$M:$N,2,1)),1+(1-$AU73))</f>
        <v/>
      </c>
      <c r="CR73" s="172">
        <f>MIN(IF($AU73=100%,1,1+VLOOKUP(($AJ73-$AI73-$AH73-$AG73-$AF73-$AE73*(1+CR$3))/$AJ73,'Технический лист'!$M:$N,2,1)-VLOOKUP($AO73,'Технический лист'!$M:$N,2,1)),1+(1-$AU73))</f>
        <v/>
      </c>
      <c r="CS73" s="172">
        <f>MIN(IF($AU73=100%,1,1+VLOOKUP(($AJ73-$AI73-$AH73-$AG73-$AF73-$AE73*(1+CS$3))/$AJ73,'Технический лист'!$M:$N,2,1)-VLOOKUP($AO73,'Технический лист'!$M:$N,2,1)),1+(1-$AU73))</f>
        <v/>
      </c>
      <c r="CT73" s="172">
        <f>MIN(IF($AU73=100%,1,1+VLOOKUP(($AJ73-$AI73-$AH73-$AG73-$AF73-$AE73*(1+CT$3))/$AJ73,'Технический лист'!$M:$N,2,1)-VLOOKUP($AO73,'Технический лист'!$M:$N,2,1)),1+(1-$AU73))</f>
        <v/>
      </c>
      <c r="CU73" s="172">
        <f>MIN(IF($AU73=100%,1,1+VLOOKUP(($AJ73-$AI73-$AH73-$AG73-$AF73-$AE73*(1+CU$3))/$AJ73,'Технический лист'!$M:$N,2,1)-VLOOKUP($AO73,'Технический лист'!$M:$N,2,1)),1+(1-$AU73))</f>
        <v/>
      </c>
      <c r="CV73" s="172">
        <f>MIN(IF($AU73=100%,1,1+VLOOKUP(($AJ73-$AI73-$AH73-$AG73-$AF73-$AE73*(1+CV$3))/$AJ73,'Технический лист'!$M:$N,2,1)-VLOOKUP($AO73,'Технический лист'!$M:$N,2,1)),1+(1-$AU73))</f>
        <v/>
      </c>
      <c r="CW73" s="172">
        <f>MIN(IF($AU73=100%,1,1+VLOOKUP(($AJ73-$AI73-$AH73-$AG73-$AF73-$AE73*(1+CW$3))/$AJ73,'Технический лист'!$M:$N,2,1)-VLOOKUP($AO73,'Технический лист'!$M:$N,2,1)),1+(1-$AU73))</f>
        <v/>
      </c>
      <c r="CX73" s="172">
        <f>MIN(IF($AU73=100%,1,1+VLOOKUP(($AJ73-$AI73-$AH73-$AG73-$AF73-$AE73*(1+CX$3))/$AJ73,'Технический лист'!$M:$N,2,1)-VLOOKUP($AO73,'Технический лист'!$M:$N,2,1)),1+(1-$AU73))</f>
        <v/>
      </c>
      <c r="CY73" s="172">
        <f>MIN(IF($AU73=100%,1,1+VLOOKUP(($AJ73-$AI73-$AH73-$AG73-$AF73-$AE73*(1+CY$3))/$AJ73,'Технический лист'!$M:$N,2,1)-VLOOKUP($AO73,'Технический лист'!$M:$N,2,1)),1+(1-$AU73))</f>
        <v/>
      </c>
      <c r="CZ73" s="172">
        <f>MIN(IF($AU73=100%,1,1+VLOOKUP(($AJ73-$AI73-$AH73-$AG73-$AF73-$AE73*(1+CZ$3))/$AJ73,'Технический лист'!$M:$N,2,1)-VLOOKUP($AO73,'Технический лист'!$M:$N,2,1)),1+(1-$AU73))</f>
        <v/>
      </c>
      <c r="DA73" s="172">
        <f>MIN(IF($AU73=100%,1,1+VLOOKUP(($AJ73-$AI73-$AH73-$AG73-$AF73-$AE73*(1+DA$3))/$AJ73,'Технический лист'!$M:$N,2,1)-VLOOKUP($AO73,'Технический лист'!$M:$N,2,1)),1+(1-$AU73))</f>
        <v/>
      </c>
      <c r="DB73" s="172">
        <f>MIN(IF($AU73=100%,1,1+VLOOKUP(($AJ73-$AI73-$AH73-$AG73-$AF73-$AE73*(1+DB$3))/$AJ73,'Технический лист'!$M:$N,2,1)-VLOOKUP($AO73,'Технический лист'!$M:$N,2,1)),1+(1-$AU73))</f>
        <v/>
      </c>
      <c r="DC73" s="172">
        <f>MIN(IF($AU73=100%,1,1+VLOOKUP(($AJ73-$AI73-$AH73-$AG73-$AF73-$AE73*(1+DC$3))/$AJ73,'Технический лист'!$M:$N,2,1)-VLOOKUP($AO73,'Технический лист'!$M:$N,2,1)),1+(1-$AU73))</f>
        <v/>
      </c>
      <c r="DD73" s="172">
        <f>MIN(IF($AU73=100%,1,1+VLOOKUP(($AJ73-$AI73-$AH73-$AG73-$AF73-$AE73*(1+DD$3))/$AJ73,'Технический лист'!$M:$N,2,1)-VLOOKUP($AO73,'Технический лист'!$M:$N,2,1)),1+(1-$AU73))</f>
        <v/>
      </c>
      <c r="DE73" s="172">
        <f>MIN(IF($AU73=100%,1,1+VLOOKUP(($AJ73-$AI73-$AH73-$AG73-$AF73-$AE73*(1+DE$3))/$AJ73,'Технический лист'!$M:$N,2,1)-VLOOKUP($AO73,'Технический лист'!$M:$N,2,1)),1+(1-$AU73))</f>
        <v/>
      </c>
      <c r="DF73" s="172">
        <f>MIN(IF($AU73=100%,1,1+VLOOKUP(($AJ73-$AI73-$AH73-$AG73-$AF73-$AE73*(1+DF$3))/$AJ73,'Технический лист'!$M:$N,2,1)-VLOOKUP($AO73,'Технический лист'!$M:$N,2,1)),1+(1-$AU73))</f>
        <v/>
      </c>
      <c r="DG73" s="172">
        <f>MIN(IF($AU73=100%,1,1+VLOOKUP(($AJ73-$AI73-$AH73-$AG73-$AF73-$AE73*(1+DG$3))/$AJ73,'Технический лист'!$M:$N,2,1)-VLOOKUP($AO73,'Технический лист'!$M:$N,2,1)),1+(1-$AU73))</f>
        <v/>
      </c>
      <c r="DH73" s="172">
        <f>MIN(IF($AU73=100%,1,1+VLOOKUP(($AJ73-$AI73-$AH73-$AG73-$AF73-$AE73*(1+DH$3))/$AJ73,'Технический лист'!$M:$N,2,1)-VLOOKUP($AO73,'Технический лист'!$M:$N,2,1)),1+(1-$AU73))</f>
        <v/>
      </c>
      <c r="DI73" s="172">
        <f>MIN(IF($AU73=100%,1,1+VLOOKUP(($AJ73-$AI73-$AH73-$AG73-$AF73-$AE73*(1+DI$3))/$AJ73,'Технический лист'!$M:$N,2,1)-VLOOKUP($AO73,'Технический лист'!$M:$N,2,1)),1+(1-$AU73))</f>
        <v/>
      </c>
      <c r="DJ73" s="172">
        <f>MIN(IF($AU73=100%,1,1+VLOOKUP(($AJ73-$AI73-$AH73-$AG73-$AF73-$AE73*(1+DJ$3))/$AJ73,'Технический лист'!$M:$N,2,1)-VLOOKUP($AO73,'Технический лист'!$M:$N,2,1)),1+(1-$AU73))</f>
        <v/>
      </c>
      <c r="DK73" s="172">
        <f>MIN(IF($AU73=100%,1,1+VLOOKUP(($AJ73-$AI73-$AH73-$AG73-$AF73-$AE73*(1+DK$3))/$AJ73,'Технический лист'!$M:$N,2,1)-VLOOKUP($AO73,'Технический лист'!$M:$N,2,1)),1+(1-$AU73))</f>
        <v/>
      </c>
      <c r="DL73" s="172">
        <f>MIN(IF($AU73=100%,1,1+VLOOKUP(($AJ73-$AI73-$AH73-$AG73-$AF73-$AE73*(1+DL$3))/$AJ73,'Технический лист'!$M:$N,2,1)-VLOOKUP($AO73,'Технический лист'!$M:$N,2,1)),1+(1-$AU73))</f>
        <v/>
      </c>
      <c r="DM73" s="172">
        <f>MIN(IF($AU73=100%,1,1+VLOOKUP(($AJ73-$AI73-$AH73-$AG73-$AF73-$AE73*(1+DM$3))/$AJ73,'Технический лист'!$M:$N,2,1)-VLOOKUP($AO73,'Технический лист'!$M:$N,2,1)),1+(1-$AU73))</f>
        <v/>
      </c>
      <c r="DN73" s="172">
        <f>MIN(IF($AU73=100%,1,1+VLOOKUP(($AJ73-$AI73-$AH73-$AG73-$AF73-$AE73*(1+DN$3))/$AJ73,'Технический лист'!$M:$N,2,1)-VLOOKUP($AO73,'Технический лист'!$M:$N,2,1)),1+(1-$AU73))</f>
        <v/>
      </c>
      <c r="DO73" s="172">
        <f>MIN(IF($AU73=100%,1,1+VLOOKUP(($AJ73-$AI73-$AH73-$AG73-$AF73-$AE73*(1+DO$3))/$AJ73,'Технический лист'!$M:$N,2,1)-VLOOKUP($AO73,'Технический лист'!$M:$N,2,1)),1+(1-$AU73))</f>
        <v/>
      </c>
      <c r="DP73" s="172">
        <f>MIN(IF($AU73=100%,1,1+VLOOKUP(($AJ73-$AI73-$AH73-$AG73-$AF73-$AE73*(1+DP$3))/$AJ73,'Технический лист'!$M:$N,2,1)-VLOOKUP($AO73,'Технический лист'!$M:$N,2,1)),1+(1-$AU73))</f>
        <v/>
      </c>
      <c r="DQ73" s="172">
        <f>MIN(IF($AU73=100%,1,1+VLOOKUP(($AJ73-$AI73-$AH73-$AG73-$AF73-$AE73*(1+DQ$3))/$AJ73,'Технический лист'!$M:$N,2,1)-VLOOKUP($AO73,'Технический лист'!$M:$N,2,1)),1+(1-$AU73))</f>
        <v/>
      </c>
      <c r="DR73" s="172">
        <f>MIN(IF($AU73=100%,1,1+VLOOKUP(($AJ73-$AI73-$AH73-$AG73-$AF73-$AE73*(1+DR$3))/$AJ73,'Технический лист'!$M:$N,2,1)-VLOOKUP($AO73,'Технический лист'!$M:$N,2,1)),1+(1-$AU73))</f>
        <v/>
      </c>
      <c r="DS73" s="172">
        <f>MIN(IF($AU73=100%,1,1+VLOOKUP(($AJ73-$AI73-$AH73-$AG73-$AF73-$AE73*(1+DS$3))/$AJ73,'Технический лист'!$M:$N,2,1)-VLOOKUP($AO73,'Технический лист'!$M:$N,2,1)),1+(1-$AU73))</f>
        <v/>
      </c>
      <c r="DT73" s="172">
        <f>MIN(IF($AU73=100%,1,1+VLOOKUP(($AJ73-$AI73-$AH73-$AG73-$AF73-$AE73*(1+DT$3))/$AJ73,'Технический лист'!$M:$N,2,1)-VLOOKUP($AO73,'Технический лист'!$M:$N,2,1)),1+(1-$AU73))</f>
        <v/>
      </c>
      <c r="DU73" s="172">
        <f>MIN(IF($AU73=100%,1,1+VLOOKUP(($AJ73-$AI73-$AH73-$AG73-$AF73-$AE73*(1+DU$3))/$AJ73,'Технический лист'!$M:$N,2,1)-VLOOKUP($AO73,'Технический лист'!$M:$N,2,1)),1+(1-$AU73))</f>
        <v/>
      </c>
      <c r="DV73" s="172">
        <f>MIN(IF($AU73=100%,1,1+VLOOKUP(($AJ73-$AI73-$AH73-$AG73-$AF73-$AE73*(1+DV$3))/$AJ73,'Технический лист'!$M:$N,2,1)-VLOOKUP($AO73,'Технический лист'!$M:$N,2,1)),1+(1-$AU73))</f>
        <v/>
      </c>
      <c r="DW73" s="172">
        <f>MIN(IF($AU73=100%,1,1+VLOOKUP(($AJ73-$AI73-$AH73-$AG73-$AF73-$AE73*(1+DW$3))/$AJ73,'Технический лист'!$M:$N,2,1)-VLOOKUP($AO73,'Технический лист'!$M:$N,2,1)),1+(1-$AU73))</f>
        <v/>
      </c>
      <c r="DX73" s="172">
        <f>MIN(IF($AU73=100%,1,1+VLOOKUP(($AJ73-$AI73-$AH73-$AG73-$AF73-$AE73*(1+DX$3))/$AJ73,'Технический лист'!$M:$N,2,1)-VLOOKUP($AO73,'Технический лист'!$M:$N,2,1)),1+(1-$AU73))</f>
        <v/>
      </c>
      <c r="DY73" s="172">
        <f>MIN(IF($AU73=100%,1,1+VLOOKUP(($AJ73-$AI73-$AH73-$AG73-$AF73-$AE73*(1+DY$3))/$AJ73,'Технический лист'!$M:$N,2,1)-VLOOKUP($AO73,'Технический лист'!$M:$N,2,1)),1+(1-$AU73))</f>
        <v/>
      </c>
      <c r="DZ73" s="172">
        <f>MIN(IF($AU73=100%,1,1+VLOOKUP(($AJ73-$AI73-$AH73-$AG73-$AF73-$AE73*(1+DZ$3))/$AJ73,'Технический лист'!$M:$N,2,1)-VLOOKUP($AO73,'Технический лист'!$M:$N,2,1)),1+(1-$AU73))</f>
        <v/>
      </c>
      <c r="EA73" s="172">
        <f>MIN(IF($AU73=100%,1,1+VLOOKUP(($AJ73-$AI73-$AH73-$AG73-$AF73-$AE73*(1+EA$3))/$AJ73,'Технический лист'!$M:$N,2,1)-VLOOKUP($AO73,'Технический лист'!$M:$N,2,1)),1+(1-$AU73))</f>
        <v/>
      </c>
      <c r="EB73" s="172">
        <f>MIN(IF($AU73=100%,1,1+VLOOKUP(($AJ73-$AI73-$AH73-$AG73-$AF73-$AE73*(1+EB$3))/$AJ73,'Технический лист'!$M:$N,2,1)-VLOOKUP($AO73,'Технический лист'!$M:$N,2,1)),1+(1-$AU73))</f>
        <v/>
      </c>
      <c r="EC73" s="172">
        <f>MIN(IF($AU73=100%,1,1+VLOOKUP(($AJ73-$AI73-$AH73-$AG73-$AF73-$AE73*(1+EC$3))/$AJ73,'Технический лист'!$M:$N,2,1)-VLOOKUP($AO73,'Технический лист'!$M:$N,2,1)),1+(1-$AU73))</f>
        <v/>
      </c>
      <c r="ED73" s="172">
        <f>MIN(IF($AU73=100%,1,1+VLOOKUP(($AJ73-$AI73-$AH73-$AG73-$AF73-$AE73*(1+ED$3))/$AJ73,'Технический лист'!$M:$N,2,1)-VLOOKUP($AO73,'Технический лист'!$M:$N,2,1)),1+(1-$AU73))</f>
        <v/>
      </c>
      <c r="EE73" s="172">
        <f>MIN(IF($AU73=100%,1,1+VLOOKUP(($AJ73-$AI73-$AH73-$AG73-$AF73-$AE73*(1+EE$3))/$AJ73,'Технический лист'!$M:$N,2,1)-VLOOKUP($AO73,'Технический лист'!$M:$N,2,1)),1+(1-$AU73))</f>
        <v/>
      </c>
      <c r="EF73" s="172">
        <f>MIN(IF($AU73=100%,1,1+VLOOKUP(($AJ73-$AI73-$AH73-$AG73-$AF73-$AE73*(1+EF$3))/$AJ73,'Технический лист'!$M:$N,2,1)-VLOOKUP($AO73,'Технический лист'!$M:$N,2,1)),1+(1-$AU73))</f>
        <v/>
      </c>
      <c r="EG73" s="172">
        <f>MIN(IF($AU73=100%,1,1+VLOOKUP(($AJ73-$AI73-$AH73-$AG73-$AF73-$AE73*(1+EG$3))/$AJ73,'Технический лист'!$M:$N,2,1)-VLOOKUP($AO73,'Технический лист'!$M:$N,2,1)),1+(1-$AU73))</f>
        <v/>
      </c>
      <c r="EH73" s="172">
        <f>MIN(IF($AU73=100%,1,1+VLOOKUP(($AJ73-$AI73-$AH73-$AG73-$AF73-$AE73*(1+EH$3))/$AJ73,'Технический лист'!$M:$N,2,1)-VLOOKUP($AO73,'Технический лист'!$M:$N,2,1)),1+(1-$AU73))</f>
        <v/>
      </c>
      <c r="EI73" s="172">
        <f>MIN(IF($AU73=100%,1,1+VLOOKUP(($AJ73-$AI73-$AH73-$AG73-$AF73-$AE73*(1+EI$3))/$AJ73,'Технический лист'!$M:$N,2,1)-VLOOKUP($AO73,'Технический лист'!$M:$N,2,1)),1+(1-$AU73))</f>
        <v/>
      </c>
      <c r="EJ73" s="172">
        <f>MIN(IF($AU73=100%,1,1+VLOOKUP(($AJ73-$AI73-$AH73-$AG73-$AF73-$AE73*(1+EJ$3))/$AJ73,'Технический лист'!$M:$N,2,1)-VLOOKUP($AO73,'Технический лист'!$M:$N,2,1)),1+(1-$AU73))</f>
        <v/>
      </c>
      <c r="EK73" s="172">
        <f>MIN(IF($AU73=100%,1,1+VLOOKUP(($AJ73-$AI73-$AH73-$AG73-$AF73-$AE73*(1+EK$3))/$AJ73,'Технический лист'!$M:$N,2,1)-VLOOKUP($AO73,'Технический лист'!$M:$N,2,1)),1+(1-$AU73))</f>
        <v/>
      </c>
      <c r="EL73" s="172">
        <f>MIN(IF($AU73=100%,1,1+VLOOKUP(($AJ73-$AI73-$AH73-$AG73-$AF73-$AE73*(1+EL$3))/$AJ73,'Технический лист'!$M:$N,2,1)-VLOOKUP($AO73,'Технический лист'!$M:$N,2,1)),1+(1-$AU73))</f>
        <v/>
      </c>
      <c r="EM73" s="172">
        <f>MIN(IF($AU73=100%,1,1+VLOOKUP(($AJ73-$AI73-$AH73-$AG73-$AF73-$AE73*(1+EM$3))/$AJ73,'Технический лист'!$M:$N,2,1)-VLOOKUP($AO73,'Технический лист'!$M:$N,2,1)),1+(1-$AU73))</f>
        <v/>
      </c>
      <c r="EN73" s="172">
        <f>MIN(IF($AU73=100%,1,1+VLOOKUP(($AJ73-$AI73-$AH73-$AG73-$AF73-$AE73*(1+EN$3))/$AJ73,'Технический лист'!$M:$N,2,1)-VLOOKUP($AO73,'Технический лист'!$M:$N,2,1)),1+(1-$AU73))</f>
        <v/>
      </c>
      <c r="EO73" s="172">
        <f>MIN(IF($AU73=100%,1,1+VLOOKUP(($AJ73-$AI73-$AH73-$AG73-$AF73-$AE73*(1+EO$3))/$AJ73,'Технический лист'!$M:$N,2,1)-VLOOKUP($AO73,'Технический лист'!$M:$N,2,1)),1+(1-$AU73))</f>
        <v/>
      </c>
      <c r="EP73" s="172">
        <f>MIN(IF($AU73=100%,1,1+VLOOKUP(($AJ73-$AI73-$AH73-$AG73-$AF73-$AE73*(1+EP$3))/$AJ73,'Технический лист'!$M:$N,2,1)-VLOOKUP($AO73,'Технический лист'!$M:$N,2,1)),1+(1-$AU73))</f>
        <v/>
      </c>
      <c r="EQ73" s="172">
        <f>MIN(IF($AU73=100%,1,1+VLOOKUP(($AJ73-$AI73-$AH73-$AG73-$AF73-$AE73*(1+EQ$3))/$AJ73,'Технический лист'!$M:$N,2,1)-VLOOKUP($AO73,'Технический лист'!$M:$N,2,1)),1+(1-$AU73))</f>
        <v/>
      </c>
      <c r="ER73" s="172">
        <f>MIN(IF($AU73=100%,1,1+VLOOKUP(($AJ73-$AI73-$AH73-$AG73-$AF73-$AE73*(1+ER$3))/$AJ73,'Технический лист'!$M:$N,2,1)-VLOOKUP($AO73,'Технический лист'!$M:$N,2,1)),1+(1-$AU73))</f>
        <v/>
      </c>
      <c r="ES73" s="172">
        <f>MIN(IF($AU73=100%,1,1+VLOOKUP(($AJ73-$AI73-$AH73-$AG73-$AF73-$AE73*(1+ES$3))/$AJ73,'Технический лист'!$M:$N,2,1)-VLOOKUP($AO73,'Технический лист'!$M:$N,2,1)),1+(1-$AU73))</f>
        <v/>
      </c>
      <c r="ET73" s="172">
        <f>MIN(IF($AU73=100%,1,1+VLOOKUP(($AJ73-$AI73-$AH73-$AG73-$AF73-$AE73*(1+ET$3))/$AJ73,'Технический лист'!$M:$N,2,1)-VLOOKUP($AO73,'Технический лист'!$M:$N,2,1)),1+(1-$AU73))</f>
        <v/>
      </c>
      <c r="EU73" s="172">
        <f>MIN(IF($AU73=100%,1,1+VLOOKUP(($AJ73-$AI73-$AH73-$AG73-$AF73-$AE73*(1+EU$3))/$AJ73,'Технический лист'!$M:$N,2,1)-VLOOKUP($AO73,'Технический лист'!$M:$N,2,1)),1+(1-$AU73))</f>
        <v/>
      </c>
      <c r="EV73" s="173" t="n">
        <v>1</v>
      </c>
      <c r="EW73" s="172">
        <f>MIN(1,MAX(VLOOKUP(($AJ73-$AI73-$AH73-$AG73-$AF73-$AE73*(1+EW$3))/$AJ73,'Технический лист'!$M:$N,2,1),(EV73-0.05)))</f>
        <v/>
      </c>
      <c r="EX73" s="172">
        <f>MIN(1,MAX(VLOOKUP(($AJ73-$AI73-$AH73-$AG73-$AF73-$AE73*(1+EX$3))/$AJ73,'Технический лист'!$M:$N,2,1),(EW73-0.05)))</f>
        <v/>
      </c>
      <c r="EY73" s="172">
        <f>MIN(1,MAX(VLOOKUP(($AJ73-$AI73-$AH73-$AG73-$AF73-$AE73*(1+EY$3))/$AJ73,'Технический лист'!$M:$N,2,1),(EX73-0.05)))</f>
        <v/>
      </c>
      <c r="EZ73" s="172">
        <f>MIN(1,MAX(VLOOKUP(($AJ73-$AI73-$AH73-$AG73-$AF73-$AE73*(1+EZ$3))/$AJ73,'Технический лист'!$M:$N,2,1),(EY73-0.05)))</f>
        <v/>
      </c>
      <c r="FA73" s="172">
        <f>MIN(1,MAX(VLOOKUP(($AJ73-$AI73-$AH73-$AG73-$AF73-$AE73*(1+FA$3))/$AJ73,'Технический лист'!$M:$N,2,1),(EZ73-0.05)))</f>
        <v/>
      </c>
      <c r="FB73" s="172">
        <f>MIN(1,MAX(VLOOKUP(($AJ73-$AI73-$AH73-$AG73-$AF73-$AE73*(1+FB$3))/$AJ73,'Технический лист'!$M:$N,2,1),(FA73-0.05)))</f>
        <v/>
      </c>
      <c r="FC73" s="172">
        <f>MIN(1,MAX(VLOOKUP(($AJ73-$AI73-$AH73-$AG73-$AF73-$AE73*(1+FC$3))/$AJ73,'Технический лист'!$M:$N,2,1),(FB73-0.05)))</f>
        <v/>
      </c>
      <c r="FD73" s="172">
        <f>MIN(1,MAX(VLOOKUP(($AJ73-$AI73-$AH73-$AG73-$AF73-$AE73*(1+FD$3))/$AJ73,'Технический лист'!$M:$N,2,1),(FC73-0.05)))</f>
        <v/>
      </c>
      <c r="FE73" s="172">
        <f>MIN(1,MAX(VLOOKUP(($AJ73-$AI73-$AH73-$AG73-$AF73-$AE73*(1+FE$3))/$AJ73,'Технический лист'!$M:$N,2,1),(FD73-0.05)))</f>
        <v/>
      </c>
      <c r="FF73" s="172">
        <f>MIN(1,MAX(VLOOKUP(($AJ73-$AI73-$AH73-$AG73-$AF73-$AE73*(1+FF$3))/$AJ73,'Технический лист'!$M:$N,2,1),(FE73-0.05)))</f>
        <v/>
      </c>
      <c r="FG73" s="172">
        <f>MIN(1,MAX(VLOOKUP(($AJ73-$AI73-$AH73-$AG73-$AF73-$AE73*(1+FG$3))/$AJ73,'Технический лист'!$M:$N,2,1),(FF73-0.05)))</f>
        <v/>
      </c>
      <c r="FH73" s="172">
        <f>MIN(1,MAX(VLOOKUP(($AJ73-$AI73-$AH73-$AG73-$AF73-$AE73*(1+FH$3))/$AJ73,'Технический лист'!$M:$N,2,1),(FG73-0.05)))</f>
        <v/>
      </c>
      <c r="FI73" s="172">
        <f>MIN(1,MAX(VLOOKUP(($AJ73-$AI73-$AH73-$AG73-$AF73-$AE73*(1+FI$3))/$AJ73,'Технический лист'!$M:$N,2,1),(FH73-0.05)))</f>
        <v/>
      </c>
      <c r="FJ73" s="172">
        <f>MIN(1,MAX(VLOOKUP(($AJ73-$AI73-$AH73-$AG73-$AF73-$AE73*(1+FJ$3))/$AJ73,'Технический лист'!$M:$N,2,1),(FI73-0.05)))</f>
        <v/>
      </c>
      <c r="FK73" s="172">
        <f>MIN(1,MAX(VLOOKUP(($AJ73-$AI73-$AH73-$AG73-$AF73-$AE73*(1+FK$3))/$AJ73,'Технический лист'!$M:$N,2,1),(FJ73-0.05)))</f>
        <v/>
      </c>
      <c r="FL73" s="172">
        <f>MIN(1,MAX(VLOOKUP(($AJ73-$AI73-$AH73-$AG73-$AF73-$AE73*(1+FL$3))/$AJ73,'Технический лист'!$M:$N,2,1),(FK73-0.05)))</f>
        <v/>
      </c>
      <c r="FM73" s="172">
        <f>MIN(1,MAX(VLOOKUP(($AJ73-$AI73-$AH73-$AG73-$AF73-$AE73*(1+FM$3))/$AJ73,'Технический лист'!$M:$N,2,1),(FL73-0.05)))</f>
        <v/>
      </c>
      <c r="FN73" s="172">
        <f>MIN(1,MAX(VLOOKUP(($AJ73-$AI73-$AH73-$AG73-$AF73-$AE73*(1+FN$3))/$AJ73,'Технический лист'!$M:$N,2,1),(FM73-0.05)))</f>
        <v/>
      </c>
      <c r="FO73" s="172">
        <f>MIN(1,MAX(VLOOKUP(($AJ73-$AI73-$AH73-$AG73-$AF73-$AE73*(1+FO$3))/$AJ73,'Технический лист'!$M:$N,2,1),(FN73-0.05)))</f>
        <v/>
      </c>
      <c r="FP73" s="172">
        <f>MIN(1,MAX(VLOOKUP(($AJ73-$AI73-$AH73-$AG73-$AF73-$AE73*(1+FP$3))/$AJ73,'Технический лист'!$M:$N,2,1),(FO73-0.05)))</f>
        <v/>
      </c>
      <c r="FQ73" s="172">
        <f>MIN(1,MAX(VLOOKUP(($AJ73-$AI73-$AH73-$AG73-$AF73-$AE73*(1+FQ$3))/$AJ73,'Технический лист'!$M:$N,2,1),(FP73-0.05)))</f>
        <v/>
      </c>
      <c r="FR73" s="172">
        <f>MIN(1,MAX(VLOOKUP(($AJ73-$AI73-$AH73-$AG73-$AF73-$AE73*(1+FR$3))/$AJ73,'Технический лист'!$M:$N,2,1),(FQ73-0.05)))</f>
        <v/>
      </c>
      <c r="FS73" s="172">
        <f>MIN(1,MAX(VLOOKUP(($AJ73-$AI73-$AH73-$AG73-$AF73-$AE73*(1+FS$3))/$AJ73,'Технический лист'!$M:$N,2,1),(FR73-0.05)))</f>
        <v/>
      </c>
      <c r="FT73" s="172">
        <f>MIN(1,MAX(VLOOKUP(($AJ73-$AI73-$AH73-$AG73-$AF73-$AE73*(1+FT$3))/$AJ73,'Технический лист'!$M:$N,2,1),(FS73-0.05)))</f>
        <v/>
      </c>
      <c r="FU73" s="172">
        <f>MIN(1,MAX(VLOOKUP(($AJ73-$AI73-$AH73-$AG73-$AF73-$AE73*(1+FU$3))/$AJ73,'Технический лист'!$M:$N,2,1),(FT73-0.05)))</f>
        <v/>
      </c>
      <c r="FV73" s="172">
        <f>MIN(1,MAX(VLOOKUP(($AJ73-$AI73-$AH73-$AG73-$AF73-$AE73*(1+FV$3))/$AJ73,'Технический лист'!$M:$N,2,1),(FU73-0.05)))</f>
        <v/>
      </c>
      <c r="FW73" s="172">
        <f>MIN(1,MAX(VLOOKUP(($AJ73-$AI73-$AH73-$AG73-$AF73-$AE73*(1+FW$3))/$AJ73,'Технический лист'!$M:$N,2,1),(FV73-0.05)))</f>
        <v/>
      </c>
      <c r="FX73" s="172">
        <f>MIN(1,MAX(VLOOKUP(($AJ73-$AI73-$AH73-$AG73-$AF73-$AE73*(1+FX$3))/$AJ73,'Технический лист'!$M:$N,2,1),(FW73-0.05)))</f>
        <v/>
      </c>
      <c r="FY73" s="172">
        <f>MIN(1,MAX(VLOOKUP(($AJ73-$AI73-$AH73-$AG73-$AF73-$AE73*(1+FY$3))/$AJ73,'Технический лист'!$M:$N,2,1),(FX73-0.05)))</f>
        <v/>
      </c>
      <c r="FZ73" s="172">
        <f>MIN(1,MAX(VLOOKUP(($AJ73-$AI73-$AH73-$AG73-$AF73-$AE73*(1+FZ$3))/$AJ73,'Технический лист'!$M:$N,2,1),(FY73-0.05)))</f>
        <v/>
      </c>
      <c r="GA73" s="172">
        <f>MIN(1,MAX(VLOOKUP(($AJ73-$AI73-$AH73-$AG73-$AF73-$AE73*(1+GA$3))/$AJ73,'Технический лист'!$M:$N,2,1),(FZ73-0.05)))</f>
        <v/>
      </c>
      <c r="GB73" s="172">
        <f>MIN(1,MAX(VLOOKUP(($AJ73-$AI73-$AH73-$AG73-$AF73-$AE73*(1+GB$3))/$AJ73,'Технический лист'!$M:$N,2,1),(GA73-0.05)))</f>
        <v/>
      </c>
      <c r="GC73" s="172">
        <f>MIN(1,MAX(VLOOKUP(($AJ73-$AI73-$AH73-$AG73-$AF73-$AE73*(1+GC$3))/$AJ73,'Технический лист'!$M:$N,2,1),(GB73-0.05)))</f>
        <v/>
      </c>
      <c r="GD73" s="172">
        <f>MIN(1,MAX(VLOOKUP(($AJ73-$AI73-$AH73-$AG73-$AF73-$AE73*(1+GD$3))/$AJ73,'Технический лист'!$M:$N,2,1),(GC73-0.05)))</f>
        <v/>
      </c>
      <c r="GE73" s="172">
        <f>MIN(1,MAX(VLOOKUP(($AJ73-$AI73-$AH73-$AG73-$AF73-$AE73*(1+GE$3))/$AJ73,'Технический лист'!$M:$N,2,1),(GD73-0.05)))</f>
        <v/>
      </c>
      <c r="GF73" s="172">
        <f>MIN(1,MAX(VLOOKUP(($AJ73-$AI73-$AH73-$AG73-$AF73-$AE73*(1+GF$3))/$AJ73,'Технический лист'!$M:$N,2,1),(GE73-0.05)))</f>
        <v/>
      </c>
      <c r="GG73" s="172">
        <f>MIN(1,MAX(VLOOKUP(($AJ73-$AI73-$AH73-$AG73-$AF73-$AE73*(1+GG$3))/$AJ73,'Технический лист'!$M:$N,2,1),(GF73-0.05)))</f>
        <v/>
      </c>
      <c r="GH73" s="172">
        <f>MIN(1,MAX(VLOOKUP(($AJ73-$AI73-$AH73-$AG73-$AF73-$AE73*(1+GH$3))/$AJ73,'Технический лист'!$M:$N,2,1),(GG73-0.05)))</f>
        <v/>
      </c>
      <c r="GI73" s="172">
        <f>MIN(1,MAX(VLOOKUP(($AJ73-$AI73-$AH73-$AG73-$AF73-$AE73*(1+GI$3))/$AJ73,'Технический лист'!$M:$N,2,1),(GH73-0.05)))</f>
        <v/>
      </c>
      <c r="GJ73" s="172">
        <f>MIN(1,MAX(VLOOKUP(($AJ73-$AI73-$AH73-$AG73-$AF73-$AE73*(1+GJ$3))/$AJ73,'Технический лист'!$M:$N,2,1),(GI73-0.05)))</f>
        <v/>
      </c>
      <c r="GK73" s="172">
        <f>MIN(1,MAX(VLOOKUP(($AJ73-$AI73-$AH73-$AG73-$AF73-$AE73*(1+GK$3))/$AJ73,'Технический лист'!$M:$N,2,1),(GJ73-0.05)))</f>
        <v/>
      </c>
      <c r="GL73" s="172">
        <f>MIN(1,MAX(VLOOKUP(($AJ73-$AI73-$AH73-$AG73-$AF73-$AE73*(1+GL$3))/$AJ73,'Технический лист'!$M:$N,2,1),(GK73-0.05)))</f>
        <v/>
      </c>
      <c r="GM73" s="172">
        <f>MIN(1,MAX(VLOOKUP(($AJ73-$AI73-$AH73-$AG73-$AF73-$AE73*(1+GM$3))/$AJ73,'Технический лист'!$M:$N,2,1),(GL73-0.05)))</f>
        <v/>
      </c>
      <c r="GN73" s="172">
        <f>MIN(1,MAX(VLOOKUP(($AJ73-$AI73-$AH73-$AG73-$AF73-$AE73*(1+GN$3))/$AJ73,'Технический лист'!$M:$N,2,1),(GM73-0.05)))</f>
        <v/>
      </c>
      <c r="GO73" s="172">
        <f>MIN(1,MAX(VLOOKUP(($AJ73-$AI73-$AH73-$AG73-$AF73-$AE73*(1+GO$3))/$AJ73,'Технический лист'!$M:$N,2,1),(GN73-0.05)))</f>
        <v/>
      </c>
      <c r="GP73" s="172">
        <f>MIN(1,MAX(VLOOKUP(($AJ73-$AI73-$AH73-$AG73-$AF73-$AE73*(1+GP$3))/$AJ73,'Технический лист'!$M:$N,2,1),(GO73-0.05)))</f>
        <v/>
      </c>
      <c r="GQ73" s="172">
        <f>MIN(1,MAX(VLOOKUP(($AJ73-$AI73-$AH73-$AG73-$AF73-$AE73*(1+GQ$3))/$AJ73,'Технический лист'!$M:$N,2,1),(GP73-0.05)))</f>
        <v/>
      </c>
      <c r="GR73" s="172">
        <f>MIN(1,MAX(VLOOKUP(($AJ73-$AI73-$AH73-$AG73-$AF73-$AE73*(1+GR$3))/$AJ73,'Технический лист'!$M:$N,2,1),(GQ73-0.05)))</f>
        <v/>
      </c>
      <c r="GS73" s="172">
        <f>MIN(1,MAX(VLOOKUP(($AJ73-$AI73-$AH73-$AG73-$AF73-$AE73*(1+GS$3))/$AJ73,'Технический лист'!$M:$N,2,1),(GR73-0.05)))</f>
        <v/>
      </c>
      <c r="GT73" s="172">
        <f>MIN(1,MAX(VLOOKUP(($AJ73-$AI73-$AH73-$AG73-$AF73-$AE73*(1+GT$3))/$AJ73,'Технический лист'!$M:$N,2,1),(GS73-0.05)))</f>
        <v/>
      </c>
      <c r="GU73" s="172">
        <f>MIN(1,MAX(VLOOKUP(($AJ73-$AI73-$AH73-$AG73-$AF73-$AE73*(1+GU$3))/$AJ73,'Технический лист'!$M:$N,2,1),(GT73-0.05)))</f>
        <v/>
      </c>
      <c r="GV73" s="172">
        <f>MIN(1,MAX(VLOOKUP(($AJ73-$AI73-$AH73-$AG73-$AF73-$AE73*(1+GV$3))/$AJ73,'Технический лист'!$M:$N,2,1),(GU73-0.05)))</f>
        <v/>
      </c>
      <c r="GW73" s="172">
        <f>MIN(1,MAX(VLOOKUP(($AJ73-$AI73-$AH73-$AG73-$AF73-$AE73*(1+GW$3))/$AJ73,'Технический лист'!$M:$N,2,1),(GV73-0.05)))</f>
        <v/>
      </c>
      <c r="GX73" s="172">
        <f>MIN(1,MAX(VLOOKUP(($AJ73-$AI73-$AH73-$AG73-$AF73-$AE73*(1+GX$3))/$AJ73,'Технический лист'!$M:$N,2,1),(GW73-0.05)))</f>
        <v/>
      </c>
      <c r="GY73" s="172">
        <f>MIN(1,MAX(VLOOKUP(($AJ73-$AI73-$AH73-$AG73-$AF73-$AE73*(1+GY$3))/$AJ73,'Технический лист'!$M:$N,2,1),(GX73-0.05)))</f>
        <v/>
      </c>
      <c r="GZ73" s="172">
        <f>MIN(1,MAX(VLOOKUP(($AJ73-$AI73-$AH73-$AG73-$AF73-$AE73*(1+GZ$3))/$AJ73,'Технический лист'!$M:$N,2,1),(GY73-0.05)))</f>
        <v/>
      </c>
      <c r="HA73" s="172">
        <f>MIN(1,MAX(VLOOKUP(($AJ73-$AI73-$AH73-$AG73-$AF73-$AE73*(1+HA$3))/$AJ73,'Технический лист'!$M:$N,2,1),(GZ73-0.05)))</f>
        <v/>
      </c>
      <c r="HB73" s="172">
        <f>MIN(1,MAX(VLOOKUP(($AJ73-$AI73-$AH73-$AG73-$AF73-$AE73*(1+HB$3))/$AJ73,'Технический лист'!$M:$N,2,1),(HA73-0.05)))</f>
        <v/>
      </c>
      <c r="HC73" s="172">
        <f>MIN(1,MAX(VLOOKUP(($AJ73-$AI73-$AH73-$AG73-$AF73-$AE73*(1+HC$3))/$AJ73,'Технический лист'!$M:$N,2,1),(HB73-0.05)))</f>
        <v/>
      </c>
      <c r="HD73" s="172">
        <f>MIN(1,MAX(VLOOKUP(($AJ73-$AI73-$AH73-$AG73-$AF73-$AE73*(1+HD$3))/$AJ73,'Технический лист'!$M:$N,2,1),(HC73-0.05)))</f>
        <v/>
      </c>
      <c r="HE73" s="172">
        <f>MIN(1,MAX(VLOOKUP(($AJ73-$AI73-$AH73-$AG73-$AF73-$AE73*(1+HE$3))/$AJ73,'Технический лист'!$M:$N,2,1),(HD73-0.05)))</f>
        <v/>
      </c>
      <c r="HF73" s="172">
        <f>MIN(1,MAX(VLOOKUP(($AJ73-$AI73-$AH73-$AG73-$AF73-$AE73*(1+HF$3))/$AJ73,'Технический лист'!$M:$N,2,1),(HE73-0.05)))</f>
        <v/>
      </c>
      <c r="HG73" s="172">
        <f>MIN(1,MAX(VLOOKUP(($AJ73-$AI73-$AH73-$AG73-$AF73-$AE73*(1+HG$3))/$AJ73,'Технический лист'!$M:$N,2,1),(HF73-0.05)))</f>
        <v/>
      </c>
      <c r="HH73" s="172">
        <f>MIN(1,MAX(VLOOKUP(($AJ73-$AI73-$AH73-$AG73-$AF73-$AE73*(1+HH$3))/$AJ73,'Технический лист'!$M:$N,2,1),(HG73-0.05)))</f>
        <v/>
      </c>
      <c r="HI73" s="172">
        <f>MIN(1,MAX(VLOOKUP(($AJ73-$AI73-$AH73-$AG73-$AF73-$AE73*(1+HI$3))/$AJ73,'Технический лист'!$M:$N,2,1),(HH73-0.05)))</f>
        <v/>
      </c>
      <c r="HJ73" s="172">
        <f>MIN(1,MAX(VLOOKUP(($AJ73-$AI73-$AH73-$AG73-$AF73-$AE73*(1+HJ$3))/$AJ73,'Технический лист'!$M:$N,2,1),(HI73-0.05)))</f>
        <v/>
      </c>
      <c r="HK73" s="172">
        <f>MIN(1,MAX(VLOOKUP(($AJ73-$AI73-$AH73-$AG73-$AF73-$AE73*(1+HK$3))/$AJ73,'Технический лист'!$M:$N,2,1),(HJ73-0.05)))</f>
        <v/>
      </c>
      <c r="HL73" s="172">
        <f>MIN(1,MAX(VLOOKUP(($AJ73-$AI73-$AH73-$AG73-$AF73-$AE73*(1+HL$3))/$AJ73,'Технический лист'!$M:$N,2,1),(HK73-0.05)))</f>
        <v/>
      </c>
      <c r="HM73" s="172">
        <f>MIN(1,MAX(VLOOKUP(($AJ73-$AI73-$AH73-$AG73-$AF73-$AE73*(1+HM$3))/$AJ73,'Технический лист'!$M:$N,2,1),(HL73-0.05)))</f>
        <v/>
      </c>
      <c r="HN73" s="172">
        <f>MIN(1,MAX(VLOOKUP(($AJ73-$AI73-$AH73-$AG73-$AF73-$AE73*(1+HN$3))/$AJ73,'Технический лист'!$M:$N,2,1),(HM73-0.05)))</f>
        <v/>
      </c>
      <c r="HO73" s="172">
        <f>MIN(1,MAX(VLOOKUP(($AJ73-$AI73-$AH73-$AG73-$AF73-$AE73*(1+HO$3))/$AJ73,'Технический лист'!$M:$N,2,1),(HN73-0.05)))</f>
        <v/>
      </c>
      <c r="HP73" s="172">
        <f>MIN(1,MAX(VLOOKUP(($AJ73-$AI73-$AH73-$AG73-$AF73-$AE73*(1+HP$3))/$AJ73,'Технический лист'!$M:$N,2,1),(HO73-0.05)))</f>
        <v/>
      </c>
      <c r="HQ73" s="172">
        <f>MIN(1,MAX(VLOOKUP(($AJ73-$AI73-$AH73-$AG73-$AF73-$AE73*(1+HQ$3))/$AJ73,'Технический лист'!$M:$N,2,1),(HP73-0.05)))</f>
        <v/>
      </c>
      <c r="HR73" s="172">
        <f>MIN(1,MAX(VLOOKUP(($AJ73-$AI73-$AH73-$AG73-$AF73-$AE73*(1+HR$3))/$AJ73,'Технический лист'!$M:$N,2,1),(HQ73-0.05)))</f>
        <v/>
      </c>
      <c r="HS73" s="172">
        <f>MIN(1,MAX(VLOOKUP(($AJ73-$AI73-$AH73-$AG73-$AF73-$AE73*(1+HS$3))/$AJ73,'Технический лист'!$M:$N,2,1),(HR73-0.05)))</f>
        <v/>
      </c>
      <c r="HT73" s="172">
        <f>MIN(1,MAX(VLOOKUP(($AJ73-$AI73-$AH73-$AG73-$AF73-$AE73*(1+HT$3))/$AJ73,'Технический лист'!$M:$N,2,1),(HS73-0.05)))</f>
        <v/>
      </c>
      <c r="HU73" s="172">
        <f>MIN(1,MAX(VLOOKUP(($AJ73-$AI73-$AH73-$AG73-$AF73-$AE73*(1+HU$3))/$AJ73,'Технический лист'!$M:$N,2,1),(HT73-0.05)))</f>
        <v/>
      </c>
      <c r="HV73" s="172">
        <f>MIN(1,MAX(VLOOKUP(($AJ73-$AI73-$AH73-$AG73-$AF73-$AE73*(1+HV$3))/$AJ73,'Технический лист'!$M:$N,2,1),(HU73-0.05)))</f>
        <v/>
      </c>
      <c r="HW73" s="172">
        <f>MIN(1,MAX(VLOOKUP(($AJ73-$AI73-$AH73-$AG73-$AF73-$AE73*(1+HW$3))/$AJ73,'Технический лист'!$M:$N,2,1),(HV73-0.05)))</f>
        <v/>
      </c>
      <c r="HX73" s="172">
        <f>MIN(1,MAX(VLOOKUP(($AJ73-$AI73-$AH73-$AG73-$AF73-$AE73*(1+HX$3))/$AJ73,'Технический лист'!$M:$N,2,1),(HW73-0.05)))</f>
        <v/>
      </c>
      <c r="HY73" s="172">
        <f>MIN(1,MAX(VLOOKUP(($AJ73-$AI73-$AH73-$AG73-$AF73-$AE73*(1+HY$3))/$AJ73,'Технический лист'!$M:$N,2,1),(HX73-0.05)))</f>
        <v/>
      </c>
      <c r="HZ73" s="172">
        <f>MIN(1,MAX(VLOOKUP(($AJ73-$AI73-$AH73-$AG73-$AF73-$AE73*(1+HZ$3))/$AJ73,'Технический лист'!$M:$N,2,1),(HY73-0.05)))</f>
        <v/>
      </c>
      <c r="IA73" s="172">
        <f>MIN(1,MAX(VLOOKUP(($AJ73-$AI73-$AH73-$AG73-$AF73-$AE73*(1+IA$3))/$AJ73,'Технический лист'!$M:$N,2,1),(HZ73-0.05)))</f>
        <v/>
      </c>
      <c r="IB73" s="172">
        <f>MIN(1,MAX(VLOOKUP(($AJ73-$AI73-$AH73-$AG73-$AF73-$AE73*(1+IB$3))/$AJ73,'Технический лист'!$M:$N,2,1),(IA73-0.05)))</f>
        <v/>
      </c>
      <c r="IC73" s="172">
        <f>MIN(1,MAX(VLOOKUP(($AJ73-$AI73-$AH73-$AG73-$AF73-$AE73*(1+IC$3))/$AJ73,'Технический лист'!$M:$N,2,1),(IB73-0.05)))</f>
        <v/>
      </c>
      <c r="ID73" s="172">
        <f>MIN(1,MAX(VLOOKUP(($AJ73-$AI73-$AH73-$AG73-$AF73-$AE73*(1+ID$3))/$AJ73,'Технический лист'!$M:$N,2,1),(IC73-0.05)))</f>
        <v/>
      </c>
      <c r="IE73" s="172">
        <f>MIN(1,MAX(VLOOKUP(($AJ73-$AI73-$AH73-$AG73-$AF73-$AE73*(1+IE$3))/$AJ73,'Технический лист'!$M:$N,2,1),(ID73-0.05)))</f>
        <v/>
      </c>
      <c r="IF73" s="172">
        <f>MIN(1,MAX(VLOOKUP(($AJ73-$AI73-$AH73-$AG73-$AF73-$AE73*(1+IF$3))/$AJ73,'Технический лист'!$M:$N,2,1),(IE73-0.05)))</f>
        <v/>
      </c>
      <c r="IG73" s="172">
        <f>MIN(1,MAX(VLOOKUP(($AJ73-$AI73-$AH73-$AG73-$AF73-$AE73*(1+IG$3))/$AJ73,'Технический лист'!$M:$N,2,1),(IF73-0.05)))</f>
        <v/>
      </c>
      <c r="IH73" s="172">
        <f>MIN(1,MAX(VLOOKUP(($AJ73-$AI73-$AH73-$AG73-$AF73-$AE73*(1+IH$3))/$AJ73,'Технический лист'!$M:$N,2,1),(IG73-0.05)))</f>
        <v/>
      </c>
      <c r="II73" s="172">
        <f>MIN(1,MAX(VLOOKUP(($AJ73-$AI73-$AH73-$AG73-$AF73-$AE73*(1+II$3))/$AJ73,'Технический лист'!$M:$N,2,1),(IH73-0.05)))</f>
        <v/>
      </c>
      <c r="IJ73" s="172">
        <f>MIN(1,MAX(VLOOKUP(($AJ73-$AI73-$AH73-$AG73-$AF73-$AE73*(1+IJ$3))/$AJ73,'Технический лист'!$M:$N,2,1),(II73-0.05)))</f>
        <v/>
      </c>
      <c r="IK73" s="172">
        <f>MIN(1,MAX(VLOOKUP(($AJ73-$AI73-$AH73-$AG73-$AF73-$AE73*(1+IK$3))/$AJ73,'Технический лист'!$M:$N,2,1),(IJ73-0.05)))</f>
        <v/>
      </c>
      <c r="IL73" s="172">
        <f>MIN(1,MAX(VLOOKUP(($AJ73-$AI73-$AH73-$AG73-$AF73-$AE73*(1+IL$3))/$AJ73,'Технический лист'!$M:$N,2,1),(IK73-0.05)))</f>
        <v/>
      </c>
      <c r="IM73" s="172">
        <f>MIN(1,MAX(VLOOKUP(($AJ73-$AI73-$AH73-$AG73-$AF73-$AE73*(1+IM$3))/$AJ73,'Технический лист'!$M:$N,2,1),(IL73-0.05)))</f>
        <v/>
      </c>
      <c r="IN73" s="172">
        <f>MIN(1,MAX(VLOOKUP(($AJ73-$AI73-$AH73-$AG73-$AF73-$AE73*(1+IN$3))/$AJ73,'Технический лист'!$M:$N,2,1),(IM73-0.05)))</f>
        <v/>
      </c>
      <c r="IO73" s="172">
        <f>MIN(1,MAX(VLOOKUP(($AJ73-$AI73-$AH73-$AG73-$AF73-$AE73*(1+IO$3))/$AJ73,'Технический лист'!$M:$N,2,1),(IN73-0.05)))</f>
        <v/>
      </c>
      <c r="IP73" s="172">
        <f>MIN(1,MAX(VLOOKUP(($AJ73-$AI73-$AH73-$AG73-$AF73-$AE73*(1+IP$3))/$AJ73,'Технический лист'!$M:$N,2,1),(IO73-0.05)))</f>
        <v/>
      </c>
      <c r="IQ73" s="172">
        <f>MIN(1,MAX(VLOOKUP(($AJ73-$AI73-$AH73-$AG73-$AF73-$AE73*(1+IQ$3))/$AJ73,'Технический лист'!$M:$N,2,1),(IP73-0.05)))</f>
        <v/>
      </c>
      <c r="IR73" s="172">
        <f>MIN(1,MAX(VLOOKUP(($AJ73-$AI73-$AH73-$AG73-$AF73-$AE73*(1+IR$3))/$AJ73,'Технический лист'!$M:$N,2,1),(IQ73-0.05)))</f>
        <v/>
      </c>
    </row>
    <row r="74" ht="29.15" customFormat="1" customHeight="1" s="6">
      <c r="A74" s="89" t="inlineStr">
        <is>
          <t>ЦМ (сырье)</t>
        </is>
      </c>
      <c r="B74" s="76" t="n">
        <v>4</v>
      </c>
      <c r="C74" s="3" t="inlineStr">
        <is>
          <t>Руды  всякие</t>
        </is>
      </c>
      <c r="D74" s="77" t="n">
        <v>15116</v>
      </c>
      <c r="E74" s="77" t="inlineStr">
        <is>
          <t xml:space="preserve">Концентрат медный </t>
        </is>
      </c>
      <c r="F74" s="77" t="inlineStr">
        <is>
          <t xml:space="preserve">Сырье цветных металлов, сырье серное </t>
        </is>
      </c>
      <c r="G74" s="77" t="inlineStr">
        <is>
          <t>ЗАБ</t>
        </is>
      </c>
      <c r="H74" s="77" t="inlineStr">
        <is>
          <t>ЗАБ</t>
        </is>
      </c>
      <c r="I74" s="77" t="inlineStr">
        <is>
          <t>БОРЗЯ</t>
        </is>
      </c>
      <c r="J74" s="77" t="inlineStr">
        <is>
          <t>ЗАБАЙКАЛ ЭК</t>
        </is>
      </c>
      <c r="K74" s="77" t="n">
        <v>119</v>
      </c>
      <c r="L74" s="77" t="inlineStr">
        <is>
          <t>Полувагоны</t>
        </is>
      </c>
      <c r="M74" s="77" t="inlineStr">
        <is>
          <t>Экспорт</t>
        </is>
      </c>
      <c r="N74" s="77" t="inlineStr">
        <is>
          <t>вагонная</t>
        </is>
      </c>
      <c r="O74" s="77" t="inlineStr">
        <is>
          <t xml:space="preserve">Восточное </t>
        </is>
      </c>
      <c r="P74" s="79" t="inlineStr">
        <is>
          <t>'000055103129</t>
        </is>
      </c>
      <c r="Q74" s="77" t="inlineStr">
        <is>
          <t>ПАО "ГМК "Норильский никель"</t>
        </is>
      </c>
      <c r="R74" s="77" t="inlineStr">
        <is>
          <t>ПАО "ГМК "Норильский никель"</t>
        </is>
      </c>
      <c r="S74" s="80" t="n">
        <v>95325</v>
      </c>
      <c r="T74" s="80" t="n">
        <v>11343649</v>
      </c>
      <c r="U74" s="88" t="n">
        <v>1386</v>
      </c>
      <c r="V74" s="88" t="n">
        <v>0</v>
      </c>
      <c r="W74" s="87" t="n">
        <v>54320072</v>
      </c>
      <c r="X74" s="112" t="n">
        <v>69</v>
      </c>
      <c r="Y74" s="112" t="inlineStr">
        <is>
          <t>маршрутная</t>
        </is>
      </c>
      <c r="Z74" s="113" t="n">
        <v>2</v>
      </c>
      <c r="AA74" s="113" t="n">
        <v>1</v>
      </c>
      <c r="AB74" s="113" t="n">
        <v>4</v>
      </c>
      <c r="AC74" s="161" t="n">
        <v>630.23</v>
      </c>
      <c r="AD74" s="161">
        <f>AE74-AC74</f>
        <v/>
      </c>
      <c r="AE74" s="161" t="n">
        <v>681.5700000000001</v>
      </c>
      <c r="AF74" s="162">
        <f>(Z74+AA74+AB74)*'Ставки аренды'!$B$3/X74</f>
        <v/>
      </c>
      <c r="AG74" s="163" t="n">
        <v>0</v>
      </c>
      <c r="AH74" s="164" t="n">
        <v>0</v>
      </c>
      <c r="AI74" s="165">
        <f>575152/1082467*AJ74</f>
        <v/>
      </c>
      <c r="AJ74" s="166">
        <f>Цены!C30*'Курсы валют'!B2</f>
        <v/>
      </c>
      <c r="AK74" s="164">
        <f>AJ74/Цены!$B$1</f>
        <v/>
      </c>
      <c r="AL74" s="164">
        <f>AE74+AF74+AG74</f>
        <v/>
      </c>
      <c r="AM74" s="164">
        <f>AJ74-AL74</f>
        <v/>
      </c>
      <c r="AN74" s="164">
        <f>AI74+AH74+AG74+AF74+AE74</f>
        <v/>
      </c>
      <c r="AO74" s="167">
        <f>(AJ74-AN74)/AJ74</f>
        <v/>
      </c>
      <c r="AP74" s="168">
        <f>AL74/AJ74</f>
        <v/>
      </c>
      <c r="AQ74" s="168">
        <f>AE74/AJ74</f>
        <v/>
      </c>
      <c r="AR74" s="168">
        <f>AE74/AL74</f>
        <v/>
      </c>
      <c r="AS74" s="169" t="n">
        <v>1</v>
      </c>
      <c r="AT74" s="121">
        <f>S74*AS74</f>
        <v/>
      </c>
      <c r="AU74" s="83" t="n">
        <v>0.9</v>
      </c>
      <c r="AV74" s="170">
        <f>(AJ74-(AE74*(1+$IS$2)+AF74+AG74+AH74+AI74))/AJ74</f>
        <v/>
      </c>
      <c r="AW74" s="171">
        <f>(AE74*(1+$IS$2)+AF74+AG74)/AJ74</f>
        <v/>
      </c>
      <c r="AX74" s="171">
        <f>(AE74*(1+$IS$2))/AJ74</f>
        <v/>
      </c>
      <c r="AY74" s="171">
        <f>(AE74*(1+$IS$2))/(AE74*(1+$IS$2)+AF74+AG74)</f>
        <v/>
      </c>
      <c r="AZ74" s="172">
        <f>MIN(IF($AU74=100%,1,1+VLOOKUP(($AJ74-$AI74-$AH74-$AG74-$AF74-$AE74*(1+AZ$3))/$AJ74,'Технический лист'!$M:$N,2,1)-VLOOKUP($AO74,'Технический лист'!$M:$N,2,1)),1+(1-$AU74))</f>
        <v/>
      </c>
      <c r="BA74" s="172">
        <f>MIN(IF($AU74=100%,1,1+VLOOKUP(($AJ74-$AI74-$AH74-$AG74-$AF74-$AE74*(1+BA$3))/$AJ74,'Технический лист'!$M:$N,2,1)-VLOOKUP($AO74,'Технический лист'!$M:$N,2,1)),1+(1-$AU74))</f>
        <v/>
      </c>
      <c r="BB74" s="172">
        <f>MIN(IF($AU74=100%,1,1+VLOOKUP(($AJ74-$AI74-$AH74-$AG74-$AF74-$AE74*(1+BB$3))/$AJ74,'Технический лист'!$M:$N,2,1)-VLOOKUP($AO74,'Технический лист'!$M:$N,2,1)),1+(1-$AU74))</f>
        <v/>
      </c>
      <c r="BC74" s="172">
        <f>MIN(IF($AU74=100%,1,1+VLOOKUP(($AJ74-$AI74-$AH74-$AG74-$AF74-$AE74*(1+BC$3))/$AJ74,'Технический лист'!$M:$N,2,1)-VLOOKUP($AO74,'Технический лист'!$M:$N,2,1)),1+(1-$AU74))</f>
        <v/>
      </c>
      <c r="BD74" s="172">
        <f>MIN(IF($AU74=100%,1,1+VLOOKUP(($AJ74-$AI74-$AH74-$AG74-$AF74-$AE74*(1+BD$3))/$AJ74,'Технический лист'!$M:$N,2,1)-VLOOKUP($AO74,'Технический лист'!$M:$N,2,1)),1+(1-$AU74))</f>
        <v/>
      </c>
      <c r="BE74" s="172">
        <f>MIN(IF($AU74=100%,1,1+VLOOKUP(($AJ74-$AI74-$AH74-$AG74-$AF74-$AE74*(1+BE$3))/$AJ74,'Технический лист'!$M:$N,2,1)-VLOOKUP($AO74,'Технический лист'!$M:$N,2,1)),1+(1-$AU74))</f>
        <v/>
      </c>
      <c r="BF74" s="172">
        <f>MIN(IF($AU74=100%,1,1+VLOOKUP(($AJ74-$AI74-$AH74-$AG74-$AF74-$AE74*(1+BF$3))/$AJ74,'Технический лист'!$M:$N,2,1)-VLOOKUP($AO74,'Технический лист'!$M:$N,2,1)),1+(1-$AU74))</f>
        <v/>
      </c>
      <c r="BG74" s="172">
        <f>MIN(IF($AU74=100%,1,1+VLOOKUP(($AJ74-$AI74-$AH74-$AG74-$AF74-$AE74*(1+BG$3))/$AJ74,'Технический лист'!$M:$N,2,1)-VLOOKUP($AO74,'Технический лист'!$M:$N,2,1)),1+(1-$AU74))</f>
        <v/>
      </c>
      <c r="BH74" s="172">
        <f>MIN(IF($AU74=100%,1,1+VLOOKUP(($AJ74-$AI74-$AH74-$AG74-$AF74-$AE74*(1+BH$3))/$AJ74,'Технический лист'!$M:$N,2,1)-VLOOKUP($AO74,'Технический лист'!$M:$N,2,1)),1+(1-$AU74))</f>
        <v/>
      </c>
      <c r="BI74" s="172">
        <f>MIN(IF($AU74=100%,1,1+VLOOKUP(($AJ74-$AI74-$AH74-$AG74-$AF74-$AE74*(1+BI$3))/$AJ74,'Технический лист'!$M:$N,2,1)-VLOOKUP($AO74,'Технический лист'!$M:$N,2,1)),1+(1-$AU74))</f>
        <v/>
      </c>
      <c r="BJ74" s="172">
        <f>MIN(IF($AU74=100%,1,1+VLOOKUP(($AJ74-$AI74-$AH74-$AG74-$AF74-$AE74*(1+BJ$3))/$AJ74,'Технический лист'!$M:$N,2,1)-VLOOKUP($AO74,'Технический лист'!$M:$N,2,1)),1+(1-$AU74))</f>
        <v/>
      </c>
      <c r="BK74" s="172">
        <f>MIN(IF($AU74=100%,1,1+VLOOKUP(($AJ74-$AI74-$AH74-$AG74-$AF74-$AE74*(1+BK$3))/$AJ74,'Технический лист'!$M:$N,2,1)-VLOOKUP($AO74,'Технический лист'!$M:$N,2,1)),1+(1-$AU74))</f>
        <v/>
      </c>
      <c r="BL74" s="172">
        <f>MIN(IF($AU74=100%,1,1+VLOOKUP(($AJ74-$AI74-$AH74-$AG74-$AF74-$AE74*(1+BL$3))/$AJ74,'Технический лист'!$M:$N,2,1)-VLOOKUP($AO74,'Технический лист'!$M:$N,2,1)),1+(1-$AU74))</f>
        <v/>
      </c>
      <c r="BM74" s="172">
        <f>MIN(IF($AU74=100%,1,1+VLOOKUP(($AJ74-$AI74-$AH74-$AG74-$AF74-$AE74*(1+BM$3))/$AJ74,'Технический лист'!$M:$N,2,1)-VLOOKUP($AO74,'Технический лист'!$M:$N,2,1)),1+(1-$AU74))</f>
        <v/>
      </c>
      <c r="BN74" s="172">
        <f>MIN(IF($AU74=100%,1,1+VLOOKUP(($AJ74-$AI74-$AH74-$AG74-$AF74-$AE74*(1+BN$3))/$AJ74,'Технический лист'!$M:$N,2,1)-VLOOKUP($AO74,'Технический лист'!$M:$N,2,1)),1+(1-$AU74))</f>
        <v/>
      </c>
      <c r="BO74" s="172">
        <f>MIN(IF($AU74=100%,1,1+VLOOKUP(($AJ74-$AI74-$AH74-$AG74-$AF74-$AE74*(1+BO$3))/$AJ74,'Технический лист'!$M:$N,2,1)-VLOOKUP($AO74,'Технический лист'!$M:$N,2,1)),1+(1-$AU74))</f>
        <v/>
      </c>
      <c r="BP74" s="172">
        <f>MIN(IF($AU74=100%,1,1+VLOOKUP(($AJ74-$AI74-$AH74-$AG74-$AF74-$AE74*(1+BP$3))/$AJ74,'Технический лист'!$M:$N,2,1)-VLOOKUP($AO74,'Технический лист'!$M:$N,2,1)),1+(1-$AU74))</f>
        <v/>
      </c>
      <c r="BQ74" s="172">
        <f>MIN(IF($AU74=100%,1,1+VLOOKUP(($AJ74-$AI74-$AH74-$AG74-$AF74-$AE74*(1+BQ$3))/$AJ74,'Технический лист'!$M:$N,2,1)-VLOOKUP($AO74,'Технический лист'!$M:$N,2,1)),1+(1-$AU74))</f>
        <v/>
      </c>
      <c r="BR74" s="172">
        <f>MIN(IF($AU74=100%,1,1+VLOOKUP(($AJ74-$AI74-$AH74-$AG74-$AF74-$AE74*(1+BR$3))/$AJ74,'Технический лист'!$M:$N,2,1)-VLOOKUP($AO74,'Технический лист'!$M:$N,2,1)),1+(1-$AU74))</f>
        <v/>
      </c>
      <c r="BS74" s="172">
        <f>MIN(IF($AU74=100%,1,1+VLOOKUP(($AJ74-$AI74-$AH74-$AG74-$AF74-$AE74*(1+BS$3))/$AJ74,'Технический лист'!$M:$N,2,1)-VLOOKUP($AO74,'Технический лист'!$M:$N,2,1)),1+(1-$AU74))</f>
        <v/>
      </c>
      <c r="BT74" s="172">
        <f>MIN(IF($AU74=100%,1,1+VLOOKUP(($AJ74-$AI74-$AH74-$AG74-$AF74-$AE74*(1+BT$3))/$AJ74,'Технический лист'!$M:$N,2,1)-VLOOKUP($AO74,'Технический лист'!$M:$N,2,1)),1+(1-$AU74))</f>
        <v/>
      </c>
      <c r="BU74" s="172">
        <f>MIN(IF($AU74=100%,1,1+VLOOKUP(($AJ74-$AI74-$AH74-$AG74-$AF74-$AE74*(1+BU$3))/$AJ74,'Технический лист'!$M:$N,2,1)-VLOOKUP($AO74,'Технический лист'!$M:$N,2,1)),1+(1-$AU74))</f>
        <v/>
      </c>
      <c r="BV74" s="172">
        <f>MIN(IF($AU74=100%,1,1+VLOOKUP(($AJ74-$AI74-$AH74-$AG74-$AF74-$AE74*(1+BV$3))/$AJ74,'Технический лист'!$M:$N,2,1)-VLOOKUP($AO74,'Технический лист'!$M:$N,2,1)),1+(1-$AU74))</f>
        <v/>
      </c>
      <c r="BW74" s="172">
        <f>MIN(IF($AU74=100%,1,1+VLOOKUP(($AJ74-$AI74-$AH74-$AG74-$AF74-$AE74*(1+BW$3))/$AJ74,'Технический лист'!$M:$N,2,1)-VLOOKUP($AO74,'Технический лист'!$M:$N,2,1)),1+(1-$AU74))</f>
        <v/>
      </c>
      <c r="BX74" s="172">
        <f>MIN(IF($AU74=100%,1,1+VLOOKUP(($AJ74-$AI74-$AH74-$AG74-$AF74-$AE74*(1+BX$3))/$AJ74,'Технический лист'!$M:$N,2,1)-VLOOKUP($AO74,'Технический лист'!$M:$N,2,1)),1+(1-$AU74))</f>
        <v/>
      </c>
      <c r="BY74" s="172">
        <f>MIN(IF($AU74=100%,1,1+VLOOKUP(($AJ74-$AI74-$AH74-$AG74-$AF74-$AE74*(1+BY$3))/$AJ74,'Технический лист'!$M:$N,2,1)-VLOOKUP($AO74,'Технический лист'!$M:$N,2,1)),1+(1-$AU74))</f>
        <v/>
      </c>
      <c r="BZ74" s="172">
        <f>MIN(IF($AU74=100%,1,1+VLOOKUP(($AJ74-$AI74-$AH74-$AG74-$AF74-$AE74*(1+BZ$3))/$AJ74,'Технический лист'!$M:$N,2,1)-VLOOKUP($AO74,'Технический лист'!$M:$N,2,1)),1+(1-$AU74))</f>
        <v/>
      </c>
      <c r="CA74" s="172">
        <f>MIN(IF($AU74=100%,1,1+VLOOKUP(($AJ74-$AI74-$AH74-$AG74-$AF74-$AE74*(1+CA$3))/$AJ74,'Технический лист'!$M:$N,2,1)-VLOOKUP($AO74,'Технический лист'!$M:$N,2,1)),1+(1-$AU74))</f>
        <v/>
      </c>
      <c r="CB74" s="172">
        <f>MIN(IF($AU74=100%,1,1+VLOOKUP(($AJ74-$AI74-$AH74-$AG74-$AF74-$AE74*(1+CB$3))/$AJ74,'Технический лист'!$M:$N,2,1)-VLOOKUP($AO74,'Технический лист'!$M:$N,2,1)),1+(1-$AU74))</f>
        <v/>
      </c>
      <c r="CC74" s="172">
        <f>MIN(IF($AU74=100%,1,1+VLOOKUP(($AJ74-$AI74-$AH74-$AG74-$AF74-$AE74*(1+CC$3))/$AJ74,'Технический лист'!$M:$N,2,1)-VLOOKUP($AO74,'Технический лист'!$M:$N,2,1)),1+(1-$AU74))</f>
        <v/>
      </c>
      <c r="CD74" s="172">
        <f>MIN(IF($AU74=100%,1,1+VLOOKUP(($AJ74-$AI74-$AH74-$AG74-$AF74-$AE74*(1+CD$3))/$AJ74,'Технический лист'!$M:$N,2,1)-VLOOKUP($AO74,'Технический лист'!$M:$N,2,1)),1+(1-$AU74))</f>
        <v/>
      </c>
      <c r="CE74" s="172">
        <f>MIN(IF($AU74=100%,1,1+VLOOKUP(($AJ74-$AI74-$AH74-$AG74-$AF74-$AE74*(1+CE$3))/$AJ74,'Технический лист'!$M:$N,2,1)-VLOOKUP($AO74,'Технический лист'!$M:$N,2,1)),1+(1-$AU74))</f>
        <v/>
      </c>
      <c r="CF74" s="172">
        <f>MIN(IF($AU74=100%,1,1+VLOOKUP(($AJ74-$AI74-$AH74-$AG74-$AF74-$AE74*(1+CF$3))/$AJ74,'Технический лист'!$M:$N,2,1)-VLOOKUP($AO74,'Технический лист'!$M:$N,2,1)),1+(1-$AU74))</f>
        <v/>
      </c>
      <c r="CG74" s="172">
        <f>MIN(IF($AU74=100%,1,1+VLOOKUP(($AJ74-$AI74-$AH74-$AG74-$AF74-$AE74*(1+CG$3))/$AJ74,'Технический лист'!$M:$N,2,1)-VLOOKUP($AO74,'Технический лист'!$M:$N,2,1)),1+(1-$AU74))</f>
        <v/>
      </c>
      <c r="CH74" s="172">
        <f>MIN(IF($AU74=100%,1,1+VLOOKUP(($AJ74-$AI74-$AH74-$AG74-$AF74-$AE74*(1+CH$3))/$AJ74,'Технический лист'!$M:$N,2,1)-VLOOKUP($AO74,'Технический лист'!$M:$N,2,1)),1+(1-$AU74))</f>
        <v/>
      </c>
      <c r="CI74" s="172">
        <f>MIN(IF($AU74=100%,1,1+VLOOKUP(($AJ74-$AI74-$AH74-$AG74-$AF74-$AE74*(1+CI$3))/$AJ74,'Технический лист'!$M:$N,2,1)-VLOOKUP($AO74,'Технический лист'!$M:$N,2,1)),1+(1-$AU74))</f>
        <v/>
      </c>
      <c r="CJ74" s="172">
        <f>MIN(IF($AU74=100%,1,1+VLOOKUP(($AJ74-$AI74-$AH74-$AG74-$AF74-$AE74*(1+CJ$3))/$AJ74,'Технический лист'!$M:$N,2,1)-VLOOKUP($AO74,'Технический лист'!$M:$N,2,1)),1+(1-$AU74))</f>
        <v/>
      </c>
      <c r="CK74" s="172">
        <f>MIN(IF($AU74=100%,1,1+VLOOKUP(($AJ74-$AI74-$AH74-$AG74-$AF74-$AE74*(1+CK$3))/$AJ74,'Технический лист'!$M:$N,2,1)-VLOOKUP($AO74,'Технический лист'!$M:$N,2,1)),1+(1-$AU74))</f>
        <v/>
      </c>
      <c r="CL74" s="172">
        <f>MIN(IF($AU74=100%,1,1+VLOOKUP(($AJ74-$AI74-$AH74-$AG74-$AF74-$AE74*(1+CL$3))/$AJ74,'Технический лист'!$M:$N,2,1)-VLOOKUP($AO74,'Технический лист'!$M:$N,2,1)),1+(1-$AU74))</f>
        <v/>
      </c>
      <c r="CM74" s="172">
        <f>MIN(IF($AU74=100%,1,1+VLOOKUP(($AJ74-$AI74-$AH74-$AG74-$AF74-$AE74*(1+CM$3))/$AJ74,'Технический лист'!$M:$N,2,1)-VLOOKUP($AO74,'Технический лист'!$M:$N,2,1)),1+(1-$AU74))</f>
        <v/>
      </c>
      <c r="CN74" s="172">
        <f>MIN(IF($AU74=100%,1,1+VLOOKUP(($AJ74-$AI74-$AH74-$AG74-$AF74-$AE74*(1+CN$3))/$AJ74,'Технический лист'!$M:$N,2,1)-VLOOKUP($AO74,'Технический лист'!$M:$N,2,1)),1+(1-$AU74))</f>
        <v/>
      </c>
      <c r="CO74" s="172">
        <f>MIN(IF($AU74=100%,1,1+VLOOKUP(($AJ74-$AI74-$AH74-$AG74-$AF74-$AE74*(1+CO$3))/$AJ74,'Технический лист'!$M:$N,2,1)-VLOOKUP($AO74,'Технический лист'!$M:$N,2,1)),1+(1-$AU74))</f>
        <v/>
      </c>
      <c r="CP74" s="172">
        <f>MIN(IF($AU74=100%,1,1+VLOOKUP(($AJ74-$AI74-$AH74-$AG74-$AF74-$AE74*(1+CP$3))/$AJ74,'Технический лист'!$M:$N,2,1)-VLOOKUP($AO74,'Технический лист'!$M:$N,2,1)),1+(1-$AU74))</f>
        <v/>
      </c>
      <c r="CQ74" s="172">
        <f>MIN(IF($AU74=100%,1,1+VLOOKUP(($AJ74-$AI74-$AH74-$AG74-$AF74-$AE74*(1+CQ$3))/$AJ74,'Технический лист'!$M:$N,2,1)-VLOOKUP($AO74,'Технический лист'!$M:$N,2,1)),1+(1-$AU74))</f>
        <v/>
      </c>
      <c r="CR74" s="172">
        <f>MIN(IF($AU74=100%,1,1+VLOOKUP(($AJ74-$AI74-$AH74-$AG74-$AF74-$AE74*(1+CR$3))/$AJ74,'Технический лист'!$M:$N,2,1)-VLOOKUP($AO74,'Технический лист'!$M:$N,2,1)),1+(1-$AU74))</f>
        <v/>
      </c>
      <c r="CS74" s="172">
        <f>MIN(IF($AU74=100%,1,1+VLOOKUP(($AJ74-$AI74-$AH74-$AG74-$AF74-$AE74*(1+CS$3))/$AJ74,'Технический лист'!$M:$N,2,1)-VLOOKUP($AO74,'Технический лист'!$M:$N,2,1)),1+(1-$AU74))</f>
        <v/>
      </c>
      <c r="CT74" s="172">
        <f>MIN(IF($AU74=100%,1,1+VLOOKUP(($AJ74-$AI74-$AH74-$AG74-$AF74-$AE74*(1+CT$3))/$AJ74,'Технический лист'!$M:$N,2,1)-VLOOKUP($AO74,'Технический лист'!$M:$N,2,1)),1+(1-$AU74))</f>
        <v/>
      </c>
      <c r="CU74" s="172">
        <f>MIN(IF($AU74=100%,1,1+VLOOKUP(($AJ74-$AI74-$AH74-$AG74-$AF74-$AE74*(1+CU$3))/$AJ74,'Технический лист'!$M:$N,2,1)-VLOOKUP($AO74,'Технический лист'!$M:$N,2,1)),1+(1-$AU74))</f>
        <v/>
      </c>
      <c r="CV74" s="172">
        <f>MIN(IF($AU74=100%,1,1+VLOOKUP(($AJ74-$AI74-$AH74-$AG74-$AF74-$AE74*(1+CV$3))/$AJ74,'Технический лист'!$M:$N,2,1)-VLOOKUP($AO74,'Технический лист'!$M:$N,2,1)),1+(1-$AU74))</f>
        <v/>
      </c>
      <c r="CW74" s="172">
        <f>MIN(IF($AU74=100%,1,1+VLOOKUP(($AJ74-$AI74-$AH74-$AG74-$AF74-$AE74*(1+CW$3))/$AJ74,'Технический лист'!$M:$N,2,1)-VLOOKUP($AO74,'Технический лист'!$M:$N,2,1)),1+(1-$AU74))</f>
        <v/>
      </c>
      <c r="CX74" s="172">
        <f>MIN(IF($AU74=100%,1,1+VLOOKUP(($AJ74-$AI74-$AH74-$AG74-$AF74-$AE74*(1+CX$3))/$AJ74,'Технический лист'!$M:$N,2,1)-VLOOKUP($AO74,'Технический лист'!$M:$N,2,1)),1+(1-$AU74))</f>
        <v/>
      </c>
      <c r="CY74" s="172">
        <f>MIN(IF($AU74=100%,1,1+VLOOKUP(($AJ74-$AI74-$AH74-$AG74-$AF74-$AE74*(1+CY$3))/$AJ74,'Технический лист'!$M:$N,2,1)-VLOOKUP($AO74,'Технический лист'!$M:$N,2,1)),1+(1-$AU74))</f>
        <v/>
      </c>
      <c r="CZ74" s="172">
        <f>MIN(IF($AU74=100%,1,1+VLOOKUP(($AJ74-$AI74-$AH74-$AG74-$AF74-$AE74*(1+CZ$3))/$AJ74,'Технический лист'!$M:$N,2,1)-VLOOKUP($AO74,'Технический лист'!$M:$N,2,1)),1+(1-$AU74))</f>
        <v/>
      </c>
      <c r="DA74" s="172">
        <f>MIN(IF($AU74=100%,1,1+VLOOKUP(($AJ74-$AI74-$AH74-$AG74-$AF74-$AE74*(1+DA$3))/$AJ74,'Технический лист'!$M:$N,2,1)-VLOOKUP($AO74,'Технический лист'!$M:$N,2,1)),1+(1-$AU74))</f>
        <v/>
      </c>
      <c r="DB74" s="172">
        <f>MIN(IF($AU74=100%,1,1+VLOOKUP(($AJ74-$AI74-$AH74-$AG74-$AF74-$AE74*(1+DB$3))/$AJ74,'Технический лист'!$M:$N,2,1)-VLOOKUP($AO74,'Технический лист'!$M:$N,2,1)),1+(1-$AU74))</f>
        <v/>
      </c>
      <c r="DC74" s="172">
        <f>MIN(IF($AU74=100%,1,1+VLOOKUP(($AJ74-$AI74-$AH74-$AG74-$AF74-$AE74*(1+DC$3))/$AJ74,'Технический лист'!$M:$N,2,1)-VLOOKUP($AO74,'Технический лист'!$M:$N,2,1)),1+(1-$AU74))</f>
        <v/>
      </c>
      <c r="DD74" s="172">
        <f>MIN(IF($AU74=100%,1,1+VLOOKUP(($AJ74-$AI74-$AH74-$AG74-$AF74-$AE74*(1+DD$3))/$AJ74,'Технический лист'!$M:$N,2,1)-VLOOKUP($AO74,'Технический лист'!$M:$N,2,1)),1+(1-$AU74))</f>
        <v/>
      </c>
      <c r="DE74" s="172">
        <f>MIN(IF($AU74=100%,1,1+VLOOKUP(($AJ74-$AI74-$AH74-$AG74-$AF74-$AE74*(1+DE$3))/$AJ74,'Технический лист'!$M:$N,2,1)-VLOOKUP($AO74,'Технический лист'!$M:$N,2,1)),1+(1-$AU74))</f>
        <v/>
      </c>
      <c r="DF74" s="172">
        <f>MIN(IF($AU74=100%,1,1+VLOOKUP(($AJ74-$AI74-$AH74-$AG74-$AF74-$AE74*(1+DF$3))/$AJ74,'Технический лист'!$M:$N,2,1)-VLOOKUP($AO74,'Технический лист'!$M:$N,2,1)),1+(1-$AU74))</f>
        <v/>
      </c>
      <c r="DG74" s="172">
        <f>MIN(IF($AU74=100%,1,1+VLOOKUP(($AJ74-$AI74-$AH74-$AG74-$AF74-$AE74*(1+DG$3))/$AJ74,'Технический лист'!$M:$N,2,1)-VLOOKUP($AO74,'Технический лист'!$M:$N,2,1)),1+(1-$AU74))</f>
        <v/>
      </c>
      <c r="DH74" s="172">
        <f>MIN(IF($AU74=100%,1,1+VLOOKUP(($AJ74-$AI74-$AH74-$AG74-$AF74-$AE74*(1+DH$3))/$AJ74,'Технический лист'!$M:$N,2,1)-VLOOKUP($AO74,'Технический лист'!$M:$N,2,1)),1+(1-$AU74))</f>
        <v/>
      </c>
      <c r="DI74" s="172">
        <f>MIN(IF($AU74=100%,1,1+VLOOKUP(($AJ74-$AI74-$AH74-$AG74-$AF74-$AE74*(1+DI$3))/$AJ74,'Технический лист'!$M:$N,2,1)-VLOOKUP($AO74,'Технический лист'!$M:$N,2,1)),1+(1-$AU74))</f>
        <v/>
      </c>
      <c r="DJ74" s="172">
        <f>MIN(IF($AU74=100%,1,1+VLOOKUP(($AJ74-$AI74-$AH74-$AG74-$AF74-$AE74*(1+DJ$3))/$AJ74,'Технический лист'!$M:$N,2,1)-VLOOKUP($AO74,'Технический лист'!$M:$N,2,1)),1+(1-$AU74))</f>
        <v/>
      </c>
      <c r="DK74" s="172">
        <f>MIN(IF($AU74=100%,1,1+VLOOKUP(($AJ74-$AI74-$AH74-$AG74-$AF74-$AE74*(1+DK$3))/$AJ74,'Технический лист'!$M:$N,2,1)-VLOOKUP($AO74,'Технический лист'!$M:$N,2,1)),1+(1-$AU74))</f>
        <v/>
      </c>
      <c r="DL74" s="172">
        <f>MIN(IF($AU74=100%,1,1+VLOOKUP(($AJ74-$AI74-$AH74-$AG74-$AF74-$AE74*(1+DL$3))/$AJ74,'Технический лист'!$M:$N,2,1)-VLOOKUP($AO74,'Технический лист'!$M:$N,2,1)),1+(1-$AU74))</f>
        <v/>
      </c>
      <c r="DM74" s="172">
        <f>MIN(IF($AU74=100%,1,1+VLOOKUP(($AJ74-$AI74-$AH74-$AG74-$AF74-$AE74*(1+DM$3))/$AJ74,'Технический лист'!$M:$N,2,1)-VLOOKUP($AO74,'Технический лист'!$M:$N,2,1)),1+(1-$AU74))</f>
        <v/>
      </c>
      <c r="DN74" s="172">
        <f>MIN(IF($AU74=100%,1,1+VLOOKUP(($AJ74-$AI74-$AH74-$AG74-$AF74-$AE74*(1+DN$3))/$AJ74,'Технический лист'!$M:$N,2,1)-VLOOKUP($AO74,'Технический лист'!$M:$N,2,1)),1+(1-$AU74))</f>
        <v/>
      </c>
      <c r="DO74" s="172">
        <f>MIN(IF($AU74=100%,1,1+VLOOKUP(($AJ74-$AI74-$AH74-$AG74-$AF74-$AE74*(1+DO$3))/$AJ74,'Технический лист'!$M:$N,2,1)-VLOOKUP($AO74,'Технический лист'!$M:$N,2,1)),1+(1-$AU74))</f>
        <v/>
      </c>
      <c r="DP74" s="172">
        <f>MIN(IF($AU74=100%,1,1+VLOOKUP(($AJ74-$AI74-$AH74-$AG74-$AF74-$AE74*(1+DP$3))/$AJ74,'Технический лист'!$M:$N,2,1)-VLOOKUP($AO74,'Технический лист'!$M:$N,2,1)),1+(1-$AU74))</f>
        <v/>
      </c>
      <c r="DQ74" s="172">
        <f>MIN(IF($AU74=100%,1,1+VLOOKUP(($AJ74-$AI74-$AH74-$AG74-$AF74-$AE74*(1+DQ$3))/$AJ74,'Технический лист'!$M:$N,2,1)-VLOOKUP($AO74,'Технический лист'!$M:$N,2,1)),1+(1-$AU74))</f>
        <v/>
      </c>
      <c r="DR74" s="172">
        <f>MIN(IF($AU74=100%,1,1+VLOOKUP(($AJ74-$AI74-$AH74-$AG74-$AF74-$AE74*(1+DR$3))/$AJ74,'Технический лист'!$M:$N,2,1)-VLOOKUP($AO74,'Технический лист'!$M:$N,2,1)),1+(1-$AU74))</f>
        <v/>
      </c>
      <c r="DS74" s="172">
        <f>MIN(IF($AU74=100%,1,1+VLOOKUP(($AJ74-$AI74-$AH74-$AG74-$AF74-$AE74*(1+DS$3))/$AJ74,'Технический лист'!$M:$N,2,1)-VLOOKUP($AO74,'Технический лист'!$M:$N,2,1)),1+(1-$AU74))</f>
        <v/>
      </c>
      <c r="DT74" s="172">
        <f>MIN(IF($AU74=100%,1,1+VLOOKUP(($AJ74-$AI74-$AH74-$AG74-$AF74-$AE74*(1+DT$3))/$AJ74,'Технический лист'!$M:$N,2,1)-VLOOKUP($AO74,'Технический лист'!$M:$N,2,1)),1+(1-$AU74))</f>
        <v/>
      </c>
      <c r="DU74" s="172">
        <f>MIN(IF($AU74=100%,1,1+VLOOKUP(($AJ74-$AI74-$AH74-$AG74-$AF74-$AE74*(1+DU$3))/$AJ74,'Технический лист'!$M:$N,2,1)-VLOOKUP($AO74,'Технический лист'!$M:$N,2,1)),1+(1-$AU74))</f>
        <v/>
      </c>
      <c r="DV74" s="172">
        <f>MIN(IF($AU74=100%,1,1+VLOOKUP(($AJ74-$AI74-$AH74-$AG74-$AF74-$AE74*(1+DV$3))/$AJ74,'Технический лист'!$M:$N,2,1)-VLOOKUP($AO74,'Технический лист'!$M:$N,2,1)),1+(1-$AU74))</f>
        <v/>
      </c>
      <c r="DW74" s="172">
        <f>MIN(IF($AU74=100%,1,1+VLOOKUP(($AJ74-$AI74-$AH74-$AG74-$AF74-$AE74*(1+DW$3))/$AJ74,'Технический лист'!$M:$N,2,1)-VLOOKUP($AO74,'Технический лист'!$M:$N,2,1)),1+(1-$AU74))</f>
        <v/>
      </c>
      <c r="DX74" s="172">
        <f>MIN(IF($AU74=100%,1,1+VLOOKUP(($AJ74-$AI74-$AH74-$AG74-$AF74-$AE74*(1+DX$3))/$AJ74,'Технический лист'!$M:$N,2,1)-VLOOKUP($AO74,'Технический лист'!$M:$N,2,1)),1+(1-$AU74))</f>
        <v/>
      </c>
      <c r="DY74" s="172">
        <f>MIN(IF($AU74=100%,1,1+VLOOKUP(($AJ74-$AI74-$AH74-$AG74-$AF74-$AE74*(1+DY$3))/$AJ74,'Технический лист'!$M:$N,2,1)-VLOOKUP($AO74,'Технический лист'!$M:$N,2,1)),1+(1-$AU74))</f>
        <v/>
      </c>
      <c r="DZ74" s="172">
        <f>MIN(IF($AU74=100%,1,1+VLOOKUP(($AJ74-$AI74-$AH74-$AG74-$AF74-$AE74*(1+DZ$3))/$AJ74,'Технический лист'!$M:$N,2,1)-VLOOKUP($AO74,'Технический лист'!$M:$N,2,1)),1+(1-$AU74))</f>
        <v/>
      </c>
      <c r="EA74" s="172">
        <f>MIN(IF($AU74=100%,1,1+VLOOKUP(($AJ74-$AI74-$AH74-$AG74-$AF74-$AE74*(1+EA$3))/$AJ74,'Технический лист'!$M:$N,2,1)-VLOOKUP($AO74,'Технический лист'!$M:$N,2,1)),1+(1-$AU74))</f>
        <v/>
      </c>
      <c r="EB74" s="172">
        <f>MIN(IF($AU74=100%,1,1+VLOOKUP(($AJ74-$AI74-$AH74-$AG74-$AF74-$AE74*(1+EB$3))/$AJ74,'Технический лист'!$M:$N,2,1)-VLOOKUP($AO74,'Технический лист'!$M:$N,2,1)),1+(1-$AU74))</f>
        <v/>
      </c>
      <c r="EC74" s="172">
        <f>MIN(IF($AU74=100%,1,1+VLOOKUP(($AJ74-$AI74-$AH74-$AG74-$AF74-$AE74*(1+EC$3))/$AJ74,'Технический лист'!$M:$N,2,1)-VLOOKUP($AO74,'Технический лист'!$M:$N,2,1)),1+(1-$AU74))</f>
        <v/>
      </c>
      <c r="ED74" s="172">
        <f>MIN(IF($AU74=100%,1,1+VLOOKUP(($AJ74-$AI74-$AH74-$AG74-$AF74-$AE74*(1+ED$3))/$AJ74,'Технический лист'!$M:$N,2,1)-VLOOKUP($AO74,'Технический лист'!$M:$N,2,1)),1+(1-$AU74))</f>
        <v/>
      </c>
      <c r="EE74" s="172">
        <f>MIN(IF($AU74=100%,1,1+VLOOKUP(($AJ74-$AI74-$AH74-$AG74-$AF74-$AE74*(1+EE$3))/$AJ74,'Технический лист'!$M:$N,2,1)-VLOOKUP($AO74,'Технический лист'!$M:$N,2,1)),1+(1-$AU74))</f>
        <v/>
      </c>
      <c r="EF74" s="172">
        <f>MIN(IF($AU74=100%,1,1+VLOOKUP(($AJ74-$AI74-$AH74-$AG74-$AF74-$AE74*(1+EF$3))/$AJ74,'Технический лист'!$M:$N,2,1)-VLOOKUP($AO74,'Технический лист'!$M:$N,2,1)),1+(1-$AU74))</f>
        <v/>
      </c>
      <c r="EG74" s="172">
        <f>MIN(IF($AU74=100%,1,1+VLOOKUP(($AJ74-$AI74-$AH74-$AG74-$AF74-$AE74*(1+EG$3))/$AJ74,'Технический лист'!$M:$N,2,1)-VLOOKUP($AO74,'Технический лист'!$M:$N,2,1)),1+(1-$AU74))</f>
        <v/>
      </c>
      <c r="EH74" s="172">
        <f>MIN(IF($AU74=100%,1,1+VLOOKUP(($AJ74-$AI74-$AH74-$AG74-$AF74-$AE74*(1+EH$3))/$AJ74,'Технический лист'!$M:$N,2,1)-VLOOKUP($AO74,'Технический лист'!$M:$N,2,1)),1+(1-$AU74))</f>
        <v/>
      </c>
      <c r="EI74" s="172">
        <f>MIN(IF($AU74=100%,1,1+VLOOKUP(($AJ74-$AI74-$AH74-$AG74-$AF74-$AE74*(1+EI$3))/$AJ74,'Технический лист'!$M:$N,2,1)-VLOOKUP($AO74,'Технический лист'!$M:$N,2,1)),1+(1-$AU74))</f>
        <v/>
      </c>
      <c r="EJ74" s="172">
        <f>MIN(IF($AU74=100%,1,1+VLOOKUP(($AJ74-$AI74-$AH74-$AG74-$AF74-$AE74*(1+EJ$3))/$AJ74,'Технический лист'!$M:$N,2,1)-VLOOKUP($AO74,'Технический лист'!$M:$N,2,1)),1+(1-$AU74))</f>
        <v/>
      </c>
      <c r="EK74" s="172">
        <f>MIN(IF($AU74=100%,1,1+VLOOKUP(($AJ74-$AI74-$AH74-$AG74-$AF74-$AE74*(1+EK$3))/$AJ74,'Технический лист'!$M:$N,2,1)-VLOOKUP($AO74,'Технический лист'!$M:$N,2,1)),1+(1-$AU74))</f>
        <v/>
      </c>
      <c r="EL74" s="172">
        <f>MIN(IF($AU74=100%,1,1+VLOOKUP(($AJ74-$AI74-$AH74-$AG74-$AF74-$AE74*(1+EL$3))/$AJ74,'Технический лист'!$M:$N,2,1)-VLOOKUP($AO74,'Технический лист'!$M:$N,2,1)),1+(1-$AU74))</f>
        <v/>
      </c>
      <c r="EM74" s="172">
        <f>MIN(IF($AU74=100%,1,1+VLOOKUP(($AJ74-$AI74-$AH74-$AG74-$AF74-$AE74*(1+EM$3))/$AJ74,'Технический лист'!$M:$N,2,1)-VLOOKUP($AO74,'Технический лист'!$M:$N,2,1)),1+(1-$AU74))</f>
        <v/>
      </c>
      <c r="EN74" s="172">
        <f>MIN(IF($AU74=100%,1,1+VLOOKUP(($AJ74-$AI74-$AH74-$AG74-$AF74-$AE74*(1+EN$3))/$AJ74,'Технический лист'!$M:$N,2,1)-VLOOKUP($AO74,'Технический лист'!$M:$N,2,1)),1+(1-$AU74))</f>
        <v/>
      </c>
      <c r="EO74" s="172">
        <f>MIN(IF($AU74=100%,1,1+VLOOKUP(($AJ74-$AI74-$AH74-$AG74-$AF74-$AE74*(1+EO$3))/$AJ74,'Технический лист'!$M:$N,2,1)-VLOOKUP($AO74,'Технический лист'!$M:$N,2,1)),1+(1-$AU74))</f>
        <v/>
      </c>
      <c r="EP74" s="172">
        <f>MIN(IF($AU74=100%,1,1+VLOOKUP(($AJ74-$AI74-$AH74-$AG74-$AF74-$AE74*(1+EP$3))/$AJ74,'Технический лист'!$M:$N,2,1)-VLOOKUP($AO74,'Технический лист'!$M:$N,2,1)),1+(1-$AU74))</f>
        <v/>
      </c>
      <c r="EQ74" s="172">
        <f>MIN(IF($AU74=100%,1,1+VLOOKUP(($AJ74-$AI74-$AH74-$AG74-$AF74-$AE74*(1+EQ$3))/$AJ74,'Технический лист'!$M:$N,2,1)-VLOOKUP($AO74,'Технический лист'!$M:$N,2,1)),1+(1-$AU74))</f>
        <v/>
      </c>
      <c r="ER74" s="172">
        <f>MIN(IF($AU74=100%,1,1+VLOOKUP(($AJ74-$AI74-$AH74-$AG74-$AF74-$AE74*(1+ER$3))/$AJ74,'Технический лист'!$M:$N,2,1)-VLOOKUP($AO74,'Технический лист'!$M:$N,2,1)),1+(1-$AU74))</f>
        <v/>
      </c>
      <c r="ES74" s="172">
        <f>MIN(IF($AU74=100%,1,1+VLOOKUP(($AJ74-$AI74-$AH74-$AG74-$AF74-$AE74*(1+ES$3))/$AJ74,'Технический лист'!$M:$N,2,1)-VLOOKUP($AO74,'Технический лист'!$M:$N,2,1)),1+(1-$AU74))</f>
        <v/>
      </c>
      <c r="ET74" s="172">
        <f>MIN(IF($AU74=100%,1,1+VLOOKUP(($AJ74-$AI74-$AH74-$AG74-$AF74-$AE74*(1+ET$3))/$AJ74,'Технический лист'!$M:$N,2,1)-VLOOKUP($AO74,'Технический лист'!$M:$N,2,1)),1+(1-$AU74))</f>
        <v/>
      </c>
      <c r="EU74" s="172">
        <f>MIN(IF($AU74=100%,1,1+VLOOKUP(($AJ74-$AI74-$AH74-$AG74-$AF74-$AE74*(1+EU$3))/$AJ74,'Технический лист'!$M:$N,2,1)-VLOOKUP($AO74,'Технический лист'!$M:$N,2,1)),1+(1-$AU74))</f>
        <v/>
      </c>
      <c r="EV74" s="173" t="n">
        <v>1</v>
      </c>
      <c r="EW74" s="172">
        <f>MIN(1,MAX(VLOOKUP(($AJ74-$AI74-$AH74-$AG74-$AF74-$AE74*(1+EW$3))/$AJ74,'Технический лист'!$M:$N,2,1),(EV74-0.05)))</f>
        <v/>
      </c>
      <c r="EX74" s="172">
        <f>MIN(1,MAX(VLOOKUP(($AJ74-$AI74-$AH74-$AG74-$AF74-$AE74*(1+EX$3))/$AJ74,'Технический лист'!$M:$N,2,1),(EW74-0.05)))</f>
        <v/>
      </c>
      <c r="EY74" s="172">
        <f>MIN(1,MAX(VLOOKUP(($AJ74-$AI74-$AH74-$AG74-$AF74-$AE74*(1+EY$3))/$AJ74,'Технический лист'!$M:$N,2,1),(EX74-0.05)))</f>
        <v/>
      </c>
      <c r="EZ74" s="172">
        <f>MIN(1,MAX(VLOOKUP(($AJ74-$AI74-$AH74-$AG74-$AF74-$AE74*(1+EZ$3))/$AJ74,'Технический лист'!$M:$N,2,1),(EY74-0.05)))</f>
        <v/>
      </c>
      <c r="FA74" s="172">
        <f>MIN(1,MAX(VLOOKUP(($AJ74-$AI74-$AH74-$AG74-$AF74-$AE74*(1+FA$3))/$AJ74,'Технический лист'!$M:$N,2,1),(EZ74-0.05)))</f>
        <v/>
      </c>
      <c r="FB74" s="172">
        <f>MIN(1,MAX(VLOOKUP(($AJ74-$AI74-$AH74-$AG74-$AF74-$AE74*(1+FB$3))/$AJ74,'Технический лист'!$M:$N,2,1),(FA74-0.05)))</f>
        <v/>
      </c>
      <c r="FC74" s="172">
        <f>MIN(1,MAX(VLOOKUP(($AJ74-$AI74-$AH74-$AG74-$AF74-$AE74*(1+FC$3))/$AJ74,'Технический лист'!$M:$N,2,1),(FB74-0.05)))</f>
        <v/>
      </c>
      <c r="FD74" s="172">
        <f>MIN(1,MAX(VLOOKUP(($AJ74-$AI74-$AH74-$AG74-$AF74-$AE74*(1+FD$3))/$AJ74,'Технический лист'!$M:$N,2,1),(FC74-0.05)))</f>
        <v/>
      </c>
      <c r="FE74" s="172">
        <f>MIN(1,MAX(VLOOKUP(($AJ74-$AI74-$AH74-$AG74-$AF74-$AE74*(1+FE$3))/$AJ74,'Технический лист'!$M:$N,2,1),(FD74-0.05)))</f>
        <v/>
      </c>
      <c r="FF74" s="172">
        <f>MIN(1,MAX(VLOOKUP(($AJ74-$AI74-$AH74-$AG74-$AF74-$AE74*(1+FF$3))/$AJ74,'Технический лист'!$M:$N,2,1),(FE74-0.05)))</f>
        <v/>
      </c>
      <c r="FG74" s="172">
        <f>MIN(1,MAX(VLOOKUP(($AJ74-$AI74-$AH74-$AG74-$AF74-$AE74*(1+FG$3))/$AJ74,'Технический лист'!$M:$N,2,1),(FF74-0.05)))</f>
        <v/>
      </c>
      <c r="FH74" s="172">
        <f>MIN(1,MAX(VLOOKUP(($AJ74-$AI74-$AH74-$AG74-$AF74-$AE74*(1+FH$3))/$AJ74,'Технический лист'!$M:$N,2,1),(FG74-0.05)))</f>
        <v/>
      </c>
      <c r="FI74" s="172">
        <f>MIN(1,MAX(VLOOKUP(($AJ74-$AI74-$AH74-$AG74-$AF74-$AE74*(1+FI$3))/$AJ74,'Технический лист'!$M:$N,2,1),(FH74-0.05)))</f>
        <v/>
      </c>
      <c r="FJ74" s="172">
        <f>MIN(1,MAX(VLOOKUP(($AJ74-$AI74-$AH74-$AG74-$AF74-$AE74*(1+FJ$3))/$AJ74,'Технический лист'!$M:$N,2,1),(FI74-0.05)))</f>
        <v/>
      </c>
      <c r="FK74" s="172">
        <f>MIN(1,MAX(VLOOKUP(($AJ74-$AI74-$AH74-$AG74-$AF74-$AE74*(1+FK$3))/$AJ74,'Технический лист'!$M:$N,2,1),(FJ74-0.05)))</f>
        <v/>
      </c>
      <c r="FL74" s="172">
        <f>MIN(1,MAX(VLOOKUP(($AJ74-$AI74-$AH74-$AG74-$AF74-$AE74*(1+FL$3))/$AJ74,'Технический лист'!$M:$N,2,1),(FK74-0.05)))</f>
        <v/>
      </c>
      <c r="FM74" s="172">
        <f>MIN(1,MAX(VLOOKUP(($AJ74-$AI74-$AH74-$AG74-$AF74-$AE74*(1+FM$3))/$AJ74,'Технический лист'!$M:$N,2,1),(FL74-0.05)))</f>
        <v/>
      </c>
      <c r="FN74" s="172">
        <f>MIN(1,MAX(VLOOKUP(($AJ74-$AI74-$AH74-$AG74-$AF74-$AE74*(1+FN$3))/$AJ74,'Технический лист'!$M:$N,2,1),(FM74-0.05)))</f>
        <v/>
      </c>
      <c r="FO74" s="172">
        <f>MIN(1,MAX(VLOOKUP(($AJ74-$AI74-$AH74-$AG74-$AF74-$AE74*(1+FO$3))/$AJ74,'Технический лист'!$M:$N,2,1),(FN74-0.05)))</f>
        <v/>
      </c>
      <c r="FP74" s="172">
        <f>MIN(1,MAX(VLOOKUP(($AJ74-$AI74-$AH74-$AG74-$AF74-$AE74*(1+FP$3))/$AJ74,'Технический лист'!$M:$N,2,1),(FO74-0.05)))</f>
        <v/>
      </c>
      <c r="FQ74" s="172">
        <f>MIN(1,MAX(VLOOKUP(($AJ74-$AI74-$AH74-$AG74-$AF74-$AE74*(1+FQ$3))/$AJ74,'Технический лист'!$M:$N,2,1),(FP74-0.05)))</f>
        <v/>
      </c>
      <c r="FR74" s="172">
        <f>MIN(1,MAX(VLOOKUP(($AJ74-$AI74-$AH74-$AG74-$AF74-$AE74*(1+FR$3))/$AJ74,'Технический лист'!$M:$N,2,1),(FQ74-0.05)))</f>
        <v/>
      </c>
      <c r="FS74" s="172">
        <f>MIN(1,MAX(VLOOKUP(($AJ74-$AI74-$AH74-$AG74-$AF74-$AE74*(1+FS$3))/$AJ74,'Технический лист'!$M:$N,2,1),(FR74-0.05)))</f>
        <v/>
      </c>
      <c r="FT74" s="172">
        <f>MIN(1,MAX(VLOOKUP(($AJ74-$AI74-$AH74-$AG74-$AF74-$AE74*(1+FT$3))/$AJ74,'Технический лист'!$M:$N,2,1),(FS74-0.05)))</f>
        <v/>
      </c>
      <c r="FU74" s="172">
        <f>MIN(1,MAX(VLOOKUP(($AJ74-$AI74-$AH74-$AG74-$AF74-$AE74*(1+FU$3))/$AJ74,'Технический лист'!$M:$N,2,1),(FT74-0.05)))</f>
        <v/>
      </c>
      <c r="FV74" s="172">
        <f>MIN(1,MAX(VLOOKUP(($AJ74-$AI74-$AH74-$AG74-$AF74-$AE74*(1+FV$3))/$AJ74,'Технический лист'!$M:$N,2,1),(FU74-0.05)))</f>
        <v/>
      </c>
      <c r="FW74" s="172">
        <f>MIN(1,MAX(VLOOKUP(($AJ74-$AI74-$AH74-$AG74-$AF74-$AE74*(1+FW$3))/$AJ74,'Технический лист'!$M:$N,2,1),(FV74-0.05)))</f>
        <v/>
      </c>
      <c r="FX74" s="172">
        <f>MIN(1,MAX(VLOOKUP(($AJ74-$AI74-$AH74-$AG74-$AF74-$AE74*(1+FX$3))/$AJ74,'Технический лист'!$M:$N,2,1),(FW74-0.05)))</f>
        <v/>
      </c>
      <c r="FY74" s="172">
        <f>MIN(1,MAX(VLOOKUP(($AJ74-$AI74-$AH74-$AG74-$AF74-$AE74*(1+FY$3))/$AJ74,'Технический лист'!$M:$N,2,1),(FX74-0.05)))</f>
        <v/>
      </c>
      <c r="FZ74" s="172">
        <f>MIN(1,MAX(VLOOKUP(($AJ74-$AI74-$AH74-$AG74-$AF74-$AE74*(1+FZ$3))/$AJ74,'Технический лист'!$M:$N,2,1),(FY74-0.05)))</f>
        <v/>
      </c>
      <c r="GA74" s="172">
        <f>MIN(1,MAX(VLOOKUP(($AJ74-$AI74-$AH74-$AG74-$AF74-$AE74*(1+GA$3))/$AJ74,'Технический лист'!$M:$N,2,1),(FZ74-0.05)))</f>
        <v/>
      </c>
      <c r="GB74" s="172">
        <f>MIN(1,MAX(VLOOKUP(($AJ74-$AI74-$AH74-$AG74-$AF74-$AE74*(1+GB$3))/$AJ74,'Технический лист'!$M:$N,2,1),(GA74-0.05)))</f>
        <v/>
      </c>
      <c r="GC74" s="172">
        <f>MIN(1,MAX(VLOOKUP(($AJ74-$AI74-$AH74-$AG74-$AF74-$AE74*(1+GC$3))/$AJ74,'Технический лист'!$M:$N,2,1),(GB74-0.05)))</f>
        <v/>
      </c>
      <c r="GD74" s="172">
        <f>MIN(1,MAX(VLOOKUP(($AJ74-$AI74-$AH74-$AG74-$AF74-$AE74*(1+GD$3))/$AJ74,'Технический лист'!$M:$N,2,1),(GC74-0.05)))</f>
        <v/>
      </c>
      <c r="GE74" s="172">
        <f>MIN(1,MAX(VLOOKUP(($AJ74-$AI74-$AH74-$AG74-$AF74-$AE74*(1+GE$3))/$AJ74,'Технический лист'!$M:$N,2,1),(GD74-0.05)))</f>
        <v/>
      </c>
      <c r="GF74" s="172">
        <f>MIN(1,MAX(VLOOKUP(($AJ74-$AI74-$AH74-$AG74-$AF74-$AE74*(1+GF$3))/$AJ74,'Технический лист'!$M:$N,2,1),(GE74-0.05)))</f>
        <v/>
      </c>
      <c r="GG74" s="172">
        <f>MIN(1,MAX(VLOOKUP(($AJ74-$AI74-$AH74-$AG74-$AF74-$AE74*(1+GG$3))/$AJ74,'Технический лист'!$M:$N,2,1),(GF74-0.05)))</f>
        <v/>
      </c>
      <c r="GH74" s="172">
        <f>MIN(1,MAX(VLOOKUP(($AJ74-$AI74-$AH74-$AG74-$AF74-$AE74*(1+GH$3))/$AJ74,'Технический лист'!$M:$N,2,1),(GG74-0.05)))</f>
        <v/>
      </c>
      <c r="GI74" s="172">
        <f>MIN(1,MAX(VLOOKUP(($AJ74-$AI74-$AH74-$AG74-$AF74-$AE74*(1+GI$3))/$AJ74,'Технический лист'!$M:$N,2,1),(GH74-0.05)))</f>
        <v/>
      </c>
      <c r="GJ74" s="172">
        <f>MIN(1,MAX(VLOOKUP(($AJ74-$AI74-$AH74-$AG74-$AF74-$AE74*(1+GJ$3))/$AJ74,'Технический лист'!$M:$N,2,1),(GI74-0.05)))</f>
        <v/>
      </c>
      <c r="GK74" s="172">
        <f>MIN(1,MAX(VLOOKUP(($AJ74-$AI74-$AH74-$AG74-$AF74-$AE74*(1+GK$3))/$AJ74,'Технический лист'!$M:$N,2,1),(GJ74-0.05)))</f>
        <v/>
      </c>
      <c r="GL74" s="172">
        <f>MIN(1,MAX(VLOOKUP(($AJ74-$AI74-$AH74-$AG74-$AF74-$AE74*(1+GL$3))/$AJ74,'Технический лист'!$M:$N,2,1),(GK74-0.05)))</f>
        <v/>
      </c>
      <c r="GM74" s="172">
        <f>MIN(1,MAX(VLOOKUP(($AJ74-$AI74-$AH74-$AG74-$AF74-$AE74*(1+GM$3))/$AJ74,'Технический лист'!$M:$N,2,1),(GL74-0.05)))</f>
        <v/>
      </c>
      <c r="GN74" s="172">
        <f>MIN(1,MAX(VLOOKUP(($AJ74-$AI74-$AH74-$AG74-$AF74-$AE74*(1+GN$3))/$AJ74,'Технический лист'!$M:$N,2,1),(GM74-0.05)))</f>
        <v/>
      </c>
      <c r="GO74" s="172">
        <f>MIN(1,MAX(VLOOKUP(($AJ74-$AI74-$AH74-$AG74-$AF74-$AE74*(1+GO$3))/$AJ74,'Технический лист'!$M:$N,2,1),(GN74-0.05)))</f>
        <v/>
      </c>
      <c r="GP74" s="172">
        <f>MIN(1,MAX(VLOOKUP(($AJ74-$AI74-$AH74-$AG74-$AF74-$AE74*(1+GP$3))/$AJ74,'Технический лист'!$M:$N,2,1),(GO74-0.05)))</f>
        <v/>
      </c>
      <c r="GQ74" s="172">
        <f>MIN(1,MAX(VLOOKUP(($AJ74-$AI74-$AH74-$AG74-$AF74-$AE74*(1+GQ$3))/$AJ74,'Технический лист'!$M:$N,2,1),(GP74-0.05)))</f>
        <v/>
      </c>
      <c r="GR74" s="172">
        <f>MIN(1,MAX(VLOOKUP(($AJ74-$AI74-$AH74-$AG74-$AF74-$AE74*(1+GR$3))/$AJ74,'Технический лист'!$M:$N,2,1),(GQ74-0.05)))</f>
        <v/>
      </c>
      <c r="GS74" s="172">
        <f>MIN(1,MAX(VLOOKUP(($AJ74-$AI74-$AH74-$AG74-$AF74-$AE74*(1+GS$3))/$AJ74,'Технический лист'!$M:$N,2,1),(GR74-0.05)))</f>
        <v/>
      </c>
      <c r="GT74" s="172">
        <f>MIN(1,MAX(VLOOKUP(($AJ74-$AI74-$AH74-$AG74-$AF74-$AE74*(1+GT$3))/$AJ74,'Технический лист'!$M:$N,2,1),(GS74-0.05)))</f>
        <v/>
      </c>
      <c r="GU74" s="172">
        <f>MIN(1,MAX(VLOOKUP(($AJ74-$AI74-$AH74-$AG74-$AF74-$AE74*(1+GU$3))/$AJ74,'Технический лист'!$M:$N,2,1),(GT74-0.05)))</f>
        <v/>
      </c>
      <c r="GV74" s="172">
        <f>MIN(1,MAX(VLOOKUP(($AJ74-$AI74-$AH74-$AG74-$AF74-$AE74*(1+GV$3))/$AJ74,'Технический лист'!$M:$N,2,1),(GU74-0.05)))</f>
        <v/>
      </c>
      <c r="GW74" s="172">
        <f>MIN(1,MAX(VLOOKUP(($AJ74-$AI74-$AH74-$AG74-$AF74-$AE74*(1+GW$3))/$AJ74,'Технический лист'!$M:$N,2,1),(GV74-0.05)))</f>
        <v/>
      </c>
      <c r="GX74" s="172">
        <f>MIN(1,MAX(VLOOKUP(($AJ74-$AI74-$AH74-$AG74-$AF74-$AE74*(1+GX$3))/$AJ74,'Технический лист'!$M:$N,2,1),(GW74-0.05)))</f>
        <v/>
      </c>
      <c r="GY74" s="172">
        <f>MIN(1,MAX(VLOOKUP(($AJ74-$AI74-$AH74-$AG74-$AF74-$AE74*(1+GY$3))/$AJ74,'Технический лист'!$M:$N,2,1),(GX74-0.05)))</f>
        <v/>
      </c>
      <c r="GZ74" s="172">
        <f>MIN(1,MAX(VLOOKUP(($AJ74-$AI74-$AH74-$AG74-$AF74-$AE74*(1+GZ$3))/$AJ74,'Технический лист'!$M:$N,2,1),(GY74-0.05)))</f>
        <v/>
      </c>
      <c r="HA74" s="172">
        <f>MIN(1,MAX(VLOOKUP(($AJ74-$AI74-$AH74-$AG74-$AF74-$AE74*(1+HA$3))/$AJ74,'Технический лист'!$M:$N,2,1),(GZ74-0.05)))</f>
        <v/>
      </c>
      <c r="HB74" s="172">
        <f>MIN(1,MAX(VLOOKUP(($AJ74-$AI74-$AH74-$AG74-$AF74-$AE74*(1+HB$3))/$AJ74,'Технический лист'!$M:$N,2,1),(HA74-0.05)))</f>
        <v/>
      </c>
      <c r="HC74" s="172">
        <f>MIN(1,MAX(VLOOKUP(($AJ74-$AI74-$AH74-$AG74-$AF74-$AE74*(1+HC$3))/$AJ74,'Технический лист'!$M:$N,2,1),(HB74-0.05)))</f>
        <v/>
      </c>
      <c r="HD74" s="172">
        <f>MIN(1,MAX(VLOOKUP(($AJ74-$AI74-$AH74-$AG74-$AF74-$AE74*(1+HD$3))/$AJ74,'Технический лист'!$M:$N,2,1),(HC74-0.05)))</f>
        <v/>
      </c>
      <c r="HE74" s="172">
        <f>MIN(1,MAX(VLOOKUP(($AJ74-$AI74-$AH74-$AG74-$AF74-$AE74*(1+HE$3))/$AJ74,'Технический лист'!$M:$N,2,1),(HD74-0.05)))</f>
        <v/>
      </c>
      <c r="HF74" s="172">
        <f>MIN(1,MAX(VLOOKUP(($AJ74-$AI74-$AH74-$AG74-$AF74-$AE74*(1+HF$3))/$AJ74,'Технический лист'!$M:$N,2,1),(HE74-0.05)))</f>
        <v/>
      </c>
      <c r="HG74" s="172">
        <f>MIN(1,MAX(VLOOKUP(($AJ74-$AI74-$AH74-$AG74-$AF74-$AE74*(1+HG$3))/$AJ74,'Технический лист'!$M:$N,2,1),(HF74-0.05)))</f>
        <v/>
      </c>
      <c r="HH74" s="172">
        <f>MIN(1,MAX(VLOOKUP(($AJ74-$AI74-$AH74-$AG74-$AF74-$AE74*(1+HH$3))/$AJ74,'Технический лист'!$M:$N,2,1),(HG74-0.05)))</f>
        <v/>
      </c>
      <c r="HI74" s="172">
        <f>MIN(1,MAX(VLOOKUP(($AJ74-$AI74-$AH74-$AG74-$AF74-$AE74*(1+HI$3))/$AJ74,'Технический лист'!$M:$N,2,1),(HH74-0.05)))</f>
        <v/>
      </c>
      <c r="HJ74" s="172">
        <f>MIN(1,MAX(VLOOKUP(($AJ74-$AI74-$AH74-$AG74-$AF74-$AE74*(1+HJ$3))/$AJ74,'Технический лист'!$M:$N,2,1),(HI74-0.05)))</f>
        <v/>
      </c>
      <c r="HK74" s="172">
        <f>MIN(1,MAX(VLOOKUP(($AJ74-$AI74-$AH74-$AG74-$AF74-$AE74*(1+HK$3))/$AJ74,'Технический лист'!$M:$N,2,1),(HJ74-0.05)))</f>
        <v/>
      </c>
      <c r="HL74" s="172">
        <f>MIN(1,MAX(VLOOKUP(($AJ74-$AI74-$AH74-$AG74-$AF74-$AE74*(1+HL$3))/$AJ74,'Технический лист'!$M:$N,2,1),(HK74-0.05)))</f>
        <v/>
      </c>
      <c r="HM74" s="172">
        <f>MIN(1,MAX(VLOOKUP(($AJ74-$AI74-$AH74-$AG74-$AF74-$AE74*(1+HM$3))/$AJ74,'Технический лист'!$M:$N,2,1),(HL74-0.05)))</f>
        <v/>
      </c>
      <c r="HN74" s="172">
        <f>MIN(1,MAX(VLOOKUP(($AJ74-$AI74-$AH74-$AG74-$AF74-$AE74*(1+HN$3))/$AJ74,'Технический лист'!$M:$N,2,1),(HM74-0.05)))</f>
        <v/>
      </c>
      <c r="HO74" s="172">
        <f>MIN(1,MAX(VLOOKUP(($AJ74-$AI74-$AH74-$AG74-$AF74-$AE74*(1+HO$3))/$AJ74,'Технический лист'!$M:$N,2,1),(HN74-0.05)))</f>
        <v/>
      </c>
      <c r="HP74" s="172">
        <f>MIN(1,MAX(VLOOKUP(($AJ74-$AI74-$AH74-$AG74-$AF74-$AE74*(1+HP$3))/$AJ74,'Технический лист'!$M:$N,2,1),(HO74-0.05)))</f>
        <v/>
      </c>
      <c r="HQ74" s="172">
        <f>MIN(1,MAX(VLOOKUP(($AJ74-$AI74-$AH74-$AG74-$AF74-$AE74*(1+HQ$3))/$AJ74,'Технический лист'!$M:$N,2,1),(HP74-0.05)))</f>
        <v/>
      </c>
      <c r="HR74" s="172">
        <f>MIN(1,MAX(VLOOKUP(($AJ74-$AI74-$AH74-$AG74-$AF74-$AE74*(1+HR$3))/$AJ74,'Технический лист'!$M:$N,2,1),(HQ74-0.05)))</f>
        <v/>
      </c>
      <c r="HS74" s="172">
        <f>MIN(1,MAX(VLOOKUP(($AJ74-$AI74-$AH74-$AG74-$AF74-$AE74*(1+HS$3))/$AJ74,'Технический лист'!$M:$N,2,1),(HR74-0.05)))</f>
        <v/>
      </c>
      <c r="HT74" s="172">
        <f>MIN(1,MAX(VLOOKUP(($AJ74-$AI74-$AH74-$AG74-$AF74-$AE74*(1+HT$3))/$AJ74,'Технический лист'!$M:$N,2,1),(HS74-0.05)))</f>
        <v/>
      </c>
      <c r="HU74" s="172">
        <f>MIN(1,MAX(VLOOKUP(($AJ74-$AI74-$AH74-$AG74-$AF74-$AE74*(1+HU$3))/$AJ74,'Технический лист'!$M:$N,2,1),(HT74-0.05)))</f>
        <v/>
      </c>
      <c r="HV74" s="172">
        <f>MIN(1,MAX(VLOOKUP(($AJ74-$AI74-$AH74-$AG74-$AF74-$AE74*(1+HV$3))/$AJ74,'Технический лист'!$M:$N,2,1),(HU74-0.05)))</f>
        <v/>
      </c>
      <c r="HW74" s="172">
        <f>MIN(1,MAX(VLOOKUP(($AJ74-$AI74-$AH74-$AG74-$AF74-$AE74*(1+HW$3))/$AJ74,'Технический лист'!$M:$N,2,1),(HV74-0.05)))</f>
        <v/>
      </c>
      <c r="HX74" s="172">
        <f>MIN(1,MAX(VLOOKUP(($AJ74-$AI74-$AH74-$AG74-$AF74-$AE74*(1+HX$3))/$AJ74,'Технический лист'!$M:$N,2,1),(HW74-0.05)))</f>
        <v/>
      </c>
      <c r="HY74" s="172">
        <f>MIN(1,MAX(VLOOKUP(($AJ74-$AI74-$AH74-$AG74-$AF74-$AE74*(1+HY$3))/$AJ74,'Технический лист'!$M:$N,2,1),(HX74-0.05)))</f>
        <v/>
      </c>
      <c r="HZ74" s="172">
        <f>MIN(1,MAX(VLOOKUP(($AJ74-$AI74-$AH74-$AG74-$AF74-$AE74*(1+HZ$3))/$AJ74,'Технический лист'!$M:$N,2,1),(HY74-0.05)))</f>
        <v/>
      </c>
      <c r="IA74" s="172">
        <f>MIN(1,MAX(VLOOKUP(($AJ74-$AI74-$AH74-$AG74-$AF74-$AE74*(1+IA$3))/$AJ74,'Технический лист'!$M:$N,2,1),(HZ74-0.05)))</f>
        <v/>
      </c>
      <c r="IB74" s="172">
        <f>MIN(1,MAX(VLOOKUP(($AJ74-$AI74-$AH74-$AG74-$AF74-$AE74*(1+IB$3))/$AJ74,'Технический лист'!$M:$N,2,1),(IA74-0.05)))</f>
        <v/>
      </c>
      <c r="IC74" s="172">
        <f>MIN(1,MAX(VLOOKUP(($AJ74-$AI74-$AH74-$AG74-$AF74-$AE74*(1+IC$3))/$AJ74,'Технический лист'!$M:$N,2,1),(IB74-0.05)))</f>
        <v/>
      </c>
      <c r="ID74" s="172">
        <f>MIN(1,MAX(VLOOKUP(($AJ74-$AI74-$AH74-$AG74-$AF74-$AE74*(1+ID$3))/$AJ74,'Технический лист'!$M:$N,2,1),(IC74-0.05)))</f>
        <v/>
      </c>
      <c r="IE74" s="172">
        <f>MIN(1,MAX(VLOOKUP(($AJ74-$AI74-$AH74-$AG74-$AF74-$AE74*(1+IE$3))/$AJ74,'Технический лист'!$M:$N,2,1),(ID74-0.05)))</f>
        <v/>
      </c>
      <c r="IF74" s="172">
        <f>MIN(1,MAX(VLOOKUP(($AJ74-$AI74-$AH74-$AG74-$AF74-$AE74*(1+IF$3))/$AJ74,'Технический лист'!$M:$N,2,1),(IE74-0.05)))</f>
        <v/>
      </c>
      <c r="IG74" s="172">
        <f>MIN(1,MAX(VLOOKUP(($AJ74-$AI74-$AH74-$AG74-$AF74-$AE74*(1+IG$3))/$AJ74,'Технический лист'!$M:$N,2,1),(IF74-0.05)))</f>
        <v/>
      </c>
      <c r="IH74" s="172">
        <f>MIN(1,MAX(VLOOKUP(($AJ74-$AI74-$AH74-$AG74-$AF74-$AE74*(1+IH$3))/$AJ74,'Технический лист'!$M:$N,2,1),(IG74-0.05)))</f>
        <v/>
      </c>
      <c r="II74" s="172">
        <f>MIN(1,MAX(VLOOKUP(($AJ74-$AI74-$AH74-$AG74-$AF74-$AE74*(1+II$3))/$AJ74,'Технический лист'!$M:$N,2,1),(IH74-0.05)))</f>
        <v/>
      </c>
      <c r="IJ74" s="172">
        <f>MIN(1,MAX(VLOOKUP(($AJ74-$AI74-$AH74-$AG74-$AF74-$AE74*(1+IJ$3))/$AJ74,'Технический лист'!$M:$N,2,1),(II74-0.05)))</f>
        <v/>
      </c>
      <c r="IK74" s="172">
        <f>MIN(1,MAX(VLOOKUP(($AJ74-$AI74-$AH74-$AG74-$AF74-$AE74*(1+IK$3))/$AJ74,'Технический лист'!$M:$N,2,1),(IJ74-0.05)))</f>
        <v/>
      </c>
      <c r="IL74" s="172">
        <f>MIN(1,MAX(VLOOKUP(($AJ74-$AI74-$AH74-$AG74-$AF74-$AE74*(1+IL$3))/$AJ74,'Технический лист'!$M:$N,2,1),(IK74-0.05)))</f>
        <v/>
      </c>
      <c r="IM74" s="172">
        <f>MIN(1,MAX(VLOOKUP(($AJ74-$AI74-$AH74-$AG74-$AF74-$AE74*(1+IM$3))/$AJ74,'Технический лист'!$M:$N,2,1),(IL74-0.05)))</f>
        <v/>
      </c>
      <c r="IN74" s="172">
        <f>MIN(1,MAX(VLOOKUP(($AJ74-$AI74-$AH74-$AG74-$AF74-$AE74*(1+IN$3))/$AJ74,'Технический лист'!$M:$N,2,1),(IM74-0.05)))</f>
        <v/>
      </c>
      <c r="IO74" s="172">
        <f>MIN(1,MAX(VLOOKUP(($AJ74-$AI74-$AH74-$AG74-$AF74-$AE74*(1+IO$3))/$AJ74,'Технический лист'!$M:$N,2,1),(IN74-0.05)))</f>
        <v/>
      </c>
      <c r="IP74" s="172">
        <f>MIN(1,MAX(VLOOKUP(($AJ74-$AI74-$AH74-$AG74-$AF74-$AE74*(1+IP$3))/$AJ74,'Технический лист'!$M:$N,2,1),(IO74-0.05)))</f>
        <v/>
      </c>
      <c r="IQ74" s="172">
        <f>MIN(1,MAX(VLOOKUP(($AJ74-$AI74-$AH74-$AG74-$AF74-$AE74*(1+IQ$3))/$AJ74,'Технический лист'!$M:$N,2,1),(IP74-0.05)))</f>
        <v/>
      </c>
      <c r="IR74" s="172">
        <f>MIN(1,MAX(VLOOKUP(($AJ74-$AI74-$AH74-$AG74-$AF74-$AE74*(1+IR$3))/$AJ74,'Технический лист'!$M:$N,2,1),(IQ74-0.05)))</f>
        <v/>
      </c>
    </row>
    <row r="75" ht="29.15" customFormat="1" customHeight="1" s="6">
      <c r="A75" s="89" t="inlineStr">
        <is>
          <t>ЦМ (сырье)</t>
        </is>
      </c>
      <c r="B75" s="76" t="n">
        <v>4</v>
      </c>
      <c r="C75" s="3" t="inlineStr">
        <is>
          <t>Руды  всякие</t>
        </is>
      </c>
      <c r="D75" s="77" t="n">
        <v>14203</v>
      </c>
      <c r="E75" s="77" t="inlineStr">
        <is>
          <t xml:space="preserve">Концентраты марганцевой руды </t>
        </is>
      </c>
      <c r="F75" s="77" t="inlineStr">
        <is>
          <t xml:space="preserve">Руда железная и марганцевая </t>
        </is>
      </c>
      <c r="G75" s="77" t="inlineStr">
        <is>
          <t>ОКТ</t>
        </is>
      </c>
      <c r="H75" s="77" t="inlineStr">
        <is>
          <t>ЗСБ</t>
        </is>
      </c>
      <c r="I75" s="77" t="inlineStr">
        <is>
          <t>ЛУЖСКАЯ</t>
        </is>
      </c>
      <c r="J75" s="77" t="inlineStr">
        <is>
          <t>НОВОКУЗ.-СОР</t>
        </is>
      </c>
      <c r="K75" s="77" t="n">
        <v>4232</v>
      </c>
      <c r="L75" s="77" t="inlineStr">
        <is>
          <t>Полувагоны</t>
        </is>
      </c>
      <c r="M75" s="91" t="inlineStr">
        <is>
          <t>Внутр. перевозки</t>
        </is>
      </c>
      <c r="N75" s="77" t="inlineStr">
        <is>
          <t>вагонная</t>
        </is>
      </c>
      <c r="O75" s="77" t="inlineStr">
        <is>
          <t xml:space="preserve">Южное </t>
        </is>
      </c>
      <c r="P75" s="79" t="inlineStr">
        <is>
          <t>'000006115537</t>
        </is>
      </c>
      <c r="Q75" s="77" t="inlineStr">
        <is>
          <t>ОК РУСАЛ</t>
        </is>
      </c>
      <c r="R75" s="77" t="inlineStr">
        <is>
          <t>ОК РУСАЛ</t>
        </is>
      </c>
      <c r="S75" s="80" t="n">
        <v>92945</v>
      </c>
      <c r="T75" s="80" t="n">
        <v>393307755</v>
      </c>
      <c r="U75" s="88" t="n">
        <v>1340</v>
      </c>
      <c r="V75" s="88" t="n">
        <v>0</v>
      </c>
      <c r="W75" s="87" t="n">
        <v>158796526</v>
      </c>
      <c r="X75" s="112" t="n">
        <v>68</v>
      </c>
      <c r="Y75" s="112" t="inlineStr">
        <is>
          <t>групповая</t>
        </is>
      </c>
      <c r="Z75" s="113" t="n">
        <v>15</v>
      </c>
      <c r="AA75" s="113" t="n">
        <v>12</v>
      </c>
      <c r="AB75" s="113" t="n">
        <v>4</v>
      </c>
      <c r="AC75" s="161" t="n">
        <v>5177.49</v>
      </c>
      <c r="AD75" s="161">
        <f>AE75-AC75</f>
        <v/>
      </c>
      <c r="AE75" s="161" t="n">
        <v>5951.34</v>
      </c>
      <c r="AF75" s="162">
        <f>(Z75+AA75+AB75)*'Ставки аренды'!$B$3/X75</f>
        <v/>
      </c>
      <c r="AG75" s="163" t="n">
        <v>0</v>
      </c>
      <c r="AH75" s="164" t="n">
        <v>0</v>
      </c>
      <c r="AI75" s="165">
        <f>12254/14812*AJ75</f>
        <v/>
      </c>
      <c r="AJ75" s="166">
        <f>Цены!C33*'Курсы валют'!B2</f>
        <v/>
      </c>
      <c r="AK75" s="164">
        <f>AJ75/Цены!$B$1</f>
        <v/>
      </c>
      <c r="AL75" s="164">
        <f>AE75+AF75+AG75</f>
        <v/>
      </c>
      <c r="AM75" s="164">
        <f>AJ75-AL75</f>
        <v/>
      </c>
      <c r="AN75" s="164">
        <f>AI75+AH75+AG75+AF75+AE75</f>
        <v/>
      </c>
      <c r="AO75" s="167">
        <f>(AJ75-AN75)/AJ75</f>
        <v/>
      </c>
      <c r="AP75" s="168">
        <f>AL75/AJ75</f>
        <v/>
      </c>
      <c r="AQ75" s="168">
        <f>AE75/AJ75</f>
        <v/>
      </c>
      <c r="AR75" s="168">
        <f>AE75/AL75</f>
        <v/>
      </c>
      <c r="AS75" s="169" t="n">
        <v>1</v>
      </c>
      <c r="AT75" s="121">
        <f>S75*AS75</f>
        <v/>
      </c>
      <c r="AU75" s="83" t="n">
        <v>1</v>
      </c>
      <c r="AV75" s="170">
        <f>(AJ75-(AE75*(1+$IS$2)+AF75+AG75+AH75+AI75))/AJ75</f>
        <v/>
      </c>
      <c r="AW75" s="171">
        <f>(AE75*(1+$IS$2)+AF75+AG75)/AJ75</f>
        <v/>
      </c>
      <c r="AX75" s="171">
        <f>(AE75*(1+$IS$2))/AJ75</f>
        <v/>
      </c>
      <c r="AY75" s="171">
        <f>(AE75*(1+$IS$2))/(AE75*(1+$IS$2)+AF75+AG75)</f>
        <v/>
      </c>
      <c r="AZ75" s="172">
        <f>MIN(IF($AU75=100%,1,1+VLOOKUP(($AJ75-$AI75-$AH75-$AG75-$AF75-$AE75*(1+AZ$3))/$AJ75,'Технический лист'!$M:$N,2,1)-VLOOKUP($AO75,'Технический лист'!$M:$N,2,1)),1+(1-$AU75))</f>
        <v/>
      </c>
      <c r="BA75" s="172">
        <f>MIN(IF($AU75=100%,1,1+VLOOKUP(($AJ75-$AI75-$AH75-$AG75-$AF75-$AE75*(1+BA$3))/$AJ75,'Технический лист'!$M:$N,2,1)-VLOOKUP($AO75,'Технический лист'!$M:$N,2,1)),1+(1-$AU75))</f>
        <v/>
      </c>
      <c r="BB75" s="172">
        <f>MIN(IF($AU75=100%,1,1+VLOOKUP(($AJ75-$AI75-$AH75-$AG75-$AF75-$AE75*(1+BB$3))/$AJ75,'Технический лист'!$M:$N,2,1)-VLOOKUP($AO75,'Технический лист'!$M:$N,2,1)),1+(1-$AU75))</f>
        <v/>
      </c>
      <c r="BC75" s="172">
        <f>MIN(IF($AU75=100%,1,1+VLOOKUP(($AJ75-$AI75-$AH75-$AG75-$AF75-$AE75*(1+BC$3))/$AJ75,'Технический лист'!$M:$N,2,1)-VLOOKUP($AO75,'Технический лист'!$M:$N,2,1)),1+(1-$AU75))</f>
        <v/>
      </c>
      <c r="BD75" s="172">
        <f>MIN(IF($AU75=100%,1,1+VLOOKUP(($AJ75-$AI75-$AH75-$AG75-$AF75-$AE75*(1+BD$3))/$AJ75,'Технический лист'!$M:$N,2,1)-VLOOKUP($AO75,'Технический лист'!$M:$N,2,1)),1+(1-$AU75))</f>
        <v/>
      </c>
      <c r="BE75" s="172">
        <f>MIN(IF($AU75=100%,1,1+VLOOKUP(($AJ75-$AI75-$AH75-$AG75-$AF75-$AE75*(1+BE$3))/$AJ75,'Технический лист'!$M:$N,2,1)-VLOOKUP($AO75,'Технический лист'!$M:$N,2,1)),1+(1-$AU75))</f>
        <v/>
      </c>
      <c r="BF75" s="172">
        <f>MIN(IF($AU75=100%,1,1+VLOOKUP(($AJ75-$AI75-$AH75-$AG75-$AF75-$AE75*(1+BF$3))/$AJ75,'Технический лист'!$M:$N,2,1)-VLOOKUP($AO75,'Технический лист'!$M:$N,2,1)),1+(1-$AU75))</f>
        <v/>
      </c>
      <c r="BG75" s="172">
        <f>MIN(IF($AU75=100%,1,1+VLOOKUP(($AJ75-$AI75-$AH75-$AG75-$AF75-$AE75*(1+BG$3))/$AJ75,'Технический лист'!$M:$N,2,1)-VLOOKUP($AO75,'Технический лист'!$M:$N,2,1)),1+(1-$AU75))</f>
        <v/>
      </c>
      <c r="BH75" s="172">
        <f>MIN(IF($AU75=100%,1,1+VLOOKUP(($AJ75-$AI75-$AH75-$AG75-$AF75-$AE75*(1+BH$3))/$AJ75,'Технический лист'!$M:$N,2,1)-VLOOKUP($AO75,'Технический лист'!$M:$N,2,1)),1+(1-$AU75))</f>
        <v/>
      </c>
      <c r="BI75" s="172">
        <f>MIN(IF($AU75=100%,1,1+VLOOKUP(($AJ75-$AI75-$AH75-$AG75-$AF75-$AE75*(1+BI$3))/$AJ75,'Технический лист'!$M:$N,2,1)-VLOOKUP($AO75,'Технический лист'!$M:$N,2,1)),1+(1-$AU75))</f>
        <v/>
      </c>
      <c r="BJ75" s="172">
        <f>MIN(IF($AU75=100%,1,1+VLOOKUP(($AJ75-$AI75-$AH75-$AG75-$AF75-$AE75*(1+BJ$3))/$AJ75,'Технический лист'!$M:$N,2,1)-VLOOKUP($AO75,'Технический лист'!$M:$N,2,1)),1+(1-$AU75))</f>
        <v/>
      </c>
      <c r="BK75" s="172">
        <f>MIN(IF($AU75=100%,1,1+VLOOKUP(($AJ75-$AI75-$AH75-$AG75-$AF75-$AE75*(1+BK$3))/$AJ75,'Технический лист'!$M:$N,2,1)-VLOOKUP($AO75,'Технический лист'!$M:$N,2,1)),1+(1-$AU75))</f>
        <v/>
      </c>
      <c r="BL75" s="172">
        <f>MIN(IF($AU75=100%,1,1+VLOOKUP(($AJ75-$AI75-$AH75-$AG75-$AF75-$AE75*(1+BL$3))/$AJ75,'Технический лист'!$M:$N,2,1)-VLOOKUP($AO75,'Технический лист'!$M:$N,2,1)),1+(1-$AU75))</f>
        <v/>
      </c>
      <c r="BM75" s="172">
        <f>MIN(IF($AU75=100%,1,1+VLOOKUP(($AJ75-$AI75-$AH75-$AG75-$AF75-$AE75*(1+BM$3))/$AJ75,'Технический лист'!$M:$N,2,1)-VLOOKUP($AO75,'Технический лист'!$M:$N,2,1)),1+(1-$AU75))</f>
        <v/>
      </c>
      <c r="BN75" s="172">
        <f>MIN(IF($AU75=100%,1,1+VLOOKUP(($AJ75-$AI75-$AH75-$AG75-$AF75-$AE75*(1+BN$3))/$AJ75,'Технический лист'!$M:$N,2,1)-VLOOKUP($AO75,'Технический лист'!$M:$N,2,1)),1+(1-$AU75))</f>
        <v/>
      </c>
      <c r="BO75" s="172">
        <f>MIN(IF($AU75=100%,1,1+VLOOKUP(($AJ75-$AI75-$AH75-$AG75-$AF75-$AE75*(1+BO$3))/$AJ75,'Технический лист'!$M:$N,2,1)-VLOOKUP($AO75,'Технический лист'!$M:$N,2,1)),1+(1-$AU75))</f>
        <v/>
      </c>
      <c r="BP75" s="172">
        <f>MIN(IF($AU75=100%,1,1+VLOOKUP(($AJ75-$AI75-$AH75-$AG75-$AF75-$AE75*(1+BP$3))/$AJ75,'Технический лист'!$M:$N,2,1)-VLOOKUP($AO75,'Технический лист'!$M:$N,2,1)),1+(1-$AU75))</f>
        <v/>
      </c>
      <c r="BQ75" s="172">
        <f>MIN(IF($AU75=100%,1,1+VLOOKUP(($AJ75-$AI75-$AH75-$AG75-$AF75-$AE75*(1+BQ$3))/$AJ75,'Технический лист'!$M:$N,2,1)-VLOOKUP($AO75,'Технический лист'!$M:$N,2,1)),1+(1-$AU75))</f>
        <v/>
      </c>
      <c r="BR75" s="172">
        <f>MIN(IF($AU75=100%,1,1+VLOOKUP(($AJ75-$AI75-$AH75-$AG75-$AF75-$AE75*(1+BR$3))/$AJ75,'Технический лист'!$M:$N,2,1)-VLOOKUP($AO75,'Технический лист'!$M:$N,2,1)),1+(1-$AU75))</f>
        <v/>
      </c>
      <c r="BS75" s="172">
        <f>MIN(IF($AU75=100%,1,1+VLOOKUP(($AJ75-$AI75-$AH75-$AG75-$AF75-$AE75*(1+BS$3))/$AJ75,'Технический лист'!$M:$N,2,1)-VLOOKUP($AO75,'Технический лист'!$M:$N,2,1)),1+(1-$AU75))</f>
        <v/>
      </c>
      <c r="BT75" s="172">
        <f>MIN(IF($AU75=100%,1,1+VLOOKUP(($AJ75-$AI75-$AH75-$AG75-$AF75-$AE75*(1+BT$3))/$AJ75,'Технический лист'!$M:$N,2,1)-VLOOKUP($AO75,'Технический лист'!$M:$N,2,1)),1+(1-$AU75))</f>
        <v/>
      </c>
      <c r="BU75" s="172">
        <f>MIN(IF($AU75=100%,1,1+VLOOKUP(($AJ75-$AI75-$AH75-$AG75-$AF75-$AE75*(1+BU$3))/$AJ75,'Технический лист'!$M:$N,2,1)-VLOOKUP($AO75,'Технический лист'!$M:$N,2,1)),1+(1-$AU75))</f>
        <v/>
      </c>
      <c r="BV75" s="172">
        <f>MIN(IF($AU75=100%,1,1+VLOOKUP(($AJ75-$AI75-$AH75-$AG75-$AF75-$AE75*(1+BV$3))/$AJ75,'Технический лист'!$M:$N,2,1)-VLOOKUP($AO75,'Технический лист'!$M:$N,2,1)),1+(1-$AU75))</f>
        <v/>
      </c>
      <c r="BW75" s="172">
        <f>MIN(IF($AU75=100%,1,1+VLOOKUP(($AJ75-$AI75-$AH75-$AG75-$AF75-$AE75*(1+BW$3))/$AJ75,'Технический лист'!$M:$N,2,1)-VLOOKUP($AO75,'Технический лист'!$M:$N,2,1)),1+(1-$AU75))</f>
        <v/>
      </c>
      <c r="BX75" s="172">
        <f>MIN(IF($AU75=100%,1,1+VLOOKUP(($AJ75-$AI75-$AH75-$AG75-$AF75-$AE75*(1+BX$3))/$AJ75,'Технический лист'!$M:$N,2,1)-VLOOKUP($AO75,'Технический лист'!$M:$N,2,1)),1+(1-$AU75))</f>
        <v/>
      </c>
      <c r="BY75" s="172">
        <f>MIN(IF($AU75=100%,1,1+VLOOKUP(($AJ75-$AI75-$AH75-$AG75-$AF75-$AE75*(1+BY$3))/$AJ75,'Технический лист'!$M:$N,2,1)-VLOOKUP($AO75,'Технический лист'!$M:$N,2,1)),1+(1-$AU75))</f>
        <v/>
      </c>
      <c r="BZ75" s="172">
        <f>MIN(IF($AU75=100%,1,1+VLOOKUP(($AJ75-$AI75-$AH75-$AG75-$AF75-$AE75*(1+BZ$3))/$AJ75,'Технический лист'!$M:$N,2,1)-VLOOKUP($AO75,'Технический лист'!$M:$N,2,1)),1+(1-$AU75))</f>
        <v/>
      </c>
      <c r="CA75" s="172">
        <f>MIN(IF($AU75=100%,1,1+VLOOKUP(($AJ75-$AI75-$AH75-$AG75-$AF75-$AE75*(1+CA$3))/$AJ75,'Технический лист'!$M:$N,2,1)-VLOOKUP($AO75,'Технический лист'!$M:$N,2,1)),1+(1-$AU75))</f>
        <v/>
      </c>
      <c r="CB75" s="172">
        <f>MIN(IF($AU75=100%,1,1+VLOOKUP(($AJ75-$AI75-$AH75-$AG75-$AF75-$AE75*(1+CB$3))/$AJ75,'Технический лист'!$M:$N,2,1)-VLOOKUP($AO75,'Технический лист'!$M:$N,2,1)),1+(1-$AU75))</f>
        <v/>
      </c>
      <c r="CC75" s="172">
        <f>MIN(IF($AU75=100%,1,1+VLOOKUP(($AJ75-$AI75-$AH75-$AG75-$AF75-$AE75*(1+CC$3))/$AJ75,'Технический лист'!$M:$N,2,1)-VLOOKUP($AO75,'Технический лист'!$M:$N,2,1)),1+(1-$AU75))</f>
        <v/>
      </c>
      <c r="CD75" s="172">
        <f>MIN(IF($AU75=100%,1,1+VLOOKUP(($AJ75-$AI75-$AH75-$AG75-$AF75-$AE75*(1+CD$3))/$AJ75,'Технический лист'!$M:$N,2,1)-VLOOKUP($AO75,'Технический лист'!$M:$N,2,1)),1+(1-$AU75))</f>
        <v/>
      </c>
      <c r="CE75" s="172">
        <f>MIN(IF($AU75=100%,1,1+VLOOKUP(($AJ75-$AI75-$AH75-$AG75-$AF75-$AE75*(1+CE$3))/$AJ75,'Технический лист'!$M:$N,2,1)-VLOOKUP($AO75,'Технический лист'!$M:$N,2,1)),1+(1-$AU75))</f>
        <v/>
      </c>
      <c r="CF75" s="172">
        <f>MIN(IF($AU75=100%,1,1+VLOOKUP(($AJ75-$AI75-$AH75-$AG75-$AF75-$AE75*(1+CF$3))/$AJ75,'Технический лист'!$M:$N,2,1)-VLOOKUP($AO75,'Технический лист'!$M:$N,2,1)),1+(1-$AU75))</f>
        <v/>
      </c>
      <c r="CG75" s="172">
        <f>MIN(IF($AU75=100%,1,1+VLOOKUP(($AJ75-$AI75-$AH75-$AG75-$AF75-$AE75*(1+CG$3))/$AJ75,'Технический лист'!$M:$N,2,1)-VLOOKUP($AO75,'Технический лист'!$M:$N,2,1)),1+(1-$AU75))</f>
        <v/>
      </c>
      <c r="CH75" s="172">
        <f>MIN(IF($AU75=100%,1,1+VLOOKUP(($AJ75-$AI75-$AH75-$AG75-$AF75-$AE75*(1+CH$3))/$AJ75,'Технический лист'!$M:$N,2,1)-VLOOKUP($AO75,'Технический лист'!$M:$N,2,1)),1+(1-$AU75))</f>
        <v/>
      </c>
      <c r="CI75" s="172">
        <f>MIN(IF($AU75=100%,1,1+VLOOKUP(($AJ75-$AI75-$AH75-$AG75-$AF75-$AE75*(1+CI$3))/$AJ75,'Технический лист'!$M:$N,2,1)-VLOOKUP($AO75,'Технический лист'!$M:$N,2,1)),1+(1-$AU75))</f>
        <v/>
      </c>
      <c r="CJ75" s="172">
        <f>MIN(IF($AU75=100%,1,1+VLOOKUP(($AJ75-$AI75-$AH75-$AG75-$AF75-$AE75*(1+CJ$3))/$AJ75,'Технический лист'!$M:$N,2,1)-VLOOKUP($AO75,'Технический лист'!$M:$N,2,1)),1+(1-$AU75))</f>
        <v/>
      </c>
      <c r="CK75" s="172">
        <f>MIN(IF($AU75=100%,1,1+VLOOKUP(($AJ75-$AI75-$AH75-$AG75-$AF75-$AE75*(1+CK$3))/$AJ75,'Технический лист'!$M:$N,2,1)-VLOOKUP($AO75,'Технический лист'!$M:$N,2,1)),1+(1-$AU75))</f>
        <v/>
      </c>
      <c r="CL75" s="172">
        <f>MIN(IF($AU75=100%,1,1+VLOOKUP(($AJ75-$AI75-$AH75-$AG75-$AF75-$AE75*(1+CL$3))/$AJ75,'Технический лист'!$M:$N,2,1)-VLOOKUP($AO75,'Технический лист'!$M:$N,2,1)),1+(1-$AU75))</f>
        <v/>
      </c>
      <c r="CM75" s="172">
        <f>MIN(IF($AU75=100%,1,1+VLOOKUP(($AJ75-$AI75-$AH75-$AG75-$AF75-$AE75*(1+CM$3))/$AJ75,'Технический лист'!$M:$N,2,1)-VLOOKUP($AO75,'Технический лист'!$M:$N,2,1)),1+(1-$AU75))</f>
        <v/>
      </c>
      <c r="CN75" s="172">
        <f>MIN(IF($AU75=100%,1,1+VLOOKUP(($AJ75-$AI75-$AH75-$AG75-$AF75-$AE75*(1+CN$3))/$AJ75,'Технический лист'!$M:$N,2,1)-VLOOKUP($AO75,'Технический лист'!$M:$N,2,1)),1+(1-$AU75))</f>
        <v/>
      </c>
      <c r="CO75" s="172">
        <f>MIN(IF($AU75=100%,1,1+VLOOKUP(($AJ75-$AI75-$AH75-$AG75-$AF75-$AE75*(1+CO$3))/$AJ75,'Технический лист'!$M:$N,2,1)-VLOOKUP($AO75,'Технический лист'!$M:$N,2,1)),1+(1-$AU75))</f>
        <v/>
      </c>
      <c r="CP75" s="172">
        <f>MIN(IF($AU75=100%,1,1+VLOOKUP(($AJ75-$AI75-$AH75-$AG75-$AF75-$AE75*(1+CP$3))/$AJ75,'Технический лист'!$M:$N,2,1)-VLOOKUP($AO75,'Технический лист'!$M:$N,2,1)),1+(1-$AU75))</f>
        <v/>
      </c>
      <c r="CQ75" s="172">
        <f>MIN(IF($AU75=100%,1,1+VLOOKUP(($AJ75-$AI75-$AH75-$AG75-$AF75-$AE75*(1+CQ$3))/$AJ75,'Технический лист'!$M:$N,2,1)-VLOOKUP($AO75,'Технический лист'!$M:$N,2,1)),1+(1-$AU75))</f>
        <v/>
      </c>
      <c r="CR75" s="172">
        <f>MIN(IF($AU75=100%,1,1+VLOOKUP(($AJ75-$AI75-$AH75-$AG75-$AF75-$AE75*(1+CR$3))/$AJ75,'Технический лист'!$M:$N,2,1)-VLOOKUP($AO75,'Технический лист'!$M:$N,2,1)),1+(1-$AU75))</f>
        <v/>
      </c>
      <c r="CS75" s="172">
        <f>MIN(IF($AU75=100%,1,1+VLOOKUP(($AJ75-$AI75-$AH75-$AG75-$AF75-$AE75*(1+CS$3))/$AJ75,'Технический лист'!$M:$N,2,1)-VLOOKUP($AO75,'Технический лист'!$M:$N,2,1)),1+(1-$AU75))</f>
        <v/>
      </c>
      <c r="CT75" s="172">
        <f>MIN(IF($AU75=100%,1,1+VLOOKUP(($AJ75-$AI75-$AH75-$AG75-$AF75-$AE75*(1+CT$3))/$AJ75,'Технический лист'!$M:$N,2,1)-VLOOKUP($AO75,'Технический лист'!$M:$N,2,1)),1+(1-$AU75))</f>
        <v/>
      </c>
      <c r="CU75" s="172">
        <f>MIN(IF($AU75=100%,1,1+VLOOKUP(($AJ75-$AI75-$AH75-$AG75-$AF75-$AE75*(1+CU$3))/$AJ75,'Технический лист'!$M:$N,2,1)-VLOOKUP($AO75,'Технический лист'!$M:$N,2,1)),1+(1-$AU75))</f>
        <v/>
      </c>
      <c r="CV75" s="172">
        <f>MIN(IF($AU75=100%,1,1+VLOOKUP(($AJ75-$AI75-$AH75-$AG75-$AF75-$AE75*(1+CV$3))/$AJ75,'Технический лист'!$M:$N,2,1)-VLOOKUP($AO75,'Технический лист'!$M:$N,2,1)),1+(1-$AU75))</f>
        <v/>
      </c>
      <c r="CW75" s="172">
        <f>MIN(IF($AU75=100%,1,1+VLOOKUP(($AJ75-$AI75-$AH75-$AG75-$AF75-$AE75*(1+CW$3))/$AJ75,'Технический лист'!$M:$N,2,1)-VLOOKUP($AO75,'Технический лист'!$M:$N,2,1)),1+(1-$AU75))</f>
        <v/>
      </c>
      <c r="CX75" s="172">
        <f>MIN(IF($AU75=100%,1,1+VLOOKUP(($AJ75-$AI75-$AH75-$AG75-$AF75-$AE75*(1+CX$3))/$AJ75,'Технический лист'!$M:$N,2,1)-VLOOKUP($AO75,'Технический лист'!$M:$N,2,1)),1+(1-$AU75))</f>
        <v/>
      </c>
      <c r="CY75" s="172">
        <f>MIN(IF($AU75=100%,1,1+VLOOKUP(($AJ75-$AI75-$AH75-$AG75-$AF75-$AE75*(1+CY$3))/$AJ75,'Технический лист'!$M:$N,2,1)-VLOOKUP($AO75,'Технический лист'!$M:$N,2,1)),1+(1-$AU75))</f>
        <v/>
      </c>
      <c r="CZ75" s="172">
        <f>MIN(IF($AU75=100%,1,1+VLOOKUP(($AJ75-$AI75-$AH75-$AG75-$AF75-$AE75*(1+CZ$3))/$AJ75,'Технический лист'!$M:$N,2,1)-VLOOKUP($AO75,'Технический лист'!$M:$N,2,1)),1+(1-$AU75))</f>
        <v/>
      </c>
      <c r="DA75" s="172">
        <f>MIN(IF($AU75=100%,1,1+VLOOKUP(($AJ75-$AI75-$AH75-$AG75-$AF75-$AE75*(1+DA$3))/$AJ75,'Технический лист'!$M:$N,2,1)-VLOOKUP($AO75,'Технический лист'!$M:$N,2,1)),1+(1-$AU75))</f>
        <v/>
      </c>
      <c r="DB75" s="172">
        <f>MIN(IF($AU75=100%,1,1+VLOOKUP(($AJ75-$AI75-$AH75-$AG75-$AF75-$AE75*(1+DB$3))/$AJ75,'Технический лист'!$M:$N,2,1)-VLOOKUP($AO75,'Технический лист'!$M:$N,2,1)),1+(1-$AU75))</f>
        <v/>
      </c>
      <c r="DC75" s="172">
        <f>MIN(IF($AU75=100%,1,1+VLOOKUP(($AJ75-$AI75-$AH75-$AG75-$AF75-$AE75*(1+DC$3))/$AJ75,'Технический лист'!$M:$N,2,1)-VLOOKUP($AO75,'Технический лист'!$M:$N,2,1)),1+(1-$AU75))</f>
        <v/>
      </c>
      <c r="DD75" s="172">
        <f>MIN(IF($AU75=100%,1,1+VLOOKUP(($AJ75-$AI75-$AH75-$AG75-$AF75-$AE75*(1+DD$3))/$AJ75,'Технический лист'!$M:$N,2,1)-VLOOKUP($AO75,'Технический лист'!$M:$N,2,1)),1+(1-$AU75))</f>
        <v/>
      </c>
      <c r="DE75" s="172">
        <f>MIN(IF($AU75=100%,1,1+VLOOKUP(($AJ75-$AI75-$AH75-$AG75-$AF75-$AE75*(1+DE$3))/$AJ75,'Технический лист'!$M:$N,2,1)-VLOOKUP($AO75,'Технический лист'!$M:$N,2,1)),1+(1-$AU75))</f>
        <v/>
      </c>
      <c r="DF75" s="172">
        <f>MIN(IF($AU75=100%,1,1+VLOOKUP(($AJ75-$AI75-$AH75-$AG75-$AF75-$AE75*(1+DF$3))/$AJ75,'Технический лист'!$M:$N,2,1)-VLOOKUP($AO75,'Технический лист'!$M:$N,2,1)),1+(1-$AU75))</f>
        <v/>
      </c>
      <c r="DG75" s="172">
        <f>MIN(IF($AU75=100%,1,1+VLOOKUP(($AJ75-$AI75-$AH75-$AG75-$AF75-$AE75*(1+DG$3))/$AJ75,'Технический лист'!$M:$N,2,1)-VLOOKUP($AO75,'Технический лист'!$M:$N,2,1)),1+(1-$AU75))</f>
        <v/>
      </c>
      <c r="DH75" s="172">
        <f>MIN(IF($AU75=100%,1,1+VLOOKUP(($AJ75-$AI75-$AH75-$AG75-$AF75-$AE75*(1+DH$3))/$AJ75,'Технический лист'!$M:$N,2,1)-VLOOKUP($AO75,'Технический лист'!$M:$N,2,1)),1+(1-$AU75))</f>
        <v/>
      </c>
      <c r="DI75" s="172">
        <f>MIN(IF($AU75=100%,1,1+VLOOKUP(($AJ75-$AI75-$AH75-$AG75-$AF75-$AE75*(1+DI$3))/$AJ75,'Технический лист'!$M:$N,2,1)-VLOOKUP($AO75,'Технический лист'!$M:$N,2,1)),1+(1-$AU75))</f>
        <v/>
      </c>
      <c r="DJ75" s="172">
        <f>MIN(IF($AU75=100%,1,1+VLOOKUP(($AJ75-$AI75-$AH75-$AG75-$AF75-$AE75*(1+DJ$3))/$AJ75,'Технический лист'!$M:$N,2,1)-VLOOKUP($AO75,'Технический лист'!$M:$N,2,1)),1+(1-$AU75))</f>
        <v/>
      </c>
      <c r="DK75" s="172">
        <f>MIN(IF($AU75=100%,1,1+VLOOKUP(($AJ75-$AI75-$AH75-$AG75-$AF75-$AE75*(1+DK$3))/$AJ75,'Технический лист'!$M:$N,2,1)-VLOOKUP($AO75,'Технический лист'!$M:$N,2,1)),1+(1-$AU75))</f>
        <v/>
      </c>
      <c r="DL75" s="172">
        <f>MIN(IF($AU75=100%,1,1+VLOOKUP(($AJ75-$AI75-$AH75-$AG75-$AF75-$AE75*(1+DL$3))/$AJ75,'Технический лист'!$M:$N,2,1)-VLOOKUP($AO75,'Технический лист'!$M:$N,2,1)),1+(1-$AU75))</f>
        <v/>
      </c>
      <c r="DM75" s="172">
        <f>MIN(IF($AU75=100%,1,1+VLOOKUP(($AJ75-$AI75-$AH75-$AG75-$AF75-$AE75*(1+DM$3))/$AJ75,'Технический лист'!$M:$N,2,1)-VLOOKUP($AO75,'Технический лист'!$M:$N,2,1)),1+(1-$AU75))</f>
        <v/>
      </c>
      <c r="DN75" s="172">
        <f>MIN(IF($AU75=100%,1,1+VLOOKUP(($AJ75-$AI75-$AH75-$AG75-$AF75-$AE75*(1+DN$3))/$AJ75,'Технический лист'!$M:$N,2,1)-VLOOKUP($AO75,'Технический лист'!$M:$N,2,1)),1+(1-$AU75))</f>
        <v/>
      </c>
      <c r="DO75" s="172">
        <f>MIN(IF($AU75=100%,1,1+VLOOKUP(($AJ75-$AI75-$AH75-$AG75-$AF75-$AE75*(1+DO$3))/$AJ75,'Технический лист'!$M:$N,2,1)-VLOOKUP($AO75,'Технический лист'!$M:$N,2,1)),1+(1-$AU75))</f>
        <v/>
      </c>
      <c r="DP75" s="172">
        <f>MIN(IF($AU75=100%,1,1+VLOOKUP(($AJ75-$AI75-$AH75-$AG75-$AF75-$AE75*(1+DP$3))/$AJ75,'Технический лист'!$M:$N,2,1)-VLOOKUP($AO75,'Технический лист'!$M:$N,2,1)),1+(1-$AU75))</f>
        <v/>
      </c>
      <c r="DQ75" s="172">
        <f>MIN(IF($AU75=100%,1,1+VLOOKUP(($AJ75-$AI75-$AH75-$AG75-$AF75-$AE75*(1+DQ$3))/$AJ75,'Технический лист'!$M:$N,2,1)-VLOOKUP($AO75,'Технический лист'!$M:$N,2,1)),1+(1-$AU75))</f>
        <v/>
      </c>
      <c r="DR75" s="172">
        <f>MIN(IF($AU75=100%,1,1+VLOOKUP(($AJ75-$AI75-$AH75-$AG75-$AF75-$AE75*(1+DR$3))/$AJ75,'Технический лист'!$M:$N,2,1)-VLOOKUP($AO75,'Технический лист'!$M:$N,2,1)),1+(1-$AU75))</f>
        <v/>
      </c>
      <c r="DS75" s="172">
        <f>MIN(IF($AU75=100%,1,1+VLOOKUP(($AJ75-$AI75-$AH75-$AG75-$AF75-$AE75*(1+DS$3))/$AJ75,'Технический лист'!$M:$N,2,1)-VLOOKUP($AO75,'Технический лист'!$M:$N,2,1)),1+(1-$AU75))</f>
        <v/>
      </c>
      <c r="DT75" s="172">
        <f>MIN(IF($AU75=100%,1,1+VLOOKUP(($AJ75-$AI75-$AH75-$AG75-$AF75-$AE75*(1+DT$3))/$AJ75,'Технический лист'!$M:$N,2,1)-VLOOKUP($AO75,'Технический лист'!$M:$N,2,1)),1+(1-$AU75))</f>
        <v/>
      </c>
      <c r="DU75" s="172">
        <f>MIN(IF($AU75=100%,1,1+VLOOKUP(($AJ75-$AI75-$AH75-$AG75-$AF75-$AE75*(1+DU$3))/$AJ75,'Технический лист'!$M:$N,2,1)-VLOOKUP($AO75,'Технический лист'!$M:$N,2,1)),1+(1-$AU75))</f>
        <v/>
      </c>
      <c r="DV75" s="172">
        <f>MIN(IF($AU75=100%,1,1+VLOOKUP(($AJ75-$AI75-$AH75-$AG75-$AF75-$AE75*(1+DV$3))/$AJ75,'Технический лист'!$M:$N,2,1)-VLOOKUP($AO75,'Технический лист'!$M:$N,2,1)),1+(1-$AU75))</f>
        <v/>
      </c>
      <c r="DW75" s="172">
        <f>MIN(IF($AU75=100%,1,1+VLOOKUP(($AJ75-$AI75-$AH75-$AG75-$AF75-$AE75*(1+DW$3))/$AJ75,'Технический лист'!$M:$N,2,1)-VLOOKUP($AO75,'Технический лист'!$M:$N,2,1)),1+(1-$AU75))</f>
        <v/>
      </c>
      <c r="DX75" s="172">
        <f>MIN(IF($AU75=100%,1,1+VLOOKUP(($AJ75-$AI75-$AH75-$AG75-$AF75-$AE75*(1+DX$3))/$AJ75,'Технический лист'!$M:$N,2,1)-VLOOKUP($AO75,'Технический лист'!$M:$N,2,1)),1+(1-$AU75))</f>
        <v/>
      </c>
      <c r="DY75" s="172">
        <f>MIN(IF($AU75=100%,1,1+VLOOKUP(($AJ75-$AI75-$AH75-$AG75-$AF75-$AE75*(1+DY$3))/$AJ75,'Технический лист'!$M:$N,2,1)-VLOOKUP($AO75,'Технический лист'!$M:$N,2,1)),1+(1-$AU75))</f>
        <v/>
      </c>
      <c r="DZ75" s="172">
        <f>MIN(IF($AU75=100%,1,1+VLOOKUP(($AJ75-$AI75-$AH75-$AG75-$AF75-$AE75*(1+DZ$3))/$AJ75,'Технический лист'!$M:$N,2,1)-VLOOKUP($AO75,'Технический лист'!$M:$N,2,1)),1+(1-$AU75))</f>
        <v/>
      </c>
      <c r="EA75" s="172">
        <f>MIN(IF($AU75=100%,1,1+VLOOKUP(($AJ75-$AI75-$AH75-$AG75-$AF75-$AE75*(1+EA$3))/$AJ75,'Технический лист'!$M:$N,2,1)-VLOOKUP($AO75,'Технический лист'!$M:$N,2,1)),1+(1-$AU75))</f>
        <v/>
      </c>
      <c r="EB75" s="172">
        <f>MIN(IF($AU75=100%,1,1+VLOOKUP(($AJ75-$AI75-$AH75-$AG75-$AF75-$AE75*(1+EB$3))/$AJ75,'Технический лист'!$M:$N,2,1)-VLOOKUP($AO75,'Технический лист'!$M:$N,2,1)),1+(1-$AU75))</f>
        <v/>
      </c>
      <c r="EC75" s="172">
        <f>MIN(IF($AU75=100%,1,1+VLOOKUP(($AJ75-$AI75-$AH75-$AG75-$AF75-$AE75*(1+EC$3))/$AJ75,'Технический лист'!$M:$N,2,1)-VLOOKUP($AO75,'Технический лист'!$M:$N,2,1)),1+(1-$AU75))</f>
        <v/>
      </c>
      <c r="ED75" s="172">
        <f>MIN(IF($AU75=100%,1,1+VLOOKUP(($AJ75-$AI75-$AH75-$AG75-$AF75-$AE75*(1+ED$3))/$AJ75,'Технический лист'!$M:$N,2,1)-VLOOKUP($AO75,'Технический лист'!$M:$N,2,1)),1+(1-$AU75))</f>
        <v/>
      </c>
      <c r="EE75" s="172">
        <f>MIN(IF($AU75=100%,1,1+VLOOKUP(($AJ75-$AI75-$AH75-$AG75-$AF75-$AE75*(1+EE$3))/$AJ75,'Технический лист'!$M:$N,2,1)-VLOOKUP($AO75,'Технический лист'!$M:$N,2,1)),1+(1-$AU75))</f>
        <v/>
      </c>
      <c r="EF75" s="172">
        <f>MIN(IF($AU75=100%,1,1+VLOOKUP(($AJ75-$AI75-$AH75-$AG75-$AF75-$AE75*(1+EF$3))/$AJ75,'Технический лист'!$M:$N,2,1)-VLOOKUP($AO75,'Технический лист'!$M:$N,2,1)),1+(1-$AU75))</f>
        <v/>
      </c>
      <c r="EG75" s="172">
        <f>MIN(IF($AU75=100%,1,1+VLOOKUP(($AJ75-$AI75-$AH75-$AG75-$AF75-$AE75*(1+EG$3))/$AJ75,'Технический лист'!$M:$N,2,1)-VLOOKUP($AO75,'Технический лист'!$M:$N,2,1)),1+(1-$AU75))</f>
        <v/>
      </c>
      <c r="EH75" s="172">
        <f>MIN(IF($AU75=100%,1,1+VLOOKUP(($AJ75-$AI75-$AH75-$AG75-$AF75-$AE75*(1+EH$3))/$AJ75,'Технический лист'!$M:$N,2,1)-VLOOKUP($AO75,'Технический лист'!$M:$N,2,1)),1+(1-$AU75))</f>
        <v/>
      </c>
      <c r="EI75" s="172">
        <f>MIN(IF($AU75=100%,1,1+VLOOKUP(($AJ75-$AI75-$AH75-$AG75-$AF75-$AE75*(1+EI$3))/$AJ75,'Технический лист'!$M:$N,2,1)-VLOOKUP($AO75,'Технический лист'!$M:$N,2,1)),1+(1-$AU75))</f>
        <v/>
      </c>
      <c r="EJ75" s="172">
        <f>MIN(IF($AU75=100%,1,1+VLOOKUP(($AJ75-$AI75-$AH75-$AG75-$AF75-$AE75*(1+EJ$3))/$AJ75,'Технический лист'!$M:$N,2,1)-VLOOKUP($AO75,'Технический лист'!$M:$N,2,1)),1+(1-$AU75))</f>
        <v/>
      </c>
      <c r="EK75" s="172">
        <f>MIN(IF($AU75=100%,1,1+VLOOKUP(($AJ75-$AI75-$AH75-$AG75-$AF75-$AE75*(1+EK$3))/$AJ75,'Технический лист'!$M:$N,2,1)-VLOOKUP($AO75,'Технический лист'!$M:$N,2,1)),1+(1-$AU75))</f>
        <v/>
      </c>
      <c r="EL75" s="172">
        <f>MIN(IF($AU75=100%,1,1+VLOOKUP(($AJ75-$AI75-$AH75-$AG75-$AF75-$AE75*(1+EL$3))/$AJ75,'Технический лист'!$M:$N,2,1)-VLOOKUP($AO75,'Технический лист'!$M:$N,2,1)),1+(1-$AU75))</f>
        <v/>
      </c>
      <c r="EM75" s="172">
        <f>MIN(IF($AU75=100%,1,1+VLOOKUP(($AJ75-$AI75-$AH75-$AG75-$AF75-$AE75*(1+EM$3))/$AJ75,'Технический лист'!$M:$N,2,1)-VLOOKUP($AO75,'Технический лист'!$M:$N,2,1)),1+(1-$AU75))</f>
        <v/>
      </c>
      <c r="EN75" s="172">
        <f>MIN(IF($AU75=100%,1,1+VLOOKUP(($AJ75-$AI75-$AH75-$AG75-$AF75-$AE75*(1+EN$3))/$AJ75,'Технический лист'!$M:$N,2,1)-VLOOKUP($AO75,'Технический лист'!$M:$N,2,1)),1+(1-$AU75))</f>
        <v/>
      </c>
      <c r="EO75" s="172">
        <f>MIN(IF($AU75=100%,1,1+VLOOKUP(($AJ75-$AI75-$AH75-$AG75-$AF75-$AE75*(1+EO$3))/$AJ75,'Технический лист'!$M:$N,2,1)-VLOOKUP($AO75,'Технический лист'!$M:$N,2,1)),1+(1-$AU75))</f>
        <v/>
      </c>
      <c r="EP75" s="172">
        <f>MIN(IF($AU75=100%,1,1+VLOOKUP(($AJ75-$AI75-$AH75-$AG75-$AF75-$AE75*(1+EP$3))/$AJ75,'Технический лист'!$M:$N,2,1)-VLOOKUP($AO75,'Технический лист'!$M:$N,2,1)),1+(1-$AU75))</f>
        <v/>
      </c>
      <c r="EQ75" s="172">
        <f>MIN(IF($AU75=100%,1,1+VLOOKUP(($AJ75-$AI75-$AH75-$AG75-$AF75-$AE75*(1+EQ$3))/$AJ75,'Технический лист'!$M:$N,2,1)-VLOOKUP($AO75,'Технический лист'!$M:$N,2,1)),1+(1-$AU75))</f>
        <v/>
      </c>
      <c r="ER75" s="172">
        <f>MIN(IF($AU75=100%,1,1+VLOOKUP(($AJ75-$AI75-$AH75-$AG75-$AF75-$AE75*(1+ER$3))/$AJ75,'Технический лист'!$M:$N,2,1)-VLOOKUP($AO75,'Технический лист'!$M:$N,2,1)),1+(1-$AU75))</f>
        <v/>
      </c>
      <c r="ES75" s="172">
        <f>MIN(IF($AU75=100%,1,1+VLOOKUP(($AJ75-$AI75-$AH75-$AG75-$AF75-$AE75*(1+ES$3))/$AJ75,'Технический лист'!$M:$N,2,1)-VLOOKUP($AO75,'Технический лист'!$M:$N,2,1)),1+(1-$AU75))</f>
        <v/>
      </c>
      <c r="ET75" s="172">
        <f>MIN(IF($AU75=100%,1,1+VLOOKUP(($AJ75-$AI75-$AH75-$AG75-$AF75-$AE75*(1+ET$3))/$AJ75,'Технический лист'!$M:$N,2,1)-VLOOKUP($AO75,'Технический лист'!$M:$N,2,1)),1+(1-$AU75))</f>
        <v/>
      </c>
      <c r="EU75" s="172">
        <f>MIN(IF($AU75=100%,1,1+VLOOKUP(($AJ75-$AI75-$AH75-$AG75-$AF75-$AE75*(1+EU$3))/$AJ75,'Технический лист'!$M:$N,2,1)-VLOOKUP($AO75,'Технический лист'!$M:$N,2,1)),1+(1-$AU75))</f>
        <v/>
      </c>
      <c r="EV75" s="173" t="n">
        <v>1</v>
      </c>
      <c r="EW75" s="172">
        <f>MIN(1,MAX(VLOOKUP(($AJ75-$AI75-$AH75-$AG75-$AF75-$AE75*(1+EW$3))/$AJ75,'Технический лист'!$M:$N,2,1),(EV75-0.05)))</f>
        <v/>
      </c>
      <c r="EX75" s="172">
        <f>MIN(1,MAX(VLOOKUP(($AJ75-$AI75-$AH75-$AG75-$AF75-$AE75*(1+EX$3))/$AJ75,'Технический лист'!$M:$N,2,1),(EW75-0.05)))</f>
        <v/>
      </c>
      <c r="EY75" s="172">
        <f>MIN(1,MAX(VLOOKUP(($AJ75-$AI75-$AH75-$AG75-$AF75-$AE75*(1+EY$3))/$AJ75,'Технический лист'!$M:$N,2,1),(EX75-0.05)))</f>
        <v/>
      </c>
      <c r="EZ75" s="172">
        <f>MIN(1,MAX(VLOOKUP(($AJ75-$AI75-$AH75-$AG75-$AF75-$AE75*(1+EZ$3))/$AJ75,'Технический лист'!$M:$N,2,1),(EY75-0.05)))</f>
        <v/>
      </c>
      <c r="FA75" s="172">
        <f>MIN(1,MAX(VLOOKUP(($AJ75-$AI75-$AH75-$AG75-$AF75-$AE75*(1+FA$3))/$AJ75,'Технический лист'!$M:$N,2,1),(EZ75-0.05)))</f>
        <v/>
      </c>
      <c r="FB75" s="172">
        <f>MIN(1,MAX(VLOOKUP(($AJ75-$AI75-$AH75-$AG75-$AF75-$AE75*(1+FB$3))/$AJ75,'Технический лист'!$M:$N,2,1),(FA75-0.05)))</f>
        <v/>
      </c>
      <c r="FC75" s="172">
        <f>MIN(1,MAX(VLOOKUP(($AJ75-$AI75-$AH75-$AG75-$AF75-$AE75*(1+FC$3))/$AJ75,'Технический лист'!$M:$N,2,1),(FB75-0.05)))</f>
        <v/>
      </c>
      <c r="FD75" s="172">
        <f>MIN(1,MAX(VLOOKUP(($AJ75-$AI75-$AH75-$AG75-$AF75-$AE75*(1+FD$3))/$AJ75,'Технический лист'!$M:$N,2,1),(FC75-0.05)))</f>
        <v/>
      </c>
      <c r="FE75" s="172">
        <f>MIN(1,MAX(VLOOKUP(($AJ75-$AI75-$AH75-$AG75-$AF75-$AE75*(1+FE$3))/$AJ75,'Технический лист'!$M:$N,2,1),(FD75-0.05)))</f>
        <v/>
      </c>
      <c r="FF75" s="172">
        <f>MIN(1,MAX(VLOOKUP(($AJ75-$AI75-$AH75-$AG75-$AF75-$AE75*(1+FF$3))/$AJ75,'Технический лист'!$M:$N,2,1),(FE75-0.05)))</f>
        <v/>
      </c>
      <c r="FG75" s="172">
        <f>MIN(1,MAX(VLOOKUP(($AJ75-$AI75-$AH75-$AG75-$AF75-$AE75*(1+FG$3))/$AJ75,'Технический лист'!$M:$N,2,1),(FF75-0.05)))</f>
        <v/>
      </c>
      <c r="FH75" s="172">
        <f>MIN(1,MAX(VLOOKUP(($AJ75-$AI75-$AH75-$AG75-$AF75-$AE75*(1+FH$3))/$AJ75,'Технический лист'!$M:$N,2,1),(FG75-0.05)))</f>
        <v/>
      </c>
      <c r="FI75" s="172">
        <f>MIN(1,MAX(VLOOKUP(($AJ75-$AI75-$AH75-$AG75-$AF75-$AE75*(1+FI$3))/$AJ75,'Технический лист'!$M:$N,2,1),(FH75-0.05)))</f>
        <v/>
      </c>
      <c r="FJ75" s="172">
        <f>MIN(1,MAX(VLOOKUP(($AJ75-$AI75-$AH75-$AG75-$AF75-$AE75*(1+FJ$3))/$AJ75,'Технический лист'!$M:$N,2,1),(FI75-0.05)))</f>
        <v/>
      </c>
      <c r="FK75" s="172">
        <f>MIN(1,MAX(VLOOKUP(($AJ75-$AI75-$AH75-$AG75-$AF75-$AE75*(1+FK$3))/$AJ75,'Технический лист'!$M:$N,2,1),(FJ75-0.05)))</f>
        <v/>
      </c>
      <c r="FL75" s="172">
        <f>MIN(1,MAX(VLOOKUP(($AJ75-$AI75-$AH75-$AG75-$AF75-$AE75*(1+FL$3))/$AJ75,'Технический лист'!$M:$N,2,1),(FK75-0.05)))</f>
        <v/>
      </c>
      <c r="FM75" s="172">
        <f>MIN(1,MAX(VLOOKUP(($AJ75-$AI75-$AH75-$AG75-$AF75-$AE75*(1+FM$3))/$AJ75,'Технический лист'!$M:$N,2,1),(FL75-0.05)))</f>
        <v/>
      </c>
      <c r="FN75" s="172">
        <f>MIN(1,MAX(VLOOKUP(($AJ75-$AI75-$AH75-$AG75-$AF75-$AE75*(1+FN$3))/$AJ75,'Технический лист'!$M:$N,2,1),(FM75-0.05)))</f>
        <v/>
      </c>
      <c r="FO75" s="172">
        <f>MIN(1,MAX(VLOOKUP(($AJ75-$AI75-$AH75-$AG75-$AF75-$AE75*(1+FO$3))/$AJ75,'Технический лист'!$M:$N,2,1),(FN75-0.05)))</f>
        <v/>
      </c>
      <c r="FP75" s="172">
        <f>MIN(1,MAX(VLOOKUP(($AJ75-$AI75-$AH75-$AG75-$AF75-$AE75*(1+FP$3))/$AJ75,'Технический лист'!$M:$N,2,1),(FO75-0.05)))</f>
        <v/>
      </c>
      <c r="FQ75" s="172">
        <f>MIN(1,MAX(VLOOKUP(($AJ75-$AI75-$AH75-$AG75-$AF75-$AE75*(1+FQ$3))/$AJ75,'Технический лист'!$M:$N,2,1),(FP75-0.05)))</f>
        <v/>
      </c>
      <c r="FR75" s="172">
        <f>MIN(1,MAX(VLOOKUP(($AJ75-$AI75-$AH75-$AG75-$AF75-$AE75*(1+FR$3))/$AJ75,'Технический лист'!$M:$N,2,1),(FQ75-0.05)))</f>
        <v/>
      </c>
      <c r="FS75" s="172">
        <f>MIN(1,MAX(VLOOKUP(($AJ75-$AI75-$AH75-$AG75-$AF75-$AE75*(1+FS$3))/$AJ75,'Технический лист'!$M:$N,2,1),(FR75-0.05)))</f>
        <v/>
      </c>
      <c r="FT75" s="172">
        <f>MIN(1,MAX(VLOOKUP(($AJ75-$AI75-$AH75-$AG75-$AF75-$AE75*(1+FT$3))/$AJ75,'Технический лист'!$M:$N,2,1),(FS75-0.05)))</f>
        <v/>
      </c>
      <c r="FU75" s="172">
        <f>MIN(1,MAX(VLOOKUP(($AJ75-$AI75-$AH75-$AG75-$AF75-$AE75*(1+FU$3))/$AJ75,'Технический лист'!$M:$N,2,1),(FT75-0.05)))</f>
        <v/>
      </c>
      <c r="FV75" s="172">
        <f>MIN(1,MAX(VLOOKUP(($AJ75-$AI75-$AH75-$AG75-$AF75-$AE75*(1+FV$3))/$AJ75,'Технический лист'!$M:$N,2,1),(FU75-0.05)))</f>
        <v/>
      </c>
      <c r="FW75" s="172">
        <f>MIN(1,MAX(VLOOKUP(($AJ75-$AI75-$AH75-$AG75-$AF75-$AE75*(1+FW$3))/$AJ75,'Технический лист'!$M:$N,2,1),(FV75-0.05)))</f>
        <v/>
      </c>
      <c r="FX75" s="172">
        <f>MIN(1,MAX(VLOOKUP(($AJ75-$AI75-$AH75-$AG75-$AF75-$AE75*(1+FX$3))/$AJ75,'Технический лист'!$M:$N,2,1),(FW75-0.05)))</f>
        <v/>
      </c>
      <c r="FY75" s="172">
        <f>MIN(1,MAX(VLOOKUP(($AJ75-$AI75-$AH75-$AG75-$AF75-$AE75*(1+FY$3))/$AJ75,'Технический лист'!$M:$N,2,1),(FX75-0.05)))</f>
        <v/>
      </c>
      <c r="FZ75" s="172">
        <f>MIN(1,MAX(VLOOKUP(($AJ75-$AI75-$AH75-$AG75-$AF75-$AE75*(1+FZ$3))/$AJ75,'Технический лист'!$M:$N,2,1),(FY75-0.05)))</f>
        <v/>
      </c>
      <c r="GA75" s="172">
        <f>MIN(1,MAX(VLOOKUP(($AJ75-$AI75-$AH75-$AG75-$AF75-$AE75*(1+GA$3))/$AJ75,'Технический лист'!$M:$N,2,1),(FZ75-0.05)))</f>
        <v/>
      </c>
      <c r="GB75" s="172">
        <f>MIN(1,MAX(VLOOKUP(($AJ75-$AI75-$AH75-$AG75-$AF75-$AE75*(1+GB$3))/$AJ75,'Технический лист'!$M:$N,2,1),(GA75-0.05)))</f>
        <v/>
      </c>
      <c r="GC75" s="172">
        <f>MIN(1,MAX(VLOOKUP(($AJ75-$AI75-$AH75-$AG75-$AF75-$AE75*(1+GC$3))/$AJ75,'Технический лист'!$M:$N,2,1),(GB75-0.05)))</f>
        <v/>
      </c>
      <c r="GD75" s="172">
        <f>MIN(1,MAX(VLOOKUP(($AJ75-$AI75-$AH75-$AG75-$AF75-$AE75*(1+GD$3))/$AJ75,'Технический лист'!$M:$N,2,1),(GC75-0.05)))</f>
        <v/>
      </c>
      <c r="GE75" s="172">
        <f>MIN(1,MAX(VLOOKUP(($AJ75-$AI75-$AH75-$AG75-$AF75-$AE75*(1+GE$3))/$AJ75,'Технический лист'!$M:$N,2,1),(GD75-0.05)))</f>
        <v/>
      </c>
      <c r="GF75" s="172">
        <f>MIN(1,MAX(VLOOKUP(($AJ75-$AI75-$AH75-$AG75-$AF75-$AE75*(1+GF$3))/$AJ75,'Технический лист'!$M:$N,2,1),(GE75-0.05)))</f>
        <v/>
      </c>
      <c r="GG75" s="172">
        <f>MIN(1,MAX(VLOOKUP(($AJ75-$AI75-$AH75-$AG75-$AF75-$AE75*(1+GG$3))/$AJ75,'Технический лист'!$M:$N,2,1),(GF75-0.05)))</f>
        <v/>
      </c>
      <c r="GH75" s="172">
        <f>MIN(1,MAX(VLOOKUP(($AJ75-$AI75-$AH75-$AG75-$AF75-$AE75*(1+GH$3))/$AJ75,'Технический лист'!$M:$N,2,1),(GG75-0.05)))</f>
        <v/>
      </c>
      <c r="GI75" s="172">
        <f>MIN(1,MAX(VLOOKUP(($AJ75-$AI75-$AH75-$AG75-$AF75-$AE75*(1+GI$3))/$AJ75,'Технический лист'!$M:$N,2,1),(GH75-0.05)))</f>
        <v/>
      </c>
      <c r="GJ75" s="172">
        <f>MIN(1,MAX(VLOOKUP(($AJ75-$AI75-$AH75-$AG75-$AF75-$AE75*(1+GJ$3))/$AJ75,'Технический лист'!$M:$N,2,1),(GI75-0.05)))</f>
        <v/>
      </c>
      <c r="GK75" s="172">
        <f>MIN(1,MAX(VLOOKUP(($AJ75-$AI75-$AH75-$AG75-$AF75-$AE75*(1+GK$3))/$AJ75,'Технический лист'!$M:$N,2,1),(GJ75-0.05)))</f>
        <v/>
      </c>
      <c r="GL75" s="172">
        <f>MIN(1,MAX(VLOOKUP(($AJ75-$AI75-$AH75-$AG75-$AF75-$AE75*(1+GL$3))/$AJ75,'Технический лист'!$M:$N,2,1),(GK75-0.05)))</f>
        <v/>
      </c>
      <c r="GM75" s="172">
        <f>MIN(1,MAX(VLOOKUP(($AJ75-$AI75-$AH75-$AG75-$AF75-$AE75*(1+GM$3))/$AJ75,'Технический лист'!$M:$N,2,1),(GL75-0.05)))</f>
        <v/>
      </c>
      <c r="GN75" s="172">
        <f>MIN(1,MAX(VLOOKUP(($AJ75-$AI75-$AH75-$AG75-$AF75-$AE75*(1+GN$3))/$AJ75,'Технический лист'!$M:$N,2,1),(GM75-0.05)))</f>
        <v/>
      </c>
      <c r="GO75" s="172">
        <f>MIN(1,MAX(VLOOKUP(($AJ75-$AI75-$AH75-$AG75-$AF75-$AE75*(1+GO$3))/$AJ75,'Технический лист'!$M:$N,2,1),(GN75-0.05)))</f>
        <v/>
      </c>
      <c r="GP75" s="172">
        <f>MIN(1,MAX(VLOOKUP(($AJ75-$AI75-$AH75-$AG75-$AF75-$AE75*(1+GP$3))/$AJ75,'Технический лист'!$M:$N,2,1),(GO75-0.05)))</f>
        <v/>
      </c>
      <c r="GQ75" s="172">
        <f>MIN(1,MAX(VLOOKUP(($AJ75-$AI75-$AH75-$AG75-$AF75-$AE75*(1+GQ$3))/$AJ75,'Технический лист'!$M:$N,2,1),(GP75-0.05)))</f>
        <v/>
      </c>
      <c r="GR75" s="172">
        <f>MIN(1,MAX(VLOOKUP(($AJ75-$AI75-$AH75-$AG75-$AF75-$AE75*(1+GR$3))/$AJ75,'Технический лист'!$M:$N,2,1),(GQ75-0.05)))</f>
        <v/>
      </c>
      <c r="GS75" s="172">
        <f>MIN(1,MAX(VLOOKUP(($AJ75-$AI75-$AH75-$AG75-$AF75-$AE75*(1+GS$3))/$AJ75,'Технический лист'!$M:$N,2,1),(GR75-0.05)))</f>
        <v/>
      </c>
      <c r="GT75" s="172">
        <f>MIN(1,MAX(VLOOKUP(($AJ75-$AI75-$AH75-$AG75-$AF75-$AE75*(1+GT$3))/$AJ75,'Технический лист'!$M:$N,2,1),(GS75-0.05)))</f>
        <v/>
      </c>
      <c r="GU75" s="172">
        <f>MIN(1,MAX(VLOOKUP(($AJ75-$AI75-$AH75-$AG75-$AF75-$AE75*(1+GU$3))/$AJ75,'Технический лист'!$M:$N,2,1),(GT75-0.05)))</f>
        <v/>
      </c>
      <c r="GV75" s="172">
        <f>MIN(1,MAX(VLOOKUP(($AJ75-$AI75-$AH75-$AG75-$AF75-$AE75*(1+GV$3))/$AJ75,'Технический лист'!$M:$N,2,1),(GU75-0.05)))</f>
        <v/>
      </c>
      <c r="GW75" s="172">
        <f>MIN(1,MAX(VLOOKUP(($AJ75-$AI75-$AH75-$AG75-$AF75-$AE75*(1+GW$3))/$AJ75,'Технический лист'!$M:$N,2,1),(GV75-0.05)))</f>
        <v/>
      </c>
      <c r="GX75" s="172">
        <f>MIN(1,MAX(VLOOKUP(($AJ75-$AI75-$AH75-$AG75-$AF75-$AE75*(1+GX$3))/$AJ75,'Технический лист'!$M:$N,2,1),(GW75-0.05)))</f>
        <v/>
      </c>
      <c r="GY75" s="172">
        <f>MIN(1,MAX(VLOOKUP(($AJ75-$AI75-$AH75-$AG75-$AF75-$AE75*(1+GY$3))/$AJ75,'Технический лист'!$M:$N,2,1),(GX75-0.05)))</f>
        <v/>
      </c>
      <c r="GZ75" s="172">
        <f>MIN(1,MAX(VLOOKUP(($AJ75-$AI75-$AH75-$AG75-$AF75-$AE75*(1+GZ$3))/$AJ75,'Технический лист'!$M:$N,2,1),(GY75-0.05)))</f>
        <v/>
      </c>
      <c r="HA75" s="172">
        <f>MIN(1,MAX(VLOOKUP(($AJ75-$AI75-$AH75-$AG75-$AF75-$AE75*(1+HA$3))/$AJ75,'Технический лист'!$M:$N,2,1),(GZ75-0.05)))</f>
        <v/>
      </c>
      <c r="HB75" s="172">
        <f>MIN(1,MAX(VLOOKUP(($AJ75-$AI75-$AH75-$AG75-$AF75-$AE75*(1+HB$3))/$AJ75,'Технический лист'!$M:$N,2,1),(HA75-0.05)))</f>
        <v/>
      </c>
      <c r="HC75" s="172">
        <f>MIN(1,MAX(VLOOKUP(($AJ75-$AI75-$AH75-$AG75-$AF75-$AE75*(1+HC$3))/$AJ75,'Технический лист'!$M:$N,2,1),(HB75-0.05)))</f>
        <v/>
      </c>
      <c r="HD75" s="172">
        <f>MIN(1,MAX(VLOOKUP(($AJ75-$AI75-$AH75-$AG75-$AF75-$AE75*(1+HD$3))/$AJ75,'Технический лист'!$M:$N,2,1),(HC75-0.05)))</f>
        <v/>
      </c>
      <c r="HE75" s="172">
        <f>MIN(1,MAX(VLOOKUP(($AJ75-$AI75-$AH75-$AG75-$AF75-$AE75*(1+HE$3))/$AJ75,'Технический лист'!$M:$N,2,1),(HD75-0.05)))</f>
        <v/>
      </c>
      <c r="HF75" s="172">
        <f>MIN(1,MAX(VLOOKUP(($AJ75-$AI75-$AH75-$AG75-$AF75-$AE75*(1+HF$3))/$AJ75,'Технический лист'!$M:$N,2,1),(HE75-0.05)))</f>
        <v/>
      </c>
      <c r="HG75" s="172">
        <f>MIN(1,MAX(VLOOKUP(($AJ75-$AI75-$AH75-$AG75-$AF75-$AE75*(1+HG$3))/$AJ75,'Технический лист'!$M:$N,2,1),(HF75-0.05)))</f>
        <v/>
      </c>
      <c r="HH75" s="172">
        <f>MIN(1,MAX(VLOOKUP(($AJ75-$AI75-$AH75-$AG75-$AF75-$AE75*(1+HH$3))/$AJ75,'Технический лист'!$M:$N,2,1),(HG75-0.05)))</f>
        <v/>
      </c>
      <c r="HI75" s="172">
        <f>MIN(1,MAX(VLOOKUP(($AJ75-$AI75-$AH75-$AG75-$AF75-$AE75*(1+HI$3))/$AJ75,'Технический лист'!$M:$N,2,1),(HH75-0.05)))</f>
        <v/>
      </c>
      <c r="HJ75" s="172">
        <f>MIN(1,MAX(VLOOKUP(($AJ75-$AI75-$AH75-$AG75-$AF75-$AE75*(1+HJ$3))/$AJ75,'Технический лист'!$M:$N,2,1),(HI75-0.05)))</f>
        <v/>
      </c>
      <c r="HK75" s="172">
        <f>MIN(1,MAX(VLOOKUP(($AJ75-$AI75-$AH75-$AG75-$AF75-$AE75*(1+HK$3))/$AJ75,'Технический лист'!$M:$N,2,1),(HJ75-0.05)))</f>
        <v/>
      </c>
      <c r="HL75" s="172">
        <f>MIN(1,MAX(VLOOKUP(($AJ75-$AI75-$AH75-$AG75-$AF75-$AE75*(1+HL$3))/$AJ75,'Технический лист'!$M:$N,2,1),(HK75-0.05)))</f>
        <v/>
      </c>
      <c r="HM75" s="172">
        <f>MIN(1,MAX(VLOOKUP(($AJ75-$AI75-$AH75-$AG75-$AF75-$AE75*(1+HM$3))/$AJ75,'Технический лист'!$M:$N,2,1),(HL75-0.05)))</f>
        <v/>
      </c>
      <c r="HN75" s="172">
        <f>MIN(1,MAX(VLOOKUP(($AJ75-$AI75-$AH75-$AG75-$AF75-$AE75*(1+HN$3))/$AJ75,'Технический лист'!$M:$N,2,1),(HM75-0.05)))</f>
        <v/>
      </c>
      <c r="HO75" s="172">
        <f>MIN(1,MAX(VLOOKUP(($AJ75-$AI75-$AH75-$AG75-$AF75-$AE75*(1+HO$3))/$AJ75,'Технический лист'!$M:$N,2,1),(HN75-0.05)))</f>
        <v/>
      </c>
      <c r="HP75" s="172">
        <f>MIN(1,MAX(VLOOKUP(($AJ75-$AI75-$AH75-$AG75-$AF75-$AE75*(1+HP$3))/$AJ75,'Технический лист'!$M:$N,2,1),(HO75-0.05)))</f>
        <v/>
      </c>
      <c r="HQ75" s="172">
        <f>MIN(1,MAX(VLOOKUP(($AJ75-$AI75-$AH75-$AG75-$AF75-$AE75*(1+HQ$3))/$AJ75,'Технический лист'!$M:$N,2,1),(HP75-0.05)))</f>
        <v/>
      </c>
      <c r="HR75" s="172">
        <f>MIN(1,MAX(VLOOKUP(($AJ75-$AI75-$AH75-$AG75-$AF75-$AE75*(1+HR$3))/$AJ75,'Технический лист'!$M:$N,2,1),(HQ75-0.05)))</f>
        <v/>
      </c>
      <c r="HS75" s="172">
        <f>MIN(1,MAX(VLOOKUP(($AJ75-$AI75-$AH75-$AG75-$AF75-$AE75*(1+HS$3))/$AJ75,'Технический лист'!$M:$N,2,1),(HR75-0.05)))</f>
        <v/>
      </c>
      <c r="HT75" s="172">
        <f>MIN(1,MAX(VLOOKUP(($AJ75-$AI75-$AH75-$AG75-$AF75-$AE75*(1+HT$3))/$AJ75,'Технический лист'!$M:$N,2,1),(HS75-0.05)))</f>
        <v/>
      </c>
      <c r="HU75" s="172">
        <f>MIN(1,MAX(VLOOKUP(($AJ75-$AI75-$AH75-$AG75-$AF75-$AE75*(1+HU$3))/$AJ75,'Технический лист'!$M:$N,2,1),(HT75-0.05)))</f>
        <v/>
      </c>
      <c r="HV75" s="172">
        <f>MIN(1,MAX(VLOOKUP(($AJ75-$AI75-$AH75-$AG75-$AF75-$AE75*(1+HV$3))/$AJ75,'Технический лист'!$M:$N,2,1),(HU75-0.05)))</f>
        <v/>
      </c>
      <c r="HW75" s="172">
        <f>MIN(1,MAX(VLOOKUP(($AJ75-$AI75-$AH75-$AG75-$AF75-$AE75*(1+HW$3))/$AJ75,'Технический лист'!$M:$N,2,1),(HV75-0.05)))</f>
        <v/>
      </c>
      <c r="HX75" s="172">
        <f>MIN(1,MAX(VLOOKUP(($AJ75-$AI75-$AH75-$AG75-$AF75-$AE75*(1+HX$3))/$AJ75,'Технический лист'!$M:$N,2,1),(HW75-0.05)))</f>
        <v/>
      </c>
      <c r="HY75" s="172">
        <f>MIN(1,MAX(VLOOKUP(($AJ75-$AI75-$AH75-$AG75-$AF75-$AE75*(1+HY$3))/$AJ75,'Технический лист'!$M:$N,2,1),(HX75-0.05)))</f>
        <v/>
      </c>
      <c r="HZ75" s="172">
        <f>MIN(1,MAX(VLOOKUP(($AJ75-$AI75-$AH75-$AG75-$AF75-$AE75*(1+HZ$3))/$AJ75,'Технический лист'!$M:$N,2,1),(HY75-0.05)))</f>
        <v/>
      </c>
      <c r="IA75" s="172">
        <f>MIN(1,MAX(VLOOKUP(($AJ75-$AI75-$AH75-$AG75-$AF75-$AE75*(1+IA$3))/$AJ75,'Технический лист'!$M:$N,2,1),(HZ75-0.05)))</f>
        <v/>
      </c>
      <c r="IB75" s="172">
        <f>MIN(1,MAX(VLOOKUP(($AJ75-$AI75-$AH75-$AG75-$AF75-$AE75*(1+IB$3))/$AJ75,'Технический лист'!$M:$N,2,1),(IA75-0.05)))</f>
        <v/>
      </c>
      <c r="IC75" s="172">
        <f>MIN(1,MAX(VLOOKUP(($AJ75-$AI75-$AH75-$AG75-$AF75-$AE75*(1+IC$3))/$AJ75,'Технический лист'!$M:$N,2,1),(IB75-0.05)))</f>
        <v/>
      </c>
      <c r="ID75" s="172">
        <f>MIN(1,MAX(VLOOKUP(($AJ75-$AI75-$AH75-$AG75-$AF75-$AE75*(1+ID$3))/$AJ75,'Технический лист'!$M:$N,2,1),(IC75-0.05)))</f>
        <v/>
      </c>
      <c r="IE75" s="172">
        <f>MIN(1,MAX(VLOOKUP(($AJ75-$AI75-$AH75-$AG75-$AF75-$AE75*(1+IE$3))/$AJ75,'Технический лист'!$M:$N,2,1),(ID75-0.05)))</f>
        <v/>
      </c>
      <c r="IF75" s="172">
        <f>MIN(1,MAX(VLOOKUP(($AJ75-$AI75-$AH75-$AG75-$AF75-$AE75*(1+IF$3))/$AJ75,'Технический лист'!$M:$N,2,1),(IE75-0.05)))</f>
        <v/>
      </c>
      <c r="IG75" s="172">
        <f>MIN(1,MAX(VLOOKUP(($AJ75-$AI75-$AH75-$AG75-$AF75-$AE75*(1+IG$3))/$AJ75,'Технический лист'!$M:$N,2,1),(IF75-0.05)))</f>
        <v/>
      </c>
      <c r="IH75" s="172">
        <f>MIN(1,MAX(VLOOKUP(($AJ75-$AI75-$AH75-$AG75-$AF75-$AE75*(1+IH$3))/$AJ75,'Технический лист'!$M:$N,2,1),(IG75-0.05)))</f>
        <v/>
      </c>
      <c r="II75" s="172">
        <f>MIN(1,MAX(VLOOKUP(($AJ75-$AI75-$AH75-$AG75-$AF75-$AE75*(1+II$3))/$AJ75,'Технический лист'!$M:$N,2,1),(IH75-0.05)))</f>
        <v/>
      </c>
      <c r="IJ75" s="172">
        <f>MIN(1,MAX(VLOOKUP(($AJ75-$AI75-$AH75-$AG75-$AF75-$AE75*(1+IJ$3))/$AJ75,'Технический лист'!$M:$N,2,1),(II75-0.05)))</f>
        <v/>
      </c>
      <c r="IK75" s="172">
        <f>MIN(1,MAX(VLOOKUP(($AJ75-$AI75-$AH75-$AG75-$AF75-$AE75*(1+IK$3))/$AJ75,'Технический лист'!$M:$N,2,1),(IJ75-0.05)))</f>
        <v/>
      </c>
      <c r="IL75" s="172">
        <f>MIN(1,MAX(VLOOKUP(($AJ75-$AI75-$AH75-$AG75-$AF75-$AE75*(1+IL$3))/$AJ75,'Технический лист'!$M:$N,2,1),(IK75-0.05)))</f>
        <v/>
      </c>
      <c r="IM75" s="172">
        <f>MIN(1,MAX(VLOOKUP(($AJ75-$AI75-$AH75-$AG75-$AF75-$AE75*(1+IM$3))/$AJ75,'Технический лист'!$M:$N,2,1),(IL75-0.05)))</f>
        <v/>
      </c>
      <c r="IN75" s="172">
        <f>MIN(1,MAX(VLOOKUP(($AJ75-$AI75-$AH75-$AG75-$AF75-$AE75*(1+IN$3))/$AJ75,'Технический лист'!$M:$N,2,1),(IM75-0.05)))</f>
        <v/>
      </c>
      <c r="IO75" s="172">
        <f>MIN(1,MAX(VLOOKUP(($AJ75-$AI75-$AH75-$AG75-$AF75-$AE75*(1+IO$3))/$AJ75,'Технический лист'!$M:$N,2,1),(IN75-0.05)))</f>
        <v/>
      </c>
      <c r="IP75" s="172">
        <f>MIN(1,MAX(VLOOKUP(($AJ75-$AI75-$AH75-$AG75-$AF75-$AE75*(1+IP$3))/$AJ75,'Технический лист'!$M:$N,2,1),(IO75-0.05)))</f>
        <v/>
      </c>
      <c r="IQ75" s="172">
        <f>MIN(1,MAX(VLOOKUP(($AJ75-$AI75-$AH75-$AG75-$AF75-$AE75*(1+IQ$3))/$AJ75,'Технический лист'!$M:$N,2,1),(IP75-0.05)))</f>
        <v/>
      </c>
      <c r="IR75" s="172">
        <f>MIN(1,MAX(VLOOKUP(($AJ75-$AI75-$AH75-$AG75-$AF75-$AE75*(1+IR$3))/$AJ75,'Технический лист'!$M:$N,2,1),(IQ75-0.05)))</f>
        <v/>
      </c>
    </row>
    <row r="76" ht="29.15" customFormat="1" customHeight="1" s="6">
      <c r="A76" s="89" t="inlineStr">
        <is>
          <t>ЦМ (сырье)</t>
        </is>
      </c>
      <c r="B76" s="76" t="n">
        <v>4</v>
      </c>
      <c r="C76" s="3" t="inlineStr">
        <is>
          <t>Руды  всякие</t>
        </is>
      </c>
      <c r="D76" s="77" t="n">
        <v>15119</v>
      </c>
      <c r="E76" s="77" t="inlineStr">
        <is>
          <t xml:space="preserve">Концентрат никелевый </t>
        </is>
      </c>
      <c r="F76" s="77" t="inlineStr">
        <is>
          <t xml:space="preserve">Сырье цветных металлов, сырье серное </t>
        </is>
      </c>
      <c r="G76" s="77" t="inlineStr">
        <is>
          <t>ОКТ</t>
        </is>
      </c>
      <c r="H76" s="77" t="inlineStr">
        <is>
          <t>ОКТ</t>
        </is>
      </c>
      <c r="I76" s="77" t="inlineStr">
        <is>
          <t>ЗАПОЛЯРНАЯ</t>
        </is>
      </c>
      <c r="J76" s="77" t="inlineStr">
        <is>
          <t>НОВ.ПОРТ-ЭКС</t>
        </is>
      </c>
      <c r="K76" s="77" t="n">
        <v>1593</v>
      </c>
      <c r="L76" s="77" t="inlineStr">
        <is>
          <t>Платформы</t>
        </is>
      </c>
      <c r="M76" s="77" t="inlineStr">
        <is>
          <t>Экспорт</t>
        </is>
      </c>
      <c r="N76" s="77" t="inlineStr">
        <is>
          <t>контейнерная</t>
        </is>
      </c>
      <c r="O76" s="77" t="inlineStr">
        <is>
          <t xml:space="preserve">Северо-Западное </t>
        </is>
      </c>
      <c r="P76" s="79" t="inlineStr">
        <is>
          <t>'000048200234</t>
        </is>
      </c>
      <c r="Q76" s="77" t="inlineStr">
        <is>
          <t>ПАО "ГМК "Норильский никель"</t>
        </is>
      </c>
      <c r="R76" s="77" t="inlineStr">
        <is>
          <t>ПАО "ГМК "Норильский никель"</t>
        </is>
      </c>
      <c r="S76" s="80" t="n">
        <v>51179</v>
      </c>
      <c r="T76" s="80" t="n">
        <v>81527965</v>
      </c>
      <c r="U76" s="88" t="n">
        <v>1000</v>
      </c>
      <c r="V76" s="88" t="n">
        <v>0</v>
      </c>
      <c r="W76" s="87" t="n">
        <v>47167864</v>
      </c>
      <c r="X76" s="112" t="n">
        <v>52</v>
      </c>
      <c r="Y76" s="112" t="inlineStr">
        <is>
          <t>контейнерный поезд</t>
        </is>
      </c>
      <c r="Z76" s="113" t="n">
        <v>6</v>
      </c>
      <c r="AA76" s="113" t="n">
        <v>0</v>
      </c>
      <c r="AB76" s="113" t="n">
        <v>4</v>
      </c>
      <c r="AC76" s="161">
        <f>74412/X76</f>
        <v/>
      </c>
      <c r="AD76" s="161" t="n">
        <v>0</v>
      </c>
      <c r="AE76" s="161">
        <f>AC76</f>
        <v/>
      </c>
      <c r="AF76" s="162">
        <f>(AB76+AA76+Z76)*'Ставки аренды'!$B$6/X76</f>
        <v/>
      </c>
      <c r="AG76" s="163">
        <f>'Ставки перевалки'!$B$16*2/X76</f>
        <v/>
      </c>
      <c r="AH76" s="164" t="n">
        <v>0</v>
      </c>
      <c r="AI76" s="165">
        <f>575152/1082467*AJ76</f>
        <v/>
      </c>
      <c r="AJ76" s="166">
        <f>Цены!C34*'Курсы валют'!B2</f>
        <v/>
      </c>
      <c r="AK76" s="164">
        <f>AJ76/Цены!$B$1</f>
        <v/>
      </c>
      <c r="AL76" s="164">
        <f>AE76+AF76+AG76</f>
        <v/>
      </c>
      <c r="AM76" s="164">
        <f>AJ76-AL76</f>
        <v/>
      </c>
      <c r="AN76" s="164">
        <f>AI76+AH76+AG76+AF76+AE76</f>
        <v/>
      </c>
      <c r="AO76" s="167">
        <f>(AJ76-AN76)/AJ76</f>
        <v/>
      </c>
      <c r="AP76" s="168">
        <f>AL76/AJ76</f>
        <v/>
      </c>
      <c r="AQ76" s="168">
        <f>AE76/AJ76</f>
        <v/>
      </c>
      <c r="AR76" s="168">
        <f>AE76/AL76</f>
        <v/>
      </c>
      <c r="AS76" s="169" t="n">
        <v>1</v>
      </c>
      <c r="AT76" s="121">
        <f>S76*AS76</f>
        <v/>
      </c>
      <c r="AU76" s="83" t="n">
        <v>0.9</v>
      </c>
      <c r="AV76" s="170">
        <f>(AJ76-(AE76*(1+$IS$2)+AF76+AG76+AH76+AI76))/AJ76</f>
        <v/>
      </c>
      <c r="AW76" s="171">
        <f>(AE76*(1+$IS$2)+AF76+AG76)/AJ76</f>
        <v/>
      </c>
      <c r="AX76" s="171">
        <f>(AE76*(1+$IS$2))/AJ76</f>
        <v/>
      </c>
      <c r="AY76" s="171">
        <f>(AE76*(1+$IS$2))/(AE76*(1+$IS$2)+AF76+AG76)</f>
        <v/>
      </c>
      <c r="AZ76" s="172">
        <f>MIN(IF($AU76=100%,1,1+VLOOKUP(($AJ76-$AI76-$AH76-$AG76-$AF76-$AE76*(1+AZ$3))/$AJ76,'Технический лист'!$M:$N,2,1)-VLOOKUP($AO76,'Технический лист'!$M:$N,2,1)),1+(1-$AU76))</f>
        <v/>
      </c>
      <c r="BA76" s="172">
        <f>MIN(IF($AU76=100%,1,1+VLOOKUP(($AJ76-$AI76-$AH76-$AG76-$AF76-$AE76*(1+BA$3))/$AJ76,'Технический лист'!$M:$N,2,1)-VLOOKUP($AO76,'Технический лист'!$M:$N,2,1)),1+(1-$AU76))</f>
        <v/>
      </c>
      <c r="BB76" s="172">
        <f>MIN(IF($AU76=100%,1,1+VLOOKUP(($AJ76-$AI76-$AH76-$AG76-$AF76-$AE76*(1+BB$3))/$AJ76,'Технический лист'!$M:$N,2,1)-VLOOKUP($AO76,'Технический лист'!$M:$N,2,1)),1+(1-$AU76))</f>
        <v/>
      </c>
      <c r="BC76" s="172">
        <f>MIN(IF($AU76=100%,1,1+VLOOKUP(($AJ76-$AI76-$AH76-$AG76-$AF76-$AE76*(1+BC$3))/$AJ76,'Технический лист'!$M:$N,2,1)-VLOOKUP($AO76,'Технический лист'!$M:$N,2,1)),1+(1-$AU76))</f>
        <v/>
      </c>
      <c r="BD76" s="172">
        <f>MIN(IF($AU76=100%,1,1+VLOOKUP(($AJ76-$AI76-$AH76-$AG76-$AF76-$AE76*(1+BD$3))/$AJ76,'Технический лист'!$M:$N,2,1)-VLOOKUP($AO76,'Технический лист'!$M:$N,2,1)),1+(1-$AU76))</f>
        <v/>
      </c>
      <c r="BE76" s="172">
        <f>MIN(IF($AU76=100%,1,1+VLOOKUP(($AJ76-$AI76-$AH76-$AG76-$AF76-$AE76*(1+BE$3))/$AJ76,'Технический лист'!$M:$N,2,1)-VLOOKUP($AO76,'Технический лист'!$M:$N,2,1)),1+(1-$AU76))</f>
        <v/>
      </c>
      <c r="BF76" s="172">
        <f>MIN(IF($AU76=100%,1,1+VLOOKUP(($AJ76-$AI76-$AH76-$AG76-$AF76-$AE76*(1+BF$3))/$AJ76,'Технический лист'!$M:$N,2,1)-VLOOKUP($AO76,'Технический лист'!$M:$N,2,1)),1+(1-$AU76))</f>
        <v/>
      </c>
      <c r="BG76" s="172">
        <f>MIN(IF($AU76=100%,1,1+VLOOKUP(($AJ76-$AI76-$AH76-$AG76-$AF76-$AE76*(1+BG$3))/$AJ76,'Технический лист'!$M:$N,2,1)-VLOOKUP($AO76,'Технический лист'!$M:$N,2,1)),1+(1-$AU76))</f>
        <v/>
      </c>
      <c r="BH76" s="172">
        <f>MIN(IF($AU76=100%,1,1+VLOOKUP(($AJ76-$AI76-$AH76-$AG76-$AF76-$AE76*(1+BH$3))/$AJ76,'Технический лист'!$M:$N,2,1)-VLOOKUP($AO76,'Технический лист'!$M:$N,2,1)),1+(1-$AU76))</f>
        <v/>
      </c>
      <c r="BI76" s="172">
        <f>MIN(IF($AU76=100%,1,1+VLOOKUP(($AJ76-$AI76-$AH76-$AG76-$AF76-$AE76*(1+BI$3))/$AJ76,'Технический лист'!$M:$N,2,1)-VLOOKUP($AO76,'Технический лист'!$M:$N,2,1)),1+(1-$AU76))</f>
        <v/>
      </c>
      <c r="BJ76" s="172">
        <f>MIN(IF($AU76=100%,1,1+VLOOKUP(($AJ76-$AI76-$AH76-$AG76-$AF76-$AE76*(1+BJ$3))/$AJ76,'Технический лист'!$M:$N,2,1)-VLOOKUP($AO76,'Технический лист'!$M:$N,2,1)),1+(1-$AU76))</f>
        <v/>
      </c>
      <c r="BK76" s="172">
        <f>MIN(IF($AU76=100%,1,1+VLOOKUP(($AJ76-$AI76-$AH76-$AG76-$AF76-$AE76*(1+BK$3))/$AJ76,'Технический лист'!$M:$N,2,1)-VLOOKUP($AO76,'Технический лист'!$M:$N,2,1)),1+(1-$AU76))</f>
        <v/>
      </c>
      <c r="BL76" s="172">
        <f>MIN(IF($AU76=100%,1,1+VLOOKUP(($AJ76-$AI76-$AH76-$AG76-$AF76-$AE76*(1+BL$3))/$AJ76,'Технический лист'!$M:$N,2,1)-VLOOKUP($AO76,'Технический лист'!$M:$N,2,1)),1+(1-$AU76))</f>
        <v/>
      </c>
      <c r="BM76" s="172">
        <f>MIN(IF($AU76=100%,1,1+VLOOKUP(($AJ76-$AI76-$AH76-$AG76-$AF76-$AE76*(1+BM$3))/$AJ76,'Технический лист'!$M:$N,2,1)-VLOOKUP($AO76,'Технический лист'!$M:$N,2,1)),1+(1-$AU76))</f>
        <v/>
      </c>
      <c r="BN76" s="172">
        <f>MIN(IF($AU76=100%,1,1+VLOOKUP(($AJ76-$AI76-$AH76-$AG76-$AF76-$AE76*(1+BN$3))/$AJ76,'Технический лист'!$M:$N,2,1)-VLOOKUP($AO76,'Технический лист'!$M:$N,2,1)),1+(1-$AU76))</f>
        <v/>
      </c>
      <c r="BO76" s="172">
        <f>MIN(IF($AU76=100%,1,1+VLOOKUP(($AJ76-$AI76-$AH76-$AG76-$AF76-$AE76*(1+BO$3))/$AJ76,'Технический лист'!$M:$N,2,1)-VLOOKUP($AO76,'Технический лист'!$M:$N,2,1)),1+(1-$AU76))</f>
        <v/>
      </c>
      <c r="BP76" s="172">
        <f>MIN(IF($AU76=100%,1,1+VLOOKUP(($AJ76-$AI76-$AH76-$AG76-$AF76-$AE76*(1+BP$3))/$AJ76,'Технический лист'!$M:$N,2,1)-VLOOKUP($AO76,'Технический лист'!$M:$N,2,1)),1+(1-$AU76))</f>
        <v/>
      </c>
      <c r="BQ76" s="172">
        <f>MIN(IF($AU76=100%,1,1+VLOOKUP(($AJ76-$AI76-$AH76-$AG76-$AF76-$AE76*(1+BQ$3))/$AJ76,'Технический лист'!$M:$N,2,1)-VLOOKUP($AO76,'Технический лист'!$M:$N,2,1)),1+(1-$AU76))</f>
        <v/>
      </c>
      <c r="BR76" s="172">
        <f>MIN(IF($AU76=100%,1,1+VLOOKUP(($AJ76-$AI76-$AH76-$AG76-$AF76-$AE76*(1+BR$3))/$AJ76,'Технический лист'!$M:$N,2,1)-VLOOKUP($AO76,'Технический лист'!$M:$N,2,1)),1+(1-$AU76))</f>
        <v/>
      </c>
      <c r="BS76" s="172">
        <f>MIN(IF($AU76=100%,1,1+VLOOKUP(($AJ76-$AI76-$AH76-$AG76-$AF76-$AE76*(1+BS$3))/$AJ76,'Технический лист'!$M:$N,2,1)-VLOOKUP($AO76,'Технический лист'!$M:$N,2,1)),1+(1-$AU76))</f>
        <v/>
      </c>
      <c r="BT76" s="172">
        <f>MIN(IF($AU76=100%,1,1+VLOOKUP(($AJ76-$AI76-$AH76-$AG76-$AF76-$AE76*(1+BT$3))/$AJ76,'Технический лист'!$M:$N,2,1)-VLOOKUP($AO76,'Технический лист'!$M:$N,2,1)),1+(1-$AU76))</f>
        <v/>
      </c>
      <c r="BU76" s="172">
        <f>MIN(IF($AU76=100%,1,1+VLOOKUP(($AJ76-$AI76-$AH76-$AG76-$AF76-$AE76*(1+BU$3))/$AJ76,'Технический лист'!$M:$N,2,1)-VLOOKUP($AO76,'Технический лист'!$M:$N,2,1)),1+(1-$AU76))</f>
        <v/>
      </c>
      <c r="BV76" s="172">
        <f>MIN(IF($AU76=100%,1,1+VLOOKUP(($AJ76-$AI76-$AH76-$AG76-$AF76-$AE76*(1+BV$3))/$AJ76,'Технический лист'!$M:$N,2,1)-VLOOKUP($AO76,'Технический лист'!$M:$N,2,1)),1+(1-$AU76))</f>
        <v/>
      </c>
      <c r="BW76" s="172">
        <f>MIN(IF($AU76=100%,1,1+VLOOKUP(($AJ76-$AI76-$AH76-$AG76-$AF76-$AE76*(1+BW$3))/$AJ76,'Технический лист'!$M:$N,2,1)-VLOOKUP($AO76,'Технический лист'!$M:$N,2,1)),1+(1-$AU76))</f>
        <v/>
      </c>
      <c r="BX76" s="172">
        <f>MIN(IF($AU76=100%,1,1+VLOOKUP(($AJ76-$AI76-$AH76-$AG76-$AF76-$AE76*(1+BX$3))/$AJ76,'Технический лист'!$M:$N,2,1)-VLOOKUP($AO76,'Технический лист'!$M:$N,2,1)),1+(1-$AU76))</f>
        <v/>
      </c>
      <c r="BY76" s="172">
        <f>MIN(IF($AU76=100%,1,1+VLOOKUP(($AJ76-$AI76-$AH76-$AG76-$AF76-$AE76*(1+BY$3))/$AJ76,'Технический лист'!$M:$N,2,1)-VLOOKUP($AO76,'Технический лист'!$M:$N,2,1)),1+(1-$AU76))</f>
        <v/>
      </c>
      <c r="BZ76" s="172">
        <f>MIN(IF($AU76=100%,1,1+VLOOKUP(($AJ76-$AI76-$AH76-$AG76-$AF76-$AE76*(1+BZ$3))/$AJ76,'Технический лист'!$M:$N,2,1)-VLOOKUP($AO76,'Технический лист'!$M:$N,2,1)),1+(1-$AU76))</f>
        <v/>
      </c>
      <c r="CA76" s="172">
        <f>MIN(IF($AU76=100%,1,1+VLOOKUP(($AJ76-$AI76-$AH76-$AG76-$AF76-$AE76*(1+CA$3))/$AJ76,'Технический лист'!$M:$N,2,1)-VLOOKUP($AO76,'Технический лист'!$M:$N,2,1)),1+(1-$AU76))</f>
        <v/>
      </c>
      <c r="CB76" s="172">
        <f>MIN(IF($AU76=100%,1,1+VLOOKUP(($AJ76-$AI76-$AH76-$AG76-$AF76-$AE76*(1+CB$3))/$AJ76,'Технический лист'!$M:$N,2,1)-VLOOKUP($AO76,'Технический лист'!$M:$N,2,1)),1+(1-$AU76))</f>
        <v/>
      </c>
      <c r="CC76" s="172">
        <f>MIN(IF($AU76=100%,1,1+VLOOKUP(($AJ76-$AI76-$AH76-$AG76-$AF76-$AE76*(1+CC$3))/$AJ76,'Технический лист'!$M:$N,2,1)-VLOOKUP($AO76,'Технический лист'!$M:$N,2,1)),1+(1-$AU76))</f>
        <v/>
      </c>
      <c r="CD76" s="172">
        <f>MIN(IF($AU76=100%,1,1+VLOOKUP(($AJ76-$AI76-$AH76-$AG76-$AF76-$AE76*(1+CD$3))/$AJ76,'Технический лист'!$M:$N,2,1)-VLOOKUP($AO76,'Технический лист'!$M:$N,2,1)),1+(1-$AU76))</f>
        <v/>
      </c>
      <c r="CE76" s="172">
        <f>MIN(IF($AU76=100%,1,1+VLOOKUP(($AJ76-$AI76-$AH76-$AG76-$AF76-$AE76*(1+CE$3))/$AJ76,'Технический лист'!$M:$N,2,1)-VLOOKUP($AO76,'Технический лист'!$M:$N,2,1)),1+(1-$AU76))</f>
        <v/>
      </c>
      <c r="CF76" s="172">
        <f>MIN(IF($AU76=100%,1,1+VLOOKUP(($AJ76-$AI76-$AH76-$AG76-$AF76-$AE76*(1+CF$3))/$AJ76,'Технический лист'!$M:$N,2,1)-VLOOKUP($AO76,'Технический лист'!$M:$N,2,1)),1+(1-$AU76))</f>
        <v/>
      </c>
      <c r="CG76" s="172">
        <f>MIN(IF($AU76=100%,1,1+VLOOKUP(($AJ76-$AI76-$AH76-$AG76-$AF76-$AE76*(1+CG$3))/$AJ76,'Технический лист'!$M:$N,2,1)-VLOOKUP($AO76,'Технический лист'!$M:$N,2,1)),1+(1-$AU76))</f>
        <v/>
      </c>
      <c r="CH76" s="172">
        <f>MIN(IF($AU76=100%,1,1+VLOOKUP(($AJ76-$AI76-$AH76-$AG76-$AF76-$AE76*(1+CH$3))/$AJ76,'Технический лист'!$M:$N,2,1)-VLOOKUP($AO76,'Технический лист'!$M:$N,2,1)),1+(1-$AU76))</f>
        <v/>
      </c>
      <c r="CI76" s="172">
        <f>MIN(IF($AU76=100%,1,1+VLOOKUP(($AJ76-$AI76-$AH76-$AG76-$AF76-$AE76*(1+CI$3))/$AJ76,'Технический лист'!$M:$N,2,1)-VLOOKUP($AO76,'Технический лист'!$M:$N,2,1)),1+(1-$AU76))</f>
        <v/>
      </c>
      <c r="CJ76" s="172">
        <f>MIN(IF($AU76=100%,1,1+VLOOKUP(($AJ76-$AI76-$AH76-$AG76-$AF76-$AE76*(1+CJ$3))/$AJ76,'Технический лист'!$M:$N,2,1)-VLOOKUP($AO76,'Технический лист'!$M:$N,2,1)),1+(1-$AU76))</f>
        <v/>
      </c>
      <c r="CK76" s="172">
        <f>MIN(IF($AU76=100%,1,1+VLOOKUP(($AJ76-$AI76-$AH76-$AG76-$AF76-$AE76*(1+CK$3))/$AJ76,'Технический лист'!$M:$N,2,1)-VLOOKUP($AO76,'Технический лист'!$M:$N,2,1)),1+(1-$AU76))</f>
        <v/>
      </c>
      <c r="CL76" s="172">
        <f>MIN(IF($AU76=100%,1,1+VLOOKUP(($AJ76-$AI76-$AH76-$AG76-$AF76-$AE76*(1+CL$3))/$AJ76,'Технический лист'!$M:$N,2,1)-VLOOKUP($AO76,'Технический лист'!$M:$N,2,1)),1+(1-$AU76))</f>
        <v/>
      </c>
      <c r="CM76" s="172">
        <f>MIN(IF($AU76=100%,1,1+VLOOKUP(($AJ76-$AI76-$AH76-$AG76-$AF76-$AE76*(1+CM$3))/$AJ76,'Технический лист'!$M:$N,2,1)-VLOOKUP($AO76,'Технический лист'!$M:$N,2,1)),1+(1-$AU76))</f>
        <v/>
      </c>
      <c r="CN76" s="172">
        <f>MIN(IF($AU76=100%,1,1+VLOOKUP(($AJ76-$AI76-$AH76-$AG76-$AF76-$AE76*(1+CN$3))/$AJ76,'Технический лист'!$M:$N,2,1)-VLOOKUP($AO76,'Технический лист'!$M:$N,2,1)),1+(1-$AU76))</f>
        <v/>
      </c>
      <c r="CO76" s="172">
        <f>MIN(IF($AU76=100%,1,1+VLOOKUP(($AJ76-$AI76-$AH76-$AG76-$AF76-$AE76*(1+CO$3))/$AJ76,'Технический лист'!$M:$N,2,1)-VLOOKUP($AO76,'Технический лист'!$M:$N,2,1)),1+(1-$AU76))</f>
        <v/>
      </c>
      <c r="CP76" s="172">
        <f>MIN(IF($AU76=100%,1,1+VLOOKUP(($AJ76-$AI76-$AH76-$AG76-$AF76-$AE76*(1+CP$3))/$AJ76,'Технический лист'!$M:$N,2,1)-VLOOKUP($AO76,'Технический лист'!$M:$N,2,1)),1+(1-$AU76))</f>
        <v/>
      </c>
      <c r="CQ76" s="172">
        <f>MIN(IF($AU76=100%,1,1+VLOOKUP(($AJ76-$AI76-$AH76-$AG76-$AF76-$AE76*(1+CQ$3))/$AJ76,'Технический лист'!$M:$N,2,1)-VLOOKUP($AO76,'Технический лист'!$M:$N,2,1)),1+(1-$AU76))</f>
        <v/>
      </c>
      <c r="CR76" s="172">
        <f>MIN(IF($AU76=100%,1,1+VLOOKUP(($AJ76-$AI76-$AH76-$AG76-$AF76-$AE76*(1+CR$3))/$AJ76,'Технический лист'!$M:$N,2,1)-VLOOKUP($AO76,'Технический лист'!$M:$N,2,1)),1+(1-$AU76))</f>
        <v/>
      </c>
      <c r="CS76" s="172">
        <f>MIN(IF($AU76=100%,1,1+VLOOKUP(($AJ76-$AI76-$AH76-$AG76-$AF76-$AE76*(1+CS$3))/$AJ76,'Технический лист'!$M:$N,2,1)-VLOOKUP($AO76,'Технический лист'!$M:$N,2,1)),1+(1-$AU76))</f>
        <v/>
      </c>
      <c r="CT76" s="172">
        <f>MIN(IF($AU76=100%,1,1+VLOOKUP(($AJ76-$AI76-$AH76-$AG76-$AF76-$AE76*(1+CT$3))/$AJ76,'Технический лист'!$M:$N,2,1)-VLOOKUP($AO76,'Технический лист'!$M:$N,2,1)),1+(1-$AU76))</f>
        <v/>
      </c>
      <c r="CU76" s="172">
        <f>MIN(IF($AU76=100%,1,1+VLOOKUP(($AJ76-$AI76-$AH76-$AG76-$AF76-$AE76*(1+CU$3))/$AJ76,'Технический лист'!$M:$N,2,1)-VLOOKUP($AO76,'Технический лист'!$M:$N,2,1)),1+(1-$AU76))</f>
        <v/>
      </c>
      <c r="CV76" s="172">
        <f>MIN(IF($AU76=100%,1,1+VLOOKUP(($AJ76-$AI76-$AH76-$AG76-$AF76-$AE76*(1+CV$3))/$AJ76,'Технический лист'!$M:$N,2,1)-VLOOKUP($AO76,'Технический лист'!$M:$N,2,1)),1+(1-$AU76))</f>
        <v/>
      </c>
      <c r="CW76" s="172">
        <f>MIN(IF($AU76=100%,1,1+VLOOKUP(($AJ76-$AI76-$AH76-$AG76-$AF76-$AE76*(1+CW$3))/$AJ76,'Технический лист'!$M:$N,2,1)-VLOOKUP($AO76,'Технический лист'!$M:$N,2,1)),1+(1-$AU76))</f>
        <v/>
      </c>
      <c r="CX76" s="172">
        <f>MIN(IF($AU76=100%,1,1+VLOOKUP(($AJ76-$AI76-$AH76-$AG76-$AF76-$AE76*(1+CX$3))/$AJ76,'Технический лист'!$M:$N,2,1)-VLOOKUP($AO76,'Технический лист'!$M:$N,2,1)),1+(1-$AU76))</f>
        <v/>
      </c>
      <c r="CY76" s="172">
        <f>MIN(IF($AU76=100%,1,1+VLOOKUP(($AJ76-$AI76-$AH76-$AG76-$AF76-$AE76*(1+CY$3))/$AJ76,'Технический лист'!$M:$N,2,1)-VLOOKUP($AO76,'Технический лист'!$M:$N,2,1)),1+(1-$AU76))</f>
        <v/>
      </c>
      <c r="CZ76" s="172">
        <f>MIN(IF($AU76=100%,1,1+VLOOKUP(($AJ76-$AI76-$AH76-$AG76-$AF76-$AE76*(1+CZ$3))/$AJ76,'Технический лист'!$M:$N,2,1)-VLOOKUP($AO76,'Технический лист'!$M:$N,2,1)),1+(1-$AU76))</f>
        <v/>
      </c>
      <c r="DA76" s="172">
        <f>MIN(IF($AU76=100%,1,1+VLOOKUP(($AJ76-$AI76-$AH76-$AG76-$AF76-$AE76*(1+DA$3))/$AJ76,'Технический лист'!$M:$N,2,1)-VLOOKUP($AO76,'Технический лист'!$M:$N,2,1)),1+(1-$AU76))</f>
        <v/>
      </c>
      <c r="DB76" s="172">
        <f>MIN(IF($AU76=100%,1,1+VLOOKUP(($AJ76-$AI76-$AH76-$AG76-$AF76-$AE76*(1+DB$3))/$AJ76,'Технический лист'!$M:$N,2,1)-VLOOKUP($AO76,'Технический лист'!$M:$N,2,1)),1+(1-$AU76))</f>
        <v/>
      </c>
      <c r="DC76" s="172">
        <f>MIN(IF($AU76=100%,1,1+VLOOKUP(($AJ76-$AI76-$AH76-$AG76-$AF76-$AE76*(1+DC$3))/$AJ76,'Технический лист'!$M:$N,2,1)-VLOOKUP($AO76,'Технический лист'!$M:$N,2,1)),1+(1-$AU76))</f>
        <v/>
      </c>
      <c r="DD76" s="172">
        <f>MIN(IF($AU76=100%,1,1+VLOOKUP(($AJ76-$AI76-$AH76-$AG76-$AF76-$AE76*(1+DD$3))/$AJ76,'Технический лист'!$M:$N,2,1)-VLOOKUP($AO76,'Технический лист'!$M:$N,2,1)),1+(1-$AU76))</f>
        <v/>
      </c>
      <c r="DE76" s="172">
        <f>MIN(IF($AU76=100%,1,1+VLOOKUP(($AJ76-$AI76-$AH76-$AG76-$AF76-$AE76*(1+DE$3))/$AJ76,'Технический лист'!$M:$N,2,1)-VLOOKUP($AO76,'Технический лист'!$M:$N,2,1)),1+(1-$AU76))</f>
        <v/>
      </c>
      <c r="DF76" s="172">
        <f>MIN(IF($AU76=100%,1,1+VLOOKUP(($AJ76-$AI76-$AH76-$AG76-$AF76-$AE76*(1+DF$3))/$AJ76,'Технический лист'!$M:$N,2,1)-VLOOKUP($AO76,'Технический лист'!$M:$N,2,1)),1+(1-$AU76))</f>
        <v/>
      </c>
      <c r="DG76" s="172">
        <f>MIN(IF($AU76=100%,1,1+VLOOKUP(($AJ76-$AI76-$AH76-$AG76-$AF76-$AE76*(1+DG$3))/$AJ76,'Технический лист'!$M:$N,2,1)-VLOOKUP($AO76,'Технический лист'!$M:$N,2,1)),1+(1-$AU76))</f>
        <v/>
      </c>
      <c r="DH76" s="172">
        <f>MIN(IF($AU76=100%,1,1+VLOOKUP(($AJ76-$AI76-$AH76-$AG76-$AF76-$AE76*(1+DH$3))/$AJ76,'Технический лист'!$M:$N,2,1)-VLOOKUP($AO76,'Технический лист'!$M:$N,2,1)),1+(1-$AU76))</f>
        <v/>
      </c>
      <c r="DI76" s="172">
        <f>MIN(IF($AU76=100%,1,1+VLOOKUP(($AJ76-$AI76-$AH76-$AG76-$AF76-$AE76*(1+DI$3))/$AJ76,'Технический лист'!$M:$N,2,1)-VLOOKUP($AO76,'Технический лист'!$M:$N,2,1)),1+(1-$AU76))</f>
        <v/>
      </c>
      <c r="DJ76" s="172">
        <f>MIN(IF($AU76=100%,1,1+VLOOKUP(($AJ76-$AI76-$AH76-$AG76-$AF76-$AE76*(1+DJ$3))/$AJ76,'Технический лист'!$M:$N,2,1)-VLOOKUP($AO76,'Технический лист'!$M:$N,2,1)),1+(1-$AU76))</f>
        <v/>
      </c>
      <c r="DK76" s="172">
        <f>MIN(IF($AU76=100%,1,1+VLOOKUP(($AJ76-$AI76-$AH76-$AG76-$AF76-$AE76*(1+DK$3))/$AJ76,'Технический лист'!$M:$N,2,1)-VLOOKUP($AO76,'Технический лист'!$M:$N,2,1)),1+(1-$AU76))</f>
        <v/>
      </c>
      <c r="DL76" s="172">
        <f>MIN(IF($AU76=100%,1,1+VLOOKUP(($AJ76-$AI76-$AH76-$AG76-$AF76-$AE76*(1+DL$3))/$AJ76,'Технический лист'!$M:$N,2,1)-VLOOKUP($AO76,'Технический лист'!$M:$N,2,1)),1+(1-$AU76))</f>
        <v/>
      </c>
      <c r="DM76" s="172">
        <f>MIN(IF($AU76=100%,1,1+VLOOKUP(($AJ76-$AI76-$AH76-$AG76-$AF76-$AE76*(1+DM$3))/$AJ76,'Технический лист'!$M:$N,2,1)-VLOOKUP($AO76,'Технический лист'!$M:$N,2,1)),1+(1-$AU76))</f>
        <v/>
      </c>
      <c r="DN76" s="172">
        <f>MIN(IF($AU76=100%,1,1+VLOOKUP(($AJ76-$AI76-$AH76-$AG76-$AF76-$AE76*(1+DN$3))/$AJ76,'Технический лист'!$M:$N,2,1)-VLOOKUP($AO76,'Технический лист'!$M:$N,2,1)),1+(1-$AU76))</f>
        <v/>
      </c>
      <c r="DO76" s="172">
        <f>MIN(IF($AU76=100%,1,1+VLOOKUP(($AJ76-$AI76-$AH76-$AG76-$AF76-$AE76*(1+DO$3))/$AJ76,'Технический лист'!$M:$N,2,1)-VLOOKUP($AO76,'Технический лист'!$M:$N,2,1)),1+(1-$AU76))</f>
        <v/>
      </c>
      <c r="DP76" s="172">
        <f>MIN(IF($AU76=100%,1,1+VLOOKUP(($AJ76-$AI76-$AH76-$AG76-$AF76-$AE76*(1+DP$3))/$AJ76,'Технический лист'!$M:$N,2,1)-VLOOKUP($AO76,'Технический лист'!$M:$N,2,1)),1+(1-$AU76))</f>
        <v/>
      </c>
      <c r="DQ76" s="172">
        <f>MIN(IF($AU76=100%,1,1+VLOOKUP(($AJ76-$AI76-$AH76-$AG76-$AF76-$AE76*(1+DQ$3))/$AJ76,'Технический лист'!$M:$N,2,1)-VLOOKUP($AO76,'Технический лист'!$M:$N,2,1)),1+(1-$AU76))</f>
        <v/>
      </c>
      <c r="DR76" s="172">
        <f>MIN(IF($AU76=100%,1,1+VLOOKUP(($AJ76-$AI76-$AH76-$AG76-$AF76-$AE76*(1+DR$3))/$AJ76,'Технический лист'!$M:$N,2,1)-VLOOKUP($AO76,'Технический лист'!$M:$N,2,1)),1+(1-$AU76))</f>
        <v/>
      </c>
      <c r="DS76" s="172">
        <f>MIN(IF($AU76=100%,1,1+VLOOKUP(($AJ76-$AI76-$AH76-$AG76-$AF76-$AE76*(1+DS$3))/$AJ76,'Технический лист'!$M:$N,2,1)-VLOOKUP($AO76,'Технический лист'!$M:$N,2,1)),1+(1-$AU76))</f>
        <v/>
      </c>
      <c r="DT76" s="172">
        <f>MIN(IF($AU76=100%,1,1+VLOOKUP(($AJ76-$AI76-$AH76-$AG76-$AF76-$AE76*(1+DT$3))/$AJ76,'Технический лист'!$M:$N,2,1)-VLOOKUP($AO76,'Технический лист'!$M:$N,2,1)),1+(1-$AU76))</f>
        <v/>
      </c>
      <c r="DU76" s="172">
        <f>MIN(IF($AU76=100%,1,1+VLOOKUP(($AJ76-$AI76-$AH76-$AG76-$AF76-$AE76*(1+DU$3))/$AJ76,'Технический лист'!$M:$N,2,1)-VLOOKUP($AO76,'Технический лист'!$M:$N,2,1)),1+(1-$AU76))</f>
        <v/>
      </c>
      <c r="DV76" s="172">
        <f>MIN(IF($AU76=100%,1,1+VLOOKUP(($AJ76-$AI76-$AH76-$AG76-$AF76-$AE76*(1+DV$3))/$AJ76,'Технический лист'!$M:$N,2,1)-VLOOKUP($AO76,'Технический лист'!$M:$N,2,1)),1+(1-$AU76))</f>
        <v/>
      </c>
      <c r="DW76" s="172">
        <f>MIN(IF($AU76=100%,1,1+VLOOKUP(($AJ76-$AI76-$AH76-$AG76-$AF76-$AE76*(1+DW$3))/$AJ76,'Технический лист'!$M:$N,2,1)-VLOOKUP($AO76,'Технический лист'!$M:$N,2,1)),1+(1-$AU76))</f>
        <v/>
      </c>
      <c r="DX76" s="172">
        <f>MIN(IF($AU76=100%,1,1+VLOOKUP(($AJ76-$AI76-$AH76-$AG76-$AF76-$AE76*(1+DX$3))/$AJ76,'Технический лист'!$M:$N,2,1)-VLOOKUP($AO76,'Технический лист'!$M:$N,2,1)),1+(1-$AU76))</f>
        <v/>
      </c>
      <c r="DY76" s="172">
        <f>MIN(IF($AU76=100%,1,1+VLOOKUP(($AJ76-$AI76-$AH76-$AG76-$AF76-$AE76*(1+DY$3))/$AJ76,'Технический лист'!$M:$N,2,1)-VLOOKUP($AO76,'Технический лист'!$M:$N,2,1)),1+(1-$AU76))</f>
        <v/>
      </c>
      <c r="DZ76" s="172">
        <f>MIN(IF($AU76=100%,1,1+VLOOKUP(($AJ76-$AI76-$AH76-$AG76-$AF76-$AE76*(1+DZ$3))/$AJ76,'Технический лист'!$M:$N,2,1)-VLOOKUP($AO76,'Технический лист'!$M:$N,2,1)),1+(1-$AU76))</f>
        <v/>
      </c>
      <c r="EA76" s="172">
        <f>MIN(IF($AU76=100%,1,1+VLOOKUP(($AJ76-$AI76-$AH76-$AG76-$AF76-$AE76*(1+EA$3))/$AJ76,'Технический лист'!$M:$N,2,1)-VLOOKUP($AO76,'Технический лист'!$M:$N,2,1)),1+(1-$AU76))</f>
        <v/>
      </c>
      <c r="EB76" s="172">
        <f>MIN(IF($AU76=100%,1,1+VLOOKUP(($AJ76-$AI76-$AH76-$AG76-$AF76-$AE76*(1+EB$3))/$AJ76,'Технический лист'!$M:$N,2,1)-VLOOKUP($AO76,'Технический лист'!$M:$N,2,1)),1+(1-$AU76))</f>
        <v/>
      </c>
      <c r="EC76" s="172">
        <f>MIN(IF($AU76=100%,1,1+VLOOKUP(($AJ76-$AI76-$AH76-$AG76-$AF76-$AE76*(1+EC$3))/$AJ76,'Технический лист'!$M:$N,2,1)-VLOOKUP($AO76,'Технический лист'!$M:$N,2,1)),1+(1-$AU76))</f>
        <v/>
      </c>
      <c r="ED76" s="172">
        <f>MIN(IF($AU76=100%,1,1+VLOOKUP(($AJ76-$AI76-$AH76-$AG76-$AF76-$AE76*(1+ED$3))/$AJ76,'Технический лист'!$M:$N,2,1)-VLOOKUP($AO76,'Технический лист'!$M:$N,2,1)),1+(1-$AU76))</f>
        <v/>
      </c>
      <c r="EE76" s="172">
        <f>MIN(IF($AU76=100%,1,1+VLOOKUP(($AJ76-$AI76-$AH76-$AG76-$AF76-$AE76*(1+EE$3))/$AJ76,'Технический лист'!$M:$N,2,1)-VLOOKUP($AO76,'Технический лист'!$M:$N,2,1)),1+(1-$AU76))</f>
        <v/>
      </c>
      <c r="EF76" s="172">
        <f>MIN(IF($AU76=100%,1,1+VLOOKUP(($AJ76-$AI76-$AH76-$AG76-$AF76-$AE76*(1+EF$3))/$AJ76,'Технический лист'!$M:$N,2,1)-VLOOKUP($AO76,'Технический лист'!$M:$N,2,1)),1+(1-$AU76))</f>
        <v/>
      </c>
      <c r="EG76" s="172">
        <f>MIN(IF($AU76=100%,1,1+VLOOKUP(($AJ76-$AI76-$AH76-$AG76-$AF76-$AE76*(1+EG$3))/$AJ76,'Технический лист'!$M:$N,2,1)-VLOOKUP($AO76,'Технический лист'!$M:$N,2,1)),1+(1-$AU76))</f>
        <v/>
      </c>
      <c r="EH76" s="172">
        <f>MIN(IF($AU76=100%,1,1+VLOOKUP(($AJ76-$AI76-$AH76-$AG76-$AF76-$AE76*(1+EH$3))/$AJ76,'Технический лист'!$M:$N,2,1)-VLOOKUP($AO76,'Технический лист'!$M:$N,2,1)),1+(1-$AU76))</f>
        <v/>
      </c>
      <c r="EI76" s="172">
        <f>MIN(IF($AU76=100%,1,1+VLOOKUP(($AJ76-$AI76-$AH76-$AG76-$AF76-$AE76*(1+EI$3))/$AJ76,'Технический лист'!$M:$N,2,1)-VLOOKUP($AO76,'Технический лист'!$M:$N,2,1)),1+(1-$AU76))</f>
        <v/>
      </c>
      <c r="EJ76" s="172">
        <f>MIN(IF($AU76=100%,1,1+VLOOKUP(($AJ76-$AI76-$AH76-$AG76-$AF76-$AE76*(1+EJ$3))/$AJ76,'Технический лист'!$M:$N,2,1)-VLOOKUP($AO76,'Технический лист'!$M:$N,2,1)),1+(1-$AU76))</f>
        <v/>
      </c>
      <c r="EK76" s="172">
        <f>MIN(IF($AU76=100%,1,1+VLOOKUP(($AJ76-$AI76-$AH76-$AG76-$AF76-$AE76*(1+EK$3))/$AJ76,'Технический лист'!$M:$N,2,1)-VLOOKUP($AO76,'Технический лист'!$M:$N,2,1)),1+(1-$AU76))</f>
        <v/>
      </c>
      <c r="EL76" s="172">
        <f>MIN(IF($AU76=100%,1,1+VLOOKUP(($AJ76-$AI76-$AH76-$AG76-$AF76-$AE76*(1+EL$3))/$AJ76,'Технический лист'!$M:$N,2,1)-VLOOKUP($AO76,'Технический лист'!$M:$N,2,1)),1+(1-$AU76))</f>
        <v/>
      </c>
      <c r="EM76" s="172">
        <f>MIN(IF($AU76=100%,1,1+VLOOKUP(($AJ76-$AI76-$AH76-$AG76-$AF76-$AE76*(1+EM$3))/$AJ76,'Технический лист'!$M:$N,2,1)-VLOOKUP($AO76,'Технический лист'!$M:$N,2,1)),1+(1-$AU76))</f>
        <v/>
      </c>
      <c r="EN76" s="172">
        <f>MIN(IF($AU76=100%,1,1+VLOOKUP(($AJ76-$AI76-$AH76-$AG76-$AF76-$AE76*(1+EN$3))/$AJ76,'Технический лист'!$M:$N,2,1)-VLOOKUP($AO76,'Технический лист'!$M:$N,2,1)),1+(1-$AU76))</f>
        <v/>
      </c>
      <c r="EO76" s="172">
        <f>MIN(IF($AU76=100%,1,1+VLOOKUP(($AJ76-$AI76-$AH76-$AG76-$AF76-$AE76*(1+EO$3))/$AJ76,'Технический лист'!$M:$N,2,1)-VLOOKUP($AO76,'Технический лист'!$M:$N,2,1)),1+(1-$AU76))</f>
        <v/>
      </c>
      <c r="EP76" s="172">
        <f>MIN(IF($AU76=100%,1,1+VLOOKUP(($AJ76-$AI76-$AH76-$AG76-$AF76-$AE76*(1+EP$3))/$AJ76,'Технический лист'!$M:$N,2,1)-VLOOKUP($AO76,'Технический лист'!$M:$N,2,1)),1+(1-$AU76))</f>
        <v/>
      </c>
      <c r="EQ76" s="172">
        <f>MIN(IF($AU76=100%,1,1+VLOOKUP(($AJ76-$AI76-$AH76-$AG76-$AF76-$AE76*(1+EQ$3))/$AJ76,'Технический лист'!$M:$N,2,1)-VLOOKUP($AO76,'Технический лист'!$M:$N,2,1)),1+(1-$AU76))</f>
        <v/>
      </c>
      <c r="ER76" s="172">
        <f>MIN(IF($AU76=100%,1,1+VLOOKUP(($AJ76-$AI76-$AH76-$AG76-$AF76-$AE76*(1+ER$3))/$AJ76,'Технический лист'!$M:$N,2,1)-VLOOKUP($AO76,'Технический лист'!$M:$N,2,1)),1+(1-$AU76))</f>
        <v/>
      </c>
      <c r="ES76" s="172">
        <f>MIN(IF($AU76=100%,1,1+VLOOKUP(($AJ76-$AI76-$AH76-$AG76-$AF76-$AE76*(1+ES$3))/$AJ76,'Технический лист'!$M:$N,2,1)-VLOOKUP($AO76,'Технический лист'!$M:$N,2,1)),1+(1-$AU76))</f>
        <v/>
      </c>
      <c r="ET76" s="172">
        <f>MIN(IF($AU76=100%,1,1+VLOOKUP(($AJ76-$AI76-$AH76-$AG76-$AF76-$AE76*(1+ET$3))/$AJ76,'Технический лист'!$M:$N,2,1)-VLOOKUP($AO76,'Технический лист'!$M:$N,2,1)),1+(1-$AU76))</f>
        <v/>
      </c>
      <c r="EU76" s="172">
        <f>MIN(IF($AU76=100%,1,1+VLOOKUP(($AJ76-$AI76-$AH76-$AG76-$AF76-$AE76*(1+EU$3))/$AJ76,'Технический лист'!$M:$N,2,1)-VLOOKUP($AO76,'Технический лист'!$M:$N,2,1)),1+(1-$AU76))</f>
        <v/>
      </c>
      <c r="EV76" s="173" t="n">
        <v>1</v>
      </c>
      <c r="EW76" s="172">
        <f>MIN(1,MAX(VLOOKUP(($AJ76-$AI76-$AH76-$AG76-$AF76-$AE76*(1+EW$3))/$AJ76,'Технический лист'!$M:$N,2,1),(EV76-0.05)))</f>
        <v/>
      </c>
      <c r="EX76" s="172">
        <f>MIN(1,MAX(VLOOKUP(($AJ76-$AI76-$AH76-$AG76-$AF76-$AE76*(1+EX$3))/$AJ76,'Технический лист'!$M:$N,2,1),(EW76-0.05)))</f>
        <v/>
      </c>
      <c r="EY76" s="172">
        <f>MIN(1,MAX(VLOOKUP(($AJ76-$AI76-$AH76-$AG76-$AF76-$AE76*(1+EY$3))/$AJ76,'Технический лист'!$M:$N,2,1),(EX76-0.05)))</f>
        <v/>
      </c>
      <c r="EZ76" s="172">
        <f>MIN(1,MAX(VLOOKUP(($AJ76-$AI76-$AH76-$AG76-$AF76-$AE76*(1+EZ$3))/$AJ76,'Технический лист'!$M:$N,2,1),(EY76-0.05)))</f>
        <v/>
      </c>
      <c r="FA76" s="172">
        <f>MIN(1,MAX(VLOOKUP(($AJ76-$AI76-$AH76-$AG76-$AF76-$AE76*(1+FA$3))/$AJ76,'Технический лист'!$M:$N,2,1),(EZ76-0.05)))</f>
        <v/>
      </c>
      <c r="FB76" s="172">
        <f>MIN(1,MAX(VLOOKUP(($AJ76-$AI76-$AH76-$AG76-$AF76-$AE76*(1+FB$3))/$AJ76,'Технический лист'!$M:$N,2,1),(FA76-0.05)))</f>
        <v/>
      </c>
      <c r="FC76" s="172">
        <f>MIN(1,MAX(VLOOKUP(($AJ76-$AI76-$AH76-$AG76-$AF76-$AE76*(1+FC$3))/$AJ76,'Технический лист'!$M:$N,2,1),(FB76-0.05)))</f>
        <v/>
      </c>
      <c r="FD76" s="172">
        <f>MIN(1,MAX(VLOOKUP(($AJ76-$AI76-$AH76-$AG76-$AF76-$AE76*(1+FD$3))/$AJ76,'Технический лист'!$M:$N,2,1),(FC76-0.05)))</f>
        <v/>
      </c>
      <c r="FE76" s="172">
        <f>MIN(1,MAX(VLOOKUP(($AJ76-$AI76-$AH76-$AG76-$AF76-$AE76*(1+FE$3))/$AJ76,'Технический лист'!$M:$N,2,1),(FD76-0.05)))</f>
        <v/>
      </c>
      <c r="FF76" s="172">
        <f>MIN(1,MAX(VLOOKUP(($AJ76-$AI76-$AH76-$AG76-$AF76-$AE76*(1+FF$3))/$AJ76,'Технический лист'!$M:$N,2,1),(FE76-0.05)))</f>
        <v/>
      </c>
      <c r="FG76" s="172">
        <f>MIN(1,MAX(VLOOKUP(($AJ76-$AI76-$AH76-$AG76-$AF76-$AE76*(1+FG$3))/$AJ76,'Технический лист'!$M:$N,2,1),(FF76-0.05)))</f>
        <v/>
      </c>
      <c r="FH76" s="172">
        <f>MIN(1,MAX(VLOOKUP(($AJ76-$AI76-$AH76-$AG76-$AF76-$AE76*(1+FH$3))/$AJ76,'Технический лист'!$M:$N,2,1),(FG76-0.05)))</f>
        <v/>
      </c>
      <c r="FI76" s="172">
        <f>MIN(1,MAX(VLOOKUP(($AJ76-$AI76-$AH76-$AG76-$AF76-$AE76*(1+FI$3))/$AJ76,'Технический лист'!$M:$N,2,1),(FH76-0.05)))</f>
        <v/>
      </c>
      <c r="FJ76" s="172">
        <f>MIN(1,MAX(VLOOKUP(($AJ76-$AI76-$AH76-$AG76-$AF76-$AE76*(1+FJ$3))/$AJ76,'Технический лист'!$M:$N,2,1),(FI76-0.05)))</f>
        <v/>
      </c>
      <c r="FK76" s="172">
        <f>MIN(1,MAX(VLOOKUP(($AJ76-$AI76-$AH76-$AG76-$AF76-$AE76*(1+FK$3))/$AJ76,'Технический лист'!$M:$N,2,1),(FJ76-0.05)))</f>
        <v/>
      </c>
      <c r="FL76" s="172">
        <f>MIN(1,MAX(VLOOKUP(($AJ76-$AI76-$AH76-$AG76-$AF76-$AE76*(1+FL$3))/$AJ76,'Технический лист'!$M:$N,2,1),(FK76-0.05)))</f>
        <v/>
      </c>
      <c r="FM76" s="172">
        <f>MIN(1,MAX(VLOOKUP(($AJ76-$AI76-$AH76-$AG76-$AF76-$AE76*(1+FM$3))/$AJ76,'Технический лист'!$M:$N,2,1),(FL76-0.05)))</f>
        <v/>
      </c>
      <c r="FN76" s="172">
        <f>MIN(1,MAX(VLOOKUP(($AJ76-$AI76-$AH76-$AG76-$AF76-$AE76*(1+FN$3))/$AJ76,'Технический лист'!$M:$N,2,1),(FM76-0.05)))</f>
        <v/>
      </c>
      <c r="FO76" s="172">
        <f>MIN(1,MAX(VLOOKUP(($AJ76-$AI76-$AH76-$AG76-$AF76-$AE76*(1+FO$3))/$AJ76,'Технический лист'!$M:$N,2,1),(FN76-0.05)))</f>
        <v/>
      </c>
      <c r="FP76" s="172">
        <f>MIN(1,MAX(VLOOKUP(($AJ76-$AI76-$AH76-$AG76-$AF76-$AE76*(1+FP$3))/$AJ76,'Технический лист'!$M:$N,2,1),(FO76-0.05)))</f>
        <v/>
      </c>
      <c r="FQ76" s="172">
        <f>MIN(1,MAX(VLOOKUP(($AJ76-$AI76-$AH76-$AG76-$AF76-$AE76*(1+FQ$3))/$AJ76,'Технический лист'!$M:$N,2,1),(FP76-0.05)))</f>
        <v/>
      </c>
      <c r="FR76" s="172">
        <f>MIN(1,MAX(VLOOKUP(($AJ76-$AI76-$AH76-$AG76-$AF76-$AE76*(1+FR$3))/$AJ76,'Технический лист'!$M:$N,2,1),(FQ76-0.05)))</f>
        <v/>
      </c>
      <c r="FS76" s="172">
        <f>MIN(1,MAX(VLOOKUP(($AJ76-$AI76-$AH76-$AG76-$AF76-$AE76*(1+FS$3))/$AJ76,'Технический лист'!$M:$N,2,1),(FR76-0.05)))</f>
        <v/>
      </c>
      <c r="FT76" s="172">
        <f>MIN(1,MAX(VLOOKUP(($AJ76-$AI76-$AH76-$AG76-$AF76-$AE76*(1+FT$3))/$AJ76,'Технический лист'!$M:$N,2,1),(FS76-0.05)))</f>
        <v/>
      </c>
      <c r="FU76" s="172">
        <f>MIN(1,MAX(VLOOKUP(($AJ76-$AI76-$AH76-$AG76-$AF76-$AE76*(1+FU$3))/$AJ76,'Технический лист'!$M:$N,2,1),(FT76-0.05)))</f>
        <v/>
      </c>
      <c r="FV76" s="172">
        <f>MIN(1,MAX(VLOOKUP(($AJ76-$AI76-$AH76-$AG76-$AF76-$AE76*(1+FV$3))/$AJ76,'Технический лист'!$M:$N,2,1),(FU76-0.05)))</f>
        <v/>
      </c>
      <c r="FW76" s="172">
        <f>MIN(1,MAX(VLOOKUP(($AJ76-$AI76-$AH76-$AG76-$AF76-$AE76*(1+FW$3))/$AJ76,'Технический лист'!$M:$N,2,1),(FV76-0.05)))</f>
        <v/>
      </c>
      <c r="FX76" s="172">
        <f>MIN(1,MAX(VLOOKUP(($AJ76-$AI76-$AH76-$AG76-$AF76-$AE76*(1+FX$3))/$AJ76,'Технический лист'!$M:$N,2,1),(FW76-0.05)))</f>
        <v/>
      </c>
      <c r="FY76" s="172">
        <f>MIN(1,MAX(VLOOKUP(($AJ76-$AI76-$AH76-$AG76-$AF76-$AE76*(1+FY$3))/$AJ76,'Технический лист'!$M:$N,2,1),(FX76-0.05)))</f>
        <v/>
      </c>
      <c r="FZ76" s="172">
        <f>MIN(1,MAX(VLOOKUP(($AJ76-$AI76-$AH76-$AG76-$AF76-$AE76*(1+FZ$3))/$AJ76,'Технический лист'!$M:$N,2,1),(FY76-0.05)))</f>
        <v/>
      </c>
      <c r="GA76" s="172">
        <f>MIN(1,MAX(VLOOKUP(($AJ76-$AI76-$AH76-$AG76-$AF76-$AE76*(1+GA$3))/$AJ76,'Технический лист'!$M:$N,2,1),(FZ76-0.05)))</f>
        <v/>
      </c>
      <c r="GB76" s="172">
        <f>MIN(1,MAX(VLOOKUP(($AJ76-$AI76-$AH76-$AG76-$AF76-$AE76*(1+GB$3))/$AJ76,'Технический лист'!$M:$N,2,1),(GA76-0.05)))</f>
        <v/>
      </c>
      <c r="GC76" s="172">
        <f>MIN(1,MAX(VLOOKUP(($AJ76-$AI76-$AH76-$AG76-$AF76-$AE76*(1+GC$3))/$AJ76,'Технический лист'!$M:$N,2,1),(GB76-0.05)))</f>
        <v/>
      </c>
      <c r="GD76" s="172">
        <f>MIN(1,MAX(VLOOKUP(($AJ76-$AI76-$AH76-$AG76-$AF76-$AE76*(1+GD$3))/$AJ76,'Технический лист'!$M:$N,2,1),(GC76-0.05)))</f>
        <v/>
      </c>
      <c r="GE76" s="172">
        <f>MIN(1,MAX(VLOOKUP(($AJ76-$AI76-$AH76-$AG76-$AF76-$AE76*(1+GE$3))/$AJ76,'Технический лист'!$M:$N,2,1),(GD76-0.05)))</f>
        <v/>
      </c>
      <c r="GF76" s="172">
        <f>MIN(1,MAX(VLOOKUP(($AJ76-$AI76-$AH76-$AG76-$AF76-$AE76*(1+GF$3))/$AJ76,'Технический лист'!$M:$N,2,1),(GE76-0.05)))</f>
        <v/>
      </c>
      <c r="GG76" s="172">
        <f>MIN(1,MAX(VLOOKUP(($AJ76-$AI76-$AH76-$AG76-$AF76-$AE76*(1+GG$3))/$AJ76,'Технический лист'!$M:$N,2,1),(GF76-0.05)))</f>
        <v/>
      </c>
      <c r="GH76" s="172">
        <f>MIN(1,MAX(VLOOKUP(($AJ76-$AI76-$AH76-$AG76-$AF76-$AE76*(1+GH$3))/$AJ76,'Технический лист'!$M:$N,2,1),(GG76-0.05)))</f>
        <v/>
      </c>
      <c r="GI76" s="172">
        <f>MIN(1,MAX(VLOOKUP(($AJ76-$AI76-$AH76-$AG76-$AF76-$AE76*(1+GI$3))/$AJ76,'Технический лист'!$M:$N,2,1),(GH76-0.05)))</f>
        <v/>
      </c>
      <c r="GJ76" s="172">
        <f>MIN(1,MAX(VLOOKUP(($AJ76-$AI76-$AH76-$AG76-$AF76-$AE76*(1+GJ$3))/$AJ76,'Технический лист'!$M:$N,2,1),(GI76-0.05)))</f>
        <v/>
      </c>
      <c r="GK76" s="172">
        <f>MIN(1,MAX(VLOOKUP(($AJ76-$AI76-$AH76-$AG76-$AF76-$AE76*(1+GK$3))/$AJ76,'Технический лист'!$M:$N,2,1),(GJ76-0.05)))</f>
        <v/>
      </c>
      <c r="GL76" s="172">
        <f>MIN(1,MAX(VLOOKUP(($AJ76-$AI76-$AH76-$AG76-$AF76-$AE76*(1+GL$3))/$AJ76,'Технический лист'!$M:$N,2,1),(GK76-0.05)))</f>
        <v/>
      </c>
      <c r="GM76" s="172">
        <f>MIN(1,MAX(VLOOKUP(($AJ76-$AI76-$AH76-$AG76-$AF76-$AE76*(1+GM$3))/$AJ76,'Технический лист'!$M:$N,2,1),(GL76-0.05)))</f>
        <v/>
      </c>
      <c r="GN76" s="172">
        <f>MIN(1,MAX(VLOOKUP(($AJ76-$AI76-$AH76-$AG76-$AF76-$AE76*(1+GN$3))/$AJ76,'Технический лист'!$M:$N,2,1),(GM76-0.05)))</f>
        <v/>
      </c>
      <c r="GO76" s="172">
        <f>MIN(1,MAX(VLOOKUP(($AJ76-$AI76-$AH76-$AG76-$AF76-$AE76*(1+GO$3))/$AJ76,'Технический лист'!$M:$N,2,1),(GN76-0.05)))</f>
        <v/>
      </c>
      <c r="GP76" s="172">
        <f>MIN(1,MAX(VLOOKUP(($AJ76-$AI76-$AH76-$AG76-$AF76-$AE76*(1+GP$3))/$AJ76,'Технический лист'!$M:$N,2,1),(GO76-0.05)))</f>
        <v/>
      </c>
      <c r="GQ76" s="172">
        <f>MIN(1,MAX(VLOOKUP(($AJ76-$AI76-$AH76-$AG76-$AF76-$AE76*(1+GQ$3))/$AJ76,'Технический лист'!$M:$N,2,1),(GP76-0.05)))</f>
        <v/>
      </c>
      <c r="GR76" s="172">
        <f>MIN(1,MAX(VLOOKUP(($AJ76-$AI76-$AH76-$AG76-$AF76-$AE76*(1+GR$3))/$AJ76,'Технический лист'!$M:$N,2,1),(GQ76-0.05)))</f>
        <v/>
      </c>
      <c r="GS76" s="172">
        <f>MIN(1,MAX(VLOOKUP(($AJ76-$AI76-$AH76-$AG76-$AF76-$AE76*(1+GS$3))/$AJ76,'Технический лист'!$M:$N,2,1),(GR76-0.05)))</f>
        <v/>
      </c>
      <c r="GT76" s="172">
        <f>MIN(1,MAX(VLOOKUP(($AJ76-$AI76-$AH76-$AG76-$AF76-$AE76*(1+GT$3))/$AJ76,'Технический лист'!$M:$N,2,1),(GS76-0.05)))</f>
        <v/>
      </c>
      <c r="GU76" s="172">
        <f>MIN(1,MAX(VLOOKUP(($AJ76-$AI76-$AH76-$AG76-$AF76-$AE76*(1+GU$3))/$AJ76,'Технический лист'!$M:$N,2,1),(GT76-0.05)))</f>
        <v/>
      </c>
      <c r="GV76" s="172">
        <f>MIN(1,MAX(VLOOKUP(($AJ76-$AI76-$AH76-$AG76-$AF76-$AE76*(1+GV$3))/$AJ76,'Технический лист'!$M:$N,2,1),(GU76-0.05)))</f>
        <v/>
      </c>
      <c r="GW76" s="172">
        <f>MIN(1,MAX(VLOOKUP(($AJ76-$AI76-$AH76-$AG76-$AF76-$AE76*(1+GW$3))/$AJ76,'Технический лист'!$M:$N,2,1),(GV76-0.05)))</f>
        <v/>
      </c>
      <c r="GX76" s="172">
        <f>MIN(1,MAX(VLOOKUP(($AJ76-$AI76-$AH76-$AG76-$AF76-$AE76*(1+GX$3))/$AJ76,'Технический лист'!$M:$N,2,1),(GW76-0.05)))</f>
        <v/>
      </c>
      <c r="GY76" s="172">
        <f>MIN(1,MAX(VLOOKUP(($AJ76-$AI76-$AH76-$AG76-$AF76-$AE76*(1+GY$3))/$AJ76,'Технический лист'!$M:$N,2,1),(GX76-0.05)))</f>
        <v/>
      </c>
      <c r="GZ76" s="172">
        <f>MIN(1,MAX(VLOOKUP(($AJ76-$AI76-$AH76-$AG76-$AF76-$AE76*(1+GZ$3))/$AJ76,'Технический лист'!$M:$N,2,1),(GY76-0.05)))</f>
        <v/>
      </c>
      <c r="HA76" s="172">
        <f>MIN(1,MAX(VLOOKUP(($AJ76-$AI76-$AH76-$AG76-$AF76-$AE76*(1+HA$3))/$AJ76,'Технический лист'!$M:$N,2,1),(GZ76-0.05)))</f>
        <v/>
      </c>
      <c r="HB76" s="172">
        <f>MIN(1,MAX(VLOOKUP(($AJ76-$AI76-$AH76-$AG76-$AF76-$AE76*(1+HB$3))/$AJ76,'Технический лист'!$M:$N,2,1),(HA76-0.05)))</f>
        <v/>
      </c>
      <c r="HC76" s="172">
        <f>MIN(1,MAX(VLOOKUP(($AJ76-$AI76-$AH76-$AG76-$AF76-$AE76*(1+HC$3))/$AJ76,'Технический лист'!$M:$N,2,1),(HB76-0.05)))</f>
        <v/>
      </c>
      <c r="HD76" s="172">
        <f>MIN(1,MAX(VLOOKUP(($AJ76-$AI76-$AH76-$AG76-$AF76-$AE76*(1+HD$3))/$AJ76,'Технический лист'!$M:$N,2,1),(HC76-0.05)))</f>
        <v/>
      </c>
      <c r="HE76" s="172">
        <f>MIN(1,MAX(VLOOKUP(($AJ76-$AI76-$AH76-$AG76-$AF76-$AE76*(1+HE$3))/$AJ76,'Технический лист'!$M:$N,2,1),(HD76-0.05)))</f>
        <v/>
      </c>
      <c r="HF76" s="172">
        <f>MIN(1,MAX(VLOOKUP(($AJ76-$AI76-$AH76-$AG76-$AF76-$AE76*(1+HF$3))/$AJ76,'Технический лист'!$M:$N,2,1),(HE76-0.05)))</f>
        <v/>
      </c>
      <c r="HG76" s="172">
        <f>MIN(1,MAX(VLOOKUP(($AJ76-$AI76-$AH76-$AG76-$AF76-$AE76*(1+HG$3))/$AJ76,'Технический лист'!$M:$N,2,1),(HF76-0.05)))</f>
        <v/>
      </c>
      <c r="HH76" s="172">
        <f>MIN(1,MAX(VLOOKUP(($AJ76-$AI76-$AH76-$AG76-$AF76-$AE76*(1+HH$3))/$AJ76,'Технический лист'!$M:$N,2,1),(HG76-0.05)))</f>
        <v/>
      </c>
      <c r="HI76" s="172">
        <f>MIN(1,MAX(VLOOKUP(($AJ76-$AI76-$AH76-$AG76-$AF76-$AE76*(1+HI$3))/$AJ76,'Технический лист'!$M:$N,2,1),(HH76-0.05)))</f>
        <v/>
      </c>
      <c r="HJ76" s="172">
        <f>MIN(1,MAX(VLOOKUP(($AJ76-$AI76-$AH76-$AG76-$AF76-$AE76*(1+HJ$3))/$AJ76,'Технический лист'!$M:$N,2,1),(HI76-0.05)))</f>
        <v/>
      </c>
      <c r="HK76" s="172">
        <f>MIN(1,MAX(VLOOKUP(($AJ76-$AI76-$AH76-$AG76-$AF76-$AE76*(1+HK$3))/$AJ76,'Технический лист'!$M:$N,2,1),(HJ76-0.05)))</f>
        <v/>
      </c>
      <c r="HL76" s="172">
        <f>MIN(1,MAX(VLOOKUP(($AJ76-$AI76-$AH76-$AG76-$AF76-$AE76*(1+HL$3))/$AJ76,'Технический лист'!$M:$N,2,1),(HK76-0.05)))</f>
        <v/>
      </c>
      <c r="HM76" s="172">
        <f>MIN(1,MAX(VLOOKUP(($AJ76-$AI76-$AH76-$AG76-$AF76-$AE76*(1+HM$3))/$AJ76,'Технический лист'!$M:$N,2,1),(HL76-0.05)))</f>
        <v/>
      </c>
      <c r="HN76" s="172">
        <f>MIN(1,MAX(VLOOKUP(($AJ76-$AI76-$AH76-$AG76-$AF76-$AE76*(1+HN$3))/$AJ76,'Технический лист'!$M:$N,2,1),(HM76-0.05)))</f>
        <v/>
      </c>
      <c r="HO76" s="172">
        <f>MIN(1,MAX(VLOOKUP(($AJ76-$AI76-$AH76-$AG76-$AF76-$AE76*(1+HO$3))/$AJ76,'Технический лист'!$M:$N,2,1),(HN76-0.05)))</f>
        <v/>
      </c>
      <c r="HP76" s="172">
        <f>MIN(1,MAX(VLOOKUP(($AJ76-$AI76-$AH76-$AG76-$AF76-$AE76*(1+HP$3))/$AJ76,'Технический лист'!$M:$N,2,1),(HO76-0.05)))</f>
        <v/>
      </c>
      <c r="HQ76" s="172">
        <f>MIN(1,MAX(VLOOKUP(($AJ76-$AI76-$AH76-$AG76-$AF76-$AE76*(1+HQ$3))/$AJ76,'Технический лист'!$M:$N,2,1),(HP76-0.05)))</f>
        <v/>
      </c>
      <c r="HR76" s="172">
        <f>MIN(1,MAX(VLOOKUP(($AJ76-$AI76-$AH76-$AG76-$AF76-$AE76*(1+HR$3))/$AJ76,'Технический лист'!$M:$N,2,1),(HQ76-0.05)))</f>
        <v/>
      </c>
      <c r="HS76" s="172">
        <f>MIN(1,MAX(VLOOKUP(($AJ76-$AI76-$AH76-$AG76-$AF76-$AE76*(1+HS$3))/$AJ76,'Технический лист'!$M:$N,2,1),(HR76-0.05)))</f>
        <v/>
      </c>
      <c r="HT76" s="172">
        <f>MIN(1,MAX(VLOOKUP(($AJ76-$AI76-$AH76-$AG76-$AF76-$AE76*(1+HT$3))/$AJ76,'Технический лист'!$M:$N,2,1),(HS76-0.05)))</f>
        <v/>
      </c>
      <c r="HU76" s="172">
        <f>MIN(1,MAX(VLOOKUP(($AJ76-$AI76-$AH76-$AG76-$AF76-$AE76*(1+HU$3))/$AJ76,'Технический лист'!$M:$N,2,1),(HT76-0.05)))</f>
        <v/>
      </c>
      <c r="HV76" s="172">
        <f>MIN(1,MAX(VLOOKUP(($AJ76-$AI76-$AH76-$AG76-$AF76-$AE76*(1+HV$3))/$AJ76,'Технический лист'!$M:$N,2,1),(HU76-0.05)))</f>
        <v/>
      </c>
      <c r="HW76" s="172">
        <f>MIN(1,MAX(VLOOKUP(($AJ76-$AI76-$AH76-$AG76-$AF76-$AE76*(1+HW$3))/$AJ76,'Технический лист'!$M:$N,2,1),(HV76-0.05)))</f>
        <v/>
      </c>
      <c r="HX76" s="172">
        <f>MIN(1,MAX(VLOOKUP(($AJ76-$AI76-$AH76-$AG76-$AF76-$AE76*(1+HX$3))/$AJ76,'Технический лист'!$M:$N,2,1),(HW76-0.05)))</f>
        <v/>
      </c>
      <c r="HY76" s="172">
        <f>MIN(1,MAX(VLOOKUP(($AJ76-$AI76-$AH76-$AG76-$AF76-$AE76*(1+HY$3))/$AJ76,'Технический лист'!$M:$N,2,1),(HX76-0.05)))</f>
        <v/>
      </c>
      <c r="HZ76" s="172">
        <f>MIN(1,MAX(VLOOKUP(($AJ76-$AI76-$AH76-$AG76-$AF76-$AE76*(1+HZ$3))/$AJ76,'Технический лист'!$M:$N,2,1),(HY76-0.05)))</f>
        <v/>
      </c>
      <c r="IA76" s="172">
        <f>MIN(1,MAX(VLOOKUP(($AJ76-$AI76-$AH76-$AG76-$AF76-$AE76*(1+IA$3))/$AJ76,'Технический лист'!$M:$N,2,1),(HZ76-0.05)))</f>
        <v/>
      </c>
      <c r="IB76" s="172">
        <f>MIN(1,MAX(VLOOKUP(($AJ76-$AI76-$AH76-$AG76-$AF76-$AE76*(1+IB$3))/$AJ76,'Технический лист'!$M:$N,2,1),(IA76-0.05)))</f>
        <v/>
      </c>
      <c r="IC76" s="172">
        <f>MIN(1,MAX(VLOOKUP(($AJ76-$AI76-$AH76-$AG76-$AF76-$AE76*(1+IC$3))/$AJ76,'Технический лист'!$M:$N,2,1),(IB76-0.05)))</f>
        <v/>
      </c>
      <c r="ID76" s="172">
        <f>MIN(1,MAX(VLOOKUP(($AJ76-$AI76-$AH76-$AG76-$AF76-$AE76*(1+ID$3))/$AJ76,'Технический лист'!$M:$N,2,1),(IC76-0.05)))</f>
        <v/>
      </c>
      <c r="IE76" s="172">
        <f>MIN(1,MAX(VLOOKUP(($AJ76-$AI76-$AH76-$AG76-$AF76-$AE76*(1+IE$3))/$AJ76,'Технический лист'!$M:$N,2,1),(ID76-0.05)))</f>
        <v/>
      </c>
      <c r="IF76" s="172">
        <f>MIN(1,MAX(VLOOKUP(($AJ76-$AI76-$AH76-$AG76-$AF76-$AE76*(1+IF$3))/$AJ76,'Технический лист'!$M:$N,2,1),(IE76-0.05)))</f>
        <v/>
      </c>
      <c r="IG76" s="172">
        <f>MIN(1,MAX(VLOOKUP(($AJ76-$AI76-$AH76-$AG76-$AF76-$AE76*(1+IG$3))/$AJ76,'Технический лист'!$M:$N,2,1),(IF76-0.05)))</f>
        <v/>
      </c>
      <c r="IH76" s="172">
        <f>MIN(1,MAX(VLOOKUP(($AJ76-$AI76-$AH76-$AG76-$AF76-$AE76*(1+IH$3))/$AJ76,'Технический лист'!$M:$N,2,1),(IG76-0.05)))</f>
        <v/>
      </c>
      <c r="II76" s="172">
        <f>MIN(1,MAX(VLOOKUP(($AJ76-$AI76-$AH76-$AG76-$AF76-$AE76*(1+II$3))/$AJ76,'Технический лист'!$M:$N,2,1),(IH76-0.05)))</f>
        <v/>
      </c>
      <c r="IJ76" s="172">
        <f>MIN(1,MAX(VLOOKUP(($AJ76-$AI76-$AH76-$AG76-$AF76-$AE76*(1+IJ$3))/$AJ76,'Технический лист'!$M:$N,2,1),(II76-0.05)))</f>
        <v/>
      </c>
      <c r="IK76" s="172">
        <f>MIN(1,MAX(VLOOKUP(($AJ76-$AI76-$AH76-$AG76-$AF76-$AE76*(1+IK$3))/$AJ76,'Технический лист'!$M:$N,2,1),(IJ76-0.05)))</f>
        <v/>
      </c>
      <c r="IL76" s="172">
        <f>MIN(1,MAX(VLOOKUP(($AJ76-$AI76-$AH76-$AG76-$AF76-$AE76*(1+IL$3))/$AJ76,'Технический лист'!$M:$N,2,1),(IK76-0.05)))</f>
        <v/>
      </c>
      <c r="IM76" s="172">
        <f>MIN(1,MAX(VLOOKUP(($AJ76-$AI76-$AH76-$AG76-$AF76-$AE76*(1+IM$3))/$AJ76,'Технический лист'!$M:$N,2,1),(IL76-0.05)))</f>
        <v/>
      </c>
      <c r="IN76" s="172">
        <f>MIN(1,MAX(VLOOKUP(($AJ76-$AI76-$AH76-$AG76-$AF76-$AE76*(1+IN$3))/$AJ76,'Технический лист'!$M:$N,2,1),(IM76-0.05)))</f>
        <v/>
      </c>
      <c r="IO76" s="172">
        <f>MIN(1,MAX(VLOOKUP(($AJ76-$AI76-$AH76-$AG76-$AF76-$AE76*(1+IO$3))/$AJ76,'Технический лист'!$M:$N,2,1),(IN76-0.05)))</f>
        <v/>
      </c>
      <c r="IP76" s="172">
        <f>MIN(1,MAX(VLOOKUP(($AJ76-$AI76-$AH76-$AG76-$AF76-$AE76*(1+IP$3))/$AJ76,'Технический лист'!$M:$N,2,1),(IO76-0.05)))</f>
        <v/>
      </c>
      <c r="IQ76" s="172">
        <f>MIN(1,MAX(VLOOKUP(($AJ76-$AI76-$AH76-$AG76-$AF76-$AE76*(1+IQ$3))/$AJ76,'Технический лист'!$M:$N,2,1),(IP76-0.05)))</f>
        <v/>
      </c>
      <c r="IR76" s="172">
        <f>MIN(1,MAX(VLOOKUP(($AJ76-$AI76-$AH76-$AG76-$AF76-$AE76*(1+IR$3))/$AJ76,'Технический лист'!$M:$N,2,1),(IQ76-0.05)))</f>
        <v/>
      </c>
    </row>
    <row r="77" ht="29.15" customFormat="1" customHeight="1" s="6">
      <c r="A77" s="89" t="inlineStr">
        <is>
          <t>ЦМ (сырье)</t>
        </is>
      </c>
      <c r="B77" s="90" t="n">
        <v>4</v>
      </c>
      <c r="C77" s="5" t="inlineStr">
        <is>
          <t>Руды  всякие</t>
        </is>
      </c>
      <c r="D77" s="91" t="n">
        <v>15106</v>
      </c>
      <c r="E77" s="91" t="inlineStr">
        <is>
          <t xml:space="preserve">Глинозем </t>
        </is>
      </c>
      <c r="F77" s="91" t="inlineStr">
        <is>
          <t xml:space="preserve">Сырье цветных металлов, сырье серное </t>
        </is>
      </c>
      <c r="G77" s="91" t="inlineStr">
        <is>
          <t>СВР</t>
        </is>
      </c>
      <c r="H77" s="91" t="inlineStr">
        <is>
          <t>КРС</t>
        </is>
      </c>
      <c r="I77" s="91" t="inlineStr">
        <is>
          <t>КЛИМКИ</t>
        </is>
      </c>
      <c r="J77" s="91" t="inlineStr">
        <is>
          <t>КАМЫШТА</t>
        </is>
      </c>
      <c r="K77" s="91" t="n">
        <v>2717</v>
      </c>
      <c r="L77" s="91" t="inlineStr">
        <is>
          <t>Прочие</t>
        </is>
      </c>
      <c r="M77" s="91" t="inlineStr">
        <is>
          <t>Внутр. перевозки</t>
        </is>
      </c>
      <c r="N77" s="91" t="inlineStr">
        <is>
          <t>вагонная</t>
        </is>
      </c>
      <c r="O77" s="91" t="inlineStr">
        <is>
          <t xml:space="preserve">Восточное </t>
        </is>
      </c>
      <c r="P77" s="86" t="inlineStr">
        <is>
          <t>'000055782863</t>
        </is>
      </c>
      <c r="Q77" s="91" t="inlineStr">
        <is>
          <t>ОК РУСАЛ</t>
        </is>
      </c>
      <c r="R77" s="91" t="inlineStr">
        <is>
          <t>ОК РУСАЛ</t>
        </is>
      </c>
      <c r="S77" s="87" t="n">
        <v>40749</v>
      </c>
      <c r="T77" s="87" t="n">
        <v>110715496</v>
      </c>
      <c r="U77" s="88" t="n">
        <v>678</v>
      </c>
      <c r="V77" s="88" t="n">
        <v>0</v>
      </c>
      <c r="W77" s="87" t="n">
        <v>97150876</v>
      </c>
      <c r="X77" s="112" t="n">
        <v>54</v>
      </c>
      <c r="Y77" s="112" t="inlineStr">
        <is>
          <t>групповая</t>
        </is>
      </c>
      <c r="Z77" s="113" t="n">
        <v>11</v>
      </c>
      <c r="AA77" s="113" t="n">
        <v>11</v>
      </c>
      <c r="AB77" s="113" t="n">
        <v>4</v>
      </c>
      <c r="AC77" s="161" t="n">
        <v>2965.7</v>
      </c>
      <c r="AD77" s="161">
        <f>AE77-AC77</f>
        <v/>
      </c>
      <c r="AE77" s="161" t="n">
        <v>4756.44</v>
      </c>
      <c r="AF77" s="162">
        <f>(AB77+AA77+Z77)*'Ставки аренды'!$B$4/X77</f>
        <v/>
      </c>
      <c r="AG77" s="163" t="n">
        <v>0</v>
      </c>
      <c r="AH77" s="164" t="n">
        <v>0</v>
      </c>
      <c r="AI77" s="165">
        <f>12254/14812*AJ77</f>
        <v/>
      </c>
      <c r="AJ77" s="166">
        <f>Цены!D21</f>
        <v/>
      </c>
      <c r="AK77" s="164">
        <f>AJ77/Цены!$B$1</f>
        <v/>
      </c>
      <c r="AL77" s="164">
        <f>AE77+AF77+AG77</f>
        <v/>
      </c>
      <c r="AM77" s="164">
        <f>AJ77-AL77</f>
        <v/>
      </c>
      <c r="AN77" s="164">
        <f>AI77+AH77+AG77+AF77+AE77</f>
        <v/>
      </c>
      <c r="AO77" s="167">
        <f>(AJ77-AN77)/AJ77</f>
        <v/>
      </c>
      <c r="AP77" s="168">
        <f>AL77/AJ77</f>
        <v/>
      </c>
      <c r="AQ77" s="168">
        <f>AE77/AJ77</f>
        <v/>
      </c>
      <c r="AR77" s="168">
        <f>AE77/AL77</f>
        <v/>
      </c>
      <c r="AS77" s="169" t="n">
        <v>1</v>
      </c>
      <c r="AT77" s="121">
        <f>S77*AS77</f>
        <v/>
      </c>
      <c r="AU77" s="7" t="inlineStr">
        <is>
          <t>Внутренняя логистика</t>
        </is>
      </c>
      <c r="AV77" s="170">
        <f>(AJ77-(AE77*(1+$IS$2)+AF77+AG77+AH77+AI77))/AJ77</f>
        <v/>
      </c>
      <c r="AW77" s="171">
        <f>(AE77*(1+$IS$2)+AF77+AG77)/AJ77</f>
        <v/>
      </c>
      <c r="AX77" s="171">
        <f>(AE77*(1+$IS$2))/AJ77</f>
        <v/>
      </c>
      <c r="AY77" s="171">
        <f>(AE77*(1+$IS$2))/(AE77*(1+$IS$2)+AF77+AG77)</f>
        <v/>
      </c>
      <c r="AZ77" s="172" t="n">
        <v>1</v>
      </c>
      <c r="BA77" s="172" t="n">
        <v>1</v>
      </c>
      <c r="BB77" s="172" t="n">
        <v>1</v>
      </c>
      <c r="BC77" s="172" t="n">
        <v>1</v>
      </c>
      <c r="BD77" s="172" t="n">
        <v>1</v>
      </c>
      <c r="BE77" s="172" t="n">
        <v>1</v>
      </c>
      <c r="BF77" s="172" t="n">
        <v>1</v>
      </c>
      <c r="BG77" s="172" t="n">
        <v>1</v>
      </c>
      <c r="BH77" s="172" t="n">
        <v>1</v>
      </c>
      <c r="BI77" s="172" t="n">
        <v>1</v>
      </c>
      <c r="BJ77" s="172" t="n">
        <v>1</v>
      </c>
      <c r="BK77" s="172" t="n">
        <v>1</v>
      </c>
      <c r="BL77" s="172" t="n">
        <v>1</v>
      </c>
      <c r="BM77" s="172" t="n">
        <v>1</v>
      </c>
      <c r="BN77" s="172" t="n">
        <v>1</v>
      </c>
      <c r="BO77" s="172" t="n">
        <v>1</v>
      </c>
      <c r="BP77" s="172" t="n">
        <v>1</v>
      </c>
      <c r="BQ77" s="172" t="n">
        <v>1</v>
      </c>
      <c r="BR77" s="172" t="n">
        <v>1</v>
      </c>
      <c r="BS77" s="172" t="n">
        <v>1</v>
      </c>
      <c r="BT77" s="172" t="n">
        <v>1</v>
      </c>
      <c r="BU77" s="172" t="n">
        <v>1</v>
      </c>
      <c r="BV77" s="172" t="n">
        <v>1</v>
      </c>
      <c r="BW77" s="172" t="n">
        <v>1</v>
      </c>
      <c r="BX77" s="172" t="n">
        <v>1</v>
      </c>
      <c r="BY77" s="172" t="n">
        <v>1</v>
      </c>
      <c r="BZ77" s="172" t="n">
        <v>1</v>
      </c>
      <c r="CA77" s="172" t="n">
        <v>1</v>
      </c>
      <c r="CB77" s="172" t="n">
        <v>1</v>
      </c>
      <c r="CC77" s="172" t="n">
        <v>1</v>
      </c>
      <c r="CD77" s="172" t="n">
        <v>1</v>
      </c>
      <c r="CE77" s="172" t="n">
        <v>1</v>
      </c>
      <c r="CF77" s="172" t="n">
        <v>1</v>
      </c>
      <c r="CG77" s="172" t="n">
        <v>1</v>
      </c>
      <c r="CH77" s="172" t="n">
        <v>1</v>
      </c>
      <c r="CI77" s="172" t="n">
        <v>1</v>
      </c>
      <c r="CJ77" s="172" t="n">
        <v>1</v>
      </c>
      <c r="CK77" s="172" t="n">
        <v>1</v>
      </c>
      <c r="CL77" s="172" t="n">
        <v>1</v>
      </c>
      <c r="CM77" s="172" t="n">
        <v>1</v>
      </c>
      <c r="CN77" s="172" t="n">
        <v>1</v>
      </c>
      <c r="CO77" s="172" t="n">
        <v>1</v>
      </c>
      <c r="CP77" s="172" t="n">
        <v>1</v>
      </c>
      <c r="CQ77" s="172" t="n">
        <v>1</v>
      </c>
      <c r="CR77" s="172" t="n">
        <v>1</v>
      </c>
      <c r="CS77" s="172" t="n">
        <v>1</v>
      </c>
      <c r="CT77" s="172" t="n">
        <v>1</v>
      </c>
      <c r="CU77" s="172" t="n">
        <v>1</v>
      </c>
      <c r="CV77" s="172" t="n">
        <v>1</v>
      </c>
      <c r="CW77" s="172" t="n">
        <v>1</v>
      </c>
      <c r="CX77" s="172" t="n">
        <v>1</v>
      </c>
      <c r="CY77" s="172" t="n">
        <v>1</v>
      </c>
      <c r="CZ77" s="172" t="n">
        <v>1</v>
      </c>
      <c r="DA77" s="172" t="n">
        <v>1</v>
      </c>
      <c r="DB77" s="172" t="n">
        <v>1</v>
      </c>
      <c r="DC77" s="172" t="n">
        <v>1</v>
      </c>
      <c r="DD77" s="172" t="n">
        <v>1</v>
      </c>
      <c r="DE77" s="172" t="n">
        <v>1</v>
      </c>
      <c r="DF77" s="172" t="n">
        <v>1</v>
      </c>
      <c r="DG77" s="172" t="n">
        <v>1</v>
      </c>
      <c r="DH77" s="172" t="n">
        <v>1</v>
      </c>
      <c r="DI77" s="172" t="n">
        <v>1</v>
      </c>
      <c r="DJ77" s="172" t="n">
        <v>1</v>
      </c>
      <c r="DK77" s="172" t="n">
        <v>1</v>
      </c>
      <c r="DL77" s="172" t="n">
        <v>1</v>
      </c>
      <c r="DM77" s="172" t="n">
        <v>1</v>
      </c>
      <c r="DN77" s="172" t="n">
        <v>1</v>
      </c>
      <c r="DO77" s="172" t="n">
        <v>1</v>
      </c>
      <c r="DP77" s="172" t="n">
        <v>1</v>
      </c>
      <c r="DQ77" s="172" t="n">
        <v>1</v>
      </c>
      <c r="DR77" s="172" t="n">
        <v>1</v>
      </c>
      <c r="DS77" s="172" t="n">
        <v>1</v>
      </c>
      <c r="DT77" s="172" t="n">
        <v>1</v>
      </c>
      <c r="DU77" s="172" t="n">
        <v>1</v>
      </c>
      <c r="DV77" s="172" t="n">
        <v>1</v>
      </c>
      <c r="DW77" s="172" t="n">
        <v>1</v>
      </c>
      <c r="DX77" s="172" t="n">
        <v>1</v>
      </c>
      <c r="DY77" s="172" t="n">
        <v>1</v>
      </c>
      <c r="DZ77" s="172" t="n">
        <v>1</v>
      </c>
      <c r="EA77" s="172" t="n">
        <v>1</v>
      </c>
      <c r="EB77" s="172" t="n">
        <v>1</v>
      </c>
      <c r="EC77" s="172" t="n">
        <v>1</v>
      </c>
      <c r="ED77" s="172" t="n">
        <v>1</v>
      </c>
      <c r="EE77" s="172" t="n">
        <v>1</v>
      </c>
      <c r="EF77" s="172" t="n">
        <v>1</v>
      </c>
      <c r="EG77" s="172" t="n">
        <v>1</v>
      </c>
      <c r="EH77" s="172" t="n">
        <v>1</v>
      </c>
      <c r="EI77" s="172" t="n">
        <v>1</v>
      </c>
      <c r="EJ77" s="172" t="n">
        <v>1</v>
      </c>
      <c r="EK77" s="172" t="n">
        <v>1</v>
      </c>
      <c r="EL77" s="172" t="n">
        <v>1</v>
      </c>
      <c r="EM77" s="172" t="n">
        <v>1</v>
      </c>
      <c r="EN77" s="172" t="n">
        <v>1</v>
      </c>
      <c r="EO77" s="172" t="n">
        <v>1</v>
      </c>
      <c r="EP77" s="172" t="n">
        <v>1</v>
      </c>
      <c r="EQ77" s="172" t="n">
        <v>1</v>
      </c>
      <c r="ER77" s="172" t="n">
        <v>1</v>
      </c>
      <c r="ES77" s="172" t="n">
        <v>1</v>
      </c>
      <c r="ET77" s="172" t="n">
        <v>1</v>
      </c>
      <c r="EU77" s="172" t="n">
        <v>1</v>
      </c>
      <c r="EV77" s="173" t="n">
        <v>1</v>
      </c>
      <c r="EW77" s="172" t="n">
        <v>1</v>
      </c>
      <c r="EX77" s="172" t="n">
        <v>1</v>
      </c>
      <c r="EY77" s="172" t="n">
        <v>1</v>
      </c>
      <c r="EZ77" s="172" t="n">
        <v>1</v>
      </c>
      <c r="FA77" s="172" t="n">
        <v>1</v>
      </c>
      <c r="FB77" s="172" t="n">
        <v>1</v>
      </c>
      <c r="FC77" s="172" t="n">
        <v>1</v>
      </c>
      <c r="FD77" s="172" t="n">
        <v>1</v>
      </c>
      <c r="FE77" s="172" t="n">
        <v>1</v>
      </c>
      <c r="FF77" s="172" t="n">
        <v>1</v>
      </c>
      <c r="FG77" s="172" t="n">
        <v>1</v>
      </c>
      <c r="FH77" s="172" t="n">
        <v>1</v>
      </c>
      <c r="FI77" s="172" t="n">
        <v>1</v>
      </c>
      <c r="FJ77" s="172" t="n">
        <v>1</v>
      </c>
      <c r="FK77" s="172" t="n">
        <v>1</v>
      </c>
      <c r="FL77" s="172" t="n">
        <v>1</v>
      </c>
      <c r="FM77" s="172" t="n">
        <v>1</v>
      </c>
      <c r="FN77" s="172" t="n">
        <v>1</v>
      </c>
      <c r="FO77" s="172" t="n">
        <v>1</v>
      </c>
      <c r="FP77" s="172" t="n">
        <v>1</v>
      </c>
      <c r="FQ77" s="172" t="n">
        <v>1</v>
      </c>
      <c r="FR77" s="172" t="n">
        <v>1</v>
      </c>
      <c r="FS77" s="172" t="n">
        <v>1</v>
      </c>
      <c r="FT77" s="172" t="n">
        <v>1</v>
      </c>
      <c r="FU77" s="172" t="n">
        <v>1</v>
      </c>
      <c r="FV77" s="172" t="n">
        <v>1</v>
      </c>
      <c r="FW77" s="172" t="n">
        <v>1</v>
      </c>
      <c r="FX77" s="172" t="n">
        <v>1</v>
      </c>
      <c r="FY77" s="172" t="n">
        <v>1</v>
      </c>
      <c r="FZ77" s="172" t="n">
        <v>1</v>
      </c>
      <c r="GA77" s="172" t="n">
        <v>1</v>
      </c>
      <c r="GB77" s="172" t="n">
        <v>1</v>
      </c>
      <c r="GC77" s="172" t="n">
        <v>1</v>
      </c>
      <c r="GD77" s="172" t="n">
        <v>1</v>
      </c>
      <c r="GE77" s="172" t="n">
        <v>1</v>
      </c>
      <c r="GF77" s="172" t="n">
        <v>1</v>
      </c>
      <c r="GG77" s="172" t="n">
        <v>1</v>
      </c>
      <c r="GH77" s="172" t="n">
        <v>1</v>
      </c>
      <c r="GI77" s="172" t="n">
        <v>1</v>
      </c>
      <c r="GJ77" s="172" t="n">
        <v>1</v>
      </c>
      <c r="GK77" s="172" t="n">
        <v>1</v>
      </c>
      <c r="GL77" s="172" t="n">
        <v>1</v>
      </c>
      <c r="GM77" s="172" t="n">
        <v>1</v>
      </c>
      <c r="GN77" s="172" t="n">
        <v>1</v>
      </c>
      <c r="GO77" s="172" t="n">
        <v>1</v>
      </c>
      <c r="GP77" s="172" t="n">
        <v>1</v>
      </c>
      <c r="GQ77" s="172" t="n">
        <v>1</v>
      </c>
      <c r="GR77" s="172" t="n">
        <v>1</v>
      </c>
      <c r="GS77" s="172" t="n">
        <v>1</v>
      </c>
      <c r="GT77" s="172" t="n">
        <v>1</v>
      </c>
      <c r="GU77" s="172" t="n">
        <v>1</v>
      </c>
      <c r="GV77" s="172" t="n">
        <v>1</v>
      </c>
      <c r="GW77" s="172" t="n">
        <v>1</v>
      </c>
      <c r="GX77" s="172" t="n">
        <v>1</v>
      </c>
      <c r="GY77" s="172" t="n">
        <v>1</v>
      </c>
      <c r="GZ77" s="172" t="n">
        <v>1</v>
      </c>
      <c r="HA77" s="172" t="n">
        <v>1</v>
      </c>
      <c r="HB77" s="172" t="n">
        <v>1</v>
      </c>
      <c r="HC77" s="172" t="n">
        <v>1</v>
      </c>
      <c r="HD77" s="172" t="n">
        <v>1</v>
      </c>
      <c r="HE77" s="172" t="n">
        <v>1</v>
      </c>
      <c r="HF77" s="172" t="n">
        <v>1</v>
      </c>
      <c r="HG77" s="172" t="n">
        <v>1</v>
      </c>
      <c r="HH77" s="172" t="n">
        <v>1</v>
      </c>
      <c r="HI77" s="172" t="n">
        <v>1</v>
      </c>
      <c r="HJ77" s="172" t="n">
        <v>1</v>
      </c>
      <c r="HK77" s="172" t="n">
        <v>1</v>
      </c>
      <c r="HL77" s="172" t="n">
        <v>1</v>
      </c>
      <c r="HM77" s="172" t="n">
        <v>1</v>
      </c>
      <c r="HN77" s="172" t="n">
        <v>1</v>
      </c>
      <c r="HO77" s="172" t="n">
        <v>1</v>
      </c>
      <c r="HP77" s="172" t="n">
        <v>1</v>
      </c>
      <c r="HQ77" s="172" t="n">
        <v>1</v>
      </c>
      <c r="HR77" s="172" t="n">
        <v>1</v>
      </c>
      <c r="HS77" s="172" t="n">
        <v>1</v>
      </c>
      <c r="HT77" s="172" t="n">
        <v>1</v>
      </c>
      <c r="HU77" s="172" t="n">
        <v>1</v>
      </c>
      <c r="HV77" s="172" t="n">
        <v>1</v>
      </c>
      <c r="HW77" s="172" t="n">
        <v>1</v>
      </c>
      <c r="HX77" s="172" t="n">
        <v>1</v>
      </c>
      <c r="HY77" s="172" t="n">
        <v>1</v>
      </c>
      <c r="HZ77" s="172" t="n">
        <v>1</v>
      </c>
      <c r="IA77" s="172" t="n">
        <v>1</v>
      </c>
      <c r="IB77" s="172" t="n">
        <v>1</v>
      </c>
      <c r="IC77" s="172" t="n">
        <v>1</v>
      </c>
      <c r="ID77" s="172" t="n">
        <v>1</v>
      </c>
      <c r="IE77" s="172" t="n">
        <v>1</v>
      </c>
      <c r="IF77" s="172" t="n">
        <v>1</v>
      </c>
      <c r="IG77" s="172" t="n">
        <v>1</v>
      </c>
      <c r="IH77" s="172" t="n">
        <v>1</v>
      </c>
      <c r="II77" s="172" t="n">
        <v>1</v>
      </c>
      <c r="IJ77" s="172" t="n">
        <v>1</v>
      </c>
      <c r="IK77" s="172" t="n">
        <v>1</v>
      </c>
      <c r="IL77" s="172" t="n">
        <v>1</v>
      </c>
      <c r="IM77" s="172" t="n">
        <v>1</v>
      </c>
      <c r="IN77" s="172" t="n">
        <v>1</v>
      </c>
      <c r="IO77" s="172" t="n">
        <v>1</v>
      </c>
      <c r="IP77" s="172" t="n">
        <v>1</v>
      </c>
      <c r="IQ77" s="172" t="n">
        <v>1</v>
      </c>
      <c r="IR77" s="172" t="n">
        <v>1</v>
      </c>
    </row>
    <row r="78" ht="29.15" customFormat="1" customHeight="1" s="6">
      <c r="A78" s="89" t="inlineStr">
        <is>
          <t>ЦМ (сырье)</t>
        </is>
      </c>
      <c r="B78" s="76" t="n">
        <v>4</v>
      </c>
      <c r="C78" s="3" t="inlineStr">
        <is>
          <t>Руды  всякие</t>
        </is>
      </c>
      <c r="D78" s="77" t="n">
        <v>15125</v>
      </c>
      <c r="E78" s="77" t="inlineStr">
        <is>
          <t xml:space="preserve">Концентрат цинковый </t>
        </is>
      </c>
      <c r="F78" s="77" t="inlineStr">
        <is>
          <t xml:space="preserve">Сырье цветных металлов, сырье серное </t>
        </is>
      </c>
      <c r="G78" s="77" t="inlineStr">
        <is>
          <t>КРС</t>
        </is>
      </c>
      <c r="H78" s="77" t="inlineStr">
        <is>
          <t>ЗСБ</t>
        </is>
      </c>
      <c r="I78" s="77" t="inlineStr">
        <is>
          <t>МИНУСИНСК</t>
        </is>
      </c>
      <c r="J78" s="77" t="inlineStr">
        <is>
          <t>ЛОК-Э-РУБ-РС</t>
        </is>
      </c>
      <c r="K78" s="77" t="n">
        <v>1048</v>
      </c>
      <c r="L78" s="77" t="inlineStr">
        <is>
          <t>Полувагоны</t>
        </is>
      </c>
      <c r="M78" s="77" t="inlineStr">
        <is>
          <t>Экспорт</t>
        </is>
      </c>
      <c r="N78" s="77" t="inlineStr">
        <is>
          <t>вагонная</t>
        </is>
      </c>
      <c r="O78" s="77" t="inlineStr">
        <is>
          <t xml:space="preserve">Южное </t>
        </is>
      </c>
      <c r="P78" s="79" t="inlineStr">
        <is>
          <t>'000079059812</t>
        </is>
      </c>
      <c r="Q78" s="77" t="inlineStr">
        <is>
          <t>ООО "УГМК-Холдинг"</t>
        </is>
      </c>
      <c r="R78" s="77" t="inlineStr">
        <is>
          <t>ООО "УГМК-Холдинг"</t>
        </is>
      </c>
      <c r="S78" s="80" t="n">
        <v>29690</v>
      </c>
      <c r="T78" s="80" t="n">
        <v>31126831</v>
      </c>
      <c r="U78" s="88" t="n">
        <v>437</v>
      </c>
      <c r="V78" s="88" t="n">
        <v>0</v>
      </c>
      <c r="W78" s="87" t="n">
        <v>63952201</v>
      </c>
      <c r="X78" s="112" t="n">
        <v>68</v>
      </c>
      <c r="Y78" s="112" t="inlineStr">
        <is>
          <t>групповая</t>
        </is>
      </c>
      <c r="Z78" s="113" t="n">
        <v>7</v>
      </c>
      <c r="AA78" s="113" t="n">
        <v>4</v>
      </c>
      <c r="AB78" s="113" t="n">
        <v>4</v>
      </c>
      <c r="AC78" s="161" t="n">
        <v>2312.51</v>
      </c>
      <c r="AD78" s="161">
        <f>AE78-AC78</f>
        <v/>
      </c>
      <c r="AE78" s="161" t="n">
        <v>2619.01</v>
      </c>
      <c r="AF78" s="162">
        <f>(Z78+AA78+AB78)*'Ставки аренды'!$B$3/X78</f>
        <v/>
      </c>
      <c r="AG78" s="163" t="n">
        <v>0</v>
      </c>
      <c r="AH78" s="164" t="n">
        <v>0</v>
      </c>
      <c r="AI78" s="165">
        <f>0.85*AJ78</f>
        <v/>
      </c>
      <c r="AJ78" s="166">
        <f>Цены!C36*'Курсы валют'!B2</f>
        <v/>
      </c>
      <c r="AK78" s="164">
        <f>AJ78/Цены!$B$1</f>
        <v/>
      </c>
      <c r="AL78" s="164">
        <f>AE78+AF78+AG78</f>
        <v/>
      </c>
      <c r="AM78" s="164">
        <f>AJ78-AL78</f>
        <v/>
      </c>
      <c r="AN78" s="164">
        <f>AI78+AH78+AG78+AF78+AE78</f>
        <v/>
      </c>
      <c r="AO78" s="167">
        <f>(AJ78-AN78)/AJ78</f>
        <v/>
      </c>
      <c r="AP78" s="168">
        <f>AL78/AJ78</f>
        <v/>
      </c>
      <c r="AQ78" s="168">
        <f>AE78/AJ78</f>
        <v/>
      </c>
      <c r="AR78" s="168">
        <f>AE78/AL78</f>
        <v/>
      </c>
      <c r="AS78" s="169" t="n">
        <v>1</v>
      </c>
      <c r="AT78" s="121">
        <f>S78*AS78</f>
        <v/>
      </c>
      <c r="AU78" s="83" t="n">
        <v>1</v>
      </c>
      <c r="AV78" s="170">
        <f>(AJ78-(AE78*(1+$IS$2)+AF78+AG78+AH78+AI78))/AJ78</f>
        <v/>
      </c>
      <c r="AW78" s="171">
        <f>(AE78*(1+$IS$2)+AF78+AG78)/AJ78</f>
        <v/>
      </c>
      <c r="AX78" s="171">
        <f>(AE78*(1+$IS$2))/AJ78</f>
        <v/>
      </c>
      <c r="AY78" s="171">
        <f>(AE78*(1+$IS$2))/(AE78*(1+$IS$2)+AF78+AG78)</f>
        <v/>
      </c>
      <c r="AZ78" s="172">
        <f>MIN(IF($AU78=100%,1,1+VLOOKUP(($AJ78-$AI78-$AH78-$AG78-$AF78-$AE78*(1+AZ$3))/$AJ78,'Технический лист'!$M:$N,2,1)-VLOOKUP($AO78,'Технический лист'!$M:$N,2,1)),1+(1-$AU78))</f>
        <v/>
      </c>
      <c r="BA78" s="172">
        <f>MIN(IF($AU78=100%,1,1+VLOOKUP(($AJ78-$AI78-$AH78-$AG78-$AF78-$AE78*(1+BA$3))/$AJ78,'Технический лист'!$M:$N,2,1)-VLOOKUP($AO78,'Технический лист'!$M:$N,2,1)),1+(1-$AU78))</f>
        <v/>
      </c>
      <c r="BB78" s="172">
        <f>MIN(IF($AU78=100%,1,1+VLOOKUP(($AJ78-$AI78-$AH78-$AG78-$AF78-$AE78*(1+BB$3))/$AJ78,'Технический лист'!$M:$N,2,1)-VLOOKUP($AO78,'Технический лист'!$M:$N,2,1)),1+(1-$AU78))</f>
        <v/>
      </c>
      <c r="BC78" s="172">
        <f>MIN(IF($AU78=100%,1,1+VLOOKUP(($AJ78-$AI78-$AH78-$AG78-$AF78-$AE78*(1+BC$3))/$AJ78,'Технический лист'!$M:$N,2,1)-VLOOKUP($AO78,'Технический лист'!$M:$N,2,1)),1+(1-$AU78))</f>
        <v/>
      </c>
      <c r="BD78" s="172">
        <f>MIN(IF($AU78=100%,1,1+VLOOKUP(($AJ78-$AI78-$AH78-$AG78-$AF78-$AE78*(1+BD$3))/$AJ78,'Технический лист'!$M:$N,2,1)-VLOOKUP($AO78,'Технический лист'!$M:$N,2,1)),1+(1-$AU78))</f>
        <v/>
      </c>
      <c r="BE78" s="172">
        <f>MIN(IF($AU78=100%,1,1+VLOOKUP(($AJ78-$AI78-$AH78-$AG78-$AF78-$AE78*(1+BE$3))/$AJ78,'Технический лист'!$M:$N,2,1)-VLOOKUP($AO78,'Технический лист'!$M:$N,2,1)),1+(1-$AU78))</f>
        <v/>
      </c>
      <c r="BF78" s="172">
        <f>MIN(IF($AU78=100%,1,1+VLOOKUP(($AJ78-$AI78-$AH78-$AG78-$AF78-$AE78*(1+BF$3))/$AJ78,'Технический лист'!$M:$N,2,1)-VLOOKUP($AO78,'Технический лист'!$M:$N,2,1)),1+(1-$AU78))</f>
        <v/>
      </c>
      <c r="BG78" s="172">
        <f>MIN(IF($AU78=100%,1,1+VLOOKUP(($AJ78-$AI78-$AH78-$AG78-$AF78-$AE78*(1+BG$3))/$AJ78,'Технический лист'!$M:$N,2,1)-VLOOKUP($AO78,'Технический лист'!$M:$N,2,1)),1+(1-$AU78))</f>
        <v/>
      </c>
      <c r="BH78" s="172">
        <f>MIN(IF($AU78=100%,1,1+VLOOKUP(($AJ78-$AI78-$AH78-$AG78-$AF78-$AE78*(1+BH$3))/$AJ78,'Технический лист'!$M:$N,2,1)-VLOOKUP($AO78,'Технический лист'!$M:$N,2,1)),1+(1-$AU78))</f>
        <v/>
      </c>
      <c r="BI78" s="172">
        <f>MIN(IF($AU78=100%,1,1+VLOOKUP(($AJ78-$AI78-$AH78-$AG78-$AF78-$AE78*(1+BI$3))/$AJ78,'Технический лист'!$M:$N,2,1)-VLOOKUP($AO78,'Технический лист'!$M:$N,2,1)),1+(1-$AU78))</f>
        <v/>
      </c>
      <c r="BJ78" s="172">
        <f>MIN(IF($AU78=100%,1,1+VLOOKUP(($AJ78-$AI78-$AH78-$AG78-$AF78-$AE78*(1+BJ$3))/$AJ78,'Технический лист'!$M:$N,2,1)-VLOOKUP($AO78,'Технический лист'!$M:$N,2,1)),1+(1-$AU78))</f>
        <v/>
      </c>
      <c r="BK78" s="172">
        <f>MIN(IF($AU78=100%,1,1+VLOOKUP(($AJ78-$AI78-$AH78-$AG78-$AF78-$AE78*(1+BK$3))/$AJ78,'Технический лист'!$M:$N,2,1)-VLOOKUP($AO78,'Технический лист'!$M:$N,2,1)),1+(1-$AU78))</f>
        <v/>
      </c>
      <c r="BL78" s="172">
        <f>MIN(IF($AU78=100%,1,1+VLOOKUP(($AJ78-$AI78-$AH78-$AG78-$AF78-$AE78*(1+BL$3))/$AJ78,'Технический лист'!$M:$N,2,1)-VLOOKUP($AO78,'Технический лист'!$M:$N,2,1)),1+(1-$AU78))</f>
        <v/>
      </c>
      <c r="BM78" s="172">
        <f>MIN(IF($AU78=100%,1,1+VLOOKUP(($AJ78-$AI78-$AH78-$AG78-$AF78-$AE78*(1+BM$3))/$AJ78,'Технический лист'!$M:$N,2,1)-VLOOKUP($AO78,'Технический лист'!$M:$N,2,1)),1+(1-$AU78))</f>
        <v/>
      </c>
      <c r="BN78" s="172">
        <f>MIN(IF($AU78=100%,1,1+VLOOKUP(($AJ78-$AI78-$AH78-$AG78-$AF78-$AE78*(1+BN$3))/$AJ78,'Технический лист'!$M:$N,2,1)-VLOOKUP($AO78,'Технический лист'!$M:$N,2,1)),1+(1-$AU78))</f>
        <v/>
      </c>
      <c r="BO78" s="172">
        <f>MIN(IF($AU78=100%,1,1+VLOOKUP(($AJ78-$AI78-$AH78-$AG78-$AF78-$AE78*(1+BO$3))/$AJ78,'Технический лист'!$M:$N,2,1)-VLOOKUP($AO78,'Технический лист'!$M:$N,2,1)),1+(1-$AU78))</f>
        <v/>
      </c>
      <c r="BP78" s="172">
        <f>MIN(IF($AU78=100%,1,1+VLOOKUP(($AJ78-$AI78-$AH78-$AG78-$AF78-$AE78*(1+BP$3))/$AJ78,'Технический лист'!$M:$N,2,1)-VLOOKUP($AO78,'Технический лист'!$M:$N,2,1)),1+(1-$AU78))</f>
        <v/>
      </c>
      <c r="BQ78" s="172">
        <f>MIN(IF($AU78=100%,1,1+VLOOKUP(($AJ78-$AI78-$AH78-$AG78-$AF78-$AE78*(1+BQ$3))/$AJ78,'Технический лист'!$M:$N,2,1)-VLOOKUP($AO78,'Технический лист'!$M:$N,2,1)),1+(1-$AU78))</f>
        <v/>
      </c>
      <c r="BR78" s="172">
        <f>MIN(IF($AU78=100%,1,1+VLOOKUP(($AJ78-$AI78-$AH78-$AG78-$AF78-$AE78*(1+BR$3))/$AJ78,'Технический лист'!$M:$N,2,1)-VLOOKUP($AO78,'Технический лист'!$M:$N,2,1)),1+(1-$AU78))</f>
        <v/>
      </c>
      <c r="BS78" s="172">
        <f>MIN(IF($AU78=100%,1,1+VLOOKUP(($AJ78-$AI78-$AH78-$AG78-$AF78-$AE78*(1+BS$3))/$AJ78,'Технический лист'!$M:$N,2,1)-VLOOKUP($AO78,'Технический лист'!$M:$N,2,1)),1+(1-$AU78))</f>
        <v/>
      </c>
      <c r="BT78" s="172">
        <f>MIN(IF($AU78=100%,1,1+VLOOKUP(($AJ78-$AI78-$AH78-$AG78-$AF78-$AE78*(1+BT$3))/$AJ78,'Технический лист'!$M:$N,2,1)-VLOOKUP($AO78,'Технический лист'!$M:$N,2,1)),1+(1-$AU78))</f>
        <v/>
      </c>
      <c r="BU78" s="172">
        <f>MIN(IF($AU78=100%,1,1+VLOOKUP(($AJ78-$AI78-$AH78-$AG78-$AF78-$AE78*(1+BU$3))/$AJ78,'Технический лист'!$M:$N,2,1)-VLOOKUP($AO78,'Технический лист'!$M:$N,2,1)),1+(1-$AU78))</f>
        <v/>
      </c>
      <c r="BV78" s="172">
        <f>MIN(IF($AU78=100%,1,1+VLOOKUP(($AJ78-$AI78-$AH78-$AG78-$AF78-$AE78*(1+BV$3))/$AJ78,'Технический лист'!$M:$N,2,1)-VLOOKUP($AO78,'Технический лист'!$M:$N,2,1)),1+(1-$AU78))</f>
        <v/>
      </c>
      <c r="BW78" s="172">
        <f>MIN(IF($AU78=100%,1,1+VLOOKUP(($AJ78-$AI78-$AH78-$AG78-$AF78-$AE78*(1+BW$3))/$AJ78,'Технический лист'!$M:$N,2,1)-VLOOKUP($AO78,'Технический лист'!$M:$N,2,1)),1+(1-$AU78))</f>
        <v/>
      </c>
      <c r="BX78" s="172">
        <f>MIN(IF($AU78=100%,1,1+VLOOKUP(($AJ78-$AI78-$AH78-$AG78-$AF78-$AE78*(1+BX$3))/$AJ78,'Технический лист'!$M:$N,2,1)-VLOOKUP($AO78,'Технический лист'!$M:$N,2,1)),1+(1-$AU78))</f>
        <v/>
      </c>
      <c r="BY78" s="172">
        <f>MIN(IF($AU78=100%,1,1+VLOOKUP(($AJ78-$AI78-$AH78-$AG78-$AF78-$AE78*(1+BY$3))/$AJ78,'Технический лист'!$M:$N,2,1)-VLOOKUP($AO78,'Технический лист'!$M:$N,2,1)),1+(1-$AU78))</f>
        <v/>
      </c>
      <c r="BZ78" s="172">
        <f>MIN(IF($AU78=100%,1,1+VLOOKUP(($AJ78-$AI78-$AH78-$AG78-$AF78-$AE78*(1+BZ$3))/$AJ78,'Технический лист'!$M:$N,2,1)-VLOOKUP($AO78,'Технический лист'!$M:$N,2,1)),1+(1-$AU78))</f>
        <v/>
      </c>
      <c r="CA78" s="172">
        <f>MIN(IF($AU78=100%,1,1+VLOOKUP(($AJ78-$AI78-$AH78-$AG78-$AF78-$AE78*(1+CA$3))/$AJ78,'Технический лист'!$M:$N,2,1)-VLOOKUP($AO78,'Технический лист'!$M:$N,2,1)),1+(1-$AU78))</f>
        <v/>
      </c>
      <c r="CB78" s="172">
        <f>MIN(IF($AU78=100%,1,1+VLOOKUP(($AJ78-$AI78-$AH78-$AG78-$AF78-$AE78*(1+CB$3))/$AJ78,'Технический лист'!$M:$N,2,1)-VLOOKUP($AO78,'Технический лист'!$M:$N,2,1)),1+(1-$AU78))</f>
        <v/>
      </c>
      <c r="CC78" s="172">
        <f>MIN(IF($AU78=100%,1,1+VLOOKUP(($AJ78-$AI78-$AH78-$AG78-$AF78-$AE78*(1+CC$3))/$AJ78,'Технический лист'!$M:$N,2,1)-VLOOKUP($AO78,'Технический лист'!$M:$N,2,1)),1+(1-$AU78))</f>
        <v/>
      </c>
      <c r="CD78" s="172">
        <f>MIN(IF($AU78=100%,1,1+VLOOKUP(($AJ78-$AI78-$AH78-$AG78-$AF78-$AE78*(1+CD$3))/$AJ78,'Технический лист'!$M:$N,2,1)-VLOOKUP($AO78,'Технический лист'!$M:$N,2,1)),1+(1-$AU78))</f>
        <v/>
      </c>
      <c r="CE78" s="172">
        <f>MIN(IF($AU78=100%,1,1+VLOOKUP(($AJ78-$AI78-$AH78-$AG78-$AF78-$AE78*(1+CE$3))/$AJ78,'Технический лист'!$M:$N,2,1)-VLOOKUP($AO78,'Технический лист'!$M:$N,2,1)),1+(1-$AU78))</f>
        <v/>
      </c>
      <c r="CF78" s="172">
        <f>MIN(IF($AU78=100%,1,1+VLOOKUP(($AJ78-$AI78-$AH78-$AG78-$AF78-$AE78*(1+CF$3))/$AJ78,'Технический лист'!$M:$N,2,1)-VLOOKUP($AO78,'Технический лист'!$M:$N,2,1)),1+(1-$AU78))</f>
        <v/>
      </c>
      <c r="CG78" s="172">
        <f>MIN(IF($AU78=100%,1,1+VLOOKUP(($AJ78-$AI78-$AH78-$AG78-$AF78-$AE78*(1+CG$3))/$AJ78,'Технический лист'!$M:$N,2,1)-VLOOKUP($AO78,'Технический лист'!$M:$N,2,1)),1+(1-$AU78))</f>
        <v/>
      </c>
      <c r="CH78" s="172">
        <f>MIN(IF($AU78=100%,1,1+VLOOKUP(($AJ78-$AI78-$AH78-$AG78-$AF78-$AE78*(1+CH$3))/$AJ78,'Технический лист'!$M:$N,2,1)-VLOOKUP($AO78,'Технический лист'!$M:$N,2,1)),1+(1-$AU78))</f>
        <v/>
      </c>
      <c r="CI78" s="172">
        <f>MIN(IF($AU78=100%,1,1+VLOOKUP(($AJ78-$AI78-$AH78-$AG78-$AF78-$AE78*(1+CI$3))/$AJ78,'Технический лист'!$M:$N,2,1)-VLOOKUP($AO78,'Технический лист'!$M:$N,2,1)),1+(1-$AU78))</f>
        <v/>
      </c>
      <c r="CJ78" s="172">
        <f>MIN(IF($AU78=100%,1,1+VLOOKUP(($AJ78-$AI78-$AH78-$AG78-$AF78-$AE78*(1+CJ$3))/$AJ78,'Технический лист'!$M:$N,2,1)-VLOOKUP($AO78,'Технический лист'!$M:$N,2,1)),1+(1-$AU78))</f>
        <v/>
      </c>
      <c r="CK78" s="172">
        <f>MIN(IF($AU78=100%,1,1+VLOOKUP(($AJ78-$AI78-$AH78-$AG78-$AF78-$AE78*(1+CK$3))/$AJ78,'Технический лист'!$M:$N,2,1)-VLOOKUP($AO78,'Технический лист'!$M:$N,2,1)),1+(1-$AU78))</f>
        <v/>
      </c>
      <c r="CL78" s="172">
        <f>MIN(IF($AU78=100%,1,1+VLOOKUP(($AJ78-$AI78-$AH78-$AG78-$AF78-$AE78*(1+CL$3))/$AJ78,'Технический лист'!$M:$N,2,1)-VLOOKUP($AO78,'Технический лист'!$M:$N,2,1)),1+(1-$AU78))</f>
        <v/>
      </c>
      <c r="CM78" s="172">
        <f>MIN(IF($AU78=100%,1,1+VLOOKUP(($AJ78-$AI78-$AH78-$AG78-$AF78-$AE78*(1+CM$3))/$AJ78,'Технический лист'!$M:$N,2,1)-VLOOKUP($AO78,'Технический лист'!$M:$N,2,1)),1+(1-$AU78))</f>
        <v/>
      </c>
      <c r="CN78" s="172">
        <f>MIN(IF($AU78=100%,1,1+VLOOKUP(($AJ78-$AI78-$AH78-$AG78-$AF78-$AE78*(1+CN$3))/$AJ78,'Технический лист'!$M:$N,2,1)-VLOOKUP($AO78,'Технический лист'!$M:$N,2,1)),1+(1-$AU78))</f>
        <v/>
      </c>
      <c r="CO78" s="172">
        <f>MIN(IF($AU78=100%,1,1+VLOOKUP(($AJ78-$AI78-$AH78-$AG78-$AF78-$AE78*(1+CO$3))/$AJ78,'Технический лист'!$M:$N,2,1)-VLOOKUP($AO78,'Технический лист'!$M:$N,2,1)),1+(1-$AU78))</f>
        <v/>
      </c>
      <c r="CP78" s="172">
        <f>MIN(IF($AU78=100%,1,1+VLOOKUP(($AJ78-$AI78-$AH78-$AG78-$AF78-$AE78*(1+CP$3))/$AJ78,'Технический лист'!$M:$N,2,1)-VLOOKUP($AO78,'Технический лист'!$M:$N,2,1)),1+(1-$AU78))</f>
        <v/>
      </c>
      <c r="CQ78" s="172">
        <f>MIN(IF($AU78=100%,1,1+VLOOKUP(($AJ78-$AI78-$AH78-$AG78-$AF78-$AE78*(1+CQ$3))/$AJ78,'Технический лист'!$M:$N,2,1)-VLOOKUP($AO78,'Технический лист'!$M:$N,2,1)),1+(1-$AU78))</f>
        <v/>
      </c>
      <c r="CR78" s="172">
        <f>MIN(IF($AU78=100%,1,1+VLOOKUP(($AJ78-$AI78-$AH78-$AG78-$AF78-$AE78*(1+CR$3))/$AJ78,'Технический лист'!$M:$N,2,1)-VLOOKUP($AO78,'Технический лист'!$M:$N,2,1)),1+(1-$AU78))</f>
        <v/>
      </c>
      <c r="CS78" s="172">
        <f>MIN(IF($AU78=100%,1,1+VLOOKUP(($AJ78-$AI78-$AH78-$AG78-$AF78-$AE78*(1+CS$3))/$AJ78,'Технический лист'!$M:$N,2,1)-VLOOKUP($AO78,'Технический лист'!$M:$N,2,1)),1+(1-$AU78))</f>
        <v/>
      </c>
      <c r="CT78" s="172">
        <f>MIN(IF($AU78=100%,1,1+VLOOKUP(($AJ78-$AI78-$AH78-$AG78-$AF78-$AE78*(1+CT$3))/$AJ78,'Технический лист'!$M:$N,2,1)-VLOOKUP($AO78,'Технический лист'!$M:$N,2,1)),1+(1-$AU78))</f>
        <v/>
      </c>
      <c r="CU78" s="172">
        <f>MIN(IF($AU78=100%,1,1+VLOOKUP(($AJ78-$AI78-$AH78-$AG78-$AF78-$AE78*(1+CU$3))/$AJ78,'Технический лист'!$M:$N,2,1)-VLOOKUP($AO78,'Технический лист'!$M:$N,2,1)),1+(1-$AU78))</f>
        <v/>
      </c>
      <c r="CV78" s="172">
        <f>MIN(IF($AU78=100%,1,1+VLOOKUP(($AJ78-$AI78-$AH78-$AG78-$AF78-$AE78*(1+CV$3))/$AJ78,'Технический лист'!$M:$N,2,1)-VLOOKUP($AO78,'Технический лист'!$M:$N,2,1)),1+(1-$AU78))</f>
        <v/>
      </c>
      <c r="CW78" s="172">
        <f>MIN(IF($AU78=100%,1,1+VLOOKUP(($AJ78-$AI78-$AH78-$AG78-$AF78-$AE78*(1+CW$3))/$AJ78,'Технический лист'!$M:$N,2,1)-VLOOKUP($AO78,'Технический лист'!$M:$N,2,1)),1+(1-$AU78))</f>
        <v/>
      </c>
      <c r="CX78" s="172">
        <f>MIN(IF($AU78=100%,1,1+VLOOKUP(($AJ78-$AI78-$AH78-$AG78-$AF78-$AE78*(1+CX$3))/$AJ78,'Технический лист'!$M:$N,2,1)-VLOOKUP($AO78,'Технический лист'!$M:$N,2,1)),1+(1-$AU78))</f>
        <v/>
      </c>
      <c r="CY78" s="172">
        <f>MIN(IF($AU78=100%,1,1+VLOOKUP(($AJ78-$AI78-$AH78-$AG78-$AF78-$AE78*(1+CY$3))/$AJ78,'Технический лист'!$M:$N,2,1)-VLOOKUP($AO78,'Технический лист'!$M:$N,2,1)),1+(1-$AU78))</f>
        <v/>
      </c>
      <c r="CZ78" s="172">
        <f>MIN(IF($AU78=100%,1,1+VLOOKUP(($AJ78-$AI78-$AH78-$AG78-$AF78-$AE78*(1+CZ$3))/$AJ78,'Технический лист'!$M:$N,2,1)-VLOOKUP($AO78,'Технический лист'!$M:$N,2,1)),1+(1-$AU78))</f>
        <v/>
      </c>
      <c r="DA78" s="172">
        <f>MIN(IF($AU78=100%,1,1+VLOOKUP(($AJ78-$AI78-$AH78-$AG78-$AF78-$AE78*(1+DA$3))/$AJ78,'Технический лист'!$M:$N,2,1)-VLOOKUP($AO78,'Технический лист'!$M:$N,2,1)),1+(1-$AU78))</f>
        <v/>
      </c>
      <c r="DB78" s="172">
        <f>MIN(IF($AU78=100%,1,1+VLOOKUP(($AJ78-$AI78-$AH78-$AG78-$AF78-$AE78*(1+DB$3))/$AJ78,'Технический лист'!$M:$N,2,1)-VLOOKUP($AO78,'Технический лист'!$M:$N,2,1)),1+(1-$AU78))</f>
        <v/>
      </c>
      <c r="DC78" s="172">
        <f>MIN(IF($AU78=100%,1,1+VLOOKUP(($AJ78-$AI78-$AH78-$AG78-$AF78-$AE78*(1+DC$3))/$AJ78,'Технический лист'!$M:$N,2,1)-VLOOKUP($AO78,'Технический лист'!$M:$N,2,1)),1+(1-$AU78))</f>
        <v/>
      </c>
      <c r="DD78" s="172">
        <f>MIN(IF($AU78=100%,1,1+VLOOKUP(($AJ78-$AI78-$AH78-$AG78-$AF78-$AE78*(1+DD$3))/$AJ78,'Технический лист'!$M:$N,2,1)-VLOOKUP($AO78,'Технический лист'!$M:$N,2,1)),1+(1-$AU78))</f>
        <v/>
      </c>
      <c r="DE78" s="172">
        <f>MIN(IF($AU78=100%,1,1+VLOOKUP(($AJ78-$AI78-$AH78-$AG78-$AF78-$AE78*(1+DE$3))/$AJ78,'Технический лист'!$M:$N,2,1)-VLOOKUP($AO78,'Технический лист'!$M:$N,2,1)),1+(1-$AU78))</f>
        <v/>
      </c>
      <c r="DF78" s="172">
        <f>MIN(IF($AU78=100%,1,1+VLOOKUP(($AJ78-$AI78-$AH78-$AG78-$AF78-$AE78*(1+DF$3))/$AJ78,'Технический лист'!$M:$N,2,1)-VLOOKUP($AO78,'Технический лист'!$M:$N,2,1)),1+(1-$AU78))</f>
        <v/>
      </c>
      <c r="DG78" s="172">
        <f>MIN(IF($AU78=100%,1,1+VLOOKUP(($AJ78-$AI78-$AH78-$AG78-$AF78-$AE78*(1+DG$3))/$AJ78,'Технический лист'!$M:$N,2,1)-VLOOKUP($AO78,'Технический лист'!$M:$N,2,1)),1+(1-$AU78))</f>
        <v/>
      </c>
      <c r="DH78" s="172">
        <f>MIN(IF($AU78=100%,1,1+VLOOKUP(($AJ78-$AI78-$AH78-$AG78-$AF78-$AE78*(1+DH$3))/$AJ78,'Технический лист'!$M:$N,2,1)-VLOOKUP($AO78,'Технический лист'!$M:$N,2,1)),1+(1-$AU78))</f>
        <v/>
      </c>
      <c r="DI78" s="172">
        <f>MIN(IF($AU78=100%,1,1+VLOOKUP(($AJ78-$AI78-$AH78-$AG78-$AF78-$AE78*(1+DI$3))/$AJ78,'Технический лист'!$M:$N,2,1)-VLOOKUP($AO78,'Технический лист'!$M:$N,2,1)),1+(1-$AU78))</f>
        <v/>
      </c>
      <c r="DJ78" s="172">
        <f>MIN(IF($AU78=100%,1,1+VLOOKUP(($AJ78-$AI78-$AH78-$AG78-$AF78-$AE78*(1+DJ$3))/$AJ78,'Технический лист'!$M:$N,2,1)-VLOOKUP($AO78,'Технический лист'!$M:$N,2,1)),1+(1-$AU78))</f>
        <v/>
      </c>
      <c r="DK78" s="172">
        <f>MIN(IF($AU78=100%,1,1+VLOOKUP(($AJ78-$AI78-$AH78-$AG78-$AF78-$AE78*(1+DK$3))/$AJ78,'Технический лист'!$M:$N,2,1)-VLOOKUP($AO78,'Технический лист'!$M:$N,2,1)),1+(1-$AU78))</f>
        <v/>
      </c>
      <c r="DL78" s="172">
        <f>MIN(IF($AU78=100%,1,1+VLOOKUP(($AJ78-$AI78-$AH78-$AG78-$AF78-$AE78*(1+DL$3))/$AJ78,'Технический лист'!$M:$N,2,1)-VLOOKUP($AO78,'Технический лист'!$M:$N,2,1)),1+(1-$AU78))</f>
        <v/>
      </c>
      <c r="DM78" s="172">
        <f>MIN(IF($AU78=100%,1,1+VLOOKUP(($AJ78-$AI78-$AH78-$AG78-$AF78-$AE78*(1+DM$3))/$AJ78,'Технический лист'!$M:$N,2,1)-VLOOKUP($AO78,'Технический лист'!$M:$N,2,1)),1+(1-$AU78))</f>
        <v/>
      </c>
      <c r="DN78" s="172">
        <f>MIN(IF($AU78=100%,1,1+VLOOKUP(($AJ78-$AI78-$AH78-$AG78-$AF78-$AE78*(1+DN$3))/$AJ78,'Технический лист'!$M:$N,2,1)-VLOOKUP($AO78,'Технический лист'!$M:$N,2,1)),1+(1-$AU78))</f>
        <v/>
      </c>
      <c r="DO78" s="172">
        <f>MIN(IF($AU78=100%,1,1+VLOOKUP(($AJ78-$AI78-$AH78-$AG78-$AF78-$AE78*(1+DO$3))/$AJ78,'Технический лист'!$M:$N,2,1)-VLOOKUP($AO78,'Технический лист'!$M:$N,2,1)),1+(1-$AU78))</f>
        <v/>
      </c>
      <c r="DP78" s="172">
        <f>MIN(IF($AU78=100%,1,1+VLOOKUP(($AJ78-$AI78-$AH78-$AG78-$AF78-$AE78*(1+DP$3))/$AJ78,'Технический лист'!$M:$N,2,1)-VLOOKUP($AO78,'Технический лист'!$M:$N,2,1)),1+(1-$AU78))</f>
        <v/>
      </c>
      <c r="DQ78" s="172">
        <f>MIN(IF($AU78=100%,1,1+VLOOKUP(($AJ78-$AI78-$AH78-$AG78-$AF78-$AE78*(1+DQ$3))/$AJ78,'Технический лист'!$M:$N,2,1)-VLOOKUP($AO78,'Технический лист'!$M:$N,2,1)),1+(1-$AU78))</f>
        <v/>
      </c>
      <c r="DR78" s="172">
        <f>MIN(IF($AU78=100%,1,1+VLOOKUP(($AJ78-$AI78-$AH78-$AG78-$AF78-$AE78*(1+DR$3))/$AJ78,'Технический лист'!$M:$N,2,1)-VLOOKUP($AO78,'Технический лист'!$M:$N,2,1)),1+(1-$AU78))</f>
        <v/>
      </c>
      <c r="DS78" s="172">
        <f>MIN(IF($AU78=100%,1,1+VLOOKUP(($AJ78-$AI78-$AH78-$AG78-$AF78-$AE78*(1+DS$3))/$AJ78,'Технический лист'!$M:$N,2,1)-VLOOKUP($AO78,'Технический лист'!$M:$N,2,1)),1+(1-$AU78))</f>
        <v/>
      </c>
      <c r="DT78" s="172">
        <f>MIN(IF($AU78=100%,1,1+VLOOKUP(($AJ78-$AI78-$AH78-$AG78-$AF78-$AE78*(1+DT$3))/$AJ78,'Технический лист'!$M:$N,2,1)-VLOOKUP($AO78,'Технический лист'!$M:$N,2,1)),1+(1-$AU78))</f>
        <v/>
      </c>
      <c r="DU78" s="172">
        <f>MIN(IF($AU78=100%,1,1+VLOOKUP(($AJ78-$AI78-$AH78-$AG78-$AF78-$AE78*(1+DU$3))/$AJ78,'Технический лист'!$M:$N,2,1)-VLOOKUP($AO78,'Технический лист'!$M:$N,2,1)),1+(1-$AU78))</f>
        <v/>
      </c>
      <c r="DV78" s="172">
        <f>MIN(IF($AU78=100%,1,1+VLOOKUP(($AJ78-$AI78-$AH78-$AG78-$AF78-$AE78*(1+DV$3))/$AJ78,'Технический лист'!$M:$N,2,1)-VLOOKUP($AO78,'Технический лист'!$M:$N,2,1)),1+(1-$AU78))</f>
        <v/>
      </c>
      <c r="DW78" s="172">
        <f>MIN(IF($AU78=100%,1,1+VLOOKUP(($AJ78-$AI78-$AH78-$AG78-$AF78-$AE78*(1+DW$3))/$AJ78,'Технический лист'!$M:$N,2,1)-VLOOKUP($AO78,'Технический лист'!$M:$N,2,1)),1+(1-$AU78))</f>
        <v/>
      </c>
      <c r="DX78" s="172">
        <f>MIN(IF($AU78=100%,1,1+VLOOKUP(($AJ78-$AI78-$AH78-$AG78-$AF78-$AE78*(1+DX$3))/$AJ78,'Технический лист'!$M:$N,2,1)-VLOOKUP($AO78,'Технический лист'!$M:$N,2,1)),1+(1-$AU78))</f>
        <v/>
      </c>
      <c r="DY78" s="172">
        <f>MIN(IF($AU78=100%,1,1+VLOOKUP(($AJ78-$AI78-$AH78-$AG78-$AF78-$AE78*(1+DY$3))/$AJ78,'Технический лист'!$M:$N,2,1)-VLOOKUP($AO78,'Технический лист'!$M:$N,2,1)),1+(1-$AU78))</f>
        <v/>
      </c>
      <c r="DZ78" s="172">
        <f>MIN(IF($AU78=100%,1,1+VLOOKUP(($AJ78-$AI78-$AH78-$AG78-$AF78-$AE78*(1+DZ$3))/$AJ78,'Технический лист'!$M:$N,2,1)-VLOOKUP($AO78,'Технический лист'!$M:$N,2,1)),1+(1-$AU78))</f>
        <v/>
      </c>
      <c r="EA78" s="172">
        <f>MIN(IF($AU78=100%,1,1+VLOOKUP(($AJ78-$AI78-$AH78-$AG78-$AF78-$AE78*(1+EA$3))/$AJ78,'Технический лист'!$M:$N,2,1)-VLOOKUP($AO78,'Технический лист'!$M:$N,2,1)),1+(1-$AU78))</f>
        <v/>
      </c>
      <c r="EB78" s="172">
        <f>MIN(IF($AU78=100%,1,1+VLOOKUP(($AJ78-$AI78-$AH78-$AG78-$AF78-$AE78*(1+EB$3))/$AJ78,'Технический лист'!$M:$N,2,1)-VLOOKUP($AO78,'Технический лист'!$M:$N,2,1)),1+(1-$AU78))</f>
        <v/>
      </c>
      <c r="EC78" s="172">
        <f>MIN(IF($AU78=100%,1,1+VLOOKUP(($AJ78-$AI78-$AH78-$AG78-$AF78-$AE78*(1+EC$3))/$AJ78,'Технический лист'!$M:$N,2,1)-VLOOKUP($AO78,'Технический лист'!$M:$N,2,1)),1+(1-$AU78))</f>
        <v/>
      </c>
      <c r="ED78" s="172">
        <f>MIN(IF($AU78=100%,1,1+VLOOKUP(($AJ78-$AI78-$AH78-$AG78-$AF78-$AE78*(1+ED$3))/$AJ78,'Технический лист'!$M:$N,2,1)-VLOOKUP($AO78,'Технический лист'!$M:$N,2,1)),1+(1-$AU78))</f>
        <v/>
      </c>
      <c r="EE78" s="172">
        <f>MIN(IF($AU78=100%,1,1+VLOOKUP(($AJ78-$AI78-$AH78-$AG78-$AF78-$AE78*(1+EE$3))/$AJ78,'Технический лист'!$M:$N,2,1)-VLOOKUP($AO78,'Технический лист'!$M:$N,2,1)),1+(1-$AU78))</f>
        <v/>
      </c>
      <c r="EF78" s="172">
        <f>MIN(IF($AU78=100%,1,1+VLOOKUP(($AJ78-$AI78-$AH78-$AG78-$AF78-$AE78*(1+EF$3))/$AJ78,'Технический лист'!$M:$N,2,1)-VLOOKUP($AO78,'Технический лист'!$M:$N,2,1)),1+(1-$AU78))</f>
        <v/>
      </c>
      <c r="EG78" s="172">
        <f>MIN(IF($AU78=100%,1,1+VLOOKUP(($AJ78-$AI78-$AH78-$AG78-$AF78-$AE78*(1+EG$3))/$AJ78,'Технический лист'!$M:$N,2,1)-VLOOKUP($AO78,'Технический лист'!$M:$N,2,1)),1+(1-$AU78))</f>
        <v/>
      </c>
      <c r="EH78" s="172">
        <f>MIN(IF($AU78=100%,1,1+VLOOKUP(($AJ78-$AI78-$AH78-$AG78-$AF78-$AE78*(1+EH$3))/$AJ78,'Технический лист'!$M:$N,2,1)-VLOOKUP($AO78,'Технический лист'!$M:$N,2,1)),1+(1-$AU78))</f>
        <v/>
      </c>
      <c r="EI78" s="172">
        <f>MIN(IF($AU78=100%,1,1+VLOOKUP(($AJ78-$AI78-$AH78-$AG78-$AF78-$AE78*(1+EI$3))/$AJ78,'Технический лист'!$M:$N,2,1)-VLOOKUP($AO78,'Технический лист'!$M:$N,2,1)),1+(1-$AU78))</f>
        <v/>
      </c>
      <c r="EJ78" s="172">
        <f>MIN(IF($AU78=100%,1,1+VLOOKUP(($AJ78-$AI78-$AH78-$AG78-$AF78-$AE78*(1+EJ$3))/$AJ78,'Технический лист'!$M:$N,2,1)-VLOOKUP($AO78,'Технический лист'!$M:$N,2,1)),1+(1-$AU78))</f>
        <v/>
      </c>
      <c r="EK78" s="172">
        <f>MIN(IF($AU78=100%,1,1+VLOOKUP(($AJ78-$AI78-$AH78-$AG78-$AF78-$AE78*(1+EK$3))/$AJ78,'Технический лист'!$M:$N,2,1)-VLOOKUP($AO78,'Технический лист'!$M:$N,2,1)),1+(1-$AU78))</f>
        <v/>
      </c>
      <c r="EL78" s="172">
        <f>MIN(IF($AU78=100%,1,1+VLOOKUP(($AJ78-$AI78-$AH78-$AG78-$AF78-$AE78*(1+EL$3))/$AJ78,'Технический лист'!$M:$N,2,1)-VLOOKUP($AO78,'Технический лист'!$M:$N,2,1)),1+(1-$AU78))</f>
        <v/>
      </c>
      <c r="EM78" s="172">
        <f>MIN(IF($AU78=100%,1,1+VLOOKUP(($AJ78-$AI78-$AH78-$AG78-$AF78-$AE78*(1+EM$3))/$AJ78,'Технический лист'!$M:$N,2,1)-VLOOKUP($AO78,'Технический лист'!$M:$N,2,1)),1+(1-$AU78))</f>
        <v/>
      </c>
      <c r="EN78" s="172">
        <f>MIN(IF($AU78=100%,1,1+VLOOKUP(($AJ78-$AI78-$AH78-$AG78-$AF78-$AE78*(1+EN$3))/$AJ78,'Технический лист'!$M:$N,2,1)-VLOOKUP($AO78,'Технический лист'!$M:$N,2,1)),1+(1-$AU78))</f>
        <v/>
      </c>
      <c r="EO78" s="172">
        <f>MIN(IF($AU78=100%,1,1+VLOOKUP(($AJ78-$AI78-$AH78-$AG78-$AF78-$AE78*(1+EO$3))/$AJ78,'Технический лист'!$M:$N,2,1)-VLOOKUP($AO78,'Технический лист'!$M:$N,2,1)),1+(1-$AU78))</f>
        <v/>
      </c>
      <c r="EP78" s="172">
        <f>MIN(IF($AU78=100%,1,1+VLOOKUP(($AJ78-$AI78-$AH78-$AG78-$AF78-$AE78*(1+EP$3))/$AJ78,'Технический лист'!$M:$N,2,1)-VLOOKUP($AO78,'Технический лист'!$M:$N,2,1)),1+(1-$AU78))</f>
        <v/>
      </c>
      <c r="EQ78" s="172">
        <f>MIN(IF($AU78=100%,1,1+VLOOKUP(($AJ78-$AI78-$AH78-$AG78-$AF78-$AE78*(1+EQ$3))/$AJ78,'Технический лист'!$M:$N,2,1)-VLOOKUP($AO78,'Технический лист'!$M:$N,2,1)),1+(1-$AU78))</f>
        <v/>
      </c>
      <c r="ER78" s="172">
        <f>MIN(IF($AU78=100%,1,1+VLOOKUP(($AJ78-$AI78-$AH78-$AG78-$AF78-$AE78*(1+ER$3))/$AJ78,'Технический лист'!$M:$N,2,1)-VLOOKUP($AO78,'Технический лист'!$M:$N,2,1)),1+(1-$AU78))</f>
        <v/>
      </c>
      <c r="ES78" s="172">
        <f>MIN(IF($AU78=100%,1,1+VLOOKUP(($AJ78-$AI78-$AH78-$AG78-$AF78-$AE78*(1+ES$3))/$AJ78,'Технический лист'!$M:$N,2,1)-VLOOKUP($AO78,'Технический лист'!$M:$N,2,1)),1+(1-$AU78))</f>
        <v/>
      </c>
      <c r="ET78" s="172">
        <f>MIN(IF($AU78=100%,1,1+VLOOKUP(($AJ78-$AI78-$AH78-$AG78-$AF78-$AE78*(1+ET$3))/$AJ78,'Технический лист'!$M:$N,2,1)-VLOOKUP($AO78,'Технический лист'!$M:$N,2,1)),1+(1-$AU78))</f>
        <v/>
      </c>
      <c r="EU78" s="172">
        <f>MIN(IF($AU78=100%,1,1+VLOOKUP(($AJ78-$AI78-$AH78-$AG78-$AF78-$AE78*(1+EU$3))/$AJ78,'Технический лист'!$M:$N,2,1)-VLOOKUP($AO78,'Технический лист'!$M:$N,2,1)),1+(1-$AU78))</f>
        <v/>
      </c>
      <c r="EV78" s="173" t="n">
        <v>1</v>
      </c>
      <c r="EW78" s="172">
        <f>MIN(1,MAX(VLOOKUP(($AJ78-$AI78-$AH78-$AG78-$AF78-$AE78*(1+EW$3))/$AJ78,'Технический лист'!$M:$N,2,1),(EV78-0.05)))</f>
        <v/>
      </c>
      <c r="EX78" s="172">
        <f>MIN(1,MAX(VLOOKUP(($AJ78-$AI78-$AH78-$AG78-$AF78-$AE78*(1+EX$3))/$AJ78,'Технический лист'!$M:$N,2,1),(EW78-0.05)))</f>
        <v/>
      </c>
      <c r="EY78" s="172">
        <f>MIN(1,MAX(VLOOKUP(($AJ78-$AI78-$AH78-$AG78-$AF78-$AE78*(1+EY$3))/$AJ78,'Технический лист'!$M:$N,2,1),(EX78-0.05)))</f>
        <v/>
      </c>
      <c r="EZ78" s="172">
        <f>MIN(1,MAX(VLOOKUP(($AJ78-$AI78-$AH78-$AG78-$AF78-$AE78*(1+EZ$3))/$AJ78,'Технический лист'!$M:$N,2,1),(EY78-0.05)))</f>
        <v/>
      </c>
      <c r="FA78" s="172">
        <f>MIN(1,MAX(VLOOKUP(($AJ78-$AI78-$AH78-$AG78-$AF78-$AE78*(1+FA$3))/$AJ78,'Технический лист'!$M:$N,2,1),(EZ78-0.05)))</f>
        <v/>
      </c>
      <c r="FB78" s="172">
        <f>MIN(1,MAX(VLOOKUP(($AJ78-$AI78-$AH78-$AG78-$AF78-$AE78*(1+FB$3))/$AJ78,'Технический лист'!$M:$N,2,1),(FA78-0.05)))</f>
        <v/>
      </c>
      <c r="FC78" s="172">
        <f>MIN(1,MAX(VLOOKUP(($AJ78-$AI78-$AH78-$AG78-$AF78-$AE78*(1+FC$3))/$AJ78,'Технический лист'!$M:$N,2,1),(FB78-0.05)))</f>
        <v/>
      </c>
      <c r="FD78" s="172">
        <f>MIN(1,MAX(VLOOKUP(($AJ78-$AI78-$AH78-$AG78-$AF78-$AE78*(1+FD$3))/$AJ78,'Технический лист'!$M:$N,2,1),(FC78-0.05)))</f>
        <v/>
      </c>
      <c r="FE78" s="172">
        <f>MIN(1,MAX(VLOOKUP(($AJ78-$AI78-$AH78-$AG78-$AF78-$AE78*(1+FE$3))/$AJ78,'Технический лист'!$M:$N,2,1),(FD78-0.05)))</f>
        <v/>
      </c>
      <c r="FF78" s="172">
        <f>MIN(1,MAX(VLOOKUP(($AJ78-$AI78-$AH78-$AG78-$AF78-$AE78*(1+FF$3))/$AJ78,'Технический лист'!$M:$N,2,1),(FE78-0.05)))</f>
        <v/>
      </c>
      <c r="FG78" s="172">
        <f>MIN(1,MAX(VLOOKUP(($AJ78-$AI78-$AH78-$AG78-$AF78-$AE78*(1+FG$3))/$AJ78,'Технический лист'!$M:$N,2,1),(FF78-0.05)))</f>
        <v/>
      </c>
      <c r="FH78" s="172">
        <f>MIN(1,MAX(VLOOKUP(($AJ78-$AI78-$AH78-$AG78-$AF78-$AE78*(1+FH$3))/$AJ78,'Технический лист'!$M:$N,2,1),(FG78-0.05)))</f>
        <v/>
      </c>
      <c r="FI78" s="172">
        <f>MIN(1,MAX(VLOOKUP(($AJ78-$AI78-$AH78-$AG78-$AF78-$AE78*(1+FI$3))/$AJ78,'Технический лист'!$M:$N,2,1),(FH78-0.05)))</f>
        <v/>
      </c>
      <c r="FJ78" s="172">
        <f>MIN(1,MAX(VLOOKUP(($AJ78-$AI78-$AH78-$AG78-$AF78-$AE78*(1+FJ$3))/$AJ78,'Технический лист'!$M:$N,2,1),(FI78-0.05)))</f>
        <v/>
      </c>
      <c r="FK78" s="172">
        <f>MIN(1,MAX(VLOOKUP(($AJ78-$AI78-$AH78-$AG78-$AF78-$AE78*(1+FK$3))/$AJ78,'Технический лист'!$M:$N,2,1),(FJ78-0.05)))</f>
        <v/>
      </c>
      <c r="FL78" s="172">
        <f>MIN(1,MAX(VLOOKUP(($AJ78-$AI78-$AH78-$AG78-$AF78-$AE78*(1+FL$3))/$AJ78,'Технический лист'!$M:$N,2,1),(FK78-0.05)))</f>
        <v/>
      </c>
      <c r="FM78" s="172">
        <f>MIN(1,MAX(VLOOKUP(($AJ78-$AI78-$AH78-$AG78-$AF78-$AE78*(1+FM$3))/$AJ78,'Технический лист'!$M:$N,2,1),(FL78-0.05)))</f>
        <v/>
      </c>
      <c r="FN78" s="172">
        <f>MIN(1,MAX(VLOOKUP(($AJ78-$AI78-$AH78-$AG78-$AF78-$AE78*(1+FN$3))/$AJ78,'Технический лист'!$M:$N,2,1),(FM78-0.05)))</f>
        <v/>
      </c>
      <c r="FO78" s="172">
        <f>MIN(1,MAX(VLOOKUP(($AJ78-$AI78-$AH78-$AG78-$AF78-$AE78*(1+FO$3))/$AJ78,'Технический лист'!$M:$N,2,1),(FN78-0.05)))</f>
        <v/>
      </c>
      <c r="FP78" s="172">
        <f>MIN(1,MAX(VLOOKUP(($AJ78-$AI78-$AH78-$AG78-$AF78-$AE78*(1+FP$3))/$AJ78,'Технический лист'!$M:$N,2,1),(FO78-0.05)))</f>
        <v/>
      </c>
      <c r="FQ78" s="172">
        <f>MIN(1,MAX(VLOOKUP(($AJ78-$AI78-$AH78-$AG78-$AF78-$AE78*(1+FQ$3))/$AJ78,'Технический лист'!$M:$N,2,1),(FP78-0.05)))</f>
        <v/>
      </c>
      <c r="FR78" s="172">
        <f>MIN(1,MAX(VLOOKUP(($AJ78-$AI78-$AH78-$AG78-$AF78-$AE78*(1+FR$3))/$AJ78,'Технический лист'!$M:$N,2,1),(FQ78-0.05)))</f>
        <v/>
      </c>
      <c r="FS78" s="172">
        <f>MIN(1,MAX(VLOOKUP(($AJ78-$AI78-$AH78-$AG78-$AF78-$AE78*(1+FS$3))/$AJ78,'Технический лист'!$M:$N,2,1),(FR78-0.05)))</f>
        <v/>
      </c>
      <c r="FT78" s="172">
        <f>MIN(1,MAX(VLOOKUP(($AJ78-$AI78-$AH78-$AG78-$AF78-$AE78*(1+FT$3))/$AJ78,'Технический лист'!$M:$N,2,1),(FS78-0.05)))</f>
        <v/>
      </c>
      <c r="FU78" s="172">
        <f>MIN(1,MAX(VLOOKUP(($AJ78-$AI78-$AH78-$AG78-$AF78-$AE78*(1+FU$3))/$AJ78,'Технический лист'!$M:$N,2,1),(FT78-0.05)))</f>
        <v/>
      </c>
      <c r="FV78" s="172">
        <f>MIN(1,MAX(VLOOKUP(($AJ78-$AI78-$AH78-$AG78-$AF78-$AE78*(1+FV$3))/$AJ78,'Технический лист'!$M:$N,2,1),(FU78-0.05)))</f>
        <v/>
      </c>
      <c r="FW78" s="172">
        <f>MIN(1,MAX(VLOOKUP(($AJ78-$AI78-$AH78-$AG78-$AF78-$AE78*(1+FW$3))/$AJ78,'Технический лист'!$M:$N,2,1),(FV78-0.05)))</f>
        <v/>
      </c>
      <c r="FX78" s="172">
        <f>MIN(1,MAX(VLOOKUP(($AJ78-$AI78-$AH78-$AG78-$AF78-$AE78*(1+FX$3))/$AJ78,'Технический лист'!$M:$N,2,1),(FW78-0.05)))</f>
        <v/>
      </c>
      <c r="FY78" s="172">
        <f>MIN(1,MAX(VLOOKUP(($AJ78-$AI78-$AH78-$AG78-$AF78-$AE78*(1+FY$3))/$AJ78,'Технический лист'!$M:$N,2,1),(FX78-0.05)))</f>
        <v/>
      </c>
      <c r="FZ78" s="172">
        <f>MIN(1,MAX(VLOOKUP(($AJ78-$AI78-$AH78-$AG78-$AF78-$AE78*(1+FZ$3))/$AJ78,'Технический лист'!$M:$N,2,1),(FY78-0.05)))</f>
        <v/>
      </c>
      <c r="GA78" s="172">
        <f>MIN(1,MAX(VLOOKUP(($AJ78-$AI78-$AH78-$AG78-$AF78-$AE78*(1+GA$3))/$AJ78,'Технический лист'!$M:$N,2,1),(FZ78-0.05)))</f>
        <v/>
      </c>
      <c r="GB78" s="172">
        <f>MIN(1,MAX(VLOOKUP(($AJ78-$AI78-$AH78-$AG78-$AF78-$AE78*(1+GB$3))/$AJ78,'Технический лист'!$M:$N,2,1),(GA78-0.05)))</f>
        <v/>
      </c>
      <c r="GC78" s="172">
        <f>MIN(1,MAX(VLOOKUP(($AJ78-$AI78-$AH78-$AG78-$AF78-$AE78*(1+GC$3))/$AJ78,'Технический лист'!$M:$N,2,1),(GB78-0.05)))</f>
        <v/>
      </c>
      <c r="GD78" s="172">
        <f>MIN(1,MAX(VLOOKUP(($AJ78-$AI78-$AH78-$AG78-$AF78-$AE78*(1+GD$3))/$AJ78,'Технический лист'!$M:$N,2,1),(GC78-0.05)))</f>
        <v/>
      </c>
      <c r="GE78" s="172">
        <f>MIN(1,MAX(VLOOKUP(($AJ78-$AI78-$AH78-$AG78-$AF78-$AE78*(1+GE$3))/$AJ78,'Технический лист'!$M:$N,2,1),(GD78-0.05)))</f>
        <v/>
      </c>
      <c r="GF78" s="172">
        <f>MIN(1,MAX(VLOOKUP(($AJ78-$AI78-$AH78-$AG78-$AF78-$AE78*(1+GF$3))/$AJ78,'Технический лист'!$M:$N,2,1),(GE78-0.05)))</f>
        <v/>
      </c>
      <c r="GG78" s="172">
        <f>MIN(1,MAX(VLOOKUP(($AJ78-$AI78-$AH78-$AG78-$AF78-$AE78*(1+GG$3))/$AJ78,'Технический лист'!$M:$N,2,1),(GF78-0.05)))</f>
        <v/>
      </c>
      <c r="GH78" s="172">
        <f>MIN(1,MAX(VLOOKUP(($AJ78-$AI78-$AH78-$AG78-$AF78-$AE78*(1+GH$3))/$AJ78,'Технический лист'!$M:$N,2,1),(GG78-0.05)))</f>
        <v/>
      </c>
      <c r="GI78" s="172">
        <f>MIN(1,MAX(VLOOKUP(($AJ78-$AI78-$AH78-$AG78-$AF78-$AE78*(1+GI$3))/$AJ78,'Технический лист'!$M:$N,2,1),(GH78-0.05)))</f>
        <v/>
      </c>
      <c r="GJ78" s="172">
        <f>MIN(1,MAX(VLOOKUP(($AJ78-$AI78-$AH78-$AG78-$AF78-$AE78*(1+GJ$3))/$AJ78,'Технический лист'!$M:$N,2,1),(GI78-0.05)))</f>
        <v/>
      </c>
      <c r="GK78" s="172">
        <f>MIN(1,MAX(VLOOKUP(($AJ78-$AI78-$AH78-$AG78-$AF78-$AE78*(1+GK$3))/$AJ78,'Технический лист'!$M:$N,2,1),(GJ78-0.05)))</f>
        <v/>
      </c>
      <c r="GL78" s="172">
        <f>MIN(1,MAX(VLOOKUP(($AJ78-$AI78-$AH78-$AG78-$AF78-$AE78*(1+GL$3))/$AJ78,'Технический лист'!$M:$N,2,1),(GK78-0.05)))</f>
        <v/>
      </c>
      <c r="GM78" s="172">
        <f>MIN(1,MAX(VLOOKUP(($AJ78-$AI78-$AH78-$AG78-$AF78-$AE78*(1+GM$3))/$AJ78,'Технический лист'!$M:$N,2,1),(GL78-0.05)))</f>
        <v/>
      </c>
      <c r="GN78" s="172">
        <f>MIN(1,MAX(VLOOKUP(($AJ78-$AI78-$AH78-$AG78-$AF78-$AE78*(1+GN$3))/$AJ78,'Технический лист'!$M:$N,2,1),(GM78-0.05)))</f>
        <v/>
      </c>
      <c r="GO78" s="172">
        <f>MIN(1,MAX(VLOOKUP(($AJ78-$AI78-$AH78-$AG78-$AF78-$AE78*(1+GO$3))/$AJ78,'Технический лист'!$M:$N,2,1),(GN78-0.05)))</f>
        <v/>
      </c>
      <c r="GP78" s="172">
        <f>MIN(1,MAX(VLOOKUP(($AJ78-$AI78-$AH78-$AG78-$AF78-$AE78*(1+GP$3))/$AJ78,'Технический лист'!$M:$N,2,1),(GO78-0.05)))</f>
        <v/>
      </c>
      <c r="GQ78" s="172">
        <f>MIN(1,MAX(VLOOKUP(($AJ78-$AI78-$AH78-$AG78-$AF78-$AE78*(1+GQ$3))/$AJ78,'Технический лист'!$M:$N,2,1),(GP78-0.05)))</f>
        <v/>
      </c>
      <c r="GR78" s="172">
        <f>MIN(1,MAX(VLOOKUP(($AJ78-$AI78-$AH78-$AG78-$AF78-$AE78*(1+GR$3))/$AJ78,'Технический лист'!$M:$N,2,1),(GQ78-0.05)))</f>
        <v/>
      </c>
      <c r="GS78" s="172">
        <f>MIN(1,MAX(VLOOKUP(($AJ78-$AI78-$AH78-$AG78-$AF78-$AE78*(1+GS$3))/$AJ78,'Технический лист'!$M:$N,2,1),(GR78-0.05)))</f>
        <v/>
      </c>
      <c r="GT78" s="172">
        <f>MIN(1,MAX(VLOOKUP(($AJ78-$AI78-$AH78-$AG78-$AF78-$AE78*(1+GT$3))/$AJ78,'Технический лист'!$M:$N,2,1),(GS78-0.05)))</f>
        <v/>
      </c>
      <c r="GU78" s="172">
        <f>MIN(1,MAX(VLOOKUP(($AJ78-$AI78-$AH78-$AG78-$AF78-$AE78*(1+GU$3))/$AJ78,'Технический лист'!$M:$N,2,1),(GT78-0.05)))</f>
        <v/>
      </c>
      <c r="GV78" s="172">
        <f>MIN(1,MAX(VLOOKUP(($AJ78-$AI78-$AH78-$AG78-$AF78-$AE78*(1+GV$3))/$AJ78,'Технический лист'!$M:$N,2,1),(GU78-0.05)))</f>
        <v/>
      </c>
      <c r="GW78" s="172">
        <f>MIN(1,MAX(VLOOKUP(($AJ78-$AI78-$AH78-$AG78-$AF78-$AE78*(1+GW$3))/$AJ78,'Технический лист'!$M:$N,2,1),(GV78-0.05)))</f>
        <v/>
      </c>
      <c r="GX78" s="172">
        <f>MIN(1,MAX(VLOOKUP(($AJ78-$AI78-$AH78-$AG78-$AF78-$AE78*(1+GX$3))/$AJ78,'Технический лист'!$M:$N,2,1),(GW78-0.05)))</f>
        <v/>
      </c>
      <c r="GY78" s="172">
        <f>MIN(1,MAX(VLOOKUP(($AJ78-$AI78-$AH78-$AG78-$AF78-$AE78*(1+GY$3))/$AJ78,'Технический лист'!$M:$N,2,1),(GX78-0.05)))</f>
        <v/>
      </c>
      <c r="GZ78" s="172">
        <f>MIN(1,MAX(VLOOKUP(($AJ78-$AI78-$AH78-$AG78-$AF78-$AE78*(1+GZ$3))/$AJ78,'Технический лист'!$M:$N,2,1),(GY78-0.05)))</f>
        <v/>
      </c>
      <c r="HA78" s="172">
        <f>MIN(1,MAX(VLOOKUP(($AJ78-$AI78-$AH78-$AG78-$AF78-$AE78*(1+HA$3))/$AJ78,'Технический лист'!$M:$N,2,1),(GZ78-0.05)))</f>
        <v/>
      </c>
      <c r="HB78" s="172">
        <f>MIN(1,MAX(VLOOKUP(($AJ78-$AI78-$AH78-$AG78-$AF78-$AE78*(1+HB$3))/$AJ78,'Технический лист'!$M:$N,2,1),(HA78-0.05)))</f>
        <v/>
      </c>
      <c r="HC78" s="172">
        <f>MIN(1,MAX(VLOOKUP(($AJ78-$AI78-$AH78-$AG78-$AF78-$AE78*(1+HC$3))/$AJ78,'Технический лист'!$M:$N,2,1),(HB78-0.05)))</f>
        <v/>
      </c>
      <c r="HD78" s="172">
        <f>MIN(1,MAX(VLOOKUP(($AJ78-$AI78-$AH78-$AG78-$AF78-$AE78*(1+HD$3))/$AJ78,'Технический лист'!$M:$N,2,1),(HC78-0.05)))</f>
        <v/>
      </c>
      <c r="HE78" s="172">
        <f>MIN(1,MAX(VLOOKUP(($AJ78-$AI78-$AH78-$AG78-$AF78-$AE78*(1+HE$3))/$AJ78,'Технический лист'!$M:$N,2,1),(HD78-0.05)))</f>
        <v/>
      </c>
      <c r="HF78" s="172">
        <f>MIN(1,MAX(VLOOKUP(($AJ78-$AI78-$AH78-$AG78-$AF78-$AE78*(1+HF$3))/$AJ78,'Технический лист'!$M:$N,2,1),(HE78-0.05)))</f>
        <v/>
      </c>
      <c r="HG78" s="172">
        <f>MIN(1,MAX(VLOOKUP(($AJ78-$AI78-$AH78-$AG78-$AF78-$AE78*(1+HG$3))/$AJ78,'Технический лист'!$M:$N,2,1),(HF78-0.05)))</f>
        <v/>
      </c>
      <c r="HH78" s="172">
        <f>MIN(1,MAX(VLOOKUP(($AJ78-$AI78-$AH78-$AG78-$AF78-$AE78*(1+HH$3))/$AJ78,'Технический лист'!$M:$N,2,1),(HG78-0.05)))</f>
        <v/>
      </c>
      <c r="HI78" s="172">
        <f>MIN(1,MAX(VLOOKUP(($AJ78-$AI78-$AH78-$AG78-$AF78-$AE78*(1+HI$3))/$AJ78,'Технический лист'!$M:$N,2,1),(HH78-0.05)))</f>
        <v/>
      </c>
      <c r="HJ78" s="172">
        <f>MIN(1,MAX(VLOOKUP(($AJ78-$AI78-$AH78-$AG78-$AF78-$AE78*(1+HJ$3))/$AJ78,'Технический лист'!$M:$N,2,1),(HI78-0.05)))</f>
        <v/>
      </c>
      <c r="HK78" s="172">
        <f>MIN(1,MAX(VLOOKUP(($AJ78-$AI78-$AH78-$AG78-$AF78-$AE78*(1+HK$3))/$AJ78,'Технический лист'!$M:$N,2,1),(HJ78-0.05)))</f>
        <v/>
      </c>
      <c r="HL78" s="172">
        <f>MIN(1,MAX(VLOOKUP(($AJ78-$AI78-$AH78-$AG78-$AF78-$AE78*(1+HL$3))/$AJ78,'Технический лист'!$M:$N,2,1),(HK78-0.05)))</f>
        <v/>
      </c>
      <c r="HM78" s="172">
        <f>MIN(1,MAX(VLOOKUP(($AJ78-$AI78-$AH78-$AG78-$AF78-$AE78*(1+HM$3))/$AJ78,'Технический лист'!$M:$N,2,1),(HL78-0.05)))</f>
        <v/>
      </c>
      <c r="HN78" s="172">
        <f>MIN(1,MAX(VLOOKUP(($AJ78-$AI78-$AH78-$AG78-$AF78-$AE78*(1+HN$3))/$AJ78,'Технический лист'!$M:$N,2,1),(HM78-0.05)))</f>
        <v/>
      </c>
      <c r="HO78" s="172">
        <f>MIN(1,MAX(VLOOKUP(($AJ78-$AI78-$AH78-$AG78-$AF78-$AE78*(1+HO$3))/$AJ78,'Технический лист'!$M:$N,2,1),(HN78-0.05)))</f>
        <v/>
      </c>
      <c r="HP78" s="172">
        <f>MIN(1,MAX(VLOOKUP(($AJ78-$AI78-$AH78-$AG78-$AF78-$AE78*(1+HP$3))/$AJ78,'Технический лист'!$M:$N,2,1),(HO78-0.05)))</f>
        <v/>
      </c>
      <c r="HQ78" s="172">
        <f>MIN(1,MAX(VLOOKUP(($AJ78-$AI78-$AH78-$AG78-$AF78-$AE78*(1+HQ$3))/$AJ78,'Технический лист'!$M:$N,2,1),(HP78-0.05)))</f>
        <v/>
      </c>
      <c r="HR78" s="172">
        <f>MIN(1,MAX(VLOOKUP(($AJ78-$AI78-$AH78-$AG78-$AF78-$AE78*(1+HR$3))/$AJ78,'Технический лист'!$M:$N,2,1),(HQ78-0.05)))</f>
        <v/>
      </c>
      <c r="HS78" s="172">
        <f>MIN(1,MAX(VLOOKUP(($AJ78-$AI78-$AH78-$AG78-$AF78-$AE78*(1+HS$3))/$AJ78,'Технический лист'!$M:$N,2,1),(HR78-0.05)))</f>
        <v/>
      </c>
      <c r="HT78" s="172">
        <f>MIN(1,MAX(VLOOKUP(($AJ78-$AI78-$AH78-$AG78-$AF78-$AE78*(1+HT$3))/$AJ78,'Технический лист'!$M:$N,2,1),(HS78-0.05)))</f>
        <v/>
      </c>
      <c r="HU78" s="172">
        <f>MIN(1,MAX(VLOOKUP(($AJ78-$AI78-$AH78-$AG78-$AF78-$AE78*(1+HU$3))/$AJ78,'Технический лист'!$M:$N,2,1),(HT78-0.05)))</f>
        <v/>
      </c>
      <c r="HV78" s="172">
        <f>MIN(1,MAX(VLOOKUP(($AJ78-$AI78-$AH78-$AG78-$AF78-$AE78*(1+HV$3))/$AJ78,'Технический лист'!$M:$N,2,1),(HU78-0.05)))</f>
        <v/>
      </c>
      <c r="HW78" s="172">
        <f>MIN(1,MAX(VLOOKUP(($AJ78-$AI78-$AH78-$AG78-$AF78-$AE78*(1+HW$3))/$AJ78,'Технический лист'!$M:$N,2,1),(HV78-0.05)))</f>
        <v/>
      </c>
      <c r="HX78" s="172">
        <f>MIN(1,MAX(VLOOKUP(($AJ78-$AI78-$AH78-$AG78-$AF78-$AE78*(1+HX$3))/$AJ78,'Технический лист'!$M:$N,2,1),(HW78-0.05)))</f>
        <v/>
      </c>
      <c r="HY78" s="172">
        <f>MIN(1,MAX(VLOOKUP(($AJ78-$AI78-$AH78-$AG78-$AF78-$AE78*(1+HY$3))/$AJ78,'Технический лист'!$M:$N,2,1),(HX78-0.05)))</f>
        <v/>
      </c>
      <c r="HZ78" s="172">
        <f>MIN(1,MAX(VLOOKUP(($AJ78-$AI78-$AH78-$AG78-$AF78-$AE78*(1+HZ$3))/$AJ78,'Технический лист'!$M:$N,2,1),(HY78-0.05)))</f>
        <v/>
      </c>
      <c r="IA78" s="172">
        <f>MIN(1,MAX(VLOOKUP(($AJ78-$AI78-$AH78-$AG78-$AF78-$AE78*(1+IA$3))/$AJ78,'Технический лист'!$M:$N,2,1),(HZ78-0.05)))</f>
        <v/>
      </c>
      <c r="IB78" s="172">
        <f>MIN(1,MAX(VLOOKUP(($AJ78-$AI78-$AH78-$AG78-$AF78-$AE78*(1+IB$3))/$AJ78,'Технический лист'!$M:$N,2,1),(IA78-0.05)))</f>
        <v/>
      </c>
      <c r="IC78" s="172">
        <f>MIN(1,MAX(VLOOKUP(($AJ78-$AI78-$AH78-$AG78-$AF78-$AE78*(1+IC$3))/$AJ78,'Технический лист'!$M:$N,2,1),(IB78-0.05)))</f>
        <v/>
      </c>
      <c r="ID78" s="172">
        <f>MIN(1,MAX(VLOOKUP(($AJ78-$AI78-$AH78-$AG78-$AF78-$AE78*(1+ID$3))/$AJ78,'Технический лист'!$M:$N,2,1),(IC78-0.05)))</f>
        <v/>
      </c>
      <c r="IE78" s="172">
        <f>MIN(1,MAX(VLOOKUP(($AJ78-$AI78-$AH78-$AG78-$AF78-$AE78*(1+IE$3))/$AJ78,'Технический лист'!$M:$N,2,1),(ID78-0.05)))</f>
        <v/>
      </c>
      <c r="IF78" s="172">
        <f>MIN(1,MAX(VLOOKUP(($AJ78-$AI78-$AH78-$AG78-$AF78-$AE78*(1+IF$3))/$AJ78,'Технический лист'!$M:$N,2,1),(IE78-0.05)))</f>
        <v/>
      </c>
      <c r="IG78" s="172">
        <f>MIN(1,MAX(VLOOKUP(($AJ78-$AI78-$AH78-$AG78-$AF78-$AE78*(1+IG$3))/$AJ78,'Технический лист'!$M:$N,2,1),(IF78-0.05)))</f>
        <v/>
      </c>
      <c r="IH78" s="172">
        <f>MIN(1,MAX(VLOOKUP(($AJ78-$AI78-$AH78-$AG78-$AF78-$AE78*(1+IH$3))/$AJ78,'Технический лист'!$M:$N,2,1),(IG78-0.05)))</f>
        <v/>
      </c>
      <c r="II78" s="172">
        <f>MIN(1,MAX(VLOOKUP(($AJ78-$AI78-$AH78-$AG78-$AF78-$AE78*(1+II$3))/$AJ78,'Технический лист'!$M:$N,2,1),(IH78-0.05)))</f>
        <v/>
      </c>
      <c r="IJ78" s="172">
        <f>MIN(1,MAX(VLOOKUP(($AJ78-$AI78-$AH78-$AG78-$AF78-$AE78*(1+IJ$3))/$AJ78,'Технический лист'!$M:$N,2,1),(II78-0.05)))</f>
        <v/>
      </c>
      <c r="IK78" s="172">
        <f>MIN(1,MAX(VLOOKUP(($AJ78-$AI78-$AH78-$AG78-$AF78-$AE78*(1+IK$3))/$AJ78,'Технический лист'!$M:$N,2,1),(IJ78-0.05)))</f>
        <v/>
      </c>
      <c r="IL78" s="172">
        <f>MIN(1,MAX(VLOOKUP(($AJ78-$AI78-$AH78-$AG78-$AF78-$AE78*(1+IL$3))/$AJ78,'Технический лист'!$M:$N,2,1),(IK78-0.05)))</f>
        <v/>
      </c>
      <c r="IM78" s="172">
        <f>MIN(1,MAX(VLOOKUP(($AJ78-$AI78-$AH78-$AG78-$AF78-$AE78*(1+IM$3))/$AJ78,'Технический лист'!$M:$N,2,1),(IL78-0.05)))</f>
        <v/>
      </c>
      <c r="IN78" s="172">
        <f>MIN(1,MAX(VLOOKUP(($AJ78-$AI78-$AH78-$AG78-$AF78-$AE78*(1+IN$3))/$AJ78,'Технический лист'!$M:$N,2,1),(IM78-0.05)))</f>
        <v/>
      </c>
      <c r="IO78" s="172">
        <f>MIN(1,MAX(VLOOKUP(($AJ78-$AI78-$AH78-$AG78-$AF78-$AE78*(1+IO$3))/$AJ78,'Технический лист'!$M:$N,2,1),(IN78-0.05)))</f>
        <v/>
      </c>
      <c r="IP78" s="172">
        <f>MIN(1,MAX(VLOOKUP(($AJ78-$AI78-$AH78-$AG78-$AF78-$AE78*(1+IP$3))/$AJ78,'Технический лист'!$M:$N,2,1),(IO78-0.05)))</f>
        <v/>
      </c>
      <c r="IQ78" s="172">
        <f>MIN(1,MAX(VLOOKUP(($AJ78-$AI78-$AH78-$AG78-$AF78-$AE78*(1+IQ$3))/$AJ78,'Технический лист'!$M:$N,2,1),(IP78-0.05)))</f>
        <v/>
      </c>
      <c r="IR78" s="172">
        <f>MIN(1,MAX(VLOOKUP(($AJ78-$AI78-$AH78-$AG78-$AF78-$AE78*(1+IR$3))/$AJ78,'Технический лист'!$M:$N,2,1),(IQ78-0.05)))</f>
        <v/>
      </c>
    </row>
    <row r="79" ht="58.3" customFormat="1" customHeight="1" s="6">
      <c r="A79" s="89" t="inlineStr">
        <is>
          <t>ЧМ (продукция)</t>
        </is>
      </c>
      <c r="B79" s="76" t="n">
        <v>5</v>
      </c>
      <c r="C79" s="3" t="inlineStr">
        <is>
          <t>Черные металлы</t>
        </is>
      </c>
      <c r="D79" s="77" t="n">
        <v>32411</v>
      </c>
      <c r="E79" s="77" t="inlineStr">
        <is>
          <t xml:space="preserve">Прокат черных металлов, не поименованный в алфавите </t>
        </is>
      </c>
      <c r="F79" s="78" t="inlineStr">
        <is>
          <t>ПРОЧИЕ ВИДЫ ПРОКАТА ЧЕРНЫ</t>
        </is>
      </c>
      <c r="G79" s="77" t="inlineStr">
        <is>
          <t>ГОР</t>
        </is>
      </c>
      <c r="H79" s="77" t="inlineStr">
        <is>
          <t>КБШ</t>
        </is>
      </c>
      <c r="I79" s="77" t="inlineStr">
        <is>
          <t>НАВАШИНО</t>
        </is>
      </c>
      <c r="J79" s="77" t="inlineStr">
        <is>
          <t>КУЛЬШАРИПОВО</t>
        </is>
      </c>
      <c r="K79" s="77" t="n">
        <v>1029</v>
      </c>
      <c r="L79" s="77" t="inlineStr">
        <is>
          <t>Полувагоны</t>
        </is>
      </c>
      <c r="M79" s="77" t="inlineStr">
        <is>
          <t>Внутр. перевозки</t>
        </is>
      </c>
      <c r="N79" s="77" t="inlineStr">
        <is>
          <t>вагонная</t>
        </is>
      </c>
      <c r="O79" s="77" t="inlineStr">
        <is>
          <t xml:space="preserve">Южное </t>
        </is>
      </c>
      <c r="P79" s="79" t="inlineStr">
        <is>
          <t>'000005757848</t>
        </is>
      </c>
      <c r="Q79" s="77" t="inlineStr">
        <is>
          <t>'АО "Выксунский металлургический завод"</t>
        </is>
      </c>
      <c r="R79" s="77" t="inlineStr">
        <is>
          <t>АО "ОМК"</t>
        </is>
      </c>
      <c r="S79" s="80" t="n">
        <v>67663</v>
      </c>
      <c r="T79" s="80" t="n">
        <v>69638037</v>
      </c>
      <c r="U79" s="88" t="n">
        <v>1089</v>
      </c>
      <c r="V79" s="88" t="n">
        <v>0</v>
      </c>
      <c r="W79" s="87" t="n">
        <v>152416447</v>
      </c>
      <c r="X79" s="112" t="n">
        <v>67</v>
      </c>
      <c r="Y79" s="112" t="inlineStr">
        <is>
          <t>групповая</t>
        </is>
      </c>
      <c r="Z79" s="113" t="n">
        <v>6</v>
      </c>
      <c r="AA79" s="113" t="n">
        <v>5</v>
      </c>
      <c r="AB79" s="113" t="n">
        <v>4</v>
      </c>
      <c r="AC79" s="161" t="n">
        <v>2302.21</v>
      </c>
      <c r="AD79" s="161">
        <f>AE79-AC79</f>
        <v/>
      </c>
      <c r="AE79" s="161" t="n">
        <v>2613.28</v>
      </c>
      <c r="AF79" s="162">
        <f>(Z79+AA79+AB79)*'Ставки аренды'!$B$3/X79</f>
        <v/>
      </c>
      <c r="AG79" s="163" t="n">
        <v>0</v>
      </c>
      <c r="AH79" s="164" t="n">
        <v>0</v>
      </c>
      <c r="AI79" s="165">
        <f>333374/554614*AJ79</f>
        <v/>
      </c>
      <c r="AJ79" s="166">
        <f>Цены!D23</f>
        <v/>
      </c>
      <c r="AK79" s="164">
        <f>AJ79/Цены!$B$1</f>
        <v/>
      </c>
      <c r="AL79" s="164">
        <f>AE79+AF79+AG79</f>
        <v/>
      </c>
      <c r="AM79" s="164">
        <f>AJ79-AL79</f>
        <v/>
      </c>
      <c r="AN79" s="164">
        <f>AI79+AH79+AG79+AF79+AE79</f>
        <v/>
      </c>
      <c r="AO79" s="167">
        <f>(AJ79-AN79)/AJ79</f>
        <v/>
      </c>
      <c r="AP79" s="168">
        <f>AL79/AJ79</f>
        <v/>
      </c>
      <c r="AQ79" s="168">
        <f>AE79/AJ79</f>
        <v/>
      </c>
      <c r="AR79" s="168">
        <f>AE79/AL79</f>
        <v/>
      </c>
      <c r="AS79" s="169" t="n">
        <v>1</v>
      </c>
      <c r="AT79" s="121">
        <f>S79*AS79</f>
        <v/>
      </c>
      <c r="AU79" s="83" t="n">
        <v>1</v>
      </c>
      <c r="AV79" s="170">
        <f>(AJ79-(AE79*(1+$IS$2)+AF79+AG79+AH79+AI79))/AJ79</f>
        <v/>
      </c>
      <c r="AW79" s="171">
        <f>(AE79*(1+$IS$2)+AF79+AG79)/AJ79</f>
        <v/>
      </c>
      <c r="AX79" s="171">
        <f>(AE79*(1+$IS$2))/AJ79</f>
        <v/>
      </c>
      <c r="AY79" s="171">
        <f>(AE79*(1+$IS$2))/(AE79*(1+$IS$2)+AF79+AG79)</f>
        <v/>
      </c>
      <c r="AZ79" s="172">
        <f>MIN(IF($AU79=100%,1,1+VLOOKUP(($AJ79-$AI79-$AH79-$AG79-$AF79-$AE79*(1+AZ$3))/$AJ79,'Технический лист'!$I:$J,2,1)-VLOOKUP($AO79,'Технический лист'!$I:$J,2,1)),1+(1-$AU79))</f>
        <v/>
      </c>
      <c r="BA79" s="172">
        <f>MIN(IF($AU79=100%,1,1+VLOOKUP(($AJ79-$AI79-$AH79-$AG79-$AF79-$AE79*(1+BA$3))/$AJ79,'Технический лист'!$I:$J,2,1)-VLOOKUP($AO79,'Технический лист'!$I:$J,2,1)),1+(1-$AU79))</f>
        <v/>
      </c>
      <c r="BB79" s="172">
        <f>MIN(IF($AU79=100%,1,1+VLOOKUP(($AJ79-$AI79-$AH79-$AG79-$AF79-$AE79*(1+BB$3))/$AJ79,'Технический лист'!$I:$J,2,1)-VLOOKUP($AO79,'Технический лист'!$I:$J,2,1)),1+(1-$AU79))</f>
        <v/>
      </c>
      <c r="BC79" s="172">
        <f>MIN(IF($AU79=100%,1,1+VLOOKUP(($AJ79-$AI79-$AH79-$AG79-$AF79-$AE79*(1+BC$3))/$AJ79,'Технический лист'!$I:$J,2,1)-VLOOKUP($AO79,'Технический лист'!$I:$J,2,1)),1+(1-$AU79))</f>
        <v/>
      </c>
      <c r="BD79" s="172">
        <f>MIN(IF($AU79=100%,1,1+VLOOKUP(($AJ79-$AI79-$AH79-$AG79-$AF79-$AE79*(1+BD$3))/$AJ79,'Технический лист'!$I:$J,2,1)-VLOOKUP($AO79,'Технический лист'!$I:$J,2,1)),1+(1-$AU79))</f>
        <v/>
      </c>
      <c r="BE79" s="172">
        <f>MIN(IF($AU79=100%,1,1+VLOOKUP(($AJ79-$AI79-$AH79-$AG79-$AF79-$AE79*(1+BE$3))/$AJ79,'Технический лист'!$I:$J,2,1)-VLOOKUP($AO79,'Технический лист'!$I:$J,2,1)),1+(1-$AU79))</f>
        <v/>
      </c>
      <c r="BF79" s="172">
        <f>MIN(IF($AU79=100%,1,1+VLOOKUP(($AJ79-$AI79-$AH79-$AG79-$AF79-$AE79*(1+BF$3))/$AJ79,'Технический лист'!$I:$J,2,1)-VLOOKUP($AO79,'Технический лист'!$I:$J,2,1)),1+(1-$AU79))</f>
        <v/>
      </c>
      <c r="BG79" s="172">
        <f>MIN(IF($AU79=100%,1,1+VLOOKUP(($AJ79-$AI79-$AH79-$AG79-$AF79-$AE79*(1+BG$3))/$AJ79,'Технический лист'!$I:$J,2,1)-VLOOKUP($AO79,'Технический лист'!$I:$J,2,1)),1+(1-$AU79))</f>
        <v/>
      </c>
      <c r="BH79" s="172">
        <f>MIN(IF($AU79=100%,1,1+VLOOKUP(($AJ79-$AI79-$AH79-$AG79-$AF79-$AE79*(1+BH$3))/$AJ79,'Технический лист'!$I:$J,2,1)-VLOOKUP($AO79,'Технический лист'!$I:$J,2,1)),1+(1-$AU79))</f>
        <v/>
      </c>
      <c r="BI79" s="172">
        <f>MIN(IF($AU79=100%,1,1+VLOOKUP(($AJ79-$AI79-$AH79-$AG79-$AF79-$AE79*(1+BI$3))/$AJ79,'Технический лист'!$I:$J,2,1)-VLOOKUP($AO79,'Технический лист'!$I:$J,2,1)),1+(1-$AU79))</f>
        <v/>
      </c>
      <c r="BJ79" s="172">
        <f>MIN(IF($AU79=100%,1,1+VLOOKUP(($AJ79-$AI79-$AH79-$AG79-$AF79-$AE79*(1+BJ$3))/$AJ79,'Технический лист'!$I:$J,2,1)-VLOOKUP($AO79,'Технический лист'!$I:$J,2,1)),1+(1-$AU79))</f>
        <v/>
      </c>
      <c r="BK79" s="172">
        <f>MIN(IF($AU79=100%,1,1+VLOOKUP(($AJ79-$AI79-$AH79-$AG79-$AF79-$AE79*(1+BK$3))/$AJ79,'Технический лист'!$I:$J,2,1)-VLOOKUP($AO79,'Технический лист'!$I:$J,2,1)),1+(1-$AU79))</f>
        <v/>
      </c>
      <c r="BL79" s="172">
        <f>MIN(IF($AU79=100%,1,1+VLOOKUP(($AJ79-$AI79-$AH79-$AG79-$AF79-$AE79*(1+BL$3))/$AJ79,'Технический лист'!$I:$J,2,1)-VLOOKUP($AO79,'Технический лист'!$I:$J,2,1)),1+(1-$AU79))</f>
        <v/>
      </c>
      <c r="BM79" s="172">
        <f>MIN(IF($AU79=100%,1,1+VLOOKUP(($AJ79-$AI79-$AH79-$AG79-$AF79-$AE79*(1+BM$3))/$AJ79,'Технический лист'!$I:$J,2,1)-VLOOKUP($AO79,'Технический лист'!$I:$J,2,1)),1+(1-$AU79))</f>
        <v/>
      </c>
      <c r="BN79" s="172">
        <f>MIN(IF($AU79=100%,1,1+VLOOKUP(($AJ79-$AI79-$AH79-$AG79-$AF79-$AE79*(1+BN$3))/$AJ79,'Технический лист'!$I:$J,2,1)-VLOOKUP($AO79,'Технический лист'!$I:$J,2,1)),1+(1-$AU79))</f>
        <v/>
      </c>
      <c r="BO79" s="172">
        <f>MIN(IF($AU79=100%,1,1+VLOOKUP(($AJ79-$AI79-$AH79-$AG79-$AF79-$AE79*(1+BO$3))/$AJ79,'Технический лист'!$I:$J,2,1)-VLOOKUP($AO79,'Технический лист'!$I:$J,2,1)),1+(1-$AU79))</f>
        <v/>
      </c>
      <c r="BP79" s="172">
        <f>MIN(IF($AU79=100%,1,1+VLOOKUP(($AJ79-$AI79-$AH79-$AG79-$AF79-$AE79*(1+BP$3))/$AJ79,'Технический лист'!$I:$J,2,1)-VLOOKUP($AO79,'Технический лист'!$I:$J,2,1)),1+(1-$AU79))</f>
        <v/>
      </c>
      <c r="BQ79" s="172">
        <f>MIN(IF($AU79=100%,1,1+VLOOKUP(($AJ79-$AI79-$AH79-$AG79-$AF79-$AE79*(1+BQ$3))/$AJ79,'Технический лист'!$I:$J,2,1)-VLOOKUP($AO79,'Технический лист'!$I:$J,2,1)),1+(1-$AU79))</f>
        <v/>
      </c>
      <c r="BR79" s="172">
        <f>MIN(IF($AU79=100%,1,1+VLOOKUP(($AJ79-$AI79-$AH79-$AG79-$AF79-$AE79*(1+BR$3))/$AJ79,'Технический лист'!$I:$J,2,1)-VLOOKUP($AO79,'Технический лист'!$I:$J,2,1)),1+(1-$AU79))</f>
        <v/>
      </c>
      <c r="BS79" s="172">
        <f>MIN(IF($AU79=100%,1,1+VLOOKUP(($AJ79-$AI79-$AH79-$AG79-$AF79-$AE79*(1+BS$3))/$AJ79,'Технический лист'!$I:$J,2,1)-VLOOKUP($AO79,'Технический лист'!$I:$J,2,1)),1+(1-$AU79))</f>
        <v/>
      </c>
      <c r="BT79" s="172">
        <f>MIN(IF($AU79=100%,1,1+VLOOKUP(($AJ79-$AI79-$AH79-$AG79-$AF79-$AE79*(1+BT$3))/$AJ79,'Технический лист'!$I:$J,2,1)-VLOOKUP($AO79,'Технический лист'!$I:$J,2,1)),1+(1-$AU79))</f>
        <v/>
      </c>
      <c r="BU79" s="172">
        <f>MIN(IF($AU79=100%,1,1+VLOOKUP(($AJ79-$AI79-$AH79-$AG79-$AF79-$AE79*(1+BU$3))/$AJ79,'Технический лист'!$I:$J,2,1)-VLOOKUP($AO79,'Технический лист'!$I:$J,2,1)),1+(1-$AU79))</f>
        <v/>
      </c>
      <c r="BV79" s="172">
        <f>MIN(IF($AU79=100%,1,1+VLOOKUP(($AJ79-$AI79-$AH79-$AG79-$AF79-$AE79*(1+BV$3))/$AJ79,'Технический лист'!$I:$J,2,1)-VLOOKUP($AO79,'Технический лист'!$I:$J,2,1)),1+(1-$AU79))</f>
        <v/>
      </c>
      <c r="BW79" s="172">
        <f>MIN(IF($AU79=100%,1,1+VLOOKUP(($AJ79-$AI79-$AH79-$AG79-$AF79-$AE79*(1+BW$3))/$AJ79,'Технический лист'!$I:$J,2,1)-VLOOKUP($AO79,'Технический лист'!$I:$J,2,1)),1+(1-$AU79))</f>
        <v/>
      </c>
      <c r="BX79" s="172">
        <f>MIN(IF($AU79=100%,1,1+VLOOKUP(($AJ79-$AI79-$AH79-$AG79-$AF79-$AE79*(1+BX$3))/$AJ79,'Технический лист'!$I:$J,2,1)-VLOOKUP($AO79,'Технический лист'!$I:$J,2,1)),1+(1-$AU79))</f>
        <v/>
      </c>
      <c r="BY79" s="172">
        <f>MIN(IF($AU79=100%,1,1+VLOOKUP(($AJ79-$AI79-$AH79-$AG79-$AF79-$AE79*(1+BY$3))/$AJ79,'Технический лист'!$I:$J,2,1)-VLOOKUP($AO79,'Технический лист'!$I:$J,2,1)),1+(1-$AU79))</f>
        <v/>
      </c>
      <c r="BZ79" s="172">
        <f>MIN(IF($AU79=100%,1,1+VLOOKUP(($AJ79-$AI79-$AH79-$AG79-$AF79-$AE79*(1+BZ$3))/$AJ79,'Технический лист'!$I:$J,2,1)-VLOOKUP($AO79,'Технический лист'!$I:$J,2,1)),1+(1-$AU79))</f>
        <v/>
      </c>
      <c r="CA79" s="172">
        <f>MIN(IF($AU79=100%,1,1+VLOOKUP(($AJ79-$AI79-$AH79-$AG79-$AF79-$AE79*(1+CA$3))/$AJ79,'Технический лист'!$I:$J,2,1)-VLOOKUP($AO79,'Технический лист'!$I:$J,2,1)),1+(1-$AU79))</f>
        <v/>
      </c>
      <c r="CB79" s="172">
        <f>MIN(IF($AU79=100%,1,1+VLOOKUP(($AJ79-$AI79-$AH79-$AG79-$AF79-$AE79*(1+CB$3))/$AJ79,'Технический лист'!$I:$J,2,1)-VLOOKUP($AO79,'Технический лист'!$I:$J,2,1)),1+(1-$AU79))</f>
        <v/>
      </c>
      <c r="CC79" s="172">
        <f>MIN(IF($AU79=100%,1,1+VLOOKUP(($AJ79-$AI79-$AH79-$AG79-$AF79-$AE79*(1+CC$3))/$AJ79,'Технический лист'!$I:$J,2,1)-VLOOKUP($AO79,'Технический лист'!$I:$J,2,1)),1+(1-$AU79))</f>
        <v/>
      </c>
      <c r="CD79" s="172">
        <f>MIN(IF($AU79=100%,1,1+VLOOKUP(($AJ79-$AI79-$AH79-$AG79-$AF79-$AE79*(1+CD$3))/$AJ79,'Технический лист'!$I:$J,2,1)-VLOOKUP($AO79,'Технический лист'!$I:$J,2,1)),1+(1-$AU79))</f>
        <v/>
      </c>
      <c r="CE79" s="172">
        <f>MIN(IF($AU79=100%,1,1+VLOOKUP(($AJ79-$AI79-$AH79-$AG79-$AF79-$AE79*(1+CE$3))/$AJ79,'Технический лист'!$I:$J,2,1)-VLOOKUP($AO79,'Технический лист'!$I:$J,2,1)),1+(1-$AU79))</f>
        <v/>
      </c>
      <c r="CF79" s="172">
        <f>MIN(IF($AU79=100%,1,1+VLOOKUP(($AJ79-$AI79-$AH79-$AG79-$AF79-$AE79*(1+CF$3))/$AJ79,'Технический лист'!$I:$J,2,1)-VLOOKUP($AO79,'Технический лист'!$I:$J,2,1)),1+(1-$AU79))</f>
        <v/>
      </c>
      <c r="CG79" s="172">
        <f>MIN(IF($AU79=100%,1,1+VLOOKUP(($AJ79-$AI79-$AH79-$AG79-$AF79-$AE79*(1+CG$3))/$AJ79,'Технический лист'!$I:$J,2,1)-VLOOKUP($AO79,'Технический лист'!$I:$J,2,1)),1+(1-$AU79))</f>
        <v/>
      </c>
      <c r="CH79" s="172">
        <f>MIN(IF($AU79=100%,1,1+VLOOKUP(($AJ79-$AI79-$AH79-$AG79-$AF79-$AE79*(1+CH$3))/$AJ79,'Технический лист'!$I:$J,2,1)-VLOOKUP($AO79,'Технический лист'!$I:$J,2,1)),1+(1-$AU79))</f>
        <v/>
      </c>
      <c r="CI79" s="172">
        <f>MIN(IF($AU79=100%,1,1+VLOOKUP(($AJ79-$AI79-$AH79-$AG79-$AF79-$AE79*(1+CI$3))/$AJ79,'Технический лист'!$I:$J,2,1)-VLOOKUP($AO79,'Технический лист'!$I:$J,2,1)),1+(1-$AU79))</f>
        <v/>
      </c>
      <c r="CJ79" s="172">
        <f>MIN(IF($AU79=100%,1,1+VLOOKUP(($AJ79-$AI79-$AH79-$AG79-$AF79-$AE79*(1+CJ$3))/$AJ79,'Технический лист'!$I:$J,2,1)-VLOOKUP($AO79,'Технический лист'!$I:$J,2,1)),1+(1-$AU79))</f>
        <v/>
      </c>
      <c r="CK79" s="172">
        <f>MIN(IF($AU79=100%,1,1+VLOOKUP(($AJ79-$AI79-$AH79-$AG79-$AF79-$AE79*(1+CK$3))/$AJ79,'Технический лист'!$I:$J,2,1)-VLOOKUP($AO79,'Технический лист'!$I:$J,2,1)),1+(1-$AU79))</f>
        <v/>
      </c>
      <c r="CL79" s="172">
        <f>MIN(IF($AU79=100%,1,1+VLOOKUP(($AJ79-$AI79-$AH79-$AG79-$AF79-$AE79*(1+CL$3))/$AJ79,'Технический лист'!$I:$J,2,1)-VLOOKUP($AO79,'Технический лист'!$I:$J,2,1)),1+(1-$AU79))</f>
        <v/>
      </c>
      <c r="CM79" s="172">
        <f>MIN(IF($AU79=100%,1,1+VLOOKUP(($AJ79-$AI79-$AH79-$AG79-$AF79-$AE79*(1+CM$3))/$AJ79,'Технический лист'!$I:$J,2,1)-VLOOKUP($AO79,'Технический лист'!$I:$J,2,1)),1+(1-$AU79))</f>
        <v/>
      </c>
      <c r="CN79" s="172">
        <f>MIN(IF($AU79=100%,1,1+VLOOKUP(($AJ79-$AI79-$AH79-$AG79-$AF79-$AE79*(1+CN$3))/$AJ79,'Технический лист'!$I:$J,2,1)-VLOOKUP($AO79,'Технический лист'!$I:$J,2,1)),1+(1-$AU79))</f>
        <v/>
      </c>
      <c r="CO79" s="172">
        <f>MIN(IF($AU79=100%,1,1+VLOOKUP(($AJ79-$AI79-$AH79-$AG79-$AF79-$AE79*(1+CO$3))/$AJ79,'Технический лист'!$I:$J,2,1)-VLOOKUP($AO79,'Технический лист'!$I:$J,2,1)),1+(1-$AU79))</f>
        <v/>
      </c>
      <c r="CP79" s="172">
        <f>MIN(IF($AU79=100%,1,1+VLOOKUP(($AJ79-$AI79-$AH79-$AG79-$AF79-$AE79*(1+CP$3))/$AJ79,'Технический лист'!$I:$J,2,1)-VLOOKUP($AO79,'Технический лист'!$I:$J,2,1)),1+(1-$AU79))</f>
        <v/>
      </c>
      <c r="CQ79" s="172">
        <f>MIN(IF($AU79=100%,1,1+VLOOKUP(($AJ79-$AI79-$AH79-$AG79-$AF79-$AE79*(1+CQ$3))/$AJ79,'Технический лист'!$I:$J,2,1)-VLOOKUP($AO79,'Технический лист'!$I:$J,2,1)),1+(1-$AU79))</f>
        <v/>
      </c>
      <c r="CR79" s="172">
        <f>MIN(IF($AU79=100%,1,1+VLOOKUP(($AJ79-$AI79-$AH79-$AG79-$AF79-$AE79*(1+CR$3))/$AJ79,'Технический лист'!$I:$J,2,1)-VLOOKUP($AO79,'Технический лист'!$I:$J,2,1)),1+(1-$AU79))</f>
        <v/>
      </c>
      <c r="CS79" s="172">
        <f>MIN(IF($AU79=100%,1,1+VLOOKUP(($AJ79-$AI79-$AH79-$AG79-$AF79-$AE79*(1+CS$3))/$AJ79,'Технический лист'!$I:$J,2,1)-VLOOKUP($AO79,'Технический лист'!$I:$J,2,1)),1+(1-$AU79))</f>
        <v/>
      </c>
      <c r="CT79" s="172">
        <f>MIN(IF($AU79=100%,1,1+VLOOKUP(($AJ79-$AI79-$AH79-$AG79-$AF79-$AE79*(1+CT$3))/$AJ79,'Технический лист'!$I:$J,2,1)-VLOOKUP($AO79,'Технический лист'!$I:$J,2,1)),1+(1-$AU79))</f>
        <v/>
      </c>
      <c r="CU79" s="172">
        <f>MIN(IF($AU79=100%,1,1+VLOOKUP(($AJ79-$AI79-$AH79-$AG79-$AF79-$AE79*(1+CU$3))/$AJ79,'Технический лист'!$I:$J,2,1)-VLOOKUP($AO79,'Технический лист'!$I:$J,2,1)),1+(1-$AU79))</f>
        <v/>
      </c>
      <c r="CV79" s="172">
        <f>MIN(IF($AU79=100%,1,1+VLOOKUP(($AJ79-$AI79-$AH79-$AG79-$AF79-$AE79*(1+CV$3))/$AJ79,'Технический лист'!$I:$J,2,1)-VLOOKUP($AO79,'Технический лист'!$I:$J,2,1)),1+(1-$AU79))</f>
        <v/>
      </c>
      <c r="CW79" s="172">
        <f>MIN(IF($AU79=100%,1,1+VLOOKUP(($AJ79-$AI79-$AH79-$AG79-$AF79-$AE79*(1+CW$3))/$AJ79,'Технический лист'!$I:$J,2,1)-VLOOKUP($AO79,'Технический лист'!$I:$J,2,1)),1+(1-$AU79))</f>
        <v/>
      </c>
      <c r="CX79" s="172">
        <f>MIN(IF($AU79=100%,1,1+VLOOKUP(($AJ79-$AI79-$AH79-$AG79-$AF79-$AE79*(1+CX$3))/$AJ79,'Технический лист'!$I:$J,2,1)-VLOOKUP($AO79,'Технический лист'!$I:$J,2,1)),1+(1-$AU79))</f>
        <v/>
      </c>
      <c r="CY79" s="172">
        <f>MIN(IF($AU79=100%,1,1+VLOOKUP(($AJ79-$AI79-$AH79-$AG79-$AF79-$AE79*(1+CY$3))/$AJ79,'Технический лист'!$I:$J,2,1)-VLOOKUP($AO79,'Технический лист'!$I:$J,2,1)),1+(1-$AU79))</f>
        <v/>
      </c>
      <c r="CZ79" s="172">
        <f>MIN(IF($AU79=100%,1,1+VLOOKUP(($AJ79-$AI79-$AH79-$AG79-$AF79-$AE79*(1+CZ$3))/$AJ79,'Технический лист'!$I:$J,2,1)-VLOOKUP($AO79,'Технический лист'!$I:$J,2,1)),1+(1-$AU79))</f>
        <v/>
      </c>
      <c r="DA79" s="172">
        <f>MIN(IF($AU79=100%,1,1+VLOOKUP(($AJ79-$AI79-$AH79-$AG79-$AF79-$AE79*(1+DA$3))/$AJ79,'Технический лист'!$I:$J,2,1)-VLOOKUP($AO79,'Технический лист'!$I:$J,2,1)),1+(1-$AU79))</f>
        <v/>
      </c>
      <c r="DB79" s="172">
        <f>MIN(IF($AU79=100%,1,1+VLOOKUP(($AJ79-$AI79-$AH79-$AG79-$AF79-$AE79*(1+DB$3))/$AJ79,'Технический лист'!$I:$J,2,1)-VLOOKUP($AO79,'Технический лист'!$I:$J,2,1)),1+(1-$AU79))</f>
        <v/>
      </c>
      <c r="DC79" s="172">
        <f>MIN(IF($AU79=100%,1,1+VLOOKUP(($AJ79-$AI79-$AH79-$AG79-$AF79-$AE79*(1+DC$3))/$AJ79,'Технический лист'!$I:$J,2,1)-VLOOKUP($AO79,'Технический лист'!$I:$J,2,1)),1+(1-$AU79))</f>
        <v/>
      </c>
      <c r="DD79" s="172">
        <f>MIN(IF($AU79=100%,1,1+VLOOKUP(($AJ79-$AI79-$AH79-$AG79-$AF79-$AE79*(1+DD$3))/$AJ79,'Технический лист'!$I:$J,2,1)-VLOOKUP($AO79,'Технический лист'!$I:$J,2,1)),1+(1-$AU79))</f>
        <v/>
      </c>
      <c r="DE79" s="172">
        <f>MIN(IF($AU79=100%,1,1+VLOOKUP(($AJ79-$AI79-$AH79-$AG79-$AF79-$AE79*(1+DE$3))/$AJ79,'Технический лист'!$I:$J,2,1)-VLOOKUP($AO79,'Технический лист'!$I:$J,2,1)),1+(1-$AU79))</f>
        <v/>
      </c>
      <c r="DF79" s="172">
        <f>MIN(IF($AU79=100%,1,1+VLOOKUP(($AJ79-$AI79-$AH79-$AG79-$AF79-$AE79*(1+DF$3))/$AJ79,'Технический лист'!$I:$J,2,1)-VLOOKUP($AO79,'Технический лист'!$I:$J,2,1)),1+(1-$AU79))</f>
        <v/>
      </c>
      <c r="DG79" s="172">
        <f>MIN(IF($AU79=100%,1,1+VLOOKUP(($AJ79-$AI79-$AH79-$AG79-$AF79-$AE79*(1+DG$3))/$AJ79,'Технический лист'!$I:$J,2,1)-VLOOKUP($AO79,'Технический лист'!$I:$J,2,1)),1+(1-$AU79))</f>
        <v/>
      </c>
      <c r="DH79" s="172">
        <f>MIN(IF($AU79=100%,1,1+VLOOKUP(($AJ79-$AI79-$AH79-$AG79-$AF79-$AE79*(1+DH$3))/$AJ79,'Технический лист'!$I:$J,2,1)-VLOOKUP($AO79,'Технический лист'!$I:$J,2,1)),1+(1-$AU79))</f>
        <v/>
      </c>
      <c r="DI79" s="172">
        <f>MIN(IF($AU79=100%,1,1+VLOOKUP(($AJ79-$AI79-$AH79-$AG79-$AF79-$AE79*(1+DI$3))/$AJ79,'Технический лист'!$I:$J,2,1)-VLOOKUP($AO79,'Технический лист'!$I:$J,2,1)),1+(1-$AU79))</f>
        <v/>
      </c>
      <c r="DJ79" s="172">
        <f>MIN(IF($AU79=100%,1,1+VLOOKUP(($AJ79-$AI79-$AH79-$AG79-$AF79-$AE79*(1+DJ$3))/$AJ79,'Технический лист'!$I:$J,2,1)-VLOOKUP($AO79,'Технический лист'!$I:$J,2,1)),1+(1-$AU79))</f>
        <v/>
      </c>
      <c r="DK79" s="172">
        <f>MIN(IF($AU79=100%,1,1+VLOOKUP(($AJ79-$AI79-$AH79-$AG79-$AF79-$AE79*(1+DK$3))/$AJ79,'Технический лист'!$I:$J,2,1)-VLOOKUP($AO79,'Технический лист'!$I:$J,2,1)),1+(1-$AU79))</f>
        <v/>
      </c>
      <c r="DL79" s="172">
        <f>MIN(IF($AU79=100%,1,1+VLOOKUP(($AJ79-$AI79-$AH79-$AG79-$AF79-$AE79*(1+DL$3))/$AJ79,'Технический лист'!$I:$J,2,1)-VLOOKUP($AO79,'Технический лист'!$I:$J,2,1)),1+(1-$AU79))</f>
        <v/>
      </c>
      <c r="DM79" s="172">
        <f>MIN(IF($AU79=100%,1,1+VLOOKUP(($AJ79-$AI79-$AH79-$AG79-$AF79-$AE79*(1+DM$3))/$AJ79,'Технический лист'!$I:$J,2,1)-VLOOKUP($AO79,'Технический лист'!$I:$J,2,1)),1+(1-$AU79))</f>
        <v/>
      </c>
      <c r="DN79" s="172">
        <f>MIN(IF($AU79=100%,1,1+VLOOKUP(($AJ79-$AI79-$AH79-$AG79-$AF79-$AE79*(1+DN$3))/$AJ79,'Технический лист'!$I:$J,2,1)-VLOOKUP($AO79,'Технический лист'!$I:$J,2,1)),1+(1-$AU79))</f>
        <v/>
      </c>
      <c r="DO79" s="172">
        <f>MIN(IF($AU79=100%,1,1+VLOOKUP(($AJ79-$AI79-$AH79-$AG79-$AF79-$AE79*(1+DO$3))/$AJ79,'Технический лист'!$I:$J,2,1)-VLOOKUP($AO79,'Технический лист'!$I:$J,2,1)),1+(1-$AU79))</f>
        <v/>
      </c>
      <c r="DP79" s="172">
        <f>MIN(IF($AU79=100%,1,1+VLOOKUP(($AJ79-$AI79-$AH79-$AG79-$AF79-$AE79*(1+DP$3))/$AJ79,'Технический лист'!$I:$J,2,1)-VLOOKUP($AO79,'Технический лист'!$I:$J,2,1)),1+(1-$AU79))</f>
        <v/>
      </c>
      <c r="DQ79" s="172">
        <f>MIN(IF($AU79=100%,1,1+VLOOKUP(($AJ79-$AI79-$AH79-$AG79-$AF79-$AE79*(1+DQ$3))/$AJ79,'Технический лист'!$I:$J,2,1)-VLOOKUP($AO79,'Технический лист'!$I:$J,2,1)),1+(1-$AU79))</f>
        <v/>
      </c>
      <c r="DR79" s="172">
        <f>MIN(IF($AU79=100%,1,1+VLOOKUP(($AJ79-$AI79-$AH79-$AG79-$AF79-$AE79*(1+DR$3))/$AJ79,'Технический лист'!$I:$J,2,1)-VLOOKUP($AO79,'Технический лист'!$I:$J,2,1)),1+(1-$AU79))</f>
        <v/>
      </c>
      <c r="DS79" s="172">
        <f>MIN(IF($AU79=100%,1,1+VLOOKUP(($AJ79-$AI79-$AH79-$AG79-$AF79-$AE79*(1+DS$3))/$AJ79,'Технический лист'!$I:$J,2,1)-VLOOKUP($AO79,'Технический лист'!$I:$J,2,1)),1+(1-$AU79))</f>
        <v/>
      </c>
      <c r="DT79" s="172">
        <f>MIN(IF($AU79=100%,1,1+VLOOKUP(($AJ79-$AI79-$AH79-$AG79-$AF79-$AE79*(1+DT$3))/$AJ79,'Технический лист'!$I:$J,2,1)-VLOOKUP($AO79,'Технический лист'!$I:$J,2,1)),1+(1-$AU79))</f>
        <v/>
      </c>
      <c r="DU79" s="172">
        <f>MIN(IF($AU79=100%,1,1+VLOOKUP(($AJ79-$AI79-$AH79-$AG79-$AF79-$AE79*(1+DU$3))/$AJ79,'Технический лист'!$I:$J,2,1)-VLOOKUP($AO79,'Технический лист'!$I:$J,2,1)),1+(1-$AU79))</f>
        <v/>
      </c>
      <c r="DV79" s="172">
        <f>MIN(IF($AU79=100%,1,1+VLOOKUP(($AJ79-$AI79-$AH79-$AG79-$AF79-$AE79*(1+DV$3))/$AJ79,'Технический лист'!$I:$J,2,1)-VLOOKUP($AO79,'Технический лист'!$I:$J,2,1)),1+(1-$AU79))</f>
        <v/>
      </c>
      <c r="DW79" s="172">
        <f>MIN(IF($AU79=100%,1,1+VLOOKUP(($AJ79-$AI79-$AH79-$AG79-$AF79-$AE79*(1+DW$3))/$AJ79,'Технический лист'!$I:$J,2,1)-VLOOKUP($AO79,'Технический лист'!$I:$J,2,1)),1+(1-$AU79))</f>
        <v/>
      </c>
      <c r="DX79" s="172">
        <f>MIN(IF($AU79=100%,1,1+VLOOKUP(($AJ79-$AI79-$AH79-$AG79-$AF79-$AE79*(1+DX$3))/$AJ79,'Технический лист'!$I:$J,2,1)-VLOOKUP($AO79,'Технический лист'!$I:$J,2,1)),1+(1-$AU79))</f>
        <v/>
      </c>
      <c r="DY79" s="172">
        <f>MIN(IF($AU79=100%,1,1+VLOOKUP(($AJ79-$AI79-$AH79-$AG79-$AF79-$AE79*(1+DY$3))/$AJ79,'Технический лист'!$I:$J,2,1)-VLOOKUP($AO79,'Технический лист'!$I:$J,2,1)),1+(1-$AU79))</f>
        <v/>
      </c>
      <c r="DZ79" s="172">
        <f>MIN(IF($AU79=100%,1,1+VLOOKUP(($AJ79-$AI79-$AH79-$AG79-$AF79-$AE79*(1+DZ$3))/$AJ79,'Технический лист'!$I:$J,2,1)-VLOOKUP($AO79,'Технический лист'!$I:$J,2,1)),1+(1-$AU79))</f>
        <v/>
      </c>
      <c r="EA79" s="172">
        <f>MIN(IF($AU79=100%,1,1+VLOOKUP(($AJ79-$AI79-$AH79-$AG79-$AF79-$AE79*(1+EA$3))/$AJ79,'Технический лист'!$I:$J,2,1)-VLOOKUP($AO79,'Технический лист'!$I:$J,2,1)),1+(1-$AU79))</f>
        <v/>
      </c>
      <c r="EB79" s="172">
        <f>MIN(IF($AU79=100%,1,1+VLOOKUP(($AJ79-$AI79-$AH79-$AG79-$AF79-$AE79*(1+EB$3))/$AJ79,'Технический лист'!$I:$J,2,1)-VLOOKUP($AO79,'Технический лист'!$I:$J,2,1)),1+(1-$AU79))</f>
        <v/>
      </c>
      <c r="EC79" s="172">
        <f>MIN(IF($AU79=100%,1,1+VLOOKUP(($AJ79-$AI79-$AH79-$AG79-$AF79-$AE79*(1+EC$3))/$AJ79,'Технический лист'!$I:$J,2,1)-VLOOKUP($AO79,'Технический лист'!$I:$J,2,1)),1+(1-$AU79))</f>
        <v/>
      </c>
      <c r="ED79">
        <f>MIN(IF($AU79=100%,1,1+VLOOKUP(($AJ79-$AI79-$AH79-$AG79-$AF79-$AE79*(1+ED$3))/$AJ79,'Технический лист'!$I:$J,2,1)-VLOOKUP($AO79,'Технический лист'!$I:$J,2,1)),1+(1-$AU79))</f>
        <v/>
      </c>
      <c r="EE79" s="172">
        <f>MIN(IF($AU79=100%,1,1+VLOOKUP(($AJ79-$AI79-$AH79-$AG79-$AF79-$AE79*(1+EE$3))/$AJ79,'Технический лист'!$I:$J,2,1)-VLOOKUP($AO79,'Технический лист'!$I:$J,2,1)),1+(1-$AU79))</f>
        <v/>
      </c>
      <c r="EF79" s="172">
        <f>MIN(IF($AU79=100%,1,1+VLOOKUP(($AJ79-$AI79-$AH79-$AG79-$AF79-$AE79*(1+EF$3))/$AJ79,'Технический лист'!$I:$J,2,1)-VLOOKUP($AO79,'Технический лист'!$I:$J,2,1)),1+(1-$AU79))</f>
        <v/>
      </c>
      <c r="EG79" s="172">
        <f>MIN(IF($AU79=100%,1,1+VLOOKUP(($AJ79-$AI79-$AH79-$AG79-$AF79-$AE79*(1+EG$3))/$AJ79,'Технический лист'!$I:$J,2,1)-VLOOKUP($AO79,'Технический лист'!$I:$J,2,1)),1+(1-$AU79))</f>
        <v/>
      </c>
      <c r="EH79" s="172">
        <f>MIN(IF($AU79=100%,1,1+VLOOKUP(($AJ79-$AI79-$AH79-$AG79-$AF79-$AE79*(1+EH$3))/$AJ79,'Технический лист'!$I:$J,2,1)-VLOOKUP($AO79,'Технический лист'!$I:$J,2,1)),1+(1-$AU79))</f>
        <v/>
      </c>
      <c r="EI79" s="172">
        <f>MIN(IF($AU79=100%,1,1+VLOOKUP(($AJ79-$AI79-$AH79-$AG79-$AF79-$AE79*(1+EI$3))/$AJ79,'Технический лист'!$I:$J,2,1)-VLOOKUP($AO79,'Технический лист'!$I:$J,2,1)),1+(1-$AU79))</f>
        <v/>
      </c>
      <c r="EJ79" s="172">
        <f>MIN(IF($AU79=100%,1,1+VLOOKUP(($AJ79-$AI79-$AH79-$AG79-$AF79-$AE79*(1+EJ$3))/$AJ79,'Технический лист'!$I:$J,2,1)-VLOOKUP($AO79,'Технический лист'!$I:$J,2,1)),1+(1-$AU79))</f>
        <v/>
      </c>
      <c r="EK79" s="172">
        <f>MIN(IF($AU79=100%,1,1+VLOOKUP(($AJ79-$AI79-$AH79-$AG79-$AF79-$AE79*(1+EK$3))/$AJ79,'Технический лист'!$I:$J,2,1)-VLOOKUP($AO79,'Технический лист'!$I:$J,2,1)),1+(1-$AU79))</f>
        <v/>
      </c>
      <c r="EL79" s="172">
        <f>MIN(IF($AU79=100%,1,1+VLOOKUP(($AJ79-$AI79-$AH79-$AG79-$AF79-$AE79*(1+EL$3))/$AJ79,'Технический лист'!$I:$J,2,1)-VLOOKUP($AO79,'Технический лист'!$I:$J,2,1)),1+(1-$AU79))</f>
        <v/>
      </c>
      <c r="EM79" s="172">
        <f>MIN(IF($AU79=100%,1,1+VLOOKUP(($AJ79-$AI79-$AH79-$AG79-$AF79-$AE79*(1+EM$3))/$AJ79,'Технический лист'!$I:$J,2,1)-VLOOKUP($AO79,'Технический лист'!$I:$J,2,1)),1+(1-$AU79))</f>
        <v/>
      </c>
      <c r="EN79" s="172">
        <f>MIN(IF($AU79=100%,1,1+VLOOKUP(($AJ79-$AI79-$AH79-$AG79-$AF79-$AE79*(1+EN$3))/$AJ79,'Технический лист'!$I:$J,2,1)-VLOOKUP($AO79,'Технический лист'!$I:$J,2,1)),1+(1-$AU79))</f>
        <v/>
      </c>
      <c r="EO79" s="172">
        <f>MIN(IF($AU79=100%,1,1+VLOOKUP(($AJ79-$AI79-$AH79-$AG79-$AF79-$AE79*(1+EO$3))/$AJ79,'Технический лист'!$I:$J,2,1)-VLOOKUP($AO79,'Технический лист'!$I:$J,2,1)),1+(1-$AU79))</f>
        <v/>
      </c>
      <c r="EP79" s="172">
        <f>MIN(IF($AU79=100%,1,1+VLOOKUP(($AJ79-$AI79-$AH79-$AG79-$AF79-$AE79*(1+EP$3))/$AJ79,'Технический лист'!$I:$J,2,1)-VLOOKUP($AO79,'Технический лист'!$I:$J,2,1)),1+(1-$AU79))</f>
        <v/>
      </c>
      <c r="EQ79" s="172">
        <f>MIN(IF($AU79=100%,1,1+VLOOKUP(($AJ79-$AI79-$AH79-$AG79-$AF79-$AE79*(1+EQ$3))/$AJ79,'Технический лист'!$I:$J,2,1)-VLOOKUP($AO79,'Технический лист'!$I:$J,2,1)),1+(1-$AU79))</f>
        <v/>
      </c>
      <c r="ER79" s="172">
        <f>MIN(IF($AU79=100%,1,1+VLOOKUP(($AJ79-$AI79-$AH79-$AG79-$AF79-$AE79*(1+ER$3))/$AJ79,'Технический лист'!$I:$J,2,1)-VLOOKUP($AO79,'Технический лист'!$I:$J,2,1)),1+(1-$AU79))</f>
        <v/>
      </c>
      <c r="ES79" s="172">
        <f>MIN(IF($AU79=100%,1,1+VLOOKUP(($AJ79-$AI79-$AH79-$AG79-$AF79-$AE79*(1+ES$3))/$AJ79,'Технический лист'!$I:$J,2,1)-VLOOKUP($AO79,'Технический лист'!$I:$J,2,1)),1+(1-$AU79))</f>
        <v/>
      </c>
      <c r="ET79" s="172">
        <f>MIN(IF($AU79=100%,1,1+VLOOKUP(($AJ79-$AI79-$AH79-$AG79-$AF79-$AE79*(1+ET$3))/$AJ79,'Технический лист'!$I:$J,2,1)-VLOOKUP($AO79,'Технический лист'!$I:$J,2,1)),1+(1-$AU79))</f>
        <v/>
      </c>
      <c r="EU79" s="172">
        <f>MIN(IF($AU79=100%,1,1+VLOOKUP(($AJ79-$AI79-$AH79-$AG79-$AF79-$AE79*(1+EU$3))/$AJ79,'Технический лист'!$I:$J,2,1)-VLOOKUP($AO79,'Технический лист'!$I:$J,2,1)),1+(1-$AU79))</f>
        <v/>
      </c>
      <c r="EV79" s="173" t="n">
        <v>1</v>
      </c>
      <c r="EW79" s="172">
        <f>MIN(1,MAX(VLOOKUP(($AJ79-$AI79-$AH79-$AG79-$AF79-$AE79*(1+EW$3))/$AJ79,'Технический лист'!$A:$B,2,1),(EV79-0.05)))</f>
        <v/>
      </c>
      <c r="EX79" s="172">
        <f>MIN(1,MAX(VLOOKUP(($AJ79-$AI79-$AH79-$AG79-$AF79-$AE79*(1+EX$3))/$AJ79,'Технический лист'!$A:$B,2,1),(EW79-0.05)))</f>
        <v/>
      </c>
      <c r="EY79" s="172">
        <f>MIN(1,MAX(VLOOKUP(($AJ79-$AI79-$AH79-$AG79-$AF79-$AE79*(1+EY$3))/$AJ79,'Технический лист'!$A:$B,2,1),(EX79-0.05)))</f>
        <v/>
      </c>
      <c r="EZ79" s="172">
        <f>MIN(1,MAX(VLOOKUP(($AJ79-$AI79-$AH79-$AG79-$AF79-$AE79*(1+EZ$3))/$AJ79,'Технический лист'!$A:$B,2,1),(EY79-0.05)))</f>
        <v/>
      </c>
      <c r="FA79" s="172">
        <f>MIN(1,MAX(VLOOKUP(($AJ79-$AI79-$AH79-$AG79-$AF79-$AE79*(1+FA$3))/$AJ79,'Технический лист'!$A:$B,2,1),(EZ79-0.05)))</f>
        <v/>
      </c>
      <c r="FB79" s="172">
        <f>MIN(1,MAX(VLOOKUP(($AJ79-$AI79-$AH79-$AG79-$AF79-$AE79*(1+FB$3))/$AJ79,'Технический лист'!$A:$B,2,1),(FA79-0.05)))</f>
        <v/>
      </c>
      <c r="FC79" s="172">
        <f>MIN(1,MAX(VLOOKUP(($AJ79-$AI79-$AH79-$AG79-$AF79-$AE79*(1+FC$3))/$AJ79,'Технический лист'!$A:$B,2,1),(FB79-0.05)))</f>
        <v/>
      </c>
      <c r="FD79" s="172">
        <f>MIN(1,MAX(VLOOKUP(($AJ79-$AI79-$AH79-$AG79-$AF79-$AE79*(1+FD$3))/$AJ79,'Технический лист'!$A:$B,2,1),(FC79-0.05)))</f>
        <v/>
      </c>
      <c r="FE79" s="172">
        <f>MIN(1,MAX(VLOOKUP(($AJ79-$AI79-$AH79-$AG79-$AF79-$AE79*(1+FE$3))/$AJ79,'Технический лист'!$A:$B,2,1),(FD79-0.05)))</f>
        <v/>
      </c>
      <c r="FF79" s="172">
        <f>MIN(1,MAX(VLOOKUP(($AJ79-$AI79-$AH79-$AG79-$AF79-$AE79*(1+FF$3))/$AJ79,'Технический лист'!$A:$B,2,1),(FE79-0.05)))</f>
        <v/>
      </c>
      <c r="FG79" s="172">
        <f>MIN(1,MAX(VLOOKUP(($AJ79-$AI79-$AH79-$AG79-$AF79-$AE79*(1+FG$3))/$AJ79,'Технический лист'!$A:$B,2,1),(FF79-0.05)))</f>
        <v/>
      </c>
      <c r="FH79" s="172">
        <f>MIN(1,MAX(VLOOKUP(($AJ79-$AI79-$AH79-$AG79-$AF79-$AE79*(1+FH$3))/$AJ79,'Технический лист'!$A:$B,2,1),(FG79-0.05)))</f>
        <v/>
      </c>
      <c r="FI79" s="172">
        <f>MIN(1,MAX(VLOOKUP(($AJ79-$AI79-$AH79-$AG79-$AF79-$AE79*(1+FI$3))/$AJ79,'Технический лист'!$A:$B,2,1),(FH79-0.05)))</f>
        <v/>
      </c>
      <c r="FJ79" s="172">
        <f>MIN(1,MAX(VLOOKUP(($AJ79-$AI79-$AH79-$AG79-$AF79-$AE79*(1+FJ$3))/$AJ79,'Технический лист'!$A:$B,2,1),(FI79-0.05)))</f>
        <v/>
      </c>
      <c r="FK79" s="172">
        <f>MIN(1,MAX(VLOOKUP(($AJ79-$AI79-$AH79-$AG79-$AF79-$AE79*(1+FK$3))/$AJ79,'Технический лист'!$A:$B,2,1),(FJ79-0.05)))</f>
        <v/>
      </c>
      <c r="FL79" s="172">
        <f>MIN(1,MAX(VLOOKUP(($AJ79-$AI79-$AH79-$AG79-$AF79-$AE79*(1+FL$3))/$AJ79,'Технический лист'!$A:$B,2,1),(FK79-0.05)))</f>
        <v/>
      </c>
      <c r="FM79" s="172">
        <f>MIN(1,MAX(VLOOKUP(($AJ79-$AI79-$AH79-$AG79-$AF79-$AE79*(1+FM$3))/$AJ79,'Технический лист'!$A:$B,2,1),(FL79-0.05)))</f>
        <v/>
      </c>
      <c r="FN79" s="172">
        <f>MIN(1,MAX(VLOOKUP(($AJ79-$AI79-$AH79-$AG79-$AF79-$AE79*(1+FN$3))/$AJ79,'Технический лист'!$A:$B,2,1),(FM79-0.05)))</f>
        <v/>
      </c>
      <c r="FO79" s="172">
        <f>MIN(1,MAX(VLOOKUP(($AJ79-$AI79-$AH79-$AG79-$AF79-$AE79*(1+FO$3))/$AJ79,'Технический лист'!$A:$B,2,1),(FN79-0.05)))</f>
        <v/>
      </c>
      <c r="FP79" s="172">
        <f>MIN(1,MAX(VLOOKUP(($AJ79-$AI79-$AH79-$AG79-$AF79-$AE79*(1+FP$3))/$AJ79,'Технический лист'!$A:$B,2,1),(FO79-0.05)))</f>
        <v/>
      </c>
      <c r="FQ79" s="172">
        <f>MIN(1,MAX(VLOOKUP(($AJ79-$AI79-$AH79-$AG79-$AF79-$AE79*(1+FQ$3))/$AJ79,'Технический лист'!$A:$B,2,1),(FP79-0.05)))</f>
        <v/>
      </c>
      <c r="FR79" s="172">
        <f>MIN(1,MAX(VLOOKUP(($AJ79-$AI79-$AH79-$AG79-$AF79-$AE79*(1+FR$3))/$AJ79,'Технический лист'!$A:$B,2,1),(FQ79-0.05)))</f>
        <v/>
      </c>
      <c r="FS79" s="172">
        <f>MIN(1,MAX(VLOOKUP(($AJ79-$AI79-$AH79-$AG79-$AF79-$AE79*(1+FS$3))/$AJ79,'Технический лист'!$A:$B,2,1),(FR79-0.05)))</f>
        <v/>
      </c>
      <c r="FT79" s="172">
        <f>MIN(1,MAX(VLOOKUP(($AJ79-$AI79-$AH79-$AG79-$AF79-$AE79*(1+FT$3))/$AJ79,'Технический лист'!$A:$B,2,1),(FS79-0.05)))</f>
        <v/>
      </c>
      <c r="FU79" s="172">
        <f>MIN(1,MAX(VLOOKUP(($AJ79-$AI79-$AH79-$AG79-$AF79-$AE79*(1+FU$3))/$AJ79,'Технический лист'!$A:$B,2,1),(FT79-0.05)))</f>
        <v/>
      </c>
      <c r="FV79" s="172">
        <f>MIN(1,MAX(VLOOKUP(($AJ79-$AI79-$AH79-$AG79-$AF79-$AE79*(1+FV$3))/$AJ79,'Технический лист'!$A:$B,2,1),(FU79-0.05)))</f>
        <v/>
      </c>
      <c r="FW79" s="172">
        <f>MIN(1,MAX(VLOOKUP(($AJ79-$AI79-$AH79-$AG79-$AF79-$AE79*(1+FW$3))/$AJ79,'Технический лист'!$A:$B,2,1),(FV79-0.05)))</f>
        <v/>
      </c>
      <c r="FX79" s="172">
        <f>MIN(1,MAX(VLOOKUP(($AJ79-$AI79-$AH79-$AG79-$AF79-$AE79*(1+FX$3))/$AJ79,'Технический лист'!$A:$B,2,1),(FW79-0.05)))</f>
        <v/>
      </c>
      <c r="FY79" s="172">
        <f>MIN(1,MAX(VLOOKUP(($AJ79-$AI79-$AH79-$AG79-$AF79-$AE79*(1+FY$3))/$AJ79,'Технический лист'!$A:$B,2,1),(FX79-0.05)))</f>
        <v/>
      </c>
      <c r="FZ79" s="172">
        <f>MIN(1,MAX(VLOOKUP(($AJ79-$AI79-$AH79-$AG79-$AF79-$AE79*(1+FZ$3))/$AJ79,'Технический лист'!$A:$B,2,1),(FY79-0.05)))</f>
        <v/>
      </c>
      <c r="GA79" s="172">
        <f>MIN(1,MAX(VLOOKUP(($AJ79-$AI79-$AH79-$AG79-$AF79-$AE79*(1+GA$3))/$AJ79,'Технический лист'!$A:$B,2,1),(FZ79-0.05)))</f>
        <v/>
      </c>
      <c r="GB79" s="172">
        <f>MIN(1,MAX(VLOOKUP(($AJ79-$AI79-$AH79-$AG79-$AF79-$AE79*(1+GB$3))/$AJ79,'Технический лист'!$A:$B,2,1),(GA79-0.05)))</f>
        <v/>
      </c>
      <c r="GC79" s="172">
        <f>MIN(1,MAX(VLOOKUP(($AJ79-$AI79-$AH79-$AG79-$AF79-$AE79*(1+GC$3))/$AJ79,'Технический лист'!$A:$B,2,1),(GB79-0.05)))</f>
        <v/>
      </c>
      <c r="GD79" s="172">
        <f>MIN(1,MAX(VLOOKUP(($AJ79-$AI79-$AH79-$AG79-$AF79-$AE79*(1+GD$3))/$AJ79,'Технический лист'!$A:$B,2,1),(GC79-0.05)))</f>
        <v/>
      </c>
      <c r="GE79" s="172">
        <f>MIN(1,MAX(VLOOKUP(($AJ79-$AI79-$AH79-$AG79-$AF79-$AE79*(1+GE$3))/$AJ79,'Технический лист'!$A:$B,2,1),(GD79-0.05)))</f>
        <v/>
      </c>
      <c r="GF79" s="172">
        <f>MIN(1,MAX(VLOOKUP(($AJ79-$AI79-$AH79-$AG79-$AF79-$AE79*(1+GF$3))/$AJ79,'Технический лист'!$A:$B,2,1),(GE79-0.05)))</f>
        <v/>
      </c>
      <c r="GG79" s="172">
        <f>MIN(1,MAX(VLOOKUP(($AJ79-$AI79-$AH79-$AG79-$AF79-$AE79*(1+GG$3))/$AJ79,'Технический лист'!$A:$B,2,1),(GF79-0.05)))</f>
        <v/>
      </c>
      <c r="GH79" s="172">
        <f>MIN(1,MAX(VLOOKUP(($AJ79-$AI79-$AH79-$AG79-$AF79-$AE79*(1+GH$3))/$AJ79,'Технический лист'!$A:$B,2,1),(GG79-0.05)))</f>
        <v/>
      </c>
      <c r="GI79" s="172">
        <f>MIN(1,MAX(VLOOKUP(($AJ79-$AI79-$AH79-$AG79-$AF79-$AE79*(1+GI$3))/$AJ79,'Технический лист'!$A:$B,2,1),(GH79-0.05)))</f>
        <v/>
      </c>
      <c r="GJ79" s="172">
        <f>MIN(1,MAX(VLOOKUP(($AJ79-$AI79-$AH79-$AG79-$AF79-$AE79*(1+GJ$3))/$AJ79,'Технический лист'!$A:$B,2,1),(GI79-0.05)))</f>
        <v/>
      </c>
      <c r="GK79" s="172">
        <f>MIN(1,MAX(VLOOKUP(($AJ79-$AI79-$AH79-$AG79-$AF79-$AE79*(1+GK$3))/$AJ79,'Технический лист'!$A:$B,2,1),(GJ79-0.05)))</f>
        <v/>
      </c>
      <c r="GL79" s="172">
        <f>MIN(1,MAX(VLOOKUP(($AJ79-$AI79-$AH79-$AG79-$AF79-$AE79*(1+GL$3))/$AJ79,'Технический лист'!$A:$B,2,1),(GK79-0.05)))</f>
        <v/>
      </c>
      <c r="GM79" s="172">
        <f>MIN(1,MAX(VLOOKUP(($AJ79-$AI79-$AH79-$AG79-$AF79-$AE79*(1+GM$3))/$AJ79,'Технический лист'!$A:$B,2,1),(GL79-0.05)))</f>
        <v/>
      </c>
      <c r="GN79" s="172">
        <f>MIN(1,MAX(VLOOKUP(($AJ79-$AI79-$AH79-$AG79-$AF79-$AE79*(1+GN$3))/$AJ79,'Технический лист'!$A:$B,2,1),(GM79-0.05)))</f>
        <v/>
      </c>
      <c r="GO79" s="172">
        <f>MIN(1,MAX(VLOOKUP(($AJ79-$AI79-$AH79-$AG79-$AF79-$AE79*(1+GO$3))/$AJ79,'Технический лист'!$A:$B,2,1),(GN79-0.05)))</f>
        <v/>
      </c>
      <c r="GP79" s="172">
        <f>MIN(1,MAX(VLOOKUP(($AJ79-$AI79-$AH79-$AG79-$AF79-$AE79*(1+GP$3))/$AJ79,'Технический лист'!$A:$B,2,1),(GO79-0.05)))</f>
        <v/>
      </c>
      <c r="GQ79" s="172">
        <f>MIN(1,MAX(VLOOKUP(($AJ79-$AI79-$AH79-$AG79-$AF79-$AE79*(1+GQ$3))/$AJ79,'Технический лист'!$A:$B,2,1),(GP79-0.05)))</f>
        <v/>
      </c>
      <c r="GR79" s="172">
        <f>MIN(1,MAX(VLOOKUP(($AJ79-$AI79-$AH79-$AG79-$AF79-$AE79*(1+GR$3))/$AJ79,'Технический лист'!$A:$B,2,1),(GQ79-0.05)))</f>
        <v/>
      </c>
      <c r="GS79" s="172">
        <f>MIN(1,MAX(VLOOKUP(($AJ79-$AI79-$AH79-$AG79-$AF79-$AE79*(1+GS$3))/$AJ79,'Технический лист'!$A:$B,2,1),(GR79-0.05)))</f>
        <v/>
      </c>
      <c r="GT79" s="172">
        <f>MIN(1,MAX(VLOOKUP(($AJ79-$AI79-$AH79-$AG79-$AF79-$AE79*(1+GT$3))/$AJ79,'Технический лист'!$A:$B,2,1),(GS79-0.05)))</f>
        <v/>
      </c>
      <c r="GU79" s="172">
        <f>MIN(1,MAX(VLOOKUP(($AJ79-$AI79-$AH79-$AG79-$AF79-$AE79*(1+GU$3))/$AJ79,'Технический лист'!$A:$B,2,1),(GT79-0.05)))</f>
        <v/>
      </c>
      <c r="GV79" s="172">
        <f>MIN(1,MAX(VLOOKUP(($AJ79-$AI79-$AH79-$AG79-$AF79-$AE79*(1+GV$3))/$AJ79,'Технический лист'!$A:$B,2,1),(GU79-0.05)))</f>
        <v/>
      </c>
      <c r="GW79" s="172">
        <f>MIN(1,MAX(VLOOKUP(($AJ79-$AI79-$AH79-$AG79-$AF79-$AE79*(1+GW$3))/$AJ79,'Технический лист'!$A:$B,2,1),(GV79-0.05)))</f>
        <v/>
      </c>
      <c r="GX79" s="172">
        <f>MIN(1,MAX(VLOOKUP(($AJ79-$AI79-$AH79-$AG79-$AF79-$AE79*(1+GX$3))/$AJ79,'Технический лист'!$A:$B,2,1),(GW79-0.05)))</f>
        <v/>
      </c>
      <c r="GY79" s="172">
        <f>MIN(1,MAX(VLOOKUP(($AJ79-$AI79-$AH79-$AG79-$AF79-$AE79*(1+GY$3))/$AJ79,'Технический лист'!$A:$B,2,1),(GX79-0.05)))</f>
        <v/>
      </c>
      <c r="GZ79" s="172">
        <f>MIN(1,MAX(VLOOKUP(($AJ79-$AI79-$AH79-$AG79-$AF79-$AE79*(1+GZ$3))/$AJ79,'Технический лист'!$A:$B,2,1),(GY79-0.05)))</f>
        <v/>
      </c>
      <c r="HA79" s="172">
        <f>MIN(1,MAX(VLOOKUP(($AJ79-$AI79-$AH79-$AG79-$AF79-$AE79*(1+HA$3))/$AJ79,'Технический лист'!$A:$B,2,1),(GZ79-0.05)))</f>
        <v/>
      </c>
      <c r="HB79" s="172">
        <f>MIN(1,MAX(VLOOKUP(($AJ79-$AI79-$AH79-$AG79-$AF79-$AE79*(1+HB$3))/$AJ79,'Технический лист'!$A:$B,2,1),(HA79-0.05)))</f>
        <v/>
      </c>
      <c r="HC79" s="172">
        <f>MIN(1,MAX(VLOOKUP(($AJ79-$AI79-$AH79-$AG79-$AF79-$AE79*(1+HC$3))/$AJ79,'Технический лист'!$A:$B,2,1),(HB79-0.05)))</f>
        <v/>
      </c>
      <c r="HD79" s="172">
        <f>MIN(1,MAX(VLOOKUP(($AJ79-$AI79-$AH79-$AG79-$AF79-$AE79*(1+HD$3))/$AJ79,'Технический лист'!$A:$B,2,1),(HC79-0.05)))</f>
        <v/>
      </c>
      <c r="HE79" s="172">
        <f>MIN(1,MAX(VLOOKUP(($AJ79-$AI79-$AH79-$AG79-$AF79-$AE79*(1+HE$3))/$AJ79,'Технический лист'!$A:$B,2,1),(HD79-0.05)))</f>
        <v/>
      </c>
      <c r="HF79" s="172">
        <f>MIN(1,MAX(VLOOKUP(($AJ79-$AI79-$AH79-$AG79-$AF79-$AE79*(1+HF$3))/$AJ79,'Технический лист'!$A:$B,2,1),(HE79-0.05)))</f>
        <v/>
      </c>
      <c r="HG79" s="172">
        <f>MIN(1,MAX(VLOOKUP(($AJ79-$AI79-$AH79-$AG79-$AF79-$AE79*(1+HG$3))/$AJ79,'Технический лист'!$A:$B,2,1),(HF79-0.05)))</f>
        <v/>
      </c>
      <c r="HH79" s="172">
        <f>MIN(1,MAX(VLOOKUP(($AJ79-$AI79-$AH79-$AG79-$AF79-$AE79*(1+HH$3))/$AJ79,'Технический лист'!$A:$B,2,1),(HG79-0.05)))</f>
        <v/>
      </c>
      <c r="HI79" s="172">
        <f>MIN(1,MAX(VLOOKUP(($AJ79-$AI79-$AH79-$AG79-$AF79-$AE79*(1+HI$3))/$AJ79,'Технический лист'!$A:$B,2,1),(HH79-0.05)))</f>
        <v/>
      </c>
      <c r="HJ79" s="172">
        <f>MIN(1,MAX(VLOOKUP(($AJ79-$AI79-$AH79-$AG79-$AF79-$AE79*(1+HJ$3))/$AJ79,'Технический лист'!$A:$B,2,1),(HI79-0.05)))</f>
        <v/>
      </c>
      <c r="HK79" s="172">
        <f>MIN(1,MAX(VLOOKUP(($AJ79-$AI79-$AH79-$AG79-$AF79-$AE79*(1+HK$3))/$AJ79,'Технический лист'!$A:$B,2,1),(HJ79-0.05)))</f>
        <v/>
      </c>
      <c r="HL79" s="172">
        <f>MIN(1,MAX(VLOOKUP(($AJ79-$AI79-$AH79-$AG79-$AF79-$AE79*(1+HL$3))/$AJ79,'Технический лист'!$A:$B,2,1),(HK79-0.05)))</f>
        <v/>
      </c>
      <c r="HM79" s="172">
        <f>MIN(1,MAX(VLOOKUP(($AJ79-$AI79-$AH79-$AG79-$AF79-$AE79*(1+HM$3))/$AJ79,'Технический лист'!$A:$B,2,1),(HL79-0.05)))</f>
        <v/>
      </c>
      <c r="HN79" s="172">
        <f>MIN(1,MAX(VLOOKUP(($AJ79-$AI79-$AH79-$AG79-$AF79-$AE79*(1+HN$3))/$AJ79,'Технический лист'!$A:$B,2,1),(HM79-0.05)))</f>
        <v/>
      </c>
      <c r="HO79" s="172">
        <f>MIN(1,MAX(VLOOKUP(($AJ79-$AI79-$AH79-$AG79-$AF79-$AE79*(1+HO$3))/$AJ79,'Технический лист'!$A:$B,2,1),(HN79-0.05)))</f>
        <v/>
      </c>
      <c r="HP79" s="172">
        <f>MIN(1,MAX(VLOOKUP(($AJ79-$AI79-$AH79-$AG79-$AF79-$AE79*(1+HP$3))/$AJ79,'Технический лист'!$A:$B,2,1),(HO79-0.05)))</f>
        <v/>
      </c>
      <c r="HQ79" s="172">
        <f>MIN(1,MAX(VLOOKUP(($AJ79-$AI79-$AH79-$AG79-$AF79-$AE79*(1+HQ$3))/$AJ79,'Технический лист'!$A:$B,2,1),(HP79-0.05)))</f>
        <v/>
      </c>
      <c r="HR79" s="172">
        <f>MIN(1,MAX(VLOOKUP(($AJ79-$AI79-$AH79-$AG79-$AF79-$AE79*(1+HR$3))/$AJ79,'Технический лист'!$A:$B,2,1),(HQ79-0.05)))</f>
        <v/>
      </c>
      <c r="HS79" s="172">
        <f>MIN(1,MAX(VLOOKUP(($AJ79-$AI79-$AH79-$AG79-$AF79-$AE79*(1+HS$3))/$AJ79,'Технический лист'!$A:$B,2,1),(HR79-0.05)))</f>
        <v/>
      </c>
      <c r="HT79" s="172">
        <f>MIN(1,MAX(VLOOKUP(($AJ79-$AI79-$AH79-$AG79-$AF79-$AE79*(1+HT$3))/$AJ79,'Технический лист'!$A:$B,2,1),(HS79-0.05)))</f>
        <v/>
      </c>
      <c r="HU79" s="172">
        <f>MIN(1,MAX(VLOOKUP(($AJ79-$AI79-$AH79-$AG79-$AF79-$AE79*(1+HU$3))/$AJ79,'Технический лист'!$A:$B,2,1),(HT79-0.05)))</f>
        <v/>
      </c>
      <c r="HV79" s="172">
        <f>MIN(1,MAX(VLOOKUP(($AJ79-$AI79-$AH79-$AG79-$AF79-$AE79*(1+HV$3))/$AJ79,'Технический лист'!$A:$B,2,1),(HU79-0.05)))</f>
        <v/>
      </c>
      <c r="HW79" s="172">
        <f>MIN(1,MAX(VLOOKUP(($AJ79-$AI79-$AH79-$AG79-$AF79-$AE79*(1+HW$3))/$AJ79,'Технический лист'!$A:$B,2,1),(HV79-0.05)))</f>
        <v/>
      </c>
      <c r="HX79" s="172">
        <f>MIN(1,MAX(VLOOKUP(($AJ79-$AI79-$AH79-$AG79-$AF79-$AE79*(1+HX$3))/$AJ79,'Технический лист'!$A:$B,2,1),(HW79-0.05)))</f>
        <v/>
      </c>
      <c r="HY79" s="172">
        <f>MIN(1,MAX(VLOOKUP(($AJ79-$AI79-$AH79-$AG79-$AF79-$AE79*(1+HY$3))/$AJ79,'Технический лист'!$A:$B,2,1),(HX79-0.05)))</f>
        <v/>
      </c>
      <c r="HZ79" s="172">
        <f>MIN(1,MAX(VLOOKUP(($AJ79-$AI79-$AH79-$AG79-$AF79-$AE79*(1+HZ$3))/$AJ79,'Технический лист'!$A:$B,2,1),(HY79-0.05)))</f>
        <v/>
      </c>
      <c r="IA79" s="6">
        <f>MIN(1,MAX(VLOOKUP(($AJ79-$AI79-$AH79-$AG79-$AF79-$AE79*(1+IA$3))/$AJ79,'Технический лист'!$A:$B,2,1),(HZ79-0.05)))</f>
        <v/>
      </c>
      <c r="IB79" s="6">
        <f>MIN(1,MAX(VLOOKUP(($AJ79-$AI79-$AH79-$AG79-$AF79-$AE79*(1+IB$3))/$AJ79,'Технический лист'!$A:$B,2,1),(IA79-0.05)))</f>
        <v/>
      </c>
      <c r="IC79" s="6">
        <f>MIN(1,MAX(VLOOKUP(($AJ79-$AI79-$AH79-$AG79-$AF79-$AE79*(1+IC$3))/$AJ79,'Технический лист'!$A:$B,2,1),(IB79-0.05)))</f>
        <v/>
      </c>
      <c r="ID79" s="6">
        <f>MIN(1,MAX(VLOOKUP(($AJ79-$AI79-$AH79-$AG79-$AF79-$AE79*(1+ID$3))/$AJ79,'Технический лист'!$A:$B,2,1),(IC79-0.05)))</f>
        <v/>
      </c>
      <c r="IE79" s="6">
        <f>MIN(1,MAX(VLOOKUP(($AJ79-$AI79-$AH79-$AG79-$AF79-$AE79*(1+IE$3))/$AJ79,'Технический лист'!$A:$B,2,1),(ID79-0.05)))</f>
        <v/>
      </c>
      <c r="IF79" s="6">
        <f>MIN(1,MAX(VLOOKUP(($AJ79-$AI79-$AH79-$AG79-$AF79-$AE79*(1+IF$3))/$AJ79,'Технический лист'!$A:$B,2,1),(IE79-0.05)))</f>
        <v/>
      </c>
      <c r="IG79" s="6">
        <f>MIN(1,MAX(VLOOKUP(($AJ79-$AI79-$AH79-$AG79-$AF79-$AE79*(1+IG$3))/$AJ79,'Технический лист'!$A:$B,2,1),(IF79-0.05)))</f>
        <v/>
      </c>
      <c r="IH79" s="6">
        <f>MIN(1,MAX(VLOOKUP(($AJ79-$AI79-$AH79-$AG79-$AF79-$AE79*(1+IH$3))/$AJ79,'Технический лист'!$A:$B,2,1),(IG79-0.05)))</f>
        <v/>
      </c>
      <c r="II79" s="6">
        <f>MIN(1,MAX(VLOOKUP(($AJ79-$AI79-$AH79-$AG79-$AF79-$AE79*(1+II$3))/$AJ79,'Технический лист'!$A:$B,2,1),(IH79-0.05)))</f>
        <v/>
      </c>
      <c r="IJ79" s="6">
        <f>MIN(1,MAX(VLOOKUP(($AJ79-$AI79-$AH79-$AG79-$AF79-$AE79*(1+IJ$3))/$AJ79,'Технический лист'!$A:$B,2,1),(II79-0.05)))</f>
        <v/>
      </c>
      <c r="IK79" s="6">
        <f>MIN(1,MAX(VLOOKUP(($AJ79-$AI79-$AH79-$AG79-$AF79-$AE79*(1+IK$3))/$AJ79,'Технический лист'!$A:$B,2,1),(IJ79-0.05)))</f>
        <v/>
      </c>
      <c r="IL79" s="6">
        <f>MIN(1,MAX(VLOOKUP(($AJ79-$AI79-$AH79-$AG79-$AF79-$AE79*(1+IL$3))/$AJ79,'Технический лист'!$A:$B,2,1),(IK79-0.05)))</f>
        <v/>
      </c>
      <c r="IM79" s="6">
        <f>MIN(1,MAX(VLOOKUP(($AJ79-$AI79-$AH79-$AG79-$AF79-$AE79*(1+IM$3))/$AJ79,'Технический лист'!$A:$B,2,1),(IL79-0.05)))</f>
        <v/>
      </c>
      <c r="IN79" s="6">
        <f>MIN(1,MAX(VLOOKUP(($AJ79-$AI79-$AH79-$AG79-$AF79-$AE79*(1+IN$3))/$AJ79,'Технический лист'!$A:$B,2,1),(IM79-0.05)))</f>
        <v/>
      </c>
      <c r="IO79" s="6">
        <f>MIN(1,MAX(VLOOKUP(($AJ79-$AI79-$AH79-$AG79-$AF79-$AE79*(1+IO$3))/$AJ79,'Технический лист'!$A:$B,2,1),(IN79-0.05)))</f>
        <v/>
      </c>
      <c r="IP79" s="6">
        <f>MIN(1,MAX(VLOOKUP(($AJ79-$AI79-$AH79-$AG79-$AF79-$AE79*(1+IP$3))/$AJ79,'Технический лист'!$A:$B,2,1),(IO79-0.05)))</f>
        <v/>
      </c>
      <c r="IQ79" s="6">
        <f>MIN(1,MAX(VLOOKUP(($AJ79-$AI79-$AH79-$AG79-$AF79-$AE79*(1+IQ$3))/$AJ79,'Технический лист'!$A:$B,2,1),(IP79-0.05)))</f>
        <v/>
      </c>
      <c r="IR79" s="6">
        <f>MIN(1,MAX(VLOOKUP(($AJ79-$AI79-$AH79-$AG79-$AF79-$AE79*(1+IR$3))/$AJ79,'Технический лист'!$A:$B,2,1),(IQ79-0.05)))</f>
        <v/>
      </c>
    </row>
    <row r="80" ht="43.75" customHeight="1" s="123">
      <c r="A80" s="89" t="inlineStr">
        <is>
          <t>ЧМ (продукция)</t>
        </is>
      </c>
      <c r="B80" s="90" t="n">
        <v>5</v>
      </c>
      <c r="C80" s="5" t="inlineStr">
        <is>
          <t>Черные металлы</t>
        </is>
      </c>
      <c r="D80" s="91" t="n">
        <v>32305</v>
      </c>
      <c r="E80" s="91" t="inlineStr">
        <is>
          <t xml:space="preserve">Трубы металлические, не поименованные в алфавите </t>
        </is>
      </c>
      <c r="F80" s="92" t="inlineStr">
        <is>
          <t>ТРУБЫ ИЗ ЧЕРНЫХ МЕТАЛЛОВ</t>
        </is>
      </c>
      <c r="G80" s="91" t="inlineStr">
        <is>
          <t>ГОР</t>
        </is>
      </c>
      <c r="H80" s="91" t="inlineStr">
        <is>
          <t>ВСБ</t>
        </is>
      </c>
      <c r="I80" s="91" t="inlineStr">
        <is>
          <t>НАВАШИНО</t>
        </is>
      </c>
      <c r="J80" s="91" t="inlineStr">
        <is>
          <t>ЛЕНА</t>
        </is>
      </c>
      <c r="K80" s="91" t="n">
        <v>4785</v>
      </c>
      <c r="L80" s="91" t="inlineStr">
        <is>
          <t>Полувагоны</t>
        </is>
      </c>
      <c r="M80" s="91" t="inlineStr">
        <is>
          <t>Внутр. перевозки</t>
        </is>
      </c>
      <c r="N80" s="91" t="inlineStr">
        <is>
          <t>вагонная</t>
        </is>
      </c>
      <c r="O80" s="91" t="inlineStr">
        <is>
          <t xml:space="preserve">Восточное </t>
        </is>
      </c>
      <c r="P80" s="89" t="inlineStr">
        <is>
          <t>'000005757848</t>
        </is>
      </c>
      <c r="Q80" s="91" t="inlineStr">
        <is>
          <t>'АО "Выксунский металлургический завод"</t>
        </is>
      </c>
      <c r="R80" s="91" t="inlineStr">
        <is>
          <t>АО "ОМК"</t>
        </is>
      </c>
      <c r="S80" s="87" t="n">
        <v>36135</v>
      </c>
      <c r="T80" s="87" t="n">
        <v>172914853</v>
      </c>
      <c r="U80" s="88" t="n">
        <v>643</v>
      </c>
      <c r="V80" s="88" t="n">
        <v>0</v>
      </c>
      <c r="W80" s="87" t="n">
        <v>293239590</v>
      </c>
      <c r="X80" s="112" t="n">
        <v>54</v>
      </c>
      <c r="Y80" s="112" t="inlineStr">
        <is>
          <t>повагонная</t>
        </is>
      </c>
      <c r="Z80" s="113" t="n">
        <v>15</v>
      </c>
      <c r="AA80" s="113" t="n">
        <v>11</v>
      </c>
      <c r="AB80" s="113" t="n">
        <v>4</v>
      </c>
      <c r="AC80" s="161" t="n">
        <v>9248.5</v>
      </c>
      <c r="AD80" s="161">
        <f>AE80-AC80</f>
        <v/>
      </c>
      <c r="AE80" s="161" t="n">
        <v>10317.91</v>
      </c>
      <c r="AF80" s="162">
        <f>(Z80+AA80+AB80)*'Ставки аренды'!$B$3/X80</f>
        <v/>
      </c>
      <c r="AG80" s="163" t="n">
        <v>0</v>
      </c>
      <c r="AH80" s="164" t="n">
        <v>0</v>
      </c>
      <c r="AI80" s="165">
        <f>333374/554614*AJ80</f>
        <v/>
      </c>
      <c r="AJ80" s="166">
        <f>Цены!D28</f>
        <v/>
      </c>
      <c r="AK80" s="164">
        <f>AJ80/Цены!$B$1</f>
        <v/>
      </c>
      <c r="AL80" s="164">
        <f>AE80+AF80+AG80</f>
        <v/>
      </c>
      <c r="AM80" s="164">
        <f>AJ80-AL80</f>
        <v/>
      </c>
      <c r="AN80" s="164">
        <f>AI80+AH80+AG80+AF80+AE80</f>
        <v/>
      </c>
      <c r="AO80" s="167">
        <f>(AJ80-AN80)/AJ80</f>
        <v/>
      </c>
      <c r="AP80" s="168">
        <f>AL80/AJ80</f>
        <v/>
      </c>
      <c r="AQ80" s="168">
        <f>AE80/AJ80</f>
        <v/>
      </c>
      <c r="AR80" s="168">
        <f>AE80/AL80</f>
        <v/>
      </c>
      <c r="AS80" s="169" t="n">
        <v>1</v>
      </c>
      <c r="AT80" s="121">
        <f>S80*AS80</f>
        <v/>
      </c>
      <c r="AU80" s="83" t="n">
        <v>1</v>
      </c>
      <c r="AV80" s="170">
        <f>(AJ80-(AE80*(1+$IS$2)+AF80+AG80+AH80+AI80))/AJ80</f>
        <v/>
      </c>
      <c r="AW80" s="171">
        <f>(AE80*(1+$IS$2)+AF80+AG80)/AJ80</f>
        <v/>
      </c>
      <c r="AX80" s="171">
        <f>(AE80*(1+$IS$2))/AJ80</f>
        <v/>
      </c>
      <c r="AY80" s="171">
        <f>(AE80*(1+$IS$2))/(AE80*(1+$IS$2)+AF80+AG80)</f>
        <v/>
      </c>
      <c r="AZ80" s="172">
        <f>MIN(IF($AU80=100%,1,1+VLOOKUP(($AJ80-$AI80-$AH80-$AG80-$AF80-$AE80*(1+AZ$3))/$AJ80,'Технический лист'!$I:$J,2,1)-VLOOKUP($AO80,'Технический лист'!$I:$J,2,1)),1+(1-$AU80))</f>
        <v/>
      </c>
      <c r="BA80" s="172">
        <f>MIN(IF($AU80=100%,1,1+VLOOKUP(($AJ80-$AI80-$AH80-$AG80-$AF80-$AE80*(1+BA$3))/$AJ80,'Технический лист'!$I:$J,2,1)-VLOOKUP($AO80,'Технический лист'!$I:$J,2,1)),1+(1-$AU80))</f>
        <v/>
      </c>
      <c r="BB80" s="172">
        <f>MIN(IF($AU80=100%,1,1+VLOOKUP(($AJ80-$AI80-$AH80-$AG80-$AF80-$AE80*(1+BB$3))/$AJ80,'Технический лист'!$I:$J,2,1)-VLOOKUP($AO80,'Технический лист'!$I:$J,2,1)),1+(1-$AU80))</f>
        <v/>
      </c>
      <c r="BC80" s="172">
        <f>MIN(IF($AU80=100%,1,1+VLOOKUP(($AJ80-$AI80-$AH80-$AG80-$AF80-$AE80*(1+BC$3))/$AJ80,'Технический лист'!$I:$J,2,1)-VLOOKUP($AO80,'Технический лист'!$I:$J,2,1)),1+(1-$AU80))</f>
        <v/>
      </c>
      <c r="BD80" s="172">
        <f>MIN(IF($AU80=100%,1,1+VLOOKUP(($AJ80-$AI80-$AH80-$AG80-$AF80-$AE80*(1+BD$3))/$AJ80,'Технический лист'!$I:$J,2,1)-VLOOKUP($AO80,'Технический лист'!$I:$J,2,1)),1+(1-$AU80))</f>
        <v/>
      </c>
      <c r="BE80" s="172">
        <f>MIN(IF($AU80=100%,1,1+VLOOKUP(($AJ80-$AI80-$AH80-$AG80-$AF80-$AE80*(1+BE$3))/$AJ80,'Технический лист'!$I:$J,2,1)-VLOOKUP($AO80,'Технический лист'!$I:$J,2,1)),1+(1-$AU80))</f>
        <v/>
      </c>
      <c r="BF80" s="172">
        <f>MIN(IF($AU80=100%,1,1+VLOOKUP(($AJ80-$AI80-$AH80-$AG80-$AF80-$AE80*(1+BF$3))/$AJ80,'Технический лист'!$I:$J,2,1)-VLOOKUP($AO80,'Технический лист'!$I:$J,2,1)),1+(1-$AU80))</f>
        <v/>
      </c>
      <c r="BG80" s="172">
        <f>MIN(IF($AU80=100%,1,1+VLOOKUP(($AJ80-$AI80-$AH80-$AG80-$AF80-$AE80*(1+BG$3))/$AJ80,'Технический лист'!$I:$J,2,1)-VLOOKUP($AO80,'Технический лист'!$I:$J,2,1)),1+(1-$AU80))</f>
        <v/>
      </c>
      <c r="BH80" s="172">
        <f>MIN(IF($AU80=100%,1,1+VLOOKUP(($AJ80-$AI80-$AH80-$AG80-$AF80-$AE80*(1+BH$3))/$AJ80,'Технический лист'!$I:$J,2,1)-VLOOKUP($AO80,'Технический лист'!$I:$J,2,1)),1+(1-$AU80))</f>
        <v/>
      </c>
      <c r="BI80" s="172">
        <f>MIN(IF($AU80=100%,1,1+VLOOKUP(($AJ80-$AI80-$AH80-$AG80-$AF80-$AE80*(1+BI$3))/$AJ80,'Технический лист'!$I:$J,2,1)-VLOOKUP($AO80,'Технический лист'!$I:$J,2,1)),1+(1-$AU80))</f>
        <v/>
      </c>
      <c r="BJ80" s="172">
        <f>MIN(IF($AU80=100%,1,1+VLOOKUP(($AJ80-$AI80-$AH80-$AG80-$AF80-$AE80*(1+BJ$3))/$AJ80,'Технический лист'!$I:$J,2,1)-VLOOKUP($AO80,'Технический лист'!$I:$J,2,1)),1+(1-$AU80))</f>
        <v/>
      </c>
      <c r="BK80" s="172">
        <f>MIN(IF($AU80=100%,1,1+VLOOKUP(($AJ80-$AI80-$AH80-$AG80-$AF80-$AE80*(1+BK$3))/$AJ80,'Технический лист'!$I:$J,2,1)-VLOOKUP($AO80,'Технический лист'!$I:$J,2,1)),1+(1-$AU80))</f>
        <v/>
      </c>
      <c r="BL80" s="172">
        <f>MIN(IF($AU80=100%,1,1+VLOOKUP(($AJ80-$AI80-$AH80-$AG80-$AF80-$AE80*(1+BL$3))/$AJ80,'Технический лист'!$I:$J,2,1)-VLOOKUP($AO80,'Технический лист'!$I:$J,2,1)),1+(1-$AU80))</f>
        <v/>
      </c>
      <c r="BM80" s="172">
        <f>MIN(IF($AU80=100%,1,1+VLOOKUP(($AJ80-$AI80-$AH80-$AG80-$AF80-$AE80*(1+BM$3))/$AJ80,'Технический лист'!$I:$J,2,1)-VLOOKUP($AO80,'Технический лист'!$I:$J,2,1)),1+(1-$AU80))</f>
        <v/>
      </c>
      <c r="BN80" s="172">
        <f>MIN(IF($AU80=100%,1,1+VLOOKUP(($AJ80-$AI80-$AH80-$AG80-$AF80-$AE80*(1+BN$3))/$AJ80,'Технический лист'!$I:$J,2,1)-VLOOKUP($AO80,'Технический лист'!$I:$J,2,1)),1+(1-$AU80))</f>
        <v/>
      </c>
      <c r="BO80" s="172">
        <f>MIN(IF($AU80=100%,1,1+VLOOKUP(($AJ80-$AI80-$AH80-$AG80-$AF80-$AE80*(1+BO$3))/$AJ80,'Технический лист'!$I:$J,2,1)-VLOOKUP($AO80,'Технический лист'!$I:$J,2,1)),1+(1-$AU80))</f>
        <v/>
      </c>
      <c r="BP80" s="172">
        <f>MIN(IF($AU80=100%,1,1+VLOOKUP(($AJ80-$AI80-$AH80-$AG80-$AF80-$AE80*(1+BP$3))/$AJ80,'Технический лист'!$I:$J,2,1)-VLOOKUP($AO80,'Технический лист'!$I:$J,2,1)),1+(1-$AU80))</f>
        <v/>
      </c>
      <c r="BQ80" s="172">
        <f>MIN(IF($AU80=100%,1,1+VLOOKUP(($AJ80-$AI80-$AH80-$AG80-$AF80-$AE80*(1+BQ$3))/$AJ80,'Технический лист'!$I:$J,2,1)-VLOOKUP($AO80,'Технический лист'!$I:$J,2,1)),1+(1-$AU80))</f>
        <v/>
      </c>
      <c r="BR80" s="172">
        <f>MIN(IF($AU80=100%,1,1+VLOOKUP(($AJ80-$AI80-$AH80-$AG80-$AF80-$AE80*(1+BR$3))/$AJ80,'Технический лист'!$I:$J,2,1)-VLOOKUP($AO80,'Технический лист'!$I:$J,2,1)),1+(1-$AU80))</f>
        <v/>
      </c>
      <c r="BS80" s="172">
        <f>MIN(IF($AU80=100%,1,1+VLOOKUP(($AJ80-$AI80-$AH80-$AG80-$AF80-$AE80*(1+BS$3))/$AJ80,'Технический лист'!$I:$J,2,1)-VLOOKUP($AO80,'Технический лист'!$I:$J,2,1)),1+(1-$AU80))</f>
        <v/>
      </c>
      <c r="BT80" s="172">
        <f>MIN(IF($AU80=100%,1,1+VLOOKUP(($AJ80-$AI80-$AH80-$AG80-$AF80-$AE80*(1+BT$3))/$AJ80,'Технический лист'!$I:$J,2,1)-VLOOKUP($AO80,'Технический лист'!$I:$J,2,1)),1+(1-$AU80))</f>
        <v/>
      </c>
      <c r="BU80" s="172">
        <f>MIN(IF($AU80=100%,1,1+VLOOKUP(($AJ80-$AI80-$AH80-$AG80-$AF80-$AE80*(1+BU$3))/$AJ80,'Технический лист'!$I:$J,2,1)-VLOOKUP($AO80,'Технический лист'!$I:$J,2,1)),1+(1-$AU80))</f>
        <v/>
      </c>
      <c r="BV80" s="172">
        <f>MIN(IF($AU80=100%,1,1+VLOOKUP(($AJ80-$AI80-$AH80-$AG80-$AF80-$AE80*(1+BV$3))/$AJ80,'Технический лист'!$I:$J,2,1)-VLOOKUP($AO80,'Технический лист'!$I:$J,2,1)),1+(1-$AU80))</f>
        <v/>
      </c>
      <c r="BW80" s="172">
        <f>MIN(IF($AU80=100%,1,1+VLOOKUP(($AJ80-$AI80-$AH80-$AG80-$AF80-$AE80*(1+BW$3))/$AJ80,'Технический лист'!$I:$J,2,1)-VLOOKUP($AO80,'Технический лист'!$I:$J,2,1)),1+(1-$AU80))</f>
        <v/>
      </c>
      <c r="BX80" s="172">
        <f>MIN(IF($AU80=100%,1,1+VLOOKUP(($AJ80-$AI80-$AH80-$AG80-$AF80-$AE80*(1+BX$3))/$AJ80,'Технический лист'!$I:$J,2,1)-VLOOKUP($AO80,'Технический лист'!$I:$J,2,1)),1+(1-$AU80))</f>
        <v/>
      </c>
      <c r="BY80" s="172">
        <f>MIN(IF($AU80=100%,1,1+VLOOKUP(($AJ80-$AI80-$AH80-$AG80-$AF80-$AE80*(1+BY$3))/$AJ80,'Технический лист'!$I:$J,2,1)-VLOOKUP($AO80,'Технический лист'!$I:$J,2,1)),1+(1-$AU80))</f>
        <v/>
      </c>
      <c r="BZ80" s="172">
        <f>MIN(IF($AU80=100%,1,1+VLOOKUP(($AJ80-$AI80-$AH80-$AG80-$AF80-$AE80*(1+BZ$3))/$AJ80,'Технический лист'!$I:$J,2,1)-VLOOKUP($AO80,'Технический лист'!$I:$J,2,1)),1+(1-$AU80))</f>
        <v/>
      </c>
      <c r="CA80" s="172">
        <f>MIN(IF($AU80=100%,1,1+VLOOKUP(($AJ80-$AI80-$AH80-$AG80-$AF80-$AE80*(1+CA$3))/$AJ80,'Технический лист'!$I:$J,2,1)-VLOOKUP($AO80,'Технический лист'!$I:$J,2,1)),1+(1-$AU80))</f>
        <v/>
      </c>
      <c r="CB80" s="172">
        <f>MIN(IF($AU80=100%,1,1+VLOOKUP(($AJ80-$AI80-$AH80-$AG80-$AF80-$AE80*(1+CB$3))/$AJ80,'Технический лист'!$I:$J,2,1)-VLOOKUP($AO80,'Технический лист'!$I:$J,2,1)),1+(1-$AU80))</f>
        <v/>
      </c>
      <c r="CC80" s="172">
        <f>MIN(IF($AU80=100%,1,1+VLOOKUP(($AJ80-$AI80-$AH80-$AG80-$AF80-$AE80*(1+CC$3))/$AJ80,'Технический лист'!$I:$J,2,1)-VLOOKUP($AO80,'Технический лист'!$I:$J,2,1)),1+(1-$AU80))</f>
        <v/>
      </c>
      <c r="CD80" s="172">
        <f>MIN(IF($AU80=100%,1,1+VLOOKUP(($AJ80-$AI80-$AH80-$AG80-$AF80-$AE80*(1+CD$3))/$AJ80,'Технический лист'!$I:$J,2,1)-VLOOKUP($AO80,'Технический лист'!$I:$J,2,1)),1+(1-$AU80))</f>
        <v/>
      </c>
      <c r="CE80" s="172">
        <f>MIN(IF($AU80=100%,1,1+VLOOKUP(($AJ80-$AI80-$AH80-$AG80-$AF80-$AE80*(1+CE$3))/$AJ80,'Технический лист'!$I:$J,2,1)-VLOOKUP($AO80,'Технический лист'!$I:$J,2,1)),1+(1-$AU80))</f>
        <v/>
      </c>
      <c r="CF80" s="172">
        <f>MIN(IF($AU80=100%,1,1+VLOOKUP(($AJ80-$AI80-$AH80-$AG80-$AF80-$AE80*(1+CF$3))/$AJ80,'Технический лист'!$I:$J,2,1)-VLOOKUP($AO80,'Технический лист'!$I:$J,2,1)),1+(1-$AU80))</f>
        <v/>
      </c>
      <c r="CG80" s="172">
        <f>MIN(IF($AU80=100%,1,1+VLOOKUP(($AJ80-$AI80-$AH80-$AG80-$AF80-$AE80*(1+CG$3))/$AJ80,'Технический лист'!$I:$J,2,1)-VLOOKUP($AO80,'Технический лист'!$I:$J,2,1)),1+(1-$AU80))</f>
        <v/>
      </c>
      <c r="CH80" s="172">
        <f>MIN(IF($AU80=100%,1,1+VLOOKUP(($AJ80-$AI80-$AH80-$AG80-$AF80-$AE80*(1+CH$3))/$AJ80,'Технический лист'!$I:$J,2,1)-VLOOKUP($AO80,'Технический лист'!$I:$J,2,1)),1+(1-$AU80))</f>
        <v/>
      </c>
      <c r="CI80" s="172">
        <f>MIN(IF($AU80=100%,1,1+VLOOKUP(($AJ80-$AI80-$AH80-$AG80-$AF80-$AE80*(1+CI$3))/$AJ80,'Технический лист'!$I:$J,2,1)-VLOOKUP($AO80,'Технический лист'!$I:$J,2,1)),1+(1-$AU80))</f>
        <v/>
      </c>
      <c r="CJ80" s="172">
        <f>MIN(IF($AU80=100%,1,1+VLOOKUP(($AJ80-$AI80-$AH80-$AG80-$AF80-$AE80*(1+CJ$3))/$AJ80,'Технический лист'!$I:$J,2,1)-VLOOKUP($AO80,'Технический лист'!$I:$J,2,1)),1+(1-$AU80))</f>
        <v/>
      </c>
      <c r="CK80" s="172">
        <f>MIN(IF($AU80=100%,1,1+VLOOKUP(($AJ80-$AI80-$AH80-$AG80-$AF80-$AE80*(1+CK$3))/$AJ80,'Технический лист'!$I:$J,2,1)-VLOOKUP($AO80,'Технический лист'!$I:$J,2,1)),1+(1-$AU80))</f>
        <v/>
      </c>
      <c r="CL80" s="172">
        <f>MIN(IF($AU80=100%,1,1+VLOOKUP(($AJ80-$AI80-$AH80-$AG80-$AF80-$AE80*(1+CL$3))/$AJ80,'Технический лист'!$I:$J,2,1)-VLOOKUP($AO80,'Технический лист'!$I:$J,2,1)),1+(1-$AU80))</f>
        <v/>
      </c>
      <c r="CM80" s="172">
        <f>MIN(IF($AU80=100%,1,1+VLOOKUP(($AJ80-$AI80-$AH80-$AG80-$AF80-$AE80*(1+CM$3))/$AJ80,'Технический лист'!$I:$J,2,1)-VLOOKUP($AO80,'Технический лист'!$I:$J,2,1)),1+(1-$AU80))</f>
        <v/>
      </c>
      <c r="CN80" s="172">
        <f>MIN(IF($AU80=100%,1,1+VLOOKUP(($AJ80-$AI80-$AH80-$AG80-$AF80-$AE80*(1+CN$3))/$AJ80,'Технический лист'!$I:$J,2,1)-VLOOKUP($AO80,'Технический лист'!$I:$J,2,1)),1+(1-$AU80))</f>
        <v/>
      </c>
      <c r="CO80" s="172">
        <f>MIN(IF($AU80=100%,1,1+VLOOKUP(($AJ80-$AI80-$AH80-$AG80-$AF80-$AE80*(1+CO$3))/$AJ80,'Технический лист'!$I:$J,2,1)-VLOOKUP($AO80,'Технический лист'!$I:$J,2,1)),1+(1-$AU80))</f>
        <v/>
      </c>
      <c r="CP80" s="172">
        <f>MIN(IF($AU80=100%,1,1+VLOOKUP(($AJ80-$AI80-$AH80-$AG80-$AF80-$AE80*(1+CP$3))/$AJ80,'Технический лист'!$I:$J,2,1)-VLOOKUP($AO80,'Технический лист'!$I:$J,2,1)),1+(1-$AU80))</f>
        <v/>
      </c>
      <c r="CQ80" s="172">
        <f>MIN(IF($AU80=100%,1,1+VLOOKUP(($AJ80-$AI80-$AH80-$AG80-$AF80-$AE80*(1+CQ$3))/$AJ80,'Технический лист'!$I:$J,2,1)-VLOOKUP($AO80,'Технический лист'!$I:$J,2,1)),1+(1-$AU80))</f>
        <v/>
      </c>
      <c r="CR80" s="172">
        <f>MIN(IF($AU80=100%,1,1+VLOOKUP(($AJ80-$AI80-$AH80-$AG80-$AF80-$AE80*(1+CR$3))/$AJ80,'Технический лист'!$I:$J,2,1)-VLOOKUP($AO80,'Технический лист'!$I:$J,2,1)),1+(1-$AU80))</f>
        <v/>
      </c>
      <c r="CS80" s="172">
        <f>MIN(IF($AU80=100%,1,1+VLOOKUP(($AJ80-$AI80-$AH80-$AG80-$AF80-$AE80*(1+CS$3))/$AJ80,'Технический лист'!$I:$J,2,1)-VLOOKUP($AO80,'Технический лист'!$I:$J,2,1)),1+(1-$AU80))</f>
        <v/>
      </c>
      <c r="CT80" s="172">
        <f>MIN(IF($AU80=100%,1,1+VLOOKUP(($AJ80-$AI80-$AH80-$AG80-$AF80-$AE80*(1+CT$3))/$AJ80,'Технический лист'!$I:$J,2,1)-VLOOKUP($AO80,'Технический лист'!$I:$J,2,1)),1+(1-$AU80))</f>
        <v/>
      </c>
      <c r="CU80" s="172">
        <f>MIN(IF($AU80=100%,1,1+VLOOKUP(($AJ80-$AI80-$AH80-$AG80-$AF80-$AE80*(1+CU$3))/$AJ80,'Технический лист'!$I:$J,2,1)-VLOOKUP($AO80,'Технический лист'!$I:$J,2,1)),1+(1-$AU80))</f>
        <v/>
      </c>
      <c r="CV80" s="172">
        <f>MIN(IF($AU80=100%,1,1+VLOOKUP(($AJ80-$AI80-$AH80-$AG80-$AF80-$AE80*(1+CV$3))/$AJ80,'Технический лист'!$I:$J,2,1)-VLOOKUP($AO80,'Технический лист'!$I:$J,2,1)),1+(1-$AU80))</f>
        <v/>
      </c>
      <c r="CW80" s="172">
        <f>MIN(IF($AU80=100%,1,1+VLOOKUP(($AJ80-$AI80-$AH80-$AG80-$AF80-$AE80*(1+CW$3))/$AJ80,'Технический лист'!$I:$J,2,1)-VLOOKUP($AO80,'Технический лист'!$I:$J,2,1)),1+(1-$AU80))</f>
        <v/>
      </c>
      <c r="CX80" s="172">
        <f>MIN(IF($AU80=100%,1,1+VLOOKUP(($AJ80-$AI80-$AH80-$AG80-$AF80-$AE80*(1+CX$3))/$AJ80,'Технический лист'!$I:$J,2,1)-VLOOKUP($AO80,'Технический лист'!$I:$J,2,1)),1+(1-$AU80))</f>
        <v/>
      </c>
      <c r="CY80" s="172">
        <f>MIN(IF($AU80=100%,1,1+VLOOKUP(($AJ80-$AI80-$AH80-$AG80-$AF80-$AE80*(1+CY$3))/$AJ80,'Технический лист'!$I:$J,2,1)-VLOOKUP($AO80,'Технический лист'!$I:$J,2,1)),1+(1-$AU80))</f>
        <v/>
      </c>
      <c r="CZ80" s="172">
        <f>MIN(IF($AU80=100%,1,1+VLOOKUP(($AJ80-$AI80-$AH80-$AG80-$AF80-$AE80*(1+CZ$3))/$AJ80,'Технический лист'!$I:$J,2,1)-VLOOKUP($AO80,'Технический лист'!$I:$J,2,1)),1+(1-$AU80))</f>
        <v/>
      </c>
      <c r="DA80" s="172">
        <f>MIN(IF($AU80=100%,1,1+VLOOKUP(($AJ80-$AI80-$AH80-$AG80-$AF80-$AE80*(1+DA$3))/$AJ80,'Технический лист'!$I:$J,2,1)-VLOOKUP($AO80,'Технический лист'!$I:$J,2,1)),1+(1-$AU80))</f>
        <v/>
      </c>
      <c r="DB80" s="172">
        <f>MIN(IF($AU80=100%,1,1+VLOOKUP(($AJ80-$AI80-$AH80-$AG80-$AF80-$AE80*(1+DB$3))/$AJ80,'Технический лист'!$I:$J,2,1)-VLOOKUP($AO80,'Технический лист'!$I:$J,2,1)),1+(1-$AU80))</f>
        <v/>
      </c>
      <c r="DC80" s="172">
        <f>MIN(IF($AU80=100%,1,1+VLOOKUP(($AJ80-$AI80-$AH80-$AG80-$AF80-$AE80*(1+DC$3))/$AJ80,'Технический лист'!$I:$J,2,1)-VLOOKUP($AO80,'Технический лист'!$I:$J,2,1)),1+(1-$AU80))</f>
        <v/>
      </c>
      <c r="DD80" s="172">
        <f>MIN(IF($AU80=100%,1,1+VLOOKUP(($AJ80-$AI80-$AH80-$AG80-$AF80-$AE80*(1+DD$3))/$AJ80,'Технический лист'!$I:$J,2,1)-VLOOKUP($AO80,'Технический лист'!$I:$J,2,1)),1+(1-$AU80))</f>
        <v/>
      </c>
      <c r="DE80" s="172">
        <f>MIN(IF($AU80=100%,1,1+VLOOKUP(($AJ80-$AI80-$AH80-$AG80-$AF80-$AE80*(1+DE$3))/$AJ80,'Технический лист'!$I:$J,2,1)-VLOOKUP($AO80,'Технический лист'!$I:$J,2,1)),1+(1-$AU80))</f>
        <v/>
      </c>
      <c r="DF80" s="172">
        <f>MIN(IF($AU80=100%,1,1+VLOOKUP(($AJ80-$AI80-$AH80-$AG80-$AF80-$AE80*(1+DF$3))/$AJ80,'Технический лист'!$I:$J,2,1)-VLOOKUP($AO80,'Технический лист'!$I:$J,2,1)),1+(1-$AU80))</f>
        <v/>
      </c>
      <c r="DG80" s="172">
        <f>MIN(IF($AU80=100%,1,1+VLOOKUP(($AJ80-$AI80-$AH80-$AG80-$AF80-$AE80*(1+DG$3))/$AJ80,'Технический лист'!$I:$J,2,1)-VLOOKUP($AO80,'Технический лист'!$I:$J,2,1)),1+(1-$AU80))</f>
        <v/>
      </c>
      <c r="DH80" s="172">
        <f>MIN(IF($AU80=100%,1,1+VLOOKUP(($AJ80-$AI80-$AH80-$AG80-$AF80-$AE80*(1+DH$3))/$AJ80,'Технический лист'!$I:$J,2,1)-VLOOKUP($AO80,'Технический лист'!$I:$J,2,1)),1+(1-$AU80))</f>
        <v/>
      </c>
      <c r="DI80" s="172">
        <f>MIN(IF($AU80=100%,1,1+VLOOKUP(($AJ80-$AI80-$AH80-$AG80-$AF80-$AE80*(1+DI$3))/$AJ80,'Технический лист'!$I:$J,2,1)-VLOOKUP($AO80,'Технический лист'!$I:$J,2,1)),1+(1-$AU80))</f>
        <v/>
      </c>
      <c r="DJ80" s="172">
        <f>MIN(IF($AU80=100%,1,1+VLOOKUP(($AJ80-$AI80-$AH80-$AG80-$AF80-$AE80*(1+DJ$3))/$AJ80,'Технический лист'!$I:$J,2,1)-VLOOKUP($AO80,'Технический лист'!$I:$J,2,1)),1+(1-$AU80))</f>
        <v/>
      </c>
      <c r="DK80" s="172">
        <f>MIN(IF($AU80=100%,1,1+VLOOKUP(($AJ80-$AI80-$AH80-$AG80-$AF80-$AE80*(1+DK$3))/$AJ80,'Технический лист'!$I:$J,2,1)-VLOOKUP($AO80,'Технический лист'!$I:$J,2,1)),1+(1-$AU80))</f>
        <v/>
      </c>
      <c r="DL80" s="172">
        <f>MIN(IF($AU80=100%,1,1+VLOOKUP(($AJ80-$AI80-$AH80-$AG80-$AF80-$AE80*(1+DL$3))/$AJ80,'Технический лист'!$I:$J,2,1)-VLOOKUP($AO80,'Технический лист'!$I:$J,2,1)),1+(1-$AU80))</f>
        <v/>
      </c>
      <c r="DM80" s="172">
        <f>MIN(IF($AU80=100%,1,1+VLOOKUP(($AJ80-$AI80-$AH80-$AG80-$AF80-$AE80*(1+DM$3))/$AJ80,'Технический лист'!$I:$J,2,1)-VLOOKUP($AO80,'Технический лист'!$I:$J,2,1)),1+(1-$AU80))</f>
        <v/>
      </c>
      <c r="DN80" s="172">
        <f>MIN(IF($AU80=100%,1,1+VLOOKUP(($AJ80-$AI80-$AH80-$AG80-$AF80-$AE80*(1+DN$3))/$AJ80,'Технический лист'!$I:$J,2,1)-VLOOKUP($AO80,'Технический лист'!$I:$J,2,1)),1+(1-$AU80))</f>
        <v/>
      </c>
      <c r="DO80" s="172">
        <f>MIN(IF($AU80=100%,1,1+VLOOKUP(($AJ80-$AI80-$AH80-$AG80-$AF80-$AE80*(1+DO$3))/$AJ80,'Технический лист'!$I:$J,2,1)-VLOOKUP($AO80,'Технический лист'!$I:$J,2,1)),1+(1-$AU80))</f>
        <v/>
      </c>
      <c r="DP80" s="172">
        <f>MIN(IF($AU80=100%,1,1+VLOOKUP(($AJ80-$AI80-$AH80-$AG80-$AF80-$AE80*(1+DP$3))/$AJ80,'Технический лист'!$I:$J,2,1)-VLOOKUP($AO80,'Технический лист'!$I:$J,2,1)),1+(1-$AU80))</f>
        <v/>
      </c>
      <c r="DQ80" s="172">
        <f>MIN(IF($AU80=100%,1,1+VLOOKUP(($AJ80-$AI80-$AH80-$AG80-$AF80-$AE80*(1+DQ$3))/$AJ80,'Технический лист'!$I:$J,2,1)-VLOOKUP($AO80,'Технический лист'!$I:$J,2,1)),1+(1-$AU80))</f>
        <v/>
      </c>
      <c r="DR80" s="172">
        <f>MIN(IF($AU80=100%,1,1+VLOOKUP(($AJ80-$AI80-$AH80-$AG80-$AF80-$AE80*(1+DR$3))/$AJ80,'Технический лист'!$I:$J,2,1)-VLOOKUP($AO80,'Технический лист'!$I:$J,2,1)),1+(1-$AU80))</f>
        <v/>
      </c>
      <c r="DS80" s="172">
        <f>MIN(IF($AU80=100%,1,1+VLOOKUP(($AJ80-$AI80-$AH80-$AG80-$AF80-$AE80*(1+DS$3))/$AJ80,'Технический лист'!$I:$J,2,1)-VLOOKUP($AO80,'Технический лист'!$I:$J,2,1)),1+(1-$AU80))</f>
        <v/>
      </c>
      <c r="DT80" s="172">
        <f>MIN(IF($AU80=100%,1,1+VLOOKUP(($AJ80-$AI80-$AH80-$AG80-$AF80-$AE80*(1+DT$3))/$AJ80,'Технический лист'!$I:$J,2,1)-VLOOKUP($AO80,'Технический лист'!$I:$J,2,1)),1+(1-$AU80))</f>
        <v/>
      </c>
      <c r="DU80" s="172">
        <f>MIN(IF($AU80=100%,1,1+VLOOKUP(($AJ80-$AI80-$AH80-$AG80-$AF80-$AE80*(1+DU$3))/$AJ80,'Технический лист'!$I:$J,2,1)-VLOOKUP($AO80,'Технический лист'!$I:$J,2,1)),1+(1-$AU80))</f>
        <v/>
      </c>
      <c r="DV80" s="172">
        <f>MIN(IF($AU80=100%,1,1+VLOOKUP(($AJ80-$AI80-$AH80-$AG80-$AF80-$AE80*(1+DV$3))/$AJ80,'Технический лист'!$I:$J,2,1)-VLOOKUP($AO80,'Технический лист'!$I:$J,2,1)),1+(1-$AU80))</f>
        <v/>
      </c>
      <c r="DW80" s="172">
        <f>MIN(IF($AU80=100%,1,1+VLOOKUP(($AJ80-$AI80-$AH80-$AG80-$AF80-$AE80*(1+DW$3))/$AJ80,'Технический лист'!$I:$J,2,1)-VLOOKUP($AO80,'Технический лист'!$I:$J,2,1)),1+(1-$AU80))</f>
        <v/>
      </c>
      <c r="DX80" s="172">
        <f>MIN(IF($AU80=100%,1,1+VLOOKUP(($AJ80-$AI80-$AH80-$AG80-$AF80-$AE80*(1+DX$3))/$AJ80,'Технический лист'!$I:$J,2,1)-VLOOKUP($AO80,'Технический лист'!$I:$J,2,1)),1+(1-$AU80))</f>
        <v/>
      </c>
      <c r="DY80" s="172">
        <f>MIN(IF($AU80=100%,1,1+VLOOKUP(($AJ80-$AI80-$AH80-$AG80-$AF80-$AE80*(1+DY$3))/$AJ80,'Технический лист'!$I:$J,2,1)-VLOOKUP($AO80,'Технический лист'!$I:$J,2,1)),1+(1-$AU80))</f>
        <v/>
      </c>
      <c r="DZ80" s="172">
        <f>MIN(IF($AU80=100%,1,1+VLOOKUP(($AJ80-$AI80-$AH80-$AG80-$AF80-$AE80*(1+DZ$3))/$AJ80,'Технический лист'!$I:$J,2,1)-VLOOKUP($AO80,'Технический лист'!$I:$J,2,1)),1+(1-$AU80))</f>
        <v/>
      </c>
      <c r="EA80" s="172">
        <f>MIN(IF($AU80=100%,1,1+VLOOKUP(($AJ80-$AI80-$AH80-$AG80-$AF80-$AE80*(1+EA$3))/$AJ80,'Технический лист'!$I:$J,2,1)-VLOOKUP($AO80,'Технический лист'!$I:$J,2,1)),1+(1-$AU80))</f>
        <v/>
      </c>
      <c r="EB80" s="172">
        <f>MIN(IF($AU80=100%,1,1+VLOOKUP(($AJ80-$AI80-$AH80-$AG80-$AF80-$AE80*(1+EB$3))/$AJ80,'Технический лист'!$I:$J,2,1)-VLOOKUP($AO80,'Технический лист'!$I:$J,2,1)),1+(1-$AU80))</f>
        <v/>
      </c>
      <c r="EC80" s="172">
        <f>MIN(IF($AU80=100%,1,1+VLOOKUP(($AJ80-$AI80-$AH80-$AG80-$AF80-$AE80*(1+EC$3))/$AJ80,'Технический лист'!$I:$J,2,1)-VLOOKUP($AO80,'Технический лист'!$I:$J,2,1)),1+(1-$AU80))</f>
        <v/>
      </c>
      <c r="ED80" s="172">
        <f>MIN(IF($AU80=100%,1,1+VLOOKUP(($AJ80-$AI80-$AH80-$AG80-$AF80-$AE80*(1+ED$3))/$AJ80,'Технический лист'!$I:$J,2,1)-VLOOKUP($AO80,'Технический лист'!$I:$J,2,1)),1+(1-$AU80))</f>
        <v/>
      </c>
      <c r="EE80" s="172">
        <f>MIN(IF($AU80=100%,1,1+VLOOKUP(($AJ80-$AI80-$AH80-$AG80-$AF80-$AE80*(1+EE$3))/$AJ80,'Технический лист'!$I:$J,2,1)-VLOOKUP($AO80,'Технический лист'!$I:$J,2,1)),1+(1-$AU80))</f>
        <v/>
      </c>
      <c r="EF80" s="172">
        <f>MIN(IF($AU80=100%,1,1+VLOOKUP(($AJ80-$AI80-$AH80-$AG80-$AF80-$AE80*(1+EF$3))/$AJ80,'Технический лист'!$I:$J,2,1)-VLOOKUP($AO80,'Технический лист'!$I:$J,2,1)),1+(1-$AU80))</f>
        <v/>
      </c>
      <c r="EG80" s="172">
        <f>MIN(IF($AU80=100%,1,1+VLOOKUP(($AJ80-$AI80-$AH80-$AG80-$AF80-$AE80*(1+EG$3))/$AJ80,'Технический лист'!$I:$J,2,1)-VLOOKUP($AO80,'Технический лист'!$I:$J,2,1)),1+(1-$AU80))</f>
        <v/>
      </c>
      <c r="EH80" s="172">
        <f>MIN(IF($AU80=100%,1,1+VLOOKUP(($AJ80-$AI80-$AH80-$AG80-$AF80-$AE80*(1+EH$3))/$AJ80,'Технический лист'!$I:$J,2,1)-VLOOKUP($AO80,'Технический лист'!$I:$J,2,1)),1+(1-$AU80))</f>
        <v/>
      </c>
      <c r="EI80" s="172">
        <f>MIN(IF($AU80=100%,1,1+VLOOKUP(($AJ80-$AI80-$AH80-$AG80-$AF80-$AE80*(1+EI$3))/$AJ80,'Технический лист'!$I:$J,2,1)-VLOOKUP($AO80,'Технический лист'!$I:$J,2,1)),1+(1-$AU80))</f>
        <v/>
      </c>
      <c r="EJ80" s="172">
        <f>MIN(IF($AU80=100%,1,1+VLOOKUP(($AJ80-$AI80-$AH80-$AG80-$AF80-$AE80*(1+EJ$3))/$AJ80,'Технический лист'!$I:$J,2,1)-VLOOKUP($AO80,'Технический лист'!$I:$J,2,1)),1+(1-$AU80))</f>
        <v/>
      </c>
      <c r="EK80" s="172">
        <f>MIN(IF($AU80=100%,1,1+VLOOKUP(($AJ80-$AI80-$AH80-$AG80-$AF80-$AE80*(1+EK$3))/$AJ80,'Технический лист'!$I:$J,2,1)-VLOOKUP($AO80,'Технический лист'!$I:$J,2,1)),1+(1-$AU80))</f>
        <v/>
      </c>
      <c r="EL80" s="172">
        <f>MIN(IF($AU80=100%,1,1+VLOOKUP(($AJ80-$AI80-$AH80-$AG80-$AF80-$AE80*(1+EL$3))/$AJ80,'Технический лист'!$I:$J,2,1)-VLOOKUP($AO80,'Технический лист'!$I:$J,2,1)),1+(1-$AU80))</f>
        <v/>
      </c>
      <c r="EM80" s="172">
        <f>MIN(IF($AU80=100%,1,1+VLOOKUP(($AJ80-$AI80-$AH80-$AG80-$AF80-$AE80*(1+EM$3))/$AJ80,'Технический лист'!$I:$J,2,1)-VLOOKUP($AO80,'Технический лист'!$I:$J,2,1)),1+(1-$AU80))</f>
        <v/>
      </c>
      <c r="EN80" s="172">
        <f>MIN(IF($AU80=100%,1,1+VLOOKUP(($AJ80-$AI80-$AH80-$AG80-$AF80-$AE80*(1+EN$3))/$AJ80,'Технический лист'!$I:$J,2,1)-VLOOKUP($AO80,'Технический лист'!$I:$J,2,1)),1+(1-$AU80))</f>
        <v/>
      </c>
      <c r="EO80" s="172">
        <f>MIN(IF($AU80=100%,1,1+VLOOKUP(($AJ80-$AI80-$AH80-$AG80-$AF80-$AE80*(1+EO$3))/$AJ80,'Технический лист'!$I:$J,2,1)-VLOOKUP($AO80,'Технический лист'!$I:$J,2,1)),1+(1-$AU80))</f>
        <v/>
      </c>
      <c r="EP80" s="172">
        <f>MIN(IF($AU80=100%,1,1+VLOOKUP(($AJ80-$AI80-$AH80-$AG80-$AF80-$AE80*(1+EP$3))/$AJ80,'Технический лист'!$I:$J,2,1)-VLOOKUP($AO80,'Технический лист'!$I:$J,2,1)),1+(1-$AU80))</f>
        <v/>
      </c>
      <c r="EQ80" s="172">
        <f>MIN(IF($AU80=100%,1,1+VLOOKUP(($AJ80-$AI80-$AH80-$AG80-$AF80-$AE80*(1+EQ$3))/$AJ80,'Технический лист'!$I:$J,2,1)-VLOOKUP($AO80,'Технический лист'!$I:$J,2,1)),1+(1-$AU80))</f>
        <v/>
      </c>
      <c r="ER80" s="172">
        <f>MIN(IF($AU80=100%,1,1+VLOOKUP(($AJ80-$AI80-$AH80-$AG80-$AF80-$AE80*(1+ER$3))/$AJ80,'Технический лист'!$I:$J,2,1)-VLOOKUP($AO80,'Технический лист'!$I:$J,2,1)),1+(1-$AU80))</f>
        <v/>
      </c>
      <c r="ES80" s="172">
        <f>MIN(IF($AU80=100%,1,1+VLOOKUP(($AJ80-$AI80-$AH80-$AG80-$AF80-$AE80*(1+ES$3))/$AJ80,'Технический лист'!$I:$J,2,1)-VLOOKUP($AO80,'Технический лист'!$I:$J,2,1)),1+(1-$AU80))</f>
        <v/>
      </c>
      <c r="ET80" s="172">
        <f>MIN(IF($AU80=100%,1,1+VLOOKUP(($AJ80-$AI80-$AH80-$AG80-$AF80-$AE80*(1+ET$3))/$AJ80,'Технический лист'!$I:$J,2,1)-VLOOKUP($AO80,'Технический лист'!$I:$J,2,1)),1+(1-$AU80))</f>
        <v/>
      </c>
      <c r="EU80" s="172">
        <f>MIN(IF($AU80=100%,1,1+VLOOKUP(($AJ80-$AI80-$AH80-$AG80-$AF80-$AE80*(1+EU$3))/$AJ80,'Технический лист'!$I:$J,2,1)-VLOOKUP($AO80,'Технический лист'!$I:$J,2,1)),1+(1-$AU80))</f>
        <v/>
      </c>
      <c r="EV80" s="173" t="n">
        <v>1</v>
      </c>
      <c r="EW80" s="172">
        <f>MIN(1,MAX(VLOOKUP(($AJ80-$AI80-$AH80-$AG80-$AF80-$AE80*(1+EW$3))/$AJ80,'Технический лист'!$A:$B,2,1),(EV80-0.05)))</f>
        <v/>
      </c>
      <c r="EX80" s="172">
        <f>MIN(1,MAX(VLOOKUP(($AJ80-$AI80-$AH80-$AG80-$AF80-$AE80*(1+EX$3))/$AJ80,'Технический лист'!$A:$B,2,1),(EW80-0.05)))</f>
        <v/>
      </c>
      <c r="EY80" s="172">
        <f>MIN(1,MAX(VLOOKUP(($AJ80-$AI80-$AH80-$AG80-$AF80-$AE80*(1+EY$3))/$AJ80,'Технический лист'!$A:$B,2,1),(EX80-0.05)))</f>
        <v/>
      </c>
      <c r="EZ80" s="172">
        <f>MIN(1,MAX(VLOOKUP(($AJ80-$AI80-$AH80-$AG80-$AF80-$AE80*(1+EZ$3))/$AJ80,'Технический лист'!$A:$B,2,1),(EY80-0.05)))</f>
        <v/>
      </c>
      <c r="FA80" s="172">
        <f>MIN(1,MAX(VLOOKUP(($AJ80-$AI80-$AH80-$AG80-$AF80-$AE80*(1+FA$3))/$AJ80,'Технический лист'!$A:$B,2,1),(EZ80-0.05)))</f>
        <v/>
      </c>
      <c r="FB80" s="172">
        <f>MIN(1,MAX(VLOOKUP(($AJ80-$AI80-$AH80-$AG80-$AF80-$AE80*(1+FB$3))/$AJ80,'Технический лист'!$A:$B,2,1),(FA80-0.05)))</f>
        <v/>
      </c>
      <c r="FC80" s="172">
        <f>MIN(1,MAX(VLOOKUP(($AJ80-$AI80-$AH80-$AG80-$AF80-$AE80*(1+FC$3))/$AJ80,'Технический лист'!$A:$B,2,1),(FB80-0.05)))</f>
        <v/>
      </c>
      <c r="FD80" s="172">
        <f>MIN(1,MAX(VLOOKUP(($AJ80-$AI80-$AH80-$AG80-$AF80-$AE80*(1+FD$3))/$AJ80,'Технический лист'!$A:$B,2,1),(FC80-0.05)))</f>
        <v/>
      </c>
      <c r="FE80" s="172">
        <f>MIN(1,MAX(VLOOKUP(($AJ80-$AI80-$AH80-$AG80-$AF80-$AE80*(1+FE$3))/$AJ80,'Технический лист'!$A:$B,2,1),(FD80-0.05)))</f>
        <v/>
      </c>
      <c r="FF80" s="172">
        <f>MIN(1,MAX(VLOOKUP(($AJ80-$AI80-$AH80-$AG80-$AF80-$AE80*(1+FF$3))/$AJ80,'Технический лист'!$A:$B,2,1),(FE80-0.05)))</f>
        <v/>
      </c>
      <c r="FG80" s="172">
        <f>MIN(1,MAX(VLOOKUP(($AJ80-$AI80-$AH80-$AG80-$AF80-$AE80*(1+FG$3))/$AJ80,'Технический лист'!$A:$B,2,1),(FF80-0.05)))</f>
        <v/>
      </c>
      <c r="FH80" s="172">
        <f>MIN(1,MAX(VLOOKUP(($AJ80-$AI80-$AH80-$AG80-$AF80-$AE80*(1+FH$3))/$AJ80,'Технический лист'!$A:$B,2,1),(FG80-0.05)))</f>
        <v/>
      </c>
      <c r="FI80" s="172">
        <f>MIN(1,MAX(VLOOKUP(($AJ80-$AI80-$AH80-$AG80-$AF80-$AE80*(1+FI$3))/$AJ80,'Технический лист'!$A:$B,2,1),(FH80-0.05)))</f>
        <v/>
      </c>
      <c r="FJ80" s="172">
        <f>MIN(1,MAX(VLOOKUP(($AJ80-$AI80-$AH80-$AG80-$AF80-$AE80*(1+FJ$3))/$AJ80,'Технический лист'!$A:$B,2,1),(FI80-0.05)))</f>
        <v/>
      </c>
      <c r="FK80" s="172">
        <f>MIN(1,MAX(VLOOKUP(($AJ80-$AI80-$AH80-$AG80-$AF80-$AE80*(1+FK$3))/$AJ80,'Технический лист'!$A:$B,2,1),(FJ80-0.05)))</f>
        <v/>
      </c>
      <c r="FL80" s="172">
        <f>MIN(1,MAX(VLOOKUP(($AJ80-$AI80-$AH80-$AG80-$AF80-$AE80*(1+FL$3))/$AJ80,'Технический лист'!$A:$B,2,1),(FK80-0.05)))</f>
        <v/>
      </c>
      <c r="FM80" s="172">
        <f>MIN(1,MAX(VLOOKUP(($AJ80-$AI80-$AH80-$AG80-$AF80-$AE80*(1+FM$3))/$AJ80,'Технический лист'!$A:$B,2,1),(FL80-0.05)))</f>
        <v/>
      </c>
      <c r="FN80" s="172">
        <f>MIN(1,MAX(VLOOKUP(($AJ80-$AI80-$AH80-$AG80-$AF80-$AE80*(1+FN$3))/$AJ80,'Технический лист'!$A:$B,2,1),(FM80-0.05)))</f>
        <v/>
      </c>
      <c r="FO80" s="172">
        <f>MIN(1,MAX(VLOOKUP(($AJ80-$AI80-$AH80-$AG80-$AF80-$AE80*(1+FO$3))/$AJ80,'Технический лист'!$A:$B,2,1),(FN80-0.05)))</f>
        <v/>
      </c>
      <c r="FP80" s="172">
        <f>MIN(1,MAX(VLOOKUP(($AJ80-$AI80-$AH80-$AG80-$AF80-$AE80*(1+FP$3))/$AJ80,'Технический лист'!$A:$B,2,1),(FO80-0.05)))</f>
        <v/>
      </c>
      <c r="FQ80" s="172">
        <f>MIN(1,MAX(VLOOKUP(($AJ80-$AI80-$AH80-$AG80-$AF80-$AE80*(1+FQ$3))/$AJ80,'Технический лист'!$A:$B,2,1),(FP80-0.05)))</f>
        <v/>
      </c>
      <c r="FR80" s="172">
        <f>MIN(1,MAX(VLOOKUP(($AJ80-$AI80-$AH80-$AG80-$AF80-$AE80*(1+FR$3))/$AJ80,'Технический лист'!$A:$B,2,1),(FQ80-0.05)))</f>
        <v/>
      </c>
      <c r="FS80" s="172">
        <f>MIN(1,MAX(VLOOKUP(($AJ80-$AI80-$AH80-$AG80-$AF80-$AE80*(1+FS$3))/$AJ80,'Технический лист'!$A:$B,2,1),(FR80-0.05)))</f>
        <v/>
      </c>
      <c r="FT80" s="172">
        <f>MIN(1,MAX(VLOOKUP(($AJ80-$AI80-$AH80-$AG80-$AF80-$AE80*(1+FT$3))/$AJ80,'Технический лист'!$A:$B,2,1),(FS80-0.05)))</f>
        <v/>
      </c>
      <c r="FU80" s="172">
        <f>MIN(1,MAX(VLOOKUP(($AJ80-$AI80-$AH80-$AG80-$AF80-$AE80*(1+FU$3))/$AJ80,'Технический лист'!$A:$B,2,1),(FT80-0.05)))</f>
        <v/>
      </c>
      <c r="FV80" s="172">
        <f>MIN(1,MAX(VLOOKUP(($AJ80-$AI80-$AH80-$AG80-$AF80-$AE80*(1+FV$3))/$AJ80,'Технический лист'!$A:$B,2,1),(FU80-0.05)))</f>
        <v/>
      </c>
      <c r="FW80" s="172">
        <f>MIN(1,MAX(VLOOKUP(($AJ80-$AI80-$AH80-$AG80-$AF80-$AE80*(1+FW$3))/$AJ80,'Технический лист'!$A:$B,2,1),(FV80-0.05)))</f>
        <v/>
      </c>
      <c r="FX80" s="172">
        <f>MIN(1,MAX(VLOOKUP(($AJ80-$AI80-$AH80-$AG80-$AF80-$AE80*(1+FX$3))/$AJ80,'Технический лист'!$A:$B,2,1),(FW80-0.05)))</f>
        <v/>
      </c>
      <c r="FY80" s="172">
        <f>MIN(1,MAX(VLOOKUP(($AJ80-$AI80-$AH80-$AG80-$AF80-$AE80*(1+FY$3))/$AJ80,'Технический лист'!$A:$B,2,1),(FX80-0.05)))</f>
        <v/>
      </c>
      <c r="FZ80" s="172">
        <f>MIN(1,MAX(VLOOKUP(($AJ80-$AI80-$AH80-$AG80-$AF80-$AE80*(1+FZ$3))/$AJ80,'Технический лист'!$A:$B,2,1),(FY80-0.05)))</f>
        <v/>
      </c>
      <c r="GA80" s="172">
        <f>MIN(1,MAX(VLOOKUP(($AJ80-$AI80-$AH80-$AG80-$AF80-$AE80*(1+GA$3))/$AJ80,'Технический лист'!$A:$B,2,1),(FZ80-0.05)))</f>
        <v/>
      </c>
      <c r="GB80" s="172">
        <f>MIN(1,MAX(VLOOKUP(($AJ80-$AI80-$AH80-$AG80-$AF80-$AE80*(1+GB$3))/$AJ80,'Технический лист'!$A:$B,2,1),(GA80-0.05)))</f>
        <v/>
      </c>
      <c r="GC80" s="172">
        <f>MIN(1,MAX(VLOOKUP(($AJ80-$AI80-$AH80-$AG80-$AF80-$AE80*(1+GC$3))/$AJ80,'Технический лист'!$A:$B,2,1),(GB80-0.05)))</f>
        <v/>
      </c>
      <c r="GD80" s="172">
        <f>MIN(1,MAX(VLOOKUP(($AJ80-$AI80-$AH80-$AG80-$AF80-$AE80*(1+GD$3))/$AJ80,'Технический лист'!$A:$B,2,1),(GC80-0.05)))</f>
        <v/>
      </c>
      <c r="GE80" s="172">
        <f>MIN(1,MAX(VLOOKUP(($AJ80-$AI80-$AH80-$AG80-$AF80-$AE80*(1+GE$3))/$AJ80,'Технический лист'!$A:$B,2,1),(GD80-0.05)))</f>
        <v/>
      </c>
      <c r="GF80" s="172">
        <f>MIN(1,MAX(VLOOKUP(($AJ80-$AI80-$AH80-$AG80-$AF80-$AE80*(1+GF$3))/$AJ80,'Технический лист'!$A:$B,2,1),(GE80-0.05)))</f>
        <v/>
      </c>
      <c r="GG80" s="172">
        <f>MIN(1,MAX(VLOOKUP(($AJ80-$AI80-$AH80-$AG80-$AF80-$AE80*(1+GG$3))/$AJ80,'Технический лист'!$A:$B,2,1),(GF80-0.05)))</f>
        <v/>
      </c>
      <c r="GH80" s="172">
        <f>MIN(1,MAX(VLOOKUP(($AJ80-$AI80-$AH80-$AG80-$AF80-$AE80*(1+GH$3))/$AJ80,'Технический лист'!$A:$B,2,1),(GG80-0.05)))</f>
        <v/>
      </c>
      <c r="GI80" s="172">
        <f>MIN(1,MAX(VLOOKUP(($AJ80-$AI80-$AH80-$AG80-$AF80-$AE80*(1+GI$3))/$AJ80,'Технический лист'!$A:$B,2,1),(GH80-0.05)))</f>
        <v/>
      </c>
      <c r="GJ80" s="172">
        <f>MIN(1,MAX(VLOOKUP(($AJ80-$AI80-$AH80-$AG80-$AF80-$AE80*(1+GJ$3))/$AJ80,'Технический лист'!$A:$B,2,1),(GI80-0.05)))</f>
        <v/>
      </c>
      <c r="GK80" s="172">
        <f>MIN(1,MAX(VLOOKUP(($AJ80-$AI80-$AH80-$AG80-$AF80-$AE80*(1+GK$3))/$AJ80,'Технический лист'!$A:$B,2,1),(GJ80-0.05)))</f>
        <v/>
      </c>
      <c r="GL80" s="172">
        <f>MIN(1,MAX(VLOOKUP(($AJ80-$AI80-$AH80-$AG80-$AF80-$AE80*(1+GL$3))/$AJ80,'Технический лист'!$A:$B,2,1),(GK80-0.05)))</f>
        <v/>
      </c>
      <c r="GM80" s="172">
        <f>MIN(1,MAX(VLOOKUP(($AJ80-$AI80-$AH80-$AG80-$AF80-$AE80*(1+GM$3))/$AJ80,'Технический лист'!$A:$B,2,1),(GL80-0.05)))</f>
        <v/>
      </c>
      <c r="GN80" s="172">
        <f>MIN(1,MAX(VLOOKUP(($AJ80-$AI80-$AH80-$AG80-$AF80-$AE80*(1+GN$3))/$AJ80,'Технический лист'!$A:$B,2,1),(GM80-0.05)))</f>
        <v/>
      </c>
      <c r="GO80" s="172">
        <f>MIN(1,MAX(VLOOKUP(($AJ80-$AI80-$AH80-$AG80-$AF80-$AE80*(1+GO$3))/$AJ80,'Технический лист'!$A:$B,2,1),(GN80-0.05)))</f>
        <v/>
      </c>
      <c r="GP80" s="172">
        <f>MIN(1,MAX(VLOOKUP(($AJ80-$AI80-$AH80-$AG80-$AF80-$AE80*(1+GP$3))/$AJ80,'Технический лист'!$A:$B,2,1),(GO80-0.05)))</f>
        <v/>
      </c>
      <c r="GQ80" s="172">
        <f>MIN(1,MAX(VLOOKUP(($AJ80-$AI80-$AH80-$AG80-$AF80-$AE80*(1+GQ$3))/$AJ80,'Технический лист'!$A:$B,2,1),(GP80-0.05)))</f>
        <v/>
      </c>
      <c r="GR80" s="172">
        <f>MIN(1,MAX(VLOOKUP(($AJ80-$AI80-$AH80-$AG80-$AF80-$AE80*(1+GR$3))/$AJ80,'Технический лист'!$A:$B,2,1),(GQ80-0.05)))</f>
        <v/>
      </c>
      <c r="GS80" s="172">
        <f>MIN(1,MAX(VLOOKUP(($AJ80-$AI80-$AH80-$AG80-$AF80-$AE80*(1+GS$3))/$AJ80,'Технический лист'!$A:$B,2,1),(GR80-0.05)))</f>
        <v/>
      </c>
      <c r="GT80" s="172">
        <f>MIN(1,MAX(VLOOKUP(($AJ80-$AI80-$AH80-$AG80-$AF80-$AE80*(1+GT$3))/$AJ80,'Технический лист'!$A:$B,2,1),(GS80-0.05)))</f>
        <v/>
      </c>
      <c r="GU80" s="172">
        <f>MIN(1,MAX(VLOOKUP(($AJ80-$AI80-$AH80-$AG80-$AF80-$AE80*(1+GU$3))/$AJ80,'Технический лист'!$A:$B,2,1),(GT80-0.05)))</f>
        <v/>
      </c>
      <c r="GV80" s="172">
        <f>MIN(1,MAX(VLOOKUP(($AJ80-$AI80-$AH80-$AG80-$AF80-$AE80*(1+GV$3))/$AJ80,'Технический лист'!$A:$B,2,1),(GU80-0.05)))</f>
        <v/>
      </c>
      <c r="GW80" s="172">
        <f>MIN(1,MAX(VLOOKUP(($AJ80-$AI80-$AH80-$AG80-$AF80-$AE80*(1+GW$3))/$AJ80,'Технический лист'!$A:$B,2,1),(GV80-0.05)))</f>
        <v/>
      </c>
      <c r="GX80" s="172">
        <f>MIN(1,MAX(VLOOKUP(($AJ80-$AI80-$AH80-$AG80-$AF80-$AE80*(1+GX$3))/$AJ80,'Технический лист'!$A:$B,2,1),(GW80-0.05)))</f>
        <v/>
      </c>
      <c r="GY80" s="172">
        <f>MIN(1,MAX(VLOOKUP(($AJ80-$AI80-$AH80-$AG80-$AF80-$AE80*(1+GY$3))/$AJ80,'Технический лист'!$A:$B,2,1),(GX80-0.05)))</f>
        <v/>
      </c>
      <c r="GZ80" s="172">
        <f>MIN(1,MAX(VLOOKUP(($AJ80-$AI80-$AH80-$AG80-$AF80-$AE80*(1+GZ$3))/$AJ80,'Технический лист'!$A:$B,2,1),(GY80-0.05)))</f>
        <v/>
      </c>
      <c r="HA80" s="172">
        <f>MIN(1,MAX(VLOOKUP(($AJ80-$AI80-$AH80-$AG80-$AF80-$AE80*(1+HA$3))/$AJ80,'Технический лист'!$A:$B,2,1),(GZ80-0.05)))</f>
        <v/>
      </c>
      <c r="HB80" s="172">
        <f>MIN(1,MAX(VLOOKUP(($AJ80-$AI80-$AH80-$AG80-$AF80-$AE80*(1+HB$3))/$AJ80,'Технический лист'!$A:$B,2,1),(HA80-0.05)))</f>
        <v/>
      </c>
      <c r="HC80" s="172">
        <f>MIN(1,MAX(VLOOKUP(($AJ80-$AI80-$AH80-$AG80-$AF80-$AE80*(1+HC$3))/$AJ80,'Технический лист'!$A:$B,2,1),(HB80-0.05)))</f>
        <v/>
      </c>
      <c r="HD80" s="172">
        <f>MIN(1,MAX(VLOOKUP(($AJ80-$AI80-$AH80-$AG80-$AF80-$AE80*(1+HD$3))/$AJ80,'Технический лист'!$A:$B,2,1),(HC80-0.05)))</f>
        <v/>
      </c>
      <c r="HE80" s="172">
        <f>MIN(1,MAX(VLOOKUP(($AJ80-$AI80-$AH80-$AG80-$AF80-$AE80*(1+HE$3))/$AJ80,'Технический лист'!$A:$B,2,1),(HD80-0.05)))</f>
        <v/>
      </c>
      <c r="HF80" s="172">
        <f>MIN(1,MAX(VLOOKUP(($AJ80-$AI80-$AH80-$AG80-$AF80-$AE80*(1+HF$3))/$AJ80,'Технический лист'!$A:$B,2,1),(HE80-0.05)))</f>
        <v/>
      </c>
      <c r="HG80" s="172">
        <f>MIN(1,MAX(VLOOKUP(($AJ80-$AI80-$AH80-$AG80-$AF80-$AE80*(1+HG$3))/$AJ80,'Технический лист'!$A:$B,2,1),(HF80-0.05)))</f>
        <v/>
      </c>
      <c r="HH80" s="172">
        <f>MIN(1,MAX(VLOOKUP(($AJ80-$AI80-$AH80-$AG80-$AF80-$AE80*(1+HH$3))/$AJ80,'Технический лист'!$A:$B,2,1),(HG80-0.05)))</f>
        <v/>
      </c>
      <c r="HI80" s="172">
        <f>MIN(1,MAX(VLOOKUP(($AJ80-$AI80-$AH80-$AG80-$AF80-$AE80*(1+HI$3))/$AJ80,'Технический лист'!$A:$B,2,1),(HH80-0.05)))</f>
        <v/>
      </c>
      <c r="HJ80" s="172">
        <f>MIN(1,MAX(VLOOKUP(($AJ80-$AI80-$AH80-$AG80-$AF80-$AE80*(1+HJ$3))/$AJ80,'Технический лист'!$A:$B,2,1),(HI80-0.05)))</f>
        <v/>
      </c>
      <c r="HK80" s="172">
        <f>MIN(1,MAX(VLOOKUP(($AJ80-$AI80-$AH80-$AG80-$AF80-$AE80*(1+HK$3))/$AJ80,'Технический лист'!$A:$B,2,1),(HJ80-0.05)))</f>
        <v/>
      </c>
      <c r="HL80" s="172">
        <f>MIN(1,MAX(VLOOKUP(($AJ80-$AI80-$AH80-$AG80-$AF80-$AE80*(1+HL$3))/$AJ80,'Технический лист'!$A:$B,2,1),(HK80-0.05)))</f>
        <v/>
      </c>
      <c r="HM80" s="172">
        <f>MIN(1,MAX(VLOOKUP(($AJ80-$AI80-$AH80-$AG80-$AF80-$AE80*(1+HM$3))/$AJ80,'Технический лист'!$A:$B,2,1),(HL80-0.05)))</f>
        <v/>
      </c>
      <c r="HN80" s="172">
        <f>MIN(1,MAX(VLOOKUP(($AJ80-$AI80-$AH80-$AG80-$AF80-$AE80*(1+HN$3))/$AJ80,'Технический лист'!$A:$B,2,1),(HM80-0.05)))</f>
        <v/>
      </c>
      <c r="HO80" s="172">
        <f>MIN(1,MAX(VLOOKUP(($AJ80-$AI80-$AH80-$AG80-$AF80-$AE80*(1+HO$3))/$AJ80,'Технический лист'!$A:$B,2,1),(HN80-0.05)))</f>
        <v/>
      </c>
      <c r="HP80" s="172">
        <f>MIN(1,MAX(VLOOKUP(($AJ80-$AI80-$AH80-$AG80-$AF80-$AE80*(1+HP$3))/$AJ80,'Технический лист'!$A:$B,2,1),(HO80-0.05)))</f>
        <v/>
      </c>
      <c r="HQ80" s="172">
        <f>MIN(1,MAX(VLOOKUP(($AJ80-$AI80-$AH80-$AG80-$AF80-$AE80*(1+HQ$3))/$AJ80,'Технический лист'!$A:$B,2,1),(HP80-0.05)))</f>
        <v/>
      </c>
      <c r="HR80" s="172">
        <f>MIN(1,MAX(VLOOKUP(($AJ80-$AI80-$AH80-$AG80-$AF80-$AE80*(1+HR$3))/$AJ80,'Технический лист'!$A:$B,2,1),(HQ80-0.05)))</f>
        <v/>
      </c>
      <c r="HS80" s="172">
        <f>MIN(1,MAX(VLOOKUP(($AJ80-$AI80-$AH80-$AG80-$AF80-$AE80*(1+HS$3))/$AJ80,'Технический лист'!$A:$B,2,1),(HR80-0.05)))</f>
        <v/>
      </c>
      <c r="HT80" s="172">
        <f>MIN(1,MAX(VLOOKUP(($AJ80-$AI80-$AH80-$AG80-$AF80-$AE80*(1+HT$3))/$AJ80,'Технический лист'!$A:$B,2,1),(HS80-0.05)))</f>
        <v/>
      </c>
      <c r="HU80" s="172">
        <f>MIN(1,MAX(VLOOKUP(($AJ80-$AI80-$AH80-$AG80-$AF80-$AE80*(1+HU$3))/$AJ80,'Технический лист'!$A:$B,2,1),(HT80-0.05)))</f>
        <v/>
      </c>
      <c r="HV80" s="172">
        <f>MIN(1,MAX(VLOOKUP(($AJ80-$AI80-$AH80-$AG80-$AF80-$AE80*(1+HV$3))/$AJ80,'Технический лист'!$A:$B,2,1),(HU80-0.05)))</f>
        <v/>
      </c>
      <c r="HW80" s="172">
        <f>MIN(1,MAX(VLOOKUP(($AJ80-$AI80-$AH80-$AG80-$AF80-$AE80*(1+HW$3))/$AJ80,'Технический лист'!$A:$B,2,1),(HV80-0.05)))</f>
        <v/>
      </c>
      <c r="HX80" s="172">
        <f>MIN(1,MAX(VLOOKUP(($AJ80-$AI80-$AH80-$AG80-$AF80-$AE80*(1+HX$3))/$AJ80,'Технический лист'!$A:$B,2,1),(HW80-0.05)))</f>
        <v/>
      </c>
      <c r="HY80" s="172">
        <f>MIN(1,MAX(VLOOKUP(($AJ80-$AI80-$AH80-$AG80-$AF80-$AE80*(1+HY$3))/$AJ80,'Технический лист'!$A:$B,2,1),(HX80-0.05)))</f>
        <v/>
      </c>
      <c r="HZ80" s="172">
        <f>MIN(1,MAX(VLOOKUP(($AJ80-$AI80-$AH80-$AG80-$AF80-$AE80*(1+HZ$3))/$AJ80,'Технический лист'!$A:$B,2,1),(HY80-0.05)))</f>
        <v/>
      </c>
      <c r="IA80" s="172">
        <f>MIN(1,MAX(VLOOKUP(($AJ80-$AI80-$AH80-$AG80-$AF80-$AE80*(1+IA$3))/$AJ80,'Технический лист'!$A:$B,2,1),(HZ80-0.05)))</f>
        <v/>
      </c>
      <c r="IB80" s="172">
        <f>MIN(1,MAX(VLOOKUP(($AJ80-$AI80-$AH80-$AG80-$AF80-$AE80*(1+IB$3))/$AJ80,'Технический лист'!$A:$B,2,1),(IA80-0.05)))</f>
        <v/>
      </c>
      <c r="IC80" s="172">
        <f>MIN(1,MAX(VLOOKUP(($AJ80-$AI80-$AH80-$AG80-$AF80-$AE80*(1+IC$3))/$AJ80,'Технический лист'!$A:$B,2,1),(IB80-0.05)))</f>
        <v/>
      </c>
      <c r="ID80" s="172">
        <f>MIN(1,MAX(VLOOKUP(($AJ80-$AI80-$AH80-$AG80-$AF80-$AE80*(1+ID$3))/$AJ80,'Технический лист'!$A:$B,2,1),(IC80-0.05)))</f>
        <v/>
      </c>
      <c r="IE80" s="172">
        <f>MIN(1,MAX(VLOOKUP(($AJ80-$AI80-$AH80-$AG80-$AF80-$AE80*(1+IE$3))/$AJ80,'Технический лист'!$A:$B,2,1),(ID80-0.05)))</f>
        <v/>
      </c>
      <c r="IF80" s="172">
        <f>MIN(1,MAX(VLOOKUP(($AJ80-$AI80-$AH80-$AG80-$AF80-$AE80*(1+IF$3))/$AJ80,'Технический лист'!$A:$B,2,1),(IE80-0.05)))</f>
        <v/>
      </c>
      <c r="IG80" s="172">
        <f>MIN(1,MAX(VLOOKUP(($AJ80-$AI80-$AH80-$AG80-$AF80-$AE80*(1+IG$3))/$AJ80,'Технический лист'!$A:$B,2,1),(IF80-0.05)))</f>
        <v/>
      </c>
      <c r="IH80" s="172">
        <f>MIN(1,MAX(VLOOKUP(($AJ80-$AI80-$AH80-$AG80-$AF80-$AE80*(1+IH$3))/$AJ80,'Технический лист'!$A:$B,2,1),(IG80-0.05)))</f>
        <v/>
      </c>
      <c r="II80" s="172">
        <f>MIN(1,MAX(VLOOKUP(($AJ80-$AI80-$AH80-$AG80-$AF80-$AE80*(1+II$3))/$AJ80,'Технический лист'!$A:$B,2,1),(IH80-0.05)))</f>
        <v/>
      </c>
      <c r="IJ80" s="172">
        <f>MIN(1,MAX(VLOOKUP(($AJ80-$AI80-$AH80-$AG80-$AF80-$AE80*(1+IJ$3))/$AJ80,'Технический лист'!$A:$B,2,1),(II80-0.05)))</f>
        <v/>
      </c>
      <c r="IK80" s="172">
        <f>MIN(1,MAX(VLOOKUP(($AJ80-$AI80-$AH80-$AG80-$AF80-$AE80*(1+IK$3))/$AJ80,'Технический лист'!$A:$B,2,1),(IJ80-0.05)))</f>
        <v/>
      </c>
      <c r="IL80" s="172">
        <f>MIN(1,MAX(VLOOKUP(($AJ80-$AI80-$AH80-$AG80-$AF80-$AE80*(1+IL$3))/$AJ80,'Технический лист'!$A:$B,2,1),(IK80-0.05)))</f>
        <v/>
      </c>
      <c r="IM80" s="172">
        <f>MIN(1,MAX(VLOOKUP(($AJ80-$AI80-$AH80-$AG80-$AF80-$AE80*(1+IM$3))/$AJ80,'Технический лист'!$A:$B,2,1),(IL80-0.05)))</f>
        <v/>
      </c>
      <c r="IN80" s="172">
        <f>MIN(1,MAX(VLOOKUP(($AJ80-$AI80-$AH80-$AG80-$AF80-$AE80*(1+IN$3))/$AJ80,'Технический лист'!$A:$B,2,1),(IM80-0.05)))</f>
        <v/>
      </c>
      <c r="IO80" s="172">
        <f>MIN(1,MAX(VLOOKUP(($AJ80-$AI80-$AH80-$AG80-$AF80-$AE80*(1+IO$3))/$AJ80,'Технический лист'!$A:$B,2,1),(IN80-0.05)))</f>
        <v/>
      </c>
      <c r="IP80" s="172">
        <f>MIN(1,MAX(VLOOKUP(($AJ80-$AI80-$AH80-$AG80-$AF80-$AE80*(1+IP$3))/$AJ80,'Технический лист'!$A:$B,2,1),(IO80-0.05)))</f>
        <v/>
      </c>
      <c r="IQ80" s="172">
        <f>MIN(1,MAX(VLOOKUP(($AJ80-$AI80-$AH80-$AG80-$AF80-$AE80*(1+IQ$3))/$AJ80,'Технический лист'!$A:$B,2,1),(IP80-0.05)))</f>
        <v/>
      </c>
      <c r="IR80" s="172">
        <f>MIN(1,MAX(VLOOKUP(($AJ80-$AI80-$AH80-$AG80-$AF80-$AE80*(1+IR$3))/$AJ80,'Технический лист'!$A:$B,2,1),(IQ80-0.05)))</f>
        <v/>
      </c>
    </row>
    <row r="81" ht="43.75" customHeight="1" s="123">
      <c r="A81" s="89" t="inlineStr">
        <is>
          <t>ЧМ (продукция)</t>
        </is>
      </c>
      <c r="B81" s="90" t="n">
        <v>5</v>
      </c>
      <c r="C81" s="5" t="inlineStr">
        <is>
          <t>Черные металлы</t>
        </is>
      </c>
      <c r="D81" s="91" t="n">
        <v>32404</v>
      </c>
      <c r="E81" s="91" t="inlineStr">
        <is>
          <t xml:space="preserve">Колеса вагонные и локомотивные новые цельнокатанные </t>
        </is>
      </c>
      <c r="F81" s="92" t="inlineStr">
        <is>
          <t>ПРОЧИЕ ВИДЫ ПРОКАТА ЧЕРНЫ</t>
        </is>
      </c>
      <c r="G81" s="91" t="inlineStr">
        <is>
          <t>ГОР</t>
        </is>
      </c>
      <c r="H81" s="91" t="inlineStr">
        <is>
          <t>ОКТ</t>
        </is>
      </c>
      <c r="I81" s="91" t="inlineStr">
        <is>
          <t>НАВАШИНО</t>
        </is>
      </c>
      <c r="J81" s="91" t="inlineStr">
        <is>
          <t>ТИХВИН</t>
        </is>
      </c>
      <c r="K81" s="91" t="n">
        <v>1103</v>
      </c>
      <c r="L81" s="91" t="inlineStr">
        <is>
          <t>Полувагоны</t>
        </is>
      </c>
      <c r="M81" s="91" t="inlineStr">
        <is>
          <t>Внутр. перевозки</t>
        </is>
      </c>
      <c r="N81" s="91" t="inlineStr">
        <is>
          <t>вагонная</t>
        </is>
      </c>
      <c r="O81" s="91" t="inlineStr">
        <is>
          <t xml:space="preserve">Северо-Западное </t>
        </is>
      </c>
      <c r="P81" s="89" t="inlineStr">
        <is>
          <t>'000005757848</t>
        </is>
      </c>
      <c r="Q81" s="91" t="inlineStr">
        <is>
          <t>'АО "Выксунский металлургический завод"</t>
        </is>
      </c>
      <c r="R81" s="91" t="inlineStr">
        <is>
          <t>АО "ОМК"</t>
        </is>
      </c>
      <c r="S81" s="87" t="n">
        <v>25421</v>
      </c>
      <c r="T81" s="87" t="n">
        <v>28039489</v>
      </c>
      <c r="U81" s="88" t="n">
        <v>381</v>
      </c>
      <c r="V81" s="88" t="n">
        <v>0</v>
      </c>
      <c r="W81" s="87" t="n">
        <v>58419844</v>
      </c>
      <c r="X81" s="112" t="n">
        <v>64</v>
      </c>
      <c r="Y81" s="112" t="inlineStr">
        <is>
          <t>повагонная</t>
        </is>
      </c>
      <c r="Z81" s="113" t="n">
        <v>6</v>
      </c>
      <c r="AA81" s="113" t="n">
        <v>6</v>
      </c>
      <c r="AB81" s="113" t="n">
        <v>4</v>
      </c>
      <c r="AC81" s="161" t="n">
        <v>2719.39</v>
      </c>
      <c r="AD81" s="161">
        <f>AE81-AC81</f>
        <v/>
      </c>
      <c r="AE81" s="161" t="n">
        <v>3109.92</v>
      </c>
      <c r="AF81" s="162">
        <f>(Z81+AA81+AB81)*'Ставки аренды'!$B$3/X81</f>
        <v/>
      </c>
      <c r="AG81" s="163" t="n">
        <v>0</v>
      </c>
      <c r="AH81" s="164" t="n">
        <v>0</v>
      </c>
      <c r="AI81" s="165">
        <f>333374/554614*AJ81</f>
        <v/>
      </c>
      <c r="AJ81" s="166">
        <f>Цены!D25</f>
        <v/>
      </c>
      <c r="AK81" s="164">
        <f>AJ81/Цены!$B$1</f>
        <v/>
      </c>
      <c r="AL81" s="164">
        <f>AE81+AF81+AG81</f>
        <v/>
      </c>
      <c r="AM81" s="164">
        <f>AJ81-AL81</f>
        <v/>
      </c>
      <c r="AN81" s="164">
        <f>AI81+AH81+AG81+AF81+AE81</f>
        <v/>
      </c>
      <c r="AO81" s="167">
        <f>(AJ81-AN81)/AJ81</f>
        <v/>
      </c>
      <c r="AP81" s="168">
        <f>AL81/AJ81</f>
        <v/>
      </c>
      <c r="AQ81" s="168">
        <f>AE81/AJ81</f>
        <v/>
      </c>
      <c r="AR81" s="168">
        <f>AE81/AL81</f>
        <v/>
      </c>
      <c r="AS81" s="169" t="n">
        <v>1</v>
      </c>
      <c r="AT81" s="121">
        <f>S81*AS81</f>
        <v/>
      </c>
      <c r="AU81" s="83" t="n">
        <v>1</v>
      </c>
      <c r="AV81" s="170">
        <f>(AJ81-(AE81*(1+$IS$2)+AF81+AG81+AH81+AI81))/AJ81</f>
        <v/>
      </c>
      <c r="AW81" s="171">
        <f>(AE81*(1+$IS$2)+AF81+AG81)/AJ81</f>
        <v/>
      </c>
      <c r="AX81" s="171">
        <f>(AE81*(1+$IS$2))/AJ81</f>
        <v/>
      </c>
      <c r="AY81" s="171">
        <f>(AE81*(1+$IS$2))/(AE81*(1+$IS$2)+AF81+AG81)</f>
        <v/>
      </c>
      <c r="AZ81" s="172">
        <f>MIN(IF($AU81=100%,1,1+VLOOKUP(($AJ81-$AI81-$AH81-$AG81-$AF81-$AE81*(1+AZ$3))/$AJ81,'Технический лист'!$I:$J,2,1)-VLOOKUP($AO81,'Технический лист'!$I:$J,2,1)),1+(1-$AU81))</f>
        <v/>
      </c>
      <c r="BA81" s="172">
        <f>MIN(IF($AU81=100%,1,1+VLOOKUP(($AJ81-$AI81-$AH81-$AG81-$AF81-$AE81*(1+BA$3))/$AJ81,'Технический лист'!$I:$J,2,1)-VLOOKUP($AO81,'Технический лист'!$I:$J,2,1)),1+(1-$AU81))</f>
        <v/>
      </c>
      <c r="BB81" s="172">
        <f>MIN(IF($AU81=100%,1,1+VLOOKUP(($AJ81-$AI81-$AH81-$AG81-$AF81-$AE81*(1+BB$3))/$AJ81,'Технический лист'!$I:$J,2,1)-VLOOKUP($AO81,'Технический лист'!$I:$J,2,1)),1+(1-$AU81))</f>
        <v/>
      </c>
      <c r="BC81" s="172">
        <f>MIN(IF($AU81=100%,1,1+VLOOKUP(($AJ81-$AI81-$AH81-$AG81-$AF81-$AE81*(1+BC$3))/$AJ81,'Технический лист'!$I:$J,2,1)-VLOOKUP($AO81,'Технический лист'!$I:$J,2,1)),1+(1-$AU81))</f>
        <v/>
      </c>
      <c r="BD81" s="172">
        <f>MIN(IF($AU81=100%,1,1+VLOOKUP(($AJ81-$AI81-$AH81-$AG81-$AF81-$AE81*(1+BD$3))/$AJ81,'Технический лист'!$I:$J,2,1)-VLOOKUP($AO81,'Технический лист'!$I:$J,2,1)),1+(1-$AU81))</f>
        <v/>
      </c>
      <c r="BE81" s="172">
        <f>MIN(IF($AU81=100%,1,1+VLOOKUP(($AJ81-$AI81-$AH81-$AG81-$AF81-$AE81*(1+BE$3))/$AJ81,'Технический лист'!$I:$J,2,1)-VLOOKUP($AO81,'Технический лист'!$I:$J,2,1)),1+(1-$AU81))</f>
        <v/>
      </c>
      <c r="BF81" s="172">
        <f>MIN(IF($AU81=100%,1,1+VLOOKUP(($AJ81-$AI81-$AH81-$AG81-$AF81-$AE81*(1+BF$3))/$AJ81,'Технический лист'!$I:$J,2,1)-VLOOKUP($AO81,'Технический лист'!$I:$J,2,1)),1+(1-$AU81))</f>
        <v/>
      </c>
      <c r="BG81" s="172">
        <f>MIN(IF($AU81=100%,1,1+VLOOKUP(($AJ81-$AI81-$AH81-$AG81-$AF81-$AE81*(1+BG$3))/$AJ81,'Технический лист'!$I:$J,2,1)-VLOOKUP($AO81,'Технический лист'!$I:$J,2,1)),1+(1-$AU81))</f>
        <v/>
      </c>
      <c r="BH81" s="172">
        <f>MIN(IF($AU81=100%,1,1+VLOOKUP(($AJ81-$AI81-$AH81-$AG81-$AF81-$AE81*(1+BH$3))/$AJ81,'Технический лист'!$I:$J,2,1)-VLOOKUP($AO81,'Технический лист'!$I:$J,2,1)),1+(1-$AU81))</f>
        <v/>
      </c>
      <c r="BI81" s="172">
        <f>MIN(IF($AU81=100%,1,1+VLOOKUP(($AJ81-$AI81-$AH81-$AG81-$AF81-$AE81*(1+BI$3))/$AJ81,'Технический лист'!$I:$J,2,1)-VLOOKUP($AO81,'Технический лист'!$I:$J,2,1)),1+(1-$AU81))</f>
        <v/>
      </c>
      <c r="BJ81" s="172">
        <f>MIN(IF($AU81=100%,1,1+VLOOKUP(($AJ81-$AI81-$AH81-$AG81-$AF81-$AE81*(1+BJ$3))/$AJ81,'Технический лист'!$I:$J,2,1)-VLOOKUP($AO81,'Технический лист'!$I:$J,2,1)),1+(1-$AU81))</f>
        <v/>
      </c>
      <c r="BK81" s="172">
        <f>MIN(IF($AU81=100%,1,1+VLOOKUP(($AJ81-$AI81-$AH81-$AG81-$AF81-$AE81*(1+BK$3))/$AJ81,'Технический лист'!$I:$J,2,1)-VLOOKUP($AO81,'Технический лист'!$I:$J,2,1)),1+(1-$AU81))</f>
        <v/>
      </c>
      <c r="BL81" s="172">
        <f>MIN(IF($AU81=100%,1,1+VLOOKUP(($AJ81-$AI81-$AH81-$AG81-$AF81-$AE81*(1+BL$3))/$AJ81,'Технический лист'!$I:$J,2,1)-VLOOKUP($AO81,'Технический лист'!$I:$J,2,1)),1+(1-$AU81))</f>
        <v/>
      </c>
      <c r="BM81" s="172">
        <f>MIN(IF($AU81=100%,1,1+VLOOKUP(($AJ81-$AI81-$AH81-$AG81-$AF81-$AE81*(1+BM$3))/$AJ81,'Технический лист'!$I:$J,2,1)-VLOOKUP($AO81,'Технический лист'!$I:$J,2,1)),1+(1-$AU81))</f>
        <v/>
      </c>
      <c r="BN81" s="172">
        <f>MIN(IF($AU81=100%,1,1+VLOOKUP(($AJ81-$AI81-$AH81-$AG81-$AF81-$AE81*(1+BN$3))/$AJ81,'Технический лист'!$I:$J,2,1)-VLOOKUP($AO81,'Технический лист'!$I:$J,2,1)),1+(1-$AU81))</f>
        <v/>
      </c>
      <c r="BO81" s="172">
        <f>MIN(IF($AU81=100%,1,1+VLOOKUP(($AJ81-$AI81-$AH81-$AG81-$AF81-$AE81*(1+BO$3))/$AJ81,'Технический лист'!$I:$J,2,1)-VLOOKUP($AO81,'Технический лист'!$I:$J,2,1)),1+(1-$AU81))</f>
        <v/>
      </c>
      <c r="BP81" s="172">
        <f>MIN(IF($AU81=100%,1,1+VLOOKUP(($AJ81-$AI81-$AH81-$AG81-$AF81-$AE81*(1+BP$3))/$AJ81,'Технический лист'!$I:$J,2,1)-VLOOKUP($AO81,'Технический лист'!$I:$J,2,1)),1+(1-$AU81))</f>
        <v/>
      </c>
      <c r="BQ81" s="172">
        <f>MIN(IF($AU81=100%,1,1+VLOOKUP(($AJ81-$AI81-$AH81-$AG81-$AF81-$AE81*(1+BQ$3))/$AJ81,'Технический лист'!$I:$J,2,1)-VLOOKUP($AO81,'Технический лист'!$I:$J,2,1)),1+(1-$AU81))</f>
        <v/>
      </c>
      <c r="BR81" s="172">
        <f>MIN(IF($AU81=100%,1,1+VLOOKUP(($AJ81-$AI81-$AH81-$AG81-$AF81-$AE81*(1+BR$3))/$AJ81,'Технический лист'!$I:$J,2,1)-VLOOKUP($AO81,'Технический лист'!$I:$J,2,1)),1+(1-$AU81))</f>
        <v/>
      </c>
      <c r="BS81" s="172">
        <f>MIN(IF($AU81=100%,1,1+VLOOKUP(($AJ81-$AI81-$AH81-$AG81-$AF81-$AE81*(1+BS$3))/$AJ81,'Технический лист'!$I:$J,2,1)-VLOOKUP($AO81,'Технический лист'!$I:$J,2,1)),1+(1-$AU81))</f>
        <v/>
      </c>
      <c r="BT81" s="172">
        <f>MIN(IF($AU81=100%,1,1+VLOOKUP(($AJ81-$AI81-$AH81-$AG81-$AF81-$AE81*(1+BT$3))/$AJ81,'Технический лист'!$I:$J,2,1)-VLOOKUP($AO81,'Технический лист'!$I:$J,2,1)),1+(1-$AU81))</f>
        <v/>
      </c>
      <c r="BU81" s="172">
        <f>MIN(IF($AU81=100%,1,1+VLOOKUP(($AJ81-$AI81-$AH81-$AG81-$AF81-$AE81*(1+BU$3))/$AJ81,'Технический лист'!$I:$J,2,1)-VLOOKUP($AO81,'Технический лист'!$I:$J,2,1)),1+(1-$AU81))</f>
        <v/>
      </c>
      <c r="BV81" s="172">
        <f>MIN(IF($AU81=100%,1,1+VLOOKUP(($AJ81-$AI81-$AH81-$AG81-$AF81-$AE81*(1+BV$3))/$AJ81,'Технический лист'!$I:$J,2,1)-VLOOKUP($AO81,'Технический лист'!$I:$J,2,1)),1+(1-$AU81))</f>
        <v/>
      </c>
      <c r="BW81" s="172">
        <f>MIN(IF($AU81=100%,1,1+VLOOKUP(($AJ81-$AI81-$AH81-$AG81-$AF81-$AE81*(1+BW$3))/$AJ81,'Технический лист'!$I:$J,2,1)-VLOOKUP($AO81,'Технический лист'!$I:$J,2,1)),1+(1-$AU81))</f>
        <v/>
      </c>
      <c r="BX81" s="172">
        <f>MIN(IF($AU81=100%,1,1+VLOOKUP(($AJ81-$AI81-$AH81-$AG81-$AF81-$AE81*(1+BX$3))/$AJ81,'Технический лист'!$I:$J,2,1)-VLOOKUP($AO81,'Технический лист'!$I:$J,2,1)),1+(1-$AU81))</f>
        <v/>
      </c>
      <c r="BY81" s="172">
        <f>MIN(IF($AU81=100%,1,1+VLOOKUP(($AJ81-$AI81-$AH81-$AG81-$AF81-$AE81*(1+BY$3))/$AJ81,'Технический лист'!$I:$J,2,1)-VLOOKUP($AO81,'Технический лист'!$I:$J,2,1)),1+(1-$AU81))</f>
        <v/>
      </c>
      <c r="BZ81" s="172">
        <f>MIN(IF($AU81=100%,1,1+VLOOKUP(($AJ81-$AI81-$AH81-$AG81-$AF81-$AE81*(1+BZ$3))/$AJ81,'Технический лист'!$I:$J,2,1)-VLOOKUP($AO81,'Технический лист'!$I:$J,2,1)),1+(1-$AU81))</f>
        <v/>
      </c>
      <c r="CA81" s="172">
        <f>MIN(IF($AU81=100%,1,1+VLOOKUP(($AJ81-$AI81-$AH81-$AG81-$AF81-$AE81*(1+CA$3))/$AJ81,'Технический лист'!$I:$J,2,1)-VLOOKUP($AO81,'Технический лист'!$I:$J,2,1)),1+(1-$AU81))</f>
        <v/>
      </c>
      <c r="CB81" s="172">
        <f>MIN(IF($AU81=100%,1,1+VLOOKUP(($AJ81-$AI81-$AH81-$AG81-$AF81-$AE81*(1+CB$3))/$AJ81,'Технический лист'!$I:$J,2,1)-VLOOKUP($AO81,'Технический лист'!$I:$J,2,1)),1+(1-$AU81))</f>
        <v/>
      </c>
      <c r="CC81" s="172">
        <f>MIN(IF($AU81=100%,1,1+VLOOKUP(($AJ81-$AI81-$AH81-$AG81-$AF81-$AE81*(1+CC$3))/$AJ81,'Технический лист'!$I:$J,2,1)-VLOOKUP($AO81,'Технический лист'!$I:$J,2,1)),1+(1-$AU81))</f>
        <v/>
      </c>
      <c r="CD81" s="172">
        <f>MIN(IF($AU81=100%,1,1+VLOOKUP(($AJ81-$AI81-$AH81-$AG81-$AF81-$AE81*(1+CD$3))/$AJ81,'Технический лист'!$I:$J,2,1)-VLOOKUP($AO81,'Технический лист'!$I:$J,2,1)),1+(1-$AU81))</f>
        <v/>
      </c>
      <c r="CE81" s="172">
        <f>MIN(IF($AU81=100%,1,1+VLOOKUP(($AJ81-$AI81-$AH81-$AG81-$AF81-$AE81*(1+CE$3))/$AJ81,'Технический лист'!$I:$J,2,1)-VLOOKUP($AO81,'Технический лист'!$I:$J,2,1)),1+(1-$AU81))</f>
        <v/>
      </c>
      <c r="CF81" s="172">
        <f>MIN(IF($AU81=100%,1,1+VLOOKUP(($AJ81-$AI81-$AH81-$AG81-$AF81-$AE81*(1+CF$3))/$AJ81,'Технический лист'!$I:$J,2,1)-VLOOKUP($AO81,'Технический лист'!$I:$J,2,1)),1+(1-$AU81))</f>
        <v/>
      </c>
      <c r="CG81" s="172">
        <f>MIN(IF($AU81=100%,1,1+VLOOKUP(($AJ81-$AI81-$AH81-$AG81-$AF81-$AE81*(1+CG$3))/$AJ81,'Технический лист'!$I:$J,2,1)-VLOOKUP($AO81,'Технический лист'!$I:$J,2,1)),1+(1-$AU81))</f>
        <v/>
      </c>
      <c r="CH81" s="172">
        <f>MIN(IF($AU81=100%,1,1+VLOOKUP(($AJ81-$AI81-$AH81-$AG81-$AF81-$AE81*(1+CH$3))/$AJ81,'Технический лист'!$I:$J,2,1)-VLOOKUP($AO81,'Технический лист'!$I:$J,2,1)),1+(1-$AU81))</f>
        <v/>
      </c>
      <c r="CI81" s="172">
        <f>MIN(IF($AU81=100%,1,1+VLOOKUP(($AJ81-$AI81-$AH81-$AG81-$AF81-$AE81*(1+CI$3))/$AJ81,'Технический лист'!$I:$J,2,1)-VLOOKUP($AO81,'Технический лист'!$I:$J,2,1)),1+(1-$AU81))</f>
        <v/>
      </c>
      <c r="CJ81" s="172">
        <f>MIN(IF($AU81=100%,1,1+VLOOKUP(($AJ81-$AI81-$AH81-$AG81-$AF81-$AE81*(1+CJ$3))/$AJ81,'Технический лист'!$I:$J,2,1)-VLOOKUP($AO81,'Технический лист'!$I:$J,2,1)),1+(1-$AU81))</f>
        <v/>
      </c>
      <c r="CK81" s="172">
        <f>MIN(IF($AU81=100%,1,1+VLOOKUP(($AJ81-$AI81-$AH81-$AG81-$AF81-$AE81*(1+CK$3))/$AJ81,'Технический лист'!$I:$J,2,1)-VLOOKUP($AO81,'Технический лист'!$I:$J,2,1)),1+(1-$AU81))</f>
        <v/>
      </c>
      <c r="CL81" s="172">
        <f>MIN(IF($AU81=100%,1,1+VLOOKUP(($AJ81-$AI81-$AH81-$AG81-$AF81-$AE81*(1+CL$3))/$AJ81,'Технический лист'!$I:$J,2,1)-VLOOKUP($AO81,'Технический лист'!$I:$J,2,1)),1+(1-$AU81))</f>
        <v/>
      </c>
      <c r="CM81" s="172">
        <f>MIN(IF($AU81=100%,1,1+VLOOKUP(($AJ81-$AI81-$AH81-$AG81-$AF81-$AE81*(1+CM$3))/$AJ81,'Технический лист'!$I:$J,2,1)-VLOOKUP($AO81,'Технический лист'!$I:$J,2,1)),1+(1-$AU81))</f>
        <v/>
      </c>
      <c r="CN81" s="172">
        <f>MIN(IF($AU81=100%,1,1+VLOOKUP(($AJ81-$AI81-$AH81-$AG81-$AF81-$AE81*(1+CN$3))/$AJ81,'Технический лист'!$I:$J,2,1)-VLOOKUP($AO81,'Технический лист'!$I:$J,2,1)),1+(1-$AU81))</f>
        <v/>
      </c>
      <c r="CO81" s="172">
        <f>MIN(IF($AU81=100%,1,1+VLOOKUP(($AJ81-$AI81-$AH81-$AG81-$AF81-$AE81*(1+CO$3))/$AJ81,'Технический лист'!$I:$J,2,1)-VLOOKUP($AO81,'Технический лист'!$I:$J,2,1)),1+(1-$AU81))</f>
        <v/>
      </c>
      <c r="CP81" s="172">
        <f>MIN(IF($AU81=100%,1,1+VLOOKUP(($AJ81-$AI81-$AH81-$AG81-$AF81-$AE81*(1+CP$3))/$AJ81,'Технический лист'!$I:$J,2,1)-VLOOKUP($AO81,'Технический лист'!$I:$J,2,1)),1+(1-$AU81))</f>
        <v/>
      </c>
      <c r="CQ81" s="172">
        <f>MIN(IF($AU81=100%,1,1+VLOOKUP(($AJ81-$AI81-$AH81-$AG81-$AF81-$AE81*(1+CQ$3))/$AJ81,'Технический лист'!$I:$J,2,1)-VLOOKUP($AO81,'Технический лист'!$I:$J,2,1)),1+(1-$AU81))</f>
        <v/>
      </c>
      <c r="CR81" s="172">
        <f>MIN(IF($AU81=100%,1,1+VLOOKUP(($AJ81-$AI81-$AH81-$AG81-$AF81-$AE81*(1+CR$3))/$AJ81,'Технический лист'!$I:$J,2,1)-VLOOKUP($AO81,'Технический лист'!$I:$J,2,1)),1+(1-$AU81))</f>
        <v/>
      </c>
      <c r="CS81" s="172">
        <f>MIN(IF($AU81=100%,1,1+VLOOKUP(($AJ81-$AI81-$AH81-$AG81-$AF81-$AE81*(1+CS$3))/$AJ81,'Технический лист'!$I:$J,2,1)-VLOOKUP($AO81,'Технический лист'!$I:$J,2,1)),1+(1-$AU81))</f>
        <v/>
      </c>
      <c r="CT81" s="172">
        <f>MIN(IF($AU81=100%,1,1+VLOOKUP(($AJ81-$AI81-$AH81-$AG81-$AF81-$AE81*(1+CT$3))/$AJ81,'Технический лист'!$I:$J,2,1)-VLOOKUP($AO81,'Технический лист'!$I:$J,2,1)),1+(1-$AU81))</f>
        <v/>
      </c>
      <c r="CU81" s="172">
        <f>MIN(IF($AU81=100%,1,1+VLOOKUP(($AJ81-$AI81-$AH81-$AG81-$AF81-$AE81*(1+CU$3))/$AJ81,'Технический лист'!$I:$J,2,1)-VLOOKUP($AO81,'Технический лист'!$I:$J,2,1)),1+(1-$AU81))</f>
        <v/>
      </c>
      <c r="CV81" s="172">
        <f>MIN(IF($AU81=100%,1,1+VLOOKUP(($AJ81-$AI81-$AH81-$AG81-$AF81-$AE81*(1+CV$3))/$AJ81,'Технический лист'!$I:$J,2,1)-VLOOKUP($AO81,'Технический лист'!$I:$J,2,1)),1+(1-$AU81))</f>
        <v/>
      </c>
      <c r="CW81" s="172">
        <f>MIN(IF($AU81=100%,1,1+VLOOKUP(($AJ81-$AI81-$AH81-$AG81-$AF81-$AE81*(1+CW$3))/$AJ81,'Технический лист'!$I:$J,2,1)-VLOOKUP($AO81,'Технический лист'!$I:$J,2,1)),1+(1-$AU81))</f>
        <v/>
      </c>
      <c r="CX81" s="172">
        <f>MIN(IF($AU81=100%,1,1+VLOOKUP(($AJ81-$AI81-$AH81-$AG81-$AF81-$AE81*(1+CX$3))/$AJ81,'Технический лист'!$I:$J,2,1)-VLOOKUP($AO81,'Технический лист'!$I:$J,2,1)),1+(1-$AU81))</f>
        <v/>
      </c>
      <c r="CY81" s="172">
        <f>MIN(IF($AU81=100%,1,1+VLOOKUP(($AJ81-$AI81-$AH81-$AG81-$AF81-$AE81*(1+CY$3))/$AJ81,'Технический лист'!$I:$J,2,1)-VLOOKUP($AO81,'Технический лист'!$I:$J,2,1)),1+(1-$AU81))</f>
        <v/>
      </c>
      <c r="CZ81" s="172">
        <f>MIN(IF($AU81=100%,1,1+VLOOKUP(($AJ81-$AI81-$AH81-$AG81-$AF81-$AE81*(1+CZ$3))/$AJ81,'Технический лист'!$I:$J,2,1)-VLOOKUP($AO81,'Технический лист'!$I:$J,2,1)),1+(1-$AU81))</f>
        <v/>
      </c>
      <c r="DA81" s="172">
        <f>MIN(IF($AU81=100%,1,1+VLOOKUP(($AJ81-$AI81-$AH81-$AG81-$AF81-$AE81*(1+DA$3))/$AJ81,'Технический лист'!$I:$J,2,1)-VLOOKUP($AO81,'Технический лист'!$I:$J,2,1)),1+(1-$AU81))</f>
        <v/>
      </c>
      <c r="DB81" s="172">
        <f>MIN(IF($AU81=100%,1,1+VLOOKUP(($AJ81-$AI81-$AH81-$AG81-$AF81-$AE81*(1+DB$3))/$AJ81,'Технический лист'!$I:$J,2,1)-VLOOKUP($AO81,'Технический лист'!$I:$J,2,1)),1+(1-$AU81))</f>
        <v/>
      </c>
      <c r="DC81" s="172">
        <f>MIN(IF($AU81=100%,1,1+VLOOKUP(($AJ81-$AI81-$AH81-$AG81-$AF81-$AE81*(1+DC$3))/$AJ81,'Технический лист'!$I:$J,2,1)-VLOOKUP($AO81,'Технический лист'!$I:$J,2,1)),1+(1-$AU81))</f>
        <v/>
      </c>
      <c r="DD81" s="172">
        <f>MIN(IF($AU81=100%,1,1+VLOOKUP(($AJ81-$AI81-$AH81-$AG81-$AF81-$AE81*(1+DD$3))/$AJ81,'Технический лист'!$I:$J,2,1)-VLOOKUP($AO81,'Технический лист'!$I:$J,2,1)),1+(1-$AU81))</f>
        <v/>
      </c>
      <c r="DE81" s="172">
        <f>MIN(IF($AU81=100%,1,1+VLOOKUP(($AJ81-$AI81-$AH81-$AG81-$AF81-$AE81*(1+DE$3))/$AJ81,'Технический лист'!$I:$J,2,1)-VLOOKUP($AO81,'Технический лист'!$I:$J,2,1)),1+(1-$AU81))</f>
        <v/>
      </c>
      <c r="DF81" s="172">
        <f>MIN(IF($AU81=100%,1,1+VLOOKUP(($AJ81-$AI81-$AH81-$AG81-$AF81-$AE81*(1+DF$3))/$AJ81,'Технический лист'!$I:$J,2,1)-VLOOKUP($AO81,'Технический лист'!$I:$J,2,1)),1+(1-$AU81))</f>
        <v/>
      </c>
      <c r="DG81" s="172">
        <f>MIN(IF($AU81=100%,1,1+VLOOKUP(($AJ81-$AI81-$AH81-$AG81-$AF81-$AE81*(1+DG$3))/$AJ81,'Технический лист'!$I:$J,2,1)-VLOOKUP($AO81,'Технический лист'!$I:$J,2,1)),1+(1-$AU81))</f>
        <v/>
      </c>
      <c r="DH81" s="172">
        <f>MIN(IF($AU81=100%,1,1+VLOOKUP(($AJ81-$AI81-$AH81-$AG81-$AF81-$AE81*(1+DH$3))/$AJ81,'Технический лист'!$I:$J,2,1)-VLOOKUP($AO81,'Технический лист'!$I:$J,2,1)),1+(1-$AU81))</f>
        <v/>
      </c>
      <c r="DI81" s="172">
        <f>MIN(IF($AU81=100%,1,1+VLOOKUP(($AJ81-$AI81-$AH81-$AG81-$AF81-$AE81*(1+DI$3))/$AJ81,'Технический лист'!$I:$J,2,1)-VLOOKUP($AO81,'Технический лист'!$I:$J,2,1)),1+(1-$AU81))</f>
        <v/>
      </c>
      <c r="DJ81" s="172">
        <f>MIN(IF($AU81=100%,1,1+VLOOKUP(($AJ81-$AI81-$AH81-$AG81-$AF81-$AE81*(1+DJ$3))/$AJ81,'Технический лист'!$I:$J,2,1)-VLOOKUP($AO81,'Технический лист'!$I:$J,2,1)),1+(1-$AU81))</f>
        <v/>
      </c>
      <c r="DK81" s="172">
        <f>MIN(IF($AU81=100%,1,1+VLOOKUP(($AJ81-$AI81-$AH81-$AG81-$AF81-$AE81*(1+DK$3))/$AJ81,'Технический лист'!$I:$J,2,1)-VLOOKUP($AO81,'Технический лист'!$I:$J,2,1)),1+(1-$AU81))</f>
        <v/>
      </c>
      <c r="DL81" s="172">
        <f>MIN(IF($AU81=100%,1,1+VLOOKUP(($AJ81-$AI81-$AH81-$AG81-$AF81-$AE81*(1+DL$3))/$AJ81,'Технический лист'!$I:$J,2,1)-VLOOKUP($AO81,'Технический лист'!$I:$J,2,1)),1+(1-$AU81))</f>
        <v/>
      </c>
      <c r="DM81" s="172">
        <f>MIN(IF($AU81=100%,1,1+VLOOKUP(($AJ81-$AI81-$AH81-$AG81-$AF81-$AE81*(1+DM$3))/$AJ81,'Технический лист'!$I:$J,2,1)-VLOOKUP($AO81,'Технический лист'!$I:$J,2,1)),1+(1-$AU81))</f>
        <v/>
      </c>
      <c r="DN81" s="172">
        <f>MIN(IF($AU81=100%,1,1+VLOOKUP(($AJ81-$AI81-$AH81-$AG81-$AF81-$AE81*(1+DN$3))/$AJ81,'Технический лист'!$I:$J,2,1)-VLOOKUP($AO81,'Технический лист'!$I:$J,2,1)),1+(1-$AU81))</f>
        <v/>
      </c>
      <c r="DO81" s="172">
        <f>MIN(IF($AU81=100%,1,1+VLOOKUP(($AJ81-$AI81-$AH81-$AG81-$AF81-$AE81*(1+DO$3))/$AJ81,'Технический лист'!$I:$J,2,1)-VLOOKUP($AO81,'Технический лист'!$I:$J,2,1)),1+(1-$AU81))</f>
        <v/>
      </c>
      <c r="DP81" s="172">
        <f>MIN(IF($AU81=100%,1,1+VLOOKUP(($AJ81-$AI81-$AH81-$AG81-$AF81-$AE81*(1+DP$3))/$AJ81,'Технический лист'!$I:$J,2,1)-VLOOKUP($AO81,'Технический лист'!$I:$J,2,1)),1+(1-$AU81))</f>
        <v/>
      </c>
      <c r="DQ81" s="172">
        <f>MIN(IF($AU81=100%,1,1+VLOOKUP(($AJ81-$AI81-$AH81-$AG81-$AF81-$AE81*(1+DQ$3))/$AJ81,'Технический лист'!$I:$J,2,1)-VLOOKUP($AO81,'Технический лист'!$I:$J,2,1)),1+(1-$AU81))</f>
        <v/>
      </c>
      <c r="DR81" s="172">
        <f>MIN(IF($AU81=100%,1,1+VLOOKUP(($AJ81-$AI81-$AH81-$AG81-$AF81-$AE81*(1+DR$3))/$AJ81,'Технический лист'!$I:$J,2,1)-VLOOKUP($AO81,'Технический лист'!$I:$J,2,1)),1+(1-$AU81))</f>
        <v/>
      </c>
      <c r="DS81" s="172">
        <f>MIN(IF($AU81=100%,1,1+VLOOKUP(($AJ81-$AI81-$AH81-$AG81-$AF81-$AE81*(1+DS$3))/$AJ81,'Технический лист'!$I:$J,2,1)-VLOOKUP($AO81,'Технический лист'!$I:$J,2,1)),1+(1-$AU81))</f>
        <v/>
      </c>
      <c r="DT81" s="172">
        <f>MIN(IF($AU81=100%,1,1+VLOOKUP(($AJ81-$AI81-$AH81-$AG81-$AF81-$AE81*(1+DT$3))/$AJ81,'Технический лист'!$I:$J,2,1)-VLOOKUP($AO81,'Технический лист'!$I:$J,2,1)),1+(1-$AU81))</f>
        <v/>
      </c>
      <c r="DU81" s="172">
        <f>MIN(IF($AU81=100%,1,1+VLOOKUP(($AJ81-$AI81-$AH81-$AG81-$AF81-$AE81*(1+DU$3))/$AJ81,'Технический лист'!$I:$J,2,1)-VLOOKUP($AO81,'Технический лист'!$I:$J,2,1)),1+(1-$AU81))</f>
        <v/>
      </c>
      <c r="DV81" s="172">
        <f>MIN(IF($AU81=100%,1,1+VLOOKUP(($AJ81-$AI81-$AH81-$AG81-$AF81-$AE81*(1+DV$3))/$AJ81,'Технический лист'!$I:$J,2,1)-VLOOKUP($AO81,'Технический лист'!$I:$J,2,1)),1+(1-$AU81))</f>
        <v/>
      </c>
      <c r="DW81" s="172">
        <f>MIN(IF($AU81=100%,1,1+VLOOKUP(($AJ81-$AI81-$AH81-$AG81-$AF81-$AE81*(1+DW$3))/$AJ81,'Технический лист'!$I:$J,2,1)-VLOOKUP($AO81,'Технический лист'!$I:$J,2,1)),1+(1-$AU81))</f>
        <v/>
      </c>
      <c r="DX81" s="172">
        <f>MIN(IF($AU81=100%,1,1+VLOOKUP(($AJ81-$AI81-$AH81-$AG81-$AF81-$AE81*(1+DX$3))/$AJ81,'Технический лист'!$I:$J,2,1)-VLOOKUP($AO81,'Технический лист'!$I:$J,2,1)),1+(1-$AU81))</f>
        <v/>
      </c>
      <c r="DY81" s="172">
        <f>MIN(IF($AU81=100%,1,1+VLOOKUP(($AJ81-$AI81-$AH81-$AG81-$AF81-$AE81*(1+DY$3))/$AJ81,'Технический лист'!$I:$J,2,1)-VLOOKUP($AO81,'Технический лист'!$I:$J,2,1)),1+(1-$AU81))</f>
        <v/>
      </c>
      <c r="DZ81" s="172">
        <f>MIN(IF($AU81=100%,1,1+VLOOKUP(($AJ81-$AI81-$AH81-$AG81-$AF81-$AE81*(1+DZ$3))/$AJ81,'Технический лист'!$I:$J,2,1)-VLOOKUP($AO81,'Технический лист'!$I:$J,2,1)),1+(1-$AU81))</f>
        <v/>
      </c>
      <c r="EA81" s="172">
        <f>MIN(IF($AU81=100%,1,1+VLOOKUP(($AJ81-$AI81-$AH81-$AG81-$AF81-$AE81*(1+EA$3))/$AJ81,'Технический лист'!$I:$J,2,1)-VLOOKUP($AO81,'Технический лист'!$I:$J,2,1)),1+(1-$AU81))</f>
        <v/>
      </c>
      <c r="EB81" s="172">
        <f>MIN(IF($AU81=100%,1,1+VLOOKUP(($AJ81-$AI81-$AH81-$AG81-$AF81-$AE81*(1+EB$3))/$AJ81,'Технический лист'!$I:$J,2,1)-VLOOKUP($AO81,'Технический лист'!$I:$J,2,1)),1+(1-$AU81))</f>
        <v/>
      </c>
      <c r="EC81" s="172">
        <f>MIN(IF($AU81=100%,1,1+VLOOKUP(($AJ81-$AI81-$AH81-$AG81-$AF81-$AE81*(1+EC$3))/$AJ81,'Технический лист'!$I:$J,2,1)-VLOOKUP($AO81,'Технический лист'!$I:$J,2,1)),1+(1-$AU81))</f>
        <v/>
      </c>
      <c r="ED81" s="172">
        <f>MIN(IF($AU81=100%,1,1+VLOOKUP(($AJ81-$AI81-$AH81-$AG81-$AF81-$AE81*(1+ED$3))/$AJ81,'Технический лист'!$I:$J,2,1)-VLOOKUP($AO81,'Технический лист'!$I:$J,2,1)),1+(1-$AU81))</f>
        <v/>
      </c>
      <c r="EE81" s="172">
        <f>MIN(IF($AU81=100%,1,1+VLOOKUP(($AJ81-$AI81-$AH81-$AG81-$AF81-$AE81*(1+EE$3))/$AJ81,'Технический лист'!$I:$J,2,1)-VLOOKUP($AO81,'Технический лист'!$I:$J,2,1)),1+(1-$AU81))</f>
        <v/>
      </c>
      <c r="EF81" s="172">
        <f>MIN(IF($AU81=100%,1,1+VLOOKUP(($AJ81-$AI81-$AH81-$AG81-$AF81-$AE81*(1+EF$3))/$AJ81,'Технический лист'!$I:$J,2,1)-VLOOKUP($AO81,'Технический лист'!$I:$J,2,1)),1+(1-$AU81))</f>
        <v/>
      </c>
      <c r="EG81" s="172">
        <f>MIN(IF($AU81=100%,1,1+VLOOKUP(($AJ81-$AI81-$AH81-$AG81-$AF81-$AE81*(1+EG$3))/$AJ81,'Технический лист'!$I:$J,2,1)-VLOOKUP($AO81,'Технический лист'!$I:$J,2,1)),1+(1-$AU81))</f>
        <v/>
      </c>
      <c r="EH81" s="172">
        <f>MIN(IF($AU81=100%,1,1+VLOOKUP(($AJ81-$AI81-$AH81-$AG81-$AF81-$AE81*(1+EH$3))/$AJ81,'Технический лист'!$I:$J,2,1)-VLOOKUP($AO81,'Технический лист'!$I:$J,2,1)),1+(1-$AU81))</f>
        <v/>
      </c>
      <c r="EI81" s="172">
        <f>MIN(IF($AU81=100%,1,1+VLOOKUP(($AJ81-$AI81-$AH81-$AG81-$AF81-$AE81*(1+EI$3))/$AJ81,'Технический лист'!$I:$J,2,1)-VLOOKUP($AO81,'Технический лист'!$I:$J,2,1)),1+(1-$AU81))</f>
        <v/>
      </c>
      <c r="EJ81" s="172">
        <f>MIN(IF($AU81=100%,1,1+VLOOKUP(($AJ81-$AI81-$AH81-$AG81-$AF81-$AE81*(1+EJ$3))/$AJ81,'Технический лист'!$I:$J,2,1)-VLOOKUP($AO81,'Технический лист'!$I:$J,2,1)),1+(1-$AU81))</f>
        <v/>
      </c>
      <c r="EK81" s="172">
        <f>MIN(IF($AU81=100%,1,1+VLOOKUP(($AJ81-$AI81-$AH81-$AG81-$AF81-$AE81*(1+EK$3))/$AJ81,'Технический лист'!$I:$J,2,1)-VLOOKUP($AO81,'Технический лист'!$I:$J,2,1)),1+(1-$AU81))</f>
        <v/>
      </c>
      <c r="EL81" s="172">
        <f>MIN(IF($AU81=100%,1,1+VLOOKUP(($AJ81-$AI81-$AH81-$AG81-$AF81-$AE81*(1+EL$3))/$AJ81,'Технический лист'!$I:$J,2,1)-VLOOKUP($AO81,'Технический лист'!$I:$J,2,1)),1+(1-$AU81))</f>
        <v/>
      </c>
      <c r="EM81" s="172">
        <f>MIN(IF($AU81=100%,1,1+VLOOKUP(($AJ81-$AI81-$AH81-$AG81-$AF81-$AE81*(1+EM$3))/$AJ81,'Технический лист'!$I:$J,2,1)-VLOOKUP($AO81,'Технический лист'!$I:$J,2,1)),1+(1-$AU81))</f>
        <v/>
      </c>
      <c r="EN81" s="172">
        <f>MIN(IF($AU81=100%,1,1+VLOOKUP(($AJ81-$AI81-$AH81-$AG81-$AF81-$AE81*(1+EN$3))/$AJ81,'Технический лист'!$I:$J,2,1)-VLOOKUP($AO81,'Технический лист'!$I:$J,2,1)),1+(1-$AU81))</f>
        <v/>
      </c>
      <c r="EO81" s="172">
        <f>MIN(IF($AU81=100%,1,1+VLOOKUP(($AJ81-$AI81-$AH81-$AG81-$AF81-$AE81*(1+EO$3))/$AJ81,'Технический лист'!$I:$J,2,1)-VLOOKUP($AO81,'Технический лист'!$I:$J,2,1)),1+(1-$AU81))</f>
        <v/>
      </c>
      <c r="EP81" s="172">
        <f>MIN(IF($AU81=100%,1,1+VLOOKUP(($AJ81-$AI81-$AH81-$AG81-$AF81-$AE81*(1+EP$3))/$AJ81,'Технический лист'!$I:$J,2,1)-VLOOKUP($AO81,'Технический лист'!$I:$J,2,1)),1+(1-$AU81))</f>
        <v/>
      </c>
      <c r="EQ81" s="172">
        <f>MIN(IF($AU81=100%,1,1+VLOOKUP(($AJ81-$AI81-$AH81-$AG81-$AF81-$AE81*(1+EQ$3))/$AJ81,'Технический лист'!$I:$J,2,1)-VLOOKUP($AO81,'Технический лист'!$I:$J,2,1)),1+(1-$AU81))</f>
        <v/>
      </c>
      <c r="ER81" s="172">
        <f>MIN(IF($AU81=100%,1,1+VLOOKUP(($AJ81-$AI81-$AH81-$AG81-$AF81-$AE81*(1+ER$3))/$AJ81,'Технический лист'!$I:$J,2,1)-VLOOKUP($AO81,'Технический лист'!$I:$J,2,1)),1+(1-$AU81))</f>
        <v/>
      </c>
      <c r="ES81" s="172">
        <f>MIN(IF($AU81=100%,1,1+VLOOKUP(($AJ81-$AI81-$AH81-$AG81-$AF81-$AE81*(1+ES$3))/$AJ81,'Технический лист'!$I:$J,2,1)-VLOOKUP($AO81,'Технический лист'!$I:$J,2,1)),1+(1-$AU81))</f>
        <v/>
      </c>
      <c r="ET81" s="172">
        <f>MIN(IF($AU81=100%,1,1+VLOOKUP(($AJ81-$AI81-$AH81-$AG81-$AF81-$AE81*(1+ET$3))/$AJ81,'Технический лист'!$I:$J,2,1)-VLOOKUP($AO81,'Технический лист'!$I:$J,2,1)),1+(1-$AU81))</f>
        <v/>
      </c>
      <c r="EU81" s="172">
        <f>MIN(IF($AU81=100%,1,1+VLOOKUP(($AJ81-$AI81-$AH81-$AG81-$AF81-$AE81*(1+EU$3))/$AJ81,'Технический лист'!$I:$J,2,1)-VLOOKUP($AO81,'Технический лист'!$I:$J,2,1)),1+(1-$AU81))</f>
        <v/>
      </c>
      <c r="EV81" s="173" t="n">
        <v>1</v>
      </c>
      <c r="EW81" s="172">
        <f>MIN(1,MAX(VLOOKUP(($AJ81-$AI81-$AH81-$AG81-$AF81-$AE81*(1+EW$3))/$AJ81,'Технический лист'!$A:$B,2,1),(EV81-0.05)))</f>
        <v/>
      </c>
      <c r="EX81" s="172">
        <f>MIN(1,MAX(VLOOKUP(($AJ81-$AI81-$AH81-$AG81-$AF81-$AE81*(1+EX$3))/$AJ81,'Технический лист'!$A:$B,2,1),(EW81-0.05)))</f>
        <v/>
      </c>
      <c r="EY81" s="172">
        <f>MIN(1,MAX(VLOOKUP(($AJ81-$AI81-$AH81-$AG81-$AF81-$AE81*(1+EY$3))/$AJ81,'Технический лист'!$A:$B,2,1),(EX81-0.05)))</f>
        <v/>
      </c>
      <c r="EZ81" s="172">
        <f>MIN(1,MAX(VLOOKUP(($AJ81-$AI81-$AH81-$AG81-$AF81-$AE81*(1+EZ$3))/$AJ81,'Технический лист'!$A:$B,2,1),(EY81-0.05)))</f>
        <v/>
      </c>
      <c r="FA81" s="172">
        <f>MIN(1,MAX(VLOOKUP(($AJ81-$AI81-$AH81-$AG81-$AF81-$AE81*(1+FA$3))/$AJ81,'Технический лист'!$A:$B,2,1),(EZ81-0.05)))</f>
        <v/>
      </c>
      <c r="FB81" s="172">
        <f>MIN(1,MAX(VLOOKUP(($AJ81-$AI81-$AH81-$AG81-$AF81-$AE81*(1+FB$3))/$AJ81,'Технический лист'!$A:$B,2,1),(FA81-0.05)))</f>
        <v/>
      </c>
      <c r="FC81" s="172">
        <f>MIN(1,MAX(VLOOKUP(($AJ81-$AI81-$AH81-$AG81-$AF81-$AE81*(1+FC$3))/$AJ81,'Технический лист'!$A:$B,2,1),(FB81-0.05)))</f>
        <v/>
      </c>
      <c r="FD81" s="172">
        <f>MIN(1,MAX(VLOOKUP(($AJ81-$AI81-$AH81-$AG81-$AF81-$AE81*(1+FD$3))/$AJ81,'Технический лист'!$A:$B,2,1),(FC81-0.05)))</f>
        <v/>
      </c>
      <c r="FE81" s="172">
        <f>MIN(1,MAX(VLOOKUP(($AJ81-$AI81-$AH81-$AG81-$AF81-$AE81*(1+FE$3))/$AJ81,'Технический лист'!$A:$B,2,1),(FD81-0.05)))</f>
        <v/>
      </c>
      <c r="FF81" s="172">
        <f>MIN(1,MAX(VLOOKUP(($AJ81-$AI81-$AH81-$AG81-$AF81-$AE81*(1+FF$3))/$AJ81,'Технический лист'!$A:$B,2,1),(FE81-0.05)))</f>
        <v/>
      </c>
      <c r="FG81" s="172">
        <f>MIN(1,MAX(VLOOKUP(($AJ81-$AI81-$AH81-$AG81-$AF81-$AE81*(1+FG$3))/$AJ81,'Технический лист'!$A:$B,2,1),(FF81-0.05)))</f>
        <v/>
      </c>
      <c r="FH81" s="172">
        <f>MIN(1,MAX(VLOOKUP(($AJ81-$AI81-$AH81-$AG81-$AF81-$AE81*(1+FH$3))/$AJ81,'Технический лист'!$A:$B,2,1),(FG81-0.05)))</f>
        <v/>
      </c>
      <c r="FI81" s="172">
        <f>MIN(1,MAX(VLOOKUP(($AJ81-$AI81-$AH81-$AG81-$AF81-$AE81*(1+FI$3))/$AJ81,'Технический лист'!$A:$B,2,1),(FH81-0.05)))</f>
        <v/>
      </c>
      <c r="FJ81" s="172">
        <f>MIN(1,MAX(VLOOKUP(($AJ81-$AI81-$AH81-$AG81-$AF81-$AE81*(1+FJ$3))/$AJ81,'Технический лист'!$A:$B,2,1),(FI81-0.05)))</f>
        <v/>
      </c>
      <c r="FK81" s="172">
        <f>MIN(1,MAX(VLOOKUP(($AJ81-$AI81-$AH81-$AG81-$AF81-$AE81*(1+FK$3))/$AJ81,'Технический лист'!$A:$B,2,1),(FJ81-0.05)))</f>
        <v/>
      </c>
      <c r="FL81" s="172">
        <f>MIN(1,MAX(VLOOKUP(($AJ81-$AI81-$AH81-$AG81-$AF81-$AE81*(1+FL$3))/$AJ81,'Технический лист'!$A:$B,2,1),(FK81-0.05)))</f>
        <v/>
      </c>
      <c r="FM81" s="172">
        <f>MIN(1,MAX(VLOOKUP(($AJ81-$AI81-$AH81-$AG81-$AF81-$AE81*(1+FM$3))/$AJ81,'Технический лист'!$A:$B,2,1),(FL81-0.05)))</f>
        <v/>
      </c>
      <c r="FN81" s="172">
        <f>MIN(1,MAX(VLOOKUP(($AJ81-$AI81-$AH81-$AG81-$AF81-$AE81*(1+FN$3))/$AJ81,'Технический лист'!$A:$B,2,1),(FM81-0.05)))</f>
        <v/>
      </c>
      <c r="FO81" s="172">
        <f>MIN(1,MAX(VLOOKUP(($AJ81-$AI81-$AH81-$AG81-$AF81-$AE81*(1+FO$3))/$AJ81,'Технический лист'!$A:$B,2,1),(FN81-0.05)))</f>
        <v/>
      </c>
      <c r="FP81" s="172">
        <f>MIN(1,MAX(VLOOKUP(($AJ81-$AI81-$AH81-$AG81-$AF81-$AE81*(1+FP$3))/$AJ81,'Технический лист'!$A:$B,2,1),(FO81-0.05)))</f>
        <v/>
      </c>
      <c r="FQ81" s="172">
        <f>MIN(1,MAX(VLOOKUP(($AJ81-$AI81-$AH81-$AG81-$AF81-$AE81*(1+FQ$3))/$AJ81,'Технический лист'!$A:$B,2,1),(FP81-0.05)))</f>
        <v/>
      </c>
      <c r="FR81" s="172">
        <f>MIN(1,MAX(VLOOKUP(($AJ81-$AI81-$AH81-$AG81-$AF81-$AE81*(1+FR$3))/$AJ81,'Технический лист'!$A:$B,2,1),(FQ81-0.05)))</f>
        <v/>
      </c>
      <c r="FS81" s="172">
        <f>MIN(1,MAX(VLOOKUP(($AJ81-$AI81-$AH81-$AG81-$AF81-$AE81*(1+FS$3))/$AJ81,'Технический лист'!$A:$B,2,1),(FR81-0.05)))</f>
        <v/>
      </c>
      <c r="FT81" s="172">
        <f>MIN(1,MAX(VLOOKUP(($AJ81-$AI81-$AH81-$AG81-$AF81-$AE81*(1+FT$3))/$AJ81,'Технический лист'!$A:$B,2,1),(FS81-0.05)))</f>
        <v/>
      </c>
      <c r="FU81" s="172">
        <f>MIN(1,MAX(VLOOKUP(($AJ81-$AI81-$AH81-$AG81-$AF81-$AE81*(1+FU$3))/$AJ81,'Технический лист'!$A:$B,2,1),(FT81-0.05)))</f>
        <v/>
      </c>
      <c r="FV81" s="172">
        <f>MIN(1,MAX(VLOOKUP(($AJ81-$AI81-$AH81-$AG81-$AF81-$AE81*(1+FV$3))/$AJ81,'Технический лист'!$A:$B,2,1),(FU81-0.05)))</f>
        <v/>
      </c>
      <c r="FW81" s="172">
        <f>MIN(1,MAX(VLOOKUP(($AJ81-$AI81-$AH81-$AG81-$AF81-$AE81*(1+FW$3))/$AJ81,'Технический лист'!$A:$B,2,1),(FV81-0.05)))</f>
        <v/>
      </c>
      <c r="FX81" s="172">
        <f>MIN(1,MAX(VLOOKUP(($AJ81-$AI81-$AH81-$AG81-$AF81-$AE81*(1+FX$3))/$AJ81,'Технический лист'!$A:$B,2,1),(FW81-0.05)))</f>
        <v/>
      </c>
      <c r="FY81" s="172">
        <f>MIN(1,MAX(VLOOKUP(($AJ81-$AI81-$AH81-$AG81-$AF81-$AE81*(1+FY$3))/$AJ81,'Технический лист'!$A:$B,2,1),(FX81-0.05)))</f>
        <v/>
      </c>
      <c r="FZ81" s="172">
        <f>MIN(1,MAX(VLOOKUP(($AJ81-$AI81-$AH81-$AG81-$AF81-$AE81*(1+FZ$3))/$AJ81,'Технический лист'!$A:$B,2,1),(FY81-0.05)))</f>
        <v/>
      </c>
      <c r="GA81" s="172">
        <f>MIN(1,MAX(VLOOKUP(($AJ81-$AI81-$AH81-$AG81-$AF81-$AE81*(1+GA$3))/$AJ81,'Технический лист'!$A:$B,2,1),(FZ81-0.05)))</f>
        <v/>
      </c>
      <c r="GB81" s="172">
        <f>MIN(1,MAX(VLOOKUP(($AJ81-$AI81-$AH81-$AG81-$AF81-$AE81*(1+GB$3))/$AJ81,'Технический лист'!$A:$B,2,1),(GA81-0.05)))</f>
        <v/>
      </c>
      <c r="GC81" s="172">
        <f>MIN(1,MAX(VLOOKUP(($AJ81-$AI81-$AH81-$AG81-$AF81-$AE81*(1+GC$3))/$AJ81,'Технический лист'!$A:$B,2,1),(GB81-0.05)))</f>
        <v/>
      </c>
      <c r="GD81" s="172">
        <f>MIN(1,MAX(VLOOKUP(($AJ81-$AI81-$AH81-$AG81-$AF81-$AE81*(1+GD$3))/$AJ81,'Технический лист'!$A:$B,2,1),(GC81-0.05)))</f>
        <v/>
      </c>
      <c r="GE81" s="172">
        <f>MIN(1,MAX(VLOOKUP(($AJ81-$AI81-$AH81-$AG81-$AF81-$AE81*(1+GE$3))/$AJ81,'Технический лист'!$A:$B,2,1),(GD81-0.05)))</f>
        <v/>
      </c>
      <c r="GF81" s="172">
        <f>MIN(1,MAX(VLOOKUP(($AJ81-$AI81-$AH81-$AG81-$AF81-$AE81*(1+GF$3))/$AJ81,'Технический лист'!$A:$B,2,1),(GE81-0.05)))</f>
        <v/>
      </c>
      <c r="GG81" s="172">
        <f>MIN(1,MAX(VLOOKUP(($AJ81-$AI81-$AH81-$AG81-$AF81-$AE81*(1+GG$3))/$AJ81,'Технический лист'!$A:$B,2,1),(GF81-0.05)))</f>
        <v/>
      </c>
      <c r="GH81" s="172">
        <f>MIN(1,MAX(VLOOKUP(($AJ81-$AI81-$AH81-$AG81-$AF81-$AE81*(1+GH$3))/$AJ81,'Технический лист'!$A:$B,2,1),(GG81-0.05)))</f>
        <v/>
      </c>
      <c r="GI81" s="172">
        <f>MIN(1,MAX(VLOOKUP(($AJ81-$AI81-$AH81-$AG81-$AF81-$AE81*(1+GI$3))/$AJ81,'Технический лист'!$A:$B,2,1),(GH81-0.05)))</f>
        <v/>
      </c>
      <c r="GJ81" s="172">
        <f>MIN(1,MAX(VLOOKUP(($AJ81-$AI81-$AH81-$AG81-$AF81-$AE81*(1+GJ$3))/$AJ81,'Технический лист'!$A:$B,2,1),(GI81-0.05)))</f>
        <v/>
      </c>
      <c r="GK81" s="172">
        <f>MIN(1,MAX(VLOOKUP(($AJ81-$AI81-$AH81-$AG81-$AF81-$AE81*(1+GK$3))/$AJ81,'Технический лист'!$A:$B,2,1),(GJ81-0.05)))</f>
        <v/>
      </c>
      <c r="GL81" s="172">
        <f>MIN(1,MAX(VLOOKUP(($AJ81-$AI81-$AH81-$AG81-$AF81-$AE81*(1+GL$3))/$AJ81,'Технический лист'!$A:$B,2,1),(GK81-0.05)))</f>
        <v/>
      </c>
      <c r="GM81" s="172">
        <f>MIN(1,MAX(VLOOKUP(($AJ81-$AI81-$AH81-$AG81-$AF81-$AE81*(1+GM$3))/$AJ81,'Технический лист'!$A:$B,2,1),(GL81-0.05)))</f>
        <v/>
      </c>
      <c r="GN81" s="172">
        <f>MIN(1,MAX(VLOOKUP(($AJ81-$AI81-$AH81-$AG81-$AF81-$AE81*(1+GN$3))/$AJ81,'Технический лист'!$A:$B,2,1),(GM81-0.05)))</f>
        <v/>
      </c>
      <c r="GO81" s="172">
        <f>MIN(1,MAX(VLOOKUP(($AJ81-$AI81-$AH81-$AG81-$AF81-$AE81*(1+GO$3))/$AJ81,'Технический лист'!$A:$B,2,1),(GN81-0.05)))</f>
        <v/>
      </c>
      <c r="GP81" s="172">
        <f>MIN(1,MAX(VLOOKUP(($AJ81-$AI81-$AH81-$AG81-$AF81-$AE81*(1+GP$3))/$AJ81,'Технический лист'!$A:$B,2,1),(GO81-0.05)))</f>
        <v/>
      </c>
      <c r="GQ81" s="172">
        <f>MIN(1,MAX(VLOOKUP(($AJ81-$AI81-$AH81-$AG81-$AF81-$AE81*(1+GQ$3))/$AJ81,'Технический лист'!$A:$B,2,1),(GP81-0.05)))</f>
        <v/>
      </c>
      <c r="GR81" s="172">
        <f>MIN(1,MAX(VLOOKUP(($AJ81-$AI81-$AH81-$AG81-$AF81-$AE81*(1+GR$3))/$AJ81,'Технический лист'!$A:$B,2,1),(GQ81-0.05)))</f>
        <v/>
      </c>
      <c r="GS81" s="172">
        <f>MIN(1,MAX(VLOOKUP(($AJ81-$AI81-$AH81-$AG81-$AF81-$AE81*(1+GS$3))/$AJ81,'Технический лист'!$A:$B,2,1),(GR81-0.05)))</f>
        <v/>
      </c>
      <c r="GT81" s="172">
        <f>MIN(1,MAX(VLOOKUP(($AJ81-$AI81-$AH81-$AG81-$AF81-$AE81*(1+GT$3))/$AJ81,'Технический лист'!$A:$B,2,1),(GS81-0.05)))</f>
        <v/>
      </c>
      <c r="GU81" s="172">
        <f>MIN(1,MAX(VLOOKUP(($AJ81-$AI81-$AH81-$AG81-$AF81-$AE81*(1+GU$3))/$AJ81,'Технический лист'!$A:$B,2,1),(GT81-0.05)))</f>
        <v/>
      </c>
      <c r="GV81" s="172">
        <f>MIN(1,MAX(VLOOKUP(($AJ81-$AI81-$AH81-$AG81-$AF81-$AE81*(1+GV$3))/$AJ81,'Технический лист'!$A:$B,2,1),(GU81-0.05)))</f>
        <v/>
      </c>
      <c r="GW81" s="172">
        <f>MIN(1,MAX(VLOOKUP(($AJ81-$AI81-$AH81-$AG81-$AF81-$AE81*(1+GW$3))/$AJ81,'Технический лист'!$A:$B,2,1),(GV81-0.05)))</f>
        <v/>
      </c>
      <c r="GX81" s="172">
        <f>MIN(1,MAX(VLOOKUP(($AJ81-$AI81-$AH81-$AG81-$AF81-$AE81*(1+GX$3))/$AJ81,'Технический лист'!$A:$B,2,1),(GW81-0.05)))</f>
        <v/>
      </c>
      <c r="GY81" s="172">
        <f>MIN(1,MAX(VLOOKUP(($AJ81-$AI81-$AH81-$AG81-$AF81-$AE81*(1+GY$3))/$AJ81,'Технический лист'!$A:$B,2,1),(GX81-0.05)))</f>
        <v/>
      </c>
      <c r="GZ81" s="172">
        <f>MIN(1,MAX(VLOOKUP(($AJ81-$AI81-$AH81-$AG81-$AF81-$AE81*(1+GZ$3))/$AJ81,'Технический лист'!$A:$B,2,1),(GY81-0.05)))</f>
        <v/>
      </c>
      <c r="HA81" s="172">
        <f>MIN(1,MAX(VLOOKUP(($AJ81-$AI81-$AH81-$AG81-$AF81-$AE81*(1+HA$3))/$AJ81,'Технический лист'!$A:$B,2,1),(GZ81-0.05)))</f>
        <v/>
      </c>
      <c r="HB81" s="172">
        <f>MIN(1,MAX(VLOOKUP(($AJ81-$AI81-$AH81-$AG81-$AF81-$AE81*(1+HB$3))/$AJ81,'Технический лист'!$A:$B,2,1),(HA81-0.05)))</f>
        <v/>
      </c>
      <c r="HC81" s="172">
        <f>MIN(1,MAX(VLOOKUP(($AJ81-$AI81-$AH81-$AG81-$AF81-$AE81*(1+HC$3))/$AJ81,'Технический лист'!$A:$B,2,1),(HB81-0.05)))</f>
        <v/>
      </c>
      <c r="HD81" s="172">
        <f>MIN(1,MAX(VLOOKUP(($AJ81-$AI81-$AH81-$AG81-$AF81-$AE81*(1+HD$3))/$AJ81,'Технический лист'!$A:$B,2,1),(HC81-0.05)))</f>
        <v/>
      </c>
      <c r="HE81" s="172">
        <f>MIN(1,MAX(VLOOKUP(($AJ81-$AI81-$AH81-$AG81-$AF81-$AE81*(1+HE$3))/$AJ81,'Технический лист'!$A:$B,2,1),(HD81-0.05)))</f>
        <v/>
      </c>
      <c r="HF81" s="172">
        <f>MIN(1,MAX(VLOOKUP(($AJ81-$AI81-$AH81-$AG81-$AF81-$AE81*(1+HF$3))/$AJ81,'Технический лист'!$A:$B,2,1),(HE81-0.05)))</f>
        <v/>
      </c>
      <c r="HG81" s="172">
        <f>MIN(1,MAX(VLOOKUP(($AJ81-$AI81-$AH81-$AG81-$AF81-$AE81*(1+HG$3))/$AJ81,'Технический лист'!$A:$B,2,1),(HF81-0.05)))</f>
        <v/>
      </c>
      <c r="HH81" s="172">
        <f>MIN(1,MAX(VLOOKUP(($AJ81-$AI81-$AH81-$AG81-$AF81-$AE81*(1+HH$3))/$AJ81,'Технический лист'!$A:$B,2,1),(HG81-0.05)))</f>
        <v/>
      </c>
      <c r="HI81" s="172">
        <f>MIN(1,MAX(VLOOKUP(($AJ81-$AI81-$AH81-$AG81-$AF81-$AE81*(1+HI$3))/$AJ81,'Технический лист'!$A:$B,2,1),(HH81-0.05)))</f>
        <v/>
      </c>
      <c r="HJ81" s="172">
        <f>MIN(1,MAX(VLOOKUP(($AJ81-$AI81-$AH81-$AG81-$AF81-$AE81*(1+HJ$3))/$AJ81,'Технический лист'!$A:$B,2,1),(HI81-0.05)))</f>
        <v/>
      </c>
      <c r="HK81" s="172">
        <f>MIN(1,MAX(VLOOKUP(($AJ81-$AI81-$AH81-$AG81-$AF81-$AE81*(1+HK$3))/$AJ81,'Технический лист'!$A:$B,2,1),(HJ81-0.05)))</f>
        <v/>
      </c>
      <c r="HL81" s="172">
        <f>MIN(1,MAX(VLOOKUP(($AJ81-$AI81-$AH81-$AG81-$AF81-$AE81*(1+HL$3))/$AJ81,'Технический лист'!$A:$B,2,1),(HK81-0.05)))</f>
        <v/>
      </c>
      <c r="HM81" s="172">
        <f>MIN(1,MAX(VLOOKUP(($AJ81-$AI81-$AH81-$AG81-$AF81-$AE81*(1+HM$3))/$AJ81,'Технический лист'!$A:$B,2,1),(HL81-0.05)))</f>
        <v/>
      </c>
      <c r="HN81" s="172">
        <f>MIN(1,MAX(VLOOKUP(($AJ81-$AI81-$AH81-$AG81-$AF81-$AE81*(1+HN$3))/$AJ81,'Технический лист'!$A:$B,2,1),(HM81-0.05)))</f>
        <v/>
      </c>
      <c r="HO81" s="172">
        <f>MIN(1,MAX(VLOOKUP(($AJ81-$AI81-$AH81-$AG81-$AF81-$AE81*(1+HO$3))/$AJ81,'Технический лист'!$A:$B,2,1),(HN81-0.05)))</f>
        <v/>
      </c>
      <c r="HP81" s="172">
        <f>MIN(1,MAX(VLOOKUP(($AJ81-$AI81-$AH81-$AG81-$AF81-$AE81*(1+HP$3))/$AJ81,'Технический лист'!$A:$B,2,1),(HO81-0.05)))</f>
        <v/>
      </c>
      <c r="HQ81" s="172">
        <f>MIN(1,MAX(VLOOKUP(($AJ81-$AI81-$AH81-$AG81-$AF81-$AE81*(1+HQ$3))/$AJ81,'Технический лист'!$A:$B,2,1),(HP81-0.05)))</f>
        <v/>
      </c>
      <c r="HR81" s="172">
        <f>MIN(1,MAX(VLOOKUP(($AJ81-$AI81-$AH81-$AG81-$AF81-$AE81*(1+HR$3))/$AJ81,'Технический лист'!$A:$B,2,1),(HQ81-0.05)))</f>
        <v/>
      </c>
      <c r="HS81" s="172">
        <f>MIN(1,MAX(VLOOKUP(($AJ81-$AI81-$AH81-$AG81-$AF81-$AE81*(1+HS$3))/$AJ81,'Технический лист'!$A:$B,2,1),(HR81-0.05)))</f>
        <v/>
      </c>
      <c r="HT81" s="172">
        <f>MIN(1,MAX(VLOOKUP(($AJ81-$AI81-$AH81-$AG81-$AF81-$AE81*(1+HT$3))/$AJ81,'Технический лист'!$A:$B,2,1),(HS81-0.05)))</f>
        <v/>
      </c>
      <c r="HU81" s="172">
        <f>MIN(1,MAX(VLOOKUP(($AJ81-$AI81-$AH81-$AG81-$AF81-$AE81*(1+HU$3))/$AJ81,'Технический лист'!$A:$B,2,1),(HT81-0.05)))</f>
        <v/>
      </c>
      <c r="HV81" s="172">
        <f>MIN(1,MAX(VLOOKUP(($AJ81-$AI81-$AH81-$AG81-$AF81-$AE81*(1+HV$3))/$AJ81,'Технический лист'!$A:$B,2,1),(HU81-0.05)))</f>
        <v/>
      </c>
      <c r="HW81" s="172">
        <f>MIN(1,MAX(VLOOKUP(($AJ81-$AI81-$AH81-$AG81-$AF81-$AE81*(1+HW$3))/$AJ81,'Технический лист'!$A:$B,2,1),(HV81-0.05)))</f>
        <v/>
      </c>
      <c r="HX81" s="172">
        <f>MIN(1,MAX(VLOOKUP(($AJ81-$AI81-$AH81-$AG81-$AF81-$AE81*(1+HX$3))/$AJ81,'Технический лист'!$A:$B,2,1),(HW81-0.05)))</f>
        <v/>
      </c>
      <c r="HY81" s="172">
        <f>MIN(1,MAX(VLOOKUP(($AJ81-$AI81-$AH81-$AG81-$AF81-$AE81*(1+HY$3))/$AJ81,'Технический лист'!$A:$B,2,1),(HX81-0.05)))</f>
        <v/>
      </c>
      <c r="HZ81" s="172">
        <f>MIN(1,MAX(VLOOKUP(($AJ81-$AI81-$AH81-$AG81-$AF81-$AE81*(1+HZ$3))/$AJ81,'Технический лист'!$A:$B,2,1),(HY81-0.05)))</f>
        <v/>
      </c>
      <c r="IA81" s="172">
        <f>MIN(1,MAX(VLOOKUP(($AJ81-$AI81-$AH81-$AG81-$AF81-$AE81*(1+IA$3))/$AJ81,'Технический лист'!$A:$B,2,1),(HZ81-0.05)))</f>
        <v/>
      </c>
      <c r="IB81" s="172">
        <f>MIN(1,MAX(VLOOKUP(($AJ81-$AI81-$AH81-$AG81-$AF81-$AE81*(1+IB$3))/$AJ81,'Технический лист'!$A:$B,2,1),(IA81-0.05)))</f>
        <v/>
      </c>
      <c r="IC81" s="172">
        <f>MIN(1,MAX(VLOOKUP(($AJ81-$AI81-$AH81-$AG81-$AF81-$AE81*(1+IC$3))/$AJ81,'Технический лист'!$A:$B,2,1),(IB81-0.05)))</f>
        <v/>
      </c>
      <c r="ID81" s="172">
        <f>MIN(1,MAX(VLOOKUP(($AJ81-$AI81-$AH81-$AG81-$AF81-$AE81*(1+ID$3))/$AJ81,'Технический лист'!$A:$B,2,1),(IC81-0.05)))</f>
        <v/>
      </c>
      <c r="IE81" s="172">
        <f>MIN(1,MAX(VLOOKUP(($AJ81-$AI81-$AH81-$AG81-$AF81-$AE81*(1+IE$3))/$AJ81,'Технический лист'!$A:$B,2,1),(ID81-0.05)))</f>
        <v/>
      </c>
      <c r="IF81" s="172">
        <f>MIN(1,MAX(VLOOKUP(($AJ81-$AI81-$AH81-$AG81-$AF81-$AE81*(1+IF$3))/$AJ81,'Технический лист'!$A:$B,2,1),(IE81-0.05)))</f>
        <v/>
      </c>
      <c r="IG81" s="172">
        <f>MIN(1,MAX(VLOOKUP(($AJ81-$AI81-$AH81-$AG81-$AF81-$AE81*(1+IG$3))/$AJ81,'Технический лист'!$A:$B,2,1),(IF81-0.05)))</f>
        <v/>
      </c>
      <c r="IH81" s="172">
        <f>MIN(1,MAX(VLOOKUP(($AJ81-$AI81-$AH81-$AG81-$AF81-$AE81*(1+IH$3))/$AJ81,'Технический лист'!$A:$B,2,1),(IG81-0.05)))</f>
        <v/>
      </c>
      <c r="II81" s="172">
        <f>MIN(1,MAX(VLOOKUP(($AJ81-$AI81-$AH81-$AG81-$AF81-$AE81*(1+II$3))/$AJ81,'Технический лист'!$A:$B,2,1),(IH81-0.05)))</f>
        <v/>
      </c>
      <c r="IJ81" s="172">
        <f>MIN(1,MAX(VLOOKUP(($AJ81-$AI81-$AH81-$AG81-$AF81-$AE81*(1+IJ$3))/$AJ81,'Технический лист'!$A:$B,2,1),(II81-0.05)))</f>
        <v/>
      </c>
      <c r="IK81" s="172">
        <f>MIN(1,MAX(VLOOKUP(($AJ81-$AI81-$AH81-$AG81-$AF81-$AE81*(1+IK$3))/$AJ81,'Технический лист'!$A:$B,2,1),(IJ81-0.05)))</f>
        <v/>
      </c>
      <c r="IL81" s="172">
        <f>MIN(1,MAX(VLOOKUP(($AJ81-$AI81-$AH81-$AG81-$AF81-$AE81*(1+IL$3))/$AJ81,'Технический лист'!$A:$B,2,1),(IK81-0.05)))</f>
        <v/>
      </c>
      <c r="IM81" s="172">
        <f>MIN(1,MAX(VLOOKUP(($AJ81-$AI81-$AH81-$AG81-$AF81-$AE81*(1+IM$3))/$AJ81,'Технический лист'!$A:$B,2,1),(IL81-0.05)))</f>
        <v/>
      </c>
      <c r="IN81" s="172">
        <f>MIN(1,MAX(VLOOKUP(($AJ81-$AI81-$AH81-$AG81-$AF81-$AE81*(1+IN$3))/$AJ81,'Технический лист'!$A:$B,2,1),(IM81-0.05)))</f>
        <v/>
      </c>
      <c r="IO81" s="172">
        <f>MIN(1,MAX(VLOOKUP(($AJ81-$AI81-$AH81-$AG81-$AF81-$AE81*(1+IO$3))/$AJ81,'Технический лист'!$A:$B,2,1),(IN81-0.05)))</f>
        <v/>
      </c>
      <c r="IP81" s="172">
        <f>MIN(1,MAX(VLOOKUP(($AJ81-$AI81-$AH81-$AG81-$AF81-$AE81*(1+IP$3))/$AJ81,'Технический лист'!$A:$B,2,1),(IO81-0.05)))</f>
        <v/>
      </c>
      <c r="IQ81" s="172">
        <f>MIN(1,MAX(VLOOKUP(($AJ81-$AI81-$AH81-$AG81-$AF81-$AE81*(1+IQ$3))/$AJ81,'Технический лист'!$A:$B,2,1),(IP81-0.05)))</f>
        <v/>
      </c>
      <c r="IR81" s="172">
        <f>MIN(1,MAX(VLOOKUP(($AJ81-$AI81-$AH81-$AG81-$AF81-$AE81*(1+IR$3))/$AJ81,'Технический лист'!$A:$B,2,1),(IQ81-0.05)))</f>
        <v/>
      </c>
    </row>
    <row r="82" ht="43.75" customHeight="1" s="123">
      <c r="A82" s="89" t="inlineStr">
        <is>
          <t>ЧМ (продукция)</t>
        </is>
      </c>
      <c r="B82" s="90" t="n">
        <v>5</v>
      </c>
      <c r="C82" s="5" t="inlineStr">
        <is>
          <t>Черные металлы</t>
        </is>
      </c>
      <c r="D82" s="91" t="n">
        <v>32305</v>
      </c>
      <c r="E82" s="91" t="inlineStr">
        <is>
          <t xml:space="preserve">Трубы металлические, не поименованные в алфавите </t>
        </is>
      </c>
      <c r="F82" s="92" t="inlineStr">
        <is>
          <t>ТРУБЫ ИЗ ЧЕРНЫХ МЕТАЛЛОВ</t>
        </is>
      </c>
      <c r="G82" s="91" t="inlineStr">
        <is>
          <t>ГОР</t>
        </is>
      </c>
      <c r="H82" s="91" t="inlineStr">
        <is>
          <t>ПРВ</t>
        </is>
      </c>
      <c r="I82" s="91" t="inlineStr">
        <is>
          <t>НАВАШИНО</t>
        </is>
      </c>
      <c r="J82" s="91" t="inlineStr">
        <is>
          <t>ПР.БЕРЕГ-ЭКС</t>
        </is>
      </c>
      <c r="K82" s="91" t="n">
        <v>1719</v>
      </c>
      <c r="L82" s="91" t="inlineStr">
        <is>
          <t>Полувагоны</t>
        </is>
      </c>
      <c r="M82" s="91" t="inlineStr">
        <is>
          <t>Экспорт</t>
        </is>
      </c>
      <c r="N82" s="91" t="inlineStr">
        <is>
          <t>вагонная</t>
        </is>
      </c>
      <c r="O82" s="91" t="inlineStr">
        <is>
          <t xml:space="preserve">Южное </t>
        </is>
      </c>
      <c r="P82" s="89" t="inlineStr">
        <is>
          <t>'000005757848</t>
        </is>
      </c>
      <c r="Q82" s="91" t="inlineStr">
        <is>
          <t>'АО "Выксунский металлургический завод"</t>
        </is>
      </c>
      <c r="R82" s="91" t="inlineStr">
        <is>
          <t>АО "ОМК"</t>
        </is>
      </c>
      <c r="S82" s="87" t="n">
        <v>9053</v>
      </c>
      <c r="T82" s="87" t="n">
        <v>15565174</v>
      </c>
      <c r="U82" s="88" t="n">
        <v>166</v>
      </c>
      <c r="V82" s="88" t="n">
        <v>0</v>
      </c>
      <c r="W82" s="87" t="n">
        <v>32464632</v>
      </c>
      <c r="X82" s="112" t="n">
        <v>54</v>
      </c>
      <c r="Y82" s="112" t="inlineStr">
        <is>
          <t>повагонная</t>
        </is>
      </c>
      <c r="Z82" s="113" t="n">
        <v>7</v>
      </c>
      <c r="AA82" s="113" t="n">
        <v>6</v>
      </c>
      <c r="AB82" s="113" t="n">
        <v>4</v>
      </c>
      <c r="AC82" s="161" t="n">
        <v>4136.3</v>
      </c>
      <c r="AD82" s="161">
        <f>AE82-AC82</f>
        <v/>
      </c>
      <c r="AE82" s="161" t="n">
        <v>4748.96</v>
      </c>
      <c r="AF82" s="162">
        <f>(Z82+AA82+AB82)*'Ставки аренды'!$B$3/X82</f>
        <v/>
      </c>
      <c r="AG82" s="163">
        <f>'Ставки перевалки'!$B$9*'Курсы валют'!$B$2</f>
        <v/>
      </c>
      <c r="AH82" s="164" t="n">
        <v>0</v>
      </c>
      <c r="AI82" s="165">
        <f>333374/554614*AJ82</f>
        <v/>
      </c>
      <c r="AJ82" s="166">
        <f>Цены!D28</f>
        <v/>
      </c>
      <c r="AK82" s="164">
        <f>AJ82/Цены!$B$1</f>
        <v/>
      </c>
      <c r="AL82" s="164">
        <f>AE82+AF82+AG82</f>
        <v/>
      </c>
      <c r="AM82" s="164">
        <f>AJ82-AL82</f>
        <v/>
      </c>
      <c r="AN82" s="164">
        <f>AI82+AH82+AG82+AF82+AE82</f>
        <v/>
      </c>
      <c r="AO82" s="167">
        <f>(AJ82-AN82)/AJ82</f>
        <v/>
      </c>
      <c r="AP82" s="168">
        <f>AL82/AJ82</f>
        <v/>
      </c>
      <c r="AQ82" s="168">
        <f>AE82/AJ82</f>
        <v/>
      </c>
      <c r="AR82" s="168">
        <f>AE82/AL82</f>
        <v/>
      </c>
      <c r="AS82" s="169" t="n">
        <v>1</v>
      </c>
      <c r="AT82" s="121">
        <f>S82*AS82</f>
        <v/>
      </c>
      <c r="AU82" s="83" t="n">
        <v>1</v>
      </c>
      <c r="AV82" s="170">
        <f>(AJ82-(AE82*(1+$IS$2)+AF82+AG82+AH82+AI82))/AJ82</f>
        <v/>
      </c>
      <c r="AW82" s="171">
        <f>(AE82*(1+$IS$2)+AF82+AG82)/AJ82</f>
        <v/>
      </c>
      <c r="AX82" s="171">
        <f>(AE82*(1+$IS$2))/AJ82</f>
        <v/>
      </c>
      <c r="AY82" s="171">
        <f>(AE82*(1+$IS$2))/(AE82*(1+$IS$2)+AF82+AG82)</f>
        <v/>
      </c>
      <c r="AZ82" s="172">
        <f>MIN(IF($AU82=100%,1,1+VLOOKUP(($AJ82-$AI82-$AH82-$AG82-$AF82-$AE82*(1+AZ$3))/$AJ82,'Технический лист'!$I:$J,2,1)-VLOOKUP($AO82,'Технический лист'!$I:$J,2,1)),1+(1-$AU82))</f>
        <v/>
      </c>
      <c r="BA82" s="172">
        <f>MIN(IF($AU82=100%,1,1+VLOOKUP(($AJ82-$AI82-$AH82-$AG82-$AF82-$AE82*(1+BA$3))/$AJ82,'Технический лист'!$I:$J,2,1)-VLOOKUP($AO82,'Технический лист'!$I:$J,2,1)),1+(1-$AU82))</f>
        <v/>
      </c>
      <c r="BB82" s="172">
        <f>MIN(IF($AU82=100%,1,1+VLOOKUP(($AJ82-$AI82-$AH82-$AG82-$AF82-$AE82*(1+BB$3))/$AJ82,'Технический лист'!$I:$J,2,1)-VLOOKUP($AO82,'Технический лист'!$I:$J,2,1)),1+(1-$AU82))</f>
        <v/>
      </c>
      <c r="BC82" s="172">
        <f>MIN(IF($AU82=100%,1,1+VLOOKUP(($AJ82-$AI82-$AH82-$AG82-$AF82-$AE82*(1+BC$3))/$AJ82,'Технический лист'!$I:$J,2,1)-VLOOKUP($AO82,'Технический лист'!$I:$J,2,1)),1+(1-$AU82))</f>
        <v/>
      </c>
      <c r="BD82" s="172">
        <f>MIN(IF($AU82=100%,1,1+VLOOKUP(($AJ82-$AI82-$AH82-$AG82-$AF82-$AE82*(1+BD$3))/$AJ82,'Технический лист'!$I:$J,2,1)-VLOOKUP($AO82,'Технический лист'!$I:$J,2,1)),1+(1-$AU82))</f>
        <v/>
      </c>
      <c r="BE82" s="172">
        <f>MIN(IF($AU82=100%,1,1+VLOOKUP(($AJ82-$AI82-$AH82-$AG82-$AF82-$AE82*(1+BE$3))/$AJ82,'Технический лист'!$I:$J,2,1)-VLOOKUP($AO82,'Технический лист'!$I:$J,2,1)),1+(1-$AU82))</f>
        <v/>
      </c>
      <c r="BF82" s="172">
        <f>MIN(IF($AU82=100%,1,1+VLOOKUP(($AJ82-$AI82-$AH82-$AG82-$AF82-$AE82*(1+BF$3))/$AJ82,'Технический лист'!$I:$J,2,1)-VLOOKUP($AO82,'Технический лист'!$I:$J,2,1)),1+(1-$AU82))</f>
        <v/>
      </c>
      <c r="BG82" s="172">
        <f>MIN(IF($AU82=100%,1,1+VLOOKUP(($AJ82-$AI82-$AH82-$AG82-$AF82-$AE82*(1+BG$3))/$AJ82,'Технический лист'!$I:$J,2,1)-VLOOKUP($AO82,'Технический лист'!$I:$J,2,1)),1+(1-$AU82))</f>
        <v/>
      </c>
      <c r="BH82" s="172">
        <f>MIN(IF($AU82=100%,1,1+VLOOKUP(($AJ82-$AI82-$AH82-$AG82-$AF82-$AE82*(1+BH$3))/$AJ82,'Технический лист'!$I:$J,2,1)-VLOOKUP($AO82,'Технический лист'!$I:$J,2,1)),1+(1-$AU82))</f>
        <v/>
      </c>
      <c r="BI82" s="172">
        <f>MIN(IF($AU82=100%,1,1+VLOOKUP(($AJ82-$AI82-$AH82-$AG82-$AF82-$AE82*(1+BI$3))/$AJ82,'Технический лист'!$I:$J,2,1)-VLOOKUP($AO82,'Технический лист'!$I:$J,2,1)),1+(1-$AU82))</f>
        <v/>
      </c>
      <c r="BJ82" s="172">
        <f>MIN(IF($AU82=100%,1,1+VLOOKUP(($AJ82-$AI82-$AH82-$AG82-$AF82-$AE82*(1+BJ$3))/$AJ82,'Технический лист'!$I:$J,2,1)-VLOOKUP($AO82,'Технический лист'!$I:$J,2,1)),1+(1-$AU82))</f>
        <v/>
      </c>
      <c r="BK82" s="172">
        <f>MIN(IF($AU82=100%,1,1+VLOOKUP(($AJ82-$AI82-$AH82-$AG82-$AF82-$AE82*(1+BK$3))/$AJ82,'Технический лист'!$I:$J,2,1)-VLOOKUP($AO82,'Технический лист'!$I:$J,2,1)),1+(1-$AU82))</f>
        <v/>
      </c>
      <c r="BL82" s="172">
        <f>MIN(IF($AU82=100%,1,1+VLOOKUP(($AJ82-$AI82-$AH82-$AG82-$AF82-$AE82*(1+BL$3))/$AJ82,'Технический лист'!$I:$J,2,1)-VLOOKUP($AO82,'Технический лист'!$I:$J,2,1)),1+(1-$AU82))</f>
        <v/>
      </c>
      <c r="BM82" s="172">
        <f>MIN(IF($AU82=100%,1,1+VLOOKUP(($AJ82-$AI82-$AH82-$AG82-$AF82-$AE82*(1+BM$3))/$AJ82,'Технический лист'!$I:$J,2,1)-VLOOKUP($AO82,'Технический лист'!$I:$J,2,1)),1+(1-$AU82))</f>
        <v/>
      </c>
      <c r="BN82" s="172">
        <f>MIN(IF($AU82=100%,1,1+VLOOKUP(($AJ82-$AI82-$AH82-$AG82-$AF82-$AE82*(1+BN$3))/$AJ82,'Технический лист'!$I:$J,2,1)-VLOOKUP($AO82,'Технический лист'!$I:$J,2,1)),1+(1-$AU82))</f>
        <v/>
      </c>
      <c r="BO82" s="172">
        <f>MIN(IF($AU82=100%,1,1+VLOOKUP(($AJ82-$AI82-$AH82-$AG82-$AF82-$AE82*(1+BO$3))/$AJ82,'Технический лист'!$I:$J,2,1)-VLOOKUP($AO82,'Технический лист'!$I:$J,2,1)),1+(1-$AU82))</f>
        <v/>
      </c>
      <c r="BP82" s="172">
        <f>MIN(IF($AU82=100%,1,1+VLOOKUP(($AJ82-$AI82-$AH82-$AG82-$AF82-$AE82*(1+BP$3))/$AJ82,'Технический лист'!$I:$J,2,1)-VLOOKUP($AO82,'Технический лист'!$I:$J,2,1)),1+(1-$AU82))</f>
        <v/>
      </c>
      <c r="BQ82" s="172">
        <f>MIN(IF($AU82=100%,1,1+VLOOKUP(($AJ82-$AI82-$AH82-$AG82-$AF82-$AE82*(1+BQ$3))/$AJ82,'Технический лист'!$I:$J,2,1)-VLOOKUP($AO82,'Технический лист'!$I:$J,2,1)),1+(1-$AU82))</f>
        <v/>
      </c>
      <c r="BR82" s="172">
        <f>MIN(IF($AU82=100%,1,1+VLOOKUP(($AJ82-$AI82-$AH82-$AG82-$AF82-$AE82*(1+BR$3))/$AJ82,'Технический лист'!$I:$J,2,1)-VLOOKUP($AO82,'Технический лист'!$I:$J,2,1)),1+(1-$AU82))</f>
        <v/>
      </c>
      <c r="BS82" s="172">
        <f>MIN(IF($AU82=100%,1,1+VLOOKUP(($AJ82-$AI82-$AH82-$AG82-$AF82-$AE82*(1+BS$3))/$AJ82,'Технический лист'!$I:$J,2,1)-VLOOKUP($AO82,'Технический лист'!$I:$J,2,1)),1+(1-$AU82))</f>
        <v/>
      </c>
      <c r="BT82" s="172">
        <f>MIN(IF($AU82=100%,1,1+VLOOKUP(($AJ82-$AI82-$AH82-$AG82-$AF82-$AE82*(1+BT$3))/$AJ82,'Технический лист'!$I:$J,2,1)-VLOOKUP($AO82,'Технический лист'!$I:$J,2,1)),1+(1-$AU82))</f>
        <v/>
      </c>
      <c r="BU82" s="172">
        <f>MIN(IF($AU82=100%,1,1+VLOOKUP(($AJ82-$AI82-$AH82-$AG82-$AF82-$AE82*(1+BU$3))/$AJ82,'Технический лист'!$I:$J,2,1)-VLOOKUP($AO82,'Технический лист'!$I:$J,2,1)),1+(1-$AU82))</f>
        <v/>
      </c>
      <c r="BV82" s="172">
        <f>MIN(IF($AU82=100%,1,1+VLOOKUP(($AJ82-$AI82-$AH82-$AG82-$AF82-$AE82*(1+BV$3))/$AJ82,'Технический лист'!$I:$J,2,1)-VLOOKUP($AO82,'Технический лист'!$I:$J,2,1)),1+(1-$AU82))</f>
        <v/>
      </c>
      <c r="BW82" s="172">
        <f>MIN(IF($AU82=100%,1,1+VLOOKUP(($AJ82-$AI82-$AH82-$AG82-$AF82-$AE82*(1+BW$3))/$AJ82,'Технический лист'!$I:$J,2,1)-VLOOKUP($AO82,'Технический лист'!$I:$J,2,1)),1+(1-$AU82))</f>
        <v/>
      </c>
      <c r="BX82" s="172">
        <f>MIN(IF($AU82=100%,1,1+VLOOKUP(($AJ82-$AI82-$AH82-$AG82-$AF82-$AE82*(1+BX$3))/$AJ82,'Технический лист'!$I:$J,2,1)-VLOOKUP($AO82,'Технический лист'!$I:$J,2,1)),1+(1-$AU82))</f>
        <v/>
      </c>
      <c r="BY82" s="172">
        <f>MIN(IF($AU82=100%,1,1+VLOOKUP(($AJ82-$AI82-$AH82-$AG82-$AF82-$AE82*(1+BY$3))/$AJ82,'Технический лист'!$I:$J,2,1)-VLOOKUP($AO82,'Технический лист'!$I:$J,2,1)),1+(1-$AU82))</f>
        <v/>
      </c>
      <c r="BZ82" s="172">
        <f>MIN(IF($AU82=100%,1,1+VLOOKUP(($AJ82-$AI82-$AH82-$AG82-$AF82-$AE82*(1+BZ$3))/$AJ82,'Технический лист'!$I:$J,2,1)-VLOOKUP($AO82,'Технический лист'!$I:$J,2,1)),1+(1-$AU82))</f>
        <v/>
      </c>
      <c r="CA82" s="172">
        <f>MIN(IF($AU82=100%,1,1+VLOOKUP(($AJ82-$AI82-$AH82-$AG82-$AF82-$AE82*(1+CA$3))/$AJ82,'Технический лист'!$I:$J,2,1)-VLOOKUP($AO82,'Технический лист'!$I:$J,2,1)),1+(1-$AU82))</f>
        <v/>
      </c>
      <c r="CB82" s="172">
        <f>MIN(IF($AU82=100%,1,1+VLOOKUP(($AJ82-$AI82-$AH82-$AG82-$AF82-$AE82*(1+CB$3))/$AJ82,'Технический лист'!$I:$J,2,1)-VLOOKUP($AO82,'Технический лист'!$I:$J,2,1)),1+(1-$AU82))</f>
        <v/>
      </c>
      <c r="CC82" s="172">
        <f>MIN(IF($AU82=100%,1,1+VLOOKUP(($AJ82-$AI82-$AH82-$AG82-$AF82-$AE82*(1+CC$3))/$AJ82,'Технический лист'!$I:$J,2,1)-VLOOKUP($AO82,'Технический лист'!$I:$J,2,1)),1+(1-$AU82))</f>
        <v/>
      </c>
      <c r="CD82" s="172">
        <f>MIN(IF($AU82=100%,1,1+VLOOKUP(($AJ82-$AI82-$AH82-$AG82-$AF82-$AE82*(1+CD$3))/$AJ82,'Технический лист'!$I:$J,2,1)-VLOOKUP($AO82,'Технический лист'!$I:$J,2,1)),1+(1-$AU82))</f>
        <v/>
      </c>
      <c r="CE82" s="172">
        <f>MIN(IF($AU82=100%,1,1+VLOOKUP(($AJ82-$AI82-$AH82-$AG82-$AF82-$AE82*(1+CE$3))/$AJ82,'Технический лист'!$I:$J,2,1)-VLOOKUP($AO82,'Технический лист'!$I:$J,2,1)),1+(1-$AU82))</f>
        <v/>
      </c>
      <c r="CF82" s="172">
        <f>MIN(IF($AU82=100%,1,1+VLOOKUP(($AJ82-$AI82-$AH82-$AG82-$AF82-$AE82*(1+CF$3))/$AJ82,'Технический лист'!$I:$J,2,1)-VLOOKUP($AO82,'Технический лист'!$I:$J,2,1)),1+(1-$AU82))</f>
        <v/>
      </c>
      <c r="CG82" s="172">
        <f>MIN(IF($AU82=100%,1,1+VLOOKUP(($AJ82-$AI82-$AH82-$AG82-$AF82-$AE82*(1+CG$3))/$AJ82,'Технический лист'!$I:$J,2,1)-VLOOKUP($AO82,'Технический лист'!$I:$J,2,1)),1+(1-$AU82))</f>
        <v/>
      </c>
      <c r="CH82" s="172">
        <f>MIN(IF($AU82=100%,1,1+VLOOKUP(($AJ82-$AI82-$AH82-$AG82-$AF82-$AE82*(1+CH$3))/$AJ82,'Технический лист'!$I:$J,2,1)-VLOOKUP($AO82,'Технический лист'!$I:$J,2,1)),1+(1-$AU82))</f>
        <v/>
      </c>
      <c r="CI82" s="172">
        <f>MIN(IF($AU82=100%,1,1+VLOOKUP(($AJ82-$AI82-$AH82-$AG82-$AF82-$AE82*(1+CI$3))/$AJ82,'Технический лист'!$I:$J,2,1)-VLOOKUP($AO82,'Технический лист'!$I:$J,2,1)),1+(1-$AU82))</f>
        <v/>
      </c>
      <c r="CJ82" s="172">
        <f>MIN(IF($AU82=100%,1,1+VLOOKUP(($AJ82-$AI82-$AH82-$AG82-$AF82-$AE82*(1+CJ$3))/$AJ82,'Технический лист'!$I:$J,2,1)-VLOOKUP($AO82,'Технический лист'!$I:$J,2,1)),1+(1-$AU82))</f>
        <v/>
      </c>
      <c r="CK82" s="172">
        <f>MIN(IF($AU82=100%,1,1+VLOOKUP(($AJ82-$AI82-$AH82-$AG82-$AF82-$AE82*(1+CK$3))/$AJ82,'Технический лист'!$I:$J,2,1)-VLOOKUP($AO82,'Технический лист'!$I:$J,2,1)),1+(1-$AU82))</f>
        <v/>
      </c>
      <c r="CL82" s="172">
        <f>MIN(IF($AU82=100%,1,1+VLOOKUP(($AJ82-$AI82-$AH82-$AG82-$AF82-$AE82*(1+CL$3))/$AJ82,'Технический лист'!$I:$J,2,1)-VLOOKUP($AO82,'Технический лист'!$I:$J,2,1)),1+(1-$AU82))</f>
        <v/>
      </c>
      <c r="CM82" s="172">
        <f>MIN(IF($AU82=100%,1,1+VLOOKUP(($AJ82-$AI82-$AH82-$AG82-$AF82-$AE82*(1+CM$3))/$AJ82,'Технический лист'!$I:$J,2,1)-VLOOKUP($AO82,'Технический лист'!$I:$J,2,1)),1+(1-$AU82))</f>
        <v/>
      </c>
      <c r="CN82" s="172">
        <f>MIN(IF($AU82=100%,1,1+VLOOKUP(($AJ82-$AI82-$AH82-$AG82-$AF82-$AE82*(1+CN$3))/$AJ82,'Технический лист'!$I:$J,2,1)-VLOOKUP($AO82,'Технический лист'!$I:$J,2,1)),1+(1-$AU82))</f>
        <v/>
      </c>
      <c r="CO82" s="172">
        <f>MIN(IF($AU82=100%,1,1+VLOOKUP(($AJ82-$AI82-$AH82-$AG82-$AF82-$AE82*(1+CO$3))/$AJ82,'Технический лист'!$I:$J,2,1)-VLOOKUP($AO82,'Технический лист'!$I:$J,2,1)),1+(1-$AU82))</f>
        <v/>
      </c>
      <c r="CP82" s="172">
        <f>MIN(IF($AU82=100%,1,1+VLOOKUP(($AJ82-$AI82-$AH82-$AG82-$AF82-$AE82*(1+CP$3))/$AJ82,'Технический лист'!$I:$J,2,1)-VLOOKUP($AO82,'Технический лист'!$I:$J,2,1)),1+(1-$AU82))</f>
        <v/>
      </c>
      <c r="CQ82" s="172">
        <f>MIN(IF($AU82=100%,1,1+VLOOKUP(($AJ82-$AI82-$AH82-$AG82-$AF82-$AE82*(1+CQ$3))/$AJ82,'Технический лист'!$I:$J,2,1)-VLOOKUP($AO82,'Технический лист'!$I:$J,2,1)),1+(1-$AU82))</f>
        <v/>
      </c>
      <c r="CR82" s="172">
        <f>MIN(IF($AU82=100%,1,1+VLOOKUP(($AJ82-$AI82-$AH82-$AG82-$AF82-$AE82*(1+CR$3))/$AJ82,'Технический лист'!$I:$J,2,1)-VLOOKUP($AO82,'Технический лист'!$I:$J,2,1)),1+(1-$AU82))</f>
        <v/>
      </c>
      <c r="CS82" s="172">
        <f>MIN(IF($AU82=100%,1,1+VLOOKUP(($AJ82-$AI82-$AH82-$AG82-$AF82-$AE82*(1+CS$3))/$AJ82,'Технический лист'!$I:$J,2,1)-VLOOKUP($AO82,'Технический лист'!$I:$J,2,1)),1+(1-$AU82))</f>
        <v/>
      </c>
      <c r="CT82" s="172">
        <f>MIN(IF($AU82=100%,1,1+VLOOKUP(($AJ82-$AI82-$AH82-$AG82-$AF82-$AE82*(1+CT$3))/$AJ82,'Технический лист'!$I:$J,2,1)-VLOOKUP($AO82,'Технический лист'!$I:$J,2,1)),1+(1-$AU82))</f>
        <v/>
      </c>
      <c r="CU82" s="172">
        <f>MIN(IF($AU82=100%,1,1+VLOOKUP(($AJ82-$AI82-$AH82-$AG82-$AF82-$AE82*(1+CU$3))/$AJ82,'Технический лист'!$I:$J,2,1)-VLOOKUP($AO82,'Технический лист'!$I:$J,2,1)),1+(1-$AU82))</f>
        <v/>
      </c>
      <c r="CV82" s="172">
        <f>MIN(IF($AU82=100%,1,1+VLOOKUP(($AJ82-$AI82-$AH82-$AG82-$AF82-$AE82*(1+CV$3))/$AJ82,'Технический лист'!$I:$J,2,1)-VLOOKUP($AO82,'Технический лист'!$I:$J,2,1)),1+(1-$AU82))</f>
        <v/>
      </c>
      <c r="CW82" s="172">
        <f>MIN(IF($AU82=100%,1,1+VLOOKUP(($AJ82-$AI82-$AH82-$AG82-$AF82-$AE82*(1+CW$3))/$AJ82,'Технический лист'!$I:$J,2,1)-VLOOKUP($AO82,'Технический лист'!$I:$J,2,1)),1+(1-$AU82))</f>
        <v/>
      </c>
      <c r="CX82" s="172">
        <f>MIN(IF($AU82=100%,1,1+VLOOKUP(($AJ82-$AI82-$AH82-$AG82-$AF82-$AE82*(1+CX$3))/$AJ82,'Технический лист'!$I:$J,2,1)-VLOOKUP($AO82,'Технический лист'!$I:$J,2,1)),1+(1-$AU82))</f>
        <v/>
      </c>
      <c r="CY82" s="172">
        <f>MIN(IF($AU82=100%,1,1+VLOOKUP(($AJ82-$AI82-$AH82-$AG82-$AF82-$AE82*(1+CY$3))/$AJ82,'Технический лист'!$I:$J,2,1)-VLOOKUP($AO82,'Технический лист'!$I:$J,2,1)),1+(1-$AU82))</f>
        <v/>
      </c>
      <c r="CZ82" s="172">
        <f>MIN(IF($AU82=100%,1,1+VLOOKUP(($AJ82-$AI82-$AH82-$AG82-$AF82-$AE82*(1+CZ$3))/$AJ82,'Технический лист'!$I:$J,2,1)-VLOOKUP($AO82,'Технический лист'!$I:$J,2,1)),1+(1-$AU82))</f>
        <v/>
      </c>
      <c r="DA82" s="172">
        <f>MIN(IF($AU82=100%,1,1+VLOOKUP(($AJ82-$AI82-$AH82-$AG82-$AF82-$AE82*(1+DA$3))/$AJ82,'Технический лист'!$I:$J,2,1)-VLOOKUP($AO82,'Технический лист'!$I:$J,2,1)),1+(1-$AU82))</f>
        <v/>
      </c>
      <c r="DB82" s="172">
        <f>MIN(IF($AU82=100%,1,1+VLOOKUP(($AJ82-$AI82-$AH82-$AG82-$AF82-$AE82*(1+DB$3))/$AJ82,'Технический лист'!$I:$J,2,1)-VLOOKUP($AO82,'Технический лист'!$I:$J,2,1)),1+(1-$AU82))</f>
        <v/>
      </c>
      <c r="DC82" s="172">
        <f>MIN(IF($AU82=100%,1,1+VLOOKUP(($AJ82-$AI82-$AH82-$AG82-$AF82-$AE82*(1+DC$3))/$AJ82,'Технический лист'!$I:$J,2,1)-VLOOKUP($AO82,'Технический лист'!$I:$J,2,1)),1+(1-$AU82))</f>
        <v/>
      </c>
      <c r="DD82" s="172">
        <f>MIN(IF($AU82=100%,1,1+VLOOKUP(($AJ82-$AI82-$AH82-$AG82-$AF82-$AE82*(1+DD$3))/$AJ82,'Технический лист'!$I:$J,2,1)-VLOOKUP($AO82,'Технический лист'!$I:$J,2,1)),1+(1-$AU82))</f>
        <v/>
      </c>
      <c r="DE82" s="172">
        <f>MIN(IF($AU82=100%,1,1+VLOOKUP(($AJ82-$AI82-$AH82-$AG82-$AF82-$AE82*(1+DE$3))/$AJ82,'Технический лист'!$I:$J,2,1)-VLOOKUP($AO82,'Технический лист'!$I:$J,2,1)),1+(1-$AU82))</f>
        <v/>
      </c>
      <c r="DF82" s="172">
        <f>MIN(IF($AU82=100%,1,1+VLOOKUP(($AJ82-$AI82-$AH82-$AG82-$AF82-$AE82*(1+DF$3))/$AJ82,'Технический лист'!$I:$J,2,1)-VLOOKUP($AO82,'Технический лист'!$I:$J,2,1)),1+(1-$AU82))</f>
        <v/>
      </c>
      <c r="DG82" s="172">
        <f>MIN(IF($AU82=100%,1,1+VLOOKUP(($AJ82-$AI82-$AH82-$AG82-$AF82-$AE82*(1+DG$3))/$AJ82,'Технический лист'!$I:$J,2,1)-VLOOKUP($AO82,'Технический лист'!$I:$J,2,1)),1+(1-$AU82))</f>
        <v/>
      </c>
      <c r="DH82" s="172">
        <f>MIN(IF($AU82=100%,1,1+VLOOKUP(($AJ82-$AI82-$AH82-$AG82-$AF82-$AE82*(1+DH$3))/$AJ82,'Технический лист'!$I:$J,2,1)-VLOOKUP($AO82,'Технический лист'!$I:$J,2,1)),1+(1-$AU82))</f>
        <v/>
      </c>
      <c r="DI82" s="172">
        <f>MIN(IF($AU82=100%,1,1+VLOOKUP(($AJ82-$AI82-$AH82-$AG82-$AF82-$AE82*(1+DI$3))/$AJ82,'Технический лист'!$I:$J,2,1)-VLOOKUP($AO82,'Технический лист'!$I:$J,2,1)),1+(1-$AU82))</f>
        <v/>
      </c>
      <c r="DJ82" s="172">
        <f>MIN(IF($AU82=100%,1,1+VLOOKUP(($AJ82-$AI82-$AH82-$AG82-$AF82-$AE82*(1+DJ$3))/$AJ82,'Технический лист'!$I:$J,2,1)-VLOOKUP($AO82,'Технический лист'!$I:$J,2,1)),1+(1-$AU82))</f>
        <v/>
      </c>
      <c r="DK82" s="172">
        <f>MIN(IF($AU82=100%,1,1+VLOOKUP(($AJ82-$AI82-$AH82-$AG82-$AF82-$AE82*(1+DK$3))/$AJ82,'Технический лист'!$I:$J,2,1)-VLOOKUP($AO82,'Технический лист'!$I:$J,2,1)),1+(1-$AU82))</f>
        <v/>
      </c>
      <c r="DL82" s="172">
        <f>MIN(IF($AU82=100%,1,1+VLOOKUP(($AJ82-$AI82-$AH82-$AG82-$AF82-$AE82*(1+DL$3))/$AJ82,'Технический лист'!$I:$J,2,1)-VLOOKUP($AO82,'Технический лист'!$I:$J,2,1)),1+(1-$AU82))</f>
        <v/>
      </c>
      <c r="DM82" s="172">
        <f>MIN(IF($AU82=100%,1,1+VLOOKUP(($AJ82-$AI82-$AH82-$AG82-$AF82-$AE82*(1+DM$3))/$AJ82,'Технический лист'!$I:$J,2,1)-VLOOKUP($AO82,'Технический лист'!$I:$J,2,1)),1+(1-$AU82))</f>
        <v/>
      </c>
      <c r="DN82" s="172">
        <f>MIN(IF($AU82=100%,1,1+VLOOKUP(($AJ82-$AI82-$AH82-$AG82-$AF82-$AE82*(1+DN$3))/$AJ82,'Технический лист'!$I:$J,2,1)-VLOOKUP($AO82,'Технический лист'!$I:$J,2,1)),1+(1-$AU82))</f>
        <v/>
      </c>
      <c r="DO82" s="172">
        <f>MIN(IF($AU82=100%,1,1+VLOOKUP(($AJ82-$AI82-$AH82-$AG82-$AF82-$AE82*(1+DO$3))/$AJ82,'Технический лист'!$I:$J,2,1)-VLOOKUP($AO82,'Технический лист'!$I:$J,2,1)),1+(1-$AU82))</f>
        <v/>
      </c>
      <c r="DP82" s="172">
        <f>MIN(IF($AU82=100%,1,1+VLOOKUP(($AJ82-$AI82-$AH82-$AG82-$AF82-$AE82*(1+DP$3))/$AJ82,'Технический лист'!$I:$J,2,1)-VLOOKUP($AO82,'Технический лист'!$I:$J,2,1)),1+(1-$AU82))</f>
        <v/>
      </c>
      <c r="DQ82" s="172">
        <f>MIN(IF($AU82=100%,1,1+VLOOKUP(($AJ82-$AI82-$AH82-$AG82-$AF82-$AE82*(1+DQ$3))/$AJ82,'Технический лист'!$I:$J,2,1)-VLOOKUP($AO82,'Технический лист'!$I:$J,2,1)),1+(1-$AU82))</f>
        <v/>
      </c>
      <c r="DR82" s="172">
        <f>MIN(IF($AU82=100%,1,1+VLOOKUP(($AJ82-$AI82-$AH82-$AG82-$AF82-$AE82*(1+DR$3))/$AJ82,'Технический лист'!$I:$J,2,1)-VLOOKUP($AO82,'Технический лист'!$I:$J,2,1)),1+(1-$AU82))</f>
        <v/>
      </c>
      <c r="DS82" s="172">
        <f>MIN(IF($AU82=100%,1,1+VLOOKUP(($AJ82-$AI82-$AH82-$AG82-$AF82-$AE82*(1+DS$3))/$AJ82,'Технический лист'!$I:$J,2,1)-VLOOKUP($AO82,'Технический лист'!$I:$J,2,1)),1+(1-$AU82))</f>
        <v/>
      </c>
      <c r="DT82" s="172">
        <f>MIN(IF($AU82=100%,1,1+VLOOKUP(($AJ82-$AI82-$AH82-$AG82-$AF82-$AE82*(1+DT$3))/$AJ82,'Технический лист'!$I:$J,2,1)-VLOOKUP($AO82,'Технический лист'!$I:$J,2,1)),1+(1-$AU82))</f>
        <v/>
      </c>
      <c r="DU82" s="172">
        <f>MIN(IF($AU82=100%,1,1+VLOOKUP(($AJ82-$AI82-$AH82-$AG82-$AF82-$AE82*(1+DU$3))/$AJ82,'Технический лист'!$I:$J,2,1)-VLOOKUP($AO82,'Технический лист'!$I:$J,2,1)),1+(1-$AU82))</f>
        <v/>
      </c>
      <c r="DV82" s="172">
        <f>MIN(IF($AU82=100%,1,1+VLOOKUP(($AJ82-$AI82-$AH82-$AG82-$AF82-$AE82*(1+DV$3))/$AJ82,'Технический лист'!$I:$J,2,1)-VLOOKUP($AO82,'Технический лист'!$I:$J,2,1)),1+(1-$AU82))</f>
        <v/>
      </c>
      <c r="DW82" s="172">
        <f>MIN(IF($AU82=100%,1,1+VLOOKUP(($AJ82-$AI82-$AH82-$AG82-$AF82-$AE82*(1+DW$3))/$AJ82,'Технический лист'!$I:$J,2,1)-VLOOKUP($AO82,'Технический лист'!$I:$J,2,1)),1+(1-$AU82))</f>
        <v/>
      </c>
      <c r="DX82" s="172">
        <f>MIN(IF($AU82=100%,1,1+VLOOKUP(($AJ82-$AI82-$AH82-$AG82-$AF82-$AE82*(1+DX$3))/$AJ82,'Технический лист'!$I:$J,2,1)-VLOOKUP($AO82,'Технический лист'!$I:$J,2,1)),1+(1-$AU82))</f>
        <v/>
      </c>
      <c r="DY82" s="172">
        <f>MIN(IF($AU82=100%,1,1+VLOOKUP(($AJ82-$AI82-$AH82-$AG82-$AF82-$AE82*(1+DY$3))/$AJ82,'Технический лист'!$I:$J,2,1)-VLOOKUP($AO82,'Технический лист'!$I:$J,2,1)),1+(1-$AU82))</f>
        <v/>
      </c>
      <c r="DZ82" s="172">
        <f>MIN(IF($AU82=100%,1,1+VLOOKUP(($AJ82-$AI82-$AH82-$AG82-$AF82-$AE82*(1+DZ$3))/$AJ82,'Технический лист'!$I:$J,2,1)-VLOOKUP($AO82,'Технический лист'!$I:$J,2,1)),1+(1-$AU82))</f>
        <v/>
      </c>
      <c r="EA82" s="172">
        <f>MIN(IF($AU82=100%,1,1+VLOOKUP(($AJ82-$AI82-$AH82-$AG82-$AF82-$AE82*(1+EA$3))/$AJ82,'Технический лист'!$I:$J,2,1)-VLOOKUP($AO82,'Технический лист'!$I:$J,2,1)),1+(1-$AU82))</f>
        <v/>
      </c>
      <c r="EB82" s="172">
        <f>MIN(IF($AU82=100%,1,1+VLOOKUP(($AJ82-$AI82-$AH82-$AG82-$AF82-$AE82*(1+EB$3))/$AJ82,'Технический лист'!$I:$J,2,1)-VLOOKUP($AO82,'Технический лист'!$I:$J,2,1)),1+(1-$AU82))</f>
        <v/>
      </c>
      <c r="EC82" s="172">
        <f>MIN(IF($AU82=100%,1,1+VLOOKUP(($AJ82-$AI82-$AH82-$AG82-$AF82-$AE82*(1+EC$3))/$AJ82,'Технический лист'!$I:$J,2,1)-VLOOKUP($AO82,'Технический лист'!$I:$J,2,1)),1+(1-$AU82))</f>
        <v/>
      </c>
      <c r="ED82" s="172">
        <f>MIN(IF($AU82=100%,1,1+VLOOKUP(($AJ82-$AI82-$AH82-$AG82-$AF82-$AE82*(1+ED$3))/$AJ82,'Технический лист'!$I:$J,2,1)-VLOOKUP($AO82,'Технический лист'!$I:$J,2,1)),1+(1-$AU82))</f>
        <v/>
      </c>
      <c r="EE82" s="172">
        <f>MIN(IF($AU82=100%,1,1+VLOOKUP(($AJ82-$AI82-$AH82-$AG82-$AF82-$AE82*(1+EE$3))/$AJ82,'Технический лист'!$I:$J,2,1)-VLOOKUP($AO82,'Технический лист'!$I:$J,2,1)),1+(1-$AU82))</f>
        <v/>
      </c>
      <c r="EF82" s="172">
        <f>MIN(IF($AU82=100%,1,1+VLOOKUP(($AJ82-$AI82-$AH82-$AG82-$AF82-$AE82*(1+EF$3))/$AJ82,'Технический лист'!$I:$J,2,1)-VLOOKUP($AO82,'Технический лист'!$I:$J,2,1)),1+(1-$AU82))</f>
        <v/>
      </c>
      <c r="EG82" s="172">
        <f>MIN(IF($AU82=100%,1,1+VLOOKUP(($AJ82-$AI82-$AH82-$AG82-$AF82-$AE82*(1+EG$3))/$AJ82,'Технический лист'!$I:$J,2,1)-VLOOKUP($AO82,'Технический лист'!$I:$J,2,1)),1+(1-$AU82))</f>
        <v/>
      </c>
      <c r="EH82" s="172">
        <f>MIN(IF($AU82=100%,1,1+VLOOKUP(($AJ82-$AI82-$AH82-$AG82-$AF82-$AE82*(1+EH$3))/$AJ82,'Технический лист'!$I:$J,2,1)-VLOOKUP($AO82,'Технический лист'!$I:$J,2,1)),1+(1-$AU82))</f>
        <v/>
      </c>
      <c r="EI82" s="172">
        <f>MIN(IF($AU82=100%,1,1+VLOOKUP(($AJ82-$AI82-$AH82-$AG82-$AF82-$AE82*(1+EI$3))/$AJ82,'Технический лист'!$I:$J,2,1)-VLOOKUP($AO82,'Технический лист'!$I:$J,2,1)),1+(1-$AU82))</f>
        <v/>
      </c>
      <c r="EJ82" s="172">
        <f>MIN(IF($AU82=100%,1,1+VLOOKUP(($AJ82-$AI82-$AH82-$AG82-$AF82-$AE82*(1+EJ$3))/$AJ82,'Технический лист'!$I:$J,2,1)-VLOOKUP($AO82,'Технический лист'!$I:$J,2,1)),1+(1-$AU82))</f>
        <v/>
      </c>
      <c r="EK82" s="172">
        <f>MIN(IF($AU82=100%,1,1+VLOOKUP(($AJ82-$AI82-$AH82-$AG82-$AF82-$AE82*(1+EK$3))/$AJ82,'Технический лист'!$I:$J,2,1)-VLOOKUP($AO82,'Технический лист'!$I:$J,2,1)),1+(1-$AU82))</f>
        <v/>
      </c>
      <c r="EL82" s="172">
        <f>MIN(IF($AU82=100%,1,1+VLOOKUP(($AJ82-$AI82-$AH82-$AG82-$AF82-$AE82*(1+EL$3))/$AJ82,'Технический лист'!$I:$J,2,1)-VLOOKUP($AO82,'Технический лист'!$I:$J,2,1)),1+(1-$AU82))</f>
        <v/>
      </c>
      <c r="EM82" s="172">
        <f>MIN(IF($AU82=100%,1,1+VLOOKUP(($AJ82-$AI82-$AH82-$AG82-$AF82-$AE82*(1+EM$3))/$AJ82,'Технический лист'!$I:$J,2,1)-VLOOKUP($AO82,'Технический лист'!$I:$J,2,1)),1+(1-$AU82))</f>
        <v/>
      </c>
      <c r="EN82" s="172">
        <f>MIN(IF($AU82=100%,1,1+VLOOKUP(($AJ82-$AI82-$AH82-$AG82-$AF82-$AE82*(1+EN$3))/$AJ82,'Технический лист'!$I:$J,2,1)-VLOOKUP($AO82,'Технический лист'!$I:$J,2,1)),1+(1-$AU82))</f>
        <v/>
      </c>
      <c r="EO82" s="172">
        <f>MIN(IF($AU82=100%,1,1+VLOOKUP(($AJ82-$AI82-$AH82-$AG82-$AF82-$AE82*(1+EO$3))/$AJ82,'Технический лист'!$I:$J,2,1)-VLOOKUP($AO82,'Технический лист'!$I:$J,2,1)),1+(1-$AU82))</f>
        <v/>
      </c>
      <c r="EP82" s="172">
        <f>MIN(IF($AU82=100%,1,1+VLOOKUP(($AJ82-$AI82-$AH82-$AG82-$AF82-$AE82*(1+EP$3))/$AJ82,'Технический лист'!$I:$J,2,1)-VLOOKUP($AO82,'Технический лист'!$I:$J,2,1)),1+(1-$AU82))</f>
        <v/>
      </c>
      <c r="EQ82" s="172">
        <f>MIN(IF($AU82=100%,1,1+VLOOKUP(($AJ82-$AI82-$AH82-$AG82-$AF82-$AE82*(1+EQ$3))/$AJ82,'Технический лист'!$I:$J,2,1)-VLOOKUP($AO82,'Технический лист'!$I:$J,2,1)),1+(1-$AU82))</f>
        <v/>
      </c>
      <c r="ER82" s="172">
        <f>MIN(IF($AU82=100%,1,1+VLOOKUP(($AJ82-$AI82-$AH82-$AG82-$AF82-$AE82*(1+ER$3))/$AJ82,'Технический лист'!$I:$J,2,1)-VLOOKUP($AO82,'Технический лист'!$I:$J,2,1)),1+(1-$AU82))</f>
        <v/>
      </c>
      <c r="ES82" s="172">
        <f>MIN(IF($AU82=100%,1,1+VLOOKUP(($AJ82-$AI82-$AH82-$AG82-$AF82-$AE82*(1+ES$3))/$AJ82,'Технический лист'!$I:$J,2,1)-VLOOKUP($AO82,'Технический лист'!$I:$J,2,1)),1+(1-$AU82))</f>
        <v/>
      </c>
      <c r="ET82" s="172">
        <f>MIN(IF($AU82=100%,1,1+VLOOKUP(($AJ82-$AI82-$AH82-$AG82-$AF82-$AE82*(1+ET$3))/$AJ82,'Технический лист'!$I:$J,2,1)-VLOOKUP($AO82,'Технический лист'!$I:$J,2,1)),1+(1-$AU82))</f>
        <v/>
      </c>
      <c r="EU82" s="172">
        <f>MIN(IF($AU82=100%,1,1+VLOOKUP(($AJ82-$AI82-$AH82-$AG82-$AF82-$AE82*(1+EU$3))/$AJ82,'Технический лист'!$I:$J,2,1)-VLOOKUP($AO82,'Технический лист'!$I:$J,2,1)),1+(1-$AU82))</f>
        <v/>
      </c>
      <c r="EV82" s="173" t="n">
        <v>1</v>
      </c>
      <c r="EW82" s="172">
        <f>MIN(1,MAX(VLOOKUP(($AJ82-$AI82-$AH82-$AG82-$AF82-$AE82*(1+EW$3))/$AJ82,'Технический лист'!$A:$B,2,1),(EV82-0.05)))</f>
        <v/>
      </c>
      <c r="EX82" s="172">
        <f>MIN(1,MAX(VLOOKUP(($AJ82-$AI82-$AH82-$AG82-$AF82-$AE82*(1+EX$3))/$AJ82,'Технический лист'!$A:$B,2,1),(EW82-0.05)))</f>
        <v/>
      </c>
      <c r="EY82" s="172">
        <f>MIN(1,MAX(VLOOKUP(($AJ82-$AI82-$AH82-$AG82-$AF82-$AE82*(1+EY$3))/$AJ82,'Технический лист'!$A:$B,2,1),(EX82-0.05)))</f>
        <v/>
      </c>
      <c r="EZ82" s="172">
        <f>MIN(1,MAX(VLOOKUP(($AJ82-$AI82-$AH82-$AG82-$AF82-$AE82*(1+EZ$3))/$AJ82,'Технический лист'!$A:$B,2,1),(EY82-0.05)))</f>
        <v/>
      </c>
      <c r="FA82" s="172">
        <f>MIN(1,MAX(VLOOKUP(($AJ82-$AI82-$AH82-$AG82-$AF82-$AE82*(1+FA$3))/$AJ82,'Технический лист'!$A:$B,2,1),(EZ82-0.05)))</f>
        <v/>
      </c>
      <c r="FB82" s="172">
        <f>MIN(1,MAX(VLOOKUP(($AJ82-$AI82-$AH82-$AG82-$AF82-$AE82*(1+FB$3))/$AJ82,'Технический лист'!$A:$B,2,1),(FA82-0.05)))</f>
        <v/>
      </c>
      <c r="FC82" s="172">
        <f>MIN(1,MAX(VLOOKUP(($AJ82-$AI82-$AH82-$AG82-$AF82-$AE82*(1+FC$3))/$AJ82,'Технический лист'!$A:$B,2,1),(FB82-0.05)))</f>
        <v/>
      </c>
      <c r="FD82" s="172">
        <f>MIN(1,MAX(VLOOKUP(($AJ82-$AI82-$AH82-$AG82-$AF82-$AE82*(1+FD$3))/$AJ82,'Технический лист'!$A:$B,2,1),(FC82-0.05)))</f>
        <v/>
      </c>
      <c r="FE82" s="172">
        <f>MIN(1,MAX(VLOOKUP(($AJ82-$AI82-$AH82-$AG82-$AF82-$AE82*(1+FE$3))/$AJ82,'Технический лист'!$A:$B,2,1),(FD82-0.05)))</f>
        <v/>
      </c>
      <c r="FF82" s="172">
        <f>MIN(1,MAX(VLOOKUP(($AJ82-$AI82-$AH82-$AG82-$AF82-$AE82*(1+FF$3))/$AJ82,'Технический лист'!$A:$B,2,1),(FE82-0.05)))</f>
        <v/>
      </c>
      <c r="FG82" s="172">
        <f>MIN(1,MAX(VLOOKUP(($AJ82-$AI82-$AH82-$AG82-$AF82-$AE82*(1+FG$3))/$AJ82,'Технический лист'!$A:$B,2,1),(FF82-0.05)))</f>
        <v/>
      </c>
      <c r="FH82" s="172">
        <f>MIN(1,MAX(VLOOKUP(($AJ82-$AI82-$AH82-$AG82-$AF82-$AE82*(1+FH$3))/$AJ82,'Технический лист'!$A:$B,2,1),(FG82-0.05)))</f>
        <v/>
      </c>
      <c r="FI82" s="172">
        <f>MIN(1,MAX(VLOOKUP(($AJ82-$AI82-$AH82-$AG82-$AF82-$AE82*(1+FI$3))/$AJ82,'Технический лист'!$A:$B,2,1),(FH82-0.05)))</f>
        <v/>
      </c>
      <c r="FJ82" s="172">
        <f>MIN(1,MAX(VLOOKUP(($AJ82-$AI82-$AH82-$AG82-$AF82-$AE82*(1+FJ$3))/$AJ82,'Технический лист'!$A:$B,2,1),(FI82-0.05)))</f>
        <v/>
      </c>
      <c r="FK82" s="172">
        <f>MIN(1,MAX(VLOOKUP(($AJ82-$AI82-$AH82-$AG82-$AF82-$AE82*(1+FK$3))/$AJ82,'Технический лист'!$A:$B,2,1),(FJ82-0.05)))</f>
        <v/>
      </c>
      <c r="FL82" s="172">
        <f>MIN(1,MAX(VLOOKUP(($AJ82-$AI82-$AH82-$AG82-$AF82-$AE82*(1+FL$3))/$AJ82,'Технический лист'!$A:$B,2,1),(FK82-0.05)))</f>
        <v/>
      </c>
      <c r="FM82" s="172">
        <f>MIN(1,MAX(VLOOKUP(($AJ82-$AI82-$AH82-$AG82-$AF82-$AE82*(1+FM$3))/$AJ82,'Технический лист'!$A:$B,2,1),(FL82-0.05)))</f>
        <v/>
      </c>
      <c r="FN82" s="172">
        <f>MIN(1,MAX(VLOOKUP(($AJ82-$AI82-$AH82-$AG82-$AF82-$AE82*(1+FN$3))/$AJ82,'Технический лист'!$A:$B,2,1),(FM82-0.05)))</f>
        <v/>
      </c>
      <c r="FO82" s="172">
        <f>MIN(1,MAX(VLOOKUP(($AJ82-$AI82-$AH82-$AG82-$AF82-$AE82*(1+FO$3))/$AJ82,'Технический лист'!$A:$B,2,1),(FN82-0.05)))</f>
        <v/>
      </c>
      <c r="FP82" s="172">
        <f>MIN(1,MAX(VLOOKUP(($AJ82-$AI82-$AH82-$AG82-$AF82-$AE82*(1+FP$3))/$AJ82,'Технический лист'!$A:$B,2,1),(FO82-0.05)))</f>
        <v/>
      </c>
      <c r="FQ82" s="172">
        <f>MIN(1,MAX(VLOOKUP(($AJ82-$AI82-$AH82-$AG82-$AF82-$AE82*(1+FQ$3))/$AJ82,'Технический лист'!$A:$B,2,1),(FP82-0.05)))</f>
        <v/>
      </c>
      <c r="FR82" s="172">
        <f>MIN(1,MAX(VLOOKUP(($AJ82-$AI82-$AH82-$AG82-$AF82-$AE82*(1+FR$3))/$AJ82,'Технический лист'!$A:$B,2,1),(FQ82-0.05)))</f>
        <v/>
      </c>
      <c r="FS82" s="172">
        <f>MIN(1,MAX(VLOOKUP(($AJ82-$AI82-$AH82-$AG82-$AF82-$AE82*(1+FS$3))/$AJ82,'Технический лист'!$A:$B,2,1),(FR82-0.05)))</f>
        <v/>
      </c>
      <c r="FT82" s="172">
        <f>MIN(1,MAX(VLOOKUP(($AJ82-$AI82-$AH82-$AG82-$AF82-$AE82*(1+FT$3))/$AJ82,'Технический лист'!$A:$B,2,1),(FS82-0.05)))</f>
        <v/>
      </c>
      <c r="FU82" s="172">
        <f>MIN(1,MAX(VLOOKUP(($AJ82-$AI82-$AH82-$AG82-$AF82-$AE82*(1+FU$3))/$AJ82,'Технический лист'!$A:$B,2,1),(FT82-0.05)))</f>
        <v/>
      </c>
      <c r="FV82" s="172">
        <f>MIN(1,MAX(VLOOKUP(($AJ82-$AI82-$AH82-$AG82-$AF82-$AE82*(1+FV$3))/$AJ82,'Технический лист'!$A:$B,2,1),(FU82-0.05)))</f>
        <v/>
      </c>
      <c r="FW82" s="172">
        <f>MIN(1,MAX(VLOOKUP(($AJ82-$AI82-$AH82-$AG82-$AF82-$AE82*(1+FW$3))/$AJ82,'Технический лист'!$A:$B,2,1),(FV82-0.05)))</f>
        <v/>
      </c>
      <c r="FX82" s="172">
        <f>MIN(1,MAX(VLOOKUP(($AJ82-$AI82-$AH82-$AG82-$AF82-$AE82*(1+FX$3))/$AJ82,'Технический лист'!$A:$B,2,1),(FW82-0.05)))</f>
        <v/>
      </c>
      <c r="FY82" s="172">
        <f>MIN(1,MAX(VLOOKUP(($AJ82-$AI82-$AH82-$AG82-$AF82-$AE82*(1+FY$3))/$AJ82,'Технический лист'!$A:$B,2,1),(FX82-0.05)))</f>
        <v/>
      </c>
      <c r="FZ82" s="172">
        <f>MIN(1,MAX(VLOOKUP(($AJ82-$AI82-$AH82-$AG82-$AF82-$AE82*(1+FZ$3))/$AJ82,'Технический лист'!$A:$B,2,1),(FY82-0.05)))</f>
        <v/>
      </c>
      <c r="GA82" s="172">
        <f>MIN(1,MAX(VLOOKUP(($AJ82-$AI82-$AH82-$AG82-$AF82-$AE82*(1+GA$3))/$AJ82,'Технический лист'!$A:$B,2,1),(FZ82-0.05)))</f>
        <v/>
      </c>
      <c r="GB82" s="172">
        <f>MIN(1,MAX(VLOOKUP(($AJ82-$AI82-$AH82-$AG82-$AF82-$AE82*(1+GB$3))/$AJ82,'Технический лист'!$A:$B,2,1),(GA82-0.05)))</f>
        <v/>
      </c>
      <c r="GC82" s="172">
        <f>MIN(1,MAX(VLOOKUP(($AJ82-$AI82-$AH82-$AG82-$AF82-$AE82*(1+GC$3))/$AJ82,'Технический лист'!$A:$B,2,1),(GB82-0.05)))</f>
        <v/>
      </c>
      <c r="GD82" s="172">
        <f>MIN(1,MAX(VLOOKUP(($AJ82-$AI82-$AH82-$AG82-$AF82-$AE82*(1+GD$3))/$AJ82,'Технический лист'!$A:$B,2,1),(GC82-0.05)))</f>
        <v/>
      </c>
      <c r="GE82" s="172">
        <f>MIN(1,MAX(VLOOKUP(($AJ82-$AI82-$AH82-$AG82-$AF82-$AE82*(1+GE$3))/$AJ82,'Технический лист'!$A:$B,2,1),(GD82-0.05)))</f>
        <v/>
      </c>
      <c r="GF82" s="172">
        <f>MIN(1,MAX(VLOOKUP(($AJ82-$AI82-$AH82-$AG82-$AF82-$AE82*(1+GF$3))/$AJ82,'Технический лист'!$A:$B,2,1),(GE82-0.05)))</f>
        <v/>
      </c>
      <c r="GG82" s="172">
        <f>MIN(1,MAX(VLOOKUP(($AJ82-$AI82-$AH82-$AG82-$AF82-$AE82*(1+GG$3))/$AJ82,'Технический лист'!$A:$B,2,1),(GF82-0.05)))</f>
        <v/>
      </c>
      <c r="GH82" s="172">
        <f>MIN(1,MAX(VLOOKUP(($AJ82-$AI82-$AH82-$AG82-$AF82-$AE82*(1+GH$3))/$AJ82,'Технический лист'!$A:$B,2,1),(GG82-0.05)))</f>
        <v/>
      </c>
      <c r="GI82" s="172">
        <f>MIN(1,MAX(VLOOKUP(($AJ82-$AI82-$AH82-$AG82-$AF82-$AE82*(1+GI$3))/$AJ82,'Технический лист'!$A:$B,2,1),(GH82-0.05)))</f>
        <v/>
      </c>
      <c r="GJ82" s="172">
        <f>MIN(1,MAX(VLOOKUP(($AJ82-$AI82-$AH82-$AG82-$AF82-$AE82*(1+GJ$3))/$AJ82,'Технический лист'!$A:$B,2,1),(GI82-0.05)))</f>
        <v/>
      </c>
      <c r="GK82" s="172">
        <f>MIN(1,MAX(VLOOKUP(($AJ82-$AI82-$AH82-$AG82-$AF82-$AE82*(1+GK$3))/$AJ82,'Технический лист'!$A:$B,2,1),(GJ82-0.05)))</f>
        <v/>
      </c>
      <c r="GL82" s="172">
        <f>MIN(1,MAX(VLOOKUP(($AJ82-$AI82-$AH82-$AG82-$AF82-$AE82*(1+GL$3))/$AJ82,'Технический лист'!$A:$B,2,1),(GK82-0.05)))</f>
        <v/>
      </c>
      <c r="GM82" s="172">
        <f>MIN(1,MAX(VLOOKUP(($AJ82-$AI82-$AH82-$AG82-$AF82-$AE82*(1+GM$3))/$AJ82,'Технический лист'!$A:$B,2,1),(GL82-0.05)))</f>
        <v/>
      </c>
      <c r="GN82" s="172">
        <f>MIN(1,MAX(VLOOKUP(($AJ82-$AI82-$AH82-$AG82-$AF82-$AE82*(1+GN$3))/$AJ82,'Технический лист'!$A:$B,2,1),(GM82-0.05)))</f>
        <v/>
      </c>
      <c r="GO82" s="172">
        <f>MIN(1,MAX(VLOOKUP(($AJ82-$AI82-$AH82-$AG82-$AF82-$AE82*(1+GO$3))/$AJ82,'Технический лист'!$A:$B,2,1),(GN82-0.05)))</f>
        <v/>
      </c>
      <c r="GP82" s="172">
        <f>MIN(1,MAX(VLOOKUP(($AJ82-$AI82-$AH82-$AG82-$AF82-$AE82*(1+GP$3))/$AJ82,'Технический лист'!$A:$B,2,1),(GO82-0.05)))</f>
        <v/>
      </c>
      <c r="GQ82" s="172">
        <f>MIN(1,MAX(VLOOKUP(($AJ82-$AI82-$AH82-$AG82-$AF82-$AE82*(1+GQ$3))/$AJ82,'Технический лист'!$A:$B,2,1),(GP82-0.05)))</f>
        <v/>
      </c>
      <c r="GR82" s="172">
        <f>MIN(1,MAX(VLOOKUP(($AJ82-$AI82-$AH82-$AG82-$AF82-$AE82*(1+GR$3))/$AJ82,'Технический лист'!$A:$B,2,1),(GQ82-0.05)))</f>
        <v/>
      </c>
      <c r="GS82" s="172">
        <f>MIN(1,MAX(VLOOKUP(($AJ82-$AI82-$AH82-$AG82-$AF82-$AE82*(1+GS$3))/$AJ82,'Технический лист'!$A:$B,2,1),(GR82-0.05)))</f>
        <v/>
      </c>
      <c r="GT82" s="172">
        <f>MIN(1,MAX(VLOOKUP(($AJ82-$AI82-$AH82-$AG82-$AF82-$AE82*(1+GT$3))/$AJ82,'Технический лист'!$A:$B,2,1),(GS82-0.05)))</f>
        <v/>
      </c>
      <c r="GU82" s="172">
        <f>MIN(1,MAX(VLOOKUP(($AJ82-$AI82-$AH82-$AG82-$AF82-$AE82*(1+GU$3))/$AJ82,'Технический лист'!$A:$B,2,1),(GT82-0.05)))</f>
        <v/>
      </c>
      <c r="GV82" s="172">
        <f>MIN(1,MAX(VLOOKUP(($AJ82-$AI82-$AH82-$AG82-$AF82-$AE82*(1+GV$3))/$AJ82,'Технический лист'!$A:$B,2,1),(GU82-0.05)))</f>
        <v/>
      </c>
      <c r="GW82" s="172">
        <f>MIN(1,MAX(VLOOKUP(($AJ82-$AI82-$AH82-$AG82-$AF82-$AE82*(1+GW$3))/$AJ82,'Технический лист'!$A:$B,2,1),(GV82-0.05)))</f>
        <v/>
      </c>
      <c r="GX82" s="172">
        <f>MIN(1,MAX(VLOOKUP(($AJ82-$AI82-$AH82-$AG82-$AF82-$AE82*(1+GX$3))/$AJ82,'Технический лист'!$A:$B,2,1),(GW82-0.05)))</f>
        <v/>
      </c>
      <c r="GY82" s="172">
        <f>MIN(1,MAX(VLOOKUP(($AJ82-$AI82-$AH82-$AG82-$AF82-$AE82*(1+GY$3))/$AJ82,'Технический лист'!$A:$B,2,1),(GX82-0.05)))</f>
        <v/>
      </c>
      <c r="GZ82" s="172">
        <f>MIN(1,MAX(VLOOKUP(($AJ82-$AI82-$AH82-$AG82-$AF82-$AE82*(1+GZ$3))/$AJ82,'Технический лист'!$A:$B,2,1),(GY82-0.05)))</f>
        <v/>
      </c>
      <c r="HA82" s="172">
        <f>MIN(1,MAX(VLOOKUP(($AJ82-$AI82-$AH82-$AG82-$AF82-$AE82*(1+HA$3))/$AJ82,'Технический лист'!$A:$B,2,1),(GZ82-0.05)))</f>
        <v/>
      </c>
      <c r="HB82" s="172">
        <f>MIN(1,MAX(VLOOKUP(($AJ82-$AI82-$AH82-$AG82-$AF82-$AE82*(1+HB$3))/$AJ82,'Технический лист'!$A:$B,2,1),(HA82-0.05)))</f>
        <v/>
      </c>
      <c r="HC82" s="172">
        <f>MIN(1,MAX(VLOOKUP(($AJ82-$AI82-$AH82-$AG82-$AF82-$AE82*(1+HC$3))/$AJ82,'Технический лист'!$A:$B,2,1),(HB82-0.05)))</f>
        <v/>
      </c>
      <c r="HD82" s="172">
        <f>MIN(1,MAX(VLOOKUP(($AJ82-$AI82-$AH82-$AG82-$AF82-$AE82*(1+HD$3))/$AJ82,'Технический лист'!$A:$B,2,1),(HC82-0.05)))</f>
        <v/>
      </c>
      <c r="HE82" s="172">
        <f>MIN(1,MAX(VLOOKUP(($AJ82-$AI82-$AH82-$AG82-$AF82-$AE82*(1+HE$3))/$AJ82,'Технический лист'!$A:$B,2,1),(HD82-0.05)))</f>
        <v/>
      </c>
      <c r="HF82" s="172">
        <f>MIN(1,MAX(VLOOKUP(($AJ82-$AI82-$AH82-$AG82-$AF82-$AE82*(1+HF$3))/$AJ82,'Технический лист'!$A:$B,2,1),(HE82-0.05)))</f>
        <v/>
      </c>
      <c r="HG82" s="172">
        <f>MIN(1,MAX(VLOOKUP(($AJ82-$AI82-$AH82-$AG82-$AF82-$AE82*(1+HG$3))/$AJ82,'Технический лист'!$A:$B,2,1),(HF82-0.05)))</f>
        <v/>
      </c>
      <c r="HH82" s="172">
        <f>MIN(1,MAX(VLOOKUP(($AJ82-$AI82-$AH82-$AG82-$AF82-$AE82*(1+HH$3))/$AJ82,'Технический лист'!$A:$B,2,1),(HG82-0.05)))</f>
        <v/>
      </c>
      <c r="HI82" s="172">
        <f>MIN(1,MAX(VLOOKUP(($AJ82-$AI82-$AH82-$AG82-$AF82-$AE82*(1+HI$3))/$AJ82,'Технический лист'!$A:$B,2,1),(HH82-0.05)))</f>
        <v/>
      </c>
      <c r="HJ82" s="172">
        <f>MIN(1,MAX(VLOOKUP(($AJ82-$AI82-$AH82-$AG82-$AF82-$AE82*(1+HJ$3))/$AJ82,'Технический лист'!$A:$B,2,1),(HI82-0.05)))</f>
        <v/>
      </c>
      <c r="HK82" s="172">
        <f>MIN(1,MAX(VLOOKUP(($AJ82-$AI82-$AH82-$AG82-$AF82-$AE82*(1+HK$3))/$AJ82,'Технический лист'!$A:$B,2,1),(HJ82-0.05)))</f>
        <v/>
      </c>
      <c r="HL82" s="172">
        <f>MIN(1,MAX(VLOOKUP(($AJ82-$AI82-$AH82-$AG82-$AF82-$AE82*(1+HL$3))/$AJ82,'Технический лист'!$A:$B,2,1),(HK82-0.05)))</f>
        <v/>
      </c>
      <c r="HM82" s="172">
        <f>MIN(1,MAX(VLOOKUP(($AJ82-$AI82-$AH82-$AG82-$AF82-$AE82*(1+HM$3))/$AJ82,'Технический лист'!$A:$B,2,1),(HL82-0.05)))</f>
        <v/>
      </c>
      <c r="HN82" s="172">
        <f>MIN(1,MAX(VLOOKUP(($AJ82-$AI82-$AH82-$AG82-$AF82-$AE82*(1+HN$3))/$AJ82,'Технический лист'!$A:$B,2,1),(HM82-0.05)))</f>
        <v/>
      </c>
      <c r="HO82" s="172">
        <f>MIN(1,MAX(VLOOKUP(($AJ82-$AI82-$AH82-$AG82-$AF82-$AE82*(1+HO$3))/$AJ82,'Технический лист'!$A:$B,2,1),(HN82-0.05)))</f>
        <v/>
      </c>
      <c r="HP82" s="172">
        <f>MIN(1,MAX(VLOOKUP(($AJ82-$AI82-$AH82-$AG82-$AF82-$AE82*(1+HP$3))/$AJ82,'Технический лист'!$A:$B,2,1),(HO82-0.05)))</f>
        <v/>
      </c>
      <c r="HQ82" s="172">
        <f>MIN(1,MAX(VLOOKUP(($AJ82-$AI82-$AH82-$AG82-$AF82-$AE82*(1+HQ$3))/$AJ82,'Технический лист'!$A:$B,2,1),(HP82-0.05)))</f>
        <v/>
      </c>
      <c r="HR82" s="172">
        <f>MIN(1,MAX(VLOOKUP(($AJ82-$AI82-$AH82-$AG82-$AF82-$AE82*(1+HR$3))/$AJ82,'Технический лист'!$A:$B,2,1),(HQ82-0.05)))</f>
        <v/>
      </c>
      <c r="HS82" s="172">
        <f>MIN(1,MAX(VLOOKUP(($AJ82-$AI82-$AH82-$AG82-$AF82-$AE82*(1+HS$3))/$AJ82,'Технический лист'!$A:$B,2,1),(HR82-0.05)))</f>
        <v/>
      </c>
      <c r="HT82" s="172">
        <f>MIN(1,MAX(VLOOKUP(($AJ82-$AI82-$AH82-$AG82-$AF82-$AE82*(1+HT$3))/$AJ82,'Технический лист'!$A:$B,2,1),(HS82-0.05)))</f>
        <v/>
      </c>
      <c r="HU82" s="172">
        <f>MIN(1,MAX(VLOOKUP(($AJ82-$AI82-$AH82-$AG82-$AF82-$AE82*(1+HU$3))/$AJ82,'Технический лист'!$A:$B,2,1),(HT82-0.05)))</f>
        <v/>
      </c>
      <c r="HV82" s="172">
        <f>MIN(1,MAX(VLOOKUP(($AJ82-$AI82-$AH82-$AG82-$AF82-$AE82*(1+HV$3))/$AJ82,'Технический лист'!$A:$B,2,1),(HU82-0.05)))</f>
        <v/>
      </c>
      <c r="HW82" s="172">
        <f>MIN(1,MAX(VLOOKUP(($AJ82-$AI82-$AH82-$AG82-$AF82-$AE82*(1+HW$3))/$AJ82,'Технический лист'!$A:$B,2,1),(HV82-0.05)))</f>
        <v/>
      </c>
      <c r="HX82" s="172">
        <f>MIN(1,MAX(VLOOKUP(($AJ82-$AI82-$AH82-$AG82-$AF82-$AE82*(1+HX$3))/$AJ82,'Технический лист'!$A:$B,2,1),(HW82-0.05)))</f>
        <v/>
      </c>
      <c r="HY82" s="172">
        <f>MIN(1,MAX(VLOOKUP(($AJ82-$AI82-$AH82-$AG82-$AF82-$AE82*(1+HY$3))/$AJ82,'Технический лист'!$A:$B,2,1),(HX82-0.05)))</f>
        <v/>
      </c>
      <c r="HZ82" s="172">
        <f>MIN(1,MAX(VLOOKUP(($AJ82-$AI82-$AH82-$AG82-$AF82-$AE82*(1+HZ$3))/$AJ82,'Технический лист'!$A:$B,2,1),(HY82-0.05)))</f>
        <v/>
      </c>
      <c r="IA82" s="172">
        <f>MIN(1,MAX(VLOOKUP(($AJ82-$AI82-$AH82-$AG82-$AF82-$AE82*(1+IA$3))/$AJ82,'Технический лист'!$A:$B,2,1),(HZ82-0.05)))</f>
        <v/>
      </c>
      <c r="IB82" s="172">
        <f>MIN(1,MAX(VLOOKUP(($AJ82-$AI82-$AH82-$AG82-$AF82-$AE82*(1+IB$3))/$AJ82,'Технический лист'!$A:$B,2,1),(IA82-0.05)))</f>
        <v/>
      </c>
      <c r="IC82" s="172">
        <f>MIN(1,MAX(VLOOKUP(($AJ82-$AI82-$AH82-$AG82-$AF82-$AE82*(1+IC$3))/$AJ82,'Технический лист'!$A:$B,2,1),(IB82-0.05)))</f>
        <v/>
      </c>
      <c r="ID82" s="172">
        <f>MIN(1,MAX(VLOOKUP(($AJ82-$AI82-$AH82-$AG82-$AF82-$AE82*(1+ID$3))/$AJ82,'Технический лист'!$A:$B,2,1),(IC82-0.05)))</f>
        <v/>
      </c>
      <c r="IE82" s="172">
        <f>MIN(1,MAX(VLOOKUP(($AJ82-$AI82-$AH82-$AG82-$AF82-$AE82*(1+IE$3))/$AJ82,'Технический лист'!$A:$B,2,1),(ID82-0.05)))</f>
        <v/>
      </c>
      <c r="IF82" s="172">
        <f>MIN(1,MAX(VLOOKUP(($AJ82-$AI82-$AH82-$AG82-$AF82-$AE82*(1+IF$3))/$AJ82,'Технический лист'!$A:$B,2,1),(IE82-0.05)))</f>
        <v/>
      </c>
      <c r="IG82" s="172">
        <f>MIN(1,MAX(VLOOKUP(($AJ82-$AI82-$AH82-$AG82-$AF82-$AE82*(1+IG$3))/$AJ82,'Технический лист'!$A:$B,2,1),(IF82-0.05)))</f>
        <v/>
      </c>
      <c r="IH82" s="172">
        <f>MIN(1,MAX(VLOOKUP(($AJ82-$AI82-$AH82-$AG82-$AF82-$AE82*(1+IH$3))/$AJ82,'Технический лист'!$A:$B,2,1),(IG82-0.05)))</f>
        <v/>
      </c>
      <c r="II82" s="172">
        <f>MIN(1,MAX(VLOOKUP(($AJ82-$AI82-$AH82-$AG82-$AF82-$AE82*(1+II$3))/$AJ82,'Технический лист'!$A:$B,2,1),(IH82-0.05)))</f>
        <v/>
      </c>
      <c r="IJ82" s="172">
        <f>MIN(1,MAX(VLOOKUP(($AJ82-$AI82-$AH82-$AG82-$AF82-$AE82*(1+IJ$3))/$AJ82,'Технический лист'!$A:$B,2,1),(II82-0.05)))</f>
        <v/>
      </c>
      <c r="IK82" s="172">
        <f>MIN(1,MAX(VLOOKUP(($AJ82-$AI82-$AH82-$AG82-$AF82-$AE82*(1+IK$3))/$AJ82,'Технический лист'!$A:$B,2,1),(IJ82-0.05)))</f>
        <v/>
      </c>
      <c r="IL82" s="172">
        <f>MIN(1,MAX(VLOOKUP(($AJ82-$AI82-$AH82-$AG82-$AF82-$AE82*(1+IL$3))/$AJ82,'Технический лист'!$A:$B,2,1),(IK82-0.05)))</f>
        <v/>
      </c>
      <c r="IM82" s="172">
        <f>MIN(1,MAX(VLOOKUP(($AJ82-$AI82-$AH82-$AG82-$AF82-$AE82*(1+IM$3))/$AJ82,'Технический лист'!$A:$B,2,1),(IL82-0.05)))</f>
        <v/>
      </c>
      <c r="IN82" s="172">
        <f>MIN(1,MAX(VLOOKUP(($AJ82-$AI82-$AH82-$AG82-$AF82-$AE82*(1+IN$3))/$AJ82,'Технический лист'!$A:$B,2,1),(IM82-0.05)))</f>
        <v/>
      </c>
      <c r="IO82" s="172">
        <f>MIN(1,MAX(VLOOKUP(($AJ82-$AI82-$AH82-$AG82-$AF82-$AE82*(1+IO$3))/$AJ82,'Технический лист'!$A:$B,2,1),(IN82-0.05)))</f>
        <v/>
      </c>
      <c r="IP82" s="172">
        <f>MIN(1,MAX(VLOOKUP(($AJ82-$AI82-$AH82-$AG82-$AF82-$AE82*(1+IP$3))/$AJ82,'Технический лист'!$A:$B,2,1),(IO82-0.05)))</f>
        <v/>
      </c>
      <c r="IQ82" s="172">
        <f>MIN(1,MAX(VLOOKUP(($AJ82-$AI82-$AH82-$AG82-$AF82-$AE82*(1+IQ$3))/$AJ82,'Технический лист'!$A:$B,2,1),(IP82-0.05)))</f>
        <v/>
      </c>
      <c r="IR82" s="172">
        <f>MIN(1,MAX(VLOOKUP(($AJ82-$AI82-$AH82-$AG82-$AF82-$AE82*(1+IR$3))/$AJ82,'Технический лист'!$A:$B,2,1),(IQ82-0.05)))</f>
        <v/>
      </c>
    </row>
    <row r="83" ht="29.15" customHeight="1" s="123">
      <c r="A83" s="89" t="inlineStr">
        <is>
          <t>ЧМ (продукция)</t>
        </is>
      </c>
      <c r="B83" s="90" t="n">
        <v>5</v>
      </c>
      <c r="C83" s="5" t="inlineStr">
        <is>
          <t>Черные металлы</t>
        </is>
      </c>
      <c r="D83" s="91" t="n">
        <v>31407</v>
      </c>
      <c r="E83" s="91" t="inlineStr">
        <is>
          <t xml:space="preserve">Слябы (заготовки стальные) </t>
        </is>
      </c>
      <c r="F83" s="92" t="inlineStr">
        <is>
          <t>ЗАГОТОВКИ СТАЛЬНЫЕ</t>
        </is>
      </c>
      <c r="G83" s="91" t="inlineStr">
        <is>
          <t>СВР</t>
        </is>
      </c>
      <c r="H83" s="91" t="inlineStr">
        <is>
          <t>ОКТ</t>
        </is>
      </c>
      <c r="I83" s="91" t="inlineStr">
        <is>
          <t>СМЫЧКА</t>
        </is>
      </c>
      <c r="J83" s="91" t="inlineStr">
        <is>
          <t>НОВ.ПОРТ-ЭКС</t>
        </is>
      </c>
      <c r="K83" s="91" t="n">
        <v>2200</v>
      </c>
      <c r="L83" s="91" t="inlineStr">
        <is>
          <t>Полувагоны</t>
        </is>
      </c>
      <c r="M83" s="91" t="inlineStr">
        <is>
          <t>Экспорт</t>
        </is>
      </c>
      <c r="N83" s="91" t="inlineStr">
        <is>
          <t>вагонная</t>
        </is>
      </c>
      <c r="O83" s="91" t="inlineStr">
        <is>
          <t xml:space="preserve">Северо-Западное </t>
        </is>
      </c>
      <c r="P83" s="89" t="inlineStr">
        <is>
          <t>'000080294056</t>
        </is>
      </c>
      <c r="Q83" s="91" t="inlineStr">
        <is>
          <t>ООО "ЕвразХолдинг"</t>
        </is>
      </c>
      <c r="R83" s="91" t="inlineStr">
        <is>
          <t>ООО "ЕвразХолдинг"</t>
        </is>
      </c>
      <c r="S83" s="87" t="n">
        <v>890346</v>
      </c>
      <c r="T83" s="87" t="n">
        <v>1958871902</v>
      </c>
      <c r="U83" s="88" t="n">
        <v>13011</v>
      </c>
      <c r="V83" s="88" t="n">
        <v>0</v>
      </c>
      <c r="W83" s="87" t="n">
        <v>3066267829</v>
      </c>
      <c r="X83" s="112" t="n">
        <v>67</v>
      </c>
      <c r="Y83" s="112" t="inlineStr">
        <is>
          <t>маршрутная</t>
        </is>
      </c>
      <c r="Z83" s="113" t="n">
        <v>7</v>
      </c>
      <c r="AA83" s="113" t="n">
        <v>7</v>
      </c>
      <c r="AB83" s="113" t="n">
        <v>4</v>
      </c>
      <c r="AC83" s="161" t="n">
        <v>3881.48</v>
      </c>
      <c r="AD83" s="161">
        <f>AE83-AC83</f>
        <v/>
      </c>
      <c r="AE83" s="161" t="n">
        <v>4509.1</v>
      </c>
      <c r="AF83" s="162">
        <f>(Z83+AA83+AB83)*'Ставки аренды'!$B$3/X83</f>
        <v/>
      </c>
      <c r="AG83" s="163">
        <f>'Ставки перевалки'!$B$10*'Курсы валют'!$B$2</f>
        <v/>
      </c>
      <c r="AH83" s="164" t="n">
        <v>0</v>
      </c>
      <c r="AI83" s="165">
        <f>0.71*AJ83</f>
        <v/>
      </c>
      <c r="AJ83" s="166">
        <f>Цены!$C$6*'Курсы валют'!$B$2</f>
        <v/>
      </c>
      <c r="AK83" s="164">
        <f>AJ83/Цены!$B$1</f>
        <v/>
      </c>
      <c r="AL83" s="164">
        <f>AE83+AF83+AG83</f>
        <v/>
      </c>
      <c r="AM83" s="164">
        <f>AJ83-AL83</f>
        <v/>
      </c>
      <c r="AN83" s="164">
        <f>AI83+AH83+AG83+AF83+AE83</f>
        <v/>
      </c>
      <c r="AO83" s="167">
        <f>(AJ83-AN83)/AJ83</f>
        <v/>
      </c>
      <c r="AP83" s="168">
        <f>AL83/AJ83</f>
        <v/>
      </c>
      <c r="AQ83" s="168">
        <f>AE83/AJ83</f>
        <v/>
      </c>
      <c r="AR83" s="168">
        <f>AE83/AL83</f>
        <v/>
      </c>
      <c r="AS83" s="169" t="n">
        <v>1</v>
      </c>
      <c r="AT83" s="121">
        <f>S83*AS83</f>
        <v/>
      </c>
      <c r="AU83" s="83" t="n">
        <v>0.75</v>
      </c>
      <c r="AV83" s="170">
        <f>(AJ83-(AE83*(1+$IS$2)+AF83+AG83+AH83+AI83))/AJ83</f>
        <v/>
      </c>
      <c r="AW83" s="171">
        <f>(AE83*(1+$IS$2)+AF83+AG83)/AJ83</f>
        <v/>
      </c>
      <c r="AX83" s="171">
        <f>(AE83*(1+$IS$2))/AJ83</f>
        <v/>
      </c>
      <c r="AY83" s="171">
        <f>(AE83*(1+$IS$2))/(AE83*(1+$IS$2)+AF83+AG83)</f>
        <v/>
      </c>
      <c r="AZ83" s="172">
        <f>MIN(IF($AU83=100%,1,1+VLOOKUP(($AJ83-$AI83-$AH83-$AG83-$AF83-$AE83*(1+AZ$3))/$AJ83,'Технический лист'!$I:$J,2,1)-VLOOKUP($AO83,'Технический лист'!$I:$J,2,1)),1+(1-$AU83))</f>
        <v/>
      </c>
      <c r="BA83" s="172">
        <f>MIN(IF($AU83=100%,1,1+VLOOKUP(($AJ83-$AI83-$AH83-$AG83-$AF83-$AE83*(1+BA$3))/$AJ83,'Технический лист'!$I:$J,2,1)-VLOOKUP($AO83,'Технический лист'!$I:$J,2,1)),1+(1-$AU83))</f>
        <v/>
      </c>
      <c r="BB83" s="172">
        <f>MIN(IF($AU83=100%,1,1+VLOOKUP(($AJ83-$AI83-$AH83-$AG83-$AF83-$AE83*(1+BB$3))/$AJ83,'Технический лист'!$I:$J,2,1)-VLOOKUP($AO83,'Технический лист'!$I:$J,2,1)),1+(1-$AU83))</f>
        <v/>
      </c>
      <c r="BC83" s="172">
        <f>MIN(IF($AU83=100%,1,1+VLOOKUP(($AJ83-$AI83-$AH83-$AG83-$AF83-$AE83*(1+BC$3))/$AJ83,'Технический лист'!$I:$J,2,1)-VLOOKUP($AO83,'Технический лист'!$I:$J,2,1)),1+(1-$AU83))</f>
        <v/>
      </c>
      <c r="BD83" s="172">
        <f>MIN(IF($AU83=100%,1,1+VLOOKUP(($AJ83-$AI83-$AH83-$AG83-$AF83-$AE83*(1+BD$3))/$AJ83,'Технический лист'!$I:$J,2,1)-VLOOKUP($AO83,'Технический лист'!$I:$J,2,1)),1+(1-$AU83))</f>
        <v/>
      </c>
      <c r="BE83" s="172">
        <f>MIN(IF($AU83=100%,1,1+VLOOKUP(($AJ83-$AI83-$AH83-$AG83-$AF83-$AE83*(1+BE$3))/$AJ83,'Технический лист'!$I:$J,2,1)-VLOOKUP($AO83,'Технический лист'!$I:$J,2,1)),1+(1-$AU83))</f>
        <v/>
      </c>
      <c r="BF83" s="172">
        <f>MIN(IF($AU83=100%,1,1+VLOOKUP(($AJ83-$AI83-$AH83-$AG83-$AF83-$AE83*(1+BF$3))/$AJ83,'Технический лист'!$I:$J,2,1)-VLOOKUP($AO83,'Технический лист'!$I:$J,2,1)),1+(1-$AU83))</f>
        <v/>
      </c>
      <c r="BG83" s="172">
        <f>MIN(IF($AU83=100%,1,1+VLOOKUP(($AJ83-$AI83-$AH83-$AG83-$AF83-$AE83*(1+BG$3))/$AJ83,'Технический лист'!$I:$J,2,1)-VLOOKUP($AO83,'Технический лист'!$I:$J,2,1)),1+(1-$AU83))</f>
        <v/>
      </c>
      <c r="BH83" s="172">
        <f>MIN(IF($AU83=100%,1,1+VLOOKUP(($AJ83-$AI83-$AH83-$AG83-$AF83-$AE83*(1+BH$3))/$AJ83,'Технический лист'!$I:$J,2,1)-VLOOKUP($AO83,'Технический лист'!$I:$J,2,1)),1+(1-$AU83))</f>
        <v/>
      </c>
      <c r="BI83" s="172">
        <f>MIN(IF($AU83=100%,1,1+VLOOKUP(($AJ83-$AI83-$AH83-$AG83-$AF83-$AE83*(1+BI$3))/$AJ83,'Технический лист'!$I:$J,2,1)-VLOOKUP($AO83,'Технический лист'!$I:$J,2,1)),1+(1-$AU83))</f>
        <v/>
      </c>
      <c r="BJ83" s="172">
        <f>MIN(IF($AU83=100%,1,1+VLOOKUP(($AJ83-$AI83-$AH83-$AG83-$AF83-$AE83*(1+BJ$3))/$AJ83,'Технический лист'!$I:$J,2,1)-VLOOKUP($AO83,'Технический лист'!$I:$J,2,1)),1+(1-$AU83))</f>
        <v/>
      </c>
      <c r="BK83" s="172">
        <f>MIN(IF($AU83=100%,1,1+VLOOKUP(($AJ83-$AI83-$AH83-$AG83-$AF83-$AE83*(1+BK$3))/$AJ83,'Технический лист'!$I:$J,2,1)-VLOOKUP($AO83,'Технический лист'!$I:$J,2,1)),1+(1-$AU83))</f>
        <v/>
      </c>
      <c r="BL83" s="172">
        <f>MIN(IF($AU83=100%,1,1+VLOOKUP(($AJ83-$AI83-$AH83-$AG83-$AF83-$AE83*(1+BL$3))/$AJ83,'Технический лист'!$I:$J,2,1)-VLOOKUP($AO83,'Технический лист'!$I:$J,2,1)),1+(1-$AU83))</f>
        <v/>
      </c>
      <c r="BM83" s="172">
        <f>MIN(IF($AU83=100%,1,1+VLOOKUP(($AJ83-$AI83-$AH83-$AG83-$AF83-$AE83*(1+BM$3))/$AJ83,'Технический лист'!$I:$J,2,1)-VLOOKUP($AO83,'Технический лист'!$I:$J,2,1)),1+(1-$AU83))</f>
        <v/>
      </c>
      <c r="BN83" s="172">
        <f>MIN(IF($AU83=100%,1,1+VLOOKUP(($AJ83-$AI83-$AH83-$AG83-$AF83-$AE83*(1+BN$3))/$AJ83,'Технический лист'!$I:$J,2,1)-VLOOKUP($AO83,'Технический лист'!$I:$J,2,1)),1+(1-$AU83))</f>
        <v/>
      </c>
      <c r="BO83" s="172">
        <f>MIN(IF($AU83=100%,1,1+VLOOKUP(($AJ83-$AI83-$AH83-$AG83-$AF83-$AE83*(1+BO$3))/$AJ83,'Технический лист'!$I:$J,2,1)-VLOOKUP($AO83,'Технический лист'!$I:$J,2,1)),1+(1-$AU83))</f>
        <v/>
      </c>
      <c r="BP83" s="172">
        <f>MIN(IF($AU83=100%,1,1+VLOOKUP(($AJ83-$AI83-$AH83-$AG83-$AF83-$AE83*(1+BP$3))/$AJ83,'Технический лист'!$I:$J,2,1)-VLOOKUP($AO83,'Технический лист'!$I:$J,2,1)),1+(1-$AU83))</f>
        <v/>
      </c>
      <c r="BQ83" s="172">
        <f>MIN(IF($AU83=100%,1,1+VLOOKUP(($AJ83-$AI83-$AH83-$AG83-$AF83-$AE83*(1+BQ$3))/$AJ83,'Технический лист'!$I:$J,2,1)-VLOOKUP($AO83,'Технический лист'!$I:$J,2,1)),1+(1-$AU83))</f>
        <v/>
      </c>
      <c r="BR83" s="172">
        <f>MIN(IF($AU83=100%,1,1+VLOOKUP(($AJ83-$AI83-$AH83-$AG83-$AF83-$AE83*(1+BR$3))/$AJ83,'Технический лист'!$I:$J,2,1)-VLOOKUP($AO83,'Технический лист'!$I:$J,2,1)),1+(1-$AU83))</f>
        <v/>
      </c>
      <c r="BS83" s="172">
        <f>MIN(IF($AU83=100%,1,1+VLOOKUP(($AJ83-$AI83-$AH83-$AG83-$AF83-$AE83*(1+BS$3))/$AJ83,'Технический лист'!$I:$J,2,1)-VLOOKUP($AO83,'Технический лист'!$I:$J,2,1)),1+(1-$AU83))</f>
        <v/>
      </c>
      <c r="BT83" s="172">
        <f>MIN(IF($AU83=100%,1,1+VLOOKUP(($AJ83-$AI83-$AH83-$AG83-$AF83-$AE83*(1+BT$3))/$AJ83,'Технический лист'!$I:$J,2,1)-VLOOKUP($AO83,'Технический лист'!$I:$J,2,1)),1+(1-$AU83))</f>
        <v/>
      </c>
      <c r="BU83" s="172">
        <f>MIN(IF($AU83=100%,1,1+VLOOKUP(($AJ83-$AI83-$AH83-$AG83-$AF83-$AE83*(1+BU$3))/$AJ83,'Технический лист'!$I:$J,2,1)-VLOOKUP($AO83,'Технический лист'!$I:$J,2,1)),1+(1-$AU83))</f>
        <v/>
      </c>
      <c r="BV83" s="172">
        <f>MIN(IF($AU83=100%,1,1+VLOOKUP(($AJ83-$AI83-$AH83-$AG83-$AF83-$AE83*(1+BV$3))/$AJ83,'Технический лист'!$I:$J,2,1)-VLOOKUP($AO83,'Технический лист'!$I:$J,2,1)),1+(1-$AU83))</f>
        <v/>
      </c>
      <c r="BW83" s="172">
        <f>MIN(IF($AU83=100%,1,1+VLOOKUP(($AJ83-$AI83-$AH83-$AG83-$AF83-$AE83*(1+BW$3))/$AJ83,'Технический лист'!$I:$J,2,1)-VLOOKUP($AO83,'Технический лист'!$I:$J,2,1)),1+(1-$AU83))</f>
        <v/>
      </c>
      <c r="BX83" s="172">
        <f>MIN(IF($AU83=100%,1,1+VLOOKUP(($AJ83-$AI83-$AH83-$AG83-$AF83-$AE83*(1+BX$3))/$AJ83,'Технический лист'!$I:$J,2,1)-VLOOKUP($AO83,'Технический лист'!$I:$J,2,1)),1+(1-$AU83))</f>
        <v/>
      </c>
      <c r="BY83" s="172">
        <f>MIN(IF($AU83=100%,1,1+VLOOKUP(($AJ83-$AI83-$AH83-$AG83-$AF83-$AE83*(1+BY$3))/$AJ83,'Технический лист'!$I:$J,2,1)-VLOOKUP($AO83,'Технический лист'!$I:$J,2,1)),1+(1-$AU83))</f>
        <v/>
      </c>
      <c r="BZ83" s="172">
        <f>MIN(IF($AU83=100%,1,1+VLOOKUP(($AJ83-$AI83-$AH83-$AG83-$AF83-$AE83*(1+BZ$3))/$AJ83,'Технический лист'!$I:$J,2,1)-VLOOKUP($AO83,'Технический лист'!$I:$J,2,1)),1+(1-$AU83))</f>
        <v/>
      </c>
      <c r="CA83" s="172">
        <f>MIN(IF($AU83=100%,1,1+VLOOKUP(($AJ83-$AI83-$AH83-$AG83-$AF83-$AE83*(1+CA$3))/$AJ83,'Технический лист'!$I:$J,2,1)-VLOOKUP($AO83,'Технический лист'!$I:$J,2,1)),1+(1-$AU83))</f>
        <v/>
      </c>
      <c r="CB83" s="172">
        <f>MIN(IF($AU83=100%,1,1+VLOOKUP(($AJ83-$AI83-$AH83-$AG83-$AF83-$AE83*(1+CB$3))/$AJ83,'Технический лист'!$I:$J,2,1)-VLOOKUP($AO83,'Технический лист'!$I:$J,2,1)),1+(1-$AU83))</f>
        <v/>
      </c>
      <c r="CC83" s="172">
        <f>MIN(IF($AU83=100%,1,1+VLOOKUP(($AJ83-$AI83-$AH83-$AG83-$AF83-$AE83*(1+CC$3))/$AJ83,'Технический лист'!$I:$J,2,1)-VLOOKUP($AO83,'Технический лист'!$I:$J,2,1)),1+(1-$AU83))</f>
        <v/>
      </c>
      <c r="CD83" s="172">
        <f>MIN(IF($AU83=100%,1,1+VLOOKUP(($AJ83-$AI83-$AH83-$AG83-$AF83-$AE83*(1+CD$3))/$AJ83,'Технический лист'!$I:$J,2,1)-VLOOKUP($AO83,'Технический лист'!$I:$J,2,1)),1+(1-$AU83))</f>
        <v/>
      </c>
      <c r="CE83" s="172">
        <f>MIN(IF($AU83=100%,1,1+VLOOKUP(($AJ83-$AI83-$AH83-$AG83-$AF83-$AE83*(1+CE$3))/$AJ83,'Технический лист'!$I:$J,2,1)-VLOOKUP($AO83,'Технический лист'!$I:$J,2,1)),1+(1-$AU83))</f>
        <v/>
      </c>
      <c r="CF83" s="172">
        <f>MIN(IF($AU83=100%,1,1+VLOOKUP(($AJ83-$AI83-$AH83-$AG83-$AF83-$AE83*(1+CF$3))/$AJ83,'Технический лист'!$I:$J,2,1)-VLOOKUP($AO83,'Технический лист'!$I:$J,2,1)),1+(1-$AU83))</f>
        <v/>
      </c>
      <c r="CG83" s="172">
        <f>MIN(IF($AU83=100%,1,1+VLOOKUP(($AJ83-$AI83-$AH83-$AG83-$AF83-$AE83*(1+CG$3))/$AJ83,'Технический лист'!$I:$J,2,1)-VLOOKUP($AO83,'Технический лист'!$I:$J,2,1)),1+(1-$AU83))</f>
        <v/>
      </c>
      <c r="CH83" s="172">
        <f>MIN(IF($AU83=100%,1,1+VLOOKUP(($AJ83-$AI83-$AH83-$AG83-$AF83-$AE83*(1+CH$3))/$AJ83,'Технический лист'!$I:$J,2,1)-VLOOKUP($AO83,'Технический лист'!$I:$J,2,1)),1+(1-$AU83))</f>
        <v/>
      </c>
      <c r="CI83" s="172">
        <f>MIN(IF($AU83=100%,1,1+VLOOKUP(($AJ83-$AI83-$AH83-$AG83-$AF83-$AE83*(1+CI$3))/$AJ83,'Технический лист'!$I:$J,2,1)-VLOOKUP($AO83,'Технический лист'!$I:$J,2,1)),1+(1-$AU83))</f>
        <v/>
      </c>
      <c r="CJ83" s="172">
        <f>MIN(IF($AU83=100%,1,1+VLOOKUP(($AJ83-$AI83-$AH83-$AG83-$AF83-$AE83*(1+CJ$3))/$AJ83,'Технический лист'!$I:$J,2,1)-VLOOKUP($AO83,'Технический лист'!$I:$J,2,1)),1+(1-$AU83))</f>
        <v/>
      </c>
      <c r="CK83" s="172">
        <f>MIN(IF($AU83=100%,1,1+VLOOKUP(($AJ83-$AI83-$AH83-$AG83-$AF83-$AE83*(1+CK$3))/$AJ83,'Технический лист'!$I:$J,2,1)-VLOOKUP($AO83,'Технический лист'!$I:$J,2,1)),1+(1-$AU83))</f>
        <v/>
      </c>
      <c r="CL83" s="172">
        <f>MIN(IF($AU83=100%,1,1+VLOOKUP(($AJ83-$AI83-$AH83-$AG83-$AF83-$AE83*(1+CL$3))/$AJ83,'Технический лист'!$I:$J,2,1)-VLOOKUP($AO83,'Технический лист'!$I:$J,2,1)),1+(1-$AU83))</f>
        <v/>
      </c>
      <c r="CM83" s="172">
        <f>MIN(IF($AU83=100%,1,1+VLOOKUP(($AJ83-$AI83-$AH83-$AG83-$AF83-$AE83*(1+CM$3))/$AJ83,'Технический лист'!$I:$J,2,1)-VLOOKUP($AO83,'Технический лист'!$I:$J,2,1)),1+(1-$AU83))</f>
        <v/>
      </c>
      <c r="CN83" s="172">
        <f>MIN(IF($AU83=100%,1,1+VLOOKUP(($AJ83-$AI83-$AH83-$AG83-$AF83-$AE83*(1+CN$3))/$AJ83,'Технический лист'!$I:$J,2,1)-VLOOKUP($AO83,'Технический лист'!$I:$J,2,1)),1+(1-$AU83))</f>
        <v/>
      </c>
      <c r="CO83" s="172">
        <f>MIN(IF($AU83=100%,1,1+VLOOKUP(($AJ83-$AI83-$AH83-$AG83-$AF83-$AE83*(1+CO$3))/$AJ83,'Технический лист'!$I:$J,2,1)-VLOOKUP($AO83,'Технический лист'!$I:$J,2,1)),1+(1-$AU83))</f>
        <v/>
      </c>
      <c r="CP83" s="172">
        <f>MIN(IF($AU83=100%,1,1+VLOOKUP(($AJ83-$AI83-$AH83-$AG83-$AF83-$AE83*(1+CP$3))/$AJ83,'Технический лист'!$I:$J,2,1)-VLOOKUP($AO83,'Технический лист'!$I:$J,2,1)),1+(1-$AU83))</f>
        <v/>
      </c>
      <c r="CQ83" s="172">
        <f>MIN(IF($AU83=100%,1,1+VLOOKUP(($AJ83-$AI83-$AH83-$AG83-$AF83-$AE83*(1+CQ$3))/$AJ83,'Технический лист'!$I:$J,2,1)-VLOOKUP($AO83,'Технический лист'!$I:$J,2,1)),1+(1-$AU83))</f>
        <v/>
      </c>
      <c r="CR83" s="172">
        <f>MIN(IF($AU83=100%,1,1+VLOOKUP(($AJ83-$AI83-$AH83-$AG83-$AF83-$AE83*(1+CR$3))/$AJ83,'Технический лист'!$I:$J,2,1)-VLOOKUP($AO83,'Технический лист'!$I:$J,2,1)),1+(1-$AU83))</f>
        <v/>
      </c>
      <c r="CS83" s="172">
        <f>MIN(IF($AU83=100%,1,1+VLOOKUP(($AJ83-$AI83-$AH83-$AG83-$AF83-$AE83*(1+CS$3))/$AJ83,'Технический лист'!$I:$J,2,1)-VLOOKUP($AO83,'Технический лист'!$I:$J,2,1)),1+(1-$AU83))</f>
        <v/>
      </c>
      <c r="CT83" s="172">
        <f>MIN(IF($AU83=100%,1,1+VLOOKUP(($AJ83-$AI83-$AH83-$AG83-$AF83-$AE83*(1+CT$3))/$AJ83,'Технический лист'!$I:$J,2,1)-VLOOKUP($AO83,'Технический лист'!$I:$J,2,1)),1+(1-$AU83))</f>
        <v/>
      </c>
      <c r="CU83" s="172">
        <f>MIN(IF($AU83=100%,1,1+VLOOKUP(($AJ83-$AI83-$AH83-$AG83-$AF83-$AE83*(1+CU$3))/$AJ83,'Технический лист'!$I:$J,2,1)-VLOOKUP($AO83,'Технический лист'!$I:$J,2,1)),1+(1-$AU83))</f>
        <v/>
      </c>
      <c r="CV83" s="172">
        <f>MIN(IF($AU83=100%,1,1+VLOOKUP(($AJ83-$AI83-$AH83-$AG83-$AF83-$AE83*(1+CV$3))/$AJ83,'Технический лист'!$I:$J,2,1)-VLOOKUP($AO83,'Технический лист'!$I:$J,2,1)),1+(1-$AU83))</f>
        <v/>
      </c>
      <c r="CW83" s="172">
        <f>MIN(IF($AU83=100%,1,1+VLOOKUP(($AJ83-$AI83-$AH83-$AG83-$AF83-$AE83*(1+CW$3))/$AJ83,'Технический лист'!$I:$J,2,1)-VLOOKUP($AO83,'Технический лист'!$I:$J,2,1)),1+(1-$AU83))</f>
        <v/>
      </c>
      <c r="CX83" s="172">
        <f>MIN(IF($AU83=100%,1,1+VLOOKUP(($AJ83-$AI83-$AH83-$AG83-$AF83-$AE83*(1+CX$3))/$AJ83,'Технический лист'!$I:$J,2,1)-VLOOKUP($AO83,'Технический лист'!$I:$J,2,1)),1+(1-$AU83))</f>
        <v/>
      </c>
      <c r="CY83" s="172">
        <f>MIN(IF($AU83=100%,1,1+VLOOKUP(($AJ83-$AI83-$AH83-$AG83-$AF83-$AE83*(1+CY$3))/$AJ83,'Технический лист'!$I:$J,2,1)-VLOOKUP($AO83,'Технический лист'!$I:$J,2,1)),1+(1-$AU83))</f>
        <v/>
      </c>
      <c r="CZ83" s="172">
        <f>MIN(IF($AU83=100%,1,1+VLOOKUP(($AJ83-$AI83-$AH83-$AG83-$AF83-$AE83*(1+CZ$3))/$AJ83,'Технический лист'!$I:$J,2,1)-VLOOKUP($AO83,'Технический лист'!$I:$J,2,1)),1+(1-$AU83))</f>
        <v/>
      </c>
      <c r="DA83" s="172">
        <f>MIN(IF($AU83=100%,1,1+VLOOKUP(($AJ83-$AI83-$AH83-$AG83-$AF83-$AE83*(1+DA$3))/$AJ83,'Технический лист'!$I:$J,2,1)-VLOOKUP($AO83,'Технический лист'!$I:$J,2,1)),1+(1-$AU83))</f>
        <v/>
      </c>
      <c r="DB83" s="172">
        <f>MIN(IF($AU83=100%,1,1+VLOOKUP(($AJ83-$AI83-$AH83-$AG83-$AF83-$AE83*(1+DB$3))/$AJ83,'Технический лист'!$I:$J,2,1)-VLOOKUP($AO83,'Технический лист'!$I:$J,2,1)),1+(1-$AU83))</f>
        <v/>
      </c>
      <c r="DC83" s="172">
        <f>MIN(IF($AU83=100%,1,1+VLOOKUP(($AJ83-$AI83-$AH83-$AG83-$AF83-$AE83*(1+DC$3))/$AJ83,'Технический лист'!$I:$J,2,1)-VLOOKUP($AO83,'Технический лист'!$I:$J,2,1)),1+(1-$AU83))</f>
        <v/>
      </c>
      <c r="DD83" s="172">
        <f>MIN(IF($AU83=100%,1,1+VLOOKUP(($AJ83-$AI83-$AH83-$AG83-$AF83-$AE83*(1+DD$3))/$AJ83,'Технический лист'!$I:$J,2,1)-VLOOKUP($AO83,'Технический лист'!$I:$J,2,1)),1+(1-$AU83))</f>
        <v/>
      </c>
      <c r="DE83" s="172">
        <f>MIN(IF($AU83=100%,1,1+VLOOKUP(($AJ83-$AI83-$AH83-$AG83-$AF83-$AE83*(1+DE$3))/$AJ83,'Технический лист'!$I:$J,2,1)-VLOOKUP($AO83,'Технический лист'!$I:$J,2,1)),1+(1-$AU83))</f>
        <v/>
      </c>
      <c r="DF83" s="172">
        <f>MIN(IF($AU83=100%,1,1+VLOOKUP(($AJ83-$AI83-$AH83-$AG83-$AF83-$AE83*(1+DF$3))/$AJ83,'Технический лист'!$I:$J,2,1)-VLOOKUP($AO83,'Технический лист'!$I:$J,2,1)),1+(1-$AU83))</f>
        <v/>
      </c>
      <c r="DG83" s="172">
        <f>MIN(IF($AU83=100%,1,1+VLOOKUP(($AJ83-$AI83-$AH83-$AG83-$AF83-$AE83*(1+DG$3))/$AJ83,'Технический лист'!$I:$J,2,1)-VLOOKUP($AO83,'Технический лист'!$I:$J,2,1)),1+(1-$AU83))</f>
        <v/>
      </c>
      <c r="DH83" s="172">
        <f>MIN(IF($AU83=100%,1,1+VLOOKUP(($AJ83-$AI83-$AH83-$AG83-$AF83-$AE83*(1+DH$3))/$AJ83,'Технический лист'!$I:$J,2,1)-VLOOKUP($AO83,'Технический лист'!$I:$J,2,1)),1+(1-$AU83))</f>
        <v/>
      </c>
      <c r="DI83" s="172">
        <f>MIN(IF($AU83=100%,1,1+VLOOKUP(($AJ83-$AI83-$AH83-$AG83-$AF83-$AE83*(1+DI$3))/$AJ83,'Технический лист'!$I:$J,2,1)-VLOOKUP($AO83,'Технический лист'!$I:$J,2,1)),1+(1-$AU83))</f>
        <v/>
      </c>
      <c r="DJ83" s="172">
        <f>MIN(IF($AU83=100%,1,1+VLOOKUP(($AJ83-$AI83-$AH83-$AG83-$AF83-$AE83*(1+DJ$3))/$AJ83,'Технический лист'!$I:$J,2,1)-VLOOKUP($AO83,'Технический лист'!$I:$J,2,1)),1+(1-$AU83))</f>
        <v/>
      </c>
      <c r="DK83" s="172">
        <f>MIN(IF($AU83=100%,1,1+VLOOKUP(($AJ83-$AI83-$AH83-$AG83-$AF83-$AE83*(1+DK$3))/$AJ83,'Технический лист'!$I:$J,2,1)-VLOOKUP($AO83,'Технический лист'!$I:$J,2,1)),1+(1-$AU83))</f>
        <v/>
      </c>
      <c r="DL83" s="172">
        <f>MIN(IF($AU83=100%,1,1+VLOOKUP(($AJ83-$AI83-$AH83-$AG83-$AF83-$AE83*(1+DL$3))/$AJ83,'Технический лист'!$I:$J,2,1)-VLOOKUP($AO83,'Технический лист'!$I:$J,2,1)),1+(1-$AU83))</f>
        <v/>
      </c>
      <c r="DM83" s="172">
        <f>MIN(IF($AU83=100%,1,1+VLOOKUP(($AJ83-$AI83-$AH83-$AG83-$AF83-$AE83*(1+DM$3))/$AJ83,'Технический лист'!$I:$J,2,1)-VLOOKUP($AO83,'Технический лист'!$I:$J,2,1)),1+(1-$AU83))</f>
        <v/>
      </c>
      <c r="DN83" s="172">
        <f>MIN(IF($AU83=100%,1,1+VLOOKUP(($AJ83-$AI83-$AH83-$AG83-$AF83-$AE83*(1+DN$3))/$AJ83,'Технический лист'!$I:$J,2,1)-VLOOKUP($AO83,'Технический лист'!$I:$J,2,1)),1+(1-$AU83))</f>
        <v/>
      </c>
      <c r="DO83" s="172">
        <f>MIN(IF($AU83=100%,1,1+VLOOKUP(($AJ83-$AI83-$AH83-$AG83-$AF83-$AE83*(1+DO$3))/$AJ83,'Технический лист'!$I:$J,2,1)-VLOOKUP($AO83,'Технический лист'!$I:$J,2,1)),1+(1-$AU83))</f>
        <v/>
      </c>
      <c r="DP83" s="172">
        <f>MIN(IF($AU83=100%,1,1+VLOOKUP(($AJ83-$AI83-$AH83-$AG83-$AF83-$AE83*(1+DP$3))/$AJ83,'Технический лист'!$I:$J,2,1)-VLOOKUP($AO83,'Технический лист'!$I:$J,2,1)),1+(1-$AU83))</f>
        <v/>
      </c>
      <c r="DQ83" s="172">
        <f>MIN(IF($AU83=100%,1,1+VLOOKUP(($AJ83-$AI83-$AH83-$AG83-$AF83-$AE83*(1+DQ$3))/$AJ83,'Технический лист'!$I:$J,2,1)-VLOOKUP($AO83,'Технический лист'!$I:$J,2,1)),1+(1-$AU83))</f>
        <v/>
      </c>
      <c r="DR83" s="172">
        <f>MIN(IF($AU83=100%,1,1+VLOOKUP(($AJ83-$AI83-$AH83-$AG83-$AF83-$AE83*(1+DR$3))/$AJ83,'Технический лист'!$I:$J,2,1)-VLOOKUP($AO83,'Технический лист'!$I:$J,2,1)),1+(1-$AU83))</f>
        <v/>
      </c>
      <c r="DS83" s="172">
        <f>MIN(IF($AU83=100%,1,1+VLOOKUP(($AJ83-$AI83-$AH83-$AG83-$AF83-$AE83*(1+DS$3))/$AJ83,'Технический лист'!$I:$J,2,1)-VLOOKUP($AO83,'Технический лист'!$I:$J,2,1)),1+(1-$AU83))</f>
        <v/>
      </c>
      <c r="DT83" s="172">
        <f>MIN(IF($AU83=100%,1,1+VLOOKUP(($AJ83-$AI83-$AH83-$AG83-$AF83-$AE83*(1+DT$3))/$AJ83,'Технический лист'!$I:$J,2,1)-VLOOKUP($AO83,'Технический лист'!$I:$J,2,1)),1+(1-$AU83))</f>
        <v/>
      </c>
      <c r="DU83" s="172">
        <f>MIN(IF($AU83=100%,1,1+VLOOKUP(($AJ83-$AI83-$AH83-$AG83-$AF83-$AE83*(1+DU$3))/$AJ83,'Технический лист'!$I:$J,2,1)-VLOOKUP($AO83,'Технический лист'!$I:$J,2,1)),1+(1-$AU83))</f>
        <v/>
      </c>
      <c r="DV83" s="172">
        <f>MIN(IF($AU83=100%,1,1+VLOOKUP(($AJ83-$AI83-$AH83-$AG83-$AF83-$AE83*(1+DV$3))/$AJ83,'Технический лист'!$I:$J,2,1)-VLOOKUP($AO83,'Технический лист'!$I:$J,2,1)),1+(1-$AU83))</f>
        <v/>
      </c>
      <c r="DW83" s="172">
        <f>MIN(IF($AU83=100%,1,1+VLOOKUP(($AJ83-$AI83-$AH83-$AG83-$AF83-$AE83*(1+DW$3))/$AJ83,'Технический лист'!$I:$J,2,1)-VLOOKUP($AO83,'Технический лист'!$I:$J,2,1)),1+(1-$AU83))</f>
        <v/>
      </c>
      <c r="DX83" s="172">
        <f>MIN(IF($AU83=100%,1,1+VLOOKUP(($AJ83-$AI83-$AH83-$AG83-$AF83-$AE83*(1+DX$3))/$AJ83,'Технический лист'!$I:$J,2,1)-VLOOKUP($AO83,'Технический лист'!$I:$J,2,1)),1+(1-$AU83))</f>
        <v/>
      </c>
      <c r="DY83" s="172">
        <f>MIN(IF($AU83=100%,1,1+VLOOKUP(($AJ83-$AI83-$AH83-$AG83-$AF83-$AE83*(1+DY$3))/$AJ83,'Технический лист'!$I:$J,2,1)-VLOOKUP($AO83,'Технический лист'!$I:$J,2,1)),1+(1-$AU83))</f>
        <v/>
      </c>
      <c r="DZ83" s="172">
        <f>MIN(IF($AU83=100%,1,1+VLOOKUP(($AJ83-$AI83-$AH83-$AG83-$AF83-$AE83*(1+DZ$3))/$AJ83,'Технический лист'!$I:$J,2,1)-VLOOKUP($AO83,'Технический лист'!$I:$J,2,1)),1+(1-$AU83))</f>
        <v/>
      </c>
      <c r="EA83" s="172">
        <f>MIN(IF($AU83=100%,1,1+VLOOKUP(($AJ83-$AI83-$AH83-$AG83-$AF83-$AE83*(1+EA$3))/$AJ83,'Технический лист'!$I:$J,2,1)-VLOOKUP($AO83,'Технический лист'!$I:$J,2,1)),1+(1-$AU83))</f>
        <v/>
      </c>
      <c r="EB83" s="172">
        <f>MIN(IF($AU83=100%,1,1+VLOOKUP(($AJ83-$AI83-$AH83-$AG83-$AF83-$AE83*(1+EB$3))/$AJ83,'Технический лист'!$I:$J,2,1)-VLOOKUP($AO83,'Технический лист'!$I:$J,2,1)),1+(1-$AU83))</f>
        <v/>
      </c>
      <c r="EC83" s="172">
        <f>MIN(IF($AU83=100%,1,1+VLOOKUP(($AJ83-$AI83-$AH83-$AG83-$AF83-$AE83*(1+EC$3))/$AJ83,'Технический лист'!$I:$J,2,1)-VLOOKUP($AO83,'Технический лист'!$I:$J,2,1)),1+(1-$AU83))</f>
        <v/>
      </c>
      <c r="ED83" s="172">
        <f>MIN(IF($AU83=100%,1,1+VLOOKUP(($AJ83-$AI83-$AH83-$AG83-$AF83-$AE83*(1+ED$3))/$AJ83,'Технический лист'!$I:$J,2,1)-VLOOKUP($AO83,'Технический лист'!$I:$J,2,1)),1+(1-$AU83))</f>
        <v/>
      </c>
      <c r="EE83" s="172">
        <f>MIN(IF($AU83=100%,1,1+VLOOKUP(($AJ83-$AI83-$AH83-$AG83-$AF83-$AE83*(1+EE$3))/$AJ83,'Технический лист'!$I:$J,2,1)-VLOOKUP($AO83,'Технический лист'!$I:$J,2,1)),1+(1-$AU83))</f>
        <v/>
      </c>
      <c r="EF83" s="172">
        <f>MIN(IF($AU83=100%,1,1+VLOOKUP(($AJ83-$AI83-$AH83-$AG83-$AF83-$AE83*(1+EF$3))/$AJ83,'Технический лист'!$I:$J,2,1)-VLOOKUP($AO83,'Технический лист'!$I:$J,2,1)),1+(1-$AU83))</f>
        <v/>
      </c>
      <c r="EG83" s="172">
        <f>MIN(IF($AU83=100%,1,1+VLOOKUP(($AJ83-$AI83-$AH83-$AG83-$AF83-$AE83*(1+EG$3))/$AJ83,'Технический лист'!$I:$J,2,1)-VLOOKUP($AO83,'Технический лист'!$I:$J,2,1)),1+(1-$AU83))</f>
        <v/>
      </c>
      <c r="EH83" s="172">
        <f>MIN(IF($AU83=100%,1,1+VLOOKUP(($AJ83-$AI83-$AH83-$AG83-$AF83-$AE83*(1+EH$3))/$AJ83,'Технический лист'!$I:$J,2,1)-VLOOKUP($AO83,'Технический лист'!$I:$J,2,1)),1+(1-$AU83))</f>
        <v/>
      </c>
      <c r="EI83" s="172">
        <f>MIN(IF($AU83=100%,1,1+VLOOKUP(($AJ83-$AI83-$AH83-$AG83-$AF83-$AE83*(1+EI$3))/$AJ83,'Технический лист'!$I:$J,2,1)-VLOOKUP($AO83,'Технический лист'!$I:$J,2,1)),1+(1-$AU83))</f>
        <v/>
      </c>
      <c r="EJ83" s="172">
        <f>MIN(IF($AU83=100%,1,1+VLOOKUP(($AJ83-$AI83-$AH83-$AG83-$AF83-$AE83*(1+EJ$3))/$AJ83,'Технический лист'!$I:$J,2,1)-VLOOKUP($AO83,'Технический лист'!$I:$J,2,1)),1+(1-$AU83))</f>
        <v/>
      </c>
      <c r="EK83" s="172">
        <f>MIN(IF($AU83=100%,1,1+VLOOKUP(($AJ83-$AI83-$AH83-$AG83-$AF83-$AE83*(1+EK$3))/$AJ83,'Технический лист'!$I:$J,2,1)-VLOOKUP($AO83,'Технический лист'!$I:$J,2,1)),1+(1-$AU83))</f>
        <v/>
      </c>
      <c r="EL83" s="172">
        <f>MIN(IF($AU83=100%,1,1+VLOOKUP(($AJ83-$AI83-$AH83-$AG83-$AF83-$AE83*(1+EL$3))/$AJ83,'Технический лист'!$I:$J,2,1)-VLOOKUP($AO83,'Технический лист'!$I:$J,2,1)),1+(1-$AU83))</f>
        <v/>
      </c>
      <c r="EM83" s="172">
        <f>MIN(IF($AU83=100%,1,1+VLOOKUP(($AJ83-$AI83-$AH83-$AG83-$AF83-$AE83*(1+EM$3))/$AJ83,'Технический лист'!$I:$J,2,1)-VLOOKUP($AO83,'Технический лист'!$I:$J,2,1)),1+(1-$AU83))</f>
        <v/>
      </c>
      <c r="EN83" s="172">
        <f>MIN(IF($AU83=100%,1,1+VLOOKUP(($AJ83-$AI83-$AH83-$AG83-$AF83-$AE83*(1+EN$3))/$AJ83,'Технический лист'!$I:$J,2,1)-VLOOKUP($AO83,'Технический лист'!$I:$J,2,1)),1+(1-$AU83))</f>
        <v/>
      </c>
      <c r="EO83" s="172">
        <f>MIN(IF($AU83=100%,1,1+VLOOKUP(($AJ83-$AI83-$AH83-$AG83-$AF83-$AE83*(1+EO$3))/$AJ83,'Технический лист'!$I:$J,2,1)-VLOOKUP($AO83,'Технический лист'!$I:$J,2,1)),1+(1-$AU83))</f>
        <v/>
      </c>
      <c r="EP83" s="172">
        <f>MIN(IF($AU83=100%,1,1+VLOOKUP(($AJ83-$AI83-$AH83-$AG83-$AF83-$AE83*(1+EP$3))/$AJ83,'Технический лист'!$I:$J,2,1)-VLOOKUP($AO83,'Технический лист'!$I:$J,2,1)),1+(1-$AU83))</f>
        <v/>
      </c>
      <c r="EQ83" s="172">
        <f>MIN(IF($AU83=100%,1,1+VLOOKUP(($AJ83-$AI83-$AH83-$AG83-$AF83-$AE83*(1+EQ$3))/$AJ83,'Технический лист'!$I:$J,2,1)-VLOOKUP($AO83,'Технический лист'!$I:$J,2,1)),1+(1-$AU83))</f>
        <v/>
      </c>
      <c r="ER83" s="172">
        <f>MIN(IF($AU83=100%,1,1+VLOOKUP(($AJ83-$AI83-$AH83-$AG83-$AF83-$AE83*(1+ER$3))/$AJ83,'Технический лист'!$I:$J,2,1)-VLOOKUP($AO83,'Технический лист'!$I:$J,2,1)),1+(1-$AU83))</f>
        <v/>
      </c>
      <c r="ES83" s="172">
        <f>MIN(IF($AU83=100%,1,1+VLOOKUP(($AJ83-$AI83-$AH83-$AG83-$AF83-$AE83*(1+ES$3))/$AJ83,'Технический лист'!$I:$J,2,1)-VLOOKUP($AO83,'Технический лист'!$I:$J,2,1)),1+(1-$AU83))</f>
        <v/>
      </c>
      <c r="ET83" s="172">
        <f>MIN(IF($AU83=100%,1,1+VLOOKUP(($AJ83-$AI83-$AH83-$AG83-$AF83-$AE83*(1+ET$3))/$AJ83,'Технический лист'!$I:$J,2,1)-VLOOKUP($AO83,'Технический лист'!$I:$J,2,1)),1+(1-$AU83))</f>
        <v/>
      </c>
      <c r="EU83" s="172">
        <f>MIN(IF($AU83=100%,1,1+VLOOKUP(($AJ83-$AI83-$AH83-$AG83-$AF83-$AE83*(1+EU$3))/$AJ83,'Технический лист'!$I:$J,2,1)-VLOOKUP($AO83,'Технический лист'!$I:$J,2,1)),1+(1-$AU83))</f>
        <v/>
      </c>
      <c r="EV83" s="173" t="n">
        <v>1</v>
      </c>
      <c r="EW83" s="172">
        <f>MIN(1,MAX(VLOOKUP(($AJ83-$AI83-$AH83-$AG83-$AF83-$AE83*(1+EW$3))/$AJ83,'Технический лист'!$A:$B,2,1),(EV83-0.05)))</f>
        <v/>
      </c>
      <c r="EX83" s="172">
        <f>MIN(1,MAX(VLOOKUP(($AJ83-$AI83-$AH83-$AG83-$AF83-$AE83*(1+EX$3))/$AJ83,'Технический лист'!$A:$B,2,1),(EW83-0.05)))</f>
        <v/>
      </c>
      <c r="EY83" s="172">
        <f>MIN(1,MAX(VLOOKUP(($AJ83-$AI83-$AH83-$AG83-$AF83-$AE83*(1+EY$3))/$AJ83,'Технический лист'!$A:$B,2,1),(EX83-0.05)))</f>
        <v/>
      </c>
      <c r="EZ83" s="172">
        <f>MIN(1,MAX(VLOOKUP(($AJ83-$AI83-$AH83-$AG83-$AF83-$AE83*(1+EZ$3))/$AJ83,'Технический лист'!$A:$B,2,1),(EY83-0.05)))</f>
        <v/>
      </c>
      <c r="FA83" s="172">
        <f>MIN(1,MAX(VLOOKUP(($AJ83-$AI83-$AH83-$AG83-$AF83-$AE83*(1+FA$3))/$AJ83,'Технический лист'!$A:$B,2,1),(EZ83-0.05)))</f>
        <v/>
      </c>
      <c r="FB83" s="172">
        <f>MIN(1,MAX(VLOOKUP(($AJ83-$AI83-$AH83-$AG83-$AF83-$AE83*(1+FB$3))/$AJ83,'Технический лист'!$A:$B,2,1),(FA83-0.05)))</f>
        <v/>
      </c>
      <c r="FC83" s="172">
        <f>MIN(1,MAX(VLOOKUP(($AJ83-$AI83-$AH83-$AG83-$AF83-$AE83*(1+FC$3))/$AJ83,'Технический лист'!$A:$B,2,1),(FB83-0.05)))</f>
        <v/>
      </c>
      <c r="FD83" s="172">
        <f>MIN(1,MAX(VLOOKUP(($AJ83-$AI83-$AH83-$AG83-$AF83-$AE83*(1+FD$3))/$AJ83,'Технический лист'!$A:$B,2,1),(FC83-0.05)))</f>
        <v/>
      </c>
      <c r="FE83" s="172">
        <f>MIN(1,MAX(VLOOKUP(($AJ83-$AI83-$AH83-$AG83-$AF83-$AE83*(1+FE$3))/$AJ83,'Технический лист'!$A:$B,2,1),(FD83-0.05)))</f>
        <v/>
      </c>
      <c r="FF83" s="172">
        <f>MIN(1,MAX(VLOOKUP(($AJ83-$AI83-$AH83-$AG83-$AF83-$AE83*(1+FF$3))/$AJ83,'Технический лист'!$A:$B,2,1),(FE83-0.05)))</f>
        <v/>
      </c>
      <c r="FG83" s="172">
        <f>MIN(1,MAX(VLOOKUP(($AJ83-$AI83-$AH83-$AG83-$AF83-$AE83*(1+FG$3))/$AJ83,'Технический лист'!$A:$B,2,1),(FF83-0.05)))</f>
        <v/>
      </c>
      <c r="FH83" s="172">
        <f>MIN(1,MAX(VLOOKUP(($AJ83-$AI83-$AH83-$AG83-$AF83-$AE83*(1+FH$3))/$AJ83,'Технический лист'!$A:$B,2,1),(FG83-0.05)))</f>
        <v/>
      </c>
      <c r="FI83" s="172">
        <f>MIN(1,MAX(VLOOKUP(($AJ83-$AI83-$AH83-$AG83-$AF83-$AE83*(1+FI$3))/$AJ83,'Технический лист'!$A:$B,2,1),(FH83-0.05)))</f>
        <v/>
      </c>
      <c r="FJ83" s="172">
        <f>MIN(1,MAX(VLOOKUP(($AJ83-$AI83-$AH83-$AG83-$AF83-$AE83*(1+FJ$3))/$AJ83,'Технический лист'!$A:$B,2,1),(FI83-0.05)))</f>
        <v/>
      </c>
      <c r="FK83" s="172">
        <f>MIN(1,MAX(VLOOKUP(($AJ83-$AI83-$AH83-$AG83-$AF83-$AE83*(1+FK$3))/$AJ83,'Технический лист'!$A:$B,2,1),(FJ83-0.05)))</f>
        <v/>
      </c>
      <c r="FL83" s="172">
        <f>MIN(1,MAX(VLOOKUP(($AJ83-$AI83-$AH83-$AG83-$AF83-$AE83*(1+FL$3))/$AJ83,'Технический лист'!$A:$B,2,1),(FK83-0.05)))</f>
        <v/>
      </c>
      <c r="FM83" s="172">
        <f>MIN(1,MAX(VLOOKUP(($AJ83-$AI83-$AH83-$AG83-$AF83-$AE83*(1+FM$3))/$AJ83,'Технический лист'!$A:$B,2,1),(FL83-0.05)))</f>
        <v/>
      </c>
      <c r="FN83" s="172">
        <f>MIN(1,MAX(VLOOKUP(($AJ83-$AI83-$AH83-$AG83-$AF83-$AE83*(1+FN$3))/$AJ83,'Технический лист'!$A:$B,2,1),(FM83-0.05)))</f>
        <v/>
      </c>
      <c r="FO83" s="172">
        <f>MIN(1,MAX(VLOOKUP(($AJ83-$AI83-$AH83-$AG83-$AF83-$AE83*(1+FO$3))/$AJ83,'Технический лист'!$A:$B,2,1),(FN83-0.05)))</f>
        <v/>
      </c>
      <c r="FP83" s="172">
        <f>MIN(1,MAX(VLOOKUP(($AJ83-$AI83-$AH83-$AG83-$AF83-$AE83*(1+FP$3))/$AJ83,'Технический лист'!$A:$B,2,1),(FO83-0.05)))</f>
        <v/>
      </c>
      <c r="FQ83" s="172">
        <f>MIN(1,MAX(VLOOKUP(($AJ83-$AI83-$AH83-$AG83-$AF83-$AE83*(1+FQ$3))/$AJ83,'Технический лист'!$A:$B,2,1),(FP83-0.05)))</f>
        <v/>
      </c>
      <c r="FR83" s="172">
        <f>MIN(1,MAX(VLOOKUP(($AJ83-$AI83-$AH83-$AG83-$AF83-$AE83*(1+FR$3))/$AJ83,'Технический лист'!$A:$B,2,1),(FQ83-0.05)))</f>
        <v/>
      </c>
      <c r="FS83" s="172">
        <f>MIN(1,MAX(VLOOKUP(($AJ83-$AI83-$AH83-$AG83-$AF83-$AE83*(1+FS$3))/$AJ83,'Технический лист'!$A:$B,2,1),(FR83-0.05)))</f>
        <v/>
      </c>
      <c r="FT83" s="172">
        <f>MIN(1,MAX(VLOOKUP(($AJ83-$AI83-$AH83-$AG83-$AF83-$AE83*(1+FT$3))/$AJ83,'Технический лист'!$A:$B,2,1),(FS83-0.05)))</f>
        <v/>
      </c>
      <c r="FU83" s="172">
        <f>MIN(1,MAX(VLOOKUP(($AJ83-$AI83-$AH83-$AG83-$AF83-$AE83*(1+FU$3))/$AJ83,'Технический лист'!$A:$B,2,1),(FT83-0.05)))</f>
        <v/>
      </c>
      <c r="FV83" s="172">
        <f>MIN(1,MAX(VLOOKUP(($AJ83-$AI83-$AH83-$AG83-$AF83-$AE83*(1+FV$3))/$AJ83,'Технический лист'!$A:$B,2,1),(FU83-0.05)))</f>
        <v/>
      </c>
      <c r="FW83" s="172">
        <f>MIN(1,MAX(VLOOKUP(($AJ83-$AI83-$AH83-$AG83-$AF83-$AE83*(1+FW$3))/$AJ83,'Технический лист'!$A:$B,2,1),(FV83-0.05)))</f>
        <v/>
      </c>
      <c r="FX83" s="172">
        <f>MIN(1,MAX(VLOOKUP(($AJ83-$AI83-$AH83-$AG83-$AF83-$AE83*(1+FX$3))/$AJ83,'Технический лист'!$A:$B,2,1),(FW83-0.05)))</f>
        <v/>
      </c>
      <c r="FY83" s="172">
        <f>MIN(1,MAX(VLOOKUP(($AJ83-$AI83-$AH83-$AG83-$AF83-$AE83*(1+FY$3))/$AJ83,'Технический лист'!$A:$B,2,1),(FX83-0.05)))</f>
        <v/>
      </c>
      <c r="FZ83" s="172">
        <f>MIN(1,MAX(VLOOKUP(($AJ83-$AI83-$AH83-$AG83-$AF83-$AE83*(1+FZ$3))/$AJ83,'Технический лист'!$A:$B,2,1),(FY83-0.05)))</f>
        <v/>
      </c>
      <c r="GA83" s="172">
        <f>MIN(1,MAX(VLOOKUP(($AJ83-$AI83-$AH83-$AG83-$AF83-$AE83*(1+GA$3))/$AJ83,'Технический лист'!$A:$B,2,1),(FZ83-0.05)))</f>
        <v/>
      </c>
      <c r="GB83" s="172">
        <f>MIN(1,MAX(VLOOKUP(($AJ83-$AI83-$AH83-$AG83-$AF83-$AE83*(1+GB$3))/$AJ83,'Технический лист'!$A:$B,2,1),(GA83-0.05)))</f>
        <v/>
      </c>
      <c r="GC83" s="172">
        <f>MIN(1,MAX(VLOOKUP(($AJ83-$AI83-$AH83-$AG83-$AF83-$AE83*(1+GC$3))/$AJ83,'Технический лист'!$A:$B,2,1),(GB83-0.05)))</f>
        <v/>
      </c>
      <c r="GD83" s="172">
        <f>MIN(1,MAX(VLOOKUP(($AJ83-$AI83-$AH83-$AG83-$AF83-$AE83*(1+GD$3))/$AJ83,'Технический лист'!$A:$B,2,1),(GC83-0.05)))</f>
        <v/>
      </c>
      <c r="GE83" s="172">
        <f>MIN(1,MAX(VLOOKUP(($AJ83-$AI83-$AH83-$AG83-$AF83-$AE83*(1+GE$3))/$AJ83,'Технический лист'!$A:$B,2,1),(GD83-0.05)))</f>
        <v/>
      </c>
      <c r="GF83" s="172">
        <f>MIN(1,MAX(VLOOKUP(($AJ83-$AI83-$AH83-$AG83-$AF83-$AE83*(1+GF$3))/$AJ83,'Технический лист'!$A:$B,2,1),(GE83-0.05)))</f>
        <v/>
      </c>
      <c r="GG83" s="172">
        <f>MIN(1,MAX(VLOOKUP(($AJ83-$AI83-$AH83-$AG83-$AF83-$AE83*(1+GG$3))/$AJ83,'Технический лист'!$A:$B,2,1),(GF83-0.05)))</f>
        <v/>
      </c>
      <c r="GH83" s="172">
        <f>MIN(1,MAX(VLOOKUP(($AJ83-$AI83-$AH83-$AG83-$AF83-$AE83*(1+GH$3))/$AJ83,'Технический лист'!$A:$B,2,1),(GG83-0.05)))</f>
        <v/>
      </c>
      <c r="GI83" s="172">
        <f>MIN(1,MAX(VLOOKUP(($AJ83-$AI83-$AH83-$AG83-$AF83-$AE83*(1+GI$3))/$AJ83,'Технический лист'!$A:$B,2,1),(GH83-0.05)))</f>
        <v/>
      </c>
      <c r="GJ83" s="172">
        <f>MIN(1,MAX(VLOOKUP(($AJ83-$AI83-$AH83-$AG83-$AF83-$AE83*(1+GJ$3))/$AJ83,'Технический лист'!$A:$B,2,1),(GI83-0.05)))</f>
        <v/>
      </c>
      <c r="GK83" s="172">
        <f>MIN(1,MAX(VLOOKUP(($AJ83-$AI83-$AH83-$AG83-$AF83-$AE83*(1+GK$3))/$AJ83,'Технический лист'!$A:$B,2,1),(GJ83-0.05)))</f>
        <v/>
      </c>
      <c r="GL83" s="172">
        <f>MIN(1,MAX(VLOOKUP(($AJ83-$AI83-$AH83-$AG83-$AF83-$AE83*(1+GL$3))/$AJ83,'Технический лист'!$A:$B,2,1),(GK83-0.05)))</f>
        <v/>
      </c>
      <c r="GM83" s="172">
        <f>MIN(1,MAX(VLOOKUP(($AJ83-$AI83-$AH83-$AG83-$AF83-$AE83*(1+GM$3))/$AJ83,'Технический лист'!$A:$B,2,1),(GL83-0.05)))</f>
        <v/>
      </c>
      <c r="GN83" s="172">
        <f>MIN(1,MAX(VLOOKUP(($AJ83-$AI83-$AH83-$AG83-$AF83-$AE83*(1+GN$3))/$AJ83,'Технический лист'!$A:$B,2,1),(GM83-0.05)))</f>
        <v/>
      </c>
      <c r="GO83" s="172">
        <f>MIN(1,MAX(VLOOKUP(($AJ83-$AI83-$AH83-$AG83-$AF83-$AE83*(1+GO$3))/$AJ83,'Технический лист'!$A:$B,2,1),(GN83-0.05)))</f>
        <v/>
      </c>
      <c r="GP83" s="172">
        <f>MIN(1,MAX(VLOOKUP(($AJ83-$AI83-$AH83-$AG83-$AF83-$AE83*(1+GP$3))/$AJ83,'Технический лист'!$A:$B,2,1),(GO83-0.05)))</f>
        <v/>
      </c>
      <c r="GQ83" s="172">
        <f>MIN(1,MAX(VLOOKUP(($AJ83-$AI83-$AH83-$AG83-$AF83-$AE83*(1+GQ$3))/$AJ83,'Технический лист'!$A:$B,2,1),(GP83-0.05)))</f>
        <v/>
      </c>
      <c r="GR83" s="172">
        <f>MIN(1,MAX(VLOOKUP(($AJ83-$AI83-$AH83-$AG83-$AF83-$AE83*(1+GR$3))/$AJ83,'Технический лист'!$A:$B,2,1),(GQ83-0.05)))</f>
        <v/>
      </c>
      <c r="GS83" s="172">
        <f>MIN(1,MAX(VLOOKUP(($AJ83-$AI83-$AH83-$AG83-$AF83-$AE83*(1+GS$3))/$AJ83,'Технический лист'!$A:$B,2,1),(GR83-0.05)))</f>
        <v/>
      </c>
      <c r="GT83" s="172">
        <f>MIN(1,MAX(VLOOKUP(($AJ83-$AI83-$AH83-$AG83-$AF83-$AE83*(1+GT$3))/$AJ83,'Технический лист'!$A:$B,2,1),(GS83-0.05)))</f>
        <v/>
      </c>
      <c r="GU83" s="172">
        <f>MIN(1,MAX(VLOOKUP(($AJ83-$AI83-$AH83-$AG83-$AF83-$AE83*(1+GU$3))/$AJ83,'Технический лист'!$A:$B,2,1),(GT83-0.05)))</f>
        <v/>
      </c>
      <c r="GV83" s="172">
        <f>MIN(1,MAX(VLOOKUP(($AJ83-$AI83-$AH83-$AG83-$AF83-$AE83*(1+GV$3))/$AJ83,'Технический лист'!$A:$B,2,1),(GU83-0.05)))</f>
        <v/>
      </c>
      <c r="GW83" s="172">
        <f>MIN(1,MAX(VLOOKUP(($AJ83-$AI83-$AH83-$AG83-$AF83-$AE83*(1+GW$3))/$AJ83,'Технический лист'!$A:$B,2,1),(GV83-0.05)))</f>
        <v/>
      </c>
      <c r="GX83" s="172">
        <f>MIN(1,MAX(VLOOKUP(($AJ83-$AI83-$AH83-$AG83-$AF83-$AE83*(1+GX$3))/$AJ83,'Технический лист'!$A:$B,2,1),(GW83-0.05)))</f>
        <v/>
      </c>
      <c r="GY83" s="172">
        <f>MIN(1,MAX(VLOOKUP(($AJ83-$AI83-$AH83-$AG83-$AF83-$AE83*(1+GY$3))/$AJ83,'Технический лист'!$A:$B,2,1),(GX83-0.05)))</f>
        <v/>
      </c>
      <c r="GZ83" s="172">
        <f>MIN(1,MAX(VLOOKUP(($AJ83-$AI83-$AH83-$AG83-$AF83-$AE83*(1+GZ$3))/$AJ83,'Технический лист'!$A:$B,2,1),(GY83-0.05)))</f>
        <v/>
      </c>
      <c r="HA83" s="172">
        <f>MIN(1,MAX(VLOOKUP(($AJ83-$AI83-$AH83-$AG83-$AF83-$AE83*(1+HA$3))/$AJ83,'Технический лист'!$A:$B,2,1),(GZ83-0.05)))</f>
        <v/>
      </c>
      <c r="HB83" s="172">
        <f>MIN(1,MAX(VLOOKUP(($AJ83-$AI83-$AH83-$AG83-$AF83-$AE83*(1+HB$3))/$AJ83,'Технический лист'!$A:$B,2,1),(HA83-0.05)))</f>
        <v/>
      </c>
      <c r="HC83" s="172">
        <f>MIN(1,MAX(VLOOKUP(($AJ83-$AI83-$AH83-$AG83-$AF83-$AE83*(1+HC$3))/$AJ83,'Технический лист'!$A:$B,2,1),(HB83-0.05)))</f>
        <v/>
      </c>
      <c r="HD83" s="172">
        <f>MIN(1,MAX(VLOOKUP(($AJ83-$AI83-$AH83-$AG83-$AF83-$AE83*(1+HD$3))/$AJ83,'Технический лист'!$A:$B,2,1),(HC83-0.05)))</f>
        <v/>
      </c>
      <c r="HE83" s="172">
        <f>MIN(1,MAX(VLOOKUP(($AJ83-$AI83-$AH83-$AG83-$AF83-$AE83*(1+HE$3))/$AJ83,'Технический лист'!$A:$B,2,1),(HD83-0.05)))</f>
        <v/>
      </c>
      <c r="HF83" s="172">
        <f>MIN(1,MAX(VLOOKUP(($AJ83-$AI83-$AH83-$AG83-$AF83-$AE83*(1+HF$3))/$AJ83,'Технический лист'!$A:$B,2,1),(HE83-0.05)))</f>
        <v/>
      </c>
      <c r="HG83" s="172">
        <f>MIN(1,MAX(VLOOKUP(($AJ83-$AI83-$AH83-$AG83-$AF83-$AE83*(1+HG$3))/$AJ83,'Технический лист'!$A:$B,2,1),(HF83-0.05)))</f>
        <v/>
      </c>
      <c r="HH83" s="172">
        <f>MIN(1,MAX(VLOOKUP(($AJ83-$AI83-$AH83-$AG83-$AF83-$AE83*(1+HH$3))/$AJ83,'Технический лист'!$A:$B,2,1),(HG83-0.05)))</f>
        <v/>
      </c>
      <c r="HI83" s="172">
        <f>MIN(1,MAX(VLOOKUP(($AJ83-$AI83-$AH83-$AG83-$AF83-$AE83*(1+HI$3))/$AJ83,'Технический лист'!$A:$B,2,1),(HH83-0.05)))</f>
        <v/>
      </c>
      <c r="HJ83" s="172">
        <f>MIN(1,MAX(VLOOKUP(($AJ83-$AI83-$AH83-$AG83-$AF83-$AE83*(1+HJ$3))/$AJ83,'Технический лист'!$A:$B,2,1),(HI83-0.05)))</f>
        <v/>
      </c>
      <c r="HK83" s="172">
        <f>MIN(1,MAX(VLOOKUP(($AJ83-$AI83-$AH83-$AG83-$AF83-$AE83*(1+HK$3))/$AJ83,'Технический лист'!$A:$B,2,1),(HJ83-0.05)))</f>
        <v/>
      </c>
      <c r="HL83" s="172">
        <f>MIN(1,MAX(VLOOKUP(($AJ83-$AI83-$AH83-$AG83-$AF83-$AE83*(1+HL$3))/$AJ83,'Технический лист'!$A:$B,2,1),(HK83-0.05)))</f>
        <v/>
      </c>
      <c r="HM83" s="172">
        <f>MIN(1,MAX(VLOOKUP(($AJ83-$AI83-$AH83-$AG83-$AF83-$AE83*(1+HM$3))/$AJ83,'Технический лист'!$A:$B,2,1),(HL83-0.05)))</f>
        <v/>
      </c>
      <c r="HN83" s="172">
        <f>MIN(1,MAX(VLOOKUP(($AJ83-$AI83-$AH83-$AG83-$AF83-$AE83*(1+HN$3))/$AJ83,'Технический лист'!$A:$B,2,1),(HM83-0.05)))</f>
        <v/>
      </c>
      <c r="HO83" s="172">
        <f>MIN(1,MAX(VLOOKUP(($AJ83-$AI83-$AH83-$AG83-$AF83-$AE83*(1+HO$3))/$AJ83,'Технический лист'!$A:$B,2,1),(HN83-0.05)))</f>
        <v/>
      </c>
      <c r="HP83" s="172">
        <f>MIN(1,MAX(VLOOKUP(($AJ83-$AI83-$AH83-$AG83-$AF83-$AE83*(1+HP$3))/$AJ83,'Технический лист'!$A:$B,2,1),(HO83-0.05)))</f>
        <v/>
      </c>
      <c r="HQ83" s="172">
        <f>MIN(1,MAX(VLOOKUP(($AJ83-$AI83-$AH83-$AG83-$AF83-$AE83*(1+HQ$3))/$AJ83,'Технический лист'!$A:$B,2,1),(HP83-0.05)))</f>
        <v/>
      </c>
      <c r="HR83" s="172">
        <f>MIN(1,MAX(VLOOKUP(($AJ83-$AI83-$AH83-$AG83-$AF83-$AE83*(1+HR$3))/$AJ83,'Технический лист'!$A:$B,2,1),(HQ83-0.05)))</f>
        <v/>
      </c>
      <c r="HS83" s="172">
        <f>MIN(1,MAX(VLOOKUP(($AJ83-$AI83-$AH83-$AG83-$AF83-$AE83*(1+HS$3))/$AJ83,'Технический лист'!$A:$B,2,1),(HR83-0.05)))</f>
        <v/>
      </c>
      <c r="HT83" s="172">
        <f>MIN(1,MAX(VLOOKUP(($AJ83-$AI83-$AH83-$AG83-$AF83-$AE83*(1+HT$3))/$AJ83,'Технический лист'!$A:$B,2,1),(HS83-0.05)))</f>
        <v/>
      </c>
      <c r="HU83" s="172">
        <f>MIN(1,MAX(VLOOKUP(($AJ83-$AI83-$AH83-$AG83-$AF83-$AE83*(1+HU$3))/$AJ83,'Технический лист'!$A:$B,2,1),(HT83-0.05)))</f>
        <v/>
      </c>
      <c r="HV83" s="172">
        <f>MIN(1,MAX(VLOOKUP(($AJ83-$AI83-$AH83-$AG83-$AF83-$AE83*(1+HV$3))/$AJ83,'Технический лист'!$A:$B,2,1),(HU83-0.05)))</f>
        <v/>
      </c>
      <c r="HW83" s="172">
        <f>MIN(1,MAX(VLOOKUP(($AJ83-$AI83-$AH83-$AG83-$AF83-$AE83*(1+HW$3))/$AJ83,'Технический лист'!$A:$B,2,1),(HV83-0.05)))</f>
        <v/>
      </c>
      <c r="HX83" s="172">
        <f>MIN(1,MAX(VLOOKUP(($AJ83-$AI83-$AH83-$AG83-$AF83-$AE83*(1+HX$3))/$AJ83,'Технический лист'!$A:$B,2,1),(HW83-0.05)))</f>
        <v/>
      </c>
      <c r="HY83" s="172">
        <f>MIN(1,MAX(VLOOKUP(($AJ83-$AI83-$AH83-$AG83-$AF83-$AE83*(1+HY$3))/$AJ83,'Технический лист'!$A:$B,2,1),(HX83-0.05)))</f>
        <v/>
      </c>
      <c r="HZ83" s="172">
        <f>MIN(1,MAX(VLOOKUP(($AJ83-$AI83-$AH83-$AG83-$AF83-$AE83*(1+HZ$3))/$AJ83,'Технический лист'!$A:$B,2,1),(HY83-0.05)))</f>
        <v/>
      </c>
      <c r="IA83" s="172">
        <f>MIN(1,MAX(VLOOKUP(($AJ83-$AI83-$AH83-$AG83-$AF83-$AE83*(1+IA$3))/$AJ83,'Технический лист'!$A:$B,2,1),(HZ83-0.05)))</f>
        <v/>
      </c>
      <c r="IB83" s="172">
        <f>MIN(1,MAX(VLOOKUP(($AJ83-$AI83-$AH83-$AG83-$AF83-$AE83*(1+IB$3))/$AJ83,'Технический лист'!$A:$B,2,1),(IA83-0.05)))</f>
        <v/>
      </c>
      <c r="IC83" s="172">
        <f>MIN(1,MAX(VLOOKUP(($AJ83-$AI83-$AH83-$AG83-$AF83-$AE83*(1+IC$3))/$AJ83,'Технический лист'!$A:$B,2,1),(IB83-0.05)))</f>
        <v/>
      </c>
      <c r="ID83" s="172">
        <f>MIN(1,MAX(VLOOKUP(($AJ83-$AI83-$AH83-$AG83-$AF83-$AE83*(1+ID$3))/$AJ83,'Технический лист'!$A:$B,2,1),(IC83-0.05)))</f>
        <v/>
      </c>
      <c r="IE83" s="172">
        <f>MIN(1,MAX(VLOOKUP(($AJ83-$AI83-$AH83-$AG83-$AF83-$AE83*(1+IE$3))/$AJ83,'Технический лист'!$A:$B,2,1),(ID83-0.05)))</f>
        <v/>
      </c>
      <c r="IF83" s="172">
        <f>MIN(1,MAX(VLOOKUP(($AJ83-$AI83-$AH83-$AG83-$AF83-$AE83*(1+IF$3))/$AJ83,'Технический лист'!$A:$B,2,1),(IE83-0.05)))</f>
        <v/>
      </c>
      <c r="IG83" s="172">
        <f>MIN(1,MAX(VLOOKUP(($AJ83-$AI83-$AH83-$AG83-$AF83-$AE83*(1+IG$3))/$AJ83,'Технический лист'!$A:$B,2,1),(IF83-0.05)))</f>
        <v/>
      </c>
      <c r="IH83" s="172">
        <f>MIN(1,MAX(VLOOKUP(($AJ83-$AI83-$AH83-$AG83-$AF83-$AE83*(1+IH$3))/$AJ83,'Технический лист'!$A:$B,2,1),(IG83-0.05)))</f>
        <v/>
      </c>
      <c r="II83" s="172">
        <f>MIN(1,MAX(VLOOKUP(($AJ83-$AI83-$AH83-$AG83-$AF83-$AE83*(1+II$3))/$AJ83,'Технический лист'!$A:$B,2,1),(IH83-0.05)))</f>
        <v/>
      </c>
      <c r="IJ83" s="172">
        <f>MIN(1,MAX(VLOOKUP(($AJ83-$AI83-$AH83-$AG83-$AF83-$AE83*(1+IJ$3))/$AJ83,'Технический лист'!$A:$B,2,1),(II83-0.05)))</f>
        <v/>
      </c>
      <c r="IK83" s="172">
        <f>MIN(1,MAX(VLOOKUP(($AJ83-$AI83-$AH83-$AG83-$AF83-$AE83*(1+IK$3))/$AJ83,'Технический лист'!$A:$B,2,1),(IJ83-0.05)))</f>
        <v/>
      </c>
      <c r="IL83" s="172">
        <f>MIN(1,MAX(VLOOKUP(($AJ83-$AI83-$AH83-$AG83-$AF83-$AE83*(1+IL$3))/$AJ83,'Технический лист'!$A:$B,2,1),(IK83-0.05)))</f>
        <v/>
      </c>
      <c r="IM83" s="172">
        <f>MIN(1,MAX(VLOOKUP(($AJ83-$AI83-$AH83-$AG83-$AF83-$AE83*(1+IM$3))/$AJ83,'Технический лист'!$A:$B,2,1),(IL83-0.05)))</f>
        <v/>
      </c>
      <c r="IN83" s="172">
        <f>MIN(1,MAX(VLOOKUP(($AJ83-$AI83-$AH83-$AG83-$AF83-$AE83*(1+IN$3))/$AJ83,'Технический лист'!$A:$B,2,1),(IM83-0.05)))</f>
        <v/>
      </c>
      <c r="IO83" s="172">
        <f>MIN(1,MAX(VLOOKUP(($AJ83-$AI83-$AH83-$AG83-$AF83-$AE83*(1+IO$3))/$AJ83,'Технический лист'!$A:$B,2,1),(IN83-0.05)))</f>
        <v/>
      </c>
      <c r="IP83" s="172">
        <f>MIN(1,MAX(VLOOKUP(($AJ83-$AI83-$AH83-$AG83-$AF83-$AE83*(1+IP$3))/$AJ83,'Технический лист'!$A:$B,2,1),(IO83-0.05)))</f>
        <v/>
      </c>
      <c r="IQ83" s="172">
        <f>MIN(1,MAX(VLOOKUP(($AJ83-$AI83-$AH83-$AG83-$AF83-$AE83*(1+IQ$3))/$AJ83,'Технический лист'!$A:$B,2,1),(IP83-0.05)))</f>
        <v/>
      </c>
      <c r="IR83" s="172">
        <f>MIN(1,MAX(VLOOKUP(($AJ83-$AI83-$AH83-$AG83-$AF83-$AE83*(1+IR$3))/$AJ83,'Технический лист'!$A:$B,2,1),(IQ83-0.05)))</f>
        <v/>
      </c>
    </row>
    <row r="84" ht="43.75" customHeight="1" s="123">
      <c r="A84" s="89" t="inlineStr">
        <is>
          <t>ЧМ (продукция)</t>
        </is>
      </c>
      <c r="B84" s="90" t="n">
        <v>5</v>
      </c>
      <c r="C84" s="5" t="inlineStr">
        <is>
          <t>Черные металлы</t>
        </is>
      </c>
      <c r="D84" s="91" t="n">
        <v>31405</v>
      </c>
      <c r="E84" s="91" t="inlineStr">
        <is>
          <t xml:space="preserve">Заготовка стальная, не поименованная в алфавите </t>
        </is>
      </c>
      <c r="F84" s="92" t="inlineStr">
        <is>
          <t>ЗАГОТОВКИ СТАЛЬНЫЕ</t>
        </is>
      </c>
      <c r="G84" s="91" t="inlineStr">
        <is>
          <t>ЗСБ</t>
        </is>
      </c>
      <c r="H84" s="91" t="inlineStr">
        <is>
          <t>ДВС</t>
        </is>
      </c>
      <c r="I84" s="91" t="inlineStr">
        <is>
          <t>НОВОКУЗ.-СЕВ</t>
        </is>
      </c>
      <c r="J84" s="91" t="inlineStr">
        <is>
          <t>М.АСТАФЬЕВ-Э</t>
        </is>
      </c>
      <c r="K84" s="91" t="n">
        <v>5988</v>
      </c>
      <c r="L84" s="91" t="inlineStr">
        <is>
          <t>Полувагоны</t>
        </is>
      </c>
      <c r="M84" s="91" t="inlineStr">
        <is>
          <t>Экспорт</t>
        </is>
      </c>
      <c r="N84" s="91" t="inlineStr">
        <is>
          <t>вагонная</t>
        </is>
      </c>
      <c r="O84" s="91" t="inlineStr">
        <is>
          <t xml:space="preserve">Восточное </t>
        </is>
      </c>
      <c r="P84" s="89" t="inlineStr">
        <is>
          <t>'000005757676</t>
        </is>
      </c>
      <c r="Q84" s="91" t="inlineStr">
        <is>
          <t>АО "ЕВРАЗ ЗСМК"</t>
        </is>
      </c>
      <c r="R84" s="91" t="inlineStr">
        <is>
          <t>ООО "ЕвразХолдинг"</t>
        </is>
      </c>
      <c r="S84" s="87" t="n">
        <v>745619</v>
      </c>
      <c r="T84" s="87" t="n">
        <v>4464918671</v>
      </c>
      <c r="U84" s="88" t="n">
        <v>10829</v>
      </c>
      <c r="V84" s="88" t="n">
        <v>0</v>
      </c>
      <c r="W84" s="87" t="n">
        <v>2921904137</v>
      </c>
      <c r="X84" s="112" t="n">
        <v>69</v>
      </c>
      <c r="Y84" s="112" t="inlineStr">
        <is>
          <t>маршрутная</t>
        </is>
      </c>
      <c r="Z84" s="113" t="n">
        <v>13</v>
      </c>
      <c r="AA84" s="113" t="n">
        <v>14</v>
      </c>
      <c r="AB84" s="113" t="n">
        <v>4</v>
      </c>
      <c r="AC84" s="161" t="n">
        <v>4339</v>
      </c>
      <c r="AD84" s="161">
        <f>AE84-AC84</f>
        <v/>
      </c>
      <c r="AE84" s="161" t="n">
        <v>5557.01</v>
      </c>
      <c r="AF84" s="162">
        <f>(Z84+AA84+AB84)*'Ставки аренды'!$B$3/X84</f>
        <v/>
      </c>
      <c r="AG84" s="163">
        <f>'Ставки перевалки'!$B$8*'Курсы валют'!$B$2</f>
        <v/>
      </c>
      <c r="AH84" s="164" t="n">
        <v>0</v>
      </c>
      <c r="AI84" s="165">
        <f>0.71*AJ84</f>
        <v/>
      </c>
      <c r="AJ84" s="166">
        <f>Цены!$C$5*'Курсы валют'!$B$2</f>
        <v/>
      </c>
      <c r="AK84" s="164">
        <f>AJ84/Цены!$B$1</f>
        <v/>
      </c>
      <c r="AL84" s="164">
        <f>AE84+AF84+AG84</f>
        <v/>
      </c>
      <c r="AM84" s="164">
        <f>AJ84-AL84</f>
        <v/>
      </c>
      <c r="AN84" s="164">
        <f>AI84+AH84+AG84+AF84+AE84</f>
        <v/>
      </c>
      <c r="AO84" s="167">
        <f>(AJ84-AN84)/AJ84</f>
        <v/>
      </c>
      <c r="AP84" s="168">
        <f>AL84/AJ84</f>
        <v/>
      </c>
      <c r="AQ84" s="168">
        <f>AE84/AJ84</f>
        <v/>
      </c>
      <c r="AR84" s="168">
        <f>AE84/AL84</f>
        <v/>
      </c>
      <c r="AS84" s="169" t="n">
        <v>1</v>
      </c>
      <c r="AT84" s="121">
        <f>S84*AS84</f>
        <v/>
      </c>
      <c r="AU84" s="83" t="n">
        <v>0.75</v>
      </c>
      <c r="AV84" s="170">
        <f>(AJ84-(AE84*(1+$IS$2)+AF84+AG84+AH84+AI84))/AJ84</f>
        <v/>
      </c>
      <c r="AW84" s="171">
        <f>(AE84*(1+$IS$2)+AF84+AG84)/AJ84</f>
        <v/>
      </c>
      <c r="AX84" s="171">
        <f>(AE84*(1+$IS$2))/AJ84</f>
        <v/>
      </c>
      <c r="AY84" s="171">
        <f>(AE84*(1+$IS$2))/(AE84*(1+$IS$2)+AF84+AG84)</f>
        <v/>
      </c>
      <c r="AZ84" s="172">
        <f>MIN(IF($AU84=100%,1,1+VLOOKUP(($AJ84-$AI84-$AH84-$AG84-$AF84-$AE84*(1+AZ$3))/$AJ84,'Технический лист'!$I:$J,2,1)-VLOOKUP($AO84,'Технический лист'!$I:$J,2,1)),1+(1-$AU84))</f>
        <v/>
      </c>
      <c r="BA84" s="172">
        <f>MIN(IF($AU84=100%,1,1+VLOOKUP(($AJ84-$AI84-$AH84-$AG84-$AF84-$AE84*(1+BA$3))/$AJ84,'Технический лист'!$I:$J,2,1)-VLOOKUP($AO84,'Технический лист'!$I:$J,2,1)),1+(1-$AU84))</f>
        <v/>
      </c>
      <c r="BB84" s="172">
        <f>MIN(IF($AU84=100%,1,1+VLOOKUP(($AJ84-$AI84-$AH84-$AG84-$AF84-$AE84*(1+BB$3))/$AJ84,'Технический лист'!$I:$J,2,1)-VLOOKUP($AO84,'Технический лист'!$I:$J,2,1)),1+(1-$AU84))</f>
        <v/>
      </c>
      <c r="BC84" s="172">
        <f>MIN(IF($AU84=100%,1,1+VLOOKUP(($AJ84-$AI84-$AH84-$AG84-$AF84-$AE84*(1+BC$3))/$AJ84,'Технический лист'!$I:$J,2,1)-VLOOKUP($AO84,'Технический лист'!$I:$J,2,1)),1+(1-$AU84))</f>
        <v/>
      </c>
      <c r="BD84" s="172">
        <f>MIN(IF($AU84=100%,1,1+VLOOKUP(($AJ84-$AI84-$AH84-$AG84-$AF84-$AE84*(1+BD$3))/$AJ84,'Технический лист'!$I:$J,2,1)-VLOOKUP($AO84,'Технический лист'!$I:$J,2,1)),1+(1-$AU84))</f>
        <v/>
      </c>
      <c r="BE84" s="172">
        <f>MIN(IF($AU84=100%,1,1+VLOOKUP(($AJ84-$AI84-$AH84-$AG84-$AF84-$AE84*(1+BE$3))/$AJ84,'Технический лист'!$I:$J,2,1)-VLOOKUP($AO84,'Технический лист'!$I:$J,2,1)),1+(1-$AU84))</f>
        <v/>
      </c>
      <c r="BF84" s="172">
        <f>MIN(IF($AU84=100%,1,1+VLOOKUP(($AJ84-$AI84-$AH84-$AG84-$AF84-$AE84*(1+BF$3))/$AJ84,'Технический лист'!$I:$J,2,1)-VLOOKUP($AO84,'Технический лист'!$I:$J,2,1)),1+(1-$AU84))</f>
        <v/>
      </c>
      <c r="BG84" s="172">
        <f>MIN(IF($AU84=100%,1,1+VLOOKUP(($AJ84-$AI84-$AH84-$AG84-$AF84-$AE84*(1+BG$3))/$AJ84,'Технический лист'!$I:$J,2,1)-VLOOKUP($AO84,'Технический лист'!$I:$J,2,1)),1+(1-$AU84))</f>
        <v/>
      </c>
      <c r="BH84" s="172">
        <f>MIN(IF($AU84=100%,1,1+VLOOKUP(($AJ84-$AI84-$AH84-$AG84-$AF84-$AE84*(1+BH$3))/$AJ84,'Технический лист'!$I:$J,2,1)-VLOOKUP($AO84,'Технический лист'!$I:$J,2,1)),1+(1-$AU84))</f>
        <v/>
      </c>
      <c r="BI84" s="172">
        <f>MIN(IF($AU84=100%,1,1+VLOOKUP(($AJ84-$AI84-$AH84-$AG84-$AF84-$AE84*(1+BI$3))/$AJ84,'Технический лист'!$I:$J,2,1)-VLOOKUP($AO84,'Технический лист'!$I:$J,2,1)),1+(1-$AU84))</f>
        <v/>
      </c>
      <c r="BJ84" s="172">
        <f>MIN(IF($AU84=100%,1,1+VLOOKUP(($AJ84-$AI84-$AH84-$AG84-$AF84-$AE84*(1+BJ$3))/$AJ84,'Технический лист'!$I:$J,2,1)-VLOOKUP($AO84,'Технический лист'!$I:$J,2,1)),1+(1-$AU84))</f>
        <v/>
      </c>
      <c r="BK84" s="172">
        <f>MIN(IF($AU84=100%,1,1+VLOOKUP(($AJ84-$AI84-$AH84-$AG84-$AF84-$AE84*(1+BK$3))/$AJ84,'Технический лист'!$I:$J,2,1)-VLOOKUP($AO84,'Технический лист'!$I:$J,2,1)),1+(1-$AU84))</f>
        <v/>
      </c>
      <c r="BL84" s="172">
        <f>MIN(IF($AU84=100%,1,1+VLOOKUP(($AJ84-$AI84-$AH84-$AG84-$AF84-$AE84*(1+BL$3))/$AJ84,'Технический лист'!$I:$J,2,1)-VLOOKUP($AO84,'Технический лист'!$I:$J,2,1)),1+(1-$AU84))</f>
        <v/>
      </c>
      <c r="BM84" s="172">
        <f>MIN(IF($AU84=100%,1,1+VLOOKUP(($AJ84-$AI84-$AH84-$AG84-$AF84-$AE84*(1+BM$3))/$AJ84,'Технический лист'!$I:$J,2,1)-VLOOKUP($AO84,'Технический лист'!$I:$J,2,1)),1+(1-$AU84))</f>
        <v/>
      </c>
      <c r="BN84" s="172">
        <f>MIN(IF($AU84=100%,1,1+VLOOKUP(($AJ84-$AI84-$AH84-$AG84-$AF84-$AE84*(1+BN$3))/$AJ84,'Технический лист'!$I:$J,2,1)-VLOOKUP($AO84,'Технический лист'!$I:$J,2,1)),1+(1-$AU84))</f>
        <v/>
      </c>
      <c r="BO84" s="172">
        <f>MIN(IF($AU84=100%,1,1+VLOOKUP(($AJ84-$AI84-$AH84-$AG84-$AF84-$AE84*(1+BO$3))/$AJ84,'Технический лист'!$I:$J,2,1)-VLOOKUP($AO84,'Технический лист'!$I:$J,2,1)),1+(1-$AU84))</f>
        <v/>
      </c>
      <c r="BP84" s="172">
        <f>MIN(IF($AU84=100%,1,1+VLOOKUP(($AJ84-$AI84-$AH84-$AG84-$AF84-$AE84*(1+BP$3))/$AJ84,'Технический лист'!$I:$J,2,1)-VLOOKUP($AO84,'Технический лист'!$I:$J,2,1)),1+(1-$AU84))</f>
        <v/>
      </c>
      <c r="BQ84" s="172">
        <f>MIN(IF($AU84=100%,1,1+VLOOKUP(($AJ84-$AI84-$AH84-$AG84-$AF84-$AE84*(1+BQ$3))/$AJ84,'Технический лист'!$I:$J,2,1)-VLOOKUP($AO84,'Технический лист'!$I:$J,2,1)),1+(1-$AU84))</f>
        <v/>
      </c>
      <c r="BR84" s="172">
        <f>MIN(IF($AU84=100%,1,1+VLOOKUP(($AJ84-$AI84-$AH84-$AG84-$AF84-$AE84*(1+BR$3))/$AJ84,'Технический лист'!$I:$J,2,1)-VLOOKUP($AO84,'Технический лист'!$I:$J,2,1)),1+(1-$AU84))</f>
        <v/>
      </c>
      <c r="BS84" s="172">
        <f>MIN(IF($AU84=100%,1,1+VLOOKUP(($AJ84-$AI84-$AH84-$AG84-$AF84-$AE84*(1+BS$3))/$AJ84,'Технический лист'!$I:$J,2,1)-VLOOKUP($AO84,'Технический лист'!$I:$J,2,1)),1+(1-$AU84))</f>
        <v/>
      </c>
      <c r="BT84" s="172">
        <f>MIN(IF($AU84=100%,1,1+VLOOKUP(($AJ84-$AI84-$AH84-$AG84-$AF84-$AE84*(1+BT$3))/$AJ84,'Технический лист'!$I:$J,2,1)-VLOOKUP($AO84,'Технический лист'!$I:$J,2,1)),1+(1-$AU84))</f>
        <v/>
      </c>
      <c r="BU84" s="172">
        <f>MIN(IF($AU84=100%,1,1+VLOOKUP(($AJ84-$AI84-$AH84-$AG84-$AF84-$AE84*(1+BU$3))/$AJ84,'Технический лист'!$I:$J,2,1)-VLOOKUP($AO84,'Технический лист'!$I:$J,2,1)),1+(1-$AU84))</f>
        <v/>
      </c>
      <c r="BV84" s="172">
        <f>MIN(IF($AU84=100%,1,1+VLOOKUP(($AJ84-$AI84-$AH84-$AG84-$AF84-$AE84*(1+BV$3))/$AJ84,'Технический лист'!$I:$J,2,1)-VLOOKUP($AO84,'Технический лист'!$I:$J,2,1)),1+(1-$AU84))</f>
        <v/>
      </c>
      <c r="BW84" s="172">
        <f>MIN(IF($AU84=100%,1,1+VLOOKUP(($AJ84-$AI84-$AH84-$AG84-$AF84-$AE84*(1+BW$3))/$AJ84,'Технический лист'!$I:$J,2,1)-VLOOKUP($AO84,'Технический лист'!$I:$J,2,1)),1+(1-$AU84))</f>
        <v/>
      </c>
      <c r="BX84" s="172">
        <f>MIN(IF($AU84=100%,1,1+VLOOKUP(($AJ84-$AI84-$AH84-$AG84-$AF84-$AE84*(1+BX$3))/$AJ84,'Технический лист'!$I:$J,2,1)-VLOOKUP($AO84,'Технический лист'!$I:$J,2,1)),1+(1-$AU84))</f>
        <v/>
      </c>
      <c r="BY84" s="172">
        <f>MIN(IF($AU84=100%,1,1+VLOOKUP(($AJ84-$AI84-$AH84-$AG84-$AF84-$AE84*(1+BY$3))/$AJ84,'Технический лист'!$I:$J,2,1)-VLOOKUP($AO84,'Технический лист'!$I:$J,2,1)),1+(1-$AU84))</f>
        <v/>
      </c>
      <c r="BZ84" s="172">
        <f>MIN(IF($AU84=100%,1,1+VLOOKUP(($AJ84-$AI84-$AH84-$AG84-$AF84-$AE84*(1+BZ$3))/$AJ84,'Технический лист'!$I:$J,2,1)-VLOOKUP($AO84,'Технический лист'!$I:$J,2,1)),1+(1-$AU84))</f>
        <v/>
      </c>
      <c r="CA84" s="172">
        <f>MIN(IF($AU84=100%,1,1+VLOOKUP(($AJ84-$AI84-$AH84-$AG84-$AF84-$AE84*(1+CA$3))/$AJ84,'Технический лист'!$I:$J,2,1)-VLOOKUP($AO84,'Технический лист'!$I:$J,2,1)),1+(1-$AU84))</f>
        <v/>
      </c>
      <c r="CB84" s="172">
        <f>MIN(IF($AU84=100%,1,1+VLOOKUP(($AJ84-$AI84-$AH84-$AG84-$AF84-$AE84*(1+CB$3))/$AJ84,'Технический лист'!$I:$J,2,1)-VLOOKUP($AO84,'Технический лист'!$I:$J,2,1)),1+(1-$AU84))</f>
        <v/>
      </c>
      <c r="CC84" s="172">
        <f>MIN(IF($AU84=100%,1,1+VLOOKUP(($AJ84-$AI84-$AH84-$AG84-$AF84-$AE84*(1+CC$3))/$AJ84,'Технический лист'!$I:$J,2,1)-VLOOKUP($AO84,'Технический лист'!$I:$J,2,1)),1+(1-$AU84))</f>
        <v/>
      </c>
      <c r="CD84" s="172">
        <f>MIN(IF($AU84=100%,1,1+VLOOKUP(($AJ84-$AI84-$AH84-$AG84-$AF84-$AE84*(1+CD$3))/$AJ84,'Технический лист'!$I:$J,2,1)-VLOOKUP($AO84,'Технический лист'!$I:$J,2,1)),1+(1-$AU84))</f>
        <v/>
      </c>
      <c r="CE84" s="172">
        <f>MIN(IF($AU84=100%,1,1+VLOOKUP(($AJ84-$AI84-$AH84-$AG84-$AF84-$AE84*(1+CE$3))/$AJ84,'Технический лист'!$I:$J,2,1)-VLOOKUP($AO84,'Технический лист'!$I:$J,2,1)),1+(1-$AU84))</f>
        <v/>
      </c>
      <c r="CF84" s="172">
        <f>MIN(IF($AU84=100%,1,1+VLOOKUP(($AJ84-$AI84-$AH84-$AG84-$AF84-$AE84*(1+CF$3))/$AJ84,'Технический лист'!$I:$J,2,1)-VLOOKUP($AO84,'Технический лист'!$I:$J,2,1)),1+(1-$AU84))</f>
        <v/>
      </c>
      <c r="CG84" s="172">
        <f>MIN(IF($AU84=100%,1,1+VLOOKUP(($AJ84-$AI84-$AH84-$AG84-$AF84-$AE84*(1+CG$3))/$AJ84,'Технический лист'!$I:$J,2,1)-VLOOKUP($AO84,'Технический лист'!$I:$J,2,1)),1+(1-$AU84))</f>
        <v/>
      </c>
      <c r="CH84" s="172">
        <f>MIN(IF($AU84=100%,1,1+VLOOKUP(($AJ84-$AI84-$AH84-$AG84-$AF84-$AE84*(1+CH$3))/$AJ84,'Технический лист'!$I:$J,2,1)-VLOOKUP($AO84,'Технический лист'!$I:$J,2,1)),1+(1-$AU84))</f>
        <v/>
      </c>
      <c r="CI84" s="172">
        <f>MIN(IF($AU84=100%,1,1+VLOOKUP(($AJ84-$AI84-$AH84-$AG84-$AF84-$AE84*(1+CI$3))/$AJ84,'Технический лист'!$I:$J,2,1)-VLOOKUP($AO84,'Технический лист'!$I:$J,2,1)),1+(1-$AU84))</f>
        <v/>
      </c>
      <c r="CJ84" s="172">
        <f>MIN(IF($AU84=100%,1,1+VLOOKUP(($AJ84-$AI84-$AH84-$AG84-$AF84-$AE84*(1+CJ$3))/$AJ84,'Технический лист'!$I:$J,2,1)-VLOOKUP($AO84,'Технический лист'!$I:$J,2,1)),1+(1-$AU84))</f>
        <v/>
      </c>
      <c r="CK84" s="172">
        <f>MIN(IF($AU84=100%,1,1+VLOOKUP(($AJ84-$AI84-$AH84-$AG84-$AF84-$AE84*(1+CK$3))/$AJ84,'Технический лист'!$I:$J,2,1)-VLOOKUP($AO84,'Технический лист'!$I:$J,2,1)),1+(1-$AU84))</f>
        <v/>
      </c>
      <c r="CL84" s="172">
        <f>MIN(IF($AU84=100%,1,1+VLOOKUP(($AJ84-$AI84-$AH84-$AG84-$AF84-$AE84*(1+CL$3))/$AJ84,'Технический лист'!$I:$J,2,1)-VLOOKUP($AO84,'Технический лист'!$I:$J,2,1)),1+(1-$AU84))</f>
        <v/>
      </c>
      <c r="CM84" s="172">
        <f>MIN(IF($AU84=100%,1,1+VLOOKUP(($AJ84-$AI84-$AH84-$AG84-$AF84-$AE84*(1+CM$3))/$AJ84,'Технический лист'!$I:$J,2,1)-VLOOKUP($AO84,'Технический лист'!$I:$J,2,1)),1+(1-$AU84))</f>
        <v/>
      </c>
      <c r="CN84" s="172">
        <f>MIN(IF($AU84=100%,1,1+VLOOKUP(($AJ84-$AI84-$AH84-$AG84-$AF84-$AE84*(1+CN$3))/$AJ84,'Технический лист'!$I:$J,2,1)-VLOOKUP($AO84,'Технический лист'!$I:$J,2,1)),1+(1-$AU84))</f>
        <v/>
      </c>
      <c r="CO84" s="172">
        <f>MIN(IF($AU84=100%,1,1+VLOOKUP(($AJ84-$AI84-$AH84-$AG84-$AF84-$AE84*(1+CO$3))/$AJ84,'Технический лист'!$I:$J,2,1)-VLOOKUP($AO84,'Технический лист'!$I:$J,2,1)),1+(1-$AU84))</f>
        <v/>
      </c>
      <c r="CP84" s="172">
        <f>MIN(IF($AU84=100%,1,1+VLOOKUP(($AJ84-$AI84-$AH84-$AG84-$AF84-$AE84*(1+CP$3))/$AJ84,'Технический лист'!$I:$J,2,1)-VLOOKUP($AO84,'Технический лист'!$I:$J,2,1)),1+(1-$AU84))</f>
        <v/>
      </c>
      <c r="CQ84" s="172">
        <f>MIN(IF($AU84=100%,1,1+VLOOKUP(($AJ84-$AI84-$AH84-$AG84-$AF84-$AE84*(1+CQ$3))/$AJ84,'Технический лист'!$I:$J,2,1)-VLOOKUP($AO84,'Технический лист'!$I:$J,2,1)),1+(1-$AU84))</f>
        <v/>
      </c>
      <c r="CR84" s="172">
        <f>MIN(IF($AU84=100%,1,1+VLOOKUP(($AJ84-$AI84-$AH84-$AG84-$AF84-$AE84*(1+CR$3))/$AJ84,'Технический лист'!$I:$J,2,1)-VLOOKUP($AO84,'Технический лист'!$I:$J,2,1)),1+(1-$AU84))</f>
        <v/>
      </c>
      <c r="CS84" s="172">
        <f>MIN(IF($AU84=100%,1,1+VLOOKUP(($AJ84-$AI84-$AH84-$AG84-$AF84-$AE84*(1+CS$3))/$AJ84,'Технический лист'!$I:$J,2,1)-VLOOKUP($AO84,'Технический лист'!$I:$J,2,1)),1+(1-$AU84))</f>
        <v/>
      </c>
      <c r="CT84" s="172">
        <f>MIN(IF($AU84=100%,1,1+VLOOKUP(($AJ84-$AI84-$AH84-$AG84-$AF84-$AE84*(1+CT$3))/$AJ84,'Технический лист'!$I:$J,2,1)-VLOOKUP($AO84,'Технический лист'!$I:$J,2,1)),1+(1-$AU84))</f>
        <v/>
      </c>
      <c r="CU84" s="172">
        <f>MIN(IF($AU84=100%,1,1+VLOOKUP(($AJ84-$AI84-$AH84-$AG84-$AF84-$AE84*(1+CU$3))/$AJ84,'Технический лист'!$I:$J,2,1)-VLOOKUP($AO84,'Технический лист'!$I:$J,2,1)),1+(1-$AU84))</f>
        <v/>
      </c>
      <c r="CV84" s="172">
        <f>MIN(IF($AU84=100%,1,1+VLOOKUP(($AJ84-$AI84-$AH84-$AG84-$AF84-$AE84*(1+CV$3))/$AJ84,'Технический лист'!$I:$J,2,1)-VLOOKUP($AO84,'Технический лист'!$I:$J,2,1)),1+(1-$AU84))</f>
        <v/>
      </c>
      <c r="CW84" s="172">
        <f>MIN(IF($AU84=100%,1,1+VLOOKUP(($AJ84-$AI84-$AH84-$AG84-$AF84-$AE84*(1+CW$3))/$AJ84,'Технический лист'!$I:$J,2,1)-VLOOKUP($AO84,'Технический лист'!$I:$J,2,1)),1+(1-$AU84))</f>
        <v/>
      </c>
      <c r="CX84" s="172">
        <f>MIN(IF($AU84=100%,1,1+VLOOKUP(($AJ84-$AI84-$AH84-$AG84-$AF84-$AE84*(1+CX$3))/$AJ84,'Технический лист'!$I:$J,2,1)-VLOOKUP($AO84,'Технический лист'!$I:$J,2,1)),1+(1-$AU84))</f>
        <v/>
      </c>
      <c r="CY84" s="172">
        <f>MIN(IF($AU84=100%,1,1+VLOOKUP(($AJ84-$AI84-$AH84-$AG84-$AF84-$AE84*(1+CY$3))/$AJ84,'Технический лист'!$I:$J,2,1)-VLOOKUP($AO84,'Технический лист'!$I:$J,2,1)),1+(1-$AU84))</f>
        <v/>
      </c>
      <c r="CZ84" s="172">
        <f>MIN(IF($AU84=100%,1,1+VLOOKUP(($AJ84-$AI84-$AH84-$AG84-$AF84-$AE84*(1+CZ$3))/$AJ84,'Технический лист'!$I:$J,2,1)-VLOOKUP($AO84,'Технический лист'!$I:$J,2,1)),1+(1-$AU84))</f>
        <v/>
      </c>
      <c r="DA84" s="172">
        <f>MIN(IF($AU84=100%,1,1+VLOOKUP(($AJ84-$AI84-$AH84-$AG84-$AF84-$AE84*(1+DA$3))/$AJ84,'Технический лист'!$I:$J,2,1)-VLOOKUP($AO84,'Технический лист'!$I:$J,2,1)),1+(1-$AU84))</f>
        <v/>
      </c>
      <c r="DB84" s="172">
        <f>MIN(IF($AU84=100%,1,1+VLOOKUP(($AJ84-$AI84-$AH84-$AG84-$AF84-$AE84*(1+DB$3))/$AJ84,'Технический лист'!$I:$J,2,1)-VLOOKUP($AO84,'Технический лист'!$I:$J,2,1)),1+(1-$AU84))</f>
        <v/>
      </c>
      <c r="DC84" s="172">
        <f>MIN(IF($AU84=100%,1,1+VLOOKUP(($AJ84-$AI84-$AH84-$AG84-$AF84-$AE84*(1+DC$3))/$AJ84,'Технический лист'!$I:$J,2,1)-VLOOKUP($AO84,'Технический лист'!$I:$J,2,1)),1+(1-$AU84))</f>
        <v/>
      </c>
      <c r="DD84" s="172">
        <f>MIN(IF($AU84=100%,1,1+VLOOKUP(($AJ84-$AI84-$AH84-$AG84-$AF84-$AE84*(1+DD$3))/$AJ84,'Технический лист'!$I:$J,2,1)-VLOOKUP($AO84,'Технический лист'!$I:$J,2,1)),1+(1-$AU84))</f>
        <v/>
      </c>
      <c r="DE84" s="172">
        <f>MIN(IF($AU84=100%,1,1+VLOOKUP(($AJ84-$AI84-$AH84-$AG84-$AF84-$AE84*(1+DE$3))/$AJ84,'Технический лист'!$I:$J,2,1)-VLOOKUP($AO84,'Технический лист'!$I:$J,2,1)),1+(1-$AU84))</f>
        <v/>
      </c>
      <c r="DF84" s="172">
        <f>MIN(IF($AU84=100%,1,1+VLOOKUP(($AJ84-$AI84-$AH84-$AG84-$AF84-$AE84*(1+DF$3))/$AJ84,'Технический лист'!$I:$J,2,1)-VLOOKUP($AO84,'Технический лист'!$I:$J,2,1)),1+(1-$AU84))</f>
        <v/>
      </c>
      <c r="DG84" s="172">
        <f>MIN(IF($AU84=100%,1,1+VLOOKUP(($AJ84-$AI84-$AH84-$AG84-$AF84-$AE84*(1+DG$3))/$AJ84,'Технический лист'!$I:$J,2,1)-VLOOKUP($AO84,'Технический лист'!$I:$J,2,1)),1+(1-$AU84))</f>
        <v/>
      </c>
      <c r="DH84" s="172">
        <f>MIN(IF($AU84=100%,1,1+VLOOKUP(($AJ84-$AI84-$AH84-$AG84-$AF84-$AE84*(1+DH$3))/$AJ84,'Технический лист'!$I:$J,2,1)-VLOOKUP($AO84,'Технический лист'!$I:$J,2,1)),1+(1-$AU84))</f>
        <v/>
      </c>
      <c r="DI84" s="172">
        <f>MIN(IF($AU84=100%,1,1+VLOOKUP(($AJ84-$AI84-$AH84-$AG84-$AF84-$AE84*(1+DI$3))/$AJ84,'Технический лист'!$I:$J,2,1)-VLOOKUP($AO84,'Технический лист'!$I:$J,2,1)),1+(1-$AU84))</f>
        <v/>
      </c>
      <c r="DJ84" s="172">
        <f>MIN(IF($AU84=100%,1,1+VLOOKUP(($AJ84-$AI84-$AH84-$AG84-$AF84-$AE84*(1+DJ$3))/$AJ84,'Технический лист'!$I:$J,2,1)-VLOOKUP($AO84,'Технический лист'!$I:$J,2,1)),1+(1-$AU84))</f>
        <v/>
      </c>
      <c r="DK84" s="172">
        <f>MIN(IF($AU84=100%,1,1+VLOOKUP(($AJ84-$AI84-$AH84-$AG84-$AF84-$AE84*(1+DK$3))/$AJ84,'Технический лист'!$I:$J,2,1)-VLOOKUP($AO84,'Технический лист'!$I:$J,2,1)),1+(1-$AU84))</f>
        <v/>
      </c>
      <c r="DL84" s="172">
        <f>MIN(IF($AU84=100%,1,1+VLOOKUP(($AJ84-$AI84-$AH84-$AG84-$AF84-$AE84*(1+DL$3))/$AJ84,'Технический лист'!$I:$J,2,1)-VLOOKUP($AO84,'Технический лист'!$I:$J,2,1)),1+(1-$AU84))</f>
        <v/>
      </c>
      <c r="DM84" s="172">
        <f>MIN(IF($AU84=100%,1,1+VLOOKUP(($AJ84-$AI84-$AH84-$AG84-$AF84-$AE84*(1+DM$3))/$AJ84,'Технический лист'!$I:$J,2,1)-VLOOKUP($AO84,'Технический лист'!$I:$J,2,1)),1+(1-$AU84))</f>
        <v/>
      </c>
      <c r="DN84" s="172">
        <f>MIN(IF($AU84=100%,1,1+VLOOKUP(($AJ84-$AI84-$AH84-$AG84-$AF84-$AE84*(1+DN$3))/$AJ84,'Технический лист'!$I:$J,2,1)-VLOOKUP($AO84,'Технический лист'!$I:$J,2,1)),1+(1-$AU84))</f>
        <v/>
      </c>
      <c r="DO84" s="172">
        <f>MIN(IF($AU84=100%,1,1+VLOOKUP(($AJ84-$AI84-$AH84-$AG84-$AF84-$AE84*(1+DO$3))/$AJ84,'Технический лист'!$I:$J,2,1)-VLOOKUP($AO84,'Технический лист'!$I:$J,2,1)),1+(1-$AU84))</f>
        <v/>
      </c>
      <c r="DP84" s="172">
        <f>MIN(IF($AU84=100%,1,1+VLOOKUP(($AJ84-$AI84-$AH84-$AG84-$AF84-$AE84*(1+DP$3))/$AJ84,'Технический лист'!$I:$J,2,1)-VLOOKUP($AO84,'Технический лист'!$I:$J,2,1)),1+(1-$AU84))</f>
        <v/>
      </c>
      <c r="DQ84" s="172">
        <f>MIN(IF($AU84=100%,1,1+VLOOKUP(($AJ84-$AI84-$AH84-$AG84-$AF84-$AE84*(1+DQ$3))/$AJ84,'Технический лист'!$I:$J,2,1)-VLOOKUP($AO84,'Технический лист'!$I:$J,2,1)),1+(1-$AU84))</f>
        <v/>
      </c>
      <c r="DR84" s="172">
        <f>MIN(IF($AU84=100%,1,1+VLOOKUP(($AJ84-$AI84-$AH84-$AG84-$AF84-$AE84*(1+DR$3))/$AJ84,'Технический лист'!$I:$J,2,1)-VLOOKUP($AO84,'Технический лист'!$I:$J,2,1)),1+(1-$AU84))</f>
        <v/>
      </c>
      <c r="DS84" s="172">
        <f>MIN(IF($AU84=100%,1,1+VLOOKUP(($AJ84-$AI84-$AH84-$AG84-$AF84-$AE84*(1+DS$3))/$AJ84,'Технический лист'!$I:$J,2,1)-VLOOKUP($AO84,'Технический лист'!$I:$J,2,1)),1+(1-$AU84))</f>
        <v/>
      </c>
      <c r="DT84" s="172">
        <f>MIN(IF($AU84=100%,1,1+VLOOKUP(($AJ84-$AI84-$AH84-$AG84-$AF84-$AE84*(1+DT$3))/$AJ84,'Технический лист'!$I:$J,2,1)-VLOOKUP($AO84,'Технический лист'!$I:$J,2,1)),1+(1-$AU84))</f>
        <v/>
      </c>
      <c r="DU84" s="172">
        <f>MIN(IF($AU84=100%,1,1+VLOOKUP(($AJ84-$AI84-$AH84-$AG84-$AF84-$AE84*(1+DU$3))/$AJ84,'Технический лист'!$I:$J,2,1)-VLOOKUP($AO84,'Технический лист'!$I:$J,2,1)),1+(1-$AU84))</f>
        <v/>
      </c>
      <c r="DV84" s="172">
        <f>MIN(IF($AU84=100%,1,1+VLOOKUP(($AJ84-$AI84-$AH84-$AG84-$AF84-$AE84*(1+DV$3))/$AJ84,'Технический лист'!$I:$J,2,1)-VLOOKUP($AO84,'Технический лист'!$I:$J,2,1)),1+(1-$AU84))</f>
        <v/>
      </c>
      <c r="DW84" s="172">
        <f>MIN(IF($AU84=100%,1,1+VLOOKUP(($AJ84-$AI84-$AH84-$AG84-$AF84-$AE84*(1+DW$3))/$AJ84,'Технический лист'!$I:$J,2,1)-VLOOKUP($AO84,'Технический лист'!$I:$J,2,1)),1+(1-$AU84))</f>
        <v/>
      </c>
      <c r="DX84" s="172">
        <f>MIN(IF($AU84=100%,1,1+VLOOKUP(($AJ84-$AI84-$AH84-$AG84-$AF84-$AE84*(1+DX$3))/$AJ84,'Технический лист'!$I:$J,2,1)-VLOOKUP($AO84,'Технический лист'!$I:$J,2,1)),1+(1-$AU84))</f>
        <v/>
      </c>
      <c r="DY84" s="172">
        <f>MIN(IF($AU84=100%,1,1+VLOOKUP(($AJ84-$AI84-$AH84-$AG84-$AF84-$AE84*(1+DY$3))/$AJ84,'Технический лист'!$I:$J,2,1)-VLOOKUP($AO84,'Технический лист'!$I:$J,2,1)),1+(1-$AU84))</f>
        <v/>
      </c>
      <c r="DZ84" s="172">
        <f>MIN(IF($AU84=100%,1,1+VLOOKUP(($AJ84-$AI84-$AH84-$AG84-$AF84-$AE84*(1+DZ$3))/$AJ84,'Технический лист'!$I:$J,2,1)-VLOOKUP($AO84,'Технический лист'!$I:$J,2,1)),1+(1-$AU84))</f>
        <v/>
      </c>
      <c r="EA84" s="172">
        <f>MIN(IF($AU84=100%,1,1+VLOOKUP(($AJ84-$AI84-$AH84-$AG84-$AF84-$AE84*(1+EA$3))/$AJ84,'Технический лист'!$I:$J,2,1)-VLOOKUP($AO84,'Технический лист'!$I:$J,2,1)),1+(1-$AU84))</f>
        <v/>
      </c>
      <c r="EB84" s="172">
        <f>MIN(IF($AU84=100%,1,1+VLOOKUP(($AJ84-$AI84-$AH84-$AG84-$AF84-$AE84*(1+EB$3))/$AJ84,'Технический лист'!$I:$J,2,1)-VLOOKUP($AO84,'Технический лист'!$I:$J,2,1)),1+(1-$AU84))</f>
        <v/>
      </c>
      <c r="EC84" s="172">
        <f>MIN(IF($AU84=100%,1,1+VLOOKUP(($AJ84-$AI84-$AH84-$AG84-$AF84-$AE84*(1+EC$3))/$AJ84,'Технический лист'!$I:$J,2,1)-VLOOKUP($AO84,'Технический лист'!$I:$J,2,1)),1+(1-$AU84))</f>
        <v/>
      </c>
      <c r="ED84" s="172">
        <f>MIN(IF($AU84=100%,1,1+VLOOKUP(($AJ84-$AI84-$AH84-$AG84-$AF84-$AE84*(1+ED$3))/$AJ84,'Технический лист'!$I:$J,2,1)-VLOOKUP($AO84,'Технический лист'!$I:$J,2,1)),1+(1-$AU84))</f>
        <v/>
      </c>
      <c r="EE84" s="172">
        <f>MIN(IF($AU84=100%,1,1+VLOOKUP(($AJ84-$AI84-$AH84-$AG84-$AF84-$AE84*(1+EE$3))/$AJ84,'Технический лист'!$I:$J,2,1)-VLOOKUP($AO84,'Технический лист'!$I:$J,2,1)),1+(1-$AU84))</f>
        <v/>
      </c>
      <c r="EF84" s="172">
        <f>MIN(IF($AU84=100%,1,1+VLOOKUP(($AJ84-$AI84-$AH84-$AG84-$AF84-$AE84*(1+EF$3))/$AJ84,'Технический лист'!$I:$J,2,1)-VLOOKUP($AO84,'Технический лист'!$I:$J,2,1)),1+(1-$AU84))</f>
        <v/>
      </c>
      <c r="EG84" s="172">
        <f>MIN(IF($AU84=100%,1,1+VLOOKUP(($AJ84-$AI84-$AH84-$AG84-$AF84-$AE84*(1+EG$3))/$AJ84,'Технический лист'!$I:$J,2,1)-VLOOKUP($AO84,'Технический лист'!$I:$J,2,1)),1+(1-$AU84))</f>
        <v/>
      </c>
      <c r="EH84" s="172">
        <f>MIN(IF($AU84=100%,1,1+VLOOKUP(($AJ84-$AI84-$AH84-$AG84-$AF84-$AE84*(1+EH$3))/$AJ84,'Технический лист'!$I:$J,2,1)-VLOOKUP($AO84,'Технический лист'!$I:$J,2,1)),1+(1-$AU84))</f>
        <v/>
      </c>
      <c r="EI84" s="172">
        <f>MIN(IF($AU84=100%,1,1+VLOOKUP(($AJ84-$AI84-$AH84-$AG84-$AF84-$AE84*(1+EI$3))/$AJ84,'Технический лист'!$I:$J,2,1)-VLOOKUP($AO84,'Технический лист'!$I:$J,2,1)),1+(1-$AU84))</f>
        <v/>
      </c>
      <c r="EJ84" s="172">
        <f>MIN(IF($AU84=100%,1,1+VLOOKUP(($AJ84-$AI84-$AH84-$AG84-$AF84-$AE84*(1+EJ$3))/$AJ84,'Технический лист'!$I:$J,2,1)-VLOOKUP($AO84,'Технический лист'!$I:$J,2,1)),1+(1-$AU84))</f>
        <v/>
      </c>
      <c r="EK84" s="172">
        <f>MIN(IF($AU84=100%,1,1+VLOOKUP(($AJ84-$AI84-$AH84-$AG84-$AF84-$AE84*(1+EK$3))/$AJ84,'Технический лист'!$I:$J,2,1)-VLOOKUP($AO84,'Технический лист'!$I:$J,2,1)),1+(1-$AU84))</f>
        <v/>
      </c>
      <c r="EL84" s="172">
        <f>MIN(IF($AU84=100%,1,1+VLOOKUP(($AJ84-$AI84-$AH84-$AG84-$AF84-$AE84*(1+EL$3))/$AJ84,'Технический лист'!$I:$J,2,1)-VLOOKUP($AO84,'Технический лист'!$I:$J,2,1)),1+(1-$AU84))</f>
        <v/>
      </c>
      <c r="EM84" s="172">
        <f>MIN(IF($AU84=100%,1,1+VLOOKUP(($AJ84-$AI84-$AH84-$AG84-$AF84-$AE84*(1+EM$3))/$AJ84,'Технический лист'!$I:$J,2,1)-VLOOKUP($AO84,'Технический лист'!$I:$J,2,1)),1+(1-$AU84))</f>
        <v/>
      </c>
      <c r="EN84" s="172">
        <f>MIN(IF($AU84=100%,1,1+VLOOKUP(($AJ84-$AI84-$AH84-$AG84-$AF84-$AE84*(1+EN$3))/$AJ84,'Технический лист'!$I:$J,2,1)-VLOOKUP($AO84,'Технический лист'!$I:$J,2,1)),1+(1-$AU84))</f>
        <v/>
      </c>
      <c r="EO84" s="172">
        <f>MIN(IF($AU84=100%,1,1+VLOOKUP(($AJ84-$AI84-$AH84-$AG84-$AF84-$AE84*(1+EO$3))/$AJ84,'Технический лист'!$I:$J,2,1)-VLOOKUP($AO84,'Технический лист'!$I:$J,2,1)),1+(1-$AU84))</f>
        <v/>
      </c>
      <c r="EP84" s="172">
        <f>MIN(IF($AU84=100%,1,1+VLOOKUP(($AJ84-$AI84-$AH84-$AG84-$AF84-$AE84*(1+EP$3))/$AJ84,'Технический лист'!$I:$J,2,1)-VLOOKUP($AO84,'Технический лист'!$I:$J,2,1)),1+(1-$AU84))</f>
        <v/>
      </c>
      <c r="EQ84" s="172">
        <f>MIN(IF($AU84=100%,1,1+VLOOKUP(($AJ84-$AI84-$AH84-$AG84-$AF84-$AE84*(1+EQ$3))/$AJ84,'Технический лист'!$I:$J,2,1)-VLOOKUP($AO84,'Технический лист'!$I:$J,2,1)),1+(1-$AU84))</f>
        <v/>
      </c>
      <c r="ER84" s="172">
        <f>MIN(IF($AU84=100%,1,1+VLOOKUP(($AJ84-$AI84-$AH84-$AG84-$AF84-$AE84*(1+ER$3))/$AJ84,'Технический лист'!$I:$J,2,1)-VLOOKUP($AO84,'Технический лист'!$I:$J,2,1)),1+(1-$AU84))</f>
        <v/>
      </c>
      <c r="ES84" s="172">
        <f>MIN(IF($AU84=100%,1,1+VLOOKUP(($AJ84-$AI84-$AH84-$AG84-$AF84-$AE84*(1+ES$3))/$AJ84,'Технический лист'!$I:$J,2,1)-VLOOKUP($AO84,'Технический лист'!$I:$J,2,1)),1+(1-$AU84))</f>
        <v/>
      </c>
      <c r="ET84" s="172">
        <f>MIN(IF($AU84=100%,1,1+VLOOKUP(($AJ84-$AI84-$AH84-$AG84-$AF84-$AE84*(1+ET$3))/$AJ84,'Технический лист'!$I:$J,2,1)-VLOOKUP($AO84,'Технический лист'!$I:$J,2,1)),1+(1-$AU84))</f>
        <v/>
      </c>
      <c r="EU84" s="172">
        <f>MIN(IF($AU84=100%,1,1+VLOOKUP(($AJ84-$AI84-$AH84-$AG84-$AF84-$AE84*(1+EU$3))/$AJ84,'Технический лист'!$I:$J,2,1)-VLOOKUP($AO84,'Технический лист'!$I:$J,2,1)),1+(1-$AU84))</f>
        <v/>
      </c>
      <c r="EV84" s="173" t="n">
        <v>1</v>
      </c>
      <c r="EW84" s="172">
        <f>MIN(1,MAX(VLOOKUP(($AJ84-$AI84-$AH84-$AG84-$AF84-$AE84*(1+EW$3))/$AJ84,'Технический лист'!$A:$B,2,1),(EV84-0.05)))</f>
        <v/>
      </c>
      <c r="EX84" s="172">
        <f>MIN(1,MAX(VLOOKUP(($AJ84-$AI84-$AH84-$AG84-$AF84-$AE84*(1+EX$3))/$AJ84,'Технический лист'!$A:$B,2,1),(EW84-0.05)))</f>
        <v/>
      </c>
      <c r="EY84" s="172">
        <f>MIN(1,MAX(VLOOKUP(($AJ84-$AI84-$AH84-$AG84-$AF84-$AE84*(1+EY$3))/$AJ84,'Технический лист'!$A:$B,2,1),(EX84-0.05)))</f>
        <v/>
      </c>
      <c r="EZ84" s="172">
        <f>MIN(1,MAX(VLOOKUP(($AJ84-$AI84-$AH84-$AG84-$AF84-$AE84*(1+EZ$3))/$AJ84,'Технический лист'!$A:$B,2,1),(EY84-0.05)))</f>
        <v/>
      </c>
      <c r="FA84" s="172">
        <f>MIN(1,MAX(VLOOKUP(($AJ84-$AI84-$AH84-$AG84-$AF84-$AE84*(1+FA$3))/$AJ84,'Технический лист'!$A:$B,2,1),(EZ84-0.05)))</f>
        <v/>
      </c>
      <c r="FB84" s="172">
        <f>MIN(1,MAX(VLOOKUP(($AJ84-$AI84-$AH84-$AG84-$AF84-$AE84*(1+FB$3))/$AJ84,'Технический лист'!$A:$B,2,1),(FA84-0.05)))</f>
        <v/>
      </c>
      <c r="FC84" s="172">
        <f>MIN(1,MAX(VLOOKUP(($AJ84-$AI84-$AH84-$AG84-$AF84-$AE84*(1+FC$3))/$AJ84,'Технический лист'!$A:$B,2,1),(FB84-0.05)))</f>
        <v/>
      </c>
      <c r="FD84" s="172">
        <f>MIN(1,MAX(VLOOKUP(($AJ84-$AI84-$AH84-$AG84-$AF84-$AE84*(1+FD$3))/$AJ84,'Технический лист'!$A:$B,2,1),(FC84-0.05)))</f>
        <v/>
      </c>
      <c r="FE84" s="172">
        <f>MIN(1,MAX(VLOOKUP(($AJ84-$AI84-$AH84-$AG84-$AF84-$AE84*(1+FE$3))/$AJ84,'Технический лист'!$A:$B,2,1),(FD84-0.05)))</f>
        <v/>
      </c>
      <c r="FF84" s="172">
        <f>MIN(1,MAX(VLOOKUP(($AJ84-$AI84-$AH84-$AG84-$AF84-$AE84*(1+FF$3))/$AJ84,'Технический лист'!$A:$B,2,1),(FE84-0.05)))</f>
        <v/>
      </c>
      <c r="FG84" s="172">
        <f>MIN(1,MAX(VLOOKUP(($AJ84-$AI84-$AH84-$AG84-$AF84-$AE84*(1+FG$3))/$AJ84,'Технический лист'!$A:$B,2,1),(FF84-0.05)))</f>
        <v/>
      </c>
      <c r="FH84" s="172">
        <f>MIN(1,MAX(VLOOKUP(($AJ84-$AI84-$AH84-$AG84-$AF84-$AE84*(1+FH$3))/$AJ84,'Технический лист'!$A:$B,2,1),(FG84-0.05)))</f>
        <v/>
      </c>
      <c r="FI84" s="172">
        <f>MIN(1,MAX(VLOOKUP(($AJ84-$AI84-$AH84-$AG84-$AF84-$AE84*(1+FI$3))/$AJ84,'Технический лист'!$A:$B,2,1),(FH84-0.05)))</f>
        <v/>
      </c>
      <c r="FJ84" s="172">
        <f>MIN(1,MAX(VLOOKUP(($AJ84-$AI84-$AH84-$AG84-$AF84-$AE84*(1+FJ$3))/$AJ84,'Технический лист'!$A:$B,2,1),(FI84-0.05)))</f>
        <v/>
      </c>
      <c r="FK84" s="172">
        <f>MIN(1,MAX(VLOOKUP(($AJ84-$AI84-$AH84-$AG84-$AF84-$AE84*(1+FK$3))/$AJ84,'Технический лист'!$A:$B,2,1),(FJ84-0.05)))</f>
        <v/>
      </c>
      <c r="FL84" s="172">
        <f>MIN(1,MAX(VLOOKUP(($AJ84-$AI84-$AH84-$AG84-$AF84-$AE84*(1+FL$3))/$AJ84,'Технический лист'!$A:$B,2,1),(FK84-0.05)))</f>
        <v/>
      </c>
      <c r="FM84" s="172">
        <f>MIN(1,MAX(VLOOKUP(($AJ84-$AI84-$AH84-$AG84-$AF84-$AE84*(1+FM$3))/$AJ84,'Технический лист'!$A:$B,2,1),(FL84-0.05)))</f>
        <v/>
      </c>
      <c r="FN84" s="172">
        <f>MIN(1,MAX(VLOOKUP(($AJ84-$AI84-$AH84-$AG84-$AF84-$AE84*(1+FN$3))/$AJ84,'Технический лист'!$A:$B,2,1),(FM84-0.05)))</f>
        <v/>
      </c>
      <c r="FO84" s="172">
        <f>MIN(1,MAX(VLOOKUP(($AJ84-$AI84-$AH84-$AG84-$AF84-$AE84*(1+FO$3))/$AJ84,'Технический лист'!$A:$B,2,1),(FN84-0.05)))</f>
        <v/>
      </c>
      <c r="FP84" s="172">
        <f>MIN(1,MAX(VLOOKUP(($AJ84-$AI84-$AH84-$AG84-$AF84-$AE84*(1+FP$3))/$AJ84,'Технический лист'!$A:$B,2,1),(FO84-0.05)))</f>
        <v/>
      </c>
      <c r="FQ84" s="172">
        <f>MIN(1,MAX(VLOOKUP(($AJ84-$AI84-$AH84-$AG84-$AF84-$AE84*(1+FQ$3))/$AJ84,'Технический лист'!$A:$B,2,1),(FP84-0.05)))</f>
        <v/>
      </c>
      <c r="FR84" s="172">
        <f>MIN(1,MAX(VLOOKUP(($AJ84-$AI84-$AH84-$AG84-$AF84-$AE84*(1+FR$3))/$AJ84,'Технический лист'!$A:$B,2,1),(FQ84-0.05)))</f>
        <v/>
      </c>
      <c r="FS84" s="172">
        <f>MIN(1,MAX(VLOOKUP(($AJ84-$AI84-$AH84-$AG84-$AF84-$AE84*(1+FS$3))/$AJ84,'Технический лист'!$A:$B,2,1),(FR84-0.05)))</f>
        <v/>
      </c>
      <c r="FT84" s="172">
        <f>MIN(1,MAX(VLOOKUP(($AJ84-$AI84-$AH84-$AG84-$AF84-$AE84*(1+FT$3))/$AJ84,'Технический лист'!$A:$B,2,1),(FS84-0.05)))</f>
        <v/>
      </c>
      <c r="FU84" s="172">
        <f>MIN(1,MAX(VLOOKUP(($AJ84-$AI84-$AH84-$AG84-$AF84-$AE84*(1+FU$3))/$AJ84,'Технический лист'!$A:$B,2,1),(FT84-0.05)))</f>
        <v/>
      </c>
      <c r="FV84" s="172">
        <f>MIN(1,MAX(VLOOKUP(($AJ84-$AI84-$AH84-$AG84-$AF84-$AE84*(1+FV$3))/$AJ84,'Технический лист'!$A:$B,2,1),(FU84-0.05)))</f>
        <v/>
      </c>
      <c r="FW84" s="172">
        <f>MIN(1,MAX(VLOOKUP(($AJ84-$AI84-$AH84-$AG84-$AF84-$AE84*(1+FW$3))/$AJ84,'Технический лист'!$A:$B,2,1),(FV84-0.05)))</f>
        <v/>
      </c>
      <c r="FX84" s="172">
        <f>MIN(1,MAX(VLOOKUP(($AJ84-$AI84-$AH84-$AG84-$AF84-$AE84*(1+FX$3))/$AJ84,'Технический лист'!$A:$B,2,1),(FW84-0.05)))</f>
        <v/>
      </c>
      <c r="FY84" s="172">
        <f>MIN(1,MAX(VLOOKUP(($AJ84-$AI84-$AH84-$AG84-$AF84-$AE84*(1+FY$3))/$AJ84,'Технический лист'!$A:$B,2,1),(FX84-0.05)))</f>
        <v/>
      </c>
      <c r="FZ84" s="172">
        <f>MIN(1,MAX(VLOOKUP(($AJ84-$AI84-$AH84-$AG84-$AF84-$AE84*(1+FZ$3))/$AJ84,'Технический лист'!$A:$B,2,1),(FY84-0.05)))</f>
        <v/>
      </c>
      <c r="GA84" s="172">
        <f>MIN(1,MAX(VLOOKUP(($AJ84-$AI84-$AH84-$AG84-$AF84-$AE84*(1+GA$3))/$AJ84,'Технический лист'!$A:$B,2,1),(FZ84-0.05)))</f>
        <v/>
      </c>
      <c r="GB84" s="172">
        <f>MIN(1,MAX(VLOOKUP(($AJ84-$AI84-$AH84-$AG84-$AF84-$AE84*(1+GB$3))/$AJ84,'Технический лист'!$A:$B,2,1),(GA84-0.05)))</f>
        <v/>
      </c>
      <c r="GC84" s="172">
        <f>MIN(1,MAX(VLOOKUP(($AJ84-$AI84-$AH84-$AG84-$AF84-$AE84*(1+GC$3))/$AJ84,'Технический лист'!$A:$B,2,1),(GB84-0.05)))</f>
        <v/>
      </c>
      <c r="GD84" s="172">
        <f>MIN(1,MAX(VLOOKUP(($AJ84-$AI84-$AH84-$AG84-$AF84-$AE84*(1+GD$3))/$AJ84,'Технический лист'!$A:$B,2,1),(GC84-0.05)))</f>
        <v/>
      </c>
      <c r="GE84" s="172">
        <f>MIN(1,MAX(VLOOKUP(($AJ84-$AI84-$AH84-$AG84-$AF84-$AE84*(1+GE$3))/$AJ84,'Технический лист'!$A:$B,2,1),(GD84-0.05)))</f>
        <v/>
      </c>
      <c r="GF84" s="172">
        <f>MIN(1,MAX(VLOOKUP(($AJ84-$AI84-$AH84-$AG84-$AF84-$AE84*(1+GF$3))/$AJ84,'Технический лист'!$A:$B,2,1),(GE84-0.05)))</f>
        <v/>
      </c>
      <c r="GG84" s="172">
        <f>MIN(1,MAX(VLOOKUP(($AJ84-$AI84-$AH84-$AG84-$AF84-$AE84*(1+GG$3))/$AJ84,'Технический лист'!$A:$B,2,1),(GF84-0.05)))</f>
        <v/>
      </c>
      <c r="GH84" s="172">
        <f>MIN(1,MAX(VLOOKUP(($AJ84-$AI84-$AH84-$AG84-$AF84-$AE84*(1+GH$3))/$AJ84,'Технический лист'!$A:$B,2,1),(GG84-0.05)))</f>
        <v/>
      </c>
      <c r="GI84" s="172">
        <f>MIN(1,MAX(VLOOKUP(($AJ84-$AI84-$AH84-$AG84-$AF84-$AE84*(1+GI$3))/$AJ84,'Технический лист'!$A:$B,2,1),(GH84-0.05)))</f>
        <v/>
      </c>
      <c r="GJ84" s="172">
        <f>MIN(1,MAX(VLOOKUP(($AJ84-$AI84-$AH84-$AG84-$AF84-$AE84*(1+GJ$3))/$AJ84,'Технический лист'!$A:$B,2,1),(GI84-0.05)))</f>
        <v/>
      </c>
      <c r="GK84" s="172">
        <f>MIN(1,MAX(VLOOKUP(($AJ84-$AI84-$AH84-$AG84-$AF84-$AE84*(1+GK$3))/$AJ84,'Технический лист'!$A:$B,2,1),(GJ84-0.05)))</f>
        <v/>
      </c>
      <c r="GL84" s="172">
        <f>MIN(1,MAX(VLOOKUP(($AJ84-$AI84-$AH84-$AG84-$AF84-$AE84*(1+GL$3))/$AJ84,'Технический лист'!$A:$B,2,1),(GK84-0.05)))</f>
        <v/>
      </c>
      <c r="GM84" s="172">
        <f>MIN(1,MAX(VLOOKUP(($AJ84-$AI84-$AH84-$AG84-$AF84-$AE84*(1+GM$3))/$AJ84,'Технический лист'!$A:$B,2,1),(GL84-0.05)))</f>
        <v/>
      </c>
      <c r="GN84" s="172">
        <f>MIN(1,MAX(VLOOKUP(($AJ84-$AI84-$AH84-$AG84-$AF84-$AE84*(1+GN$3))/$AJ84,'Технический лист'!$A:$B,2,1),(GM84-0.05)))</f>
        <v/>
      </c>
      <c r="GO84" s="172">
        <f>MIN(1,MAX(VLOOKUP(($AJ84-$AI84-$AH84-$AG84-$AF84-$AE84*(1+GO$3))/$AJ84,'Технический лист'!$A:$B,2,1),(GN84-0.05)))</f>
        <v/>
      </c>
      <c r="GP84" s="172">
        <f>MIN(1,MAX(VLOOKUP(($AJ84-$AI84-$AH84-$AG84-$AF84-$AE84*(1+GP$3))/$AJ84,'Технический лист'!$A:$B,2,1),(GO84-0.05)))</f>
        <v/>
      </c>
      <c r="GQ84" s="172">
        <f>MIN(1,MAX(VLOOKUP(($AJ84-$AI84-$AH84-$AG84-$AF84-$AE84*(1+GQ$3))/$AJ84,'Технический лист'!$A:$B,2,1),(GP84-0.05)))</f>
        <v/>
      </c>
      <c r="GR84" s="172">
        <f>MIN(1,MAX(VLOOKUP(($AJ84-$AI84-$AH84-$AG84-$AF84-$AE84*(1+GR$3))/$AJ84,'Технический лист'!$A:$B,2,1),(GQ84-0.05)))</f>
        <v/>
      </c>
      <c r="GS84" s="172">
        <f>MIN(1,MAX(VLOOKUP(($AJ84-$AI84-$AH84-$AG84-$AF84-$AE84*(1+GS$3))/$AJ84,'Технический лист'!$A:$B,2,1),(GR84-0.05)))</f>
        <v/>
      </c>
      <c r="GT84" s="172">
        <f>MIN(1,MAX(VLOOKUP(($AJ84-$AI84-$AH84-$AG84-$AF84-$AE84*(1+GT$3))/$AJ84,'Технический лист'!$A:$B,2,1),(GS84-0.05)))</f>
        <v/>
      </c>
      <c r="GU84" s="172">
        <f>MIN(1,MAX(VLOOKUP(($AJ84-$AI84-$AH84-$AG84-$AF84-$AE84*(1+GU$3))/$AJ84,'Технический лист'!$A:$B,2,1),(GT84-0.05)))</f>
        <v/>
      </c>
      <c r="GV84" s="172">
        <f>MIN(1,MAX(VLOOKUP(($AJ84-$AI84-$AH84-$AG84-$AF84-$AE84*(1+GV$3))/$AJ84,'Технический лист'!$A:$B,2,1),(GU84-0.05)))</f>
        <v/>
      </c>
      <c r="GW84" s="172">
        <f>MIN(1,MAX(VLOOKUP(($AJ84-$AI84-$AH84-$AG84-$AF84-$AE84*(1+GW$3))/$AJ84,'Технический лист'!$A:$B,2,1),(GV84-0.05)))</f>
        <v/>
      </c>
      <c r="GX84" s="172">
        <f>MIN(1,MAX(VLOOKUP(($AJ84-$AI84-$AH84-$AG84-$AF84-$AE84*(1+GX$3))/$AJ84,'Технический лист'!$A:$B,2,1),(GW84-0.05)))</f>
        <v/>
      </c>
      <c r="GY84" s="172">
        <f>MIN(1,MAX(VLOOKUP(($AJ84-$AI84-$AH84-$AG84-$AF84-$AE84*(1+GY$3))/$AJ84,'Технический лист'!$A:$B,2,1),(GX84-0.05)))</f>
        <v/>
      </c>
      <c r="GZ84" s="172">
        <f>MIN(1,MAX(VLOOKUP(($AJ84-$AI84-$AH84-$AG84-$AF84-$AE84*(1+GZ$3))/$AJ84,'Технический лист'!$A:$B,2,1),(GY84-0.05)))</f>
        <v/>
      </c>
      <c r="HA84" s="172">
        <f>MIN(1,MAX(VLOOKUP(($AJ84-$AI84-$AH84-$AG84-$AF84-$AE84*(1+HA$3))/$AJ84,'Технический лист'!$A:$B,2,1),(GZ84-0.05)))</f>
        <v/>
      </c>
      <c r="HB84" s="172">
        <f>MIN(1,MAX(VLOOKUP(($AJ84-$AI84-$AH84-$AG84-$AF84-$AE84*(1+HB$3))/$AJ84,'Технический лист'!$A:$B,2,1),(HA84-0.05)))</f>
        <v/>
      </c>
      <c r="HC84" s="172">
        <f>MIN(1,MAX(VLOOKUP(($AJ84-$AI84-$AH84-$AG84-$AF84-$AE84*(1+HC$3))/$AJ84,'Технический лист'!$A:$B,2,1),(HB84-0.05)))</f>
        <v/>
      </c>
      <c r="HD84" s="172">
        <f>MIN(1,MAX(VLOOKUP(($AJ84-$AI84-$AH84-$AG84-$AF84-$AE84*(1+HD$3))/$AJ84,'Технический лист'!$A:$B,2,1),(HC84-0.05)))</f>
        <v/>
      </c>
      <c r="HE84" s="172">
        <f>MIN(1,MAX(VLOOKUP(($AJ84-$AI84-$AH84-$AG84-$AF84-$AE84*(1+HE$3))/$AJ84,'Технический лист'!$A:$B,2,1),(HD84-0.05)))</f>
        <v/>
      </c>
      <c r="HF84" s="172">
        <f>MIN(1,MAX(VLOOKUP(($AJ84-$AI84-$AH84-$AG84-$AF84-$AE84*(1+HF$3))/$AJ84,'Технический лист'!$A:$B,2,1),(HE84-0.05)))</f>
        <v/>
      </c>
      <c r="HG84" s="172">
        <f>MIN(1,MAX(VLOOKUP(($AJ84-$AI84-$AH84-$AG84-$AF84-$AE84*(1+HG$3))/$AJ84,'Технический лист'!$A:$B,2,1),(HF84-0.05)))</f>
        <v/>
      </c>
      <c r="HH84" s="172">
        <f>MIN(1,MAX(VLOOKUP(($AJ84-$AI84-$AH84-$AG84-$AF84-$AE84*(1+HH$3))/$AJ84,'Технический лист'!$A:$B,2,1),(HG84-0.05)))</f>
        <v/>
      </c>
      <c r="HI84" s="172">
        <f>MIN(1,MAX(VLOOKUP(($AJ84-$AI84-$AH84-$AG84-$AF84-$AE84*(1+HI$3))/$AJ84,'Технический лист'!$A:$B,2,1),(HH84-0.05)))</f>
        <v/>
      </c>
      <c r="HJ84" s="172">
        <f>MIN(1,MAX(VLOOKUP(($AJ84-$AI84-$AH84-$AG84-$AF84-$AE84*(1+HJ$3))/$AJ84,'Технический лист'!$A:$B,2,1),(HI84-0.05)))</f>
        <v/>
      </c>
      <c r="HK84" s="172">
        <f>MIN(1,MAX(VLOOKUP(($AJ84-$AI84-$AH84-$AG84-$AF84-$AE84*(1+HK$3))/$AJ84,'Технический лист'!$A:$B,2,1),(HJ84-0.05)))</f>
        <v/>
      </c>
      <c r="HL84" s="172">
        <f>MIN(1,MAX(VLOOKUP(($AJ84-$AI84-$AH84-$AG84-$AF84-$AE84*(1+HL$3))/$AJ84,'Технический лист'!$A:$B,2,1),(HK84-0.05)))</f>
        <v/>
      </c>
      <c r="HM84" s="172">
        <f>MIN(1,MAX(VLOOKUP(($AJ84-$AI84-$AH84-$AG84-$AF84-$AE84*(1+HM$3))/$AJ84,'Технический лист'!$A:$B,2,1),(HL84-0.05)))</f>
        <v/>
      </c>
      <c r="HN84" s="172">
        <f>MIN(1,MAX(VLOOKUP(($AJ84-$AI84-$AH84-$AG84-$AF84-$AE84*(1+HN$3))/$AJ84,'Технический лист'!$A:$B,2,1),(HM84-0.05)))</f>
        <v/>
      </c>
      <c r="HO84" s="172">
        <f>MIN(1,MAX(VLOOKUP(($AJ84-$AI84-$AH84-$AG84-$AF84-$AE84*(1+HO$3))/$AJ84,'Технический лист'!$A:$B,2,1),(HN84-0.05)))</f>
        <v/>
      </c>
      <c r="HP84" s="172">
        <f>MIN(1,MAX(VLOOKUP(($AJ84-$AI84-$AH84-$AG84-$AF84-$AE84*(1+HP$3))/$AJ84,'Технический лист'!$A:$B,2,1),(HO84-0.05)))</f>
        <v/>
      </c>
      <c r="HQ84" s="172">
        <f>MIN(1,MAX(VLOOKUP(($AJ84-$AI84-$AH84-$AG84-$AF84-$AE84*(1+HQ$3))/$AJ84,'Технический лист'!$A:$B,2,1),(HP84-0.05)))</f>
        <v/>
      </c>
      <c r="HR84" s="172">
        <f>MIN(1,MAX(VLOOKUP(($AJ84-$AI84-$AH84-$AG84-$AF84-$AE84*(1+HR$3))/$AJ84,'Технический лист'!$A:$B,2,1),(HQ84-0.05)))</f>
        <v/>
      </c>
      <c r="HS84" s="172">
        <f>MIN(1,MAX(VLOOKUP(($AJ84-$AI84-$AH84-$AG84-$AF84-$AE84*(1+HS$3))/$AJ84,'Технический лист'!$A:$B,2,1),(HR84-0.05)))</f>
        <v/>
      </c>
      <c r="HT84" s="172">
        <f>MIN(1,MAX(VLOOKUP(($AJ84-$AI84-$AH84-$AG84-$AF84-$AE84*(1+HT$3))/$AJ84,'Технический лист'!$A:$B,2,1),(HS84-0.05)))</f>
        <v/>
      </c>
      <c r="HU84" s="172">
        <f>MIN(1,MAX(VLOOKUP(($AJ84-$AI84-$AH84-$AG84-$AF84-$AE84*(1+HU$3))/$AJ84,'Технический лист'!$A:$B,2,1),(HT84-0.05)))</f>
        <v/>
      </c>
      <c r="HV84" s="172">
        <f>MIN(1,MAX(VLOOKUP(($AJ84-$AI84-$AH84-$AG84-$AF84-$AE84*(1+HV$3))/$AJ84,'Технический лист'!$A:$B,2,1),(HU84-0.05)))</f>
        <v/>
      </c>
      <c r="HW84" s="172">
        <f>MIN(1,MAX(VLOOKUP(($AJ84-$AI84-$AH84-$AG84-$AF84-$AE84*(1+HW$3))/$AJ84,'Технический лист'!$A:$B,2,1),(HV84-0.05)))</f>
        <v/>
      </c>
      <c r="HX84" s="172">
        <f>MIN(1,MAX(VLOOKUP(($AJ84-$AI84-$AH84-$AG84-$AF84-$AE84*(1+HX$3))/$AJ84,'Технический лист'!$A:$B,2,1),(HW84-0.05)))</f>
        <v/>
      </c>
      <c r="HY84" s="172">
        <f>MIN(1,MAX(VLOOKUP(($AJ84-$AI84-$AH84-$AG84-$AF84-$AE84*(1+HY$3))/$AJ84,'Технический лист'!$A:$B,2,1),(HX84-0.05)))</f>
        <v/>
      </c>
      <c r="HZ84" s="172">
        <f>MIN(1,MAX(VLOOKUP(($AJ84-$AI84-$AH84-$AG84-$AF84-$AE84*(1+HZ$3))/$AJ84,'Технический лист'!$A:$B,2,1),(HY84-0.05)))</f>
        <v/>
      </c>
      <c r="IA84" s="172">
        <f>MIN(1,MAX(VLOOKUP(($AJ84-$AI84-$AH84-$AG84-$AF84-$AE84*(1+IA$3))/$AJ84,'Технический лист'!$A:$B,2,1),(HZ84-0.05)))</f>
        <v/>
      </c>
      <c r="IB84" s="172">
        <f>MIN(1,MAX(VLOOKUP(($AJ84-$AI84-$AH84-$AG84-$AF84-$AE84*(1+IB$3))/$AJ84,'Технический лист'!$A:$B,2,1),(IA84-0.05)))</f>
        <v/>
      </c>
      <c r="IC84" s="172">
        <f>MIN(1,MAX(VLOOKUP(($AJ84-$AI84-$AH84-$AG84-$AF84-$AE84*(1+IC$3))/$AJ84,'Технический лист'!$A:$B,2,1),(IB84-0.05)))</f>
        <v/>
      </c>
      <c r="ID84" s="172">
        <f>MIN(1,MAX(VLOOKUP(($AJ84-$AI84-$AH84-$AG84-$AF84-$AE84*(1+ID$3))/$AJ84,'Технический лист'!$A:$B,2,1),(IC84-0.05)))</f>
        <v/>
      </c>
      <c r="IE84" s="172">
        <f>MIN(1,MAX(VLOOKUP(($AJ84-$AI84-$AH84-$AG84-$AF84-$AE84*(1+IE$3))/$AJ84,'Технический лист'!$A:$B,2,1),(ID84-0.05)))</f>
        <v/>
      </c>
      <c r="IF84" s="172">
        <f>MIN(1,MAX(VLOOKUP(($AJ84-$AI84-$AH84-$AG84-$AF84-$AE84*(1+IF$3))/$AJ84,'Технический лист'!$A:$B,2,1),(IE84-0.05)))</f>
        <v/>
      </c>
      <c r="IG84" s="172">
        <f>MIN(1,MAX(VLOOKUP(($AJ84-$AI84-$AH84-$AG84-$AF84-$AE84*(1+IG$3))/$AJ84,'Технический лист'!$A:$B,2,1),(IF84-0.05)))</f>
        <v/>
      </c>
      <c r="IH84" s="172">
        <f>MIN(1,MAX(VLOOKUP(($AJ84-$AI84-$AH84-$AG84-$AF84-$AE84*(1+IH$3))/$AJ84,'Технический лист'!$A:$B,2,1),(IG84-0.05)))</f>
        <v/>
      </c>
      <c r="II84" s="172">
        <f>MIN(1,MAX(VLOOKUP(($AJ84-$AI84-$AH84-$AG84-$AF84-$AE84*(1+II$3))/$AJ84,'Технический лист'!$A:$B,2,1),(IH84-0.05)))</f>
        <v/>
      </c>
      <c r="IJ84" s="172">
        <f>MIN(1,MAX(VLOOKUP(($AJ84-$AI84-$AH84-$AG84-$AF84-$AE84*(1+IJ$3))/$AJ84,'Технический лист'!$A:$B,2,1),(II84-0.05)))</f>
        <v/>
      </c>
      <c r="IK84" s="172">
        <f>MIN(1,MAX(VLOOKUP(($AJ84-$AI84-$AH84-$AG84-$AF84-$AE84*(1+IK$3))/$AJ84,'Технический лист'!$A:$B,2,1),(IJ84-0.05)))</f>
        <v/>
      </c>
      <c r="IL84" s="172">
        <f>MIN(1,MAX(VLOOKUP(($AJ84-$AI84-$AH84-$AG84-$AF84-$AE84*(1+IL$3))/$AJ84,'Технический лист'!$A:$B,2,1),(IK84-0.05)))</f>
        <v/>
      </c>
      <c r="IM84" s="172">
        <f>MIN(1,MAX(VLOOKUP(($AJ84-$AI84-$AH84-$AG84-$AF84-$AE84*(1+IM$3))/$AJ84,'Технический лист'!$A:$B,2,1),(IL84-0.05)))</f>
        <v/>
      </c>
      <c r="IN84" s="172">
        <f>MIN(1,MAX(VLOOKUP(($AJ84-$AI84-$AH84-$AG84-$AF84-$AE84*(1+IN$3))/$AJ84,'Технический лист'!$A:$B,2,1),(IM84-0.05)))</f>
        <v/>
      </c>
      <c r="IO84" s="172">
        <f>MIN(1,MAX(VLOOKUP(($AJ84-$AI84-$AH84-$AG84-$AF84-$AE84*(1+IO$3))/$AJ84,'Технический лист'!$A:$B,2,1),(IN84-0.05)))</f>
        <v/>
      </c>
      <c r="IP84" s="172">
        <f>MIN(1,MAX(VLOOKUP(($AJ84-$AI84-$AH84-$AG84-$AF84-$AE84*(1+IP$3))/$AJ84,'Технический лист'!$A:$B,2,1),(IO84-0.05)))</f>
        <v/>
      </c>
      <c r="IQ84" s="172">
        <f>MIN(1,MAX(VLOOKUP(($AJ84-$AI84-$AH84-$AG84-$AF84-$AE84*(1+IQ$3))/$AJ84,'Технический лист'!$A:$B,2,1),(IP84-0.05)))</f>
        <v/>
      </c>
      <c r="IR84" s="172">
        <f>MIN(1,MAX(VLOOKUP(($AJ84-$AI84-$AH84-$AG84-$AF84-$AE84*(1+IR$3))/$AJ84,'Технический лист'!$A:$B,2,1),(IQ84-0.05)))</f>
        <v/>
      </c>
    </row>
    <row r="85" ht="29.15" customHeight="1" s="123">
      <c r="A85" s="89" t="inlineStr">
        <is>
          <t>ЧМ (продукция)</t>
        </is>
      </c>
      <c r="B85" s="90" t="n">
        <v>5</v>
      </c>
      <c r="C85" s="5" t="inlineStr">
        <is>
          <t>Черные металлы</t>
        </is>
      </c>
      <c r="D85" s="91" t="n">
        <v>32102</v>
      </c>
      <c r="E85" s="91" t="inlineStr">
        <is>
          <t xml:space="preserve">Рельсы металлические новые Р-65 </t>
        </is>
      </c>
      <c r="F85" s="92" t="inlineStr">
        <is>
          <t>РЕЛЬСЫ</t>
        </is>
      </c>
      <c r="G85" s="91" t="inlineStr">
        <is>
          <t>ЗСБ</t>
        </is>
      </c>
      <c r="H85" s="91" t="inlineStr">
        <is>
          <t>ЗСБ</t>
        </is>
      </c>
      <c r="I85" s="91" t="inlineStr">
        <is>
          <t>НОВОКУЗ.-СОР</t>
        </is>
      </c>
      <c r="J85" s="91" t="inlineStr">
        <is>
          <t>ПРОМЫШЛЕННАЯ</t>
        </is>
      </c>
      <c r="K85" s="91" t="n">
        <v>226</v>
      </c>
      <c r="L85" s="91" t="inlineStr">
        <is>
          <t>Платформы</t>
        </is>
      </c>
      <c r="M85" s="91" t="inlineStr">
        <is>
          <t>Внутр. перевозки</t>
        </is>
      </c>
      <c r="N85" s="91" t="inlineStr">
        <is>
          <t>вагонная</t>
        </is>
      </c>
      <c r="O85" s="91" t="inlineStr">
        <is>
          <t xml:space="preserve">Южное </t>
        </is>
      </c>
      <c r="P85" s="89" t="inlineStr">
        <is>
          <t>'000005757676</t>
        </is>
      </c>
      <c r="Q85" s="91" t="inlineStr">
        <is>
          <t>АО "ЕВРАЗ ЗСМК"</t>
        </is>
      </c>
      <c r="R85" s="91" t="inlineStr">
        <is>
          <t>ООО "ЕвразХолдинг"</t>
        </is>
      </c>
      <c r="S85" s="87" t="n">
        <v>164441</v>
      </c>
      <c r="T85" s="87" t="n">
        <v>37164426</v>
      </c>
      <c r="U85" s="88" t="n">
        <v>2858</v>
      </c>
      <c r="V85" s="88" t="n">
        <v>0</v>
      </c>
      <c r="W85" s="87" t="n">
        <v>289045238</v>
      </c>
      <c r="X85" s="112" t="n">
        <v>61</v>
      </c>
      <c r="Y85" s="112" t="inlineStr">
        <is>
          <t>сцеп</t>
        </is>
      </c>
      <c r="Z85" s="113" t="n">
        <v>4</v>
      </c>
      <c r="AA85" s="113" t="n">
        <v>5</v>
      </c>
      <c r="AB85" s="113" t="n">
        <v>4</v>
      </c>
      <c r="AC85" s="161" t="n">
        <v>1171.54</v>
      </c>
      <c r="AD85" s="161">
        <f>AE85-AC85</f>
        <v/>
      </c>
      <c r="AE85" s="161" t="n">
        <v>1308.74</v>
      </c>
      <c r="AF85" s="162">
        <f>(AB85+AA85+Z85)*'Ставки аренды'!$B$7/X85</f>
        <v/>
      </c>
      <c r="AG85" s="163" t="n">
        <v>0</v>
      </c>
      <c r="AH85" s="164" t="n">
        <v>0</v>
      </c>
      <c r="AI85" s="165">
        <f>0.71*AJ85</f>
        <v/>
      </c>
      <c r="AJ85" s="166">
        <f>Цены!$D$18</f>
        <v/>
      </c>
      <c r="AK85" s="164">
        <f>AJ85/Цены!$B$1</f>
        <v/>
      </c>
      <c r="AL85" s="164">
        <f>AE85+AF85+AG85</f>
        <v/>
      </c>
      <c r="AM85" s="164">
        <f>AJ85-AL85</f>
        <v/>
      </c>
      <c r="AN85" s="164">
        <f>AI85+AH85+AG85+AF85+AE85</f>
        <v/>
      </c>
      <c r="AO85" s="167">
        <f>(AJ85-AN85)/AJ85</f>
        <v/>
      </c>
      <c r="AP85" s="168">
        <f>AL85/AJ85</f>
        <v/>
      </c>
      <c r="AQ85" s="168">
        <f>AE85/AJ85</f>
        <v/>
      </c>
      <c r="AR85" s="168">
        <f>AE85/AL85</f>
        <v/>
      </c>
      <c r="AS85" s="169" t="n">
        <v>1</v>
      </c>
      <c r="AT85" s="121">
        <f>S85*AS85</f>
        <v/>
      </c>
      <c r="AU85" s="83" t="n">
        <v>0.75</v>
      </c>
      <c r="AV85" s="170">
        <f>(AJ85-(AE85*(1+$IS$2)+AF85+AG85+AH85+AI85))/AJ85</f>
        <v/>
      </c>
      <c r="AW85" s="171">
        <f>(AE85*(1+$IS$2)+AF85+AG85)/AJ85</f>
        <v/>
      </c>
      <c r="AX85" s="171">
        <f>(AE85*(1+$IS$2))/AJ85</f>
        <v/>
      </c>
      <c r="AY85" s="171">
        <f>(AE85*(1+$IS$2))/(AE85*(1+$IS$2)+AF85+AG85)</f>
        <v/>
      </c>
      <c r="AZ85" s="172">
        <f>MIN(IF($AU85=100%,1,1+VLOOKUP(($AJ85-$AI85-$AH85-$AG85-$AF85-$AE85*(1+AZ$3))/$AJ85,'Технический лист'!$I:$J,2,1)-VLOOKUP($AO85,'Технический лист'!$I:$J,2,1)),1+(1-$AU85))</f>
        <v/>
      </c>
      <c r="BA85" s="172">
        <f>MIN(IF($AU85=100%,1,1+VLOOKUP(($AJ85-$AI85-$AH85-$AG85-$AF85-$AE85*(1+BA$3))/$AJ85,'Технический лист'!$I:$J,2,1)-VLOOKUP($AO85,'Технический лист'!$I:$J,2,1)),1+(1-$AU85))</f>
        <v/>
      </c>
      <c r="BB85" s="172">
        <f>MIN(IF($AU85=100%,1,1+VLOOKUP(($AJ85-$AI85-$AH85-$AG85-$AF85-$AE85*(1+BB$3))/$AJ85,'Технический лист'!$I:$J,2,1)-VLOOKUP($AO85,'Технический лист'!$I:$J,2,1)),1+(1-$AU85))</f>
        <v/>
      </c>
      <c r="BC85" s="172">
        <f>MIN(IF($AU85=100%,1,1+VLOOKUP(($AJ85-$AI85-$AH85-$AG85-$AF85-$AE85*(1+BC$3))/$AJ85,'Технический лист'!$I:$J,2,1)-VLOOKUP($AO85,'Технический лист'!$I:$J,2,1)),1+(1-$AU85))</f>
        <v/>
      </c>
      <c r="BD85" s="172">
        <f>MIN(IF($AU85=100%,1,1+VLOOKUP(($AJ85-$AI85-$AH85-$AG85-$AF85-$AE85*(1+BD$3))/$AJ85,'Технический лист'!$I:$J,2,1)-VLOOKUP($AO85,'Технический лист'!$I:$J,2,1)),1+(1-$AU85))</f>
        <v/>
      </c>
      <c r="BE85" s="172">
        <f>MIN(IF($AU85=100%,1,1+VLOOKUP(($AJ85-$AI85-$AH85-$AG85-$AF85-$AE85*(1+BE$3))/$AJ85,'Технический лист'!$I:$J,2,1)-VLOOKUP($AO85,'Технический лист'!$I:$J,2,1)),1+(1-$AU85))</f>
        <v/>
      </c>
      <c r="BF85" s="172">
        <f>MIN(IF($AU85=100%,1,1+VLOOKUP(($AJ85-$AI85-$AH85-$AG85-$AF85-$AE85*(1+BF$3))/$AJ85,'Технический лист'!$I:$J,2,1)-VLOOKUP($AO85,'Технический лист'!$I:$J,2,1)),1+(1-$AU85))</f>
        <v/>
      </c>
      <c r="BG85" s="172">
        <f>MIN(IF($AU85=100%,1,1+VLOOKUP(($AJ85-$AI85-$AH85-$AG85-$AF85-$AE85*(1+BG$3))/$AJ85,'Технический лист'!$I:$J,2,1)-VLOOKUP($AO85,'Технический лист'!$I:$J,2,1)),1+(1-$AU85))</f>
        <v/>
      </c>
      <c r="BH85" s="172">
        <f>MIN(IF($AU85=100%,1,1+VLOOKUP(($AJ85-$AI85-$AH85-$AG85-$AF85-$AE85*(1+BH$3))/$AJ85,'Технический лист'!$I:$J,2,1)-VLOOKUP($AO85,'Технический лист'!$I:$J,2,1)),1+(1-$AU85))</f>
        <v/>
      </c>
      <c r="BI85" s="172">
        <f>MIN(IF($AU85=100%,1,1+VLOOKUP(($AJ85-$AI85-$AH85-$AG85-$AF85-$AE85*(1+BI$3))/$AJ85,'Технический лист'!$I:$J,2,1)-VLOOKUP($AO85,'Технический лист'!$I:$J,2,1)),1+(1-$AU85))</f>
        <v/>
      </c>
      <c r="BJ85" s="172">
        <f>MIN(IF($AU85=100%,1,1+VLOOKUP(($AJ85-$AI85-$AH85-$AG85-$AF85-$AE85*(1+BJ$3))/$AJ85,'Технический лист'!$I:$J,2,1)-VLOOKUP($AO85,'Технический лист'!$I:$J,2,1)),1+(1-$AU85))</f>
        <v/>
      </c>
      <c r="BK85" s="172">
        <f>MIN(IF($AU85=100%,1,1+VLOOKUP(($AJ85-$AI85-$AH85-$AG85-$AF85-$AE85*(1+BK$3))/$AJ85,'Технический лист'!$I:$J,2,1)-VLOOKUP($AO85,'Технический лист'!$I:$J,2,1)),1+(1-$AU85))</f>
        <v/>
      </c>
      <c r="BL85" s="172">
        <f>MIN(IF($AU85=100%,1,1+VLOOKUP(($AJ85-$AI85-$AH85-$AG85-$AF85-$AE85*(1+BL$3))/$AJ85,'Технический лист'!$I:$J,2,1)-VLOOKUP($AO85,'Технический лист'!$I:$J,2,1)),1+(1-$AU85))</f>
        <v/>
      </c>
      <c r="BM85" s="172">
        <f>MIN(IF($AU85=100%,1,1+VLOOKUP(($AJ85-$AI85-$AH85-$AG85-$AF85-$AE85*(1+BM$3))/$AJ85,'Технический лист'!$I:$J,2,1)-VLOOKUP($AO85,'Технический лист'!$I:$J,2,1)),1+(1-$AU85))</f>
        <v/>
      </c>
      <c r="BN85" s="172">
        <f>MIN(IF($AU85=100%,1,1+VLOOKUP(($AJ85-$AI85-$AH85-$AG85-$AF85-$AE85*(1+BN$3))/$AJ85,'Технический лист'!$I:$J,2,1)-VLOOKUP($AO85,'Технический лист'!$I:$J,2,1)),1+(1-$AU85))</f>
        <v/>
      </c>
      <c r="BO85" s="172">
        <f>MIN(IF($AU85=100%,1,1+VLOOKUP(($AJ85-$AI85-$AH85-$AG85-$AF85-$AE85*(1+BO$3))/$AJ85,'Технический лист'!$I:$J,2,1)-VLOOKUP($AO85,'Технический лист'!$I:$J,2,1)),1+(1-$AU85))</f>
        <v/>
      </c>
      <c r="BP85" s="172">
        <f>MIN(IF($AU85=100%,1,1+VLOOKUP(($AJ85-$AI85-$AH85-$AG85-$AF85-$AE85*(1+BP$3))/$AJ85,'Технический лист'!$I:$J,2,1)-VLOOKUP($AO85,'Технический лист'!$I:$J,2,1)),1+(1-$AU85))</f>
        <v/>
      </c>
      <c r="BQ85" s="172">
        <f>MIN(IF($AU85=100%,1,1+VLOOKUP(($AJ85-$AI85-$AH85-$AG85-$AF85-$AE85*(1+BQ$3))/$AJ85,'Технический лист'!$I:$J,2,1)-VLOOKUP($AO85,'Технический лист'!$I:$J,2,1)),1+(1-$AU85))</f>
        <v/>
      </c>
      <c r="BR85" s="172">
        <f>MIN(IF($AU85=100%,1,1+VLOOKUP(($AJ85-$AI85-$AH85-$AG85-$AF85-$AE85*(1+BR$3))/$AJ85,'Технический лист'!$I:$J,2,1)-VLOOKUP($AO85,'Технический лист'!$I:$J,2,1)),1+(1-$AU85))</f>
        <v/>
      </c>
      <c r="BS85" s="172">
        <f>MIN(IF($AU85=100%,1,1+VLOOKUP(($AJ85-$AI85-$AH85-$AG85-$AF85-$AE85*(1+BS$3))/$AJ85,'Технический лист'!$I:$J,2,1)-VLOOKUP($AO85,'Технический лист'!$I:$J,2,1)),1+(1-$AU85))</f>
        <v/>
      </c>
      <c r="BT85" s="172">
        <f>MIN(IF($AU85=100%,1,1+VLOOKUP(($AJ85-$AI85-$AH85-$AG85-$AF85-$AE85*(1+BT$3))/$AJ85,'Технический лист'!$I:$J,2,1)-VLOOKUP($AO85,'Технический лист'!$I:$J,2,1)),1+(1-$AU85))</f>
        <v/>
      </c>
      <c r="BU85" s="172">
        <f>MIN(IF($AU85=100%,1,1+VLOOKUP(($AJ85-$AI85-$AH85-$AG85-$AF85-$AE85*(1+BU$3))/$AJ85,'Технический лист'!$I:$J,2,1)-VLOOKUP($AO85,'Технический лист'!$I:$J,2,1)),1+(1-$AU85))</f>
        <v/>
      </c>
      <c r="BV85" s="172">
        <f>MIN(IF($AU85=100%,1,1+VLOOKUP(($AJ85-$AI85-$AH85-$AG85-$AF85-$AE85*(1+BV$3))/$AJ85,'Технический лист'!$I:$J,2,1)-VLOOKUP($AO85,'Технический лист'!$I:$J,2,1)),1+(1-$AU85))</f>
        <v/>
      </c>
      <c r="BW85" s="172">
        <f>MIN(IF($AU85=100%,1,1+VLOOKUP(($AJ85-$AI85-$AH85-$AG85-$AF85-$AE85*(1+BW$3))/$AJ85,'Технический лист'!$I:$J,2,1)-VLOOKUP($AO85,'Технический лист'!$I:$J,2,1)),1+(1-$AU85))</f>
        <v/>
      </c>
      <c r="BX85" s="172">
        <f>MIN(IF($AU85=100%,1,1+VLOOKUP(($AJ85-$AI85-$AH85-$AG85-$AF85-$AE85*(1+BX$3))/$AJ85,'Технический лист'!$I:$J,2,1)-VLOOKUP($AO85,'Технический лист'!$I:$J,2,1)),1+(1-$AU85))</f>
        <v/>
      </c>
      <c r="BY85" s="172">
        <f>MIN(IF($AU85=100%,1,1+VLOOKUP(($AJ85-$AI85-$AH85-$AG85-$AF85-$AE85*(1+BY$3))/$AJ85,'Технический лист'!$I:$J,2,1)-VLOOKUP($AO85,'Технический лист'!$I:$J,2,1)),1+(1-$AU85))</f>
        <v/>
      </c>
      <c r="BZ85" s="172">
        <f>MIN(IF($AU85=100%,1,1+VLOOKUP(($AJ85-$AI85-$AH85-$AG85-$AF85-$AE85*(1+BZ$3))/$AJ85,'Технический лист'!$I:$J,2,1)-VLOOKUP($AO85,'Технический лист'!$I:$J,2,1)),1+(1-$AU85))</f>
        <v/>
      </c>
      <c r="CA85" s="172">
        <f>MIN(IF($AU85=100%,1,1+VLOOKUP(($AJ85-$AI85-$AH85-$AG85-$AF85-$AE85*(1+CA$3))/$AJ85,'Технический лист'!$I:$J,2,1)-VLOOKUP($AO85,'Технический лист'!$I:$J,2,1)),1+(1-$AU85))</f>
        <v/>
      </c>
      <c r="CB85" s="172">
        <f>MIN(IF($AU85=100%,1,1+VLOOKUP(($AJ85-$AI85-$AH85-$AG85-$AF85-$AE85*(1+CB$3))/$AJ85,'Технический лист'!$I:$J,2,1)-VLOOKUP($AO85,'Технический лист'!$I:$J,2,1)),1+(1-$AU85))</f>
        <v/>
      </c>
      <c r="CC85" s="172">
        <f>MIN(IF($AU85=100%,1,1+VLOOKUP(($AJ85-$AI85-$AH85-$AG85-$AF85-$AE85*(1+CC$3))/$AJ85,'Технический лист'!$I:$J,2,1)-VLOOKUP($AO85,'Технический лист'!$I:$J,2,1)),1+(1-$AU85))</f>
        <v/>
      </c>
      <c r="CD85" s="172">
        <f>MIN(IF($AU85=100%,1,1+VLOOKUP(($AJ85-$AI85-$AH85-$AG85-$AF85-$AE85*(1+CD$3))/$AJ85,'Технический лист'!$I:$J,2,1)-VLOOKUP($AO85,'Технический лист'!$I:$J,2,1)),1+(1-$AU85))</f>
        <v/>
      </c>
      <c r="CE85" s="172">
        <f>MIN(IF($AU85=100%,1,1+VLOOKUP(($AJ85-$AI85-$AH85-$AG85-$AF85-$AE85*(1+CE$3))/$AJ85,'Технический лист'!$I:$J,2,1)-VLOOKUP($AO85,'Технический лист'!$I:$J,2,1)),1+(1-$AU85))</f>
        <v/>
      </c>
      <c r="CF85" s="172">
        <f>MIN(IF($AU85=100%,1,1+VLOOKUP(($AJ85-$AI85-$AH85-$AG85-$AF85-$AE85*(1+CF$3))/$AJ85,'Технический лист'!$I:$J,2,1)-VLOOKUP($AO85,'Технический лист'!$I:$J,2,1)),1+(1-$AU85))</f>
        <v/>
      </c>
      <c r="CG85" s="172">
        <f>MIN(IF($AU85=100%,1,1+VLOOKUP(($AJ85-$AI85-$AH85-$AG85-$AF85-$AE85*(1+CG$3))/$AJ85,'Технический лист'!$I:$J,2,1)-VLOOKUP($AO85,'Технический лист'!$I:$J,2,1)),1+(1-$AU85))</f>
        <v/>
      </c>
      <c r="CH85" s="172">
        <f>MIN(IF($AU85=100%,1,1+VLOOKUP(($AJ85-$AI85-$AH85-$AG85-$AF85-$AE85*(1+CH$3))/$AJ85,'Технический лист'!$I:$J,2,1)-VLOOKUP($AO85,'Технический лист'!$I:$J,2,1)),1+(1-$AU85))</f>
        <v/>
      </c>
      <c r="CI85" s="172">
        <f>MIN(IF($AU85=100%,1,1+VLOOKUP(($AJ85-$AI85-$AH85-$AG85-$AF85-$AE85*(1+CI$3))/$AJ85,'Технический лист'!$I:$J,2,1)-VLOOKUP($AO85,'Технический лист'!$I:$J,2,1)),1+(1-$AU85))</f>
        <v/>
      </c>
      <c r="CJ85" s="172">
        <f>MIN(IF($AU85=100%,1,1+VLOOKUP(($AJ85-$AI85-$AH85-$AG85-$AF85-$AE85*(1+CJ$3))/$AJ85,'Технический лист'!$I:$J,2,1)-VLOOKUP($AO85,'Технический лист'!$I:$J,2,1)),1+(1-$AU85))</f>
        <v/>
      </c>
      <c r="CK85" s="172">
        <f>MIN(IF($AU85=100%,1,1+VLOOKUP(($AJ85-$AI85-$AH85-$AG85-$AF85-$AE85*(1+CK$3))/$AJ85,'Технический лист'!$I:$J,2,1)-VLOOKUP($AO85,'Технический лист'!$I:$J,2,1)),1+(1-$AU85))</f>
        <v/>
      </c>
      <c r="CL85" s="172">
        <f>MIN(IF($AU85=100%,1,1+VLOOKUP(($AJ85-$AI85-$AH85-$AG85-$AF85-$AE85*(1+CL$3))/$AJ85,'Технический лист'!$I:$J,2,1)-VLOOKUP($AO85,'Технический лист'!$I:$J,2,1)),1+(1-$AU85))</f>
        <v/>
      </c>
      <c r="CM85" s="172">
        <f>MIN(IF($AU85=100%,1,1+VLOOKUP(($AJ85-$AI85-$AH85-$AG85-$AF85-$AE85*(1+CM$3))/$AJ85,'Технический лист'!$I:$J,2,1)-VLOOKUP($AO85,'Технический лист'!$I:$J,2,1)),1+(1-$AU85))</f>
        <v/>
      </c>
      <c r="CN85" s="172">
        <f>MIN(IF($AU85=100%,1,1+VLOOKUP(($AJ85-$AI85-$AH85-$AG85-$AF85-$AE85*(1+CN$3))/$AJ85,'Технический лист'!$I:$J,2,1)-VLOOKUP($AO85,'Технический лист'!$I:$J,2,1)),1+(1-$AU85))</f>
        <v/>
      </c>
      <c r="CO85" s="172">
        <f>MIN(IF($AU85=100%,1,1+VLOOKUP(($AJ85-$AI85-$AH85-$AG85-$AF85-$AE85*(1+CO$3))/$AJ85,'Технический лист'!$I:$J,2,1)-VLOOKUP($AO85,'Технический лист'!$I:$J,2,1)),1+(1-$AU85))</f>
        <v/>
      </c>
      <c r="CP85" s="172">
        <f>MIN(IF($AU85=100%,1,1+VLOOKUP(($AJ85-$AI85-$AH85-$AG85-$AF85-$AE85*(1+CP$3))/$AJ85,'Технический лист'!$I:$J,2,1)-VLOOKUP($AO85,'Технический лист'!$I:$J,2,1)),1+(1-$AU85))</f>
        <v/>
      </c>
      <c r="CQ85" s="172">
        <f>MIN(IF($AU85=100%,1,1+VLOOKUP(($AJ85-$AI85-$AH85-$AG85-$AF85-$AE85*(1+CQ$3))/$AJ85,'Технический лист'!$I:$J,2,1)-VLOOKUP($AO85,'Технический лист'!$I:$J,2,1)),1+(1-$AU85))</f>
        <v/>
      </c>
      <c r="CR85" s="172">
        <f>MIN(IF($AU85=100%,1,1+VLOOKUP(($AJ85-$AI85-$AH85-$AG85-$AF85-$AE85*(1+CR$3))/$AJ85,'Технический лист'!$I:$J,2,1)-VLOOKUP($AO85,'Технический лист'!$I:$J,2,1)),1+(1-$AU85))</f>
        <v/>
      </c>
      <c r="CS85" s="172">
        <f>MIN(IF($AU85=100%,1,1+VLOOKUP(($AJ85-$AI85-$AH85-$AG85-$AF85-$AE85*(1+CS$3))/$AJ85,'Технический лист'!$I:$J,2,1)-VLOOKUP($AO85,'Технический лист'!$I:$J,2,1)),1+(1-$AU85))</f>
        <v/>
      </c>
      <c r="CT85" s="172">
        <f>MIN(IF($AU85=100%,1,1+VLOOKUP(($AJ85-$AI85-$AH85-$AG85-$AF85-$AE85*(1+CT$3))/$AJ85,'Технический лист'!$I:$J,2,1)-VLOOKUP($AO85,'Технический лист'!$I:$J,2,1)),1+(1-$AU85))</f>
        <v/>
      </c>
      <c r="CU85" s="172">
        <f>MIN(IF($AU85=100%,1,1+VLOOKUP(($AJ85-$AI85-$AH85-$AG85-$AF85-$AE85*(1+CU$3))/$AJ85,'Технический лист'!$I:$J,2,1)-VLOOKUP($AO85,'Технический лист'!$I:$J,2,1)),1+(1-$AU85))</f>
        <v/>
      </c>
      <c r="CV85" s="172">
        <f>MIN(IF($AU85=100%,1,1+VLOOKUP(($AJ85-$AI85-$AH85-$AG85-$AF85-$AE85*(1+CV$3))/$AJ85,'Технический лист'!$I:$J,2,1)-VLOOKUP($AO85,'Технический лист'!$I:$J,2,1)),1+(1-$AU85))</f>
        <v/>
      </c>
      <c r="CW85" s="172">
        <f>MIN(IF($AU85=100%,1,1+VLOOKUP(($AJ85-$AI85-$AH85-$AG85-$AF85-$AE85*(1+CW$3))/$AJ85,'Технический лист'!$I:$J,2,1)-VLOOKUP($AO85,'Технический лист'!$I:$J,2,1)),1+(1-$AU85))</f>
        <v/>
      </c>
      <c r="CX85" s="172">
        <f>MIN(IF($AU85=100%,1,1+VLOOKUP(($AJ85-$AI85-$AH85-$AG85-$AF85-$AE85*(1+CX$3))/$AJ85,'Технический лист'!$I:$J,2,1)-VLOOKUP($AO85,'Технический лист'!$I:$J,2,1)),1+(1-$AU85))</f>
        <v/>
      </c>
      <c r="CY85" s="172">
        <f>MIN(IF($AU85=100%,1,1+VLOOKUP(($AJ85-$AI85-$AH85-$AG85-$AF85-$AE85*(1+CY$3))/$AJ85,'Технический лист'!$I:$J,2,1)-VLOOKUP($AO85,'Технический лист'!$I:$J,2,1)),1+(1-$AU85))</f>
        <v/>
      </c>
      <c r="CZ85" s="172">
        <f>MIN(IF($AU85=100%,1,1+VLOOKUP(($AJ85-$AI85-$AH85-$AG85-$AF85-$AE85*(1+CZ$3))/$AJ85,'Технический лист'!$I:$J,2,1)-VLOOKUP($AO85,'Технический лист'!$I:$J,2,1)),1+(1-$AU85))</f>
        <v/>
      </c>
      <c r="DA85" s="172">
        <f>MIN(IF($AU85=100%,1,1+VLOOKUP(($AJ85-$AI85-$AH85-$AG85-$AF85-$AE85*(1+DA$3))/$AJ85,'Технический лист'!$I:$J,2,1)-VLOOKUP($AO85,'Технический лист'!$I:$J,2,1)),1+(1-$AU85))</f>
        <v/>
      </c>
      <c r="DB85" s="172">
        <f>MIN(IF($AU85=100%,1,1+VLOOKUP(($AJ85-$AI85-$AH85-$AG85-$AF85-$AE85*(1+DB$3))/$AJ85,'Технический лист'!$I:$J,2,1)-VLOOKUP($AO85,'Технический лист'!$I:$J,2,1)),1+(1-$AU85))</f>
        <v/>
      </c>
      <c r="DC85" s="172">
        <f>MIN(IF($AU85=100%,1,1+VLOOKUP(($AJ85-$AI85-$AH85-$AG85-$AF85-$AE85*(1+DC$3))/$AJ85,'Технический лист'!$I:$J,2,1)-VLOOKUP($AO85,'Технический лист'!$I:$J,2,1)),1+(1-$AU85))</f>
        <v/>
      </c>
      <c r="DD85" s="172">
        <f>MIN(IF($AU85=100%,1,1+VLOOKUP(($AJ85-$AI85-$AH85-$AG85-$AF85-$AE85*(1+DD$3))/$AJ85,'Технический лист'!$I:$J,2,1)-VLOOKUP($AO85,'Технический лист'!$I:$J,2,1)),1+(1-$AU85))</f>
        <v/>
      </c>
      <c r="DE85" s="172">
        <f>MIN(IF($AU85=100%,1,1+VLOOKUP(($AJ85-$AI85-$AH85-$AG85-$AF85-$AE85*(1+DE$3))/$AJ85,'Технический лист'!$I:$J,2,1)-VLOOKUP($AO85,'Технический лист'!$I:$J,2,1)),1+(1-$AU85))</f>
        <v/>
      </c>
      <c r="DF85" s="172">
        <f>MIN(IF($AU85=100%,1,1+VLOOKUP(($AJ85-$AI85-$AH85-$AG85-$AF85-$AE85*(1+DF$3))/$AJ85,'Технический лист'!$I:$J,2,1)-VLOOKUP($AO85,'Технический лист'!$I:$J,2,1)),1+(1-$AU85))</f>
        <v/>
      </c>
      <c r="DG85" s="172">
        <f>MIN(IF($AU85=100%,1,1+VLOOKUP(($AJ85-$AI85-$AH85-$AG85-$AF85-$AE85*(1+DG$3))/$AJ85,'Технический лист'!$I:$J,2,1)-VLOOKUP($AO85,'Технический лист'!$I:$J,2,1)),1+(1-$AU85))</f>
        <v/>
      </c>
      <c r="DH85" s="172">
        <f>MIN(IF($AU85=100%,1,1+VLOOKUP(($AJ85-$AI85-$AH85-$AG85-$AF85-$AE85*(1+DH$3))/$AJ85,'Технический лист'!$I:$J,2,1)-VLOOKUP($AO85,'Технический лист'!$I:$J,2,1)),1+(1-$AU85))</f>
        <v/>
      </c>
      <c r="DI85" s="172">
        <f>MIN(IF($AU85=100%,1,1+VLOOKUP(($AJ85-$AI85-$AH85-$AG85-$AF85-$AE85*(1+DI$3))/$AJ85,'Технический лист'!$I:$J,2,1)-VLOOKUP($AO85,'Технический лист'!$I:$J,2,1)),1+(1-$AU85))</f>
        <v/>
      </c>
      <c r="DJ85" s="172">
        <f>MIN(IF($AU85=100%,1,1+VLOOKUP(($AJ85-$AI85-$AH85-$AG85-$AF85-$AE85*(1+DJ$3))/$AJ85,'Технический лист'!$I:$J,2,1)-VLOOKUP($AO85,'Технический лист'!$I:$J,2,1)),1+(1-$AU85))</f>
        <v/>
      </c>
      <c r="DK85" s="172">
        <f>MIN(IF($AU85=100%,1,1+VLOOKUP(($AJ85-$AI85-$AH85-$AG85-$AF85-$AE85*(1+DK$3))/$AJ85,'Технический лист'!$I:$J,2,1)-VLOOKUP($AO85,'Технический лист'!$I:$J,2,1)),1+(1-$AU85))</f>
        <v/>
      </c>
      <c r="DL85" s="172">
        <f>MIN(IF($AU85=100%,1,1+VLOOKUP(($AJ85-$AI85-$AH85-$AG85-$AF85-$AE85*(1+DL$3))/$AJ85,'Технический лист'!$I:$J,2,1)-VLOOKUP($AO85,'Технический лист'!$I:$J,2,1)),1+(1-$AU85))</f>
        <v/>
      </c>
      <c r="DM85" s="172">
        <f>MIN(IF($AU85=100%,1,1+VLOOKUP(($AJ85-$AI85-$AH85-$AG85-$AF85-$AE85*(1+DM$3))/$AJ85,'Технический лист'!$I:$J,2,1)-VLOOKUP($AO85,'Технический лист'!$I:$J,2,1)),1+(1-$AU85))</f>
        <v/>
      </c>
      <c r="DN85" s="172">
        <f>MIN(IF($AU85=100%,1,1+VLOOKUP(($AJ85-$AI85-$AH85-$AG85-$AF85-$AE85*(1+DN$3))/$AJ85,'Технический лист'!$I:$J,2,1)-VLOOKUP($AO85,'Технический лист'!$I:$J,2,1)),1+(1-$AU85))</f>
        <v/>
      </c>
      <c r="DO85" s="172">
        <f>MIN(IF($AU85=100%,1,1+VLOOKUP(($AJ85-$AI85-$AH85-$AG85-$AF85-$AE85*(1+DO$3))/$AJ85,'Технический лист'!$I:$J,2,1)-VLOOKUP($AO85,'Технический лист'!$I:$J,2,1)),1+(1-$AU85))</f>
        <v/>
      </c>
      <c r="DP85" s="172">
        <f>MIN(IF($AU85=100%,1,1+VLOOKUP(($AJ85-$AI85-$AH85-$AG85-$AF85-$AE85*(1+DP$3))/$AJ85,'Технический лист'!$I:$J,2,1)-VLOOKUP($AO85,'Технический лист'!$I:$J,2,1)),1+(1-$AU85))</f>
        <v/>
      </c>
      <c r="DQ85" s="172">
        <f>MIN(IF($AU85=100%,1,1+VLOOKUP(($AJ85-$AI85-$AH85-$AG85-$AF85-$AE85*(1+DQ$3))/$AJ85,'Технический лист'!$I:$J,2,1)-VLOOKUP($AO85,'Технический лист'!$I:$J,2,1)),1+(1-$AU85))</f>
        <v/>
      </c>
      <c r="DR85" s="172">
        <f>MIN(IF($AU85=100%,1,1+VLOOKUP(($AJ85-$AI85-$AH85-$AG85-$AF85-$AE85*(1+DR$3))/$AJ85,'Технический лист'!$I:$J,2,1)-VLOOKUP($AO85,'Технический лист'!$I:$J,2,1)),1+(1-$AU85))</f>
        <v/>
      </c>
      <c r="DS85" s="172">
        <f>MIN(IF($AU85=100%,1,1+VLOOKUP(($AJ85-$AI85-$AH85-$AG85-$AF85-$AE85*(1+DS$3))/$AJ85,'Технический лист'!$I:$J,2,1)-VLOOKUP($AO85,'Технический лист'!$I:$J,2,1)),1+(1-$AU85))</f>
        <v/>
      </c>
      <c r="DT85" s="172">
        <f>MIN(IF($AU85=100%,1,1+VLOOKUP(($AJ85-$AI85-$AH85-$AG85-$AF85-$AE85*(1+DT$3))/$AJ85,'Технический лист'!$I:$J,2,1)-VLOOKUP($AO85,'Технический лист'!$I:$J,2,1)),1+(1-$AU85))</f>
        <v/>
      </c>
      <c r="DU85" s="172">
        <f>MIN(IF($AU85=100%,1,1+VLOOKUP(($AJ85-$AI85-$AH85-$AG85-$AF85-$AE85*(1+DU$3))/$AJ85,'Технический лист'!$I:$J,2,1)-VLOOKUP($AO85,'Технический лист'!$I:$J,2,1)),1+(1-$AU85))</f>
        <v/>
      </c>
      <c r="DV85" s="172">
        <f>MIN(IF($AU85=100%,1,1+VLOOKUP(($AJ85-$AI85-$AH85-$AG85-$AF85-$AE85*(1+DV$3))/$AJ85,'Технический лист'!$I:$J,2,1)-VLOOKUP($AO85,'Технический лист'!$I:$J,2,1)),1+(1-$AU85))</f>
        <v/>
      </c>
      <c r="DW85" s="172">
        <f>MIN(IF($AU85=100%,1,1+VLOOKUP(($AJ85-$AI85-$AH85-$AG85-$AF85-$AE85*(1+DW$3))/$AJ85,'Технический лист'!$I:$J,2,1)-VLOOKUP($AO85,'Технический лист'!$I:$J,2,1)),1+(1-$AU85))</f>
        <v/>
      </c>
      <c r="DX85" s="172">
        <f>MIN(IF($AU85=100%,1,1+VLOOKUP(($AJ85-$AI85-$AH85-$AG85-$AF85-$AE85*(1+DX$3))/$AJ85,'Технический лист'!$I:$J,2,1)-VLOOKUP($AO85,'Технический лист'!$I:$J,2,1)),1+(1-$AU85))</f>
        <v/>
      </c>
      <c r="DY85" s="172">
        <f>MIN(IF($AU85=100%,1,1+VLOOKUP(($AJ85-$AI85-$AH85-$AG85-$AF85-$AE85*(1+DY$3))/$AJ85,'Технический лист'!$I:$J,2,1)-VLOOKUP($AO85,'Технический лист'!$I:$J,2,1)),1+(1-$AU85))</f>
        <v/>
      </c>
      <c r="DZ85" s="172">
        <f>MIN(IF($AU85=100%,1,1+VLOOKUP(($AJ85-$AI85-$AH85-$AG85-$AF85-$AE85*(1+DZ$3))/$AJ85,'Технический лист'!$I:$J,2,1)-VLOOKUP($AO85,'Технический лист'!$I:$J,2,1)),1+(1-$AU85))</f>
        <v/>
      </c>
      <c r="EA85" s="172">
        <f>MIN(IF($AU85=100%,1,1+VLOOKUP(($AJ85-$AI85-$AH85-$AG85-$AF85-$AE85*(1+EA$3))/$AJ85,'Технический лист'!$I:$J,2,1)-VLOOKUP($AO85,'Технический лист'!$I:$J,2,1)),1+(1-$AU85))</f>
        <v/>
      </c>
      <c r="EB85" s="172">
        <f>MIN(IF($AU85=100%,1,1+VLOOKUP(($AJ85-$AI85-$AH85-$AG85-$AF85-$AE85*(1+EB$3))/$AJ85,'Технический лист'!$I:$J,2,1)-VLOOKUP($AO85,'Технический лист'!$I:$J,2,1)),1+(1-$AU85))</f>
        <v/>
      </c>
      <c r="EC85" s="172">
        <f>MIN(IF($AU85=100%,1,1+VLOOKUP(($AJ85-$AI85-$AH85-$AG85-$AF85-$AE85*(1+EC$3))/$AJ85,'Технический лист'!$I:$J,2,1)-VLOOKUP($AO85,'Технический лист'!$I:$J,2,1)),1+(1-$AU85))</f>
        <v/>
      </c>
      <c r="ED85" s="172">
        <f>MIN(IF($AU85=100%,1,1+VLOOKUP(($AJ85-$AI85-$AH85-$AG85-$AF85-$AE85*(1+ED$3))/$AJ85,'Технический лист'!$I:$J,2,1)-VLOOKUP($AO85,'Технический лист'!$I:$J,2,1)),1+(1-$AU85))</f>
        <v/>
      </c>
      <c r="EE85" s="172">
        <f>MIN(IF($AU85=100%,1,1+VLOOKUP(($AJ85-$AI85-$AH85-$AG85-$AF85-$AE85*(1+EE$3))/$AJ85,'Технический лист'!$I:$J,2,1)-VLOOKUP($AO85,'Технический лист'!$I:$J,2,1)),1+(1-$AU85))</f>
        <v/>
      </c>
      <c r="EF85" s="172">
        <f>MIN(IF($AU85=100%,1,1+VLOOKUP(($AJ85-$AI85-$AH85-$AG85-$AF85-$AE85*(1+EF$3))/$AJ85,'Технический лист'!$I:$J,2,1)-VLOOKUP($AO85,'Технический лист'!$I:$J,2,1)),1+(1-$AU85))</f>
        <v/>
      </c>
      <c r="EG85" s="172">
        <f>MIN(IF($AU85=100%,1,1+VLOOKUP(($AJ85-$AI85-$AH85-$AG85-$AF85-$AE85*(1+EG$3))/$AJ85,'Технический лист'!$I:$J,2,1)-VLOOKUP($AO85,'Технический лист'!$I:$J,2,1)),1+(1-$AU85))</f>
        <v/>
      </c>
      <c r="EH85" s="172">
        <f>MIN(IF($AU85=100%,1,1+VLOOKUP(($AJ85-$AI85-$AH85-$AG85-$AF85-$AE85*(1+EH$3))/$AJ85,'Технический лист'!$I:$J,2,1)-VLOOKUP($AO85,'Технический лист'!$I:$J,2,1)),1+(1-$AU85))</f>
        <v/>
      </c>
      <c r="EI85" s="172">
        <f>MIN(IF($AU85=100%,1,1+VLOOKUP(($AJ85-$AI85-$AH85-$AG85-$AF85-$AE85*(1+EI$3))/$AJ85,'Технический лист'!$I:$J,2,1)-VLOOKUP($AO85,'Технический лист'!$I:$J,2,1)),1+(1-$AU85))</f>
        <v/>
      </c>
      <c r="EJ85" s="172">
        <f>MIN(IF($AU85=100%,1,1+VLOOKUP(($AJ85-$AI85-$AH85-$AG85-$AF85-$AE85*(1+EJ$3))/$AJ85,'Технический лист'!$I:$J,2,1)-VLOOKUP($AO85,'Технический лист'!$I:$J,2,1)),1+(1-$AU85))</f>
        <v/>
      </c>
      <c r="EK85" s="172">
        <f>MIN(IF($AU85=100%,1,1+VLOOKUP(($AJ85-$AI85-$AH85-$AG85-$AF85-$AE85*(1+EK$3))/$AJ85,'Технический лист'!$I:$J,2,1)-VLOOKUP($AO85,'Технический лист'!$I:$J,2,1)),1+(1-$AU85))</f>
        <v/>
      </c>
      <c r="EL85" s="172">
        <f>MIN(IF($AU85=100%,1,1+VLOOKUP(($AJ85-$AI85-$AH85-$AG85-$AF85-$AE85*(1+EL$3))/$AJ85,'Технический лист'!$I:$J,2,1)-VLOOKUP($AO85,'Технический лист'!$I:$J,2,1)),1+(1-$AU85))</f>
        <v/>
      </c>
      <c r="EM85" s="172">
        <f>MIN(IF($AU85=100%,1,1+VLOOKUP(($AJ85-$AI85-$AH85-$AG85-$AF85-$AE85*(1+EM$3))/$AJ85,'Технический лист'!$I:$J,2,1)-VLOOKUP($AO85,'Технический лист'!$I:$J,2,1)),1+(1-$AU85))</f>
        <v/>
      </c>
      <c r="EN85" s="172">
        <f>MIN(IF($AU85=100%,1,1+VLOOKUP(($AJ85-$AI85-$AH85-$AG85-$AF85-$AE85*(1+EN$3))/$AJ85,'Технический лист'!$I:$J,2,1)-VLOOKUP($AO85,'Технический лист'!$I:$J,2,1)),1+(1-$AU85))</f>
        <v/>
      </c>
      <c r="EO85" s="172">
        <f>MIN(IF($AU85=100%,1,1+VLOOKUP(($AJ85-$AI85-$AH85-$AG85-$AF85-$AE85*(1+EO$3))/$AJ85,'Технический лист'!$I:$J,2,1)-VLOOKUP($AO85,'Технический лист'!$I:$J,2,1)),1+(1-$AU85))</f>
        <v/>
      </c>
      <c r="EP85" s="172">
        <f>MIN(IF($AU85=100%,1,1+VLOOKUP(($AJ85-$AI85-$AH85-$AG85-$AF85-$AE85*(1+EP$3))/$AJ85,'Технический лист'!$I:$J,2,1)-VLOOKUP($AO85,'Технический лист'!$I:$J,2,1)),1+(1-$AU85))</f>
        <v/>
      </c>
      <c r="EQ85" s="172">
        <f>MIN(IF($AU85=100%,1,1+VLOOKUP(($AJ85-$AI85-$AH85-$AG85-$AF85-$AE85*(1+EQ$3))/$AJ85,'Технический лист'!$I:$J,2,1)-VLOOKUP($AO85,'Технический лист'!$I:$J,2,1)),1+(1-$AU85))</f>
        <v/>
      </c>
      <c r="ER85" s="172">
        <f>MIN(IF($AU85=100%,1,1+VLOOKUP(($AJ85-$AI85-$AH85-$AG85-$AF85-$AE85*(1+ER$3))/$AJ85,'Технический лист'!$I:$J,2,1)-VLOOKUP($AO85,'Технический лист'!$I:$J,2,1)),1+(1-$AU85))</f>
        <v/>
      </c>
      <c r="ES85" s="172">
        <f>MIN(IF($AU85=100%,1,1+VLOOKUP(($AJ85-$AI85-$AH85-$AG85-$AF85-$AE85*(1+ES$3))/$AJ85,'Технический лист'!$I:$J,2,1)-VLOOKUP($AO85,'Технический лист'!$I:$J,2,1)),1+(1-$AU85))</f>
        <v/>
      </c>
      <c r="ET85" s="172">
        <f>MIN(IF($AU85=100%,1,1+VLOOKUP(($AJ85-$AI85-$AH85-$AG85-$AF85-$AE85*(1+ET$3))/$AJ85,'Технический лист'!$I:$J,2,1)-VLOOKUP($AO85,'Технический лист'!$I:$J,2,1)),1+(1-$AU85))</f>
        <v/>
      </c>
      <c r="EU85" s="172">
        <f>MIN(IF($AU85=100%,1,1+VLOOKUP(($AJ85-$AI85-$AH85-$AG85-$AF85-$AE85*(1+EU$3))/$AJ85,'Технический лист'!$I:$J,2,1)-VLOOKUP($AO85,'Технический лист'!$I:$J,2,1)),1+(1-$AU85))</f>
        <v/>
      </c>
      <c r="EV85" s="173" t="n">
        <v>1</v>
      </c>
      <c r="EW85" s="172">
        <f>MIN(1,MAX(VLOOKUP(($AJ85-$AI85-$AH85-$AG85-$AF85-$AE85*(1+EW$3))/$AJ85,'Технический лист'!$A:$B,2,1),(EV85-0.05)))</f>
        <v/>
      </c>
      <c r="EX85" s="172">
        <f>MIN(1,MAX(VLOOKUP(($AJ85-$AI85-$AH85-$AG85-$AF85-$AE85*(1+EX$3))/$AJ85,'Технический лист'!$A:$B,2,1),(EW85-0.05)))</f>
        <v/>
      </c>
      <c r="EY85" s="172">
        <f>MIN(1,MAX(VLOOKUP(($AJ85-$AI85-$AH85-$AG85-$AF85-$AE85*(1+EY$3))/$AJ85,'Технический лист'!$A:$B,2,1),(EX85-0.05)))</f>
        <v/>
      </c>
      <c r="EZ85" s="172">
        <f>MIN(1,MAX(VLOOKUP(($AJ85-$AI85-$AH85-$AG85-$AF85-$AE85*(1+EZ$3))/$AJ85,'Технический лист'!$A:$B,2,1),(EY85-0.05)))</f>
        <v/>
      </c>
      <c r="FA85" s="172">
        <f>MIN(1,MAX(VLOOKUP(($AJ85-$AI85-$AH85-$AG85-$AF85-$AE85*(1+FA$3))/$AJ85,'Технический лист'!$A:$B,2,1),(EZ85-0.05)))</f>
        <v/>
      </c>
      <c r="FB85" s="172">
        <f>MIN(1,MAX(VLOOKUP(($AJ85-$AI85-$AH85-$AG85-$AF85-$AE85*(1+FB$3))/$AJ85,'Технический лист'!$A:$B,2,1),(FA85-0.05)))</f>
        <v/>
      </c>
      <c r="FC85" s="172">
        <f>MIN(1,MAX(VLOOKUP(($AJ85-$AI85-$AH85-$AG85-$AF85-$AE85*(1+FC$3))/$AJ85,'Технический лист'!$A:$B,2,1),(FB85-0.05)))</f>
        <v/>
      </c>
      <c r="FD85" s="172">
        <f>MIN(1,MAX(VLOOKUP(($AJ85-$AI85-$AH85-$AG85-$AF85-$AE85*(1+FD$3))/$AJ85,'Технический лист'!$A:$B,2,1),(FC85-0.05)))</f>
        <v/>
      </c>
      <c r="FE85" s="172">
        <f>MIN(1,MAX(VLOOKUP(($AJ85-$AI85-$AH85-$AG85-$AF85-$AE85*(1+FE$3))/$AJ85,'Технический лист'!$A:$B,2,1),(FD85-0.05)))</f>
        <v/>
      </c>
      <c r="FF85" s="172">
        <f>MIN(1,MAX(VLOOKUP(($AJ85-$AI85-$AH85-$AG85-$AF85-$AE85*(1+FF$3))/$AJ85,'Технический лист'!$A:$B,2,1),(FE85-0.05)))</f>
        <v/>
      </c>
      <c r="FG85" s="172">
        <f>MIN(1,MAX(VLOOKUP(($AJ85-$AI85-$AH85-$AG85-$AF85-$AE85*(1+FG$3))/$AJ85,'Технический лист'!$A:$B,2,1),(FF85-0.05)))</f>
        <v/>
      </c>
      <c r="FH85" s="172">
        <f>MIN(1,MAX(VLOOKUP(($AJ85-$AI85-$AH85-$AG85-$AF85-$AE85*(1+FH$3))/$AJ85,'Технический лист'!$A:$B,2,1),(FG85-0.05)))</f>
        <v/>
      </c>
      <c r="FI85" s="172">
        <f>MIN(1,MAX(VLOOKUP(($AJ85-$AI85-$AH85-$AG85-$AF85-$AE85*(1+FI$3))/$AJ85,'Технический лист'!$A:$B,2,1),(FH85-0.05)))</f>
        <v/>
      </c>
      <c r="FJ85" s="172">
        <f>MIN(1,MAX(VLOOKUP(($AJ85-$AI85-$AH85-$AG85-$AF85-$AE85*(1+FJ$3))/$AJ85,'Технический лист'!$A:$B,2,1),(FI85-0.05)))</f>
        <v/>
      </c>
      <c r="FK85" s="172">
        <f>MIN(1,MAX(VLOOKUP(($AJ85-$AI85-$AH85-$AG85-$AF85-$AE85*(1+FK$3))/$AJ85,'Технический лист'!$A:$B,2,1),(FJ85-0.05)))</f>
        <v/>
      </c>
      <c r="FL85" s="172">
        <f>MIN(1,MAX(VLOOKUP(($AJ85-$AI85-$AH85-$AG85-$AF85-$AE85*(1+FL$3))/$AJ85,'Технический лист'!$A:$B,2,1),(FK85-0.05)))</f>
        <v/>
      </c>
      <c r="FM85" s="172">
        <f>MIN(1,MAX(VLOOKUP(($AJ85-$AI85-$AH85-$AG85-$AF85-$AE85*(1+FM$3))/$AJ85,'Технический лист'!$A:$B,2,1),(FL85-0.05)))</f>
        <v/>
      </c>
      <c r="FN85" s="172">
        <f>MIN(1,MAX(VLOOKUP(($AJ85-$AI85-$AH85-$AG85-$AF85-$AE85*(1+FN$3))/$AJ85,'Технический лист'!$A:$B,2,1),(FM85-0.05)))</f>
        <v/>
      </c>
      <c r="FO85" s="172">
        <f>MIN(1,MAX(VLOOKUP(($AJ85-$AI85-$AH85-$AG85-$AF85-$AE85*(1+FO$3))/$AJ85,'Технический лист'!$A:$B,2,1),(FN85-0.05)))</f>
        <v/>
      </c>
      <c r="FP85" s="172">
        <f>MIN(1,MAX(VLOOKUP(($AJ85-$AI85-$AH85-$AG85-$AF85-$AE85*(1+FP$3))/$AJ85,'Технический лист'!$A:$B,2,1),(FO85-0.05)))</f>
        <v/>
      </c>
      <c r="FQ85" s="172">
        <f>MIN(1,MAX(VLOOKUP(($AJ85-$AI85-$AH85-$AG85-$AF85-$AE85*(1+FQ$3))/$AJ85,'Технический лист'!$A:$B,2,1),(FP85-0.05)))</f>
        <v/>
      </c>
      <c r="FR85" s="172">
        <f>MIN(1,MAX(VLOOKUP(($AJ85-$AI85-$AH85-$AG85-$AF85-$AE85*(1+FR$3))/$AJ85,'Технический лист'!$A:$B,2,1),(FQ85-0.05)))</f>
        <v/>
      </c>
      <c r="FS85" s="172">
        <f>MIN(1,MAX(VLOOKUP(($AJ85-$AI85-$AH85-$AG85-$AF85-$AE85*(1+FS$3))/$AJ85,'Технический лист'!$A:$B,2,1),(FR85-0.05)))</f>
        <v/>
      </c>
      <c r="FT85" s="172">
        <f>MIN(1,MAX(VLOOKUP(($AJ85-$AI85-$AH85-$AG85-$AF85-$AE85*(1+FT$3))/$AJ85,'Технический лист'!$A:$B,2,1),(FS85-0.05)))</f>
        <v/>
      </c>
      <c r="FU85" s="172">
        <f>MIN(1,MAX(VLOOKUP(($AJ85-$AI85-$AH85-$AG85-$AF85-$AE85*(1+FU$3))/$AJ85,'Технический лист'!$A:$B,2,1),(FT85-0.05)))</f>
        <v/>
      </c>
      <c r="FV85" s="172">
        <f>MIN(1,MAX(VLOOKUP(($AJ85-$AI85-$AH85-$AG85-$AF85-$AE85*(1+FV$3))/$AJ85,'Технический лист'!$A:$B,2,1),(FU85-0.05)))</f>
        <v/>
      </c>
      <c r="FW85" s="172">
        <f>MIN(1,MAX(VLOOKUP(($AJ85-$AI85-$AH85-$AG85-$AF85-$AE85*(1+FW$3))/$AJ85,'Технический лист'!$A:$B,2,1),(FV85-0.05)))</f>
        <v/>
      </c>
      <c r="FX85" s="172">
        <f>MIN(1,MAX(VLOOKUP(($AJ85-$AI85-$AH85-$AG85-$AF85-$AE85*(1+FX$3))/$AJ85,'Технический лист'!$A:$B,2,1),(FW85-0.05)))</f>
        <v/>
      </c>
      <c r="FY85" s="172">
        <f>MIN(1,MAX(VLOOKUP(($AJ85-$AI85-$AH85-$AG85-$AF85-$AE85*(1+FY$3))/$AJ85,'Технический лист'!$A:$B,2,1),(FX85-0.05)))</f>
        <v/>
      </c>
      <c r="FZ85" s="172">
        <f>MIN(1,MAX(VLOOKUP(($AJ85-$AI85-$AH85-$AG85-$AF85-$AE85*(1+FZ$3))/$AJ85,'Технический лист'!$A:$B,2,1),(FY85-0.05)))</f>
        <v/>
      </c>
      <c r="GA85" s="172">
        <f>MIN(1,MAX(VLOOKUP(($AJ85-$AI85-$AH85-$AG85-$AF85-$AE85*(1+GA$3))/$AJ85,'Технический лист'!$A:$B,2,1),(FZ85-0.05)))</f>
        <v/>
      </c>
      <c r="GB85" s="172">
        <f>MIN(1,MAX(VLOOKUP(($AJ85-$AI85-$AH85-$AG85-$AF85-$AE85*(1+GB$3))/$AJ85,'Технический лист'!$A:$B,2,1),(GA85-0.05)))</f>
        <v/>
      </c>
      <c r="GC85" s="172">
        <f>MIN(1,MAX(VLOOKUP(($AJ85-$AI85-$AH85-$AG85-$AF85-$AE85*(1+GC$3))/$AJ85,'Технический лист'!$A:$B,2,1),(GB85-0.05)))</f>
        <v/>
      </c>
      <c r="GD85" s="172">
        <f>MIN(1,MAX(VLOOKUP(($AJ85-$AI85-$AH85-$AG85-$AF85-$AE85*(1+GD$3))/$AJ85,'Технический лист'!$A:$B,2,1),(GC85-0.05)))</f>
        <v/>
      </c>
      <c r="GE85" s="172">
        <f>MIN(1,MAX(VLOOKUP(($AJ85-$AI85-$AH85-$AG85-$AF85-$AE85*(1+GE$3))/$AJ85,'Технический лист'!$A:$B,2,1),(GD85-0.05)))</f>
        <v/>
      </c>
      <c r="GF85" s="172">
        <f>MIN(1,MAX(VLOOKUP(($AJ85-$AI85-$AH85-$AG85-$AF85-$AE85*(1+GF$3))/$AJ85,'Технический лист'!$A:$B,2,1),(GE85-0.05)))</f>
        <v/>
      </c>
      <c r="GG85" s="172">
        <f>MIN(1,MAX(VLOOKUP(($AJ85-$AI85-$AH85-$AG85-$AF85-$AE85*(1+GG$3))/$AJ85,'Технический лист'!$A:$B,2,1),(GF85-0.05)))</f>
        <v/>
      </c>
      <c r="GH85" s="172">
        <f>MIN(1,MAX(VLOOKUP(($AJ85-$AI85-$AH85-$AG85-$AF85-$AE85*(1+GH$3))/$AJ85,'Технический лист'!$A:$B,2,1),(GG85-0.05)))</f>
        <v/>
      </c>
      <c r="GI85" s="172">
        <f>MIN(1,MAX(VLOOKUP(($AJ85-$AI85-$AH85-$AG85-$AF85-$AE85*(1+GI$3))/$AJ85,'Технический лист'!$A:$B,2,1),(GH85-0.05)))</f>
        <v/>
      </c>
      <c r="GJ85" s="172">
        <f>MIN(1,MAX(VLOOKUP(($AJ85-$AI85-$AH85-$AG85-$AF85-$AE85*(1+GJ$3))/$AJ85,'Технический лист'!$A:$B,2,1),(GI85-0.05)))</f>
        <v/>
      </c>
      <c r="GK85" s="172">
        <f>MIN(1,MAX(VLOOKUP(($AJ85-$AI85-$AH85-$AG85-$AF85-$AE85*(1+GK$3))/$AJ85,'Технический лист'!$A:$B,2,1),(GJ85-0.05)))</f>
        <v/>
      </c>
      <c r="GL85" s="172">
        <f>MIN(1,MAX(VLOOKUP(($AJ85-$AI85-$AH85-$AG85-$AF85-$AE85*(1+GL$3))/$AJ85,'Технический лист'!$A:$B,2,1),(GK85-0.05)))</f>
        <v/>
      </c>
      <c r="GM85" s="172">
        <f>MIN(1,MAX(VLOOKUP(($AJ85-$AI85-$AH85-$AG85-$AF85-$AE85*(1+GM$3))/$AJ85,'Технический лист'!$A:$B,2,1),(GL85-0.05)))</f>
        <v/>
      </c>
      <c r="GN85" s="172">
        <f>MIN(1,MAX(VLOOKUP(($AJ85-$AI85-$AH85-$AG85-$AF85-$AE85*(1+GN$3))/$AJ85,'Технический лист'!$A:$B,2,1),(GM85-0.05)))</f>
        <v/>
      </c>
      <c r="GO85" s="172">
        <f>MIN(1,MAX(VLOOKUP(($AJ85-$AI85-$AH85-$AG85-$AF85-$AE85*(1+GO$3))/$AJ85,'Технический лист'!$A:$B,2,1),(GN85-0.05)))</f>
        <v/>
      </c>
      <c r="GP85" s="172">
        <f>MIN(1,MAX(VLOOKUP(($AJ85-$AI85-$AH85-$AG85-$AF85-$AE85*(1+GP$3))/$AJ85,'Технический лист'!$A:$B,2,1),(GO85-0.05)))</f>
        <v/>
      </c>
      <c r="GQ85" s="172">
        <f>MIN(1,MAX(VLOOKUP(($AJ85-$AI85-$AH85-$AG85-$AF85-$AE85*(1+GQ$3))/$AJ85,'Технический лист'!$A:$B,2,1),(GP85-0.05)))</f>
        <v/>
      </c>
      <c r="GR85" s="172">
        <f>MIN(1,MAX(VLOOKUP(($AJ85-$AI85-$AH85-$AG85-$AF85-$AE85*(1+GR$3))/$AJ85,'Технический лист'!$A:$B,2,1),(GQ85-0.05)))</f>
        <v/>
      </c>
      <c r="GS85" s="172">
        <f>MIN(1,MAX(VLOOKUP(($AJ85-$AI85-$AH85-$AG85-$AF85-$AE85*(1+GS$3))/$AJ85,'Технический лист'!$A:$B,2,1),(GR85-0.05)))</f>
        <v/>
      </c>
      <c r="GT85" s="172">
        <f>MIN(1,MAX(VLOOKUP(($AJ85-$AI85-$AH85-$AG85-$AF85-$AE85*(1+GT$3))/$AJ85,'Технический лист'!$A:$B,2,1),(GS85-0.05)))</f>
        <v/>
      </c>
      <c r="GU85" s="172">
        <f>MIN(1,MAX(VLOOKUP(($AJ85-$AI85-$AH85-$AG85-$AF85-$AE85*(1+GU$3))/$AJ85,'Технический лист'!$A:$B,2,1),(GT85-0.05)))</f>
        <v/>
      </c>
      <c r="GV85" s="172">
        <f>MIN(1,MAX(VLOOKUP(($AJ85-$AI85-$AH85-$AG85-$AF85-$AE85*(1+GV$3))/$AJ85,'Технический лист'!$A:$B,2,1),(GU85-0.05)))</f>
        <v/>
      </c>
      <c r="GW85" s="172">
        <f>MIN(1,MAX(VLOOKUP(($AJ85-$AI85-$AH85-$AG85-$AF85-$AE85*(1+GW$3))/$AJ85,'Технический лист'!$A:$B,2,1),(GV85-0.05)))</f>
        <v/>
      </c>
      <c r="GX85" s="172">
        <f>MIN(1,MAX(VLOOKUP(($AJ85-$AI85-$AH85-$AG85-$AF85-$AE85*(1+GX$3))/$AJ85,'Технический лист'!$A:$B,2,1),(GW85-0.05)))</f>
        <v/>
      </c>
      <c r="GY85" s="172">
        <f>MIN(1,MAX(VLOOKUP(($AJ85-$AI85-$AH85-$AG85-$AF85-$AE85*(1+GY$3))/$AJ85,'Технический лист'!$A:$B,2,1),(GX85-0.05)))</f>
        <v/>
      </c>
      <c r="GZ85" s="172">
        <f>MIN(1,MAX(VLOOKUP(($AJ85-$AI85-$AH85-$AG85-$AF85-$AE85*(1+GZ$3))/$AJ85,'Технический лист'!$A:$B,2,1),(GY85-0.05)))</f>
        <v/>
      </c>
      <c r="HA85" s="172">
        <f>MIN(1,MAX(VLOOKUP(($AJ85-$AI85-$AH85-$AG85-$AF85-$AE85*(1+HA$3))/$AJ85,'Технический лист'!$A:$B,2,1),(GZ85-0.05)))</f>
        <v/>
      </c>
      <c r="HB85" s="172">
        <f>MIN(1,MAX(VLOOKUP(($AJ85-$AI85-$AH85-$AG85-$AF85-$AE85*(1+HB$3))/$AJ85,'Технический лист'!$A:$B,2,1),(HA85-0.05)))</f>
        <v/>
      </c>
      <c r="HC85" s="172">
        <f>MIN(1,MAX(VLOOKUP(($AJ85-$AI85-$AH85-$AG85-$AF85-$AE85*(1+HC$3))/$AJ85,'Технический лист'!$A:$B,2,1),(HB85-0.05)))</f>
        <v/>
      </c>
      <c r="HD85" s="172">
        <f>MIN(1,MAX(VLOOKUP(($AJ85-$AI85-$AH85-$AG85-$AF85-$AE85*(1+HD$3))/$AJ85,'Технический лист'!$A:$B,2,1),(HC85-0.05)))</f>
        <v/>
      </c>
      <c r="HE85" s="172">
        <f>MIN(1,MAX(VLOOKUP(($AJ85-$AI85-$AH85-$AG85-$AF85-$AE85*(1+HE$3))/$AJ85,'Технический лист'!$A:$B,2,1),(HD85-0.05)))</f>
        <v/>
      </c>
      <c r="HF85" s="172">
        <f>MIN(1,MAX(VLOOKUP(($AJ85-$AI85-$AH85-$AG85-$AF85-$AE85*(1+HF$3))/$AJ85,'Технический лист'!$A:$B,2,1),(HE85-0.05)))</f>
        <v/>
      </c>
      <c r="HG85" s="172">
        <f>MIN(1,MAX(VLOOKUP(($AJ85-$AI85-$AH85-$AG85-$AF85-$AE85*(1+HG$3))/$AJ85,'Технический лист'!$A:$B,2,1),(HF85-0.05)))</f>
        <v/>
      </c>
      <c r="HH85" s="172">
        <f>MIN(1,MAX(VLOOKUP(($AJ85-$AI85-$AH85-$AG85-$AF85-$AE85*(1+HH$3))/$AJ85,'Технический лист'!$A:$B,2,1),(HG85-0.05)))</f>
        <v/>
      </c>
      <c r="HI85" s="172">
        <f>MIN(1,MAX(VLOOKUP(($AJ85-$AI85-$AH85-$AG85-$AF85-$AE85*(1+HI$3))/$AJ85,'Технический лист'!$A:$B,2,1),(HH85-0.05)))</f>
        <v/>
      </c>
      <c r="HJ85" s="172">
        <f>MIN(1,MAX(VLOOKUP(($AJ85-$AI85-$AH85-$AG85-$AF85-$AE85*(1+HJ$3))/$AJ85,'Технический лист'!$A:$B,2,1),(HI85-0.05)))</f>
        <v/>
      </c>
      <c r="HK85" s="172">
        <f>MIN(1,MAX(VLOOKUP(($AJ85-$AI85-$AH85-$AG85-$AF85-$AE85*(1+HK$3))/$AJ85,'Технический лист'!$A:$B,2,1),(HJ85-0.05)))</f>
        <v/>
      </c>
      <c r="HL85" s="172">
        <f>MIN(1,MAX(VLOOKUP(($AJ85-$AI85-$AH85-$AG85-$AF85-$AE85*(1+HL$3))/$AJ85,'Технический лист'!$A:$B,2,1),(HK85-0.05)))</f>
        <v/>
      </c>
      <c r="HM85" s="172">
        <f>MIN(1,MAX(VLOOKUP(($AJ85-$AI85-$AH85-$AG85-$AF85-$AE85*(1+HM$3))/$AJ85,'Технический лист'!$A:$B,2,1),(HL85-0.05)))</f>
        <v/>
      </c>
      <c r="HN85" s="172">
        <f>MIN(1,MAX(VLOOKUP(($AJ85-$AI85-$AH85-$AG85-$AF85-$AE85*(1+HN$3))/$AJ85,'Технический лист'!$A:$B,2,1),(HM85-0.05)))</f>
        <v/>
      </c>
      <c r="HO85" s="172">
        <f>MIN(1,MAX(VLOOKUP(($AJ85-$AI85-$AH85-$AG85-$AF85-$AE85*(1+HO$3))/$AJ85,'Технический лист'!$A:$B,2,1),(HN85-0.05)))</f>
        <v/>
      </c>
      <c r="HP85" s="172">
        <f>MIN(1,MAX(VLOOKUP(($AJ85-$AI85-$AH85-$AG85-$AF85-$AE85*(1+HP$3))/$AJ85,'Технический лист'!$A:$B,2,1),(HO85-0.05)))</f>
        <v/>
      </c>
      <c r="HQ85" s="172">
        <f>MIN(1,MAX(VLOOKUP(($AJ85-$AI85-$AH85-$AG85-$AF85-$AE85*(1+HQ$3))/$AJ85,'Технический лист'!$A:$B,2,1),(HP85-0.05)))</f>
        <v/>
      </c>
      <c r="HR85" s="172">
        <f>MIN(1,MAX(VLOOKUP(($AJ85-$AI85-$AH85-$AG85-$AF85-$AE85*(1+HR$3))/$AJ85,'Технический лист'!$A:$B,2,1),(HQ85-0.05)))</f>
        <v/>
      </c>
      <c r="HS85" s="172">
        <f>MIN(1,MAX(VLOOKUP(($AJ85-$AI85-$AH85-$AG85-$AF85-$AE85*(1+HS$3))/$AJ85,'Технический лист'!$A:$B,2,1),(HR85-0.05)))</f>
        <v/>
      </c>
      <c r="HT85" s="172">
        <f>MIN(1,MAX(VLOOKUP(($AJ85-$AI85-$AH85-$AG85-$AF85-$AE85*(1+HT$3))/$AJ85,'Технический лист'!$A:$B,2,1),(HS85-0.05)))</f>
        <v/>
      </c>
      <c r="HU85" s="172">
        <f>MIN(1,MAX(VLOOKUP(($AJ85-$AI85-$AH85-$AG85-$AF85-$AE85*(1+HU$3))/$AJ85,'Технический лист'!$A:$B,2,1),(HT85-0.05)))</f>
        <v/>
      </c>
      <c r="HV85" s="172">
        <f>MIN(1,MAX(VLOOKUP(($AJ85-$AI85-$AH85-$AG85-$AF85-$AE85*(1+HV$3))/$AJ85,'Технический лист'!$A:$B,2,1),(HU85-0.05)))</f>
        <v/>
      </c>
      <c r="HW85" s="172">
        <f>MIN(1,MAX(VLOOKUP(($AJ85-$AI85-$AH85-$AG85-$AF85-$AE85*(1+HW$3))/$AJ85,'Технический лист'!$A:$B,2,1),(HV85-0.05)))</f>
        <v/>
      </c>
      <c r="HX85" s="172">
        <f>MIN(1,MAX(VLOOKUP(($AJ85-$AI85-$AH85-$AG85-$AF85-$AE85*(1+HX$3))/$AJ85,'Технический лист'!$A:$B,2,1),(HW85-0.05)))</f>
        <v/>
      </c>
      <c r="HY85" s="172">
        <f>MIN(1,MAX(VLOOKUP(($AJ85-$AI85-$AH85-$AG85-$AF85-$AE85*(1+HY$3))/$AJ85,'Технический лист'!$A:$B,2,1),(HX85-0.05)))</f>
        <v/>
      </c>
      <c r="HZ85" s="172">
        <f>MIN(1,MAX(VLOOKUP(($AJ85-$AI85-$AH85-$AG85-$AF85-$AE85*(1+HZ$3))/$AJ85,'Технический лист'!$A:$B,2,1),(HY85-0.05)))</f>
        <v/>
      </c>
      <c r="IA85" s="172">
        <f>MIN(1,MAX(VLOOKUP(($AJ85-$AI85-$AH85-$AG85-$AF85-$AE85*(1+IA$3))/$AJ85,'Технический лист'!$A:$B,2,1),(HZ85-0.05)))</f>
        <v/>
      </c>
      <c r="IB85" s="172">
        <f>MIN(1,MAX(VLOOKUP(($AJ85-$AI85-$AH85-$AG85-$AF85-$AE85*(1+IB$3))/$AJ85,'Технический лист'!$A:$B,2,1),(IA85-0.05)))</f>
        <v/>
      </c>
      <c r="IC85" s="172">
        <f>MIN(1,MAX(VLOOKUP(($AJ85-$AI85-$AH85-$AG85-$AF85-$AE85*(1+IC$3))/$AJ85,'Технический лист'!$A:$B,2,1),(IB85-0.05)))</f>
        <v/>
      </c>
      <c r="ID85" s="172">
        <f>MIN(1,MAX(VLOOKUP(($AJ85-$AI85-$AH85-$AG85-$AF85-$AE85*(1+ID$3))/$AJ85,'Технический лист'!$A:$B,2,1),(IC85-0.05)))</f>
        <v/>
      </c>
      <c r="IE85" s="172">
        <f>MIN(1,MAX(VLOOKUP(($AJ85-$AI85-$AH85-$AG85-$AF85-$AE85*(1+IE$3))/$AJ85,'Технический лист'!$A:$B,2,1),(ID85-0.05)))</f>
        <v/>
      </c>
      <c r="IF85" s="172">
        <f>MIN(1,MAX(VLOOKUP(($AJ85-$AI85-$AH85-$AG85-$AF85-$AE85*(1+IF$3))/$AJ85,'Технический лист'!$A:$B,2,1),(IE85-0.05)))</f>
        <v/>
      </c>
      <c r="IG85" s="172">
        <f>MIN(1,MAX(VLOOKUP(($AJ85-$AI85-$AH85-$AG85-$AF85-$AE85*(1+IG$3))/$AJ85,'Технический лист'!$A:$B,2,1),(IF85-0.05)))</f>
        <v/>
      </c>
      <c r="IH85" s="172">
        <f>MIN(1,MAX(VLOOKUP(($AJ85-$AI85-$AH85-$AG85-$AF85-$AE85*(1+IH$3))/$AJ85,'Технический лист'!$A:$B,2,1),(IG85-0.05)))</f>
        <v/>
      </c>
      <c r="II85" s="172">
        <f>MIN(1,MAX(VLOOKUP(($AJ85-$AI85-$AH85-$AG85-$AF85-$AE85*(1+II$3))/$AJ85,'Технический лист'!$A:$B,2,1),(IH85-0.05)))</f>
        <v/>
      </c>
      <c r="IJ85" s="172">
        <f>MIN(1,MAX(VLOOKUP(($AJ85-$AI85-$AH85-$AG85-$AF85-$AE85*(1+IJ$3))/$AJ85,'Технический лист'!$A:$B,2,1),(II85-0.05)))</f>
        <v/>
      </c>
      <c r="IK85" s="172">
        <f>MIN(1,MAX(VLOOKUP(($AJ85-$AI85-$AH85-$AG85-$AF85-$AE85*(1+IK$3))/$AJ85,'Технический лист'!$A:$B,2,1),(IJ85-0.05)))</f>
        <v/>
      </c>
      <c r="IL85" s="172">
        <f>MIN(1,MAX(VLOOKUP(($AJ85-$AI85-$AH85-$AG85-$AF85-$AE85*(1+IL$3))/$AJ85,'Технический лист'!$A:$B,2,1),(IK85-0.05)))</f>
        <v/>
      </c>
      <c r="IM85" s="172">
        <f>MIN(1,MAX(VLOOKUP(($AJ85-$AI85-$AH85-$AG85-$AF85-$AE85*(1+IM$3))/$AJ85,'Технический лист'!$A:$B,2,1),(IL85-0.05)))</f>
        <v/>
      </c>
      <c r="IN85" s="172">
        <f>MIN(1,MAX(VLOOKUP(($AJ85-$AI85-$AH85-$AG85-$AF85-$AE85*(1+IN$3))/$AJ85,'Технический лист'!$A:$B,2,1),(IM85-0.05)))</f>
        <v/>
      </c>
      <c r="IO85" s="172">
        <f>MIN(1,MAX(VLOOKUP(($AJ85-$AI85-$AH85-$AG85-$AF85-$AE85*(1+IO$3))/$AJ85,'Технический лист'!$A:$B,2,1),(IN85-0.05)))</f>
        <v/>
      </c>
      <c r="IP85" s="172">
        <f>MIN(1,MAX(VLOOKUP(($AJ85-$AI85-$AH85-$AG85-$AF85-$AE85*(1+IP$3))/$AJ85,'Технический лист'!$A:$B,2,1),(IO85-0.05)))</f>
        <v/>
      </c>
      <c r="IQ85" s="172">
        <f>MIN(1,MAX(VLOOKUP(($AJ85-$AI85-$AH85-$AG85-$AF85-$AE85*(1+IQ$3))/$AJ85,'Технический лист'!$A:$B,2,1),(IP85-0.05)))</f>
        <v/>
      </c>
      <c r="IR85" s="172">
        <f>MIN(1,MAX(VLOOKUP(($AJ85-$AI85-$AH85-$AG85-$AF85-$AE85*(1+IR$3))/$AJ85,'Технический лист'!$A:$B,2,1),(IQ85-0.05)))</f>
        <v/>
      </c>
    </row>
    <row r="86" ht="43.75" customHeight="1" s="123">
      <c r="A86" s="89" t="inlineStr">
        <is>
          <t>ЧМ (продукция)</t>
        </is>
      </c>
      <c r="B86" s="90" t="n">
        <v>5</v>
      </c>
      <c r="C86" s="5" t="inlineStr">
        <is>
          <t>Черные металлы</t>
        </is>
      </c>
      <c r="D86" s="91" t="n">
        <v>31405</v>
      </c>
      <c r="E86" s="91" t="inlineStr">
        <is>
          <t xml:space="preserve">Заготовка стальная, не поименованная в алфавите </t>
        </is>
      </c>
      <c r="F86" s="92" t="inlineStr">
        <is>
          <t>ЗАГОТОВКИ СТАЛЬНЫЕ</t>
        </is>
      </c>
      <c r="G86" s="91" t="inlineStr">
        <is>
          <t>СВР</t>
        </is>
      </c>
      <c r="H86" s="91" t="inlineStr">
        <is>
          <t>СКВ</t>
        </is>
      </c>
      <c r="I86" s="91" t="inlineStr">
        <is>
          <t>СМЫЧКА</t>
        </is>
      </c>
      <c r="J86" s="91" t="inlineStr">
        <is>
          <t>ТУАПСЕ-СОР-Э</t>
        </is>
      </c>
      <c r="K86" s="91" t="n">
        <v>3220</v>
      </c>
      <c r="L86" s="91" t="inlineStr">
        <is>
          <t>Полувагоны</t>
        </is>
      </c>
      <c r="M86" s="91" t="inlineStr">
        <is>
          <t>Экспорт</t>
        </is>
      </c>
      <c r="N86" s="91" t="inlineStr">
        <is>
          <t>вагонная</t>
        </is>
      </c>
      <c r="O86" s="91" t="inlineStr">
        <is>
          <t xml:space="preserve">Южное </t>
        </is>
      </c>
      <c r="P86" s="89" t="inlineStr">
        <is>
          <t>'000080294056</t>
        </is>
      </c>
      <c r="Q86" s="91" t="inlineStr">
        <is>
          <t>ООО "ЕвразХолдинг"</t>
        </is>
      </c>
      <c r="R86" s="91" t="inlineStr">
        <is>
          <t>ООО "ЕвразХолдинг"</t>
        </is>
      </c>
      <c r="S86" s="87" t="n">
        <v>154692</v>
      </c>
      <c r="T86" s="87" t="n">
        <v>498065807</v>
      </c>
      <c r="U86" s="88" t="n">
        <v>2225</v>
      </c>
      <c r="V86" s="88" t="n">
        <v>0</v>
      </c>
      <c r="W86" s="87" t="n">
        <v>721376516</v>
      </c>
      <c r="X86" s="112" t="n">
        <v>69</v>
      </c>
      <c r="Y86" s="112" t="inlineStr">
        <is>
          <t>маршрутная</t>
        </is>
      </c>
      <c r="Z86" s="113" t="n">
        <v>8</v>
      </c>
      <c r="AA86" s="113" t="n">
        <v>8</v>
      </c>
      <c r="AB86" s="113" t="n">
        <v>4</v>
      </c>
      <c r="AC86" s="161" t="n">
        <v>5160.46</v>
      </c>
      <c r="AD86" s="161">
        <f>AE86-AC86</f>
        <v/>
      </c>
      <c r="AE86" s="161" t="n">
        <v>5909.91</v>
      </c>
      <c r="AF86" s="162">
        <f>(Z86+AA86+AB86)*'Ставки аренды'!$B$3/X86</f>
        <v/>
      </c>
      <c r="AG86" s="163">
        <f>'Ставки перевалки'!$B$9*'Курсы валют'!$B$2</f>
        <v/>
      </c>
      <c r="AH86" s="164" t="n">
        <v>0</v>
      </c>
      <c r="AI86" s="165">
        <f>0.71*AJ86</f>
        <v/>
      </c>
      <c r="AJ86" s="166">
        <f>Цены!$C$5*'Курсы валют'!$B$2</f>
        <v/>
      </c>
      <c r="AK86" s="164">
        <f>AJ86/Цены!$B$1</f>
        <v/>
      </c>
      <c r="AL86" s="164">
        <f>AE86+AF86+AG86</f>
        <v/>
      </c>
      <c r="AM86" s="164">
        <f>AJ86-AL86</f>
        <v/>
      </c>
      <c r="AN86" s="164">
        <f>AI86+AH86+AG86+AF86+AE86</f>
        <v/>
      </c>
      <c r="AO86" s="167">
        <f>(AJ86-AN86)/AJ86</f>
        <v/>
      </c>
      <c r="AP86" s="168">
        <f>AL86/AJ86</f>
        <v/>
      </c>
      <c r="AQ86" s="168">
        <f>AE86/AJ86</f>
        <v/>
      </c>
      <c r="AR86" s="168">
        <f>AE86/AL86</f>
        <v/>
      </c>
      <c r="AS86" s="169" t="n">
        <v>1</v>
      </c>
      <c r="AT86" s="121">
        <f>S86*AS86</f>
        <v/>
      </c>
      <c r="AU86" s="83" t="n">
        <v>0.75</v>
      </c>
      <c r="AV86" s="170">
        <f>(AJ86-(AE86*(1+$IS$2)+AF86+AG86+AH86+AI86))/AJ86</f>
        <v/>
      </c>
      <c r="AW86" s="171">
        <f>(AE86*(1+$IS$2)+AF86+AG86)/AJ86</f>
        <v/>
      </c>
      <c r="AX86" s="171">
        <f>(AE86*(1+$IS$2))/AJ86</f>
        <v/>
      </c>
      <c r="AY86" s="171">
        <f>(AE86*(1+$IS$2))/(AE86*(1+$IS$2)+AF86+AG86)</f>
        <v/>
      </c>
      <c r="AZ86" s="172">
        <f>MIN(IF($AU86=100%,1,1+VLOOKUP(($AJ86-$AI86-$AH86-$AG86-$AF86-$AE86*(1+AZ$3))/$AJ86,'Технический лист'!$I:$J,2,1)-VLOOKUP($AO86,'Технический лист'!$I:$J,2,1)),1+(1-$AU86))</f>
        <v/>
      </c>
      <c r="BA86" s="172">
        <f>MIN(IF($AU86=100%,1,1+VLOOKUP(($AJ86-$AI86-$AH86-$AG86-$AF86-$AE86*(1+BA$3))/$AJ86,'Технический лист'!$I:$J,2,1)-VLOOKUP($AO86,'Технический лист'!$I:$J,2,1)),1+(1-$AU86))</f>
        <v/>
      </c>
      <c r="BB86" s="172">
        <f>MIN(IF($AU86=100%,1,1+VLOOKUP(($AJ86-$AI86-$AH86-$AG86-$AF86-$AE86*(1+BB$3))/$AJ86,'Технический лист'!$I:$J,2,1)-VLOOKUP($AO86,'Технический лист'!$I:$J,2,1)),1+(1-$AU86))</f>
        <v/>
      </c>
      <c r="BC86" s="172">
        <f>MIN(IF($AU86=100%,1,1+VLOOKUP(($AJ86-$AI86-$AH86-$AG86-$AF86-$AE86*(1+BC$3))/$AJ86,'Технический лист'!$I:$J,2,1)-VLOOKUP($AO86,'Технический лист'!$I:$J,2,1)),1+(1-$AU86))</f>
        <v/>
      </c>
      <c r="BD86" s="172">
        <f>MIN(IF($AU86=100%,1,1+VLOOKUP(($AJ86-$AI86-$AH86-$AG86-$AF86-$AE86*(1+BD$3))/$AJ86,'Технический лист'!$I:$J,2,1)-VLOOKUP($AO86,'Технический лист'!$I:$J,2,1)),1+(1-$AU86))</f>
        <v/>
      </c>
      <c r="BE86" s="172">
        <f>MIN(IF($AU86=100%,1,1+VLOOKUP(($AJ86-$AI86-$AH86-$AG86-$AF86-$AE86*(1+BE$3))/$AJ86,'Технический лист'!$I:$J,2,1)-VLOOKUP($AO86,'Технический лист'!$I:$J,2,1)),1+(1-$AU86))</f>
        <v/>
      </c>
      <c r="BF86" s="172">
        <f>MIN(IF($AU86=100%,1,1+VLOOKUP(($AJ86-$AI86-$AH86-$AG86-$AF86-$AE86*(1+BF$3))/$AJ86,'Технический лист'!$I:$J,2,1)-VLOOKUP($AO86,'Технический лист'!$I:$J,2,1)),1+(1-$AU86))</f>
        <v/>
      </c>
      <c r="BG86" s="172">
        <f>MIN(IF($AU86=100%,1,1+VLOOKUP(($AJ86-$AI86-$AH86-$AG86-$AF86-$AE86*(1+BG$3))/$AJ86,'Технический лист'!$I:$J,2,1)-VLOOKUP($AO86,'Технический лист'!$I:$J,2,1)),1+(1-$AU86))</f>
        <v/>
      </c>
      <c r="BH86" s="172">
        <f>MIN(IF($AU86=100%,1,1+VLOOKUP(($AJ86-$AI86-$AH86-$AG86-$AF86-$AE86*(1+BH$3))/$AJ86,'Технический лист'!$I:$J,2,1)-VLOOKUP($AO86,'Технический лист'!$I:$J,2,1)),1+(1-$AU86))</f>
        <v/>
      </c>
      <c r="BI86" s="172">
        <f>MIN(IF($AU86=100%,1,1+VLOOKUP(($AJ86-$AI86-$AH86-$AG86-$AF86-$AE86*(1+BI$3))/$AJ86,'Технический лист'!$I:$J,2,1)-VLOOKUP($AO86,'Технический лист'!$I:$J,2,1)),1+(1-$AU86))</f>
        <v/>
      </c>
      <c r="BJ86" s="172">
        <f>MIN(IF($AU86=100%,1,1+VLOOKUP(($AJ86-$AI86-$AH86-$AG86-$AF86-$AE86*(1+BJ$3))/$AJ86,'Технический лист'!$I:$J,2,1)-VLOOKUP($AO86,'Технический лист'!$I:$J,2,1)),1+(1-$AU86))</f>
        <v/>
      </c>
      <c r="BK86" s="172">
        <f>MIN(IF($AU86=100%,1,1+VLOOKUP(($AJ86-$AI86-$AH86-$AG86-$AF86-$AE86*(1+BK$3))/$AJ86,'Технический лист'!$I:$J,2,1)-VLOOKUP($AO86,'Технический лист'!$I:$J,2,1)),1+(1-$AU86))</f>
        <v/>
      </c>
      <c r="BL86" s="172">
        <f>MIN(IF($AU86=100%,1,1+VLOOKUP(($AJ86-$AI86-$AH86-$AG86-$AF86-$AE86*(1+BL$3))/$AJ86,'Технический лист'!$I:$J,2,1)-VLOOKUP($AO86,'Технический лист'!$I:$J,2,1)),1+(1-$AU86))</f>
        <v/>
      </c>
      <c r="BM86" s="172">
        <f>MIN(IF($AU86=100%,1,1+VLOOKUP(($AJ86-$AI86-$AH86-$AG86-$AF86-$AE86*(1+BM$3))/$AJ86,'Технический лист'!$I:$J,2,1)-VLOOKUP($AO86,'Технический лист'!$I:$J,2,1)),1+(1-$AU86))</f>
        <v/>
      </c>
      <c r="BN86" s="172">
        <f>MIN(IF($AU86=100%,1,1+VLOOKUP(($AJ86-$AI86-$AH86-$AG86-$AF86-$AE86*(1+BN$3))/$AJ86,'Технический лист'!$I:$J,2,1)-VLOOKUP($AO86,'Технический лист'!$I:$J,2,1)),1+(1-$AU86))</f>
        <v/>
      </c>
      <c r="BO86" s="172">
        <f>MIN(IF($AU86=100%,1,1+VLOOKUP(($AJ86-$AI86-$AH86-$AG86-$AF86-$AE86*(1+BO$3))/$AJ86,'Технический лист'!$I:$J,2,1)-VLOOKUP($AO86,'Технический лист'!$I:$J,2,1)),1+(1-$AU86))</f>
        <v/>
      </c>
      <c r="BP86" s="172">
        <f>MIN(IF($AU86=100%,1,1+VLOOKUP(($AJ86-$AI86-$AH86-$AG86-$AF86-$AE86*(1+BP$3))/$AJ86,'Технический лист'!$I:$J,2,1)-VLOOKUP($AO86,'Технический лист'!$I:$J,2,1)),1+(1-$AU86))</f>
        <v/>
      </c>
      <c r="BQ86" s="172">
        <f>MIN(IF($AU86=100%,1,1+VLOOKUP(($AJ86-$AI86-$AH86-$AG86-$AF86-$AE86*(1+BQ$3))/$AJ86,'Технический лист'!$I:$J,2,1)-VLOOKUP($AO86,'Технический лист'!$I:$J,2,1)),1+(1-$AU86))</f>
        <v/>
      </c>
      <c r="BR86" s="172">
        <f>MIN(IF($AU86=100%,1,1+VLOOKUP(($AJ86-$AI86-$AH86-$AG86-$AF86-$AE86*(1+BR$3))/$AJ86,'Технический лист'!$I:$J,2,1)-VLOOKUP($AO86,'Технический лист'!$I:$J,2,1)),1+(1-$AU86))</f>
        <v/>
      </c>
      <c r="BS86" s="172">
        <f>MIN(IF($AU86=100%,1,1+VLOOKUP(($AJ86-$AI86-$AH86-$AG86-$AF86-$AE86*(1+BS$3))/$AJ86,'Технический лист'!$I:$J,2,1)-VLOOKUP($AO86,'Технический лист'!$I:$J,2,1)),1+(1-$AU86))</f>
        <v/>
      </c>
      <c r="BT86" s="172">
        <f>MIN(IF($AU86=100%,1,1+VLOOKUP(($AJ86-$AI86-$AH86-$AG86-$AF86-$AE86*(1+BT$3))/$AJ86,'Технический лист'!$I:$J,2,1)-VLOOKUP($AO86,'Технический лист'!$I:$J,2,1)),1+(1-$AU86))</f>
        <v/>
      </c>
      <c r="BU86" s="172">
        <f>MIN(IF($AU86=100%,1,1+VLOOKUP(($AJ86-$AI86-$AH86-$AG86-$AF86-$AE86*(1+BU$3))/$AJ86,'Технический лист'!$I:$J,2,1)-VLOOKUP($AO86,'Технический лист'!$I:$J,2,1)),1+(1-$AU86))</f>
        <v/>
      </c>
      <c r="BV86" s="172">
        <f>MIN(IF($AU86=100%,1,1+VLOOKUP(($AJ86-$AI86-$AH86-$AG86-$AF86-$AE86*(1+BV$3))/$AJ86,'Технический лист'!$I:$J,2,1)-VLOOKUP($AO86,'Технический лист'!$I:$J,2,1)),1+(1-$AU86))</f>
        <v/>
      </c>
      <c r="BW86" s="172">
        <f>MIN(IF($AU86=100%,1,1+VLOOKUP(($AJ86-$AI86-$AH86-$AG86-$AF86-$AE86*(1+BW$3))/$AJ86,'Технический лист'!$I:$J,2,1)-VLOOKUP($AO86,'Технический лист'!$I:$J,2,1)),1+(1-$AU86))</f>
        <v/>
      </c>
      <c r="BX86" s="172">
        <f>MIN(IF($AU86=100%,1,1+VLOOKUP(($AJ86-$AI86-$AH86-$AG86-$AF86-$AE86*(1+BX$3))/$AJ86,'Технический лист'!$I:$J,2,1)-VLOOKUP($AO86,'Технический лист'!$I:$J,2,1)),1+(1-$AU86))</f>
        <v/>
      </c>
      <c r="BY86" s="172">
        <f>MIN(IF($AU86=100%,1,1+VLOOKUP(($AJ86-$AI86-$AH86-$AG86-$AF86-$AE86*(1+BY$3))/$AJ86,'Технический лист'!$I:$J,2,1)-VLOOKUP($AO86,'Технический лист'!$I:$J,2,1)),1+(1-$AU86))</f>
        <v/>
      </c>
      <c r="BZ86" s="172">
        <f>MIN(IF($AU86=100%,1,1+VLOOKUP(($AJ86-$AI86-$AH86-$AG86-$AF86-$AE86*(1+BZ$3))/$AJ86,'Технический лист'!$I:$J,2,1)-VLOOKUP($AO86,'Технический лист'!$I:$J,2,1)),1+(1-$AU86))</f>
        <v/>
      </c>
      <c r="CA86" s="172">
        <f>MIN(IF($AU86=100%,1,1+VLOOKUP(($AJ86-$AI86-$AH86-$AG86-$AF86-$AE86*(1+CA$3))/$AJ86,'Технический лист'!$I:$J,2,1)-VLOOKUP($AO86,'Технический лист'!$I:$J,2,1)),1+(1-$AU86))</f>
        <v/>
      </c>
      <c r="CB86" s="172">
        <f>MIN(IF($AU86=100%,1,1+VLOOKUP(($AJ86-$AI86-$AH86-$AG86-$AF86-$AE86*(1+CB$3))/$AJ86,'Технический лист'!$I:$J,2,1)-VLOOKUP($AO86,'Технический лист'!$I:$J,2,1)),1+(1-$AU86))</f>
        <v/>
      </c>
      <c r="CC86" s="172">
        <f>MIN(IF($AU86=100%,1,1+VLOOKUP(($AJ86-$AI86-$AH86-$AG86-$AF86-$AE86*(1+CC$3))/$AJ86,'Технический лист'!$I:$J,2,1)-VLOOKUP($AO86,'Технический лист'!$I:$J,2,1)),1+(1-$AU86))</f>
        <v/>
      </c>
      <c r="CD86" s="172">
        <f>MIN(IF($AU86=100%,1,1+VLOOKUP(($AJ86-$AI86-$AH86-$AG86-$AF86-$AE86*(1+CD$3))/$AJ86,'Технический лист'!$I:$J,2,1)-VLOOKUP($AO86,'Технический лист'!$I:$J,2,1)),1+(1-$AU86))</f>
        <v/>
      </c>
      <c r="CE86" s="172">
        <f>MIN(IF($AU86=100%,1,1+VLOOKUP(($AJ86-$AI86-$AH86-$AG86-$AF86-$AE86*(1+CE$3))/$AJ86,'Технический лист'!$I:$J,2,1)-VLOOKUP($AO86,'Технический лист'!$I:$J,2,1)),1+(1-$AU86))</f>
        <v/>
      </c>
      <c r="CF86" s="172">
        <f>MIN(IF($AU86=100%,1,1+VLOOKUP(($AJ86-$AI86-$AH86-$AG86-$AF86-$AE86*(1+CF$3))/$AJ86,'Технический лист'!$I:$J,2,1)-VLOOKUP($AO86,'Технический лист'!$I:$J,2,1)),1+(1-$AU86))</f>
        <v/>
      </c>
      <c r="CG86" s="172">
        <f>MIN(IF($AU86=100%,1,1+VLOOKUP(($AJ86-$AI86-$AH86-$AG86-$AF86-$AE86*(1+CG$3))/$AJ86,'Технический лист'!$I:$J,2,1)-VLOOKUP($AO86,'Технический лист'!$I:$J,2,1)),1+(1-$AU86))</f>
        <v/>
      </c>
      <c r="CH86" s="172">
        <f>MIN(IF($AU86=100%,1,1+VLOOKUP(($AJ86-$AI86-$AH86-$AG86-$AF86-$AE86*(1+CH$3))/$AJ86,'Технический лист'!$I:$J,2,1)-VLOOKUP($AO86,'Технический лист'!$I:$J,2,1)),1+(1-$AU86))</f>
        <v/>
      </c>
      <c r="CI86" s="172">
        <f>MIN(IF($AU86=100%,1,1+VLOOKUP(($AJ86-$AI86-$AH86-$AG86-$AF86-$AE86*(1+CI$3))/$AJ86,'Технический лист'!$I:$J,2,1)-VLOOKUP($AO86,'Технический лист'!$I:$J,2,1)),1+(1-$AU86))</f>
        <v/>
      </c>
      <c r="CJ86" s="172">
        <f>MIN(IF($AU86=100%,1,1+VLOOKUP(($AJ86-$AI86-$AH86-$AG86-$AF86-$AE86*(1+CJ$3))/$AJ86,'Технический лист'!$I:$J,2,1)-VLOOKUP($AO86,'Технический лист'!$I:$J,2,1)),1+(1-$AU86))</f>
        <v/>
      </c>
      <c r="CK86" s="172">
        <f>MIN(IF($AU86=100%,1,1+VLOOKUP(($AJ86-$AI86-$AH86-$AG86-$AF86-$AE86*(1+CK$3))/$AJ86,'Технический лист'!$I:$J,2,1)-VLOOKUP($AO86,'Технический лист'!$I:$J,2,1)),1+(1-$AU86))</f>
        <v/>
      </c>
      <c r="CL86" s="172">
        <f>MIN(IF($AU86=100%,1,1+VLOOKUP(($AJ86-$AI86-$AH86-$AG86-$AF86-$AE86*(1+CL$3))/$AJ86,'Технический лист'!$I:$J,2,1)-VLOOKUP($AO86,'Технический лист'!$I:$J,2,1)),1+(1-$AU86))</f>
        <v/>
      </c>
      <c r="CM86" s="172">
        <f>MIN(IF($AU86=100%,1,1+VLOOKUP(($AJ86-$AI86-$AH86-$AG86-$AF86-$AE86*(1+CM$3))/$AJ86,'Технический лист'!$I:$J,2,1)-VLOOKUP($AO86,'Технический лист'!$I:$J,2,1)),1+(1-$AU86))</f>
        <v/>
      </c>
      <c r="CN86" s="172">
        <f>MIN(IF($AU86=100%,1,1+VLOOKUP(($AJ86-$AI86-$AH86-$AG86-$AF86-$AE86*(1+CN$3))/$AJ86,'Технический лист'!$I:$J,2,1)-VLOOKUP($AO86,'Технический лист'!$I:$J,2,1)),1+(1-$AU86))</f>
        <v/>
      </c>
      <c r="CO86" s="172">
        <f>MIN(IF($AU86=100%,1,1+VLOOKUP(($AJ86-$AI86-$AH86-$AG86-$AF86-$AE86*(1+CO$3))/$AJ86,'Технический лист'!$I:$J,2,1)-VLOOKUP($AO86,'Технический лист'!$I:$J,2,1)),1+(1-$AU86))</f>
        <v/>
      </c>
      <c r="CP86" s="172">
        <f>MIN(IF($AU86=100%,1,1+VLOOKUP(($AJ86-$AI86-$AH86-$AG86-$AF86-$AE86*(1+CP$3))/$AJ86,'Технический лист'!$I:$J,2,1)-VLOOKUP($AO86,'Технический лист'!$I:$J,2,1)),1+(1-$AU86))</f>
        <v/>
      </c>
      <c r="CQ86" s="172">
        <f>MIN(IF($AU86=100%,1,1+VLOOKUP(($AJ86-$AI86-$AH86-$AG86-$AF86-$AE86*(1+CQ$3))/$AJ86,'Технический лист'!$I:$J,2,1)-VLOOKUP($AO86,'Технический лист'!$I:$J,2,1)),1+(1-$AU86))</f>
        <v/>
      </c>
      <c r="CR86" s="172">
        <f>MIN(IF($AU86=100%,1,1+VLOOKUP(($AJ86-$AI86-$AH86-$AG86-$AF86-$AE86*(1+CR$3))/$AJ86,'Технический лист'!$I:$J,2,1)-VLOOKUP($AO86,'Технический лист'!$I:$J,2,1)),1+(1-$AU86))</f>
        <v/>
      </c>
      <c r="CS86" s="172">
        <f>MIN(IF($AU86=100%,1,1+VLOOKUP(($AJ86-$AI86-$AH86-$AG86-$AF86-$AE86*(1+CS$3))/$AJ86,'Технический лист'!$I:$J,2,1)-VLOOKUP($AO86,'Технический лист'!$I:$J,2,1)),1+(1-$AU86))</f>
        <v/>
      </c>
      <c r="CT86" s="172">
        <f>MIN(IF($AU86=100%,1,1+VLOOKUP(($AJ86-$AI86-$AH86-$AG86-$AF86-$AE86*(1+CT$3))/$AJ86,'Технический лист'!$I:$J,2,1)-VLOOKUP($AO86,'Технический лист'!$I:$J,2,1)),1+(1-$AU86))</f>
        <v/>
      </c>
      <c r="CU86" s="172">
        <f>MIN(IF($AU86=100%,1,1+VLOOKUP(($AJ86-$AI86-$AH86-$AG86-$AF86-$AE86*(1+CU$3))/$AJ86,'Технический лист'!$I:$J,2,1)-VLOOKUP($AO86,'Технический лист'!$I:$J,2,1)),1+(1-$AU86))</f>
        <v/>
      </c>
      <c r="CV86" s="172">
        <f>MIN(IF($AU86=100%,1,1+VLOOKUP(($AJ86-$AI86-$AH86-$AG86-$AF86-$AE86*(1+CV$3))/$AJ86,'Технический лист'!$I:$J,2,1)-VLOOKUP($AO86,'Технический лист'!$I:$J,2,1)),1+(1-$AU86))</f>
        <v/>
      </c>
      <c r="CW86" s="172">
        <f>MIN(IF($AU86=100%,1,1+VLOOKUP(($AJ86-$AI86-$AH86-$AG86-$AF86-$AE86*(1+CW$3))/$AJ86,'Технический лист'!$I:$J,2,1)-VLOOKUP($AO86,'Технический лист'!$I:$J,2,1)),1+(1-$AU86))</f>
        <v/>
      </c>
      <c r="CX86" s="172">
        <f>MIN(IF($AU86=100%,1,1+VLOOKUP(($AJ86-$AI86-$AH86-$AG86-$AF86-$AE86*(1+CX$3))/$AJ86,'Технический лист'!$I:$J,2,1)-VLOOKUP($AO86,'Технический лист'!$I:$J,2,1)),1+(1-$AU86))</f>
        <v/>
      </c>
      <c r="CY86" s="172">
        <f>MIN(IF($AU86=100%,1,1+VLOOKUP(($AJ86-$AI86-$AH86-$AG86-$AF86-$AE86*(1+CY$3))/$AJ86,'Технический лист'!$I:$J,2,1)-VLOOKUP($AO86,'Технический лист'!$I:$J,2,1)),1+(1-$AU86))</f>
        <v/>
      </c>
      <c r="CZ86" s="172">
        <f>MIN(IF($AU86=100%,1,1+VLOOKUP(($AJ86-$AI86-$AH86-$AG86-$AF86-$AE86*(1+CZ$3))/$AJ86,'Технический лист'!$I:$J,2,1)-VLOOKUP($AO86,'Технический лист'!$I:$J,2,1)),1+(1-$AU86))</f>
        <v/>
      </c>
      <c r="DA86" s="172">
        <f>MIN(IF($AU86=100%,1,1+VLOOKUP(($AJ86-$AI86-$AH86-$AG86-$AF86-$AE86*(1+DA$3))/$AJ86,'Технический лист'!$I:$J,2,1)-VLOOKUP($AO86,'Технический лист'!$I:$J,2,1)),1+(1-$AU86))</f>
        <v/>
      </c>
      <c r="DB86" s="172">
        <f>MIN(IF($AU86=100%,1,1+VLOOKUP(($AJ86-$AI86-$AH86-$AG86-$AF86-$AE86*(1+DB$3))/$AJ86,'Технический лист'!$I:$J,2,1)-VLOOKUP($AO86,'Технический лист'!$I:$J,2,1)),1+(1-$AU86))</f>
        <v/>
      </c>
      <c r="DC86" s="172">
        <f>MIN(IF($AU86=100%,1,1+VLOOKUP(($AJ86-$AI86-$AH86-$AG86-$AF86-$AE86*(1+DC$3))/$AJ86,'Технический лист'!$I:$J,2,1)-VLOOKUP($AO86,'Технический лист'!$I:$J,2,1)),1+(1-$AU86))</f>
        <v/>
      </c>
      <c r="DD86" s="172">
        <f>MIN(IF($AU86=100%,1,1+VLOOKUP(($AJ86-$AI86-$AH86-$AG86-$AF86-$AE86*(1+DD$3))/$AJ86,'Технический лист'!$I:$J,2,1)-VLOOKUP($AO86,'Технический лист'!$I:$J,2,1)),1+(1-$AU86))</f>
        <v/>
      </c>
      <c r="DE86" s="172">
        <f>MIN(IF($AU86=100%,1,1+VLOOKUP(($AJ86-$AI86-$AH86-$AG86-$AF86-$AE86*(1+DE$3))/$AJ86,'Технический лист'!$I:$J,2,1)-VLOOKUP($AO86,'Технический лист'!$I:$J,2,1)),1+(1-$AU86))</f>
        <v/>
      </c>
      <c r="DF86" s="172">
        <f>MIN(IF($AU86=100%,1,1+VLOOKUP(($AJ86-$AI86-$AH86-$AG86-$AF86-$AE86*(1+DF$3))/$AJ86,'Технический лист'!$I:$J,2,1)-VLOOKUP($AO86,'Технический лист'!$I:$J,2,1)),1+(1-$AU86))</f>
        <v/>
      </c>
      <c r="DG86" s="172">
        <f>MIN(IF($AU86=100%,1,1+VLOOKUP(($AJ86-$AI86-$AH86-$AG86-$AF86-$AE86*(1+DG$3))/$AJ86,'Технический лист'!$I:$J,2,1)-VLOOKUP($AO86,'Технический лист'!$I:$J,2,1)),1+(1-$AU86))</f>
        <v/>
      </c>
      <c r="DH86" s="172">
        <f>MIN(IF($AU86=100%,1,1+VLOOKUP(($AJ86-$AI86-$AH86-$AG86-$AF86-$AE86*(1+DH$3))/$AJ86,'Технический лист'!$I:$J,2,1)-VLOOKUP($AO86,'Технический лист'!$I:$J,2,1)),1+(1-$AU86))</f>
        <v/>
      </c>
      <c r="DI86" s="172">
        <f>MIN(IF($AU86=100%,1,1+VLOOKUP(($AJ86-$AI86-$AH86-$AG86-$AF86-$AE86*(1+DI$3))/$AJ86,'Технический лист'!$I:$J,2,1)-VLOOKUP($AO86,'Технический лист'!$I:$J,2,1)),1+(1-$AU86))</f>
        <v/>
      </c>
      <c r="DJ86" s="172">
        <f>MIN(IF($AU86=100%,1,1+VLOOKUP(($AJ86-$AI86-$AH86-$AG86-$AF86-$AE86*(1+DJ$3))/$AJ86,'Технический лист'!$I:$J,2,1)-VLOOKUP($AO86,'Технический лист'!$I:$J,2,1)),1+(1-$AU86))</f>
        <v/>
      </c>
      <c r="DK86" s="172">
        <f>MIN(IF($AU86=100%,1,1+VLOOKUP(($AJ86-$AI86-$AH86-$AG86-$AF86-$AE86*(1+DK$3))/$AJ86,'Технический лист'!$I:$J,2,1)-VLOOKUP($AO86,'Технический лист'!$I:$J,2,1)),1+(1-$AU86))</f>
        <v/>
      </c>
      <c r="DL86" s="172">
        <f>MIN(IF($AU86=100%,1,1+VLOOKUP(($AJ86-$AI86-$AH86-$AG86-$AF86-$AE86*(1+DL$3))/$AJ86,'Технический лист'!$I:$J,2,1)-VLOOKUP($AO86,'Технический лист'!$I:$J,2,1)),1+(1-$AU86))</f>
        <v/>
      </c>
      <c r="DM86" s="172">
        <f>MIN(IF($AU86=100%,1,1+VLOOKUP(($AJ86-$AI86-$AH86-$AG86-$AF86-$AE86*(1+DM$3))/$AJ86,'Технический лист'!$I:$J,2,1)-VLOOKUP($AO86,'Технический лист'!$I:$J,2,1)),1+(1-$AU86))</f>
        <v/>
      </c>
      <c r="DN86" s="172">
        <f>MIN(IF($AU86=100%,1,1+VLOOKUP(($AJ86-$AI86-$AH86-$AG86-$AF86-$AE86*(1+DN$3))/$AJ86,'Технический лист'!$I:$J,2,1)-VLOOKUP($AO86,'Технический лист'!$I:$J,2,1)),1+(1-$AU86))</f>
        <v/>
      </c>
      <c r="DO86" s="172">
        <f>MIN(IF($AU86=100%,1,1+VLOOKUP(($AJ86-$AI86-$AH86-$AG86-$AF86-$AE86*(1+DO$3))/$AJ86,'Технический лист'!$I:$J,2,1)-VLOOKUP($AO86,'Технический лист'!$I:$J,2,1)),1+(1-$AU86))</f>
        <v/>
      </c>
      <c r="DP86" s="172">
        <f>MIN(IF($AU86=100%,1,1+VLOOKUP(($AJ86-$AI86-$AH86-$AG86-$AF86-$AE86*(1+DP$3))/$AJ86,'Технический лист'!$I:$J,2,1)-VLOOKUP($AO86,'Технический лист'!$I:$J,2,1)),1+(1-$AU86))</f>
        <v/>
      </c>
      <c r="DQ86" s="172">
        <f>MIN(IF($AU86=100%,1,1+VLOOKUP(($AJ86-$AI86-$AH86-$AG86-$AF86-$AE86*(1+DQ$3))/$AJ86,'Технический лист'!$I:$J,2,1)-VLOOKUP($AO86,'Технический лист'!$I:$J,2,1)),1+(1-$AU86))</f>
        <v/>
      </c>
      <c r="DR86" s="172">
        <f>MIN(IF($AU86=100%,1,1+VLOOKUP(($AJ86-$AI86-$AH86-$AG86-$AF86-$AE86*(1+DR$3))/$AJ86,'Технический лист'!$I:$J,2,1)-VLOOKUP($AO86,'Технический лист'!$I:$J,2,1)),1+(1-$AU86))</f>
        <v/>
      </c>
      <c r="DS86" s="172">
        <f>MIN(IF($AU86=100%,1,1+VLOOKUP(($AJ86-$AI86-$AH86-$AG86-$AF86-$AE86*(1+DS$3))/$AJ86,'Технический лист'!$I:$J,2,1)-VLOOKUP($AO86,'Технический лист'!$I:$J,2,1)),1+(1-$AU86))</f>
        <v/>
      </c>
      <c r="DT86" s="172">
        <f>MIN(IF($AU86=100%,1,1+VLOOKUP(($AJ86-$AI86-$AH86-$AG86-$AF86-$AE86*(1+DT$3))/$AJ86,'Технический лист'!$I:$J,2,1)-VLOOKUP($AO86,'Технический лист'!$I:$J,2,1)),1+(1-$AU86))</f>
        <v/>
      </c>
      <c r="DU86" s="172">
        <f>MIN(IF($AU86=100%,1,1+VLOOKUP(($AJ86-$AI86-$AH86-$AG86-$AF86-$AE86*(1+DU$3))/$AJ86,'Технический лист'!$I:$J,2,1)-VLOOKUP($AO86,'Технический лист'!$I:$J,2,1)),1+(1-$AU86))</f>
        <v/>
      </c>
      <c r="DV86" s="172">
        <f>MIN(IF($AU86=100%,1,1+VLOOKUP(($AJ86-$AI86-$AH86-$AG86-$AF86-$AE86*(1+DV$3))/$AJ86,'Технический лист'!$I:$J,2,1)-VLOOKUP($AO86,'Технический лист'!$I:$J,2,1)),1+(1-$AU86))</f>
        <v/>
      </c>
      <c r="DW86" s="172">
        <f>MIN(IF($AU86=100%,1,1+VLOOKUP(($AJ86-$AI86-$AH86-$AG86-$AF86-$AE86*(1+DW$3))/$AJ86,'Технический лист'!$I:$J,2,1)-VLOOKUP($AO86,'Технический лист'!$I:$J,2,1)),1+(1-$AU86))</f>
        <v/>
      </c>
      <c r="DX86" s="172">
        <f>MIN(IF($AU86=100%,1,1+VLOOKUP(($AJ86-$AI86-$AH86-$AG86-$AF86-$AE86*(1+DX$3))/$AJ86,'Технический лист'!$I:$J,2,1)-VLOOKUP($AO86,'Технический лист'!$I:$J,2,1)),1+(1-$AU86))</f>
        <v/>
      </c>
      <c r="DY86" s="172">
        <f>MIN(IF($AU86=100%,1,1+VLOOKUP(($AJ86-$AI86-$AH86-$AG86-$AF86-$AE86*(1+DY$3))/$AJ86,'Технический лист'!$I:$J,2,1)-VLOOKUP($AO86,'Технический лист'!$I:$J,2,1)),1+(1-$AU86))</f>
        <v/>
      </c>
      <c r="DZ86" s="172">
        <f>MIN(IF($AU86=100%,1,1+VLOOKUP(($AJ86-$AI86-$AH86-$AG86-$AF86-$AE86*(1+DZ$3))/$AJ86,'Технический лист'!$I:$J,2,1)-VLOOKUP($AO86,'Технический лист'!$I:$J,2,1)),1+(1-$AU86))</f>
        <v/>
      </c>
      <c r="EA86" s="172">
        <f>MIN(IF($AU86=100%,1,1+VLOOKUP(($AJ86-$AI86-$AH86-$AG86-$AF86-$AE86*(1+EA$3))/$AJ86,'Технический лист'!$I:$J,2,1)-VLOOKUP($AO86,'Технический лист'!$I:$J,2,1)),1+(1-$AU86))</f>
        <v/>
      </c>
      <c r="EB86" s="172">
        <f>MIN(IF($AU86=100%,1,1+VLOOKUP(($AJ86-$AI86-$AH86-$AG86-$AF86-$AE86*(1+EB$3))/$AJ86,'Технический лист'!$I:$J,2,1)-VLOOKUP($AO86,'Технический лист'!$I:$J,2,1)),1+(1-$AU86))</f>
        <v/>
      </c>
      <c r="EC86" s="172">
        <f>MIN(IF($AU86=100%,1,1+VLOOKUP(($AJ86-$AI86-$AH86-$AG86-$AF86-$AE86*(1+EC$3))/$AJ86,'Технический лист'!$I:$J,2,1)-VLOOKUP($AO86,'Технический лист'!$I:$J,2,1)),1+(1-$AU86))</f>
        <v/>
      </c>
      <c r="ED86" s="172">
        <f>MIN(IF($AU86=100%,1,1+VLOOKUP(($AJ86-$AI86-$AH86-$AG86-$AF86-$AE86*(1+ED$3))/$AJ86,'Технический лист'!$I:$J,2,1)-VLOOKUP($AO86,'Технический лист'!$I:$J,2,1)),1+(1-$AU86))</f>
        <v/>
      </c>
      <c r="EE86" s="172">
        <f>MIN(IF($AU86=100%,1,1+VLOOKUP(($AJ86-$AI86-$AH86-$AG86-$AF86-$AE86*(1+EE$3))/$AJ86,'Технический лист'!$I:$J,2,1)-VLOOKUP($AO86,'Технический лист'!$I:$J,2,1)),1+(1-$AU86))</f>
        <v/>
      </c>
      <c r="EF86" s="172">
        <f>MIN(IF($AU86=100%,1,1+VLOOKUP(($AJ86-$AI86-$AH86-$AG86-$AF86-$AE86*(1+EF$3))/$AJ86,'Технический лист'!$I:$J,2,1)-VLOOKUP($AO86,'Технический лист'!$I:$J,2,1)),1+(1-$AU86))</f>
        <v/>
      </c>
      <c r="EG86" s="172">
        <f>MIN(IF($AU86=100%,1,1+VLOOKUP(($AJ86-$AI86-$AH86-$AG86-$AF86-$AE86*(1+EG$3))/$AJ86,'Технический лист'!$I:$J,2,1)-VLOOKUP($AO86,'Технический лист'!$I:$J,2,1)),1+(1-$AU86))</f>
        <v/>
      </c>
      <c r="EH86" s="172">
        <f>MIN(IF($AU86=100%,1,1+VLOOKUP(($AJ86-$AI86-$AH86-$AG86-$AF86-$AE86*(1+EH$3))/$AJ86,'Технический лист'!$I:$J,2,1)-VLOOKUP($AO86,'Технический лист'!$I:$J,2,1)),1+(1-$AU86))</f>
        <v/>
      </c>
      <c r="EI86" s="172">
        <f>MIN(IF($AU86=100%,1,1+VLOOKUP(($AJ86-$AI86-$AH86-$AG86-$AF86-$AE86*(1+EI$3))/$AJ86,'Технический лист'!$I:$J,2,1)-VLOOKUP($AO86,'Технический лист'!$I:$J,2,1)),1+(1-$AU86))</f>
        <v/>
      </c>
      <c r="EJ86" s="172">
        <f>MIN(IF($AU86=100%,1,1+VLOOKUP(($AJ86-$AI86-$AH86-$AG86-$AF86-$AE86*(1+EJ$3))/$AJ86,'Технический лист'!$I:$J,2,1)-VLOOKUP($AO86,'Технический лист'!$I:$J,2,1)),1+(1-$AU86))</f>
        <v/>
      </c>
      <c r="EK86" s="172">
        <f>MIN(IF($AU86=100%,1,1+VLOOKUP(($AJ86-$AI86-$AH86-$AG86-$AF86-$AE86*(1+EK$3))/$AJ86,'Технический лист'!$I:$J,2,1)-VLOOKUP($AO86,'Технический лист'!$I:$J,2,1)),1+(1-$AU86))</f>
        <v/>
      </c>
      <c r="EL86" s="172">
        <f>MIN(IF($AU86=100%,1,1+VLOOKUP(($AJ86-$AI86-$AH86-$AG86-$AF86-$AE86*(1+EL$3))/$AJ86,'Технический лист'!$I:$J,2,1)-VLOOKUP($AO86,'Технический лист'!$I:$J,2,1)),1+(1-$AU86))</f>
        <v/>
      </c>
      <c r="EM86" s="172">
        <f>MIN(IF($AU86=100%,1,1+VLOOKUP(($AJ86-$AI86-$AH86-$AG86-$AF86-$AE86*(1+EM$3))/$AJ86,'Технический лист'!$I:$J,2,1)-VLOOKUP($AO86,'Технический лист'!$I:$J,2,1)),1+(1-$AU86))</f>
        <v/>
      </c>
      <c r="EN86" s="172">
        <f>MIN(IF($AU86=100%,1,1+VLOOKUP(($AJ86-$AI86-$AH86-$AG86-$AF86-$AE86*(1+EN$3))/$AJ86,'Технический лист'!$I:$J,2,1)-VLOOKUP($AO86,'Технический лист'!$I:$J,2,1)),1+(1-$AU86))</f>
        <v/>
      </c>
      <c r="EO86" s="172">
        <f>MIN(IF($AU86=100%,1,1+VLOOKUP(($AJ86-$AI86-$AH86-$AG86-$AF86-$AE86*(1+EO$3))/$AJ86,'Технический лист'!$I:$J,2,1)-VLOOKUP($AO86,'Технический лист'!$I:$J,2,1)),1+(1-$AU86))</f>
        <v/>
      </c>
      <c r="EP86" s="172">
        <f>MIN(IF($AU86=100%,1,1+VLOOKUP(($AJ86-$AI86-$AH86-$AG86-$AF86-$AE86*(1+EP$3))/$AJ86,'Технический лист'!$I:$J,2,1)-VLOOKUP($AO86,'Технический лист'!$I:$J,2,1)),1+(1-$AU86))</f>
        <v/>
      </c>
      <c r="EQ86" s="172">
        <f>MIN(IF($AU86=100%,1,1+VLOOKUP(($AJ86-$AI86-$AH86-$AG86-$AF86-$AE86*(1+EQ$3))/$AJ86,'Технический лист'!$I:$J,2,1)-VLOOKUP($AO86,'Технический лист'!$I:$J,2,1)),1+(1-$AU86))</f>
        <v/>
      </c>
      <c r="ER86" s="172">
        <f>MIN(IF($AU86=100%,1,1+VLOOKUP(($AJ86-$AI86-$AH86-$AG86-$AF86-$AE86*(1+ER$3))/$AJ86,'Технический лист'!$I:$J,2,1)-VLOOKUP($AO86,'Технический лист'!$I:$J,2,1)),1+(1-$AU86))</f>
        <v/>
      </c>
      <c r="ES86" s="172">
        <f>MIN(IF($AU86=100%,1,1+VLOOKUP(($AJ86-$AI86-$AH86-$AG86-$AF86-$AE86*(1+ES$3))/$AJ86,'Технический лист'!$I:$J,2,1)-VLOOKUP($AO86,'Технический лист'!$I:$J,2,1)),1+(1-$AU86))</f>
        <v/>
      </c>
      <c r="ET86" s="172">
        <f>MIN(IF($AU86=100%,1,1+VLOOKUP(($AJ86-$AI86-$AH86-$AG86-$AF86-$AE86*(1+ET$3))/$AJ86,'Технический лист'!$I:$J,2,1)-VLOOKUP($AO86,'Технический лист'!$I:$J,2,1)),1+(1-$AU86))</f>
        <v/>
      </c>
      <c r="EU86" s="172">
        <f>MIN(IF($AU86=100%,1,1+VLOOKUP(($AJ86-$AI86-$AH86-$AG86-$AF86-$AE86*(1+EU$3))/$AJ86,'Технический лист'!$I:$J,2,1)-VLOOKUP($AO86,'Технический лист'!$I:$J,2,1)),1+(1-$AU86))</f>
        <v/>
      </c>
      <c r="EV86" s="173" t="n">
        <v>1</v>
      </c>
      <c r="EW86" s="172">
        <f>MIN(1,MAX(VLOOKUP(($AJ86-$AI86-$AH86-$AG86-$AF86-$AE86*(1+EW$3))/$AJ86,'Технический лист'!$A:$B,2,1),(EV86-0.05)))</f>
        <v/>
      </c>
      <c r="EX86" s="172">
        <f>MIN(1,MAX(VLOOKUP(($AJ86-$AI86-$AH86-$AG86-$AF86-$AE86*(1+EX$3))/$AJ86,'Технический лист'!$A:$B,2,1),(EW86-0.05)))</f>
        <v/>
      </c>
      <c r="EY86" s="172">
        <f>MIN(1,MAX(VLOOKUP(($AJ86-$AI86-$AH86-$AG86-$AF86-$AE86*(1+EY$3))/$AJ86,'Технический лист'!$A:$B,2,1),(EX86-0.05)))</f>
        <v/>
      </c>
      <c r="EZ86" s="172">
        <f>MIN(1,MAX(VLOOKUP(($AJ86-$AI86-$AH86-$AG86-$AF86-$AE86*(1+EZ$3))/$AJ86,'Технический лист'!$A:$B,2,1),(EY86-0.05)))</f>
        <v/>
      </c>
      <c r="FA86" s="172">
        <f>MIN(1,MAX(VLOOKUP(($AJ86-$AI86-$AH86-$AG86-$AF86-$AE86*(1+FA$3))/$AJ86,'Технический лист'!$A:$B,2,1),(EZ86-0.05)))</f>
        <v/>
      </c>
      <c r="FB86" s="172">
        <f>MIN(1,MAX(VLOOKUP(($AJ86-$AI86-$AH86-$AG86-$AF86-$AE86*(1+FB$3))/$AJ86,'Технический лист'!$A:$B,2,1),(FA86-0.05)))</f>
        <v/>
      </c>
      <c r="FC86" s="172">
        <f>MIN(1,MAX(VLOOKUP(($AJ86-$AI86-$AH86-$AG86-$AF86-$AE86*(1+FC$3))/$AJ86,'Технический лист'!$A:$B,2,1),(FB86-0.05)))</f>
        <v/>
      </c>
      <c r="FD86" s="172">
        <f>MIN(1,MAX(VLOOKUP(($AJ86-$AI86-$AH86-$AG86-$AF86-$AE86*(1+FD$3))/$AJ86,'Технический лист'!$A:$B,2,1),(FC86-0.05)))</f>
        <v/>
      </c>
      <c r="FE86" s="172">
        <f>MIN(1,MAX(VLOOKUP(($AJ86-$AI86-$AH86-$AG86-$AF86-$AE86*(1+FE$3))/$AJ86,'Технический лист'!$A:$B,2,1),(FD86-0.05)))</f>
        <v/>
      </c>
      <c r="FF86" s="172">
        <f>MIN(1,MAX(VLOOKUP(($AJ86-$AI86-$AH86-$AG86-$AF86-$AE86*(1+FF$3))/$AJ86,'Технический лист'!$A:$B,2,1),(FE86-0.05)))</f>
        <v/>
      </c>
      <c r="FG86" s="172">
        <f>MIN(1,MAX(VLOOKUP(($AJ86-$AI86-$AH86-$AG86-$AF86-$AE86*(1+FG$3))/$AJ86,'Технический лист'!$A:$B,2,1),(FF86-0.05)))</f>
        <v/>
      </c>
      <c r="FH86" s="172">
        <f>MIN(1,MAX(VLOOKUP(($AJ86-$AI86-$AH86-$AG86-$AF86-$AE86*(1+FH$3))/$AJ86,'Технический лист'!$A:$B,2,1),(FG86-0.05)))</f>
        <v/>
      </c>
      <c r="FI86" s="172">
        <f>MIN(1,MAX(VLOOKUP(($AJ86-$AI86-$AH86-$AG86-$AF86-$AE86*(1+FI$3))/$AJ86,'Технический лист'!$A:$B,2,1),(FH86-0.05)))</f>
        <v/>
      </c>
      <c r="FJ86" s="172">
        <f>MIN(1,MAX(VLOOKUP(($AJ86-$AI86-$AH86-$AG86-$AF86-$AE86*(1+FJ$3))/$AJ86,'Технический лист'!$A:$B,2,1),(FI86-0.05)))</f>
        <v/>
      </c>
      <c r="FK86" s="172">
        <f>MIN(1,MAX(VLOOKUP(($AJ86-$AI86-$AH86-$AG86-$AF86-$AE86*(1+FK$3))/$AJ86,'Технический лист'!$A:$B,2,1),(FJ86-0.05)))</f>
        <v/>
      </c>
      <c r="FL86" s="172">
        <f>MIN(1,MAX(VLOOKUP(($AJ86-$AI86-$AH86-$AG86-$AF86-$AE86*(1+FL$3))/$AJ86,'Технический лист'!$A:$B,2,1),(FK86-0.05)))</f>
        <v/>
      </c>
      <c r="FM86" s="172">
        <f>MIN(1,MAX(VLOOKUP(($AJ86-$AI86-$AH86-$AG86-$AF86-$AE86*(1+FM$3))/$AJ86,'Технический лист'!$A:$B,2,1),(FL86-0.05)))</f>
        <v/>
      </c>
      <c r="FN86" s="172">
        <f>MIN(1,MAX(VLOOKUP(($AJ86-$AI86-$AH86-$AG86-$AF86-$AE86*(1+FN$3))/$AJ86,'Технический лист'!$A:$B,2,1),(FM86-0.05)))</f>
        <v/>
      </c>
      <c r="FO86" s="172">
        <f>MIN(1,MAX(VLOOKUP(($AJ86-$AI86-$AH86-$AG86-$AF86-$AE86*(1+FO$3))/$AJ86,'Технический лист'!$A:$B,2,1),(FN86-0.05)))</f>
        <v/>
      </c>
      <c r="FP86" s="172">
        <f>MIN(1,MAX(VLOOKUP(($AJ86-$AI86-$AH86-$AG86-$AF86-$AE86*(1+FP$3))/$AJ86,'Технический лист'!$A:$B,2,1),(FO86-0.05)))</f>
        <v/>
      </c>
      <c r="FQ86" s="172">
        <f>MIN(1,MAX(VLOOKUP(($AJ86-$AI86-$AH86-$AG86-$AF86-$AE86*(1+FQ$3))/$AJ86,'Технический лист'!$A:$B,2,1),(FP86-0.05)))</f>
        <v/>
      </c>
      <c r="FR86" s="172">
        <f>MIN(1,MAX(VLOOKUP(($AJ86-$AI86-$AH86-$AG86-$AF86-$AE86*(1+FR$3))/$AJ86,'Технический лист'!$A:$B,2,1),(FQ86-0.05)))</f>
        <v/>
      </c>
      <c r="FS86" s="172">
        <f>MIN(1,MAX(VLOOKUP(($AJ86-$AI86-$AH86-$AG86-$AF86-$AE86*(1+FS$3))/$AJ86,'Технический лист'!$A:$B,2,1),(FR86-0.05)))</f>
        <v/>
      </c>
      <c r="FT86" s="172">
        <f>MIN(1,MAX(VLOOKUP(($AJ86-$AI86-$AH86-$AG86-$AF86-$AE86*(1+FT$3))/$AJ86,'Технический лист'!$A:$B,2,1),(FS86-0.05)))</f>
        <v/>
      </c>
      <c r="FU86" s="172">
        <f>MIN(1,MAX(VLOOKUP(($AJ86-$AI86-$AH86-$AG86-$AF86-$AE86*(1+FU$3))/$AJ86,'Технический лист'!$A:$B,2,1),(FT86-0.05)))</f>
        <v/>
      </c>
      <c r="FV86" s="172">
        <f>MIN(1,MAX(VLOOKUP(($AJ86-$AI86-$AH86-$AG86-$AF86-$AE86*(1+FV$3))/$AJ86,'Технический лист'!$A:$B,2,1),(FU86-0.05)))</f>
        <v/>
      </c>
      <c r="FW86" s="172">
        <f>MIN(1,MAX(VLOOKUP(($AJ86-$AI86-$AH86-$AG86-$AF86-$AE86*(1+FW$3))/$AJ86,'Технический лист'!$A:$B,2,1),(FV86-0.05)))</f>
        <v/>
      </c>
      <c r="FX86" s="172">
        <f>MIN(1,MAX(VLOOKUP(($AJ86-$AI86-$AH86-$AG86-$AF86-$AE86*(1+FX$3))/$AJ86,'Технический лист'!$A:$B,2,1),(FW86-0.05)))</f>
        <v/>
      </c>
      <c r="FY86" s="172">
        <f>MIN(1,MAX(VLOOKUP(($AJ86-$AI86-$AH86-$AG86-$AF86-$AE86*(1+FY$3))/$AJ86,'Технический лист'!$A:$B,2,1),(FX86-0.05)))</f>
        <v/>
      </c>
      <c r="FZ86" s="172">
        <f>MIN(1,MAX(VLOOKUP(($AJ86-$AI86-$AH86-$AG86-$AF86-$AE86*(1+FZ$3))/$AJ86,'Технический лист'!$A:$B,2,1),(FY86-0.05)))</f>
        <v/>
      </c>
      <c r="GA86" s="172">
        <f>MIN(1,MAX(VLOOKUP(($AJ86-$AI86-$AH86-$AG86-$AF86-$AE86*(1+GA$3))/$AJ86,'Технический лист'!$A:$B,2,1),(FZ86-0.05)))</f>
        <v/>
      </c>
      <c r="GB86" s="172">
        <f>MIN(1,MAX(VLOOKUP(($AJ86-$AI86-$AH86-$AG86-$AF86-$AE86*(1+GB$3))/$AJ86,'Технический лист'!$A:$B,2,1),(GA86-0.05)))</f>
        <v/>
      </c>
      <c r="GC86" s="172">
        <f>MIN(1,MAX(VLOOKUP(($AJ86-$AI86-$AH86-$AG86-$AF86-$AE86*(1+GC$3))/$AJ86,'Технический лист'!$A:$B,2,1),(GB86-0.05)))</f>
        <v/>
      </c>
      <c r="GD86" s="172">
        <f>MIN(1,MAX(VLOOKUP(($AJ86-$AI86-$AH86-$AG86-$AF86-$AE86*(1+GD$3))/$AJ86,'Технический лист'!$A:$B,2,1),(GC86-0.05)))</f>
        <v/>
      </c>
      <c r="GE86" s="172">
        <f>MIN(1,MAX(VLOOKUP(($AJ86-$AI86-$AH86-$AG86-$AF86-$AE86*(1+GE$3))/$AJ86,'Технический лист'!$A:$B,2,1),(GD86-0.05)))</f>
        <v/>
      </c>
      <c r="GF86" s="172">
        <f>MIN(1,MAX(VLOOKUP(($AJ86-$AI86-$AH86-$AG86-$AF86-$AE86*(1+GF$3))/$AJ86,'Технический лист'!$A:$B,2,1),(GE86-0.05)))</f>
        <v/>
      </c>
      <c r="GG86" s="172">
        <f>MIN(1,MAX(VLOOKUP(($AJ86-$AI86-$AH86-$AG86-$AF86-$AE86*(1+GG$3))/$AJ86,'Технический лист'!$A:$B,2,1),(GF86-0.05)))</f>
        <v/>
      </c>
      <c r="GH86" s="172">
        <f>MIN(1,MAX(VLOOKUP(($AJ86-$AI86-$AH86-$AG86-$AF86-$AE86*(1+GH$3))/$AJ86,'Технический лист'!$A:$B,2,1),(GG86-0.05)))</f>
        <v/>
      </c>
      <c r="GI86" s="172">
        <f>MIN(1,MAX(VLOOKUP(($AJ86-$AI86-$AH86-$AG86-$AF86-$AE86*(1+GI$3))/$AJ86,'Технический лист'!$A:$B,2,1),(GH86-0.05)))</f>
        <v/>
      </c>
      <c r="GJ86" s="172">
        <f>MIN(1,MAX(VLOOKUP(($AJ86-$AI86-$AH86-$AG86-$AF86-$AE86*(1+GJ$3))/$AJ86,'Технический лист'!$A:$B,2,1),(GI86-0.05)))</f>
        <v/>
      </c>
      <c r="GK86" s="172">
        <f>MIN(1,MAX(VLOOKUP(($AJ86-$AI86-$AH86-$AG86-$AF86-$AE86*(1+GK$3))/$AJ86,'Технический лист'!$A:$B,2,1),(GJ86-0.05)))</f>
        <v/>
      </c>
      <c r="GL86" s="172">
        <f>MIN(1,MAX(VLOOKUP(($AJ86-$AI86-$AH86-$AG86-$AF86-$AE86*(1+GL$3))/$AJ86,'Технический лист'!$A:$B,2,1),(GK86-0.05)))</f>
        <v/>
      </c>
      <c r="GM86" s="172">
        <f>MIN(1,MAX(VLOOKUP(($AJ86-$AI86-$AH86-$AG86-$AF86-$AE86*(1+GM$3))/$AJ86,'Технический лист'!$A:$B,2,1),(GL86-0.05)))</f>
        <v/>
      </c>
      <c r="GN86" s="172">
        <f>MIN(1,MAX(VLOOKUP(($AJ86-$AI86-$AH86-$AG86-$AF86-$AE86*(1+GN$3))/$AJ86,'Технический лист'!$A:$B,2,1),(GM86-0.05)))</f>
        <v/>
      </c>
      <c r="GO86" s="172">
        <f>MIN(1,MAX(VLOOKUP(($AJ86-$AI86-$AH86-$AG86-$AF86-$AE86*(1+GO$3))/$AJ86,'Технический лист'!$A:$B,2,1),(GN86-0.05)))</f>
        <v/>
      </c>
      <c r="GP86" s="172">
        <f>MIN(1,MAX(VLOOKUP(($AJ86-$AI86-$AH86-$AG86-$AF86-$AE86*(1+GP$3))/$AJ86,'Технический лист'!$A:$B,2,1),(GO86-0.05)))</f>
        <v/>
      </c>
      <c r="GQ86" s="172">
        <f>MIN(1,MAX(VLOOKUP(($AJ86-$AI86-$AH86-$AG86-$AF86-$AE86*(1+GQ$3))/$AJ86,'Технический лист'!$A:$B,2,1),(GP86-0.05)))</f>
        <v/>
      </c>
      <c r="GR86" s="172">
        <f>MIN(1,MAX(VLOOKUP(($AJ86-$AI86-$AH86-$AG86-$AF86-$AE86*(1+GR$3))/$AJ86,'Технический лист'!$A:$B,2,1),(GQ86-0.05)))</f>
        <v/>
      </c>
      <c r="GS86" s="172">
        <f>MIN(1,MAX(VLOOKUP(($AJ86-$AI86-$AH86-$AG86-$AF86-$AE86*(1+GS$3))/$AJ86,'Технический лист'!$A:$B,2,1),(GR86-0.05)))</f>
        <v/>
      </c>
      <c r="GT86" s="172">
        <f>MIN(1,MAX(VLOOKUP(($AJ86-$AI86-$AH86-$AG86-$AF86-$AE86*(1+GT$3))/$AJ86,'Технический лист'!$A:$B,2,1),(GS86-0.05)))</f>
        <v/>
      </c>
      <c r="GU86" s="172">
        <f>MIN(1,MAX(VLOOKUP(($AJ86-$AI86-$AH86-$AG86-$AF86-$AE86*(1+GU$3))/$AJ86,'Технический лист'!$A:$B,2,1),(GT86-0.05)))</f>
        <v/>
      </c>
      <c r="GV86" s="172">
        <f>MIN(1,MAX(VLOOKUP(($AJ86-$AI86-$AH86-$AG86-$AF86-$AE86*(1+GV$3))/$AJ86,'Технический лист'!$A:$B,2,1),(GU86-0.05)))</f>
        <v/>
      </c>
      <c r="GW86" s="172">
        <f>MIN(1,MAX(VLOOKUP(($AJ86-$AI86-$AH86-$AG86-$AF86-$AE86*(1+GW$3))/$AJ86,'Технический лист'!$A:$B,2,1),(GV86-0.05)))</f>
        <v/>
      </c>
      <c r="GX86" s="172">
        <f>MIN(1,MAX(VLOOKUP(($AJ86-$AI86-$AH86-$AG86-$AF86-$AE86*(1+GX$3))/$AJ86,'Технический лист'!$A:$B,2,1),(GW86-0.05)))</f>
        <v/>
      </c>
      <c r="GY86" s="172">
        <f>MIN(1,MAX(VLOOKUP(($AJ86-$AI86-$AH86-$AG86-$AF86-$AE86*(1+GY$3))/$AJ86,'Технический лист'!$A:$B,2,1),(GX86-0.05)))</f>
        <v/>
      </c>
      <c r="GZ86" s="172">
        <f>MIN(1,MAX(VLOOKUP(($AJ86-$AI86-$AH86-$AG86-$AF86-$AE86*(1+GZ$3))/$AJ86,'Технический лист'!$A:$B,2,1),(GY86-0.05)))</f>
        <v/>
      </c>
      <c r="HA86" s="172">
        <f>MIN(1,MAX(VLOOKUP(($AJ86-$AI86-$AH86-$AG86-$AF86-$AE86*(1+HA$3))/$AJ86,'Технический лист'!$A:$B,2,1),(GZ86-0.05)))</f>
        <v/>
      </c>
      <c r="HB86" s="172">
        <f>MIN(1,MAX(VLOOKUP(($AJ86-$AI86-$AH86-$AG86-$AF86-$AE86*(1+HB$3))/$AJ86,'Технический лист'!$A:$B,2,1),(HA86-0.05)))</f>
        <v/>
      </c>
      <c r="HC86" s="172">
        <f>MIN(1,MAX(VLOOKUP(($AJ86-$AI86-$AH86-$AG86-$AF86-$AE86*(1+HC$3))/$AJ86,'Технический лист'!$A:$B,2,1),(HB86-0.05)))</f>
        <v/>
      </c>
      <c r="HD86" s="172">
        <f>MIN(1,MAX(VLOOKUP(($AJ86-$AI86-$AH86-$AG86-$AF86-$AE86*(1+HD$3))/$AJ86,'Технический лист'!$A:$B,2,1),(HC86-0.05)))</f>
        <v/>
      </c>
      <c r="HE86" s="172">
        <f>MIN(1,MAX(VLOOKUP(($AJ86-$AI86-$AH86-$AG86-$AF86-$AE86*(1+HE$3))/$AJ86,'Технический лист'!$A:$B,2,1),(HD86-0.05)))</f>
        <v/>
      </c>
      <c r="HF86" s="172">
        <f>MIN(1,MAX(VLOOKUP(($AJ86-$AI86-$AH86-$AG86-$AF86-$AE86*(1+HF$3))/$AJ86,'Технический лист'!$A:$B,2,1),(HE86-0.05)))</f>
        <v/>
      </c>
      <c r="HG86" s="172">
        <f>MIN(1,MAX(VLOOKUP(($AJ86-$AI86-$AH86-$AG86-$AF86-$AE86*(1+HG$3))/$AJ86,'Технический лист'!$A:$B,2,1),(HF86-0.05)))</f>
        <v/>
      </c>
      <c r="HH86" s="172">
        <f>MIN(1,MAX(VLOOKUP(($AJ86-$AI86-$AH86-$AG86-$AF86-$AE86*(1+HH$3))/$AJ86,'Технический лист'!$A:$B,2,1),(HG86-0.05)))</f>
        <v/>
      </c>
      <c r="HI86" s="172">
        <f>MIN(1,MAX(VLOOKUP(($AJ86-$AI86-$AH86-$AG86-$AF86-$AE86*(1+HI$3))/$AJ86,'Технический лист'!$A:$B,2,1),(HH86-0.05)))</f>
        <v/>
      </c>
      <c r="HJ86" s="172">
        <f>MIN(1,MAX(VLOOKUP(($AJ86-$AI86-$AH86-$AG86-$AF86-$AE86*(1+HJ$3))/$AJ86,'Технический лист'!$A:$B,2,1),(HI86-0.05)))</f>
        <v/>
      </c>
      <c r="HK86" s="172">
        <f>MIN(1,MAX(VLOOKUP(($AJ86-$AI86-$AH86-$AG86-$AF86-$AE86*(1+HK$3))/$AJ86,'Технический лист'!$A:$B,2,1),(HJ86-0.05)))</f>
        <v/>
      </c>
      <c r="HL86" s="172">
        <f>MIN(1,MAX(VLOOKUP(($AJ86-$AI86-$AH86-$AG86-$AF86-$AE86*(1+HL$3))/$AJ86,'Технический лист'!$A:$B,2,1),(HK86-0.05)))</f>
        <v/>
      </c>
      <c r="HM86" s="172">
        <f>MIN(1,MAX(VLOOKUP(($AJ86-$AI86-$AH86-$AG86-$AF86-$AE86*(1+HM$3))/$AJ86,'Технический лист'!$A:$B,2,1),(HL86-0.05)))</f>
        <v/>
      </c>
      <c r="HN86" s="172">
        <f>MIN(1,MAX(VLOOKUP(($AJ86-$AI86-$AH86-$AG86-$AF86-$AE86*(1+HN$3))/$AJ86,'Технический лист'!$A:$B,2,1),(HM86-0.05)))</f>
        <v/>
      </c>
      <c r="HO86" s="172">
        <f>MIN(1,MAX(VLOOKUP(($AJ86-$AI86-$AH86-$AG86-$AF86-$AE86*(1+HO$3))/$AJ86,'Технический лист'!$A:$B,2,1),(HN86-0.05)))</f>
        <v/>
      </c>
      <c r="HP86" s="172">
        <f>MIN(1,MAX(VLOOKUP(($AJ86-$AI86-$AH86-$AG86-$AF86-$AE86*(1+HP$3))/$AJ86,'Технический лист'!$A:$B,2,1),(HO86-0.05)))</f>
        <v/>
      </c>
      <c r="HQ86" s="172">
        <f>MIN(1,MAX(VLOOKUP(($AJ86-$AI86-$AH86-$AG86-$AF86-$AE86*(1+HQ$3))/$AJ86,'Технический лист'!$A:$B,2,1),(HP86-0.05)))</f>
        <v/>
      </c>
      <c r="HR86" s="172">
        <f>MIN(1,MAX(VLOOKUP(($AJ86-$AI86-$AH86-$AG86-$AF86-$AE86*(1+HR$3))/$AJ86,'Технический лист'!$A:$B,2,1),(HQ86-0.05)))</f>
        <v/>
      </c>
      <c r="HS86" s="172">
        <f>MIN(1,MAX(VLOOKUP(($AJ86-$AI86-$AH86-$AG86-$AF86-$AE86*(1+HS$3))/$AJ86,'Технический лист'!$A:$B,2,1),(HR86-0.05)))</f>
        <v/>
      </c>
      <c r="HT86" s="172">
        <f>MIN(1,MAX(VLOOKUP(($AJ86-$AI86-$AH86-$AG86-$AF86-$AE86*(1+HT$3))/$AJ86,'Технический лист'!$A:$B,2,1),(HS86-0.05)))</f>
        <v/>
      </c>
      <c r="HU86" s="172">
        <f>MIN(1,MAX(VLOOKUP(($AJ86-$AI86-$AH86-$AG86-$AF86-$AE86*(1+HU$3))/$AJ86,'Технический лист'!$A:$B,2,1),(HT86-0.05)))</f>
        <v/>
      </c>
      <c r="HV86" s="172">
        <f>MIN(1,MAX(VLOOKUP(($AJ86-$AI86-$AH86-$AG86-$AF86-$AE86*(1+HV$3))/$AJ86,'Технический лист'!$A:$B,2,1),(HU86-0.05)))</f>
        <v/>
      </c>
      <c r="HW86" s="172">
        <f>MIN(1,MAX(VLOOKUP(($AJ86-$AI86-$AH86-$AG86-$AF86-$AE86*(1+HW$3))/$AJ86,'Технический лист'!$A:$B,2,1),(HV86-0.05)))</f>
        <v/>
      </c>
      <c r="HX86" s="172">
        <f>MIN(1,MAX(VLOOKUP(($AJ86-$AI86-$AH86-$AG86-$AF86-$AE86*(1+HX$3))/$AJ86,'Технический лист'!$A:$B,2,1),(HW86-0.05)))</f>
        <v/>
      </c>
      <c r="HY86" s="172">
        <f>MIN(1,MAX(VLOOKUP(($AJ86-$AI86-$AH86-$AG86-$AF86-$AE86*(1+HY$3))/$AJ86,'Технический лист'!$A:$B,2,1),(HX86-0.05)))</f>
        <v/>
      </c>
      <c r="HZ86" s="172">
        <f>MIN(1,MAX(VLOOKUP(($AJ86-$AI86-$AH86-$AG86-$AF86-$AE86*(1+HZ$3))/$AJ86,'Технический лист'!$A:$B,2,1),(HY86-0.05)))</f>
        <v/>
      </c>
      <c r="IA86" s="172">
        <f>MIN(1,MAX(VLOOKUP(($AJ86-$AI86-$AH86-$AG86-$AF86-$AE86*(1+IA$3))/$AJ86,'Технический лист'!$A:$B,2,1),(HZ86-0.05)))</f>
        <v/>
      </c>
      <c r="IB86" s="172">
        <f>MIN(1,MAX(VLOOKUP(($AJ86-$AI86-$AH86-$AG86-$AF86-$AE86*(1+IB$3))/$AJ86,'Технический лист'!$A:$B,2,1),(IA86-0.05)))</f>
        <v/>
      </c>
      <c r="IC86" s="172">
        <f>MIN(1,MAX(VLOOKUP(($AJ86-$AI86-$AH86-$AG86-$AF86-$AE86*(1+IC$3))/$AJ86,'Технический лист'!$A:$B,2,1),(IB86-0.05)))</f>
        <v/>
      </c>
      <c r="ID86" s="172">
        <f>MIN(1,MAX(VLOOKUP(($AJ86-$AI86-$AH86-$AG86-$AF86-$AE86*(1+ID$3))/$AJ86,'Технический лист'!$A:$B,2,1),(IC86-0.05)))</f>
        <v/>
      </c>
      <c r="IE86" s="172">
        <f>MIN(1,MAX(VLOOKUP(($AJ86-$AI86-$AH86-$AG86-$AF86-$AE86*(1+IE$3))/$AJ86,'Технический лист'!$A:$B,2,1),(ID86-0.05)))</f>
        <v/>
      </c>
      <c r="IF86" s="172">
        <f>MIN(1,MAX(VLOOKUP(($AJ86-$AI86-$AH86-$AG86-$AF86-$AE86*(1+IF$3))/$AJ86,'Технический лист'!$A:$B,2,1),(IE86-0.05)))</f>
        <v/>
      </c>
      <c r="IG86" s="172">
        <f>MIN(1,MAX(VLOOKUP(($AJ86-$AI86-$AH86-$AG86-$AF86-$AE86*(1+IG$3))/$AJ86,'Технический лист'!$A:$B,2,1),(IF86-0.05)))</f>
        <v/>
      </c>
      <c r="IH86" s="172">
        <f>MIN(1,MAX(VLOOKUP(($AJ86-$AI86-$AH86-$AG86-$AF86-$AE86*(1+IH$3))/$AJ86,'Технический лист'!$A:$B,2,1),(IG86-0.05)))</f>
        <v/>
      </c>
      <c r="II86" s="172">
        <f>MIN(1,MAX(VLOOKUP(($AJ86-$AI86-$AH86-$AG86-$AF86-$AE86*(1+II$3))/$AJ86,'Технический лист'!$A:$B,2,1),(IH86-0.05)))</f>
        <v/>
      </c>
      <c r="IJ86" s="172">
        <f>MIN(1,MAX(VLOOKUP(($AJ86-$AI86-$AH86-$AG86-$AF86-$AE86*(1+IJ$3))/$AJ86,'Технический лист'!$A:$B,2,1),(II86-0.05)))</f>
        <v/>
      </c>
      <c r="IK86" s="172">
        <f>MIN(1,MAX(VLOOKUP(($AJ86-$AI86-$AH86-$AG86-$AF86-$AE86*(1+IK$3))/$AJ86,'Технический лист'!$A:$B,2,1),(IJ86-0.05)))</f>
        <v/>
      </c>
      <c r="IL86" s="172">
        <f>MIN(1,MAX(VLOOKUP(($AJ86-$AI86-$AH86-$AG86-$AF86-$AE86*(1+IL$3))/$AJ86,'Технический лист'!$A:$B,2,1),(IK86-0.05)))</f>
        <v/>
      </c>
      <c r="IM86" s="172">
        <f>MIN(1,MAX(VLOOKUP(($AJ86-$AI86-$AH86-$AG86-$AF86-$AE86*(1+IM$3))/$AJ86,'Технический лист'!$A:$B,2,1),(IL86-0.05)))</f>
        <v/>
      </c>
      <c r="IN86" s="172">
        <f>MIN(1,MAX(VLOOKUP(($AJ86-$AI86-$AH86-$AG86-$AF86-$AE86*(1+IN$3))/$AJ86,'Технический лист'!$A:$B,2,1),(IM86-0.05)))</f>
        <v/>
      </c>
      <c r="IO86" s="172">
        <f>MIN(1,MAX(VLOOKUP(($AJ86-$AI86-$AH86-$AG86-$AF86-$AE86*(1+IO$3))/$AJ86,'Технический лист'!$A:$B,2,1),(IN86-0.05)))</f>
        <v/>
      </c>
      <c r="IP86" s="172">
        <f>MIN(1,MAX(VLOOKUP(($AJ86-$AI86-$AH86-$AG86-$AF86-$AE86*(1+IP$3))/$AJ86,'Технический лист'!$A:$B,2,1),(IO86-0.05)))</f>
        <v/>
      </c>
      <c r="IQ86" s="172">
        <f>MIN(1,MAX(VLOOKUP(($AJ86-$AI86-$AH86-$AG86-$AF86-$AE86*(1+IQ$3))/$AJ86,'Технический лист'!$A:$B,2,1),(IP86-0.05)))</f>
        <v/>
      </c>
      <c r="IR86" s="172">
        <f>MIN(1,MAX(VLOOKUP(($AJ86-$AI86-$AH86-$AG86-$AF86-$AE86*(1+IR$3))/$AJ86,'Технический лист'!$A:$B,2,1),(IQ86-0.05)))</f>
        <v/>
      </c>
    </row>
    <row r="87" ht="29.15" customHeight="1" s="123">
      <c r="A87" s="89" t="inlineStr">
        <is>
          <t>ЧМ (продукция)</t>
        </is>
      </c>
      <c r="B87" s="90" t="n">
        <v>5</v>
      </c>
      <c r="C87" s="5" t="inlineStr">
        <is>
          <t>Черные металлы</t>
        </is>
      </c>
      <c r="D87" s="91" t="n">
        <v>32102</v>
      </c>
      <c r="E87" s="91" t="inlineStr">
        <is>
          <t xml:space="preserve">Рельсы металлические новые Р-65 </t>
        </is>
      </c>
      <c r="F87" s="92" t="inlineStr">
        <is>
          <t>РЕЛЬСЫ</t>
        </is>
      </c>
      <c r="G87" s="91" t="inlineStr">
        <is>
          <t>ЗСБ</t>
        </is>
      </c>
      <c r="H87" s="91" t="inlineStr">
        <is>
          <t>ВСБ</t>
        </is>
      </c>
      <c r="I87" s="91" t="inlineStr">
        <is>
          <t>НОВОКУЗ.-СОР</t>
        </is>
      </c>
      <c r="J87" s="91" t="inlineStr">
        <is>
          <t>МЫСОВАЯ</t>
        </is>
      </c>
      <c r="K87" s="91" t="n">
        <v>2062</v>
      </c>
      <c r="L87" s="91" t="inlineStr">
        <is>
          <t>Платформы</t>
        </is>
      </c>
      <c r="M87" s="91" t="inlineStr">
        <is>
          <t>Внутр. перевозки</t>
        </is>
      </c>
      <c r="N87" s="91" t="inlineStr">
        <is>
          <t>вагонная</t>
        </is>
      </c>
      <c r="O87" s="91" t="inlineStr">
        <is>
          <t xml:space="preserve">Восточное </t>
        </is>
      </c>
      <c r="P87" s="89" t="inlineStr">
        <is>
          <t>'000005757676</t>
        </is>
      </c>
      <c r="Q87" s="91" t="inlineStr">
        <is>
          <t>АО "ЕВРАЗ ЗСМК"</t>
        </is>
      </c>
      <c r="R87" s="91" t="inlineStr">
        <is>
          <t>ООО "ЕвразХолдинг"</t>
        </is>
      </c>
      <c r="S87" s="87" t="n">
        <v>115227</v>
      </c>
      <c r="T87" s="87" t="n">
        <v>237566824</v>
      </c>
      <c r="U87" s="88" t="n">
        <v>2072</v>
      </c>
      <c r="V87" s="88" t="n">
        <v>0</v>
      </c>
      <c r="W87" s="87" t="n">
        <v>549065104</v>
      </c>
      <c r="X87" s="112" t="n">
        <v>61</v>
      </c>
      <c r="Y87" s="112" t="inlineStr">
        <is>
          <t>сцеп</t>
        </is>
      </c>
      <c r="Z87" s="113" t="n">
        <v>9</v>
      </c>
      <c r="AA87" s="113" t="n">
        <v>10</v>
      </c>
      <c r="AB87" s="113" t="n">
        <v>4</v>
      </c>
      <c r="AC87" s="161" t="n">
        <v>4220.08</v>
      </c>
      <c r="AD87" s="161">
        <f>AE87-AC87</f>
        <v/>
      </c>
      <c r="AE87" s="161" t="n">
        <v>4931.72</v>
      </c>
      <c r="AF87" s="162">
        <f>(AB87+AA87+Z87)*'Ставки аренды'!$B$7/X87</f>
        <v/>
      </c>
      <c r="AG87" s="163" t="n">
        <v>0</v>
      </c>
      <c r="AH87" s="164" t="n">
        <v>0</v>
      </c>
      <c r="AI87" s="165">
        <f>0.71*AJ87</f>
        <v/>
      </c>
      <c r="AJ87" s="166">
        <f>Цены!$D$18</f>
        <v/>
      </c>
      <c r="AK87" s="164">
        <f>AJ87/Цены!$B$1</f>
        <v/>
      </c>
      <c r="AL87" s="164">
        <f>AE87+AF87+AG87</f>
        <v/>
      </c>
      <c r="AM87" s="164">
        <f>AJ87-AL87</f>
        <v/>
      </c>
      <c r="AN87" s="164">
        <f>AI87+AH87+AG87+AF87+AE87</f>
        <v/>
      </c>
      <c r="AO87" s="167">
        <f>(AJ87-AN87)/AJ87</f>
        <v/>
      </c>
      <c r="AP87" s="168">
        <f>AL87/AJ87</f>
        <v/>
      </c>
      <c r="AQ87" s="168">
        <f>AE87/AJ87</f>
        <v/>
      </c>
      <c r="AR87" s="168">
        <f>AE87/AL87</f>
        <v/>
      </c>
      <c r="AS87" s="169" t="n">
        <v>1</v>
      </c>
      <c r="AT87" s="121">
        <f>S87*AS87</f>
        <v/>
      </c>
      <c r="AU87" s="83" t="n">
        <v>0.75</v>
      </c>
      <c r="AV87" s="170">
        <f>(AJ87-(AE87*(1+$IS$2)+AF87+AG87+AH87+AI87))/AJ87</f>
        <v/>
      </c>
      <c r="AW87" s="171">
        <f>(AE87*(1+$IS$2)+AF87+AG87)/AJ87</f>
        <v/>
      </c>
      <c r="AX87" s="171">
        <f>(AE87*(1+$IS$2))/AJ87</f>
        <v/>
      </c>
      <c r="AY87" s="171">
        <f>(AE87*(1+$IS$2))/(AE87*(1+$IS$2)+AF87+AG87)</f>
        <v/>
      </c>
      <c r="AZ87" s="172">
        <f>MIN(IF($AU87=100%,1,1+VLOOKUP(($AJ87-$AI87-$AH87-$AG87-$AF87-$AE87*(1+AZ$3))/$AJ87,'Технический лист'!$I:$J,2,1)-VLOOKUP($AO87,'Технический лист'!$I:$J,2,1)),1+(1-$AU87))</f>
        <v/>
      </c>
      <c r="BA87" s="172">
        <f>MIN(IF($AU87=100%,1,1+VLOOKUP(($AJ87-$AI87-$AH87-$AG87-$AF87-$AE87*(1+BA$3))/$AJ87,'Технический лист'!$I:$J,2,1)-VLOOKUP($AO87,'Технический лист'!$I:$J,2,1)),1+(1-$AU87))</f>
        <v/>
      </c>
      <c r="BB87" s="172">
        <f>MIN(IF($AU87=100%,1,1+VLOOKUP(($AJ87-$AI87-$AH87-$AG87-$AF87-$AE87*(1+BB$3))/$AJ87,'Технический лист'!$I:$J,2,1)-VLOOKUP($AO87,'Технический лист'!$I:$J,2,1)),1+(1-$AU87))</f>
        <v/>
      </c>
      <c r="BC87" s="172">
        <f>MIN(IF($AU87=100%,1,1+VLOOKUP(($AJ87-$AI87-$AH87-$AG87-$AF87-$AE87*(1+BC$3))/$AJ87,'Технический лист'!$I:$J,2,1)-VLOOKUP($AO87,'Технический лист'!$I:$J,2,1)),1+(1-$AU87))</f>
        <v/>
      </c>
      <c r="BD87" s="172">
        <f>MIN(IF($AU87=100%,1,1+VLOOKUP(($AJ87-$AI87-$AH87-$AG87-$AF87-$AE87*(1+BD$3))/$AJ87,'Технический лист'!$I:$J,2,1)-VLOOKUP($AO87,'Технический лист'!$I:$J,2,1)),1+(1-$AU87))</f>
        <v/>
      </c>
      <c r="BE87" s="172">
        <f>MIN(IF($AU87=100%,1,1+VLOOKUP(($AJ87-$AI87-$AH87-$AG87-$AF87-$AE87*(1+BE$3))/$AJ87,'Технический лист'!$I:$J,2,1)-VLOOKUP($AO87,'Технический лист'!$I:$J,2,1)),1+(1-$AU87))</f>
        <v/>
      </c>
      <c r="BF87" s="172">
        <f>MIN(IF($AU87=100%,1,1+VLOOKUP(($AJ87-$AI87-$AH87-$AG87-$AF87-$AE87*(1+BF$3))/$AJ87,'Технический лист'!$I:$J,2,1)-VLOOKUP($AO87,'Технический лист'!$I:$J,2,1)),1+(1-$AU87))</f>
        <v/>
      </c>
      <c r="BG87" s="172">
        <f>MIN(IF($AU87=100%,1,1+VLOOKUP(($AJ87-$AI87-$AH87-$AG87-$AF87-$AE87*(1+BG$3))/$AJ87,'Технический лист'!$I:$J,2,1)-VLOOKUP($AO87,'Технический лист'!$I:$J,2,1)),1+(1-$AU87))</f>
        <v/>
      </c>
      <c r="BH87" s="172">
        <f>MIN(IF($AU87=100%,1,1+VLOOKUP(($AJ87-$AI87-$AH87-$AG87-$AF87-$AE87*(1+BH$3))/$AJ87,'Технический лист'!$I:$J,2,1)-VLOOKUP($AO87,'Технический лист'!$I:$J,2,1)),1+(1-$AU87))</f>
        <v/>
      </c>
      <c r="BI87" s="172">
        <f>MIN(IF($AU87=100%,1,1+VLOOKUP(($AJ87-$AI87-$AH87-$AG87-$AF87-$AE87*(1+BI$3))/$AJ87,'Технический лист'!$I:$J,2,1)-VLOOKUP($AO87,'Технический лист'!$I:$J,2,1)),1+(1-$AU87))</f>
        <v/>
      </c>
      <c r="BJ87" s="172">
        <f>MIN(IF($AU87=100%,1,1+VLOOKUP(($AJ87-$AI87-$AH87-$AG87-$AF87-$AE87*(1+BJ$3))/$AJ87,'Технический лист'!$I:$J,2,1)-VLOOKUP($AO87,'Технический лист'!$I:$J,2,1)),1+(1-$AU87))</f>
        <v/>
      </c>
      <c r="BK87" s="172">
        <f>MIN(IF($AU87=100%,1,1+VLOOKUP(($AJ87-$AI87-$AH87-$AG87-$AF87-$AE87*(1+BK$3))/$AJ87,'Технический лист'!$I:$J,2,1)-VLOOKUP($AO87,'Технический лист'!$I:$J,2,1)),1+(1-$AU87))</f>
        <v/>
      </c>
      <c r="BL87" s="172">
        <f>MIN(IF($AU87=100%,1,1+VLOOKUP(($AJ87-$AI87-$AH87-$AG87-$AF87-$AE87*(1+BL$3))/$AJ87,'Технический лист'!$I:$J,2,1)-VLOOKUP($AO87,'Технический лист'!$I:$J,2,1)),1+(1-$AU87))</f>
        <v/>
      </c>
      <c r="BM87" s="172">
        <f>MIN(IF($AU87=100%,1,1+VLOOKUP(($AJ87-$AI87-$AH87-$AG87-$AF87-$AE87*(1+BM$3))/$AJ87,'Технический лист'!$I:$J,2,1)-VLOOKUP($AO87,'Технический лист'!$I:$J,2,1)),1+(1-$AU87))</f>
        <v/>
      </c>
      <c r="BN87" s="172">
        <f>MIN(IF($AU87=100%,1,1+VLOOKUP(($AJ87-$AI87-$AH87-$AG87-$AF87-$AE87*(1+BN$3))/$AJ87,'Технический лист'!$I:$J,2,1)-VLOOKUP($AO87,'Технический лист'!$I:$J,2,1)),1+(1-$AU87))</f>
        <v/>
      </c>
      <c r="BO87" s="172">
        <f>MIN(IF($AU87=100%,1,1+VLOOKUP(($AJ87-$AI87-$AH87-$AG87-$AF87-$AE87*(1+BO$3))/$AJ87,'Технический лист'!$I:$J,2,1)-VLOOKUP($AO87,'Технический лист'!$I:$J,2,1)),1+(1-$AU87))</f>
        <v/>
      </c>
      <c r="BP87" s="172">
        <f>MIN(IF($AU87=100%,1,1+VLOOKUP(($AJ87-$AI87-$AH87-$AG87-$AF87-$AE87*(1+BP$3))/$AJ87,'Технический лист'!$I:$J,2,1)-VLOOKUP($AO87,'Технический лист'!$I:$J,2,1)),1+(1-$AU87))</f>
        <v/>
      </c>
      <c r="BQ87" s="172">
        <f>MIN(IF($AU87=100%,1,1+VLOOKUP(($AJ87-$AI87-$AH87-$AG87-$AF87-$AE87*(1+BQ$3))/$AJ87,'Технический лист'!$I:$J,2,1)-VLOOKUP($AO87,'Технический лист'!$I:$J,2,1)),1+(1-$AU87))</f>
        <v/>
      </c>
      <c r="BR87" s="172">
        <f>MIN(IF($AU87=100%,1,1+VLOOKUP(($AJ87-$AI87-$AH87-$AG87-$AF87-$AE87*(1+BR$3))/$AJ87,'Технический лист'!$I:$J,2,1)-VLOOKUP($AO87,'Технический лист'!$I:$J,2,1)),1+(1-$AU87))</f>
        <v/>
      </c>
      <c r="BS87" s="172">
        <f>MIN(IF($AU87=100%,1,1+VLOOKUP(($AJ87-$AI87-$AH87-$AG87-$AF87-$AE87*(1+BS$3))/$AJ87,'Технический лист'!$I:$J,2,1)-VLOOKUP($AO87,'Технический лист'!$I:$J,2,1)),1+(1-$AU87))</f>
        <v/>
      </c>
      <c r="BT87" s="172">
        <f>MIN(IF($AU87=100%,1,1+VLOOKUP(($AJ87-$AI87-$AH87-$AG87-$AF87-$AE87*(1+BT$3))/$AJ87,'Технический лист'!$I:$J,2,1)-VLOOKUP($AO87,'Технический лист'!$I:$J,2,1)),1+(1-$AU87))</f>
        <v/>
      </c>
      <c r="BU87" s="172">
        <f>MIN(IF($AU87=100%,1,1+VLOOKUP(($AJ87-$AI87-$AH87-$AG87-$AF87-$AE87*(1+BU$3))/$AJ87,'Технический лист'!$I:$J,2,1)-VLOOKUP($AO87,'Технический лист'!$I:$J,2,1)),1+(1-$AU87))</f>
        <v/>
      </c>
      <c r="BV87" s="172">
        <f>MIN(IF($AU87=100%,1,1+VLOOKUP(($AJ87-$AI87-$AH87-$AG87-$AF87-$AE87*(1+BV$3))/$AJ87,'Технический лист'!$I:$J,2,1)-VLOOKUP($AO87,'Технический лист'!$I:$J,2,1)),1+(1-$AU87))</f>
        <v/>
      </c>
      <c r="BW87" s="172">
        <f>MIN(IF($AU87=100%,1,1+VLOOKUP(($AJ87-$AI87-$AH87-$AG87-$AF87-$AE87*(1+BW$3))/$AJ87,'Технический лист'!$I:$J,2,1)-VLOOKUP($AO87,'Технический лист'!$I:$J,2,1)),1+(1-$AU87))</f>
        <v/>
      </c>
      <c r="BX87" s="172">
        <f>MIN(IF($AU87=100%,1,1+VLOOKUP(($AJ87-$AI87-$AH87-$AG87-$AF87-$AE87*(1+BX$3))/$AJ87,'Технический лист'!$I:$J,2,1)-VLOOKUP($AO87,'Технический лист'!$I:$J,2,1)),1+(1-$AU87))</f>
        <v/>
      </c>
      <c r="BY87" s="172">
        <f>MIN(IF($AU87=100%,1,1+VLOOKUP(($AJ87-$AI87-$AH87-$AG87-$AF87-$AE87*(1+BY$3))/$AJ87,'Технический лист'!$I:$J,2,1)-VLOOKUP($AO87,'Технический лист'!$I:$J,2,1)),1+(1-$AU87))</f>
        <v/>
      </c>
      <c r="BZ87" s="172">
        <f>MIN(IF($AU87=100%,1,1+VLOOKUP(($AJ87-$AI87-$AH87-$AG87-$AF87-$AE87*(1+BZ$3))/$AJ87,'Технический лист'!$I:$J,2,1)-VLOOKUP($AO87,'Технический лист'!$I:$J,2,1)),1+(1-$AU87))</f>
        <v/>
      </c>
      <c r="CA87" s="172">
        <f>MIN(IF($AU87=100%,1,1+VLOOKUP(($AJ87-$AI87-$AH87-$AG87-$AF87-$AE87*(1+CA$3))/$AJ87,'Технический лист'!$I:$J,2,1)-VLOOKUP($AO87,'Технический лист'!$I:$J,2,1)),1+(1-$AU87))</f>
        <v/>
      </c>
      <c r="CB87" s="172">
        <f>MIN(IF($AU87=100%,1,1+VLOOKUP(($AJ87-$AI87-$AH87-$AG87-$AF87-$AE87*(1+CB$3))/$AJ87,'Технический лист'!$I:$J,2,1)-VLOOKUP($AO87,'Технический лист'!$I:$J,2,1)),1+(1-$AU87))</f>
        <v/>
      </c>
      <c r="CC87" s="172">
        <f>MIN(IF($AU87=100%,1,1+VLOOKUP(($AJ87-$AI87-$AH87-$AG87-$AF87-$AE87*(1+CC$3))/$AJ87,'Технический лист'!$I:$J,2,1)-VLOOKUP($AO87,'Технический лист'!$I:$J,2,1)),1+(1-$AU87))</f>
        <v/>
      </c>
      <c r="CD87" s="172">
        <f>MIN(IF($AU87=100%,1,1+VLOOKUP(($AJ87-$AI87-$AH87-$AG87-$AF87-$AE87*(1+CD$3))/$AJ87,'Технический лист'!$I:$J,2,1)-VLOOKUP($AO87,'Технический лист'!$I:$J,2,1)),1+(1-$AU87))</f>
        <v/>
      </c>
      <c r="CE87" s="172">
        <f>MIN(IF($AU87=100%,1,1+VLOOKUP(($AJ87-$AI87-$AH87-$AG87-$AF87-$AE87*(1+CE$3))/$AJ87,'Технический лист'!$I:$J,2,1)-VLOOKUP($AO87,'Технический лист'!$I:$J,2,1)),1+(1-$AU87))</f>
        <v/>
      </c>
      <c r="CF87" s="172">
        <f>MIN(IF($AU87=100%,1,1+VLOOKUP(($AJ87-$AI87-$AH87-$AG87-$AF87-$AE87*(1+CF$3))/$AJ87,'Технический лист'!$I:$J,2,1)-VLOOKUP($AO87,'Технический лист'!$I:$J,2,1)),1+(1-$AU87))</f>
        <v/>
      </c>
      <c r="CG87" s="172">
        <f>MIN(IF($AU87=100%,1,1+VLOOKUP(($AJ87-$AI87-$AH87-$AG87-$AF87-$AE87*(1+CG$3))/$AJ87,'Технический лист'!$I:$J,2,1)-VLOOKUP($AO87,'Технический лист'!$I:$J,2,1)),1+(1-$AU87))</f>
        <v/>
      </c>
      <c r="CH87" s="172">
        <f>MIN(IF($AU87=100%,1,1+VLOOKUP(($AJ87-$AI87-$AH87-$AG87-$AF87-$AE87*(1+CH$3))/$AJ87,'Технический лист'!$I:$J,2,1)-VLOOKUP($AO87,'Технический лист'!$I:$J,2,1)),1+(1-$AU87))</f>
        <v/>
      </c>
      <c r="CI87" s="172">
        <f>MIN(IF($AU87=100%,1,1+VLOOKUP(($AJ87-$AI87-$AH87-$AG87-$AF87-$AE87*(1+CI$3))/$AJ87,'Технический лист'!$I:$J,2,1)-VLOOKUP($AO87,'Технический лист'!$I:$J,2,1)),1+(1-$AU87))</f>
        <v/>
      </c>
      <c r="CJ87" s="172">
        <f>MIN(IF($AU87=100%,1,1+VLOOKUP(($AJ87-$AI87-$AH87-$AG87-$AF87-$AE87*(1+CJ$3))/$AJ87,'Технический лист'!$I:$J,2,1)-VLOOKUP($AO87,'Технический лист'!$I:$J,2,1)),1+(1-$AU87))</f>
        <v/>
      </c>
      <c r="CK87" s="172">
        <f>MIN(IF($AU87=100%,1,1+VLOOKUP(($AJ87-$AI87-$AH87-$AG87-$AF87-$AE87*(1+CK$3))/$AJ87,'Технический лист'!$I:$J,2,1)-VLOOKUP($AO87,'Технический лист'!$I:$J,2,1)),1+(1-$AU87))</f>
        <v/>
      </c>
      <c r="CL87" s="172">
        <f>MIN(IF($AU87=100%,1,1+VLOOKUP(($AJ87-$AI87-$AH87-$AG87-$AF87-$AE87*(1+CL$3))/$AJ87,'Технический лист'!$I:$J,2,1)-VLOOKUP($AO87,'Технический лист'!$I:$J,2,1)),1+(1-$AU87))</f>
        <v/>
      </c>
      <c r="CM87" s="172">
        <f>MIN(IF($AU87=100%,1,1+VLOOKUP(($AJ87-$AI87-$AH87-$AG87-$AF87-$AE87*(1+CM$3))/$AJ87,'Технический лист'!$I:$J,2,1)-VLOOKUP($AO87,'Технический лист'!$I:$J,2,1)),1+(1-$AU87))</f>
        <v/>
      </c>
      <c r="CN87" s="172">
        <f>MIN(IF($AU87=100%,1,1+VLOOKUP(($AJ87-$AI87-$AH87-$AG87-$AF87-$AE87*(1+CN$3))/$AJ87,'Технический лист'!$I:$J,2,1)-VLOOKUP($AO87,'Технический лист'!$I:$J,2,1)),1+(1-$AU87))</f>
        <v/>
      </c>
      <c r="CO87" s="172">
        <f>MIN(IF($AU87=100%,1,1+VLOOKUP(($AJ87-$AI87-$AH87-$AG87-$AF87-$AE87*(1+CO$3))/$AJ87,'Технический лист'!$I:$J,2,1)-VLOOKUP($AO87,'Технический лист'!$I:$J,2,1)),1+(1-$AU87))</f>
        <v/>
      </c>
      <c r="CP87" s="172">
        <f>MIN(IF($AU87=100%,1,1+VLOOKUP(($AJ87-$AI87-$AH87-$AG87-$AF87-$AE87*(1+CP$3))/$AJ87,'Технический лист'!$I:$J,2,1)-VLOOKUP($AO87,'Технический лист'!$I:$J,2,1)),1+(1-$AU87))</f>
        <v/>
      </c>
      <c r="CQ87" s="172">
        <f>MIN(IF($AU87=100%,1,1+VLOOKUP(($AJ87-$AI87-$AH87-$AG87-$AF87-$AE87*(1+CQ$3))/$AJ87,'Технический лист'!$I:$J,2,1)-VLOOKUP($AO87,'Технический лист'!$I:$J,2,1)),1+(1-$AU87))</f>
        <v/>
      </c>
      <c r="CR87" s="172">
        <f>MIN(IF($AU87=100%,1,1+VLOOKUP(($AJ87-$AI87-$AH87-$AG87-$AF87-$AE87*(1+CR$3))/$AJ87,'Технический лист'!$I:$J,2,1)-VLOOKUP($AO87,'Технический лист'!$I:$J,2,1)),1+(1-$AU87))</f>
        <v/>
      </c>
      <c r="CS87" s="172">
        <f>MIN(IF($AU87=100%,1,1+VLOOKUP(($AJ87-$AI87-$AH87-$AG87-$AF87-$AE87*(1+CS$3))/$AJ87,'Технический лист'!$I:$J,2,1)-VLOOKUP($AO87,'Технический лист'!$I:$J,2,1)),1+(1-$AU87))</f>
        <v/>
      </c>
      <c r="CT87" s="172">
        <f>MIN(IF($AU87=100%,1,1+VLOOKUP(($AJ87-$AI87-$AH87-$AG87-$AF87-$AE87*(1+CT$3))/$AJ87,'Технический лист'!$I:$J,2,1)-VLOOKUP($AO87,'Технический лист'!$I:$J,2,1)),1+(1-$AU87))</f>
        <v/>
      </c>
      <c r="CU87" s="172">
        <f>MIN(IF($AU87=100%,1,1+VLOOKUP(($AJ87-$AI87-$AH87-$AG87-$AF87-$AE87*(1+CU$3))/$AJ87,'Технический лист'!$I:$J,2,1)-VLOOKUP($AO87,'Технический лист'!$I:$J,2,1)),1+(1-$AU87))</f>
        <v/>
      </c>
      <c r="CV87" s="172">
        <f>MIN(IF($AU87=100%,1,1+VLOOKUP(($AJ87-$AI87-$AH87-$AG87-$AF87-$AE87*(1+CV$3))/$AJ87,'Технический лист'!$I:$J,2,1)-VLOOKUP($AO87,'Технический лист'!$I:$J,2,1)),1+(1-$AU87))</f>
        <v/>
      </c>
      <c r="CW87" s="172">
        <f>MIN(IF($AU87=100%,1,1+VLOOKUP(($AJ87-$AI87-$AH87-$AG87-$AF87-$AE87*(1+CW$3))/$AJ87,'Технический лист'!$I:$J,2,1)-VLOOKUP($AO87,'Технический лист'!$I:$J,2,1)),1+(1-$AU87))</f>
        <v/>
      </c>
      <c r="CX87" s="172">
        <f>MIN(IF($AU87=100%,1,1+VLOOKUP(($AJ87-$AI87-$AH87-$AG87-$AF87-$AE87*(1+CX$3))/$AJ87,'Технический лист'!$I:$J,2,1)-VLOOKUP($AO87,'Технический лист'!$I:$J,2,1)),1+(1-$AU87))</f>
        <v/>
      </c>
      <c r="CY87" s="172">
        <f>MIN(IF($AU87=100%,1,1+VLOOKUP(($AJ87-$AI87-$AH87-$AG87-$AF87-$AE87*(1+CY$3))/$AJ87,'Технический лист'!$I:$J,2,1)-VLOOKUP($AO87,'Технический лист'!$I:$J,2,1)),1+(1-$AU87))</f>
        <v/>
      </c>
      <c r="CZ87" s="172">
        <f>MIN(IF($AU87=100%,1,1+VLOOKUP(($AJ87-$AI87-$AH87-$AG87-$AF87-$AE87*(1+CZ$3))/$AJ87,'Технический лист'!$I:$J,2,1)-VLOOKUP($AO87,'Технический лист'!$I:$J,2,1)),1+(1-$AU87))</f>
        <v/>
      </c>
      <c r="DA87" s="172">
        <f>MIN(IF($AU87=100%,1,1+VLOOKUP(($AJ87-$AI87-$AH87-$AG87-$AF87-$AE87*(1+DA$3))/$AJ87,'Технический лист'!$I:$J,2,1)-VLOOKUP($AO87,'Технический лист'!$I:$J,2,1)),1+(1-$AU87))</f>
        <v/>
      </c>
      <c r="DB87" s="172">
        <f>MIN(IF($AU87=100%,1,1+VLOOKUP(($AJ87-$AI87-$AH87-$AG87-$AF87-$AE87*(1+DB$3))/$AJ87,'Технический лист'!$I:$J,2,1)-VLOOKUP($AO87,'Технический лист'!$I:$J,2,1)),1+(1-$AU87))</f>
        <v/>
      </c>
      <c r="DC87" s="172">
        <f>MIN(IF($AU87=100%,1,1+VLOOKUP(($AJ87-$AI87-$AH87-$AG87-$AF87-$AE87*(1+DC$3))/$AJ87,'Технический лист'!$I:$J,2,1)-VLOOKUP($AO87,'Технический лист'!$I:$J,2,1)),1+(1-$AU87))</f>
        <v/>
      </c>
      <c r="DD87" s="172">
        <f>MIN(IF($AU87=100%,1,1+VLOOKUP(($AJ87-$AI87-$AH87-$AG87-$AF87-$AE87*(1+DD$3))/$AJ87,'Технический лист'!$I:$J,2,1)-VLOOKUP($AO87,'Технический лист'!$I:$J,2,1)),1+(1-$AU87))</f>
        <v/>
      </c>
      <c r="DE87" s="172">
        <f>MIN(IF($AU87=100%,1,1+VLOOKUP(($AJ87-$AI87-$AH87-$AG87-$AF87-$AE87*(1+DE$3))/$AJ87,'Технический лист'!$I:$J,2,1)-VLOOKUP($AO87,'Технический лист'!$I:$J,2,1)),1+(1-$AU87))</f>
        <v/>
      </c>
      <c r="DF87" s="172">
        <f>MIN(IF($AU87=100%,1,1+VLOOKUP(($AJ87-$AI87-$AH87-$AG87-$AF87-$AE87*(1+DF$3))/$AJ87,'Технический лист'!$I:$J,2,1)-VLOOKUP($AO87,'Технический лист'!$I:$J,2,1)),1+(1-$AU87))</f>
        <v/>
      </c>
      <c r="DG87" s="172">
        <f>MIN(IF($AU87=100%,1,1+VLOOKUP(($AJ87-$AI87-$AH87-$AG87-$AF87-$AE87*(1+DG$3))/$AJ87,'Технический лист'!$I:$J,2,1)-VLOOKUP($AO87,'Технический лист'!$I:$J,2,1)),1+(1-$AU87))</f>
        <v/>
      </c>
      <c r="DH87" s="172">
        <f>MIN(IF($AU87=100%,1,1+VLOOKUP(($AJ87-$AI87-$AH87-$AG87-$AF87-$AE87*(1+DH$3))/$AJ87,'Технический лист'!$I:$J,2,1)-VLOOKUP($AO87,'Технический лист'!$I:$J,2,1)),1+(1-$AU87))</f>
        <v/>
      </c>
      <c r="DI87" s="172">
        <f>MIN(IF($AU87=100%,1,1+VLOOKUP(($AJ87-$AI87-$AH87-$AG87-$AF87-$AE87*(1+DI$3))/$AJ87,'Технический лист'!$I:$J,2,1)-VLOOKUP($AO87,'Технический лист'!$I:$J,2,1)),1+(1-$AU87))</f>
        <v/>
      </c>
      <c r="DJ87" s="172">
        <f>MIN(IF($AU87=100%,1,1+VLOOKUP(($AJ87-$AI87-$AH87-$AG87-$AF87-$AE87*(1+DJ$3))/$AJ87,'Технический лист'!$I:$J,2,1)-VLOOKUP($AO87,'Технический лист'!$I:$J,2,1)),1+(1-$AU87))</f>
        <v/>
      </c>
      <c r="DK87" s="172">
        <f>MIN(IF($AU87=100%,1,1+VLOOKUP(($AJ87-$AI87-$AH87-$AG87-$AF87-$AE87*(1+DK$3))/$AJ87,'Технический лист'!$I:$J,2,1)-VLOOKUP($AO87,'Технический лист'!$I:$J,2,1)),1+(1-$AU87))</f>
        <v/>
      </c>
      <c r="DL87" s="172">
        <f>MIN(IF($AU87=100%,1,1+VLOOKUP(($AJ87-$AI87-$AH87-$AG87-$AF87-$AE87*(1+DL$3))/$AJ87,'Технический лист'!$I:$J,2,1)-VLOOKUP($AO87,'Технический лист'!$I:$J,2,1)),1+(1-$AU87))</f>
        <v/>
      </c>
      <c r="DM87" s="172">
        <f>MIN(IF($AU87=100%,1,1+VLOOKUP(($AJ87-$AI87-$AH87-$AG87-$AF87-$AE87*(1+DM$3))/$AJ87,'Технический лист'!$I:$J,2,1)-VLOOKUP($AO87,'Технический лист'!$I:$J,2,1)),1+(1-$AU87))</f>
        <v/>
      </c>
      <c r="DN87" s="172">
        <f>MIN(IF($AU87=100%,1,1+VLOOKUP(($AJ87-$AI87-$AH87-$AG87-$AF87-$AE87*(1+DN$3))/$AJ87,'Технический лист'!$I:$J,2,1)-VLOOKUP($AO87,'Технический лист'!$I:$J,2,1)),1+(1-$AU87))</f>
        <v/>
      </c>
      <c r="DO87" s="172">
        <f>MIN(IF($AU87=100%,1,1+VLOOKUP(($AJ87-$AI87-$AH87-$AG87-$AF87-$AE87*(1+DO$3))/$AJ87,'Технический лист'!$I:$J,2,1)-VLOOKUP($AO87,'Технический лист'!$I:$J,2,1)),1+(1-$AU87))</f>
        <v/>
      </c>
      <c r="DP87" s="172">
        <f>MIN(IF($AU87=100%,1,1+VLOOKUP(($AJ87-$AI87-$AH87-$AG87-$AF87-$AE87*(1+DP$3))/$AJ87,'Технический лист'!$I:$J,2,1)-VLOOKUP($AO87,'Технический лист'!$I:$J,2,1)),1+(1-$AU87))</f>
        <v/>
      </c>
      <c r="DQ87" s="172">
        <f>MIN(IF($AU87=100%,1,1+VLOOKUP(($AJ87-$AI87-$AH87-$AG87-$AF87-$AE87*(1+DQ$3))/$AJ87,'Технический лист'!$I:$J,2,1)-VLOOKUP($AO87,'Технический лист'!$I:$J,2,1)),1+(1-$AU87))</f>
        <v/>
      </c>
      <c r="DR87" s="172">
        <f>MIN(IF($AU87=100%,1,1+VLOOKUP(($AJ87-$AI87-$AH87-$AG87-$AF87-$AE87*(1+DR$3))/$AJ87,'Технический лист'!$I:$J,2,1)-VLOOKUP($AO87,'Технический лист'!$I:$J,2,1)),1+(1-$AU87))</f>
        <v/>
      </c>
      <c r="DS87" s="172">
        <f>MIN(IF($AU87=100%,1,1+VLOOKUP(($AJ87-$AI87-$AH87-$AG87-$AF87-$AE87*(1+DS$3))/$AJ87,'Технический лист'!$I:$J,2,1)-VLOOKUP($AO87,'Технический лист'!$I:$J,2,1)),1+(1-$AU87))</f>
        <v/>
      </c>
      <c r="DT87" s="172">
        <f>MIN(IF($AU87=100%,1,1+VLOOKUP(($AJ87-$AI87-$AH87-$AG87-$AF87-$AE87*(1+DT$3))/$AJ87,'Технический лист'!$I:$J,2,1)-VLOOKUP($AO87,'Технический лист'!$I:$J,2,1)),1+(1-$AU87))</f>
        <v/>
      </c>
      <c r="DU87" s="172">
        <f>MIN(IF($AU87=100%,1,1+VLOOKUP(($AJ87-$AI87-$AH87-$AG87-$AF87-$AE87*(1+DU$3))/$AJ87,'Технический лист'!$I:$J,2,1)-VLOOKUP($AO87,'Технический лист'!$I:$J,2,1)),1+(1-$AU87))</f>
        <v/>
      </c>
      <c r="DV87" s="172">
        <f>MIN(IF($AU87=100%,1,1+VLOOKUP(($AJ87-$AI87-$AH87-$AG87-$AF87-$AE87*(1+DV$3))/$AJ87,'Технический лист'!$I:$J,2,1)-VLOOKUP($AO87,'Технический лист'!$I:$J,2,1)),1+(1-$AU87))</f>
        <v/>
      </c>
      <c r="DW87" s="172">
        <f>MIN(IF($AU87=100%,1,1+VLOOKUP(($AJ87-$AI87-$AH87-$AG87-$AF87-$AE87*(1+DW$3))/$AJ87,'Технический лист'!$I:$J,2,1)-VLOOKUP($AO87,'Технический лист'!$I:$J,2,1)),1+(1-$AU87))</f>
        <v/>
      </c>
      <c r="DX87" s="172">
        <f>MIN(IF($AU87=100%,1,1+VLOOKUP(($AJ87-$AI87-$AH87-$AG87-$AF87-$AE87*(1+DX$3))/$AJ87,'Технический лист'!$I:$J,2,1)-VLOOKUP($AO87,'Технический лист'!$I:$J,2,1)),1+(1-$AU87))</f>
        <v/>
      </c>
      <c r="DY87" s="172">
        <f>MIN(IF($AU87=100%,1,1+VLOOKUP(($AJ87-$AI87-$AH87-$AG87-$AF87-$AE87*(1+DY$3))/$AJ87,'Технический лист'!$I:$J,2,1)-VLOOKUP($AO87,'Технический лист'!$I:$J,2,1)),1+(1-$AU87))</f>
        <v/>
      </c>
      <c r="DZ87" s="172">
        <f>MIN(IF($AU87=100%,1,1+VLOOKUP(($AJ87-$AI87-$AH87-$AG87-$AF87-$AE87*(1+DZ$3))/$AJ87,'Технический лист'!$I:$J,2,1)-VLOOKUP($AO87,'Технический лист'!$I:$J,2,1)),1+(1-$AU87))</f>
        <v/>
      </c>
      <c r="EA87" s="172">
        <f>MIN(IF($AU87=100%,1,1+VLOOKUP(($AJ87-$AI87-$AH87-$AG87-$AF87-$AE87*(1+EA$3))/$AJ87,'Технический лист'!$I:$J,2,1)-VLOOKUP($AO87,'Технический лист'!$I:$J,2,1)),1+(1-$AU87))</f>
        <v/>
      </c>
      <c r="EB87" s="172">
        <f>MIN(IF($AU87=100%,1,1+VLOOKUP(($AJ87-$AI87-$AH87-$AG87-$AF87-$AE87*(1+EB$3))/$AJ87,'Технический лист'!$I:$J,2,1)-VLOOKUP($AO87,'Технический лист'!$I:$J,2,1)),1+(1-$AU87))</f>
        <v/>
      </c>
      <c r="EC87" s="172">
        <f>MIN(IF($AU87=100%,1,1+VLOOKUP(($AJ87-$AI87-$AH87-$AG87-$AF87-$AE87*(1+EC$3))/$AJ87,'Технический лист'!$I:$J,2,1)-VLOOKUP($AO87,'Технический лист'!$I:$J,2,1)),1+(1-$AU87))</f>
        <v/>
      </c>
      <c r="ED87" s="172">
        <f>MIN(IF($AU87=100%,1,1+VLOOKUP(($AJ87-$AI87-$AH87-$AG87-$AF87-$AE87*(1+ED$3))/$AJ87,'Технический лист'!$I:$J,2,1)-VLOOKUP($AO87,'Технический лист'!$I:$J,2,1)),1+(1-$AU87))</f>
        <v/>
      </c>
      <c r="EE87" s="172">
        <f>MIN(IF($AU87=100%,1,1+VLOOKUP(($AJ87-$AI87-$AH87-$AG87-$AF87-$AE87*(1+EE$3))/$AJ87,'Технический лист'!$I:$J,2,1)-VLOOKUP($AO87,'Технический лист'!$I:$J,2,1)),1+(1-$AU87))</f>
        <v/>
      </c>
      <c r="EF87" s="172">
        <f>MIN(IF($AU87=100%,1,1+VLOOKUP(($AJ87-$AI87-$AH87-$AG87-$AF87-$AE87*(1+EF$3))/$AJ87,'Технический лист'!$I:$J,2,1)-VLOOKUP($AO87,'Технический лист'!$I:$J,2,1)),1+(1-$AU87))</f>
        <v/>
      </c>
      <c r="EG87" s="172">
        <f>MIN(IF($AU87=100%,1,1+VLOOKUP(($AJ87-$AI87-$AH87-$AG87-$AF87-$AE87*(1+EG$3))/$AJ87,'Технический лист'!$I:$J,2,1)-VLOOKUP($AO87,'Технический лист'!$I:$J,2,1)),1+(1-$AU87))</f>
        <v/>
      </c>
      <c r="EH87" s="172">
        <f>MIN(IF($AU87=100%,1,1+VLOOKUP(($AJ87-$AI87-$AH87-$AG87-$AF87-$AE87*(1+EH$3))/$AJ87,'Технический лист'!$I:$J,2,1)-VLOOKUP($AO87,'Технический лист'!$I:$J,2,1)),1+(1-$AU87))</f>
        <v/>
      </c>
      <c r="EI87" s="172">
        <f>MIN(IF($AU87=100%,1,1+VLOOKUP(($AJ87-$AI87-$AH87-$AG87-$AF87-$AE87*(1+EI$3))/$AJ87,'Технический лист'!$I:$J,2,1)-VLOOKUP($AO87,'Технический лист'!$I:$J,2,1)),1+(1-$AU87))</f>
        <v/>
      </c>
      <c r="EJ87" s="172">
        <f>MIN(IF($AU87=100%,1,1+VLOOKUP(($AJ87-$AI87-$AH87-$AG87-$AF87-$AE87*(1+EJ$3))/$AJ87,'Технический лист'!$I:$J,2,1)-VLOOKUP($AO87,'Технический лист'!$I:$J,2,1)),1+(1-$AU87))</f>
        <v/>
      </c>
      <c r="EK87" s="172">
        <f>MIN(IF($AU87=100%,1,1+VLOOKUP(($AJ87-$AI87-$AH87-$AG87-$AF87-$AE87*(1+EK$3))/$AJ87,'Технический лист'!$I:$J,2,1)-VLOOKUP($AO87,'Технический лист'!$I:$J,2,1)),1+(1-$AU87))</f>
        <v/>
      </c>
      <c r="EL87" s="172">
        <f>MIN(IF($AU87=100%,1,1+VLOOKUP(($AJ87-$AI87-$AH87-$AG87-$AF87-$AE87*(1+EL$3))/$AJ87,'Технический лист'!$I:$J,2,1)-VLOOKUP($AO87,'Технический лист'!$I:$J,2,1)),1+(1-$AU87))</f>
        <v/>
      </c>
      <c r="EM87" s="172">
        <f>MIN(IF($AU87=100%,1,1+VLOOKUP(($AJ87-$AI87-$AH87-$AG87-$AF87-$AE87*(1+EM$3))/$AJ87,'Технический лист'!$I:$J,2,1)-VLOOKUP($AO87,'Технический лист'!$I:$J,2,1)),1+(1-$AU87))</f>
        <v/>
      </c>
      <c r="EN87" s="172">
        <f>MIN(IF($AU87=100%,1,1+VLOOKUP(($AJ87-$AI87-$AH87-$AG87-$AF87-$AE87*(1+EN$3))/$AJ87,'Технический лист'!$I:$J,2,1)-VLOOKUP($AO87,'Технический лист'!$I:$J,2,1)),1+(1-$AU87))</f>
        <v/>
      </c>
      <c r="EO87" s="172">
        <f>MIN(IF($AU87=100%,1,1+VLOOKUP(($AJ87-$AI87-$AH87-$AG87-$AF87-$AE87*(1+EO$3))/$AJ87,'Технический лист'!$I:$J,2,1)-VLOOKUP($AO87,'Технический лист'!$I:$J,2,1)),1+(1-$AU87))</f>
        <v/>
      </c>
      <c r="EP87" s="172">
        <f>MIN(IF($AU87=100%,1,1+VLOOKUP(($AJ87-$AI87-$AH87-$AG87-$AF87-$AE87*(1+EP$3))/$AJ87,'Технический лист'!$I:$J,2,1)-VLOOKUP($AO87,'Технический лист'!$I:$J,2,1)),1+(1-$AU87))</f>
        <v/>
      </c>
      <c r="EQ87" s="172">
        <f>MIN(IF($AU87=100%,1,1+VLOOKUP(($AJ87-$AI87-$AH87-$AG87-$AF87-$AE87*(1+EQ$3))/$AJ87,'Технический лист'!$I:$J,2,1)-VLOOKUP($AO87,'Технический лист'!$I:$J,2,1)),1+(1-$AU87))</f>
        <v/>
      </c>
      <c r="ER87" s="172">
        <f>MIN(IF($AU87=100%,1,1+VLOOKUP(($AJ87-$AI87-$AH87-$AG87-$AF87-$AE87*(1+ER$3))/$AJ87,'Технический лист'!$I:$J,2,1)-VLOOKUP($AO87,'Технический лист'!$I:$J,2,1)),1+(1-$AU87))</f>
        <v/>
      </c>
      <c r="ES87" s="172">
        <f>MIN(IF($AU87=100%,1,1+VLOOKUP(($AJ87-$AI87-$AH87-$AG87-$AF87-$AE87*(1+ES$3))/$AJ87,'Технический лист'!$I:$J,2,1)-VLOOKUP($AO87,'Технический лист'!$I:$J,2,1)),1+(1-$AU87))</f>
        <v/>
      </c>
      <c r="ET87" s="172">
        <f>MIN(IF($AU87=100%,1,1+VLOOKUP(($AJ87-$AI87-$AH87-$AG87-$AF87-$AE87*(1+ET$3))/$AJ87,'Технический лист'!$I:$J,2,1)-VLOOKUP($AO87,'Технический лист'!$I:$J,2,1)),1+(1-$AU87))</f>
        <v/>
      </c>
      <c r="EU87" s="172">
        <f>MIN(IF($AU87=100%,1,1+VLOOKUP(($AJ87-$AI87-$AH87-$AG87-$AF87-$AE87*(1+EU$3))/$AJ87,'Технический лист'!$I:$J,2,1)-VLOOKUP($AO87,'Технический лист'!$I:$J,2,1)),1+(1-$AU87))</f>
        <v/>
      </c>
      <c r="EV87" s="173" t="n">
        <v>1</v>
      </c>
      <c r="EW87" s="172">
        <f>MIN(1,MAX(VLOOKUP(($AJ87-$AI87-$AH87-$AG87-$AF87-$AE87*(1+EW$3))/$AJ87,'Технический лист'!$A:$B,2,1),(EV87-0.05)))</f>
        <v/>
      </c>
      <c r="EX87" s="172">
        <f>MIN(1,MAX(VLOOKUP(($AJ87-$AI87-$AH87-$AG87-$AF87-$AE87*(1+EX$3))/$AJ87,'Технический лист'!$A:$B,2,1),(EW87-0.05)))</f>
        <v/>
      </c>
      <c r="EY87" s="172">
        <f>MIN(1,MAX(VLOOKUP(($AJ87-$AI87-$AH87-$AG87-$AF87-$AE87*(1+EY$3))/$AJ87,'Технический лист'!$A:$B,2,1),(EX87-0.05)))</f>
        <v/>
      </c>
      <c r="EZ87" s="172">
        <f>MIN(1,MAX(VLOOKUP(($AJ87-$AI87-$AH87-$AG87-$AF87-$AE87*(1+EZ$3))/$AJ87,'Технический лист'!$A:$B,2,1),(EY87-0.05)))</f>
        <v/>
      </c>
      <c r="FA87" s="172">
        <f>MIN(1,MAX(VLOOKUP(($AJ87-$AI87-$AH87-$AG87-$AF87-$AE87*(1+FA$3))/$AJ87,'Технический лист'!$A:$B,2,1),(EZ87-0.05)))</f>
        <v/>
      </c>
      <c r="FB87" s="172">
        <f>MIN(1,MAX(VLOOKUP(($AJ87-$AI87-$AH87-$AG87-$AF87-$AE87*(1+FB$3))/$AJ87,'Технический лист'!$A:$B,2,1),(FA87-0.05)))</f>
        <v/>
      </c>
      <c r="FC87" s="172">
        <f>MIN(1,MAX(VLOOKUP(($AJ87-$AI87-$AH87-$AG87-$AF87-$AE87*(1+FC$3))/$AJ87,'Технический лист'!$A:$B,2,1),(FB87-0.05)))</f>
        <v/>
      </c>
      <c r="FD87" s="172">
        <f>MIN(1,MAX(VLOOKUP(($AJ87-$AI87-$AH87-$AG87-$AF87-$AE87*(1+FD$3))/$AJ87,'Технический лист'!$A:$B,2,1),(FC87-0.05)))</f>
        <v/>
      </c>
      <c r="FE87" s="172">
        <f>MIN(1,MAX(VLOOKUP(($AJ87-$AI87-$AH87-$AG87-$AF87-$AE87*(1+FE$3))/$AJ87,'Технический лист'!$A:$B,2,1),(FD87-0.05)))</f>
        <v/>
      </c>
      <c r="FF87" s="172">
        <f>MIN(1,MAX(VLOOKUP(($AJ87-$AI87-$AH87-$AG87-$AF87-$AE87*(1+FF$3))/$AJ87,'Технический лист'!$A:$B,2,1),(FE87-0.05)))</f>
        <v/>
      </c>
      <c r="FG87" s="172">
        <f>MIN(1,MAX(VLOOKUP(($AJ87-$AI87-$AH87-$AG87-$AF87-$AE87*(1+FG$3))/$AJ87,'Технический лист'!$A:$B,2,1),(FF87-0.05)))</f>
        <v/>
      </c>
      <c r="FH87" s="172">
        <f>MIN(1,MAX(VLOOKUP(($AJ87-$AI87-$AH87-$AG87-$AF87-$AE87*(1+FH$3))/$AJ87,'Технический лист'!$A:$B,2,1),(FG87-0.05)))</f>
        <v/>
      </c>
      <c r="FI87" s="172">
        <f>MIN(1,MAX(VLOOKUP(($AJ87-$AI87-$AH87-$AG87-$AF87-$AE87*(1+FI$3))/$AJ87,'Технический лист'!$A:$B,2,1),(FH87-0.05)))</f>
        <v/>
      </c>
      <c r="FJ87" s="172">
        <f>MIN(1,MAX(VLOOKUP(($AJ87-$AI87-$AH87-$AG87-$AF87-$AE87*(1+FJ$3))/$AJ87,'Технический лист'!$A:$B,2,1),(FI87-0.05)))</f>
        <v/>
      </c>
      <c r="FK87" s="172">
        <f>MIN(1,MAX(VLOOKUP(($AJ87-$AI87-$AH87-$AG87-$AF87-$AE87*(1+FK$3))/$AJ87,'Технический лист'!$A:$B,2,1),(FJ87-0.05)))</f>
        <v/>
      </c>
      <c r="FL87" s="172">
        <f>MIN(1,MAX(VLOOKUP(($AJ87-$AI87-$AH87-$AG87-$AF87-$AE87*(1+FL$3))/$AJ87,'Технический лист'!$A:$B,2,1),(FK87-0.05)))</f>
        <v/>
      </c>
      <c r="FM87" s="172">
        <f>MIN(1,MAX(VLOOKUP(($AJ87-$AI87-$AH87-$AG87-$AF87-$AE87*(1+FM$3))/$AJ87,'Технический лист'!$A:$B,2,1),(FL87-0.05)))</f>
        <v/>
      </c>
      <c r="FN87" s="172">
        <f>MIN(1,MAX(VLOOKUP(($AJ87-$AI87-$AH87-$AG87-$AF87-$AE87*(1+FN$3))/$AJ87,'Технический лист'!$A:$B,2,1),(FM87-0.05)))</f>
        <v/>
      </c>
      <c r="FO87" s="172">
        <f>MIN(1,MAX(VLOOKUP(($AJ87-$AI87-$AH87-$AG87-$AF87-$AE87*(1+FO$3))/$AJ87,'Технический лист'!$A:$B,2,1),(FN87-0.05)))</f>
        <v/>
      </c>
      <c r="FP87" s="172">
        <f>MIN(1,MAX(VLOOKUP(($AJ87-$AI87-$AH87-$AG87-$AF87-$AE87*(1+FP$3))/$AJ87,'Технический лист'!$A:$B,2,1),(FO87-0.05)))</f>
        <v/>
      </c>
      <c r="FQ87" s="172">
        <f>MIN(1,MAX(VLOOKUP(($AJ87-$AI87-$AH87-$AG87-$AF87-$AE87*(1+FQ$3))/$AJ87,'Технический лист'!$A:$B,2,1),(FP87-0.05)))</f>
        <v/>
      </c>
      <c r="FR87" s="172">
        <f>MIN(1,MAX(VLOOKUP(($AJ87-$AI87-$AH87-$AG87-$AF87-$AE87*(1+FR$3))/$AJ87,'Технический лист'!$A:$B,2,1),(FQ87-0.05)))</f>
        <v/>
      </c>
      <c r="FS87" s="172">
        <f>MIN(1,MAX(VLOOKUP(($AJ87-$AI87-$AH87-$AG87-$AF87-$AE87*(1+FS$3))/$AJ87,'Технический лист'!$A:$B,2,1),(FR87-0.05)))</f>
        <v/>
      </c>
      <c r="FT87" s="172">
        <f>MIN(1,MAX(VLOOKUP(($AJ87-$AI87-$AH87-$AG87-$AF87-$AE87*(1+FT$3))/$AJ87,'Технический лист'!$A:$B,2,1),(FS87-0.05)))</f>
        <v/>
      </c>
      <c r="FU87" s="172">
        <f>MIN(1,MAX(VLOOKUP(($AJ87-$AI87-$AH87-$AG87-$AF87-$AE87*(1+FU$3))/$AJ87,'Технический лист'!$A:$B,2,1),(FT87-0.05)))</f>
        <v/>
      </c>
      <c r="FV87" s="172">
        <f>MIN(1,MAX(VLOOKUP(($AJ87-$AI87-$AH87-$AG87-$AF87-$AE87*(1+FV$3))/$AJ87,'Технический лист'!$A:$B,2,1),(FU87-0.05)))</f>
        <v/>
      </c>
      <c r="FW87" s="172">
        <f>MIN(1,MAX(VLOOKUP(($AJ87-$AI87-$AH87-$AG87-$AF87-$AE87*(1+FW$3))/$AJ87,'Технический лист'!$A:$B,2,1),(FV87-0.05)))</f>
        <v/>
      </c>
      <c r="FX87" s="172">
        <f>MIN(1,MAX(VLOOKUP(($AJ87-$AI87-$AH87-$AG87-$AF87-$AE87*(1+FX$3))/$AJ87,'Технический лист'!$A:$B,2,1),(FW87-0.05)))</f>
        <v/>
      </c>
      <c r="FY87" s="172">
        <f>MIN(1,MAX(VLOOKUP(($AJ87-$AI87-$AH87-$AG87-$AF87-$AE87*(1+FY$3))/$AJ87,'Технический лист'!$A:$B,2,1),(FX87-0.05)))</f>
        <v/>
      </c>
      <c r="FZ87" s="172">
        <f>MIN(1,MAX(VLOOKUP(($AJ87-$AI87-$AH87-$AG87-$AF87-$AE87*(1+FZ$3))/$AJ87,'Технический лист'!$A:$B,2,1),(FY87-0.05)))</f>
        <v/>
      </c>
      <c r="GA87" s="172">
        <f>MIN(1,MAX(VLOOKUP(($AJ87-$AI87-$AH87-$AG87-$AF87-$AE87*(1+GA$3))/$AJ87,'Технический лист'!$A:$B,2,1),(FZ87-0.05)))</f>
        <v/>
      </c>
      <c r="GB87" s="172">
        <f>MIN(1,MAX(VLOOKUP(($AJ87-$AI87-$AH87-$AG87-$AF87-$AE87*(1+GB$3))/$AJ87,'Технический лист'!$A:$B,2,1),(GA87-0.05)))</f>
        <v/>
      </c>
      <c r="GC87" s="172">
        <f>MIN(1,MAX(VLOOKUP(($AJ87-$AI87-$AH87-$AG87-$AF87-$AE87*(1+GC$3))/$AJ87,'Технический лист'!$A:$B,2,1),(GB87-0.05)))</f>
        <v/>
      </c>
      <c r="GD87" s="172">
        <f>MIN(1,MAX(VLOOKUP(($AJ87-$AI87-$AH87-$AG87-$AF87-$AE87*(1+GD$3))/$AJ87,'Технический лист'!$A:$B,2,1),(GC87-0.05)))</f>
        <v/>
      </c>
      <c r="GE87" s="172">
        <f>MIN(1,MAX(VLOOKUP(($AJ87-$AI87-$AH87-$AG87-$AF87-$AE87*(1+GE$3))/$AJ87,'Технический лист'!$A:$B,2,1),(GD87-0.05)))</f>
        <v/>
      </c>
      <c r="GF87" s="172">
        <f>MIN(1,MAX(VLOOKUP(($AJ87-$AI87-$AH87-$AG87-$AF87-$AE87*(1+GF$3))/$AJ87,'Технический лист'!$A:$B,2,1),(GE87-0.05)))</f>
        <v/>
      </c>
      <c r="GG87" s="172">
        <f>MIN(1,MAX(VLOOKUP(($AJ87-$AI87-$AH87-$AG87-$AF87-$AE87*(1+GG$3))/$AJ87,'Технический лист'!$A:$B,2,1),(GF87-0.05)))</f>
        <v/>
      </c>
      <c r="GH87" s="172">
        <f>MIN(1,MAX(VLOOKUP(($AJ87-$AI87-$AH87-$AG87-$AF87-$AE87*(1+GH$3))/$AJ87,'Технический лист'!$A:$B,2,1),(GG87-0.05)))</f>
        <v/>
      </c>
      <c r="GI87" s="172">
        <f>MIN(1,MAX(VLOOKUP(($AJ87-$AI87-$AH87-$AG87-$AF87-$AE87*(1+GI$3))/$AJ87,'Технический лист'!$A:$B,2,1),(GH87-0.05)))</f>
        <v/>
      </c>
      <c r="GJ87" s="172">
        <f>MIN(1,MAX(VLOOKUP(($AJ87-$AI87-$AH87-$AG87-$AF87-$AE87*(1+GJ$3))/$AJ87,'Технический лист'!$A:$B,2,1),(GI87-0.05)))</f>
        <v/>
      </c>
      <c r="GK87" s="172">
        <f>MIN(1,MAX(VLOOKUP(($AJ87-$AI87-$AH87-$AG87-$AF87-$AE87*(1+GK$3))/$AJ87,'Технический лист'!$A:$B,2,1),(GJ87-0.05)))</f>
        <v/>
      </c>
      <c r="GL87" s="172">
        <f>MIN(1,MAX(VLOOKUP(($AJ87-$AI87-$AH87-$AG87-$AF87-$AE87*(1+GL$3))/$AJ87,'Технический лист'!$A:$B,2,1),(GK87-0.05)))</f>
        <v/>
      </c>
      <c r="GM87" s="172">
        <f>MIN(1,MAX(VLOOKUP(($AJ87-$AI87-$AH87-$AG87-$AF87-$AE87*(1+GM$3))/$AJ87,'Технический лист'!$A:$B,2,1),(GL87-0.05)))</f>
        <v/>
      </c>
      <c r="GN87" s="172">
        <f>MIN(1,MAX(VLOOKUP(($AJ87-$AI87-$AH87-$AG87-$AF87-$AE87*(1+GN$3))/$AJ87,'Технический лист'!$A:$B,2,1),(GM87-0.05)))</f>
        <v/>
      </c>
      <c r="GO87" s="172">
        <f>MIN(1,MAX(VLOOKUP(($AJ87-$AI87-$AH87-$AG87-$AF87-$AE87*(1+GO$3))/$AJ87,'Технический лист'!$A:$B,2,1),(GN87-0.05)))</f>
        <v/>
      </c>
      <c r="GP87" s="172">
        <f>MIN(1,MAX(VLOOKUP(($AJ87-$AI87-$AH87-$AG87-$AF87-$AE87*(1+GP$3))/$AJ87,'Технический лист'!$A:$B,2,1),(GO87-0.05)))</f>
        <v/>
      </c>
      <c r="GQ87" s="172">
        <f>MIN(1,MAX(VLOOKUP(($AJ87-$AI87-$AH87-$AG87-$AF87-$AE87*(1+GQ$3))/$AJ87,'Технический лист'!$A:$B,2,1),(GP87-0.05)))</f>
        <v/>
      </c>
      <c r="GR87" s="172">
        <f>MIN(1,MAX(VLOOKUP(($AJ87-$AI87-$AH87-$AG87-$AF87-$AE87*(1+GR$3))/$AJ87,'Технический лист'!$A:$B,2,1),(GQ87-0.05)))</f>
        <v/>
      </c>
      <c r="GS87" s="172">
        <f>MIN(1,MAX(VLOOKUP(($AJ87-$AI87-$AH87-$AG87-$AF87-$AE87*(1+GS$3))/$AJ87,'Технический лист'!$A:$B,2,1),(GR87-0.05)))</f>
        <v/>
      </c>
      <c r="GT87" s="172">
        <f>MIN(1,MAX(VLOOKUP(($AJ87-$AI87-$AH87-$AG87-$AF87-$AE87*(1+GT$3))/$AJ87,'Технический лист'!$A:$B,2,1),(GS87-0.05)))</f>
        <v/>
      </c>
      <c r="GU87" s="172">
        <f>MIN(1,MAX(VLOOKUP(($AJ87-$AI87-$AH87-$AG87-$AF87-$AE87*(1+GU$3))/$AJ87,'Технический лист'!$A:$B,2,1),(GT87-0.05)))</f>
        <v/>
      </c>
      <c r="GV87" s="172">
        <f>MIN(1,MAX(VLOOKUP(($AJ87-$AI87-$AH87-$AG87-$AF87-$AE87*(1+GV$3))/$AJ87,'Технический лист'!$A:$B,2,1),(GU87-0.05)))</f>
        <v/>
      </c>
      <c r="GW87" s="172">
        <f>MIN(1,MAX(VLOOKUP(($AJ87-$AI87-$AH87-$AG87-$AF87-$AE87*(1+GW$3))/$AJ87,'Технический лист'!$A:$B,2,1),(GV87-0.05)))</f>
        <v/>
      </c>
      <c r="GX87" s="172">
        <f>MIN(1,MAX(VLOOKUP(($AJ87-$AI87-$AH87-$AG87-$AF87-$AE87*(1+GX$3))/$AJ87,'Технический лист'!$A:$B,2,1),(GW87-0.05)))</f>
        <v/>
      </c>
      <c r="GY87" s="172">
        <f>MIN(1,MAX(VLOOKUP(($AJ87-$AI87-$AH87-$AG87-$AF87-$AE87*(1+GY$3))/$AJ87,'Технический лист'!$A:$B,2,1),(GX87-0.05)))</f>
        <v/>
      </c>
      <c r="GZ87" s="172">
        <f>MIN(1,MAX(VLOOKUP(($AJ87-$AI87-$AH87-$AG87-$AF87-$AE87*(1+GZ$3))/$AJ87,'Технический лист'!$A:$B,2,1),(GY87-0.05)))</f>
        <v/>
      </c>
      <c r="HA87" s="172">
        <f>MIN(1,MAX(VLOOKUP(($AJ87-$AI87-$AH87-$AG87-$AF87-$AE87*(1+HA$3))/$AJ87,'Технический лист'!$A:$B,2,1),(GZ87-0.05)))</f>
        <v/>
      </c>
      <c r="HB87" s="172">
        <f>MIN(1,MAX(VLOOKUP(($AJ87-$AI87-$AH87-$AG87-$AF87-$AE87*(1+HB$3))/$AJ87,'Технический лист'!$A:$B,2,1),(HA87-0.05)))</f>
        <v/>
      </c>
      <c r="HC87" s="172">
        <f>MIN(1,MAX(VLOOKUP(($AJ87-$AI87-$AH87-$AG87-$AF87-$AE87*(1+HC$3))/$AJ87,'Технический лист'!$A:$B,2,1),(HB87-0.05)))</f>
        <v/>
      </c>
      <c r="HD87" s="172">
        <f>MIN(1,MAX(VLOOKUP(($AJ87-$AI87-$AH87-$AG87-$AF87-$AE87*(1+HD$3))/$AJ87,'Технический лист'!$A:$B,2,1),(HC87-0.05)))</f>
        <v/>
      </c>
      <c r="HE87" s="172">
        <f>MIN(1,MAX(VLOOKUP(($AJ87-$AI87-$AH87-$AG87-$AF87-$AE87*(1+HE$3))/$AJ87,'Технический лист'!$A:$B,2,1),(HD87-0.05)))</f>
        <v/>
      </c>
      <c r="HF87" s="172">
        <f>MIN(1,MAX(VLOOKUP(($AJ87-$AI87-$AH87-$AG87-$AF87-$AE87*(1+HF$3))/$AJ87,'Технический лист'!$A:$B,2,1),(HE87-0.05)))</f>
        <v/>
      </c>
      <c r="HG87" s="172">
        <f>MIN(1,MAX(VLOOKUP(($AJ87-$AI87-$AH87-$AG87-$AF87-$AE87*(1+HG$3))/$AJ87,'Технический лист'!$A:$B,2,1),(HF87-0.05)))</f>
        <v/>
      </c>
      <c r="HH87" s="172">
        <f>MIN(1,MAX(VLOOKUP(($AJ87-$AI87-$AH87-$AG87-$AF87-$AE87*(1+HH$3))/$AJ87,'Технический лист'!$A:$B,2,1),(HG87-0.05)))</f>
        <v/>
      </c>
      <c r="HI87" s="172">
        <f>MIN(1,MAX(VLOOKUP(($AJ87-$AI87-$AH87-$AG87-$AF87-$AE87*(1+HI$3))/$AJ87,'Технический лист'!$A:$B,2,1),(HH87-0.05)))</f>
        <v/>
      </c>
      <c r="HJ87" s="172">
        <f>MIN(1,MAX(VLOOKUP(($AJ87-$AI87-$AH87-$AG87-$AF87-$AE87*(1+HJ$3))/$AJ87,'Технический лист'!$A:$B,2,1),(HI87-0.05)))</f>
        <v/>
      </c>
      <c r="HK87" s="172">
        <f>MIN(1,MAX(VLOOKUP(($AJ87-$AI87-$AH87-$AG87-$AF87-$AE87*(1+HK$3))/$AJ87,'Технический лист'!$A:$B,2,1),(HJ87-0.05)))</f>
        <v/>
      </c>
      <c r="HL87" s="172">
        <f>MIN(1,MAX(VLOOKUP(($AJ87-$AI87-$AH87-$AG87-$AF87-$AE87*(1+HL$3))/$AJ87,'Технический лист'!$A:$B,2,1),(HK87-0.05)))</f>
        <v/>
      </c>
      <c r="HM87" s="172">
        <f>MIN(1,MAX(VLOOKUP(($AJ87-$AI87-$AH87-$AG87-$AF87-$AE87*(1+HM$3))/$AJ87,'Технический лист'!$A:$B,2,1),(HL87-0.05)))</f>
        <v/>
      </c>
      <c r="HN87" s="172">
        <f>MIN(1,MAX(VLOOKUP(($AJ87-$AI87-$AH87-$AG87-$AF87-$AE87*(1+HN$3))/$AJ87,'Технический лист'!$A:$B,2,1),(HM87-0.05)))</f>
        <v/>
      </c>
      <c r="HO87" s="172">
        <f>MIN(1,MAX(VLOOKUP(($AJ87-$AI87-$AH87-$AG87-$AF87-$AE87*(1+HO$3))/$AJ87,'Технический лист'!$A:$B,2,1),(HN87-0.05)))</f>
        <v/>
      </c>
      <c r="HP87" s="172">
        <f>MIN(1,MAX(VLOOKUP(($AJ87-$AI87-$AH87-$AG87-$AF87-$AE87*(1+HP$3))/$AJ87,'Технический лист'!$A:$B,2,1),(HO87-0.05)))</f>
        <v/>
      </c>
      <c r="HQ87" s="172">
        <f>MIN(1,MAX(VLOOKUP(($AJ87-$AI87-$AH87-$AG87-$AF87-$AE87*(1+HQ$3))/$AJ87,'Технический лист'!$A:$B,2,1),(HP87-0.05)))</f>
        <v/>
      </c>
      <c r="HR87" s="172">
        <f>MIN(1,MAX(VLOOKUP(($AJ87-$AI87-$AH87-$AG87-$AF87-$AE87*(1+HR$3))/$AJ87,'Технический лист'!$A:$B,2,1),(HQ87-0.05)))</f>
        <v/>
      </c>
      <c r="HS87" s="172">
        <f>MIN(1,MAX(VLOOKUP(($AJ87-$AI87-$AH87-$AG87-$AF87-$AE87*(1+HS$3))/$AJ87,'Технический лист'!$A:$B,2,1),(HR87-0.05)))</f>
        <v/>
      </c>
      <c r="HT87" s="172">
        <f>MIN(1,MAX(VLOOKUP(($AJ87-$AI87-$AH87-$AG87-$AF87-$AE87*(1+HT$3))/$AJ87,'Технический лист'!$A:$B,2,1),(HS87-0.05)))</f>
        <v/>
      </c>
      <c r="HU87" s="172">
        <f>MIN(1,MAX(VLOOKUP(($AJ87-$AI87-$AH87-$AG87-$AF87-$AE87*(1+HU$3))/$AJ87,'Технический лист'!$A:$B,2,1),(HT87-0.05)))</f>
        <v/>
      </c>
      <c r="HV87" s="172">
        <f>MIN(1,MAX(VLOOKUP(($AJ87-$AI87-$AH87-$AG87-$AF87-$AE87*(1+HV$3))/$AJ87,'Технический лист'!$A:$B,2,1),(HU87-0.05)))</f>
        <v/>
      </c>
      <c r="HW87" s="172">
        <f>MIN(1,MAX(VLOOKUP(($AJ87-$AI87-$AH87-$AG87-$AF87-$AE87*(1+HW$3))/$AJ87,'Технический лист'!$A:$B,2,1),(HV87-0.05)))</f>
        <v/>
      </c>
      <c r="HX87" s="172">
        <f>MIN(1,MAX(VLOOKUP(($AJ87-$AI87-$AH87-$AG87-$AF87-$AE87*(1+HX$3))/$AJ87,'Технический лист'!$A:$B,2,1),(HW87-0.05)))</f>
        <v/>
      </c>
      <c r="HY87" s="172">
        <f>MIN(1,MAX(VLOOKUP(($AJ87-$AI87-$AH87-$AG87-$AF87-$AE87*(1+HY$3))/$AJ87,'Технический лист'!$A:$B,2,1),(HX87-0.05)))</f>
        <v/>
      </c>
      <c r="HZ87" s="172">
        <f>MIN(1,MAX(VLOOKUP(($AJ87-$AI87-$AH87-$AG87-$AF87-$AE87*(1+HZ$3))/$AJ87,'Технический лист'!$A:$B,2,1),(HY87-0.05)))</f>
        <v/>
      </c>
      <c r="IA87" s="172">
        <f>MIN(1,MAX(VLOOKUP(($AJ87-$AI87-$AH87-$AG87-$AF87-$AE87*(1+IA$3))/$AJ87,'Технический лист'!$A:$B,2,1),(HZ87-0.05)))</f>
        <v/>
      </c>
      <c r="IB87" s="172">
        <f>MIN(1,MAX(VLOOKUP(($AJ87-$AI87-$AH87-$AG87-$AF87-$AE87*(1+IB$3))/$AJ87,'Технический лист'!$A:$B,2,1),(IA87-0.05)))</f>
        <v/>
      </c>
      <c r="IC87" s="172">
        <f>MIN(1,MAX(VLOOKUP(($AJ87-$AI87-$AH87-$AG87-$AF87-$AE87*(1+IC$3))/$AJ87,'Технический лист'!$A:$B,2,1),(IB87-0.05)))</f>
        <v/>
      </c>
      <c r="ID87" s="172">
        <f>MIN(1,MAX(VLOOKUP(($AJ87-$AI87-$AH87-$AG87-$AF87-$AE87*(1+ID$3))/$AJ87,'Технический лист'!$A:$B,2,1),(IC87-0.05)))</f>
        <v/>
      </c>
      <c r="IE87" s="172">
        <f>MIN(1,MAX(VLOOKUP(($AJ87-$AI87-$AH87-$AG87-$AF87-$AE87*(1+IE$3))/$AJ87,'Технический лист'!$A:$B,2,1),(ID87-0.05)))</f>
        <v/>
      </c>
      <c r="IF87" s="172">
        <f>MIN(1,MAX(VLOOKUP(($AJ87-$AI87-$AH87-$AG87-$AF87-$AE87*(1+IF$3))/$AJ87,'Технический лист'!$A:$B,2,1),(IE87-0.05)))</f>
        <v/>
      </c>
      <c r="IG87" s="172">
        <f>MIN(1,MAX(VLOOKUP(($AJ87-$AI87-$AH87-$AG87-$AF87-$AE87*(1+IG$3))/$AJ87,'Технический лист'!$A:$B,2,1),(IF87-0.05)))</f>
        <v/>
      </c>
      <c r="IH87" s="172">
        <f>MIN(1,MAX(VLOOKUP(($AJ87-$AI87-$AH87-$AG87-$AF87-$AE87*(1+IH$3))/$AJ87,'Технический лист'!$A:$B,2,1),(IG87-0.05)))</f>
        <v/>
      </c>
      <c r="II87" s="172">
        <f>MIN(1,MAX(VLOOKUP(($AJ87-$AI87-$AH87-$AG87-$AF87-$AE87*(1+II$3))/$AJ87,'Технический лист'!$A:$B,2,1),(IH87-0.05)))</f>
        <v/>
      </c>
      <c r="IJ87" s="172">
        <f>MIN(1,MAX(VLOOKUP(($AJ87-$AI87-$AH87-$AG87-$AF87-$AE87*(1+IJ$3))/$AJ87,'Технический лист'!$A:$B,2,1),(II87-0.05)))</f>
        <v/>
      </c>
      <c r="IK87" s="172">
        <f>MIN(1,MAX(VLOOKUP(($AJ87-$AI87-$AH87-$AG87-$AF87-$AE87*(1+IK$3))/$AJ87,'Технический лист'!$A:$B,2,1),(IJ87-0.05)))</f>
        <v/>
      </c>
      <c r="IL87" s="172">
        <f>MIN(1,MAX(VLOOKUP(($AJ87-$AI87-$AH87-$AG87-$AF87-$AE87*(1+IL$3))/$AJ87,'Технический лист'!$A:$B,2,1),(IK87-0.05)))</f>
        <v/>
      </c>
      <c r="IM87" s="172">
        <f>MIN(1,MAX(VLOOKUP(($AJ87-$AI87-$AH87-$AG87-$AF87-$AE87*(1+IM$3))/$AJ87,'Технический лист'!$A:$B,2,1),(IL87-0.05)))</f>
        <v/>
      </c>
      <c r="IN87" s="172">
        <f>MIN(1,MAX(VLOOKUP(($AJ87-$AI87-$AH87-$AG87-$AF87-$AE87*(1+IN$3))/$AJ87,'Технический лист'!$A:$B,2,1),(IM87-0.05)))</f>
        <v/>
      </c>
      <c r="IO87" s="172">
        <f>MIN(1,MAX(VLOOKUP(($AJ87-$AI87-$AH87-$AG87-$AF87-$AE87*(1+IO$3))/$AJ87,'Технический лист'!$A:$B,2,1),(IN87-0.05)))</f>
        <v/>
      </c>
      <c r="IP87" s="172">
        <f>MIN(1,MAX(VLOOKUP(($AJ87-$AI87-$AH87-$AG87-$AF87-$AE87*(1+IP$3))/$AJ87,'Технический лист'!$A:$B,2,1),(IO87-0.05)))</f>
        <v/>
      </c>
      <c r="IQ87" s="172">
        <f>MIN(1,MAX(VLOOKUP(($AJ87-$AI87-$AH87-$AG87-$AF87-$AE87*(1+IQ$3))/$AJ87,'Технический лист'!$A:$B,2,1),(IP87-0.05)))</f>
        <v/>
      </c>
      <c r="IR87" s="172">
        <f>MIN(1,MAX(VLOOKUP(($AJ87-$AI87-$AH87-$AG87-$AF87-$AE87*(1+IR$3))/$AJ87,'Технический лист'!$A:$B,2,1),(IQ87-0.05)))</f>
        <v/>
      </c>
    </row>
    <row r="88" ht="58.3" customHeight="1" s="123">
      <c r="A88" s="89" t="inlineStr">
        <is>
          <t>ЧМ (продукция)</t>
        </is>
      </c>
      <c r="B88" s="90" t="n">
        <v>5</v>
      </c>
      <c r="C88" s="5" t="inlineStr">
        <is>
          <t>Черные металлы</t>
        </is>
      </c>
      <c r="D88" s="91" t="n">
        <v>32411</v>
      </c>
      <c r="E88" s="91" t="inlineStr">
        <is>
          <t xml:space="preserve">Прокат черных металлов, не поименованный в алфавите </t>
        </is>
      </c>
      <c r="F88" s="92" t="inlineStr">
        <is>
          <t>ПРОЧИЕ ВИДЫ ПРОКАТА ЧЕРНЫ</t>
        </is>
      </c>
      <c r="G88" s="91" t="inlineStr">
        <is>
          <t>СВР</t>
        </is>
      </c>
      <c r="H88" s="91" t="inlineStr">
        <is>
          <t>МСК</t>
        </is>
      </c>
      <c r="I88" s="91" t="inlineStr">
        <is>
          <t>СМЫЧКА</t>
        </is>
      </c>
      <c r="J88" s="91" t="inlineStr">
        <is>
          <t>ЭЛЕКТРОУГЛИ</t>
        </is>
      </c>
      <c r="K88" s="91" t="n">
        <v>1784</v>
      </c>
      <c r="L88" s="91" t="inlineStr">
        <is>
          <t>Полувагоны</t>
        </is>
      </c>
      <c r="M88" s="91" t="inlineStr">
        <is>
          <t>Внутр. перевозки</t>
        </is>
      </c>
      <c r="N88" s="91" t="inlineStr">
        <is>
          <t>вагонная</t>
        </is>
      </c>
      <c r="O88" s="91" t="inlineStr">
        <is>
          <t xml:space="preserve">Северо-Западное </t>
        </is>
      </c>
      <c r="P88" s="89" t="inlineStr">
        <is>
          <t>'000000186269</t>
        </is>
      </c>
      <c r="Q88" s="91" t="inlineStr">
        <is>
          <t>АО "ЕВРАЗ НТМК"</t>
        </is>
      </c>
      <c r="R88" s="91" t="inlineStr">
        <is>
          <t>ООО "ЕвразХолдинг"</t>
        </is>
      </c>
      <c r="S88" s="87" t="n">
        <v>74144</v>
      </c>
      <c r="T88" s="87" t="n">
        <v>132292835</v>
      </c>
      <c r="U88" s="88" t="n">
        <v>1109</v>
      </c>
      <c r="V88" s="88" t="n">
        <v>0</v>
      </c>
      <c r="W88" s="87" t="n">
        <v>224735299</v>
      </c>
      <c r="X88" s="112" t="n">
        <v>67</v>
      </c>
      <c r="Y88" s="112" t="inlineStr">
        <is>
          <t>групповая</t>
        </is>
      </c>
      <c r="Z88" s="113" t="n">
        <v>8</v>
      </c>
      <c r="AA88" s="113" t="n">
        <v>6</v>
      </c>
      <c r="AB88" s="113" t="n">
        <v>4</v>
      </c>
      <c r="AC88" s="161" t="n">
        <v>3276.94</v>
      </c>
      <c r="AD88" s="161">
        <f>AE88-AC88</f>
        <v/>
      </c>
      <c r="AE88" s="161" t="n">
        <v>3784.73</v>
      </c>
      <c r="AF88" s="162">
        <f>(Z88+AA88+AB88)*'Ставки аренды'!$B$3/X88</f>
        <v/>
      </c>
      <c r="AG88" s="163" t="n">
        <v>0</v>
      </c>
      <c r="AH88" s="164" t="n">
        <v>0</v>
      </c>
      <c r="AI88" s="165">
        <f>0.71*AJ88</f>
        <v/>
      </c>
      <c r="AJ88" s="166">
        <f>Цены!D23</f>
        <v/>
      </c>
      <c r="AK88" s="164">
        <f>AJ88/Цены!$B$1</f>
        <v/>
      </c>
      <c r="AL88" s="164">
        <f>AE88+AF88+AG88</f>
        <v/>
      </c>
      <c r="AM88" s="164">
        <f>AJ88-AL88</f>
        <v/>
      </c>
      <c r="AN88" s="164">
        <f>AI88+AH88+AG88+AF88+AE88</f>
        <v/>
      </c>
      <c r="AO88" s="167">
        <f>(AJ88-AN88)/AJ88</f>
        <v/>
      </c>
      <c r="AP88" s="168">
        <f>AL88/AJ88</f>
        <v/>
      </c>
      <c r="AQ88" s="168">
        <f>AE88/AJ88</f>
        <v/>
      </c>
      <c r="AR88" s="168">
        <f>AE88/AL88</f>
        <v/>
      </c>
      <c r="AS88" s="169" t="n">
        <v>1</v>
      </c>
      <c r="AT88" s="121">
        <f>S88*AS88</f>
        <v/>
      </c>
      <c r="AU88" s="83" t="n">
        <v>0.75</v>
      </c>
      <c r="AV88" s="170">
        <f>(AJ88-(AE88*(1+$IS$2)+AF88+AG88+AH88+AI88))/AJ88</f>
        <v/>
      </c>
      <c r="AW88" s="171">
        <f>(AE88*(1+$IS$2)+AF88+AG88)/AJ88</f>
        <v/>
      </c>
      <c r="AX88" s="171">
        <f>(AE88*(1+$IS$2))/AJ88</f>
        <v/>
      </c>
      <c r="AY88" s="171">
        <f>(AE88*(1+$IS$2))/(AE88*(1+$IS$2)+AF88+AG88)</f>
        <v/>
      </c>
      <c r="AZ88" s="172">
        <f>MIN(IF($AU88=100%,1,1+VLOOKUP(($AJ88-$AI88-$AH88-$AG88-$AF88-$AE88*(1+AZ$3))/$AJ88,'Технический лист'!$I:$J,2,1)-VLOOKUP($AO88,'Технический лист'!$I:$J,2,1)),1+(1-$AU88))</f>
        <v/>
      </c>
      <c r="BA88" s="172">
        <f>MIN(IF($AU88=100%,1,1+VLOOKUP(($AJ88-$AI88-$AH88-$AG88-$AF88-$AE88*(1+BA$3))/$AJ88,'Технический лист'!$I:$J,2,1)-VLOOKUP($AO88,'Технический лист'!$I:$J,2,1)),1+(1-$AU88))</f>
        <v/>
      </c>
      <c r="BB88" s="172">
        <f>MIN(IF($AU88=100%,1,1+VLOOKUP(($AJ88-$AI88-$AH88-$AG88-$AF88-$AE88*(1+BB$3))/$AJ88,'Технический лист'!$I:$J,2,1)-VLOOKUP($AO88,'Технический лист'!$I:$J,2,1)),1+(1-$AU88))</f>
        <v/>
      </c>
      <c r="BC88" s="172">
        <f>MIN(IF($AU88=100%,1,1+VLOOKUP(($AJ88-$AI88-$AH88-$AG88-$AF88-$AE88*(1+BC$3))/$AJ88,'Технический лист'!$I:$J,2,1)-VLOOKUP($AO88,'Технический лист'!$I:$J,2,1)),1+(1-$AU88))</f>
        <v/>
      </c>
      <c r="BD88" s="172">
        <f>MIN(IF($AU88=100%,1,1+VLOOKUP(($AJ88-$AI88-$AH88-$AG88-$AF88-$AE88*(1+BD$3))/$AJ88,'Технический лист'!$I:$J,2,1)-VLOOKUP($AO88,'Технический лист'!$I:$J,2,1)),1+(1-$AU88))</f>
        <v/>
      </c>
      <c r="BE88" s="172">
        <f>MIN(IF($AU88=100%,1,1+VLOOKUP(($AJ88-$AI88-$AH88-$AG88-$AF88-$AE88*(1+BE$3))/$AJ88,'Технический лист'!$I:$J,2,1)-VLOOKUP($AO88,'Технический лист'!$I:$J,2,1)),1+(1-$AU88))</f>
        <v/>
      </c>
      <c r="BF88" s="172">
        <f>MIN(IF($AU88=100%,1,1+VLOOKUP(($AJ88-$AI88-$AH88-$AG88-$AF88-$AE88*(1+BF$3))/$AJ88,'Технический лист'!$I:$J,2,1)-VLOOKUP($AO88,'Технический лист'!$I:$J,2,1)),1+(1-$AU88))</f>
        <v/>
      </c>
      <c r="BG88" s="172">
        <f>MIN(IF($AU88=100%,1,1+VLOOKUP(($AJ88-$AI88-$AH88-$AG88-$AF88-$AE88*(1+BG$3))/$AJ88,'Технический лист'!$I:$J,2,1)-VLOOKUP($AO88,'Технический лист'!$I:$J,2,1)),1+(1-$AU88))</f>
        <v/>
      </c>
      <c r="BH88" s="172">
        <f>MIN(IF($AU88=100%,1,1+VLOOKUP(($AJ88-$AI88-$AH88-$AG88-$AF88-$AE88*(1+BH$3))/$AJ88,'Технический лист'!$I:$J,2,1)-VLOOKUP($AO88,'Технический лист'!$I:$J,2,1)),1+(1-$AU88))</f>
        <v/>
      </c>
      <c r="BI88" s="172">
        <f>MIN(IF($AU88=100%,1,1+VLOOKUP(($AJ88-$AI88-$AH88-$AG88-$AF88-$AE88*(1+BI$3))/$AJ88,'Технический лист'!$I:$J,2,1)-VLOOKUP($AO88,'Технический лист'!$I:$J,2,1)),1+(1-$AU88))</f>
        <v/>
      </c>
      <c r="BJ88" s="172">
        <f>MIN(IF($AU88=100%,1,1+VLOOKUP(($AJ88-$AI88-$AH88-$AG88-$AF88-$AE88*(1+BJ$3))/$AJ88,'Технический лист'!$I:$J,2,1)-VLOOKUP($AO88,'Технический лист'!$I:$J,2,1)),1+(1-$AU88))</f>
        <v/>
      </c>
      <c r="BK88" s="172">
        <f>MIN(IF($AU88=100%,1,1+VLOOKUP(($AJ88-$AI88-$AH88-$AG88-$AF88-$AE88*(1+BK$3))/$AJ88,'Технический лист'!$I:$J,2,1)-VLOOKUP($AO88,'Технический лист'!$I:$J,2,1)),1+(1-$AU88))</f>
        <v/>
      </c>
      <c r="BL88" s="172">
        <f>MIN(IF($AU88=100%,1,1+VLOOKUP(($AJ88-$AI88-$AH88-$AG88-$AF88-$AE88*(1+BL$3))/$AJ88,'Технический лист'!$I:$J,2,1)-VLOOKUP($AO88,'Технический лист'!$I:$J,2,1)),1+(1-$AU88))</f>
        <v/>
      </c>
      <c r="BM88" s="172">
        <f>MIN(IF($AU88=100%,1,1+VLOOKUP(($AJ88-$AI88-$AH88-$AG88-$AF88-$AE88*(1+BM$3))/$AJ88,'Технический лист'!$I:$J,2,1)-VLOOKUP($AO88,'Технический лист'!$I:$J,2,1)),1+(1-$AU88))</f>
        <v/>
      </c>
      <c r="BN88" s="172">
        <f>MIN(IF($AU88=100%,1,1+VLOOKUP(($AJ88-$AI88-$AH88-$AG88-$AF88-$AE88*(1+BN$3))/$AJ88,'Технический лист'!$I:$J,2,1)-VLOOKUP($AO88,'Технический лист'!$I:$J,2,1)),1+(1-$AU88))</f>
        <v/>
      </c>
      <c r="BO88" s="172">
        <f>MIN(IF($AU88=100%,1,1+VLOOKUP(($AJ88-$AI88-$AH88-$AG88-$AF88-$AE88*(1+BO$3))/$AJ88,'Технический лист'!$I:$J,2,1)-VLOOKUP($AO88,'Технический лист'!$I:$J,2,1)),1+(1-$AU88))</f>
        <v/>
      </c>
      <c r="BP88" s="172">
        <f>MIN(IF($AU88=100%,1,1+VLOOKUP(($AJ88-$AI88-$AH88-$AG88-$AF88-$AE88*(1+BP$3))/$AJ88,'Технический лист'!$I:$J,2,1)-VLOOKUP($AO88,'Технический лист'!$I:$J,2,1)),1+(1-$AU88))</f>
        <v/>
      </c>
      <c r="BQ88" s="172">
        <f>MIN(IF($AU88=100%,1,1+VLOOKUP(($AJ88-$AI88-$AH88-$AG88-$AF88-$AE88*(1+BQ$3))/$AJ88,'Технический лист'!$I:$J,2,1)-VLOOKUP($AO88,'Технический лист'!$I:$J,2,1)),1+(1-$AU88))</f>
        <v/>
      </c>
      <c r="BR88" s="172">
        <f>MIN(IF($AU88=100%,1,1+VLOOKUP(($AJ88-$AI88-$AH88-$AG88-$AF88-$AE88*(1+BR$3))/$AJ88,'Технический лист'!$I:$J,2,1)-VLOOKUP($AO88,'Технический лист'!$I:$J,2,1)),1+(1-$AU88))</f>
        <v/>
      </c>
      <c r="BS88" s="172">
        <f>MIN(IF($AU88=100%,1,1+VLOOKUP(($AJ88-$AI88-$AH88-$AG88-$AF88-$AE88*(1+BS$3))/$AJ88,'Технический лист'!$I:$J,2,1)-VLOOKUP($AO88,'Технический лист'!$I:$J,2,1)),1+(1-$AU88))</f>
        <v/>
      </c>
      <c r="BT88" s="172">
        <f>MIN(IF($AU88=100%,1,1+VLOOKUP(($AJ88-$AI88-$AH88-$AG88-$AF88-$AE88*(1+BT$3))/$AJ88,'Технический лист'!$I:$J,2,1)-VLOOKUP($AO88,'Технический лист'!$I:$J,2,1)),1+(1-$AU88))</f>
        <v/>
      </c>
      <c r="BU88" s="172">
        <f>MIN(IF($AU88=100%,1,1+VLOOKUP(($AJ88-$AI88-$AH88-$AG88-$AF88-$AE88*(1+BU$3))/$AJ88,'Технический лист'!$I:$J,2,1)-VLOOKUP($AO88,'Технический лист'!$I:$J,2,1)),1+(1-$AU88))</f>
        <v/>
      </c>
      <c r="BV88" s="172">
        <f>MIN(IF($AU88=100%,1,1+VLOOKUP(($AJ88-$AI88-$AH88-$AG88-$AF88-$AE88*(1+BV$3))/$AJ88,'Технический лист'!$I:$J,2,1)-VLOOKUP($AO88,'Технический лист'!$I:$J,2,1)),1+(1-$AU88))</f>
        <v/>
      </c>
      <c r="BW88" s="172">
        <f>MIN(IF($AU88=100%,1,1+VLOOKUP(($AJ88-$AI88-$AH88-$AG88-$AF88-$AE88*(1+BW$3))/$AJ88,'Технический лист'!$I:$J,2,1)-VLOOKUP($AO88,'Технический лист'!$I:$J,2,1)),1+(1-$AU88))</f>
        <v/>
      </c>
      <c r="BX88" s="172">
        <f>MIN(IF($AU88=100%,1,1+VLOOKUP(($AJ88-$AI88-$AH88-$AG88-$AF88-$AE88*(1+BX$3))/$AJ88,'Технический лист'!$I:$J,2,1)-VLOOKUP($AO88,'Технический лист'!$I:$J,2,1)),1+(1-$AU88))</f>
        <v/>
      </c>
      <c r="BY88" s="172">
        <f>MIN(IF($AU88=100%,1,1+VLOOKUP(($AJ88-$AI88-$AH88-$AG88-$AF88-$AE88*(1+BY$3))/$AJ88,'Технический лист'!$I:$J,2,1)-VLOOKUP($AO88,'Технический лист'!$I:$J,2,1)),1+(1-$AU88))</f>
        <v/>
      </c>
      <c r="BZ88" s="172">
        <f>MIN(IF($AU88=100%,1,1+VLOOKUP(($AJ88-$AI88-$AH88-$AG88-$AF88-$AE88*(1+BZ$3))/$AJ88,'Технический лист'!$I:$J,2,1)-VLOOKUP($AO88,'Технический лист'!$I:$J,2,1)),1+(1-$AU88))</f>
        <v/>
      </c>
      <c r="CA88" s="172">
        <f>MIN(IF($AU88=100%,1,1+VLOOKUP(($AJ88-$AI88-$AH88-$AG88-$AF88-$AE88*(1+CA$3))/$AJ88,'Технический лист'!$I:$J,2,1)-VLOOKUP($AO88,'Технический лист'!$I:$J,2,1)),1+(1-$AU88))</f>
        <v/>
      </c>
      <c r="CB88" s="172">
        <f>MIN(IF($AU88=100%,1,1+VLOOKUP(($AJ88-$AI88-$AH88-$AG88-$AF88-$AE88*(1+CB$3))/$AJ88,'Технический лист'!$I:$J,2,1)-VLOOKUP($AO88,'Технический лист'!$I:$J,2,1)),1+(1-$AU88))</f>
        <v/>
      </c>
      <c r="CC88" s="172">
        <f>MIN(IF($AU88=100%,1,1+VLOOKUP(($AJ88-$AI88-$AH88-$AG88-$AF88-$AE88*(1+CC$3))/$AJ88,'Технический лист'!$I:$J,2,1)-VLOOKUP($AO88,'Технический лист'!$I:$J,2,1)),1+(1-$AU88))</f>
        <v/>
      </c>
      <c r="CD88" s="172">
        <f>MIN(IF($AU88=100%,1,1+VLOOKUP(($AJ88-$AI88-$AH88-$AG88-$AF88-$AE88*(1+CD$3))/$AJ88,'Технический лист'!$I:$J,2,1)-VLOOKUP($AO88,'Технический лист'!$I:$J,2,1)),1+(1-$AU88))</f>
        <v/>
      </c>
      <c r="CE88" s="172">
        <f>MIN(IF($AU88=100%,1,1+VLOOKUP(($AJ88-$AI88-$AH88-$AG88-$AF88-$AE88*(1+CE$3))/$AJ88,'Технический лист'!$I:$J,2,1)-VLOOKUP($AO88,'Технический лист'!$I:$J,2,1)),1+(1-$AU88))</f>
        <v/>
      </c>
      <c r="CF88" s="172">
        <f>MIN(IF($AU88=100%,1,1+VLOOKUP(($AJ88-$AI88-$AH88-$AG88-$AF88-$AE88*(1+CF$3))/$AJ88,'Технический лист'!$I:$J,2,1)-VLOOKUP($AO88,'Технический лист'!$I:$J,2,1)),1+(1-$AU88))</f>
        <v/>
      </c>
      <c r="CG88" s="172">
        <f>MIN(IF($AU88=100%,1,1+VLOOKUP(($AJ88-$AI88-$AH88-$AG88-$AF88-$AE88*(1+CG$3))/$AJ88,'Технический лист'!$I:$J,2,1)-VLOOKUP($AO88,'Технический лист'!$I:$J,2,1)),1+(1-$AU88))</f>
        <v/>
      </c>
      <c r="CH88" s="172">
        <f>MIN(IF($AU88=100%,1,1+VLOOKUP(($AJ88-$AI88-$AH88-$AG88-$AF88-$AE88*(1+CH$3))/$AJ88,'Технический лист'!$I:$J,2,1)-VLOOKUP($AO88,'Технический лист'!$I:$J,2,1)),1+(1-$AU88))</f>
        <v/>
      </c>
      <c r="CI88" s="172">
        <f>MIN(IF($AU88=100%,1,1+VLOOKUP(($AJ88-$AI88-$AH88-$AG88-$AF88-$AE88*(1+CI$3))/$AJ88,'Технический лист'!$I:$J,2,1)-VLOOKUP($AO88,'Технический лист'!$I:$J,2,1)),1+(1-$AU88))</f>
        <v/>
      </c>
      <c r="CJ88" s="172">
        <f>MIN(IF($AU88=100%,1,1+VLOOKUP(($AJ88-$AI88-$AH88-$AG88-$AF88-$AE88*(1+CJ$3))/$AJ88,'Технический лист'!$I:$J,2,1)-VLOOKUP($AO88,'Технический лист'!$I:$J,2,1)),1+(1-$AU88))</f>
        <v/>
      </c>
      <c r="CK88" s="172">
        <f>MIN(IF($AU88=100%,1,1+VLOOKUP(($AJ88-$AI88-$AH88-$AG88-$AF88-$AE88*(1+CK$3))/$AJ88,'Технический лист'!$I:$J,2,1)-VLOOKUP($AO88,'Технический лист'!$I:$J,2,1)),1+(1-$AU88))</f>
        <v/>
      </c>
      <c r="CL88" s="172">
        <f>MIN(IF($AU88=100%,1,1+VLOOKUP(($AJ88-$AI88-$AH88-$AG88-$AF88-$AE88*(1+CL$3))/$AJ88,'Технический лист'!$I:$J,2,1)-VLOOKUP($AO88,'Технический лист'!$I:$J,2,1)),1+(1-$AU88))</f>
        <v/>
      </c>
      <c r="CM88" s="172">
        <f>MIN(IF($AU88=100%,1,1+VLOOKUP(($AJ88-$AI88-$AH88-$AG88-$AF88-$AE88*(1+CM$3))/$AJ88,'Технический лист'!$I:$J,2,1)-VLOOKUP($AO88,'Технический лист'!$I:$J,2,1)),1+(1-$AU88))</f>
        <v/>
      </c>
      <c r="CN88" s="172">
        <f>MIN(IF($AU88=100%,1,1+VLOOKUP(($AJ88-$AI88-$AH88-$AG88-$AF88-$AE88*(1+CN$3))/$AJ88,'Технический лист'!$I:$J,2,1)-VLOOKUP($AO88,'Технический лист'!$I:$J,2,1)),1+(1-$AU88))</f>
        <v/>
      </c>
      <c r="CO88" s="172">
        <f>MIN(IF($AU88=100%,1,1+VLOOKUP(($AJ88-$AI88-$AH88-$AG88-$AF88-$AE88*(1+CO$3))/$AJ88,'Технический лист'!$I:$J,2,1)-VLOOKUP($AO88,'Технический лист'!$I:$J,2,1)),1+(1-$AU88))</f>
        <v/>
      </c>
      <c r="CP88" s="172">
        <f>MIN(IF($AU88=100%,1,1+VLOOKUP(($AJ88-$AI88-$AH88-$AG88-$AF88-$AE88*(1+CP$3))/$AJ88,'Технический лист'!$I:$J,2,1)-VLOOKUP($AO88,'Технический лист'!$I:$J,2,1)),1+(1-$AU88))</f>
        <v/>
      </c>
      <c r="CQ88" s="172">
        <f>MIN(IF($AU88=100%,1,1+VLOOKUP(($AJ88-$AI88-$AH88-$AG88-$AF88-$AE88*(1+CQ$3))/$AJ88,'Технический лист'!$I:$J,2,1)-VLOOKUP($AO88,'Технический лист'!$I:$J,2,1)),1+(1-$AU88))</f>
        <v/>
      </c>
      <c r="CR88" s="172">
        <f>MIN(IF($AU88=100%,1,1+VLOOKUP(($AJ88-$AI88-$AH88-$AG88-$AF88-$AE88*(1+CR$3))/$AJ88,'Технический лист'!$I:$J,2,1)-VLOOKUP($AO88,'Технический лист'!$I:$J,2,1)),1+(1-$AU88))</f>
        <v/>
      </c>
      <c r="CS88" s="172">
        <f>MIN(IF($AU88=100%,1,1+VLOOKUP(($AJ88-$AI88-$AH88-$AG88-$AF88-$AE88*(1+CS$3))/$AJ88,'Технический лист'!$I:$J,2,1)-VLOOKUP($AO88,'Технический лист'!$I:$J,2,1)),1+(1-$AU88))</f>
        <v/>
      </c>
      <c r="CT88" s="172">
        <f>MIN(IF($AU88=100%,1,1+VLOOKUP(($AJ88-$AI88-$AH88-$AG88-$AF88-$AE88*(1+CT$3))/$AJ88,'Технический лист'!$I:$J,2,1)-VLOOKUP($AO88,'Технический лист'!$I:$J,2,1)),1+(1-$AU88))</f>
        <v/>
      </c>
      <c r="CU88" s="172">
        <f>MIN(IF($AU88=100%,1,1+VLOOKUP(($AJ88-$AI88-$AH88-$AG88-$AF88-$AE88*(1+CU$3))/$AJ88,'Технический лист'!$I:$J,2,1)-VLOOKUP($AO88,'Технический лист'!$I:$J,2,1)),1+(1-$AU88))</f>
        <v/>
      </c>
      <c r="CV88" s="172">
        <f>MIN(IF($AU88=100%,1,1+VLOOKUP(($AJ88-$AI88-$AH88-$AG88-$AF88-$AE88*(1+CV$3))/$AJ88,'Технический лист'!$I:$J,2,1)-VLOOKUP($AO88,'Технический лист'!$I:$J,2,1)),1+(1-$AU88))</f>
        <v/>
      </c>
      <c r="CW88" s="172">
        <f>MIN(IF($AU88=100%,1,1+VLOOKUP(($AJ88-$AI88-$AH88-$AG88-$AF88-$AE88*(1+CW$3))/$AJ88,'Технический лист'!$I:$J,2,1)-VLOOKUP($AO88,'Технический лист'!$I:$J,2,1)),1+(1-$AU88))</f>
        <v/>
      </c>
      <c r="CX88" s="172">
        <f>MIN(IF($AU88=100%,1,1+VLOOKUP(($AJ88-$AI88-$AH88-$AG88-$AF88-$AE88*(1+CX$3))/$AJ88,'Технический лист'!$I:$J,2,1)-VLOOKUP($AO88,'Технический лист'!$I:$J,2,1)),1+(1-$AU88))</f>
        <v/>
      </c>
      <c r="CY88" s="172">
        <f>MIN(IF($AU88=100%,1,1+VLOOKUP(($AJ88-$AI88-$AH88-$AG88-$AF88-$AE88*(1+CY$3))/$AJ88,'Технический лист'!$I:$J,2,1)-VLOOKUP($AO88,'Технический лист'!$I:$J,2,1)),1+(1-$AU88))</f>
        <v/>
      </c>
      <c r="CZ88" s="172">
        <f>MIN(IF($AU88=100%,1,1+VLOOKUP(($AJ88-$AI88-$AH88-$AG88-$AF88-$AE88*(1+CZ$3))/$AJ88,'Технический лист'!$I:$J,2,1)-VLOOKUP($AO88,'Технический лист'!$I:$J,2,1)),1+(1-$AU88))</f>
        <v/>
      </c>
      <c r="DA88" s="172">
        <f>MIN(IF($AU88=100%,1,1+VLOOKUP(($AJ88-$AI88-$AH88-$AG88-$AF88-$AE88*(1+DA$3))/$AJ88,'Технический лист'!$I:$J,2,1)-VLOOKUP($AO88,'Технический лист'!$I:$J,2,1)),1+(1-$AU88))</f>
        <v/>
      </c>
      <c r="DB88" s="172">
        <f>MIN(IF($AU88=100%,1,1+VLOOKUP(($AJ88-$AI88-$AH88-$AG88-$AF88-$AE88*(1+DB$3))/$AJ88,'Технический лист'!$I:$J,2,1)-VLOOKUP($AO88,'Технический лист'!$I:$J,2,1)),1+(1-$AU88))</f>
        <v/>
      </c>
      <c r="DC88" s="172">
        <f>MIN(IF($AU88=100%,1,1+VLOOKUP(($AJ88-$AI88-$AH88-$AG88-$AF88-$AE88*(1+DC$3))/$AJ88,'Технический лист'!$I:$J,2,1)-VLOOKUP($AO88,'Технический лист'!$I:$J,2,1)),1+(1-$AU88))</f>
        <v/>
      </c>
      <c r="DD88" s="172">
        <f>MIN(IF($AU88=100%,1,1+VLOOKUP(($AJ88-$AI88-$AH88-$AG88-$AF88-$AE88*(1+DD$3))/$AJ88,'Технический лист'!$I:$J,2,1)-VLOOKUP($AO88,'Технический лист'!$I:$J,2,1)),1+(1-$AU88))</f>
        <v/>
      </c>
      <c r="DE88" s="172">
        <f>MIN(IF($AU88=100%,1,1+VLOOKUP(($AJ88-$AI88-$AH88-$AG88-$AF88-$AE88*(1+DE$3))/$AJ88,'Технический лист'!$I:$J,2,1)-VLOOKUP($AO88,'Технический лист'!$I:$J,2,1)),1+(1-$AU88))</f>
        <v/>
      </c>
      <c r="DF88" s="172">
        <f>MIN(IF($AU88=100%,1,1+VLOOKUP(($AJ88-$AI88-$AH88-$AG88-$AF88-$AE88*(1+DF$3))/$AJ88,'Технический лист'!$I:$J,2,1)-VLOOKUP($AO88,'Технический лист'!$I:$J,2,1)),1+(1-$AU88))</f>
        <v/>
      </c>
      <c r="DG88" s="172">
        <f>MIN(IF($AU88=100%,1,1+VLOOKUP(($AJ88-$AI88-$AH88-$AG88-$AF88-$AE88*(1+DG$3))/$AJ88,'Технический лист'!$I:$J,2,1)-VLOOKUP($AO88,'Технический лист'!$I:$J,2,1)),1+(1-$AU88))</f>
        <v/>
      </c>
      <c r="DH88" s="172">
        <f>MIN(IF($AU88=100%,1,1+VLOOKUP(($AJ88-$AI88-$AH88-$AG88-$AF88-$AE88*(1+DH$3))/$AJ88,'Технический лист'!$I:$J,2,1)-VLOOKUP($AO88,'Технический лист'!$I:$J,2,1)),1+(1-$AU88))</f>
        <v/>
      </c>
      <c r="DI88" s="172">
        <f>MIN(IF($AU88=100%,1,1+VLOOKUP(($AJ88-$AI88-$AH88-$AG88-$AF88-$AE88*(1+DI$3))/$AJ88,'Технический лист'!$I:$J,2,1)-VLOOKUP($AO88,'Технический лист'!$I:$J,2,1)),1+(1-$AU88))</f>
        <v/>
      </c>
      <c r="DJ88" s="172">
        <f>MIN(IF($AU88=100%,1,1+VLOOKUP(($AJ88-$AI88-$AH88-$AG88-$AF88-$AE88*(1+DJ$3))/$AJ88,'Технический лист'!$I:$J,2,1)-VLOOKUP($AO88,'Технический лист'!$I:$J,2,1)),1+(1-$AU88))</f>
        <v/>
      </c>
      <c r="DK88" s="172">
        <f>MIN(IF($AU88=100%,1,1+VLOOKUP(($AJ88-$AI88-$AH88-$AG88-$AF88-$AE88*(1+DK$3))/$AJ88,'Технический лист'!$I:$J,2,1)-VLOOKUP($AO88,'Технический лист'!$I:$J,2,1)),1+(1-$AU88))</f>
        <v/>
      </c>
      <c r="DL88" s="172">
        <f>MIN(IF($AU88=100%,1,1+VLOOKUP(($AJ88-$AI88-$AH88-$AG88-$AF88-$AE88*(1+DL$3))/$AJ88,'Технический лист'!$I:$J,2,1)-VLOOKUP($AO88,'Технический лист'!$I:$J,2,1)),1+(1-$AU88))</f>
        <v/>
      </c>
      <c r="DM88" s="172">
        <f>MIN(IF($AU88=100%,1,1+VLOOKUP(($AJ88-$AI88-$AH88-$AG88-$AF88-$AE88*(1+DM$3))/$AJ88,'Технический лист'!$I:$J,2,1)-VLOOKUP($AO88,'Технический лист'!$I:$J,2,1)),1+(1-$AU88))</f>
        <v/>
      </c>
      <c r="DN88" s="172">
        <f>MIN(IF($AU88=100%,1,1+VLOOKUP(($AJ88-$AI88-$AH88-$AG88-$AF88-$AE88*(1+DN$3))/$AJ88,'Технический лист'!$I:$J,2,1)-VLOOKUP($AO88,'Технический лист'!$I:$J,2,1)),1+(1-$AU88))</f>
        <v/>
      </c>
      <c r="DO88" s="172">
        <f>MIN(IF($AU88=100%,1,1+VLOOKUP(($AJ88-$AI88-$AH88-$AG88-$AF88-$AE88*(1+DO$3))/$AJ88,'Технический лист'!$I:$J,2,1)-VLOOKUP($AO88,'Технический лист'!$I:$J,2,1)),1+(1-$AU88))</f>
        <v/>
      </c>
      <c r="DP88" s="172">
        <f>MIN(IF($AU88=100%,1,1+VLOOKUP(($AJ88-$AI88-$AH88-$AG88-$AF88-$AE88*(1+DP$3))/$AJ88,'Технический лист'!$I:$J,2,1)-VLOOKUP($AO88,'Технический лист'!$I:$J,2,1)),1+(1-$AU88))</f>
        <v/>
      </c>
      <c r="DQ88" s="172">
        <f>MIN(IF($AU88=100%,1,1+VLOOKUP(($AJ88-$AI88-$AH88-$AG88-$AF88-$AE88*(1+DQ$3))/$AJ88,'Технический лист'!$I:$J,2,1)-VLOOKUP($AO88,'Технический лист'!$I:$J,2,1)),1+(1-$AU88))</f>
        <v/>
      </c>
      <c r="DR88" s="172">
        <f>MIN(IF($AU88=100%,1,1+VLOOKUP(($AJ88-$AI88-$AH88-$AG88-$AF88-$AE88*(1+DR$3))/$AJ88,'Технический лист'!$I:$J,2,1)-VLOOKUP($AO88,'Технический лист'!$I:$J,2,1)),1+(1-$AU88))</f>
        <v/>
      </c>
      <c r="DS88" s="172">
        <f>MIN(IF($AU88=100%,1,1+VLOOKUP(($AJ88-$AI88-$AH88-$AG88-$AF88-$AE88*(1+DS$3))/$AJ88,'Технический лист'!$I:$J,2,1)-VLOOKUP($AO88,'Технический лист'!$I:$J,2,1)),1+(1-$AU88))</f>
        <v/>
      </c>
      <c r="DT88" s="172">
        <f>MIN(IF($AU88=100%,1,1+VLOOKUP(($AJ88-$AI88-$AH88-$AG88-$AF88-$AE88*(1+DT$3))/$AJ88,'Технический лист'!$I:$J,2,1)-VLOOKUP($AO88,'Технический лист'!$I:$J,2,1)),1+(1-$AU88))</f>
        <v/>
      </c>
      <c r="DU88" s="172">
        <f>MIN(IF($AU88=100%,1,1+VLOOKUP(($AJ88-$AI88-$AH88-$AG88-$AF88-$AE88*(1+DU$3))/$AJ88,'Технический лист'!$I:$J,2,1)-VLOOKUP($AO88,'Технический лист'!$I:$J,2,1)),1+(1-$AU88))</f>
        <v/>
      </c>
      <c r="DV88" s="172">
        <f>MIN(IF($AU88=100%,1,1+VLOOKUP(($AJ88-$AI88-$AH88-$AG88-$AF88-$AE88*(1+DV$3))/$AJ88,'Технический лист'!$I:$J,2,1)-VLOOKUP($AO88,'Технический лист'!$I:$J,2,1)),1+(1-$AU88))</f>
        <v/>
      </c>
      <c r="DW88" s="172">
        <f>MIN(IF($AU88=100%,1,1+VLOOKUP(($AJ88-$AI88-$AH88-$AG88-$AF88-$AE88*(1+DW$3))/$AJ88,'Технический лист'!$I:$J,2,1)-VLOOKUP($AO88,'Технический лист'!$I:$J,2,1)),1+(1-$AU88))</f>
        <v/>
      </c>
      <c r="DX88" s="172">
        <f>MIN(IF($AU88=100%,1,1+VLOOKUP(($AJ88-$AI88-$AH88-$AG88-$AF88-$AE88*(1+DX$3))/$AJ88,'Технический лист'!$I:$J,2,1)-VLOOKUP($AO88,'Технический лист'!$I:$J,2,1)),1+(1-$AU88))</f>
        <v/>
      </c>
      <c r="DY88" s="172">
        <f>MIN(IF($AU88=100%,1,1+VLOOKUP(($AJ88-$AI88-$AH88-$AG88-$AF88-$AE88*(1+DY$3))/$AJ88,'Технический лист'!$I:$J,2,1)-VLOOKUP($AO88,'Технический лист'!$I:$J,2,1)),1+(1-$AU88))</f>
        <v/>
      </c>
      <c r="DZ88" s="172">
        <f>MIN(IF($AU88=100%,1,1+VLOOKUP(($AJ88-$AI88-$AH88-$AG88-$AF88-$AE88*(1+DZ$3))/$AJ88,'Технический лист'!$I:$J,2,1)-VLOOKUP($AO88,'Технический лист'!$I:$J,2,1)),1+(1-$AU88))</f>
        <v/>
      </c>
      <c r="EA88" s="172">
        <f>MIN(IF($AU88=100%,1,1+VLOOKUP(($AJ88-$AI88-$AH88-$AG88-$AF88-$AE88*(1+EA$3))/$AJ88,'Технический лист'!$I:$J,2,1)-VLOOKUP($AO88,'Технический лист'!$I:$J,2,1)),1+(1-$AU88))</f>
        <v/>
      </c>
      <c r="EB88" s="172">
        <f>MIN(IF($AU88=100%,1,1+VLOOKUP(($AJ88-$AI88-$AH88-$AG88-$AF88-$AE88*(1+EB$3))/$AJ88,'Технический лист'!$I:$J,2,1)-VLOOKUP($AO88,'Технический лист'!$I:$J,2,1)),1+(1-$AU88))</f>
        <v/>
      </c>
      <c r="EC88" s="172">
        <f>MIN(IF($AU88=100%,1,1+VLOOKUP(($AJ88-$AI88-$AH88-$AG88-$AF88-$AE88*(1+EC$3))/$AJ88,'Технический лист'!$I:$J,2,1)-VLOOKUP($AO88,'Технический лист'!$I:$J,2,1)),1+(1-$AU88))</f>
        <v/>
      </c>
      <c r="ED88" s="172">
        <f>MIN(IF($AU88=100%,1,1+VLOOKUP(($AJ88-$AI88-$AH88-$AG88-$AF88-$AE88*(1+ED$3))/$AJ88,'Технический лист'!$I:$J,2,1)-VLOOKUP($AO88,'Технический лист'!$I:$J,2,1)),1+(1-$AU88))</f>
        <v/>
      </c>
      <c r="EE88" s="172">
        <f>MIN(IF($AU88=100%,1,1+VLOOKUP(($AJ88-$AI88-$AH88-$AG88-$AF88-$AE88*(1+EE$3))/$AJ88,'Технический лист'!$I:$J,2,1)-VLOOKUP($AO88,'Технический лист'!$I:$J,2,1)),1+(1-$AU88))</f>
        <v/>
      </c>
      <c r="EF88" s="172">
        <f>MIN(IF($AU88=100%,1,1+VLOOKUP(($AJ88-$AI88-$AH88-$AG88-$AF88-$AE88*(1+EF$3))/$AJ88,'Технический лист'!$I:$J,2,1)-VLOOKUP($AO88,'Технический лист'!$I:$J,2,1)),1+(1-$AU88))</f>
        <v/>
      </c>
      <c r="EG88" s="172">
        <f>MIN(IF($AU88=100%,1,1+VLOOKUP(($AJ88-$AI88-$AH88-$AG88-$AF88-$AE88*(1+EG$3))/$AJ88,'Технический лист'!$I:$J,2,1)-VLOOKUP($AO88,'Технический лист'!$I:$J,2,1)),1+(1-$AU88))</f>
        <v/>
      </c>
      <c r="EH88" s="172">
        <f>MIN(IF($AU88=100%,1,1+VLOOKUP(($AJ88-$AI88-$AH88-$AG88-$AF88-$AE88*(1+EH$3))/$AJ88,'Технический лист'!$I:$J,2,1)-VLOOKUP($AO88,'Технический лист'!$I:$J,2,1)),1+(1-$AU88))</f>
        <v/>
      </c>
      <c r="EI88" s="172">
        <f>MIN(IF($AU88=100%,1,1+VLOOKUP(($AJ88-$AI88-$AH88-$AG88-$AF88-$AE88*(1+EI$3))/$AJ88,'Технический лист'!$I:$J,2,1)-VLOOKUP($AO88,'Технический лист'!$I:$J,2,1)),1+(1-$AU88))</f>
        <v/>
      </c>
      <c r="EJ88" s="172">
        <f>MIN(IF($AU88=100%,1,1+VLOOKUP(($AJ88-$AI88-$AH88-$AG88-$AF88-$AE88*(1+EJ$3))/$AJ88,'Технический лист'!$I:$J,2,1)-VLOOKUP($AO88,'Технический лист'!$I:$J,2,1)),1+(1-$AU88))</f>
        <v/>
      </c>
      <c r="EK88" s="172">
        <f>MIN(IF($AU88=100%,1,1+VLOOKUP(($AJ88-$AI88-$AH88-$AG88-$AF88-$AE88*(1+EK$3))/$AJ88,'Технический лист'!$I:$J,2,1)-VLOOKUP($AO88,'Технический лист'!$I:$J,2,1)),1+(1-$AU88))</f>
        <v/>
      </c>
      <c r="EL88" s="172">
        <f>MIN(IF($AU88=100%,1,1+VLOOKUP(($AJ88-$AI88-$AH88-$AG88-$AF88-$AE88*(1+EL$3))/$AJ88,'Технический лист'!$I:$J,2,1)-VLOOKUP($AO88,'Технический лист'!$I:$J,2,1)),1+(1-$AU88))</f>
        <v/>
      </c>
      <c r="EM88" s="172">
        <f>MIN(IF($AU88=100%,1,1+VLOOKUP(($AJ88-$AI88-$AH88-$AG88-$AF88-$AE88*(1+EM$3))/$AJ88,'Технический лист'!$I:$J,2,1)-VLOOKUP($AO88,'Технический лист'!$I:$J,2,1)),1+(1-$AU88))</f>
        <v/>
      </c>
      <c r="EN88" s="172">
        <f>MIN(IF($AU88=100%,1,1+VLOOKUP(($AJ88-$AI88-$AH88-$AG88-$AF88-$AE88*(1+EN$3))/$AJ88,'Технический лист'!$I:$J,2,1)-VLOOKUP($AO88,'Технический лист'!$I:$J,2,1)),1+(1-$AU88))</f>
        <v/>
      </c>
      <c r="EO88" s="172">
        <f>MIN(IF($AU88=100%,1,1+VLOOKUP(($AJ88-$AI88-$AH88-$AG88-$AF88-$AE88*(1+EO$3))/$AJ88,'Технический лист'!$I:$J,2,1)-VLOOKUP($AO88,'Технический лист'!$I:$J,2,1)),1+(1-$AU88))</f>
        <v/>
      </c>
      <c r="EP88" s="172">
        <f>MIN(IF($AU88=100%,1,1+VLOOKUP(($AJ88-$AI88-$AH88-$AG88-$AF88-$AE88*(1+EP$3))/$AJ88,'Технический лист'!$I:$J,2,1)-VLOOKUP($AO88,'Технический лист'!$I:$J,2,1)),1+(1-$AU88))</f>
        <v/>
      </c>
      <c r="EQ88" s="172">
        <f>MIN(IF($AU88=100%,1,1+VLOOKUP(($AJ88-$AI88-$AH88-$AG88-$AF88-$AE88*(1+EQ$3))/$AJ88,'Технический лист'!$I:$J,2,1)-VLOOKUP($AO88,'Технический лист'!$I:$J,2,1)),1+(1-$AU88))</f>
        <v/>
      </c>
      <c r="ER88" s="172">
        <f>MIN(IF($AU88=100%,1,1+VLOOKUP(($AJ88-$AI88-$AH88-$AG88-$AF88-$AE88*(1+ER$3))/$AJ88,'Технический лист'!$I:$J,2,1)-VLOOKUP($AO88,'Технический лист'!$I:$J,2,1)),1+(1-$AU88))</f>
        <v/>
      </c>
      <c r="ES88" s="172">
        <f>MIN(IF($AU88=100%,1,1+VLOOKUP(($AJ88-$AI88-$AH88-$AG88-$AF88-$AE88*(1+ES$3))/$AJ88,'Технический лист'!$I:$J,2,1)-VLOOKUP($AO88,'Технический лист'!$I:$J,2,1)),1+(1-$AU88))</f>
        <v/>
      </c>
      <c r="ET88" s="172">
        <f>MIN(IF($AU88=100%,1,1+VLOOKUP(($AJ88-$AI88-$AH88-$AG88-$AF88-$AE88*(1+ET$3))/$AJ88,'Технический лист'!$I:$J,2,1)-VLOOKUP($AO88,'Технический лист'!$I:$J,2,1)),1+(1-$AU88))</f>
        <v/>
      </c>
      <c r="EU88" s="172">
        <f>MIN(IF($AU88=100%,1,1+VLOOKUP(($AJ88-$AI88-$AH88-$AG88-$AF88-$AE88*(1+EU$3))/$AJ88,'Технический лист'!$I:$J,2,1)-VLOOKUP($AO88,'Технический лист'!$I:$J,2,1)),1+(1-$AU88))</f>
        <v/>
      </c>
      <c r="EV88" s="173" t="n">
        <v>1</v>
      </c>
      <c r="EW88" s="172">
        <f>MIN(1,MAX(VLOOKUP(($AJ88-$AI88-$AH88-$AG88-$AF88-$AE88*(1+EW$3))/$AJ88,'Технический лист'!$A:$B,2,1),(EV88-0.05)))</f>
        <v/>
      </c>
      <c r="EX88" s="172">
        <f>MIN(1,MAX(VLOOKUP(($AJ88-$AI88-$AH88-$AG88-$AF88-$AE88*(1+EX$3))/$AJ88,'Технический лист'!$A:$B,2,1),(EW88-0.05)))</f>
        <v/>
      </c>
      <c r="EY88" s="172">
        <f>MIN(1,MAX(VLOOKUP(($AJ88-$AI88-$AH88-$AG88-$AF88-$AE88*(1+EY$3))/$AJ88,'Технический лист'!$A:$B,2,1),(EX88-0.05)))</f>
        <v/>
      </c>
      <c r="EZ88" s="172">
        <f>MIN(1,MAX(VLOOKUP(($AJ88-$AI88-$AH88-$AG88-$AF88-$AE88*(1+EZ$3))/$AJ88,'Технический лист'!$A:$B,2,1),(EY88-0.05)))</f>
        <v/>
      </c>
      <c r="FA88" s="172">
        <f>MIN(1,MAX(VLOOKUP(($AJ88-$AI88-$AH88-$AG88-$AF88-$AE88*(1+FA$3))/$AJ88,'Технический лист'!$A:$B,2,1),(EZ88-0.05)))</f>
        <v/>
      </c>
      <c r="FB88" s="172">
        <f>MIN(1,MAX(VLOOKUP(($AJ88-$AI88-$AH88-$AG88-$AF88-$AE88*(1+FB$3))/$AJ88,'Технический лист'!$A:$B,2,1),(FA88-0.05)))</f>
        <v/>
      </c>
      <c r="FC88" s="172">
        <f>MIN(1,MAX(VLOOKUP(($AJ88-$AI88-$AH88-$AG88-$AF88-$AE88*(1+FC$3))/$AJ88,'Технический лист'!$A:$B,2,1),(FB88-0.05)))</f>
        <v/>
      </c>
      <c r="FD88" s="172">
        <f>MIN(1,MAX(VLOOKUP(($AJ88-$AI88-$AH88-$AG88-$AF88-$AE88*(1+FD$3))/$AJ88,'Технический лист'!$A:$B,2,1),(FC88-0.05)))</f>
        <v/>
      </c>
      <c r="FE88" s="172">
        <f>MIN(1,MAX(VLOOKUP(($AJ88-$AI88-$AH88-$AG88-$AF88-$AE88*(1+FE$3))/$AJ88,'Технический лист'!$A:$B,2,1),(FD88-0.05)))</f>
        <v/>
      </c>
      <c r="FF88" s="172">
        <f>MIN(1,MAX(VLOOKUP(($AJ88-$AI88-$AH88-$AG88-$AF88-$AE88*(1+FF$3))/$AJ88,'Технический лист'!$A:$B,2,1),(FE88-0.05)))</f>
        <v/>
      </c>
      <c r="FG88" s="172">
        <f>MIN(1,MAX(VLOOKUP(($AJ88-$AI88-$AH88-$AG88-$AF88-$AE88*(1+FG$3))/$AJ88,'Технический лист'!$A:$B,2,1),(FF88-0.05)))</f>
        <v/>
      </c>
      <c r="FH88" s="172">
        <f>MIN(1,MAX(VLOOKUP(($AJ88-$AI88-$AH88-$AG88-$AF88-$AE88*(1+FH$3))/$AJ88,'Технический лист'!$A:$B,2,1),(FG88-0.05)))</f>
        <v/>
      </c>
      <c r="FI88" s="172">
        <f>MIN(1,MAX(VLOOKUP(($AJ88-$AI88-$AH88-$AG88-$AF88-$AE88*(1+FI$3))/$AJ88,'Технический лист'!$A:$B,2,1),(FH88-0.05)))</f>
        <v/>
      </c>
      <c r="FJ88" s="172">
        <f>MIN(1,MAX(VLOOKUP(($AJ88-$AI88-$AH88-$AG88-$AF88-$AE88*(1+FJ$3))/$AJ88,'Технический лист'!$A:$B,2,1),(FI88-0.05)))</f>
        <v/>
      </c>
      <c r="FK88" s="172">
        <f>MIN(1,MAX(VLOOKUP(($AJ88-$AI88-$AH88-$AG88-$AF88-$AE88*(1+FK$3))/$AJ88,'Технический лист'!$A:$B,2,1),(FJ88-0.05)))</f>
        <v/>
      </c>
      <c r="FL88" s="172">
        <f>MIN(1,MAX(VLOOKUP(($AJ88-$AI88-$AH88-$AG88-$AF88-$AE88*(1+FL$3))/$AJ88,'Технический лист'!$A:$B,2,1),(FK88-0.05)))</f>
        <v/>
      </c>
      <c r="FM88" s="172">
        <f>MIN(1,MAX(VLOOKUP(($AJ88-$AI88-$AH88-$AG88-$AF88-$AE88*(1+FM$3))/$AJ88,'Технический лист'!$A:$B,2,1),(FL88-0.05)))</f>
        <v/>
      </c>
      <c r="FN88" s="172">
        <f>MIN(1,MAX(VLOOKUP(($AJ88-$AI88-$AH88-$AG88-$AF88-$AE88*(1+FN$3))/$AJ88,'Технический лист'!$A:$B,2,1),(FM88-0.05)))</f>
        <v/>
      </c>
      <c r="FO88" s="172">
        <f>MIN(1,MAX(VLOOKUP(($AJ88-$AI88-$AH88-$AG88-$AF88-$AE88*(1+FO$3))/$AJ88,'Технический лист'!$A:$B,2,1),(FN88-0.05)))</f>
        <v/>
      </c>
      <c r="FP88" s="172">
        <f>MIN(1,MAX(VLOOKUP(($AJ88-$AI88-$AH88-$AG88-$AF88-$AE88*(1+FP$3))/$AJ88,'Технический лист'!$A:$B,2,1),(FO88-0.05)))</f>
        <v/>
      </c>
      <c r="FQ88" s="172">
        <f>MIN(1,MAX(VLOOKUP(($AJ88-$AI88-$AH88-$AG88-$AF88-$AE88*(1+FQ$3))/$AJ88,'Технический лист'!$A:$B,2,1),(FP88-0.05)))</f>
        <v/>
      </c>
      <c r="FR88" s="172">
        <f>MIN(1,MAX(VLOOKUP(($AJ88-$AI88-$AH88-$AG88-$AF88-$AE88*(1+FR$3))/$AJ88,'Технический лист'!$A:$B,2,1),(FQ88-0.05)))</f>
        <v/>
      </c>
      <c r="FS88" s="172">
        <f>MIN(1,MAX(VLOOKUP(($AJ88-$AI88-$AH88-$AG88-$AF88-$AE88*(1+FS$3))/$AJ88,'Технический лист'!$A:$B,2,1),(FR88-0.05)))</f>
        <v/>
      </c>
      <c r="FT88" s="172">
        <f>MIN(1,MAX(VLOOKUP(($AJ88-$AI88-$AH88-$AG88-$AF88-$AE88*(1+FT$3))/$AJ88,'Технический лист'!$A:$B,2,1),(FS88-0.05)))</f>
        <v/>
      </c>
      <c r="FU88" s="172">
        <f>MIN(1,MAX(VLOOKUP(($AJ88-$AI88-$AH88-$AG88-$AF88-$AE88*(1+FU$3))/$AJ88,'Технический лист'!$A:$B,2,1),(FT88-0.05)))</f>
        <v/>
      </c>
      <c r="FV88" s="172">
        <f>MIN(1,MAX(VLOOKUP(($AJ88-$AI88-$AH88-$AG88-$AF88-$AE88*(1+FV$3))/$AJ88,'Технический лист'!$A:$B,2,1),(FU88-0.05)))</f>
        <v/>
      </c>
      <c r="FW88" s="172">
        <f>MIN(1,MAX(VLOOKUP(($AJ88-$AI88-$AH88-$AG88-$AF88-$AE88*(1+FW$3))/$AJ88,'Технический лист'!$A:$B,2,1),(FV88-0.05)))</f>
        <v/>
      </c>
      <c r="FX88" s="172">
        <f>MIN(1,MAX(VLOOKUP(($AJ88-$AI88-$AH88-$AG88-$AF88-$AE88*(1+FX$3))/$AJ88,'Технический лист'!$A:$B,2,1),(FW88-0.05)))</f>
        <v/>
      </c>
      <c r="FY88" s="172">
        <f>MIN(1,MAX(VLOOKUP(($AJ88-$AI88-$AH88-$AG88-$AF88-$AE88*(1+FY$3))/$AJ88,'Технический лист'!$A:$B,2,1),(FX88-0.05)))</f>
        <v/>
      </c>
      <c r="FZ88" s="172">
        <f>MIN(1,MAX(VLOOKUP(($AJ88-$AI88-$AH88-$AG88-$AF88-$AE88*(1+FZ$3))/$AJ88,'Технический лист'!$A:$B,2,1),(FY88-0.05)))</f>
        <v/>
      </c>
      <c r="GA88" s="172">
        <f>MIN(1,MAX(VLOOKUP(($AJ88-$AI88-$AH88-$AG88-$AF88-$AE88*(1+GA$3))/$AJ88,'Технический лист'!$A:$B,2,1),(FZ88-0.05)))</f>
        <v/>
      </c>
      <c r="GB88" s="172">
        <f>MIN(1,MAX(VLOOKUP(($AJ88-$AI88-$AH88-$AG88-$AF88-$AE88*(1+GB$3))/$AJ88,'Технический лист'!$A:$B,2,1),(GA88-0.05)))</f>
        <v/>
      </c>
      <c r="GC88" s="172">
        <f>MIN(1,MAX(VLOOKUP(($AJ88-$AI88-$AH88-$AG88-$AF88-$AE88*(1+GC$3))/$AJ88,'Технический лист'!$A:$B,2,1),(GB88-0.05)))</f>
        <v/>
      </c>
      <c r="GD88" s="172">
        <f>MIN(1,MAX(VLOOKUP(($AJ88-$AI88-$AH88-$AG88-$AF88-$AE88*(1+GD$3))/$AJ88,'Технический лист'!$A:$B,2,1),(GC88-0.05)))</f>
        <v/>
      </c>
      <c r="GE88" s="172">
        <f>MIN(1,MAX(VLOOKUP(($AJ88-$AI88-$AH88-$AG88-$AF88-$AE88*(1+GE$3))/$AJ88,'Технический лист'!$A:$B,2,1),(GD88-0.05)))</f>
        <v/>
      </c>
      <c r="GF88" s="172">
        <f>MIN(1,MAX(VLOOKUP(($AJ88-$AI88-$AH88-$AG88-$AF88-$AE88*(1+GF$3))/$AJ88,'Технический лист'!$A:$B,2,1),(GE88-0.05)))</f>
        <v/>
      </c>
      <c r="GG88" s="172">
        <f>MIN(1,MAX(VLOOKUP(($AJ88-$AI88-$AH88-$AG88-$AF88-$AE88*(1+GG$3))/$AJ88,'Технический лист'!$A:$B,2,1),(GF88-0.05)))</f>
        <v/>
      </c>
      <c r="GH88" s="172">
        <f>MIN(1,MAX(VLOOKUP(($AJ88-$AI88-$AH88-$AG88-$AF88-$AE88*(1+GH$3))/$AJ88,'Технический лист'!$A:$B,2,1),(GG88-0.05)))</f>
        <v/>
      </c>
      <c r="GI88" s="172">
        <f>MIN(1,MAX(VLOOKUP(($AJ88-$AI88-$AH88-$AG88-$AF88-$AE88*(1+GI$3))/$AJ88,'Технический лист'!$A:$B,2,1),(GH88-0.05)))</f>
        <v/>
      </c>
      <c r="GJ88" s="172">
        <f>MIN(1,MAX(VLOOKUP(($AJ88-$AI88-$AH88-$AG88-$AF88-$AE88*(1+GJ$3))/$AJ88,'Технический лист'!$A:$B,2,1),(GI88-0.05)))</f>
        <v/>
      </c>
      <c r="GK88" s="172">
        <f>MIN(1,MAX(VLOOKUP(($AJ88-$AI88-$AH88-$AG88-$AF88-$AE88*(1+GK$3))/$AJ88,'Технический лист'!$A:$B,2,1),(GJ88-0.05)))</f>
        <v/>
      </c>
      <c r="GL88" s="172">
        <f>MIN(1,MAX(VLOOKUP(($AJ88-$AI88-$AH88-$AG88-$AF88-$AE88*(1+GL$3))/$AJ88,'Технический лист'!$A:$B,2,1),(GK88-0.05)))</f>
        <v/>
      </c>
      <c r="GM88" s="172">
        <f>MIN(1,MAX(VLOOKUP(($AJ88-$AI88-$AH88-$AG88-$AF88-$AE88*(1+GM$3))/$AJ88,'Технический лист'!$A:$B,2,1),(GL88-0.05)))</f>
        <v/>
      </c>
      <c r="GN88" s="172">
        <f>MIN(1,MAX(VLOOKUP(($AJ88-$AI88-$AH88-$AG88-$AF88-$AE88*(1+GN$3))/$AJ88,'Технический лист'!$A:$B,2,1),(GM88-0.05)))</f>
        <v/>
      </c>
      <c r="GO88" s="172">
        <f>MIN(1,MAX(VLOOKUP(($AJ88-$AI88-$AH88-$AG88-$AF88-$AE88*(1+GO$3))/$AJ88,'Технический лист'!$A:$B,2,1),(GN88-0.05)))</f>
        <v/>
      </c>
      <c r="GP88" s="172">
        <f>MIN(1,MAX(VLOOKUP(($AJ88-$AI88-$AH88-$AG88-$AF88-$AE88*(1+GP$3))/$AJ88,'Технический лист'!$A:$B,2,1),(GO88-0.05)))</f>
        <v/>
      </c>
      <c r="GQ88" s="172">
        <f>MIN(1,MAX(VLOOKUP(($AJ88-$AI88-$AH88-$AG88-$AF88-$AE88*(1+GQ$3))/$AJ88,'Технический лист'!$A:$B,2,1),(GP88-0.05)))</f>
        <v/>
      </c>
      <c r="GR88" s="172">
        <f>MIN(1,MAX(VLOOKUP(($AJ88-$AI88-$AH88-$AG88-$AF88-$AE88*(1+GR$3))/$AJ88,'Технический лист'!$A:$B,2,1),(GQ88-0.05)))</f>
        <v/>
      </c>
      <c r="GS88" s="172">
        <f>MIN(1,MAX(VLOOKUP(($AJ88-$AI88-$AH88-$AG88-$AF88-$AE88*(1+GS$3))/$AJ88,'Технический лист'!$A:$B,2,1),(GR88-0.05)))</f>
        <v/>
      </c>
      <c r="GT88" s="172">
        <f>MIN(1,MAX(VLOOKUP(($AJ88-$AI88-$AH88-$AG88-$AF88-$AE88*(1+GT$3))/$AJ88,'Технический лист'!$A:$B,2,1),(GS88-0.05)))</f>
        <v/>
      </c>
      <c r="GU88" s="172">
        <f>MIN(1,MAX(VLOOKUP(($AJ88-$AI88-$AH88-$AG88-$AF88-$AE88*(1+GU$3))/$AJ88,'Технический лист'!$A:$B,2,1),(GT88-0.05)))</f>
        <v/>
      </c>
      <c r="GV88" s="172">
        <f>MIN(1,MAX(VLOOKUP(($AJ88-$AI88-$AH88-$AG88-$AF88-$AE88*(1+GV$3))/$AJ88,'Технический лист'!$A:$B,2,1),(GU88-0.05)))</f>
        <v/>
      </c>
      <c r="GW88" s="172">
        <f>MIN(1,MAX(VLOOKUP(($AJ88-$AI88-$AH88-$AG88-$AF88-$AE88*(1+GW$3))/$AJ88,'Технический лист'!$A:$B,2,1),(GV88-0.05)))</f>
        <v/>
      </c>
      <c r="GX88" s="172">
        <f>MIN(1,MAX(VLOOKUP(($AJ88-$AI88-$AH88-$AG88-$AF88-$AE88*(1+GX$3))/$AJ88,'Технический лист'!$A:$B,2,1),(GW88-0.05)))</f>
        <v/>
      </c>
      <c r="GY88" s="172">
        <f>MIN(1,MAX(VLOOKUP(($AJ88-$AI88-$AH88-$AG88-$AF88-$AE88*(1+GY$3))/$AJ88,'Технический лист'!$A:$B,2,1),(GX88-0.05)))</f>
        <v/>
      </c>
      <c r="GZ88" s="172">
        <f>MIN(1,MAX(VLOOKUP(($AJ88-$AI88-$AH88-$AG88-$AF88-$AE88*(1+GZ$3))/$AJ88,'Технический лист'!$A:$B,2,1),(GY88-0.05)))</f>
        <v/>
      </c>
      <c r="HA88" s="172">
        <f>MIN(1,MAX(VLOOKUP(($AJ88-$AI88-$AH88-$AG88-$AF88-$AE88*(1+HA$3))/$AJ88,'Технический лист'!$A:$B,2,1),(GZ88-0.05)))</f>
        <v/>
      </c>
      <c r="HB88" s="172">
        <f>MIN(1,MAX(VLOOKUP(($AJ88-$AI88-$AH88-$AG88-$AF88-$AE88*(1+HB$3))/$AJ88,'Технический лист'!$A:$B,2,1),(HA88-0.05)))</f>
        <v/>
      </c>
      <c r="HC88" s="172">
        <f>MIN(1,MAX(VLOOKUP(($AJ88-$AI88-$AH88-$AG88-$AF88-$AE88*(1+HC$3))/$AJ88,'Технический лист'!$A:$B,2,1),(HB88-0.05)))</f>
        <v/>
      </c>
      <c r="HD88" s="172">
        <f>MIN(1,MAX(VLOOKUP(($AJ88-$AI88-$AH88-$AG88-$AF88-$AE88*(1+HD$3))/$AJ88,'Технический лист'!$A:$B,2,1),(HC88-0.05)))</f>
        <v/>
      </c>
      <c r="HE88" s="172">
        <f>MIN(1,MAX(VLOOKUP(($AJ88-$AI88-$AH88-$AG88-$AF88-$AE88*(1+HE$3))/$AJ88,'Технический лист'!$A:$B,2,1),(HD88-0.05)))</f>
        <v/>
      </c>
      <c r="HF88" s="172">
        <f>MIN(1,MAX(VLOOKUP(($AJ88-$AI88-$AH88-$AG88-$AF88-$AE88*(1+HF$3))/$AJ88,'Технический лист'!$A:$B,2,1),(HE88-0.05)))</f>
        <v/>
      </c>
      <c r="HG88" s="172">
        <f>MIN(1,MAX(VLOOKUP(($AJ88-$AI88-$AH88-$AG88-$AF88-$AE88*(1+HG$3))/$AJ88,'Технический лист'!$A:$B,2,1),(HF88-0.05)))</f>
        <v/>
      </c>
      <c r="HH88" s="172">
        <f>MIN(1,MAX(VLOOKUP(($AJ88-$AI88-$AH88-$AG88-$AF88-$AE88*(1+HH$3))/$AJ88,'Технический лист'!$A:$B,2,1),(HG88-0.05)))</f>
        <v/>
      </c>
      <c r="HI88" s="172">
        <f>MIN(1,MAX(VLOOKUP(($AJ88-$AI88-$AH88-$AG88-$AF88-$AE88*(1+HI$3))/$AJ88,'Технический лист'!$A:$B,2,1),(HH88-0.05)))</f>
        <v/>
      </c>
      <c r="HJ88" s="172">
        <f>MIN(1,MAX(VLOOKUP(($AJ88-$AI88-$AH88-$AG88-$AF88-$AE88*(1+HJ$3))/$AJ88,'Технический лист'!$A:$B,2,1),(HI88-0.05)))</f>
        <v/>
      </c>
      <c r="HK88" s="172">
        <f>MIN(1,MAX(VLOOKUP(($AJ88-$AI88-$AH88-$AG88-$AF88-$AE88*(1+HK$3))/$AJ88,'Технический лист'!$A:$B,2,1),(HJ88-0.05)))</f>
        <v/>
      </c>
      <c r="HL88" s="172">
        <f>MIN(1,MAX(VLOOKUP(($AJ88-$AI88-$AH88-$AG88-$AF88-$AE88*(1+HL$3))/$AJ88,'Технический лист'!$A:$B,2,1),(HK88-0.05)))</f>
        <v/>
      </c>
      <c r="HM88" s="172">
        <f>MIN(1,MAX(VLOOKUP(($AJ88-$AI88-$AH88-$AG88-$AF88-$AE88*(1+HM$3))/$AJ88,'Технический лист'!$A:$B,2,1),(HL88-0.05)))</f>
        <v/>
      </c>
      <c r="HN88" s="172">
        <f>MIN(1,MAX(VLOOKUP(($AJ88-$AI88-$AH88-$AG88-$AF88-$AE88*(1+HN$3))/$AJ88,'Технический лист'!$A:$B,2,1),(HM88-0.05)))</f>
        <v/>
      </c>
      <c r="HO88" s="172">
        <f>MIN(1,MAX(VLOOKUP(($AJ88-$AI88-$AH88-$AG88-$AF88-$AE88*(1+HO$3))/$AJ88,'Технический лист'!$A:$B,2,1),(HN88-0.05)))</f>
        <v/>
      </c>
      <c r="HP88" s="172">
        <f>MIN(1,MAX(VLOOKUP(($AJ88-$AI88-$AH88-$AG88-$AF88-$AE88*(1+HP$3))/$AJ88,'Технический лист'!$A:$B,2,1),(HO88-0.05)))</f>
        <v/>
      </c>
      <c r="HQ88" s="172">
        <f>MIN(1,MAX(VLOOKUP(($AJ88-$AI88-$AH88-$AG88-$AF88-$AE88*(1+HQ$3))/$AJ88,'Технический лист'!$A:$B,2,1),(HP88-0.05)))</f>
        <v/>
      </c>
      <c r="HR88" s="172">
        <f>MIN(1,MAX(VLOOKUP(($AJ88-$AI88-$AH88-$AG88-$AF88-$AE88*(1+HR$3))/$AJ88,'Технический лист'!$A:$B,2,1),(HQ88-0.05)))</f>
        <v/>
      </c>
      <c r="HS88" s="172">
        <f>MIN(1,MAX(VLOOKUP(($AJ88-$AI88-$AH88-$AG88-$AF88-$AE88*(1+HS$3))/$AJ88,'Технический лист'!$A:$B,2,1),(HR88-0.05)))</f>
        <v/>
      </c>
      <c r="HT88" s="172">
        <f>MIN(1,MAX(VLOOKUP(($AJ88-$AI88-$AH88-$AG88-$AF88-$AE88*(1+HT$3))/$AJ88,'Технический лист'!$A:$B,2,1),(HS88-0.05)))</f>
        <v/>
      </c>
      <c r="HU88" s="172">
        <f>MIN(1,MAX(VLOOKUP(($AJ88-$AI88-$AH88-$AG88-$AF88-$AE88*(1+HU$3))/$AJ88,'Технический лист'!$A:$B,2,1),(HT88-0.05)))</f>
        <v/>
      </c>
      <c r="HV88" s="172">
        <f>MIN(1,MAX(VLOOKUP(($AJ88-$AI88-$AH88-$AG88-$AF88-$AE88*(1+HV$3))/$AJ88,'Технический лист'!$A:$B,2,1),(HU88-0.05)))</f>
        <v/>
      </c>
      <c r="HW88" s="172">
        <f>MIN(1,MAX(VLOOKUP(($AJ88-$AI88-$AH88-$AG88-$AF88-$AE88*(1+HW$3))/$AJ88,'Технический лист'!$A:$B,2,1),(HV88-0.05)))</f>
        <v/>
      </c>
      <c r="HX88" s="172">
        <f>MIN(1,MAX(VLOOKUP(($AJ88-$AI88-$AH88-$AG88-$AF88-$AE88*(1+HX$3))/$AJ88,'Технический лист'!$A:$B,2,1),(HW88-0.05)))</f>
        <v/>
      </c>
      <c r="HY88" s="172">
        <f>MIN(1,MAX(VLOOKUP(($AJ88-$AI88-$AH88-$AG88-$AF88-$AE88*(1+HY$3))/$AJ88,'Технический лист'!$A:$B,2,1),(HX88-0.05)))</f>
        <v/>
      </c>
      <c r="HZ88" s="172">
        <f>MIN(1,MAX(VLOOKUP(($AJ88-$AI88-$AH88-$AG88-$AF88-$AE88*(1+HZ$3))/$AJ88,'Технический лист'!$A:$B,2,1),(HY88-0.05)))</f>
        <v/>
      </c>
      <c r="IA88" s="172">
        <f>MIN(1,MAX(VLOOKUP(($AJ88-$AI88-$AH88-$AG88-$AF88-$AE88*(1+IA$3))/$AJ88,'Технический лист'!$A:$B,2,1),(HZ88-0.05)))</f>
        <v/>
      </c>
      <c r="IB88" s="172">
        <f>MIN(1,MAX(VLOOKUP(($AJ88-$AI88-$AH88-$AG88-$AF88-$AE88*(1+IB$3))/$AJ88,'Технический лист'!$A:$B,2,1),(IA88-0.05)))</f>
        <v/>
      </c>
      <c r="IC88" s="172">
        <f>MIN(1,MAX(VLOOKUP(($AJ88-$AI88-$AH88-$AG88-$AF88-$AE88*(1+IC$3))/$AJ88,'Технический лист'!$A:$B,2,1),(IB88-0.05)))</f>
        <v/>
      </c>
      <c r="ID88" s="172">
        <f>MIN(1,MAX(VLOOKUP(($AJ88-$AI88-$AH88-$AG88-$AF88-$AE88*(1+ID$3))/$AJ88,'Технический лист'!$A:$B,2,1),(IC88-0.05)))</f>
        <v/>
      </c>
      <c r="IE88" s="172">
        <f>MIN(1,MAX(VLOOKUP(($AJ88-$AI88-$AH88-$AG88-$AF88-$AE88*(1+IE$3))/$AJ88,'Технический лист'!$A:$B,2,1),(ID88-0.05)))</f>
        <v/>
      </c>
      <c r="IF88" s="172">
        <f>MIN(1,MAX(VLOOKUP(($AJ88-$AI88-$AH88-$AG88-$AF88-$AE88*(1+IF$3))/$AJ88,'Технический лист'!$A:$B,2,1),(IE88-0.05)))</f>
        <v/>
      </c>
      <c r="IG88" s="172">
        <f>MIN(1,MAX(VLOOKUP(($AJ88-$AI88-$AH88-$AG88-$AF88-$AE88*(1+IG$3))/$AJ88,'Технический лист'!$A:$B,2,1),(IF88-0.05)))</f>
        <v/>
      </c>
      <c r="IH88" s="172">
        <f>MIN(1,MAX(VLOOKUP(($AJ88-$AI88-$AH88-$AG88-$AF88-$AE88*(1+IH$3))/$AJ88,'Технический лист'!$A:$B,2,1),(IG88-0.05)))</f>
        <v/>
      </c>
      <c r="II88" s="172">
        <f>MIN(1,MAX(VLOOKUP(($AJ88-$AI88-$AH88-$AG88-$AF88-$AE88*(1+II$3))/$AJ88,'Технический лист'!$A:$B,2,1),(IH88-0.05)))</f>
        <v/>
      </c>
      <c r="IJ88" s="172">
        <f>MIN(1,MAX(VLOOKUP(($AJ88-$AI88-$AH88-$AG88-$AF88-$AE88*(1+IJ$3))/$AJ88,'Технический лист'!$A:$B,2,1),(II88-0.05)))</f>
        <v/>
      </c>
      <c r="IK88" s="172">
        <f>MIN(1,MAX(VLOOKUP(($AJ88-$AI88-$AH88-$AG88-$AF88-$AE88*(1+IK$3))/$AJ88,'Технический лист'!$A:$B,2,1),(IJ88-0.05)))</f>
        <v/>
      </c>
      <c r="IL88" s="172">
        <f>MIN(1,MAX(VLOOKUP(($AJ88-$AI88-$AH88-$AG88-$AF88-$AE88*(1+IL$3))/$AJ88,'Технический лист'!$A:$B,2,1),(IK88-0.05)))</f>
        <v/>
      </c>
      <c r="IM88" s="172">
        <f>MIN(1,MAX(VLOOKUP(($AJ88-$AI88-$AH88-$AG88-$AF88-$AE88*(1+IM$3))/$AJ88,'Технический лист'!$A:$B,2,1),(IL88-0.05)))</f>
        <v/>
      </c>
      <c r="IN88" s="172">
        <f>MIN(1,MAX(VLOOKUP(($AJ88-$AI88-$AH88-$AG88-$AF88-$AE88*(1+IN$3))/$AJ88,'Технический лист'!$A:$B,2,1),(IM88-0.05)))</f>
        <v/>
      </c>
      <c r="IO88" s="172">
        <f>MIN(1,MAX(VLOOKUP(($AJ88-$AI88-$AH88-$AG88-$AF88-$AE88*(1+IO$3))/$AJ88,'Технический лист'!$A:$B,2,1),(IN88-0.05)))</f>
        <v/>
      </c>
      <c r="IP88" s="172">
        <f>MIN(1,MAX(VLOOKUP(($AJ88-$AI88-$AH88-$AG88-$AF88-$AE88*(1+IP$3))/$AJ88,'Технический лист'!$A:$B,2,1),(IO88-0.05)))</f>
        <v/>
      </c>
      <c r="IQ88" s="172">
        <f>MIN(1,MAX(VLOOKUP(($AJ88-$AI88-$AH88-$AG88-$AF88-$AE88*(1+IQ$3))/$AJ88,'Технический лист'!$A:$B,2,1),(IP88-0.05)))</f>
        <v/>
      </c>
      <c r="IR88" s="172">
        <f>MIN(1,MAX(VLOOKUP(($AJ88-$AI88-$AH88-$AG88-$AF88-$AE88*(1+IR$3))/$AJ88,'Технический лист'!$A:$B,2,1),(IQ88-0.05)))</f>
        <v/>
      </c>
    </row>
    <row r="89" ht="29.15" customHeight="1" s="123">
      <c r="A89" s="89" t="inlineStr">
        <is>
          <t>ЧМ (продукция)</t>
        </is>
      </c>
      <c r="B89" s="90" t="n">
        <v>5</v>
      </c>
      <c r="C89" s="5" t="inlineStr">
        <is>
          <t>Черные металлы</t>
        </is>
      </c>
      <c r="D89" s="91" t="n">
        <v>31403</v>
      </c>
      <c r="E89" s="91" t="inlineStr">
        <is>
          <t xml:space="preserve">Заготовка для переката рядовая </t>
        </is>
      </c>
      <c r="F89" s="92" t="inlineStr">
        <is>
          <t>ЗАГОТОВКИ СТАЛЬНЫЕ</t>
        </is>
      </c>
      <c r="G89" s="91" t="inlineStr">
        <is>
          <t>ЮВС</t>
        </is>
      </c>
      <c r="H89" s="91" t="inlineStr">
        <is>
          <t>СКВ</t>
        </is>
      </c>
      <c r="I89" s="91" t="inlineStr">
        <is>
          <t>КОТЕЛ</t>
        </is>
      </c>
      <c r="J89" s="91" t="inlineStr">
        <is>
          <t>НОВОРОСС-ЭКС</t>
        </is>
      </c>
      <c r="K89" s="91" t="n">
        <v>1240</v>
      </c>
      <c r="L89" s="91" t="inlineStr">
        <is>
          <t>Полувагоны</t>
        </is>
      </c>
      <c r="M89" s="91" t="inlineStr">
        <is>
          <t>Экспорт</t>
        </is>
      </c>
      <c r="N89" s="91" t="inlineStr">
        <is>
          <t>вагонная</t>
        </is>
      </c>
      <c r="O89" s="91" t="inlineStr">
        <is>
          <t xml:space="preserve">Южное </t>
        </is>
      </c>
      <c r="P89" s="89" t="inlineStr">
        <is>
          <t>'000077263371</t>
        </is>
      </c>
      <c r="Q89" s="91" t="inlineStr">
        <is>
          <t>ООО УК "Металлоинвест"</t>
        </is>
      </c>
      <c r="R89" s="91" t="inlineStr">
        <is>
          <t>ООО УК "Металлоинвест"</t>
        </is>
      </c>
      <c r="S89" s="87" t="n">
        <v>1082285</v>
      </c>
      <c r="T89" s="87" t="n">
        <v>1342319883</v>
      </c>
      <c r="U89" s="88" t="n">
        <v>16090</v>
      </c>
      <c r="V89" s="88" t="n">
        <v>0</v>
      </c>
      <c r="W89" s="87" t="n">
        <v>2569027106</v>
      </c>
      <c r="X89" s="112" t="n">
        <v>67</v>
      </c>
      <c r="Y89" s="112" t="inlineStr">
        <is>
          <t>маршрутная</t>
        </is>
      </c>
      <c r="Z89" s="113" t="n">
        <v>5</v>
      </c>
      <c r="AA89" s="113" t="n">
        <v>5</v>
      </c>
      <c r="AB89" s="113" t="n">
        <v>4</v>
      </c>
      <c r="AC89" s="161" t="n">
        <v>2606.57</v>
      </c>
      <c r="AD89" s="161">
        <f>AE89-AC89</f>
        <v/>
      </c>
      <c r="AE89" s="161" t="n">
        <v>3103.67</v>
      </c>
      <c r="AF89" s="162">
        <f>(Z89+AA89+AB89)*'Ставки аренды'!$B$3/X89</f>
        <v/>
      </c>
      <c r="AG89" s="163">
        <f>'Ставки перевалки'!$B$9*'Курсы валют'!$B$2</f>
        <v/>
      </c>
      <c r="AH89" s="164" t="n">
        <v>0</v>
      </c>
      <c r="AI89" s="165">
        <f>240828/411356*AVERAGE(AJ89,AJ90)</f>
        <v/>
      </c>
      <c r="AJ89" s="166">
        <f>Цены!$C$5*'Курсы валют'!$B$2</f>
        <v/>
      </c>
      <c r="AK89" s="164">
        <f>AJ89/Цены!$B$1</f>
        <v/>
      </c>
      <c r="AL89" s="164">
        <f>AE89+AF89+AG89</f>
        <v/>
      </c>
      <c r="AM89" s="164">
        <f>AJ89-AL89</f>
        <v/>
      </c>
      <c r="AN89" s="164">
        <f>AI89+AH89+AG89+AF89+AE89</f>
        <v/>
      </c>
      <c r="AO89" s="167">
        <f>(AJ89-AN89)/AJ89</f>
        <v/>
      </c>
      <c r="AP89" s="168">
        <f>AL89/AJ89</f>
        <v/>
      </c>
      <c r="AQ89" s="168">
        <f>AE89/AJ89</f>
        <v/>
      </c>
      <c r="AR89" s="168">
        <f>AE89/AL89</f>
        <v/>
      </c>
      <c r="AS89" s="169" t="n">
        <v>1</v>
      </c>
      <c r="AT89" s="121">
        <f>S89*AS89</f>
        <v/>
      </c>
      <c r="AU89" s="83" t="n">
        <v>0.9</v>
      </c>
      <c r="AV89" s="170">
        <f>(AJ89-(AE89*(1+$IS$2)+AF89+AG89+AH89+AI89))/AJ89</f>
        <v/>
      </c>
      <c r="AW89" s="171">
        <f>(AE89*(1+$IS$2)+AF89+AG89)/AJ89</f>
        <v/>
      </c>
      <c r="AX89" s="171">
        <f>(AE89*(1+$IS$2))/AJ89</f>
        <v/>
      </c>
      <c r="AY89" s="171">
        <f>(AE89*(1+$IS$2))/(AE89*(1+$IS$2)+AF89+AG89)</f>
        <v/>
      </c>
      <c r="AZ89" s="172">
        <f>MIN(IF($AU89=100%,1,1+VLOOKUP(($AJ89-$AI89-$AH89-$AG89-$AF89-$AE89*(1+AZ$3))/$AJ89,'Технический лист'!$I:$J,2,1)-VLOOKUP($AO89,'Технический лист'!$I:$J,2,1)),1+(1-$AU89))</f>
        <v/>
      </c>
      <c r="BA89" s="172">
        <f>MIN(IF($AU89=100%,1,1+VLOOKUP(($AJ89-$AI89-$AH89-$AG89-$AF89-$AE89*(1+BA$3))/$AJ89,'Технический лист'!$I:$J,2,1)-VLOOKUP($AO89,'Технический лист'!$I:$J,2,1)),1+(1-$AU89))</f>
        <v/>
      </c>
      <c r="BB89" s="172">
        <f>MIN(IF($AU89=100%,1,1+VLOOKUP(($AJ89-$AI89-$AH89-$AG89-$AF89-$AE89*(1+BB$3))/$AJ89,'Технический лист'!$I:$J,2,1)-VLOOKUP($AO89,'Технический лист'!$I:$J,2,1)),1+(1-$AU89))</f>
        <v/>
      </c>
      <c r="BC89" s="172">
        <f>MIN(IF($AU89=100%,1,1+VLOOKUP(($AJ89-$AI89-$AH89-$AG89-$AF89-$AE89*(1+BC$3))/$AJ89,'Технический лист'!$I:$J,2,1)-VLOOKUP($AO89,'Технический лист'!$I:$J,2,1)),1+(1-$AU89))</f>
        <v/>
      </c>
      <c r="BD89" s="172">
        <f>MIN(IF($AU89=100%,1,1+VLOOKUP(($AJ89-$AI89-$AH89-$AG89-$AF89-$AE89*(1+BD$3))/$AJ89,'Технический лист'!$I:$J,2,1)-VLOOKUP($AO89,'Технический лист'!$I:$J,2,1)),1+(1-$AU89))</f>
        <v/>
      </c>
      <c r="BE89" s="172">
        <f>MIN(IF($AU89=100%,1,1+VLOOKUP(($AJ89-$AI89-$AH89-$AG89-$AF89-$AE89*(1+BE$3))/$AJ89,'Технический лист'!$I:$J,2,1)-VLOOKUP($AO89,'Технический лист'!$I:$J,2,1)),1+(1-$AU89))</f>
        <v/>
      </c>
      <c r="BF89" s="172">
        <f>MIN(IF($AU89=100%,1,1+VLOOKUP(($AJ89-$AI89-$AH89-$AG89-$AF89-$AE89*(1+BF$3))/$AJ89,'Технический лист'!$I:$J,2,1)-VLOOKUP($AO89,'Технический лист'!$I:$J,2,1)),1+(1-$AU89))</f>
        <v/>
      </c>
      <c r="BG89" s="172">
        <f>MIN(IF($AU89=100%,1,1+VLOOKUP(($AJ89-$AI89-$AH89-$AG89-$AF89-$AE89*(1+BG$3))/$AJ89,'Технический лист'!$I:$J,2,1)-VLOOKUP($AO89,'Технический лист'!$I:$J,2,1)),1+(1-$AU89))</f>
        <v/>
      </c>
      <c r="BH89" s="172">
        <f>MIN(IF($AU89=100%,1,1+VLOOKUP(($AJ89-$AI89-$AH89-$AG89-$AF89-$AE89*(1+BH$3))/$AJ89,'Технический лист'!$I:$J,2,1)-VLOOKUP($AO89,'Технический лист'!$I:$J,2,1)),1+(1-$AU89))</f>
        <v/>
      </c>
      <c r="BI89" s="172">
        <f>MIN(IF($AU89=100%,1,1+VLOOKUP(($AJ89-$AI89-$AH89-$AG89-$AF89-$AE89*(1+BI$3))/$AJ89,'Технический лист'!$I:$J,2,1)-VLOOKUP($AO89,'Технический лист'!$I:$J,2,1)),1+(1-$AU89))</f>
        <v/>
      </c>
      <c r="BJ89" s="172">
        <f>MIN(IF($AU89=100%,1,1+VLOOKUP(($AJ89-$AI89-$AH89-$AG89-$AF89-$AE89*(1+BJ$3))/$AJ89,'Технический лист'!$I:$J,2,1)-VLOOKUP($AO89,'Технический лист'!$I:$J,2,1)),1+(1-$AU89))</f>
        <v/>
      </c>
      <c r="BK89" s="172">
        <f>MIN(IF($AU89=100%,1,1+VLOOKUP(($AJ89-$AI89-$AH89-$AG89-$AF89-$AE89*(1+BK$3))/$AJ89,'Технический лист'!$I:$J,2,1)-VLOOKUP($AO89,'Технический лист'!$I:$J,2,1)),1+(1-$AU89))</f>
        <v/>
      </c>
      <c r="BL89" s="172">
        <f>MIN(IF($AU89=100%,1,1+VLOOKUP(($AJ89-$AI89-$AH89-$AG89-$AF89-$AE89*(1+BL$3))/$AJ89,'Технический лист'!$I:$J,2,1)-VLOOKUP($AO89,'Технический лист'!$I:$J,2,1)),1+(1-$AU89))</f>
        <v/>
      </c>
      <c r="BM89" s="172">
        <f>MIN(IF($AU89=100%,1,1+VLOOKUP(($AJ89-$AI89-$AH89-$AG89-$AF89-$AE89*(1+BM$3))/$AJ89,'Технический лист'!$I:$J,2,1)-VLOOKUP($AO89,'Технический лист'!$I:$J,2,1)),1+(1-$AU89))</f>
        <v/>
      </c>
      <c r="BN89" s="172">
        <f>MIN(IF($AU89=100%,1,1+VLOOKUP(($AJ89-$AI89-$AH89-$AG89-$AF89-$AE89*(1+BN$3))/$AJ89,'Технический лист'!$I:$J,2,1)-VLOOKUP($AO89,'Технический лист'!$I:$J,2,1)),1+(1-$AU89))</f>
        <v/>
      </c>
      <c r="BO89" s="172">
        <f>MIN(IF($AU89=100%,1,1+VLOOKUP(($AJ89-$AI89-$AH89-$AG89-$AF89-$AE89*(1+BO$3))/$AJ89,'Технический лист'!$I:$J,2,1)-VLOOKUP($AO89,'Технический лист'!$I:$J,2,1)),1+(1-$AU89))</f>
        <v/>
      </c>
      <c r="BP89" s="172">
        <f>MIN(IF($AU89=100%,1,1+VLOOKUP(($AJ89-$AI89-$AH89-$AG89-$AF89-$AE89*(1+BP$3))/$AJ89,'Технический лист'!$I:$J,2,1)-VLOOKUP($AO89,'Технический лист'!$I:$J,2,1)),1+(1-$AU89))</f>
        <v/>
      </c>
      <c r="BQ89" s="172">
        <f>MIN(IF($AU89=100%,1,1+VLOOKUP(($AJ89-$AI89-$AH89-$AG89-$AF89-$AE89*(1+BQ$3))/$AJ89,'Технический лист'!$I:$J,2,1)-VLOOKUP($AO89,'Технический лист'!$I:$J,2,1)),1+(1-$AU89))</f>
        <v/>
      </c>
      <c r="BR89" s="172">
        <f>MIN(IF($AU89=100%,1,1+VLOOKUP(($AJ89-$AI89-$AH89-$AG89-$AF89-$AE89*(1+BR$3))/$AJ89,'Технический лист'!$I:$J,2,1)-VLOOKUP($AO89,'Технический лист'!$I:$J,2,1)),1+(1-$AU89))</f>
        <v/>
      </c>
      <c r="BS89" s="172">
        <f>MIN(IF($AU89=100%,1,1+VLOOKUP(($AJ89-$AI89-$AH89-$AG89-$AF89-$AE89*(1+BS$3))/$AJ89,'Технический лист'!$I:$J,2,1)-VLOOKUP($AO89,'Технический лист'!$I:$J,2,1)),1+(1-$AU89))</f>
        <v/>
      </c>
      <c r="BT89" s="172">
        <f>MIN(IF($AU89=100%,1,1+VLOOKUP(($AJ89-$AI89-$AH89-$AG89-$AF89-$AE89*(1+BT$3))/$AJ89,'Технический лист'!$I:$J,2,1)-VLOOKUP($AO89,'Технический лист'!$I:$J,2,1)),1+(1-$AU89))</f>
        <v/>
      </c>
      <c r="BU89" s="172">
        <f>MIN(IF($AU89=100%,1,1+VLOOKUP(($AJ89-$AI89-$AH89-$AG89-$AF89-$AE89*(1+BU$3))/$AJ89,'Технический лист'!$I:$J,2,1)-VLOOKUP($AO89,'Технический лист'!$I:$J,2,1)),1+(1-$AU89))</f>
        <v/>
      </c>
      <c r="BV89" s="172">
        <f>MIN(IF($AU89=100%,1,1+VLOOKUP(($AJ89-$AI89-$AH89-$AG89-$AF89-$AE89*(1+BV$3))/$AJ89,'Технический лист'!$I:$J,2,1)-VLOOKUP($AO89,'Технический лист'!$I:$J,2,1)),1+(1-$AU89))</f>
        <v/>
      </c>
      <c r="BW89" s="172">
        <f>MIN(IF($AU89=100%,1,1+VLOOKUP(($AJ89-$AI89-$AH89-$AG89-$AF89-$AE89*(1+BW$3))/$AJ89,'Технический лист'!$I:$J,2,1)-VLOOKUP($AO89,'Технический лист'!$I:$J,2,1)),1+(1-$AU89))</f>
        <v/>
      </c>
      <c r="BX89" s="172">
        <f>MIN(IF($AU89=100%,1,1+VLOOKUP(($AJ89-$AI89-$AH89-$AG89-$AF89-$AE89*(1+BX$3))/$AJ89,'Технический лист'!$I:$J,2,1)-VLOOKUP($AO89,'Технический лист'!$I:$J,2,1)),1+(1-$AU89))</f>
        <v/>
      </c>
      <c r="BY89" s="172">
        <f>MIN(IF($AU89=100%,1,1+VLOOKUP(($AJ89-$AI89-$AH89-$AG89-$AF89-$AE89*(1+BY$3))/$AJ89,'Технический лист'!$I:$J,2,1)-VLOOKUP($AO89,'Технический лист'!$I:$J,2,1)),1+(1-$AU89))</f>
        <v/>
      </c>
      <c r="BZ89" s="172">
        <f>MIN(IF($AU89=100%,1,1+VLOOKUP(($AJ89-$AI89-$AH89-$AG89-$AF89-$AE89*(1+BZ$3))/$AJ89,'Технический лист'!$I:$J,2,1)-VLOOKUP($AO89,'Технический лист'!$I:$J,2,1)),1+(1-$AU89))</f>
        <v/>
      </c>
      <c r="CA89" s="172">
        <f>MIN(IF($AU89=100%,1,1+VLOOKUP(($AJ89-$AI89-$AH89-$AG89-$AF89-$AE89*(1+CA$3))/$AJ89,'Технический лист'!$I:$J,2,1)-VLOOKUP($AO89,'Технический лист'!$I:$J,2,1)),1+(1-$AU89))</f>
        <v/>
      </c>
      <c r="CB89" s="172">
        <f>MIN(IF($AU89=100%,1,1+VLOOKUP(($AJ89-$AI89-$AH89-$AG89-$AF89-$AE89*(1+CB$3))/$AJ89,'Технический лист'!$I:$J,2,1)-VLOOKUP($AO89,'Технический лист'!$I:$J,2,1)),1+(1-$AU89))</f>
        <v/>
      </c>
      <c r="CC89" s="172">
        <f>MIN(IF($AU89=100%,1,1+VLOOKUP(($AJ89-$AI89-$AH89-$AG89-$AF89-$AE89*(1+CC$3))/$AJ89,'Технический лист'!$I:$J,2,1)-VLOOKUP($AO89,'Технический лист'!$I:$J,2,1)),1+(1-$AU89))</f>
        <v/>
      </c>
      <c r="CD89" s="172">
        <f>MIN(IF($AU89=100%,1,1+VLOOKUP(($AJ89-$AI89-$AH89-$AG89-$AF89-$AE89*(1+CD$3))/$AJ89,'Технический лист'!$I:$J,2,1)-VLOOKUP($AO89,'Технический лист'!$I:$J,2,1)),1+(1-$AU89))</f>
        <v/>
      </c>
      <c r="CE89" s="172">
        <f>MIN(IF($AU89=100%,1,1+VLOOKUP(($AJ89-$AI89-$AH89-$AG89-$AF89-$AE89*(1+CE$3))/$AJ89,'Технический лист'!$I:$J,2,1)-VLOOKUP($AO89,'Технический лист'!$I:$J,2,1)),1+(1-$AU89))</f>
        <v/>
      </c>
      <c r="CF89" s="172">
        <f>MIN(IF($AU89=100%,1,1+VLOOKUP(($AJ89-$AI89-$AH89-$AG89-$AF89-$AE89*(1+CF$3))/$AJ89,'Технический лист'!$I:$J,2,1)-VLOOKUP($AO89,'Технический лист'!$I:$J,2,1)),1+(1-$AU89))</f>
        <v/>
      </c>
      <c r="CG89" s="172">
        <f>MIN(IF($AU89=100%,1,1+VLOOKUP(($AJ89-$AI89-$AH89-$AG89-$AF89-$AE89*(1+CG$3))/$AJ89,'Технический лист'!$I:$J,2,1)-VLOOKUP($AO89,'Технический лист'!$I:$J,2,1)),1+(1-$AU89))</f>
        <v/>
      </c>
      <c r="CH89" s="172">
        <f>MIN(IF($AU89=100%,1,1+VLOOKUP(($AJ89-$AI89-$AH89-$AG89-$AF89-$AE89*(1+CH$3))/$AJ89,'Технический лист'!$I:$J,2,1)-VLOOKUP($AO89,'Технический лист'!$I:$J,2,1)),1+(1-$AU89))</f>
        <v/>
      </c>
      <c r="CI89" s="172">
        <f>MIN(IF($AU89=100%,1,1+VLOOKUP(($AJ89-$AI89-$AH89-$AG89-$AF89-$AE89*(1+CI$3))/$AJ89,'Технический лист'!$I:$J,2,1)-VLOOKUP($AO89,'Технический лист'!$I:$J,2,1)),1+(1-$AU89))</f>
        <v/>
      </c>
      <c r="CJ89" s="172">
        <f>MIN(IF($AU89=100%,1,1+VLOOKUP(($AJ89-$AI89-$AH89-$AG89-$AF89-$AE89*(1+CJ$3))/$AJ89,'Технический лист'!$I:$J,2,1)-VLOOKUP($AO89,'Технический лист'!$I:$J,2,1)),1+(1-$AU89))</f>
        <v/>
      </c>
      <c r="CK89" s="172">
        <f>MIN(IF($AU89=100%,1,1+VLOOKUP(($AJ89-$AI89-$AH89-$AG89-$AF89-$AE89*(1+CK$3))/$AJ89,'Технический лист'!$I:$J,2,1)-VLOOKUP($AO89,'Технический лист'!$I:$J,2,1)),1+(1-$AU89))</f>
        <v/>
      </c>
      <c r="CL89" s="172">
        <f>MIN(IF($AU89=100%,1,1+VLOOKUP(($AJ89-$AI89-$AH89-$AG89-$AF89-$AE89*(1+CL$3))/$AJ89,'Технический лист'!$I:$J,2,1)-VLOOKUP($AO89,'Технический лист'!$I:$J,2,1)),1+(1-$AU89))</f>
        <v/>
      </c>
      <c r="CM89" s="172">
        <f>MIN(IF($AU89=100%,1,1+VLOOKUP(($AJ89-$AI89-$AH89-$AG89-$AF89-$AE89*(1+CM$3))/$AJ89,'Технический лист'!$I:$J,2,1)-VLOOKUP($AO89,'Технический лист'!$I:$J,2,1)),1+(1-$AU89))</f>
        <v/>
      </c>
      <c r="CN89" s="172">
        <f>MIN(IF($AU89=100%,1,1+VLOOKUP(($AJ89-$AI89-$AH89-$AG89-$AF89-$AE89*(1+CN$3))/$AJ89,'Технический лист'!$I:$J,2,1)-VLOOKUP($AO89,'Технический лист'!$I:$J,2,1)),1+(1-$AU89))</f>
        <v/>
      </c>
      <c r="CO89" s="172">
        <f>MIN(IF($AU89=100%,1,1+VLOOKUP(($AJ89-$AI89-$AH89-$AG89-$AF89-$AE89*(1+CO$3))/$AJ89,'Технический лист'!$I:$J,2,1)-VLOOKUP($AO89,'Технический лист'!$I:$J,2,1)),1+(1-$AU89))</f>
        <v/>
      </c>
      <c r="CP89" s="172">
        <f>MIN(IF($AU89=100%,1,1+VLOOKUP(($AJ89-$AI89-$AH89-$AG89-$AF89-$AE89*(1+CP$3))/$AJ89,'Технический лист'!$I:$J,2,1)-VLOOKUP($AO89,'Технический лист'!$I:$J,2,1)),1+(1-$AU89))</f>
        <v/>
      </c>
      <c r="CQ89" s="172">
        <f>MIN(IF($AU89=100%,1,1+VLOOKUP(($AJ89-$AI89-$AH89-$AG89-$AF89-$AE89*(1+CQ$3))/$AJ89,'Технический лист'!$I:$J,2,1)-VLOOKUP($AO89,'Технический лист'!$I:$J,2,1)),1+(1-$AU89))</f>
        <v/>
      </c>
      <c r="CR89" s="172">
        <f>MIN(IF($AU89=100%,1,1+VLOOKUP(($AJ89-$AI89-$AH89-$AG89-$AF89-$AE89*(1+CR$3))/$AJ89,'Технический лист'!$I:$J,2,1)-VLOOKUP($AO89,'Технический лист'!$I:$J,2,1)),1+(1-$AU89))</f>
        <v/>
      </c>
      <c r="CS89" s="172">
        <f>MIN(IF($AU89=100%,1,1+VLOOKUP(($AJ89-$AI89-$AH89-$AG89-$AF89-$AE89*(1+CS$3))/$AJ89,'Технический лист'!$I:$J,2,1)-VLOOKUP($AO89,'Технический лист'!$I:$J,2,1)),1+(1-$AU89))</f>
        <v/>
      </c>
      <c r="CT89" s="172">
        <f>MIN(IF($AU89=100%,1,1+VLOOKUP(($AJ89-$AI89-$AH89-$AG89-$AF89-$AE89*(1+CT$3))/$AJ89,'Технический лист'!$I:$J,2,1)-VLOOKUP($AO89,'Технический лист'!$I:$J,2,1)),1+(1-$AU89))</f>
        <v/>
      </c>
      <c r="CU89" s="172">
        <f>MIN(IF($AU89=100%,1,1+VLOOKUP(($AJ89-$AI89-$AH89-$AG89-$AF89-$AE89*(1+CU$3))/$AJ89,'Технический лист'!$I:$J,2,1)-VLOOKUP($AO89,'Технический лист'!$I:$J,2,1)),1+(1-$AU89))</f>
        <v/>
      </c>
      <c r="CV89" s="172">
        <f>MIN(IF($AU89=100%,1,1+VLOOKUP(($AJ89-$AI89-$AH89-$AG89-$AF89-$AE89*(1+CV$3))/$AJ89,'Технический лист'!$I:$J,2,1)-VLOOKUP($AO89,'Технический лист'!$I:$J,2,1)),1+(1-$AU89))</f>
        <v/>
      </c>
      <c r="CW89" s="172">
        <f>MIN(IF($AU89=100%,1,1+VLOOKUP(($AJ89-$AI89-$AH89-$AG89-$AF89-$AE89*(1+CW$3))/$AJ89,'Технический лист'!$I:$J,2,1)-VLOOKUP($AO89,'Технический лист'!$I:$J,2,1)),1+(1-$AU89))</f>
        <v/>
      </c>
      <c r="CX89" s="172">
        <f>MIN(IF($AU89=100%,1,1+VLOOKUP(($AJ89-$AI89-$AH89-$AG89-$AF89-$AE89*(1+CX$3))/$AJ89,'Технический лист'!$I:$J,2,1)-VLOOKUP($AO89,'Технический лист'!$I:$J,2,1)),1+(1-$AU89))</f>
        <v/>
      </c>
      <c r="CY89" s="172">
        <f>MIN(IF($AU89=100%,1,1+VLOOKUP(($AJ89-$AI89-$AH89-$AG89-$AF89-$AE89*(1+CY$3))/$AJ89,'Технический лист'!$I:$J,2,1)-VLOOKUP($AO89,'Технический лист'!$I:$J,2,1)),1+(1-$AU89))</f>
        <v/>
      </c>
      <c r="CZ89" s="172">
        <f>MIN(IF($AU89=100%,1,1+VLOOKUP(($AJ89-$AI89-$AH89-$AG89-$AF89-$AE89*(1+CZ$3))/$AJ89,'Технический лист'!$I:$J,2,1)-VLOOKUP($AO89,'Технический лист'!$I:$J,2,1)),1+(1-$AU89))</f>
        <v/>
      </c>
      <c r="DA89" s="172">
        <f>MIN(IF($AU89=100%,1,1+VLOOKUP(($AJ89-$AI89-$AH89-$AG89-$AF89-$AE89*(1+DA$3))/$AJ89,'Технический лист'!$I:$J,2,1)-VLOOKUP($AO89,'Технический лист'!$I:$J,2,1)),1+(1-$AU89))</f>
        <v/>
      </c>
      <c r="DB89" s="172">
        <f>MIN(IF($AU89=100%,1,1+VLOOKUP(($AJ89-$AI89-$AH89-$AG89-$AF89-$AE89*(1+DB$3))/$AJ89,'Технический лист'!$I:$J,2,1)-VLOOKUP($AO89,'Технический лист'!$I:$J,2,1)),1+(1-$AU89))</f>
        <v/>
      </c>
      <c r="DC89" s="172">
        <f>MIN(IF($AU89=100%,1,1+VLOOKUP(($AJ89-$AI89-$AH89-$AG89-$AF89-$AE89*(1+DC$3))/$AJ89,'Технический лист'!$I:$J,2,1)-VLOOKUP($AO89,'Технический лист'!$I:$J,2,1)),1+(1-$AU89))</f>
        <v/>
      </c>
      <c r="DD89" s="172">
        <f>MIN(IF($AU89=100%,1,1+VLOOKUP(($AJ89-$AI89-$AH89-$AG89-$AF89-$AE89*(1+DD$3))/$AJ89,'Технический лист'!$I:$J,2,1)-VLOOKUP($AO89,'Технический лист'!$I:$J,2,1)),1+(1-$AU89))</f>
        <v/>
      </c>
      <c r="DE89" s="172">
        <f>MIN(IF($AU89=100%,1,1+VLOOKUP(($AJ89-$AI89-$AH89-$AG89-$AF89-$AE89*(1+DE$3))/$AJ89,'Технический лист'!$I:$J,2,1)-VLOOKUP($AO89,'Технический лист'!$I:$J,2,1)),1+(1-$AU89))</f>
        <v/>
      </c>
      <c r="DF89" s="172">
        <f>MIN(IF($AU89=100%,1,1+VLOOKUP(($AJ89-$AI89-$AH89-$AG89-$AF89-$AE89*(1+DF$3))/$AJ89,'Технический лист'!$I:$J,2,1)-VLOOKUP($AO89,'Технический лист'!$I:$J,2,1)),1+(1-$AU89))</f>
        <v/>
      </c>
      <c r="DG89" s="172">
        <f>MIN(IF($AU89=100%,1,1+VLOOKUP(($AJ89-$AI89-$AH89-$AG89-$AF89-$AE89*(1+DG$3))/$AJ89,'Технический лист'!$I:$J,2,1)-VLOOKUP($AO89,'Технический лист'!$I:$J,2,1)),1+(1-$AU89))</f>
        <v/>
      </c>
      <c r="DH89" s="172">
        <f>MIN(IF($AU89=100%,1,1+VLOOKUP(($AJ89-$AI89-$AH89-$AG89-$AF89-$AE89*(1+DH$3))/$AJ89,'Технический лист'!$I:$J,2,1)-VLOOKUP($AO89,'Технический лист'!$I:$J,2,1)),1+(1-$AU89))</f>
        <v/>
      </c>
      <c r="DI89" s="172">
        <f>MIN(IF($AU89=100%,1,1+VLOOKUP(($AJ89-$AI89-$AH89-$AG89-$AF89-$AE89*(1+DI$3))/$AJ89,'Технический лист'!$I:$J,2,1)-VLOOKUP($AO89,'Технический лист'!$I:$J,2,1)),1+(1-$AU89))</f>
        <v/>
      </c>
      <c r="DJ89" s="172">
        <f>MIN(IF($AU89=100%,1,1+VLOOKUP(($AJ89-$AI89-$AH89-$AG89-$AF89-$AE89*(1+DJ$3))/$AJ89,'Технический лист'!$I:$J,2,1)-VLOOKUP($AO89,'Технический лист'!$I:$J,2,1)),1+(1-$AU89))</f>
        <v/>
      </c>
      <c r="DK89" s="172">
        <f>MIN(IF($AU89=100%,1,1+VLOOKUP(($AJ89-$AI89-$AH89-$AG89-$AF89-$AE89*(1+DK$3))/$AJ89,'Технический лист'!$I:$J,2,1)-VLOOKUP($AO89,'Технический лист'!$I:$J,2,1)),1+(1-$AU89))</f>
        <v/>
      </c>
      <c r="DL89" s="172">
        <f>MIN(IF($AU89=100%,1,1+VLOOKUP(($AJ89-$AI89-$AH89-$AG89-$AF89-$AE89*(1+DL$3))/$AJ89,'Технический лист'!$I:$J,2,1)-VLOOKUP($AO89,'Технический лист'!$I:$J,2,1)),1+(1-$AU89))</f>
        <v/>
      </c>
      <c r="DM89" s="172">
        <f>MIN(IF($AU89=100%,1,1+VLOOKUP(($AJ89-$AI89-$AH89-$AG89-$AF89-$AE89*(1+DM$3))/$AJ89,'Технический лист'!$I:$J,2,1)-VLOOKUP($AO89,'Технический лист'!$I:$J,2,1)),1+(1-$AU89))</f>
        <v/>
      </c>
      <c r="DN89" s="172">
        <f>MIN(IF($AU89=100%,1,1+VLOOKUP(($AJ89-$AI89-$AH89-$AG89-$AF89-$AE89*(1+DN$3))/$AJ89,'Технический лист'!$I:$J,2,1)-VLOOKUP($AO89,'Технический лист'!$I:$J,2,1)),1+(1-$AU89))</f>
        <v/>
      </c>
      <c r="DO89" s="172">
        <f>MIN(IF($AU89=100%,1,1+VLOOKUP(($AJ89-$AI89-$AH89-$AG89-$AF89-$AE89*(1+DO$3))/$AJ89,'Технический лист'!$I:$J,2,1)-VLOOKUP($AO89,'Технический лист'!$I:$J,2,1)),1+(1-$AU89))</f>
        <v/>
      </c>
      <c r="DP89" s="172">
        <f>MIN(IF($AU89=100%,1,1+VLOOKUP(($AJ89-$AI89-$AH89-$AG89-$AF89-$AE89*(1+DP$3))/$AJ89,'Технический лист'!$I:$J,2,1)-VLOOKUP($AO89,'Технический лист'!$I:$J,2,1)),1+(1-$AU89))</f>
        <v/>
      </c>
      <c r="DQ89" s="172">
        <f>MIN(IF($AU89=100%,1,1+VLOOKUP(($AJ89-$AI89-$AH89-$AG89-$AF89-$AE89*(1+DQ$3))/$AJ89,'Технический лист'!$I:$J,2,1)-VLOOKUP($AO89,'Технический лист'!$I:$J,2,1)),1+(1-$AU89))</f>
        <v/>
      </c>
      <c r="DR89" s="172">
        <f>MIN(IF($AU89=100%,1,1+VLOOKUP(($AJ89-$AI89-$AH89-$AG89-$AF89-$AE89*(1+DR$3))/$AJ89,'Технический лист'!$I:$J,2,1)-VLOOKUP($AO89,'Технический лист'!$I:$J,2,1)),1+(1-$AU89))</f>
        <v/>
      </c>
      <c r="DS89" s="172">
        <f>MIN(IF($AU89=100%,1,1+VLOOKUP(($AJ89-$AI89-$AH89-$AG89-$AF89-$AE89*(1+DS$3))/$AJ89,'Технический лист'!$I:$J,2,1)-VLOOKUP($AO89,'Технический лист'!$I:$J,2,1)),1+(1-$AU89))</f>
        <v/>
      </c>
      <c r="DT89" s="172">
        <f>MIN(IF($AU89=100%,1,1+VLOOKUP(($AJ89-$AI89-$AH89-$AG89-$AF89-$AE89*(1+DT$3))/$AJ89,'Технический лист'!$I:$J,2,1)-VLOOKUP($AO89,'Технический лист'!$I:$J,2,1)),1+(1-$AU89))</f>
        <v/>
      </c>
      <c r="DU89" s="172">
        <f>MIN(IF($AU89=100%,1,1+VLOOKUP(($AJ89-$AI89-$AH89-$AG89-$AF89-$AE89*(1+DU$3))/$AJ89,'Технический лист'!$I:$J,2,1)-VLOOKUP($AO89,'Технический лист'!$I:$J,2,1)),1+(1-$AU89))</f>
        <v/>
      </c>
      <c r="DV89" s="172">
        <f>MIN(IF($AU89=100%,1,1+VLOOKUP(($AJ89-$AI89-$AH89-$AG89-$AF89-$AE89*(1+DV$3))/$AJ89,'Технический лист'!$I:$J,2,1)-VLOOKUP($AO89,'Технический лист'!$I:$J,2,1)),1+(1-$AU89))</f>
        <v/>
      </c>
      <c r="DW89" s="172">
        <f>MIN(IF($AU89=100%,1,1+VLOOKUP(($AJ89-$AI89-$AH89-$AG89-$AF89-$AE89*(1+DW$3))/$AJ89,'Технический лист'!$I:$J,2,1)-VLOOKUP($AO89,'Технический лист'!$I:$J,2,1)),1+(1-$AU89))</f>
        <v/>
      </c>
      <c r="DX89" s="172">
        <f>MIN(IF($AU89=100%,1,1+VLOOKUP(($AJ89-$AI89-$AH89-$AG89-$AF89-$AE89*(1+DX$3))/$AJ89,'Технический лист'!$I:$J,2,1)-VLOOKUP($AO89,'Технический лист'!$I:$J,2,1)),1+(1-$AU89))</f>
        <v/>
      </c>
      <c r="DY89" s="172">
        <f>MIN(IF($AU89=100%,1,1+VLOOKUP(($AJ89-$AI89-$AH89-$AG89-$AF89-$AE89*(1+DY$3))/$AJ89,'Технический лист'!$I:$J,2,1)-VLOOKUP($AO89,'Технический лист'!$I:$J,2,1)),1+(1-$AU89))</f>
        <v/>
      </c>
      <c r="DZ89" s="172">
        <f>MIN(IF($AU89=100%,1,1+VLOOKUP(($AJ89-$AI89-$AH89-$AG89-$AF89-$AE89*(1+DZ$3))/$AJ89,'Технический лист'!$I:$J,2,1)-VLOOKUP($AO89,'Технический лист'!$I:$J,2,1)),1+(1-$AU89))</f>
        <v/>
      </c>
      <c r="EA89" s="172">
        <f>MIN(IF($AU89=100%,1,1+VLOOKUP(($AJ89-$AI89-$AH89-$AG89-$AF89-$AE89*(1+EA$3))/$AJ89,'Технический лист'!$I:$J,2,1)-VLOOKUP($AO89,'Технический лист'!$I:$J,2,1)),1+(1-$AU89))</f>
        <v/>
      </c>
      <c r="EB89" s="172">
        <f>MIN(IF($AU89=100%,1,1+VLOOKUP(($AJ89-$AI89-$AH89-$AG89-$AF89-$AE89*(1+EB$3))/$AJ89,'Технический лист'!$I:$J,2,1)-VLOOKUP($AO89,'Технический лист'!$I:$J,2,1)),1+(1-$AU89))</f>
        <v/>
      </c>
      <c r="EC89" s="172">
        <f>MIN(IF($AU89=100%,1,1+VLOOKUP(($AJ89-$AI89-$AH89-$AG89-$AF89-$AE89*(1+EC$3))/$AJ89,'Технический лист'!$I:$J,2,1)-VLOOKUP($AO89,'Технический лист'!$I:$J,2,1)),1+(1-$AU89))</f>
        <v/>
      </c>
      <c r="ED89" s="172">
        <f>MIN(IF($AU89=100%,1,1+VLOOKUP(($AJ89-$AI89-$AH89-$AG89-$AF89-$AE89*(1+ED$3))/$AJ89,'Технический лист'!$I:$J,2,1)-VLOOKUP($AO89,'Технический лист'!$I:$J,2,1)),1+(1-$AU89))</f>
        <v/>
      </c>
      <c r="EE89" s="172">
        <f>MIN(IF($AU89=100%,1,1+VLOOKUP(($AJ89-$AI89-$AH89-$AG89-$AF89-$AE89*(1+EE$3))/$AJ89,'Технический лист'!$I:$J,2,1)-VLOOKUP($AO89,'Технический лист'!$I:$J,2,1)),1+(1-$AU89))</f>
        <v/>
      </c>
      <c r="EF89" s="172">
        <f>MIN(IF($AU89=100%,1,1+VLOOKUP(($AJ89-$AI89-$AH89-$AG89-$AF89-$AE89*(1+EF$3))/$AJ89,'Технический лист'!$I:$J,2,1)-VLOOKUP($AO89,'Технический лист'!$I:$J,2,1)),1+(1-$AU89))</f>
        <v/>
      </c>
      <c r="EG89" s="172">
        <f>MIN(IF($AU89=100%,1,1+VLOOKUP(($AJ89-$AI89-$AH89-$AG89-$AF89-$AE89*(1+EG$3))/$AJ89,'Технический лист'!$I:$J,2,1)-VLOOKUP($AO89,'Технический лист'!$I:$J,2,1)),1+(1-$AU89))</f>
        <v/>
      </c>
      <c r="EH89" s="172">
        <f>MIN(IF($AU89=100%,1,1+VLOOKUP(($AJ89-$AI89-$AH89-$AG89-$AF89-$AE89*(1+EH$3))/$AJ89,'Технический лист'!$I:$J,2,1)-VLOOKUP($AO89,'Технический лист'!$I:$J,2,1)),1+(1-$AU89))</f>
        <v/>
      </c>
      <c r="EI89" s="172">
        <f>MIN(IF($AU89=100%,1,1+VLOOKUP(($AJ89-$AI89-$AH89-$AG89-$AF89-$AE89*(1+EI$3))/$AJ89,'Технический лист'!$I:$J,2,1)-VLOOKUP($AO89,'Технический лист'!$I:$J,2,1)),1+(1-$AU89))</f>
        <v/>
      </c>
      <c r="EJ89" s="172">
        <f>MIN(IF($AU89=100%,1,1+VLOOKUP(($AJ89-$AI89-$AH89-$AG89-$AF89-$AE89*(1+EJ$3))/$AJ89,'Технический лист'!$I:$J,2,1)-VLOOKUP($AO89,'Технический лист'!$I:$J,2,1)),1+(1-$AU89))</f>
        <v/>
      </c>
      <c r="EK89" s="172">
        <f>MIN(IF($AU89=100%,1,1+VLOOKUP(($AJ89-$AI89-$AH89-$AG89-$AF89-$AE89*(1+EK$3))/$AJ89,'Технический лист'!$I:$J,2,1)-VLOOKUP($AO89,'Технический лист'!$I:$J,2,1)),1+(1-$AU89))</f>
        <v/>
      </c>
      <c r="EL89" s="172">
        <f>MIN(IF($AU89=100%,1,1+VLOOKUP(($AJ89-$AI89-$AH89-$AG89-$AF89-$AE89*(1+EL$3))/$AJ89,'Технический лист'!$I:$J,2,1)-VLOOKUP($AO89,'Технический лист'!$I:$J,2,1)),1+(1-$AU89))</f>
        <v/>
      </c>
      <c r="EM89" s="172">
        <f>MIN(IF($AU89=100%,1,1+VLOOKUP(($AJ89-$AI89-$AH89-$AG89-$AF89-$AE89*(1+EM$3))/$AJ89,'Технический лист'!$I:$J,2,1)-VLOOKUP($AO89,'Технический лист'!$I:$J,2,1)),1+(1-$AU89))</f>
        <v/>
      </c>
      <c r="EN89" s="172">
        <f>MIN(IF($AU89=100%,1,1+VLOOKUP(($AJ89-$AI89-$AH89-$AG89-$AF89-$AE89*(1+EN$3))/$AJ89,'Технический лист'!$I:$J,2,1)-VLOOKUP($AO89,'Технический лист'!$I:$J,2,1)),1+(1-$AU89))</f>
        <v/>
      </c>
      <c r="EO89" s="172">
        <f>MIN(IF($AU89=100%,1,1+VLOOKUP(($AJ89-$AI89-$AH89-$AG89-$AF89-$AE89*(1+EO$3))/$AJ89,'Технический лист'!$I:$J,2,1)-VLOOKUP($AO89,'Технический лист'!$I:$J,2,1)),1+(1-$AU89))</f>
        <v/>
      </c>
      <c r="EP89" s="172">
        <f>MIN(IF($AU89=100%,1,1+VLOOKUP(($AJ89-$AI89-$AH89-$AG89-$AF89-$AE89*(1+EP$3))/$AJ89,'Технический лист'!$I:$J,2,1)-VLOOKUP($AO89,'Технический лист'!$I:$J,2,1)),1+(1-$AU89))</f>
        <v/>
      </c>
      <c r="EQ89" s="172">
        <f>MIN(IF($AU89=100%,1,1+VLOOKUP(($AJ89-$AI89-$AH89-$AG89-$AF89-$AE89*(1+EQ$3))/$AJ89,'Технический лист'!$I:$J,2,1)-VLOOKUP($AO89,'Технический лист'!$I:$J,2,1)),1+(1-$AU89))</f>
        <v/>
      </c>
      <c r="ER89" s="172">
        <f>MIN(IF($AU89=100%,1,1+VLOOKUP(($AJ89-$AI89-$AH89-$AG89-$AF89-$AE89*(1+ER$3))/$AJ89,'Технический лист'!$I:$J,2,1)-VLOOKUP($AO89,'Технический лист'!$I:$J,2,1)),1+(1-$AU89))</f>
        <v/>
      </c>
      <c r="ES89" s="172">
        <f>MIN(IF($AU89=100%,1,1+VLOOKUP(($AJ89-$AI89-$AH89-$AG89-$AF89-$AE89*(1+ES$3))/$AJ89,'Технический лист'!$I:$J,2,1)-VLOOKUP($AO89,'Технический лист'!$I:$J,2,1)),1+(1-$AU89))</f>
        <v/>
      </c>
      <c r="ET89" s="172">
        <f>MIN(IF($AU89=100%,1,1+VLOOKUP(($AJ89-$AI89-$AH89-$AG89-$AF89-$AE89*(1+ET$3))/$AJ89,'Технический лист'!$I:$J,2,1)-VLOOKUP($AO89,'Технический лист'!$I:$J,2,1)),1+(1-$AU89))</f>
        <v/>
      </c>
      <c r="EU89" s="172">
        <f>MIN(IF($AU89=100%,1,1+VLOOKUP(($AJ89-$AI89-$AH89-$AG89-$AF89-$AE89*(1+EU$3))/$AJ89,'Технический лист'!$I:$J,2,1)-VLOOKUP($AO89,'Технический лист'!$I:$J,2,1)),1+(1-$AU89))</f>
        <v/>
      </c>
      <c r="EV89" s="173" t="n">
        <v>1</v>
      </c>
      <c r="EW89" s="172">
        <f>MIN(1,MAX(VLOOKUP(($AJ89-$AI89-$AH89-$AG89-$AF89-$AE89*(1+EW$3))/$AJ89,'Технический лист'!$A:$B,2,1),(EV89-0.05)))</f>
        <v/>
      </c>
      <c r="EX89" s="172">
        <f>MIN(1,MAX(VLOOKUP(($AJ89-$AI89-$AH89-$AG89-$AF89-$AE89*(1+EX$3))/$AJ89,'Технический лист'!$A:$B,2,1),(EW89-0.05)))</f>
        <v/>
      </c>
      <c r="EY89" s="172">
        <f>MIN(1,MAX(VLOOKUP(($AJ89-$AI89-$AH89-$AG89-$AF89-$AE89*(1+EY$3))/$AJ89,'Технический лист'!$A:$B,2,1),(EX89-0.05)))</f>
        <v/>
      </c>
      <c r="EZ89" s="172">
        <f>MIN(1,MAX(VLOOKUP(($AJ89-$AI89-$AH89-$AG89-$AF89-$AE89*(1+EZ$3))/$AJ89,'Технический лист'!$A:$B,2,1),(EY89-0.05)))</f>
        <v/>
      </c>
      <c r="FA89" s="172">
        <f>MIN(1,MAX(VLOOKUP(($AJ89-$AI89-$AH89-$AG89-$AF89-$AE89*(1+FA$3))/$AJ89,'Технический лист'!$A:$B,2,1),(EZ89-0.05)))</f>
        <v/>
      </c>
      <c r="FB89" s="172">
        <f>MIN(1,MAX(VLOOKUP(($AJ89-$AI89-$AH89-$AG89-$AF89-$AE89*(1+FB$3))/$AJ89,'Технический лист'!$A:$B,2,1),(FA89-0.05)))</f>
        <v/>
      </c>
      <c r="FC89" s="172">
        <f>MIN(1,MAX(VLOOKUP(($AJ89-$AI89-$AH89-$AG89-$AF89-$AE89*(1+FC$3))/$AJ89,'Технический лист'!$A:$B,2,1),(FB89-0.05)))</f>
        <v/>
      </c>
      <c r="FD89" s="172">
        <f>MIN(1,MAX(VLOOKUP(($AJ89-$AI89-$AH89-$AG89-$AF89-$AE89*(1+FD$3))/$AJ89,'Технический лист'!$A:$B,2,1),(FC89-0.05)))</f>
        <v/>
      </c>
      <c r="FE89" s="172">
        <f>MIN(1,MAX(VLOOKUP(($AJ89-$AI89-$AH89-$AG89-$AF89-$AE89*(1+FE$3))/$AJ89,'Технический лист'!$A:$B,2,1),(FD89-0.05)))</f>
        <v/>
      </c>
      <c r="FF89" s="172">
        <f>MIN(1,MAX(VLOOKUP(($AJ89-$AI89-$AH89-$AG89-$AF89-$AE89*(1+FF$3))/$AJ89,'Технический лист'!$A:$B,2,1),(FE89-0.05)))</f>
        <v/>
      </c>
      <c r="FG89" s="172">
        <f>MIN(1,MAX(VLOOKUP(($AJ89-$AI89-$AH89-$AG89-$AF89-$AE89*(1+FG$3))/$AJ89,'Технический лист'!$A:$B,2,1),(FF89-0.05)))</f>
        <v/>
      </c>
      <c r="FH89" s="172">
        <f>MIN(1,MAX(VLOOKUP(($AJ89-$AI89-$AH89-$AG89-$AF89-$AE89*(1+FH$3))/$AJ89,'Технический лист'!$A:$B,2,1),(FG89-0.05)))</f>
        <v/>
      </c>
      <c r="FI89" s="172">
        <f>MIN(1,MAX(VLOOKUP(($AJ89-$AI89-$AH89-$AG89-$AF89-$AE89*(1+FI$3))/$AJ89,'Технический лист'!$A:$B,2,1),(FH89-0.05)))</f>
        <v/>
      </c>
      <c r="FJ89" s="172">
        <f>MIN(1,MAX(VLOOKUP(($AJ89-$AI89-$AH89-$AG89-$AF89-$AE89*(1+FJ$3))/$AJ89,'Технический лист'!$A:$B,2,1),(FI89-0.05)))</f>
        <v/>
      </c>
      <c r="FK89" s="172">
        <f>MIN(1,MAX(VLOOKUP(($AJ89-$AI89-$AH89-$AG89-$AF89-$AE89*(1+FK$3))/$AJ89,'Технический лист'!$A:$B,2,1),(FJ89-0.05)))</f>
        <v/>
      </c>
      <c r="FL89" s="172">
        <f>MIN(1,MAX(VLOOKUP(($AJ89-$AI89-$AH89-$AG89-$AF89-$AE89*(1+FL$3))/$AJ89,'Технический лист'!$A:$B,2,1),(FK89-0.05)))</f>
        <v/>
      </c>
      <c r="FM89" s="172">
        <f>MIN(1,MAX(VLOOKUP(($AJ89-$AI89-$AH89-$AG89-$AF89-$AE89*(1+FM$3))/$AJ89,'Технический лист'!$A:$B,2,1),(FL89-0.05)))</f>
        <v/>
      </c>
      <c r="FN89" s="172">
        <f>MIN(1,MAX(VLOOKUP(($AJ89-$AI89-$AH89-$AG89-$AF89-$AE89*(1+FN$3))/$AJ89,'Технический лист'!$A:$B,2,1),(FM89-0.05)))</f>
        <v/>
      </c>
      <c r="FO89" s="172">
        <f>MIN(1,MAX(VLOOKUP(($AJ89-$AI89-$AH89-$AG89-$AF89-$AE89*(1+FO$3))/$AJ89,'Технический лист'!$A:$B,2,1),(FN89-0.05)))</f>
        <v/>
      </c>
      <c r="FP89" s="172">
        <f>MIN(1,MAX(VLOOKUP(($AJ89-$AI89-$AH89-$AG89-$AF89-$AE89*(1+FP$3))/$AJ89,'Технический лист'!$A:$B,2,1),(FO89-0.05)))</f>
        <v/>
      </c>
      <c r="FQ89" s="172">
        <f>MIN(1,MAX(VLOOKUP(($AJ89-$AI89-$AH89-$AG89-$AF89-$AE89*(1+FQ$3))/$AJ89,'Технический лист'!$A:$B,2,1),(FP89-0.05)))</f>
        <v/>
      </c>
      <c r="FR89" s="172">
        <f>MIN(1,MAX(VLOOKUP(($AJ89-$AI89-$AH89-$AG89-$AF89-$AE89*(1+FR$3))/$AJ89,'Технический лист'!$A:$B,2,1),(FQ89-0.05)))</f>
        <v/>
      </c>
      <c r="FS89" s="172">
        <f>MIN(1,MAX(VLOOKUP(($AJ89-$AI89-$AH89-$AG89-$AF89-$AE89*(1+FS$3))/$AJ89,'Технический лист'!$A:$B,2,1),(FR89-0.05)))</f>
        <v/>
      </c>
      <c r="FT89" s="172">
        <f>MIN(1,MAX(VLOOKUP(($AJ89-$AI89-$AH89-$AG89-$AF89-$AE89*(1+FT$3))/$AJ89,'Технический лист'!$A:$B,2,1),(FS89-0.05)))</f>
        <v/>
      </c>
      <c r="FU89" s="172">
        <f>MIN(1,MAX(VLOOKUP(($AJ89-$AI89-$AH89-$AG89-$AF89-$AE89*(1+FU$3))/$AJ89,'Технический лист'!$A:$B,2,1),(FT89-0.05)))</f>
        <v/>
      </c>
      <c r="FV89" s="172">
        <f>MIN(1,MAX(VLOOKUP(($AJ89-$AI89-$AH89-$AG89-$AF89-$AE89*(1+FV$3))/$AJ89,'Технический лист'!$A:$B,2,1),(FU89-0.05)))</f>
        <v/>
      </c>
      <c r="FW89" s="172">
        <f>MIN(1,MAX(VLOOKUP(($AJ89-$AI89-$AH89-$AG89-$AF89-$AE89*(1+FW$3))/$AJ89,'Технический лист'!$A:$B,2,1),(FV89-0.05)))</f>
        <v/>
      </c>
      <c r="FX89" s="172">
        <f>MIN(1,MAX(VLOOKUP(($AJ89-$AI89-$AH89-$AG89-$AF89-$AE89*(1+FX$3))/$AJ89,'Технический лист'!$A:$B,2,1),(FW89-0.05)))</f>
        <v/>
      </c>
      <c r="FY89" s="172">
        <f>MIN(1,MAX(VLOOKUP(($AJ89-$AI89-$AH89-$AG89-$AF89-$AE89*(1+FY$3))/$AJ89,'Технический лист'!$A:$B,2,1),(FX89-0.05)))</f>
        <v/>
      </c>
      <c r="FZ89" s="172">
        <f>MIN(1,MAX(VLOOKUP(($AJ89-$AI89-$AH89-$AG89-$AF89-$AE89*(1+FZ$3))/$AJ89,'Технический лист'!$A:$B,2,1),(FY89-0.05)))</f>
        <v/>
      </c>
      <c r="GA89" s="172">
        <f>MIN(1,MAX(VLOOKUP(($AJ89-$AI89-$AH89-$AG89-$AF89-$AE89*(1+GA$3))/$AJ89,'Технический лист'!$A:$B,2,1),(FZ89-0.05)))</f>
        <v/>
      </c>
      <c r="GB89" s="172">
        <f>MIN(1,MAX(VLOOKUP(($AJ89-$AI89-$AH89-$AG89-$AF89-$AE89*(1+GB$3))/$AJ89,'Технический лист'!$A:$B,2,1),(GA89-0.05)))</f>
        <v/>
      </c>
      <c r="GC89" s="172">
        <f>MIN(1,MAX(VLOOKUP(($AJ89-$AI89-$AH89-$AG89-$AF89-$AE89*(1+GC$3))/$AJ89,'Технический лист'!$A:$B,2,1),(GB89-0.05)))</f>
        <v/>
      </c>
      <c r="GD89" s="172">
        <f>MIN(1,MAX(VLOOKUP(($AJ89-$AI89-$AH89-$AG89-$AF89-$AE89*(1+GD$3))/$AJ89,'Технический лист'!$A:$B,2,1),(GC89-0.05)))</f>
        <v/>
      </c>
      <c r="GE89" s="172">
        <f>MIN(1,MAX(VLOOKUP(($AJ89-$AI89-$AH89-$AG89-$AF89-$AE89*(1+GE$3))/$AJ89,'Технический лист'!$A:$B,2,1),(GD89-0.05)))</f>
        <v/>
      </c>
      <c r="GF89" s="172">
        <f>MIN(1,MAX(VLOOKUP(($AJ89-$AI89-$AH89-$AG89-$AF89-$AE89*(1+GF$3))/$AJ89,'Технический лист'!$A:$B,2,1),(GE89-0.05)))</f>
        <v/>
      </c>
      <c r="GG89" s="172">
        <f>MIN(1,MAX(VLOOKUP(($AJ89-$AI89-$AH89-$AG89-$AF89-$AE89*(1+GG$3))/$AJ89,'Технический лист'!$A:$B,2,1),(GF89-0.05)))</f>
        <v/>
      </c>
      <c r="GH89" s="172">
        <f>MIN(1,MAX(VLOOKUP(($AJ89-$AI89-$AH89-$AG89-$AF89-$AE89*(1+GH$3))/$AJ89,'Технический лист'!$A:$B,2,1),(GG89-0.05)))</f>
        <v/>
      </c>
      <c r="GI89" s="172">
        <f>MIN(1,MAX(VLOOKUP(($AJ89-$AI89-$AH89-$AG89-$AF89-$AE89*(1+GI$3))/$AJ89,'Технический лист'!$A:$B,2,1),(GH89-0.05)))</f>
        <v/>
      </c>
      <c r="GJ89" s="172">
        <f>MIN(1,MAX(VLOOKUP(($AJ89-$AI89-$AH89-$AG89-$AF89-$AE89*(1+GJ$3))/$AJ89,'Технический лист'!$A:$B,2,1),(GI89-0.05)))</f>
        <v/>
      </c>
      <c r="GK89" s="172">
        <f>MIN(1,MAX(VLOOKUP(($AJ89-$AI89-$AH89-$AG89-$AF89-$AE89*(1+GK$3))/$AJ89,'Технический лист'!$A:$B,2,1),(GJ89-0.05)))</f>
        <v/>
      </c>
      <c r="GL89" s="172">
        <f>MIN(1,MAX(VLOOKUP(($AJ89-$AI89-$AH89-$AG89-$AF89-$AE89*(1+GL$3))/$AJ89,'Технический лист'!$A:$B,2,1),(GK89-0.05)))</f>
        <v/>
      </c>
      <c r="GM89" s="172">
        <f>MIN(1,MAX(VLOOKUP(($AJ89-$AI89-$AH89-$AG89-$AF89-$AE89*(1+GM$3))/$AJ89,'Технический лист'!$A:$B,2,1),(GL89-0.05)))</f>
        <v/>
      </c>
      <c r="GN89" s="172">
        <f>MIN(1,MAX(VLOOKUP(($AJ89-$AI89-$AH89-$AG89-$AF89-$AE89*(1+GN$3))/$AJ89,'Технический лист'!$A:$B,2,1),(GM89-0.05)))</f>
        <v/>
      </c>
      <c r="GO89" s="172">
        <f>MIN(1,MAX(VLOOKUP(($AJ89-$AI89-$AH89-$AG89-$AF89-$AE89*(1+GO$3))/$AJ89,'Технический лист'!$A:$B,2,1),(GN89-0.05)))</f>
        <v/>
      </c>
      <c r="GP89" s="172">
        <f>MIN(1,MAX(VLOOKUP(($AJ89-$AI89-$AH89-$AG89-$AF89-$AE89*(1+GP$3))/$AJ89,'Технический лист'!$A:$B,2,1),(GO89-0.05)))</f>
        <v/>
      </c>
      <c r="GQ89" s="172">
        <f>MIN(1,MAX(VLOOKUP(($AJ89-$AI89-$AH89-$AG89-$AF89-$AE89*(1+GQ$3))/$AJ89,'Технический лист'!$A:$B,2,1),(GP89-0.05)))</f>
        <v/>
      </c>
      <c r="GR89" s="172">
        <f>MIN(1,MAX(VLOOKUP(($AJ89-$AI89-$AH89-$AG89-$AF89-$AE89*(1+GR$3))/$AJ89,'Технический лист'!$A:$B,2,1),(GQ89-0.05)))</f>
        <v/>
      </c>
      <c r="GS89" s="172">
        <f>MIN(1,MAX(VLOOKUP(($AJ89-$AI89-$AH89-$AG89-$AF89-$AE89*(1+GS$3))/$AJ89,'Технический лист'!$A:$B,2,1),(GR89-0.05)))</f>
        <v/>
      </c>
      <c r="GT89" s="172">
        <f>MIN(1,MAX(VLOOKUP(($AJ89-$AI89-$AH89-$AG89-$AF89-$AE89*(1+GT$3))/$AJ89,'Технический лист'!$A:$B,2,1),(GS89-0.05)))</f>
        <v/>
      </c>
      <c r="GU89" s="172">
        <f>MIN(1,MAX(VLOOKUP(($AJ89-$AI89-$AH89-$AG89-$AF89-$AE89*(1+GU$3))/$AJ89,'Технический лист'!$A:$B,2,1),(GT89-0.05)))</f>
        <v/>
      </c>
      <c r="GV89" s="172">
        <f>MIN(1,MAX(VLOOKUP(($AJ89-$AI89-$AH89-$AG89-$AF89-$AE89*(1+GV$3))/$AJ89,'Технический лист'!$A:$B,2,1),(GU89-0.05)))</f>
        <v/>
      </c>
      <c r="GW89" s="172">
        <f>MIN(1,MAX(VLOOKUP(($AJ89-$AI89-$AH89-$AG89-$AF89-$AE89*(1+GW$3))/$AJ89,'Технический лист'!$A:$B,2,1),(GV89-0.05)))</f>
        <v/>
      </c>
      <c r="GX89" s="172">
        <f>MIN(1,MAX(VLOOKUP(($AJ89-$AI89-$AH89-$AG89-$AF89-$AE89*(1+GX$3))/$AJ89,'Технический лист'!$A:$B,2,1),(GW89-0.05)))</f>
        <v/>
      </c>
      <c r="GY89" s="172">
        <f>MIN(1,MAX(VLOOKUP(($AJ89-$AI89-$AH89-$AG89-$AF89-$AE89*(1+GY$3))/$AJ89,'Технический лист'!$A:$B,2,1),(GX89-0.05)))</f>
        <v/>
      </c>
      <c r="GZ89" s="172">
        <f>MIN(1,MAX(VLOOKUP(($AJ89-$AI89-$AH89-$AG89-$AF89-$AE89*(1+GZ$3))/$AJ89,'Технический лист'!$A:$B,2,1),(GY89-0.05)))</f>
        <v/>
      </c>
      <c r="HA89" s="172">
        <f>MIN(1,MAX(VLOOKUP(($AJ89-$AI89-$AH89-$AG89-$AF89-$AE89*(1+HA$3))/$AJ89,'Технический лист'!$A:$B,2,1),(GZ89-0.05)))</f>
        <v/>
      </c>
      <c r="HB89" s="172">
        <f>MIN(1,MAX(VLOOKUP(($AJ89-$AI89-$AH89-$AG89-$AF89-$AE89*(1+HB$3))/$AJ89,'Технический лист'!$A:$B,2,1),(HA89-0.05)))</f>
        <v/>
      </c>
      <c r="HC89" s="172">
        <f>MIN(1,MAX(VLOOKUP(($AJ89-$AI89-$AH89-$AG89-$AF89-$AE89*(1+HC$3))/$AJ89,'Технический лист'!$A:$B,2,1),(HB89-0.05)))</f>
        <v/>
      </c>
      <c r="HD89" s="172">
        <f>MIN(1,MAX(VLOOKUP(($AJ89-$AI89-$AH89-$AG89-$AF89-$AE89*(1+HD$3))/$AJ89,'Технический лист'!$A:$B,2,1),(HC89-0.05)))</f>
        <v/>
      </c>
      <c r="HE89" s="172">
        <f>MIN(1,MAX(VLOOKUP(($AJ89-$AI89-$AH89-$AG89-$AF89-$AE89*(1+HE$3))/$AJ89,'Технический лист'!$A:$B,2,1),(HD89-0.05)))</f>
        <v/>
      </c>
      <c r="HF89" s="172">
        <f>MIN(1,MAX(VLOOKUP(($AJ89-$AI89-$AH89-$AG89-$AF89-$AE89*(1+HF$3))/$AJ89,'Технический лист'!$A:$B,2,1),(HE89-0.05)))</f>
        <v/>
      </c>
      <c r="HG89" s="172">
        <f>MIN(1,MAX(VLOOKUP(($AJ89-$AI89-$AH89-$AG89-$AF89-$AE89*(1+HG$3))/$AJ89,'Технический лист'!$A:$B,2,1),(HF89-0.05)))</f>
        <v/>
      </c>
      <c r="HH89" s="172">
        <f>MIN(1,MAX(VLOOKUP(($AJ89-$AI89-$AH89-$AG89-$AF89-$AE89*(1+HH$3))/$AJ89,'Технический лист'!$A:$B,2,1),(HG89-0.05)))</f>
        <v/>
      </c>
      <c r="HI89" s="172">
        <f>MIN(1,MAX(VLOOKUP(($AJ89-$AI89-$AH89-$AG89-$AF89-$AE89*(1+HI$3))/$AJ89,'Технический лист'!$A:$B,2,1),(HH89-0.05)))</f>
        <v/>
      </c>
      <c r="HJ89" s="172">
        <f>MIN(1,MAX(VLOOKUP(($AJ89-$AI89-$AH89-$AG89-$AF89-$AE89*(1+HJ$3))/$AJ89,'Технический лист'!$A:$B,2,1),(HI89-0.05)))</f>
        <v/>
      </c>
      <c r="HK89" s="172">
        <f>MIN(1,MAX(VLOOKUP(($AJ89-$AI89-$AH89-$AG89-$AF89-$AE89*(1+HK$3))/$AJ89,'Технический лист'!$A:$B,2,1),(HJ89-0.05)))</f>
        <v/>
      </c>
      <c r="HL89" s="172">
        <f>MIN(1,MAX(VLOOKUP(($AJ89-$AI89-$AH89-$AG89-$AF89-$AE89*(1+HL$3))/$AJ89,'Технический лист'!$A:$B,2,1),(HK89-0.05)))</f>
        <v/>
      </c>
      <c r="HM89" s="172">
        <f>MIN(1,MAX(VLOOKUP(($AJ89-$AI89-$AH89-$AG89-$AF89-$AE89*(1+HM$3))/$AJ89,'Технический лист'!$A:$B,2,1),(HL89-0.05)))</f>
        <v/>
      </c>
      <c r="HN89" s="172">
        <f>MIN(1,MAX(VLOOKUP(($AJ89-$AI89-$AH89-$AG89-$AF89-$AE89*(1+HN$3))/$AJ89,'Технический лист'!$A:$B,2,1),(HM89-0.05)))</f>
        <v/>
      </c>
      <c r="HO89" s="172">
        <f>MIN(1,MAX(VLOOKUP(($AJ89-$AI89-$AH89-$AG89-$AF89-$AE89*(1+HO$3))/$AJ89,'Технический лист'!$A:$B,2,1),(HN89-0.05)))</f>
        <v/>
      </c>
      <c r="HP89" s="172">
        <f>MIN(1,MAX(VLOOKUP(($AJ89-$AI89-$AH89-$AG89-$AF89-$AE89*(1+HP$3))/$AJ89,'Технический лист'!$A:$B,2,1),(HO89-0.05)))</f>
        <v/>
      </c>
      <c r="HQ89" s="172">
        <f>MIN(1,MAX(VLOOKUP(($AJ89-$AI89-$AH89-$AG89-$AF89-$AE89*(1+HQ$3))/$AJ89,'Технический лист'!$A:$B,2,1),(HP89-0.05)))</f>
        <v/>
      </c>
      <c r="HR89" s="172">
        <f>MIN(1,MAX(VLOOKUP(($AJ89-$AI89-$AH89-$AG89-$AF89-$AE89*(1+HR$3))/$AJ89,'Технический лист'!$A:$B,2,1),(HQ89-0.05)))</f>
        <v/>
      </c>
      <c r="HS89" s="172">
        <f>MIN(1,MAX(VLOOKUP(($AJ89-$AI89-$AH89-$AG89-$AF89-$AE89*(1+HS$3))/$AJ89,'Технический лист'!$A:$B,2,1),(HR89-0.05)))</f>
        <v/>
      </c>
      <c r="HT89" s="172">
        <f>MIN(1,MAX(VLOOKUP(($AJ89-$AI89-$AH89-$AG89-$AF89-$AE89*(1+HT$3))/$AJ89,'Технический лист'!$A:$B,2,1),(HS89-0.05)))</f>
        <v/>
      </c>
      <c r="HU89" s="172">
        <f>MIN(1,MAX(VLOOKUP(($AJ89-$AI89-$AH89-$AG89-$AF89-$AE89*(1+HU$3))/$AJ89,'Технический лист'!$A:$B,2,1),(HT89-0.05)))</f>
        <v/>
      </c>
      <c r="HV89" s="172">
        <f>MIN(1,MAX(VLOOKUP(($AJ89-$AI89-$AH89-$AG89-$AF89-$AE89*(1+HV$3))/$AJ89,'Технический лист'!$A:$B,2,1),(HU89-0.05)))</f>
        <v/>
      </c>
      <c r="HW89" s="172">
        <f>MIN(1,MAX(VLOOKUP(($AJ89-$AI89-$AH89-$AG89-$AF89-$AE89*(1+HW$3))/$AJ89,'Технический лист'!$A:$B,2,1),(HV89-0.05)))</f>
        <v/>
      </c>
      <c r="HX89" s="172">
        <f>MIN(1,MAX(VLOOKUP(($AJ89-$AI89-$AH89-$AG89-$AF89-$AE89*(1+HX$3))/$AJ89,'Технический лист'!$A:$B,2,1),(HW89-0.05)))</f>
        <v/>
      </c>
      <c r="HY89" s="172">
        <f>MIN(1,MAX(VLOOKUP(($AJ89-$AI89-$AH89-$AG89-$AF89-$AE89*(1+HY$3))/$AJ89,'Технический лист'!$A:$B,2,1),(HX89-0.05)))</f>
        <v/>
      </c>
      <c r="HZ89" s="172">
        <f>MIN(1,MAX(VLOOKUP(($AJ89-$AI89-$AH89-$AG89-$AF89-$AE89*(1+HZ$3))/$AJ89,'Технический лист'!$A:$B,2,1),(HY89-0.05)))</f>
        <v/>
      </c>
      <c r="IA89" s="172">
        <f>MIN(1,MAX(VLOOKUP(($AJ89-$AI89-$AH89-$AG89-$AF89-$AE89*(1+IA$3))/$AJ89,'Технический лист'!$A:$B,2,1),(HZ89-0.05)))</f>
        <v/>
      </c>
      <c r="IB89" s="172">
        <f>MIN(1,MAX(VLOOKUP(($AJ89-$AI89-$AH89-$AG89-$AF89-$AE89*(1+IB$3))/$AJ89,'Технический лист'!$A:$B,2,1),(IA89-0.05)))</f>
        <v/>
      </c>
      <c r="IC89" s="172">
        <f>MIN(1,MAX(VLOOKUP(($AJ89-$AI89-$AH89-$AG89-$AF89-$AE89*(1+IC$3))/$AJ89,'Технический лист'!$A:$B,2,1),(IB89-0.05)))</f>
        <v/>
      </c>
      <c r="ID89" s="172">
        <f>MIN(1,MAX(VLOOKUP(($AJ89-$AI89-$AH89-$AG89-$AF89-$AE89*(1+ID$3))/$AJ89,'Технический лист'!$A:$B,2,1),(IC89-0.05)))</f>
        <v/>
      </c>
      <c r="IE89" s="172">
        <f>MIN(1,MAX(VLOOKUP(($AJ89-$AI89-$AH89-$AG89-$AF89-$AE89*(1+IE$3))/$AJ89,'Технический лист'!$A:$B,2,1),(ID89-0.05)))</f>
        <v/>
      </c>
      <c r="IF89" s="172">
        <f>MIN(1,MAX(VLOOKUP(($AJ89-$AI89-$AH89-$AG89-$AF89-$AE89*(1+IF$3))/$AJ89,'Технический лист'!$A:$B,2,1),(IE89-0.05)))</f>
        <v/>
      </c>
      <c r="IG89" s="172">
        <f>MIN(1,MAX(VLOOKUP(($AJ89-$AI89-$AH89-$AG89-$AF89-$AE89*(1+IG$3))/$AJ89,'Технический лист'!$A:$B,2,1),(IF89-0.05)))</f>
        <v/>
      </c>
      <c r="IH89" s="172">
        <f>MIN(1,MAX(VLOOKUP(($AJ89-$AI89-$AH89-$AG89-$AF89-$AE89*(1+IH$3))/$AJ89,'Технический лист'!$A:$B,2,1),(IG89-0.05)))</f>
        <v/>
      </c>
      <c r="II89" s="172">
        <f>MIN(1,MAX(VLOOKUP(($AJ89-$AI89-$AH89-$AG89-$AF89-$AE89*(1+II$3))/$AJ89,'Технический лист'!$A:$B,2,1),(IH89-0.05)))</f>
        <v/>
      </c>
      <c r="IJ89" s="172">
        <f>MIN(1,MAX(VLOOKUP(($AJ89-$AI89-$AH89-$AG89-$AF89-$AE89*(1+IJ$3))/$AJ89,'Технический лист'!$A:$B,2,1),(II89-0.05)))</f>
        <v/>
      </c>
      <c r="IK89" s="172">
        <f>MIN(1,MAX(VLOOKUP(($AJ89-$AI89-$AH89-$AG89-$AF89-$AE89*(1+IK$3))/$AJ89,'Технический лист'!$A:$B,2,1),(IJ89-0.05)))</f>
        <v/>
      </c>
      <c r="IL89" s="172">
        <f>MIN(1,MAX(VLOOKUP(($AJ89-$AI89-$AH89-$AG89-$AF89-$AE89*(1+IL$3))/$AJ89,'Технический лист'!$A:$B,2,1),(IK89-0.05)))</f>
        <v/>
      </c>
      <c r="IM89" s="172">
        <f>MIN(1,MAX(VLOOKUP(($AJ89-$AI89-$AH89-$AG89-$AF89-$AE89*(1+IM$3))/$AJ89,'Технический лист'!$A:$B,2,1),(IL89-0.05)))</f>
        <v/>
      </c>
      <c r="IN89" s="172">
        <f>MIN(1,MAX(VLOOKUP(($AJ89-$AI89-$AH89-$AG89-$AF89-$AE89*(1+IN$3))/$AJ89,'Технический лист'!$A:$B,2,1),(IM89-0.05)))</f>
        <v/>
      </c>
      <c r="IO89" s="172">
        <f>MIN(1,MAX(VLOOKUP(($AJ89-$AI89-$AH89-$AG89-$AF89-$AE89*(1+IO$3))/$AJ89,'Технический лист'!$A:$B,2,1),(IN89-0.05)))</f>
        <v/>
      </c>
      <c r="IP89" s="172">
        <f>MIN(1,MAX(VLOOKUP(($AJ89-$AI89-$AH89-$AG89-$AF89-$AE89*(1+IP$3))/$AJ89,'Технический лист'!$A:$B,2,1),(IO89-0.05)))</f>
        <v/>
      </c>
      <c r="IQ89" s="172">
        <f>MIN(1,MAX(VLOOKUP(($AJ89-$AI89-$AH89-$AG89-$AF89-$AE89*(1+IQ$3))/$AJ89,'Технический лист'!$A:$B,2,1),(IP89-0.05)))</f>
        <v/>
      </c>
      <c r="IR89" s="172">
        <f>MIN(1,MAX(VLOOKUP(($AJ89-$AI89-$AH89-$AG89-$AF89-$AE89*(1+IR$3))/$AJ89,'Технический лист'!$A:$B,2,1),(IQ89-0.05)))</f>
        <v/>
      </c>
    </row>
    <row r="90" ht="43.75" customHeight="1" s="123">
      <c r="A90" s="89" t="inlineStr">
        <is>
          <t>ЧМ (продукция)</t>
        </is>
      </c>
      <c r="B90" s="90" t="n">
        <v>5</v>
      </c>
      <c r="C90" s="5" t="inlineStr">
        <is>
          <t>Черные металлы</t>
        </is>
      </c>
      <c r="D90" s="91" t="n">
        <v>31403</v>
      </c>
      <c r="E90" s="91" t="inlineStr">
        <is>
          <t xml:space="preserve">Заготовка для переката рядовая </t>
        </is>
      </c>
      <c r="F90" s="92" t="inlineStr">
        <is>
          <t>ЗАГОТОВКИ СТАЛЬНЫЕ</t>
        </is>
      </c>
      <c r="G90" s="91" t="inlineStr">
        <is>
          <t>ЮВС</t>
        </is>
      </c>
      <c r="H90" s="91" t="inlineStr">
        <is>
          <t>СКВ</t>
        </is>
      </c>
      <c r="I90" s="91" t="inlineStr">
        <is>
          <t>КОТЕЛ</t>
        </is>
      </c>
      <c r="J90" s="91" t="inlineStr">
        <is>
          <t>АБИНСКАЯ</t>
        </is>
      </c>
      <c r="K90" s="91" t="n">
        <v>1192</v>
      </c>
      <c r="L90" s="91" t="inlineStr">
        <is>
          <t>Полувагоны</t>
        </is>
      </c>
      <c r="M90" s="91" t="inlineStr">
        <is>
          <t>Внутр. перевозки</t>
        </is>
      </c>
      <c r="N90" s="91" t="inlineStr">
        <is>
          <t>вагонная</t>
        </is>
      </c>
      <c r="O90" s="91" t="inlineStr">
        <is>
          <t xml:space="preserve">Южное </t>
        </is>
      </c>
      <c r="P90" s="89" t="inlineStr">
        <is>
          <t>'000000187895</t>
        </is>
      </c>
      <c r="Q90" s="93" t="inlineStr">
        <is>
          <t>ОАО "Оскольский электрометаллургический комбинат"</t>
        </is>
      </c>
      <c r="R90" s="91" t="inlineStr">
        <is>
          <t>ООО УК "Металлоинвест"</t>
        </is>
      </c>
      <c r="S90" s="87" t="n">
        <v>504048</v>
      </c>
      <c r="T90" s="87" t="n">
        <v>600620967</v>
      </c>
      <c r="U90" s="88" t="n">
        <v>7488</v>
      </c>
      <c r="V90" s="88" t="n">
        <v>0</v>
      </c>
      <c r="W90" s="87" t="n">
        <v>1072146064</v>
      </c>
      <c r="X90" s="112" t="n">
        <v>67</v>
      </c>
      <c r="Y90" s="112" t="inlineStr">
        <is>
          <t>маршрутная</t>
        </is>
      </c>
      <c r="Z90" s="113" t="n">
        <v>5</v>
      </c>
      <c r="AA90" s="113" t="n">
        <v>5</v>
      </c>
      <c r="AB90" s="113" t="n">
        <v>4</v>
      </c>
      <c r="AC90" s="161" t="n">
        <v>2346.43</v>
      </c>
      <c r="AD90" s="161">
        <f>AE90-AC90</f>
        <v/>
      </c>
      <c r="AE90" s="161" t="n">
        <v>2836.25</v>
      </c>
      <c r="AF90" s="162">
        <f>(Z90+AA90+AB90)*'Ставки аренды'!$B$3/X90</f>
        <v/>
      </c>
      <c r="AG90" s="163" t="n">
        <v>0</v>
      </c>
      <c r="AH90" s="164" t="n">
        <v>0</v>
      </c>
      <c r="AI90" s="165">
        <f>240828/411356*AVERAGE(AJ89,AJ90)</f>
        <v/>
      </c>
      <c r="AJ90" s="166">
        <f>Цены!$D$11</f>
        <v/>
      </c>
      <c r="AK90" s="164">
        <f>AJ90/Цены!$B$1</f>
        <v/>
      </c>
      <c r="AL90" s="164">
        <f>AE90+AF90+AG90</f>
        <v/>
      </c>
      <c r="AM90" s="164">
        <f>AJ90-AL90</f>
        <v/>
      </c>
      <c r="AN90" s="164">
        <f>AI90+AH90+AG90+AF90+AE90</f>
        <v/>
      </c>
      <c r="AO90" s="167">
        <f>(AJ90-AN90)/AJ90</f>
        <v/>
      </c>
      <c r="AP90" s="168">
        <f>AL90/AJ90</f>
        <v/>
      </c>
      <c r="AQ90" s="168">
        <f>AE90/AJ90</f>
        <v/>
      </c>
      <c r="AR90" s="168">
        <f>AE90/AL90</f>
        <v/>
      </c>
      <c r="AS90" s="169" t="n">
        <v>1</v>
      </c>
      <c r="AT90" s="121">
        <f>S90*AS90</f>
        <v/>
      </c>
      <c r="AU90" s="83" t="n">
        <v>0.9</v>
      </c>
      <c r="AV90" s="170">
        <f>(AJ90-(AE90*(1+$IS$2)+AF90+AG90+AH90+AI90))/AJ90</f>
        <v/>
      </c>
      <c r="AW90" s="171">
        <f>(AE90*(1+$IS$2)+AF90+AG90)/AJ90</f>
        <v/>
      </c>
      <c r="AX90" s="171">
        <f>(AE90*(1+$IS$2))/AJ90</f>
        <v/>
      </c>
      <c r="AY90" s="171">
        <f>(AE90*(1+$IS$2))/(AE90*(1+$IS$2)+AF90+AG90)</f>
        <v/>
      </c>
      <c r="AZ90" s="172">
        <f>MIN(IF($AU90=100%,1,1+VLOOKUP(($AJ90-$AI90-$AH90-$AG90-$AF90-$AE90*(1+AZ$3))/$AJ90,'Технический лист'!$I:$J,2,1)-VLOOKUP($AO90,'Технический лист'!$I:$J,2,1)),1+(1-$AU90))</f>
        <v/>
      </c>
      <c r="BA90" s="172">
        <f>MIN(IF($AU90=100%,1,1+VLOOKUP(($AJ90-$AI90-$AH90-$AG90-$AF90-$AE90*(1+BA$3))/$AJ90,'Технический лист'!$I:$J,2,1)-VLOOKUP($AO90,'Технический лист'!$I:$J,2,1)),1+(1-$AU90))</f>
        <v/>
      </c>
      <c r="BB90" s="172">
        <f>MIN(IF($AU90=100%,1,1+VLOOKUP(($AJ90-$AI90-$AH90-$AG90-$AF90-$AE90*(1+BB$3))/$AJ90,'Технический лист'!$I:$J,2,1)-VLOOKUP($AO90,'Технический лист'!$I:$J,2,1)),1+(1-$AU90))</f>
        <v/>
      </c>
      <c r="BC90" s="172">
        <f>MIN(IF($AU90=100%,1,1+VLOOKUP(($AJ90-$AI90-$AH90-$AG90-$AF90-$AE90*(1+BC$3))/$AJ90,'Технический лист'!$I:$J,2,1)-VLOOKUP($AO90,'Технический лист'!$I:$J,2,1)),1+(1-$AU90))</f>
        <v/>
      </c>
      <c r="BD90" s="172">
        <f>MIN(IF($AU90=100%,1,1+VLOOKUP(($AJ90-$AI90-$AH90-$AG90-$AF90-$AE90*(1+BD$3))/$AJ90,'Технический лист'!$I:$J,2,1)-VLOOKUP($AO90,'Технический лист'!$I:$J,2,1)),1+(1-$AU90))</f>
        <v/>
      </c>
      <c r="BE90" s="172">
        <f>MIN(IF($AU90=100%,1,1+VLOOKUP(($AJ90-$AI90-$AH90-$AG90-$AF90-$AE90*(1+BE$3))/$AJ90,'Технический лист'!$I:$J,2,1)-VLOOKUP($AO90,'Технический лист'!$I:$J,2,1)),1+(1-$AU90))</f>
        <v/>
      </c>
      <c r="BF90" s="172">
        <f>MIN(IF($AU90=100%,1,1+VLOOKUP(($AJ90-$AI90-$AH90-$AG90-$AF90-$AE90*(1+BF$3))/$AJ90,'Технический лист'!$I:$J,2,1)-VLOOKUP($AO90,'Технический лист'!$I:$J,2,1)),1+(1-$AU90))</f>
        <v/>
      </c>
      <c r="BG90" s="172">
        <f>MIN(IF($AU90=100%,1,1+VLOOKUP(($AJ90-$AI90-$AH90-$AG90-$AF90-$AE90*(1+BG$3))/$AJ90,'Технический лист'!$I:$J,2,1)-VLOOKUP($AO90,'Технический лист'!$I:$J,2,1)),1+(1-$AU90))</f>
        <v/>
      </c>
      <c r="BH90" s="172">
        <f>MIN(IF($AU90=100%,1,1+VLOOKUP(($AJ90-$AI90-$AH90-$AG90-$AF90-$AE90*(1+BH$3))/$AJ90,'Технический лист'!$I:$J,2,1)-VLOOKUP($AO90,'Технический лист'!$I:$J,2,1)),1+(1-$AU90))</f>
        <v/>
      </c>
      <c r="BI90" s="172">
        <f>MIN(IF($AU90=100%,1,1+VLOOKUP(($AJ90-$AI90-$AH90-$AG90-$AF90-$AE90*(1+BI$3))/$AJ90,'Технический лист'!$I:$J,2,1)-VLOOKUP($AO90,'Технический лист'!$I:$J,2,1)),1+(1-$AU90))</f>
        <v/>
      </c>
      <c r="BJ90" s="172">
        <f>MIN(IF($AU90=100%,1,1+VLOOKUP(($AJ90-$AI90-$AH90-$AG90-$AF90-$AE90*(1+BJ$3))/$AJ90,'Технический лист'!$I:$J,2,1)-VLOOKUP($AO90,'Технический лист'!$I:$J,2,1)),1+(1-$AU90))</f>
        <v/>
      </c>
      <c r="BK90" s="172">
        <f>MIN(IF($AU90=100%,1,1+VLOOKUP(($AJ90-$AI90-$AH90-$AG90-$AF90-$AE90*(1+BK$3))/$AJ90,'Технический лист'!$I:$J,2,1)-VLOOKUP($AO90,'Технический лист'!$I:$J,2,1)),1+(1-$AU90))</f>
        <v/>
      </c>
      <c r="BL90" s="172">
        <f>MIN(IF($AU90=100%,1,1+VLOOKUP(($AJ90-$AI90-$AH90-$AG90-$AF90-$AE90*(1+BL$3))/$AJ90,'Технический лист'!$I:$J,2,1)-VLOOKUP($AO90,'Технический лист'!$I:$J,2,1)),1+(1-$AU90))</f>
        <v/>
      </c>
      <c r="BM90" s="172">
        <f>MIN(IF($AU90=100%,1,1+VLOOKUP(($AJ90-$AI90-$AH90-$AG90-$AF90-$AE90*(1+BM$3))/$AJ90,'Технический лист'!$I:$J,2,1)-VLOOKUP($AO90,'Технический лист'!$I:$J,2,1)),1+(1-$AU90))</f>
        <v/>
      </c>
      <c r="BN90" s="172">
        <f>MIN(IF($AU90=100%,1,1+VLOOKUP(($AJ90-$AI90-$AH90-$AG90-$AF90-$AE90*(1+BN$3))/$AJ90,'Технический лист'!$I:$J,2,1)-VLOOKUP($AO90,'Технический лист'!$I:$J,2,1)),1+(1-$AU90))</f>
        <v/>
      </c>
      <c r="BO90" s="172">
        <f>MIN(IF($AU90=100%,1,1+VLOOKUP(($AJ90-$AI90-$AH90-$AG90-$AF90-$AE90*(1+BO$3))/$AJ90,'Технический лист'!$I:$J,2,1)-VLOOKUP($AO90,'Технический лист'!$I:$J,2,1)),1+(1-$AU90))</f>
        <v/>
      </c>
      <c r="BP90" s="172">
        <f>MIN(IF($AU90=100%,1,1+VLOOKUP(($AJ90-$AI90-$AH90-$AG90-$AF90-$AE90*(1+BP$3))/$AJ90,'Технический лист'!$I:$J,2,1)-VLOOKUP($AO90,'Технический лист'!$I:$J,2,1)),1+(1-$AU90))</f>
        <v/>
      </c>
      <c r="BQ90" s="172">
        <f>MIN(IF($AU90=100%,1,1+VLOOKUP(($AJ90-$AI90-$AH90-$AG90-$AF90-$AE90*(1+BQ$3))/$AJ90,'Технический лист'!$I:$J,2,1)-VLOOKUP($AO90,'Технический лист'!$I:$J,2,1)),1+(1-$AU90))</f>
        <v/>
      </c>
      <c r="BR90" s="172">
        <f>MIN(IF($AU90=100%,1,1+VLOOKUP(($AJ90-$AI90-$AH90-$AG90-$AF90-$AE90*(1+BR$3))/$AJ90,'Технический лист'!$I:$J,2,1)-VLOOKUP($AO90,'Технический лист'!$I:$J,2,1)),1+(1-$AU90))</f>
        <v/>
      </c>
      <c r="BS90" s="172">
        <f>MIN(IF($AU90=100%,1,1+VLOOKUP(($AJ90-$AI90-$AH90-$AG90-$AF90-$AE90*(1+BS$3))/$AJ90,'Технический лист'!$I:$J,2,1)-VLOOKUP($AO90,'Технический лист'!$I:$J,2,1)),1+(1-$AU90))</f>
        <v/>
      </c>
      <c r="BT90" s="172">
        <f>MIN(IF($AU90=100%,1,1+VLOOKUP(($AJ90-$AI90-$AH90-$AG90-$AF90-$AE90*(1+BT$3))/$AJ90,'Технический лист'!$I:$J,2,1)-VLOOKUP($AO90,'Технический лист'!$I:$J,2,1)),1+(1-$AU90))</f>
        <v/>
      </c>
      <c r="BU90" s="172">
        <f>MIN(IF($AU90=100%,1,1+VLOOKUP(($AJ90-$AI90-$AH90-$AG90-$AF90-$AE90*(1+BU$3))/$AJ90,'Технический лист'!$I:$J,2,1)-VLOOKUP($AO90,'Технический лист'!$I:$J,2,1)),1+(1-$AU90))</f>
        <v/>
      </c>
      <c r="BV90" s="172">
        <f>MIN(IF($AU90=100%,1,1+VLOOKUP(($AJ90-$AI90-$AH90-$AG90-$AF90-$AE90*(1+BV$3))/$AJ90,'Технический лист'!$I:$J,2,1)-VLOOKUP($AO90,'Технический лист'!$I:$J,2,1)),1+(1-$AU90))</f>
        <v/>
      </c>
      <c r="BW90" s="172">
        <f>MIN(IF($AU90=100%,1,1+VLOOKUP(($AJ90-$AI90-$AH90-$AG90-$AF90-$AE90*(1+BW$3))/$AJ90,'Технический лист'!$I:$J,2,1)-VLOOKUP($AO90,'Технический лист'!$I:$J,2,1)),1+(1-$AU90))</f>
        <v/>
      </c>
      <c r="BX90" s="172">
        <f>MIN(IF($AU90=100%,1,1+VLOOKUP(($AJ90-$AI90-$AH90-$AG90-$AF90-$AE90*(1+BX$3))/$AJ90,'Технический лист'!$I:$J,2,1)-VLOOKUP($AO90,'Технический лист'!$I:$J,2,1)),1+(1-$AU90))</f>
        <v/>
      </c>
      <c r="BY90" s="172">
        <f>MIN(IF($AU90=100%,1,1+VLOOKUP(($AJ90-$AI90-$AH90-$AG90-$AF90-$AE90*(1+BY$3))/$AJ90,'Технический лист'!$I:$J,2,1)-VLOOKUP($AO90,'Технический лист'!$I:$J,2,1)),1+(1-$AU90))</f>
        <v/>
      </c>
      <c r="BZ90" s="172">
        <f>MIN(IF($AU90=100%,1,1+VLOOKUP(($AJ90-$AI90-$AH90-$AG90-$AF90-$AE90*(1+BZ$3))/$AJ90,'Технический лист'!$I:$J,2,1)-VLOOKUP($AO90,'Технический лист'!$I:$J,2,1)),1+(1-$AU90))</f>
        <v/>
      </c>
      <c r="CA90" s="172">
        <f>MIN(IF($AU90=100%,1,1+VLOOKUP(($AJ90-$AI90-$AH90-$AG90-$AF90-$AE90*(1+CA$3))/$AJ90,'Технический лист'!$I:$J,2,1)-VLOOKUP($AO90,'Технический лист'!$I:$J,2,1)),1+(1-$AU90))</f>
        <v/>
      </c>
      <c r="CB90" s="172">
        <f>MIN(IF($AU90=100%,1,1+VLOOKUP(($AJ90-$AI90-$AH90-$AG90-$AF90-$AE90*(1+CB$3))/$AJ90,'Технический лист'!$I:$J,2,1)-VLOOKUP($AO90,'Технический лист'!$I:$J,2,1)),1+(1-$AU90))</f>
        <v/>
      </c>
      <c r="CC90" s="172">
        <f>MIN(IF($AU90=100%,1,1+VLOOKUP(($AJ90-$AI90-$AH90-$AG90-$AF90-$AE90*(1+CC$3))/$AJ90,'Технический лист'!$I:$J,2,1)-VLOOKUP($AO90,'Технический лист'!$I:$J,2,1)),1+(1-$AU90))</f>
        <v/>
      </c>
      <c r="CD90" s="172">
        <f>MIN(IF($AU90=100%,1,1+VLOOKUP(($AJ90-$AI90-$AH90-$AG90-$AF90-$AE90*(1+CD$3))/$AJ90,'Технический лист'!$I:$J,2,1)-VLOOKUP($AO90,'Технический лист'!$I:$J,2,1)),1+(1-$AU90))</f>
        <v/>
      </c>
      <c r="CE90" s="172">
        <f>MIN(IF($AU90=100%,1,1+VLOOKUP(($AJ90-$AI90-$AH90-$AG90-$AF90-$AE90*(1+CE$3))/$AJ90,'Технический лист'!$I:$J,2,1)-VLOOKUP($AO90,'Технический лист'!$I:$J,2,1)),1+(1-$AU90))</f>
        <v/>
      </c>
      <c r="CF90" s="172">
        <f>MIN(IF($AU90=100%,1,1+VLOOKUP(($AJ90-$AI90-$AH90-$AG90-$AF90-$AE90*(1+CF$3))/$AJ90,'Технический лист'!$I:$J,2,1)-VLOOKUP($AO90,'Технический лист'!$I:$J,2,1)),1+(1-$AU90))</f>
        <v/>
      </c>
      <c r="CG90" s="172">
        <f>MIN(IF($AU90=100%,1,1+VLOOKUP(($AJ90-$AI90-$AH90-$AG90-$AF90-$AE90*(1+CG$3))/$AJ90,'Технический лист'!$I:$J,2,1)-VLOOKUP($AO90,'Технический лист'!$I:$J,2,1)),1+(1-$AU90))</f>
        <v/>
      </c>
      <c r="CH90" s="172">
        <f>MIN(IF($AU90=100%,1,1+VLOOKUP(($AJ90-$AI90-$AH90-$AG90-$AF90-$AE90*(1+CH$3))/$AJ90,'Технический лист'!$I:$J,2,1)-VLOOKUP($AO90,'Технический лист'!$I:$J,2,1)),1+(1-$AU90))</f>
        <v/>
      </c>
      <c r="CI90" s="172">
        <f>MIN(IF($AU90=100%,1,1+VLOOKUP(($AJ90-$AI90-$AH90-$AG90-$AF90-$AE90*(1+CI$3))/$AJ90,'Технический лист'!$I:$J,2,1)-VLOOKUP($AO90,'Технический лист'!$I:$J,2,1)),1+(1-$AU90))</f>
        <v/>
      </c>
      <c r="CJ90" s="172">
        <f>MIN(IF($AU90=100%,1,1+VLOOKUP(($AJ90-$AI90-$AH90-$AG90-$AF90-$AE90*(1+CJ$3))/$AJ90,'Технический лист'!$I:$J,2,1)-VLOOKUP($AO90,'Технический лист'!$I:$J,2,1)),1+(1-$AU90))</f>
        <v/>
      </c>
      <c r="CK90" s="172">
        <f>MIN(IF($AU90=100%,1,1+VLOOKUP(($AJ90-$AI90-$AH90-$AG90-$AF90-$AE90*(1+CK$3))/$AJ90,'Технический лист'!$I:$J,2,1)-VLOOKUP($AO90,'Технический лист'!$I:$J,2,1)),1+(1-$AU90))</f>
        <v/>
      </c>
      <c r="CL90" s="172">
        <f>MIN(IF($AU90=100%,1,1+VLOOKUP(($AJ90-$AI90-$AH90-$AG90-$AF90-$AE90*(1+CL$3))/$AJ90,'Технический лист'!$I:$J,2,1)-VLOOKUP($AO90,'Технический лист'!$I:$J,2,1)),1+(1-$AU90))</f>
        <v/>
      </c>
      <c r="CM90" s="172">
        <f>MIN(IF($AU90=100%,1,1+VLOOKUP(($AJ90-$AI90-$AH90-$AG90-$AF90-$AE90*(1+CM$3))/$AJ90,'Технический лист'!$I:$J,2,1)-VLOOKUP($AO90,'Технический лист'!$I:$J,2,1)),1+(1-$AU90))</f>
        <v/>
      </c>
      <c r="CN90" s="172">
        <f>MIN(IF($AU90=100%,1,1+VLOOKUP(($AJ90-$AI90-$AH90-$AG90-$AF90-$AE90*(1+CN$3))/$AJ90,'Технический лист'!$I:$J,2,1)-VLOOKUP($AO90,'Технический лист'!$I:$J,2,1)),1+(1-$AU90))</f>
        <v/>
      </c>
      <c r="CO90" s="172">
        <f>MIN(IF($AU90=100%,1,1+VLOOKUP(($AJ90-$AI90-$AH90-$AG90-$AF90-$AE90*(1+CO$3))/$AJ90,'Технический лист'!$I:$J,2,1)-VLOOKUP($AO90,'Технический лист'!$I:$J,2,1)),1+(1-$AU90))</f>
        <v/>
      </c>
      <c r="CP90" s="172">
        <f>MIN(IF($AU90=100%,1,1+VLOOKUP(($AJ90-$AI90-$AH90-$AG90-$AF90-$AE90*(1+CP$3))/$AJ90,'Технический лист'!$I:$J,2,1)-VLOOKUP($AO90,'Технический лист'!$I:$J,2,1)),1+(1-$AU90))</f>
        <v/>
      </c>
      <c r="CQ90" s="172">
        <f>MIN(IF($AU90=100%,1,1+VLOOKUP(($AJ90-$AI90-$AH90-$AG90-$AF90-$AE90*(1+CQ$3))/$AJ90,'Технический лист'!$I:$J,2,1)-VLOOKUP($AO90,'Технический лист'!$I:$J,2,1)),1+(1-$AU90))</f>
        <v/>
      </c>
      <c r="CR90" s="172">
        <f>MIN(IF($AU90=100%,1,1+VLOOKUP(($AJ90-$AI90-$AH90-$AG90-$AF90-$AE90*(1+CR$3))/$AJ90,'Технический лист'!$I:$J,2,1)-VLOOKUP($AO90,'Технический лист'!$I:$J,2,1)),1+(1-$AU90))</f>
        <v/>
      </c>
      <c r="CS90" s="172">
        <f>MIN(IF($AU90=100%,1,1+VLOOKUP(($AJ90-$AI90-$AH90-$AG90-$AF90-$AE90*(1+CS$3))/$AJ90,'Технический лист'!$I:$J,2,1)-VLOOKUP($AO90,'Технический лист'!$I:$J,2,1)),1+(1-$AU90))</f>
        <v/>
      </c>
      <c r="CT90" s="172">
        <f>MIN(IF($AU90=100%,1,1+VLOOKUP(($AJ90-$AI90-$AH90-$AG90-$AF90-$AE90*(1+CT$3))/$AJ90,'Технический лист'!$I:$J,2,1)-VLOOKUP($AO90,'Технический лист'!$I:$J,2,1)),1+(1-$AU90))</f>
        <v/>
      </c>
      <c r="CU90" s="172">
        <f>MIN(IF($AU90=100%,1,1+VLOOKUP(($AJ90-$AI90-$AH90-$AG90-$AF90-$AE90*(1+CU$3))/$AJ90,'Технический лист'!$I:$J,2,1)-VLOOKUP($AO90,'Технический лист'!$I:$J,2,1)),1+(1-$AU90))</f>
        <v/>
      </c>
      <c r="CV90" s="172">
        <f>MIN(IF($AU90=100%,1,1+VLOOKUP(($AJ90-$AI90-$AH90-$AG90-$AF90-$AE90*(1+CV$3))/$AJ90,'Технический лист'!$I:$J,2,1)-VLOOKUP($AO90,'Технический лист'!$I:$J,2,1)),1+(1-$AU90))</f>
        <v/>
      </c>
      <c r="CW90" s="172">
        <f>MIN(IF($AU90=100%,1,1+VLOOKUP(($AJ90-$AI90-$AH90-$AG90-$AF90-$AE90*(1+CW$3))/$AJ90,'Технический лист'!$I:$J,2,1)-VLOOKUP($AO90,'Технический лист'!$I:$J,2,1)),1+(1-$AU90))</f>
        <v/>
      </c>
      <c r="CX90" s="172">
        <f>MIN(IF($AU90=100%,1,1+VLOOKUP(($AJ90-$AI90-$AH90-$AG90-$AF90-$AE90*(1+CX$3))/$AJ90,'Технический лист'!$I:$J,2,1)-VLOOKUP($AO90,'Технический лист'!$I:$J,2,1)),1+(1-$AU90))</f>
        <v/>
      </c>
      <c r="CY90" s="172">
        <f>MIN(IF($AU90=100%,1,1+VLOOKUP(($AJ90-$AI90-$AH90-$AG90-$AF90-$AE90*(1+CY$3))/$AJ90,'Технический лист'!$I:$J,2,1)-VLOOKUP($AO90,'Технический лист'!$I:$J,2,1)),1+(1-$AU90))</f>
        <v/>
      </c>
      <c r="CZ90" s="172">
        <f>MIN(IF($AU90=100%,1,1+VLOOKUP(($AJ90-$AI90-$AH90-$AG90-$AF90-$AE90*(1+CZ$3))/$AJ90,'Технический лист'!$I:$J,2,1)-VLOOKUP($AO90,'Технический лист'!$I:$J,2,1)),1+(1-$AU90))</f>
        <v/>
      </c>
      <c r="DA90" s="172">
        <f>MIN(IF($AU90=100%,1,1+VLOOKUP(($AJ90-$AI90-$AH90-$AG90-$AF90-$AE90*(1+DA$3))/$AJ90,'Технический лист'!$I:$J,2,1)-VLOOKUP($AO90,'Технический лист'!$I:$J,2,1)),1+(1-$AU90))</f>
        <v/>
      </c>
      <c r="DB90" s="172">
        <f>MIN(IF($AU90=100%,1,1+VLOOKUP(($AJ90-$AI90-$AH90-$AG90-$AF90-$AE90*(1+DB$3))/$AJ90,'Технический лист'!$I:$J,2,1)-VLOOKUP($AO90,'Технический лист'!$I:$J,2,1)),1+(1-$AU90))</f>
        <v/>
      </c>
      <c r="DC90" s="172">
        <f>MIN(IF($AU90=100%,1,1+VLOOKUP(($AJ90-$AI90-$AH90-$AG90-$AF90-$AE90*(1+DC$3))/$AJ90,'Технический лист'!$I:$J,2,1)-VLOOKUP($AO90,'Технический лист'!$I:$J,2,1)),1+(1-$AU90))</f>
        <v/>
      </c>
      <c r="DD90" s="172">
        <f>MIN(IF($AU90=100%,1,1+VLOOKUP(($AJ90-$AI90-$AH90-$AG90-$AF90-$AE90*(1+DD$3))/$AJ90,'Технический лист'!$I:$J,2,1)-VLOOKUP($AO90,'Технический лист'!$I:$J,2,1)),1+(1-$AU90))</f>
        <v/>
      </c>
      <c r="DE90" s="172">
        <f>MIN(IF($AU90=100%,1,1+VLOOKUP(($AJ90-$AI90-$AH90-$AG90-$AF90-$AE90*(1+DE$3))/$AJ90,'Технический лист'!$I:$J,2,1)-VLOOKUP($AO90,'Технический лист'!$I:$J,2,1)),1+(1-$AU90))</f>
        <v/>
      </c>
      <c r="DF90" s="172">
        <f>MIN(IF($AU90=100%,1,1+VLOOKUP(($AJ90-$AI90-$AH90-$AG90-$AF90-$AE90*(1+DF$3))/$AJ90,'Технический лист'!$I:$J,2,1)-VLOOKUP($AO90,'Технический лист'!$I:$J,2,1)),1+(1-$AU90))</f>
        <v/>
      </c>
      <c r="DG90" s="172">
        <f>MIN(IF($AU90=100%,1,1+VLOOKUP(($AJ90-$AI90-$AH90-$AG90-$AF90-$AE90*(1+DG$3))/$AJ90,'Технический лист'!$I:$J,2,1)-VLOOKUP($AO90,'Технический лист'!$I:$J,2,1)),1+(1-$AU90))</f>
        <v/>
      </c>
      <c r="DH90" s="172">
        <f>MIN(IF($AU90=100%,1,1+VLOOKUP(($AJ90-$AI90-$AH90-$AG90-$AF90-$AE90*(1+DH$3))/$AJ90,'Технический лист'!$I:$J,2,1)-VLOOKUP($AO90,'Технический лист'!$I:$J,2,1)),1+(1-$AU90))</f>
        <v/>
      </c>
      <c r="DI90" s="172">
        <f>MIN(IF($AU90=100%,1,1+VLOOKUP(($AJ90-$AI90-$AH90-$AG90-$AF90-$AE90*(1+DI$3))/$AJ90,'Технический лист'!$I:$J,2,1)-VLOOKUP($AO90,'Технический лист'!$I:$J,2,1)),1+(1-$AU90))</f>
        <v/>
      </c>
      <c r="DJ90" s="172">
        <f>MIN(IF($AU90=100%,1,1+VLOOKUP(($AJ90-$AI90-$AH90-$AG90-$AF90-$AE90*(1+DJ$3))/$AJ90,'Технический лист'!$I:$J,2,1)-VLOOKUP($AO90,'Технический лист'!$I:$J,2,1)),1+(1-$AU90))</f>
        <v/>
      </c>
      <c r="DK90" s="172">
        <f>MIN(IF($AU90=100%,1,1+VLOOKUP(($AJ90-$AI90-$AH90-$AG90-$AF90-$AE90*(1+DK$3))/$AJ90,'Технический лист'!$I:$J,2,1)-VLOOKUP($AO90,'Технический лист'!$I:$J,2,1)),1+(1-$AU90))</f>
        <v/>
      </c>
      <c r="DL90" s="172">
        <f>MIN(IF($AU90=100%,1,1+VLOOKUP(($AJ90-$AI90-$AH90-$AG90-$AF90-$AE90*(1+DL$3))/$AJ90,'Технический лист'!$I:$J,2,1)-VLOOKUP($AO90,'Технический лист'!$I:$J,2,1)),1+(1-$AU90))</f>
        <v/>
      </c>
      <c r="DM90" s="172">
        <f>MIN(IF($AU90=100%,1,1+VLOOKUP(($AJ90-$AI90-$AH90-$AG90-$AF90-$AE90*(1+DM$3))/$AJ90,'Технический лист'!$I:$J,2,1)-VLOOKUP($AO90,'Технический лист'!$I:$J,2,1)),1+(1-$AU90))</f>
        <v/>
      </c>
      <c r="DN90" s="172">
        <f>MIN(IF($AU90=100%,1,1+VLOOKUP(($AJ90-$AI90-$AH90-$AG90-$AF90-$AE90*(1+DN$3))/$AJ90,'Технический лист'!$I:$J,2,1)-VLOOKUP($AO90,'Технический лист'!$I:$J,2,1)),1+(1-$AU90))</f>
        <v/>
      </c>
      <c r="DO90" s="172">
        <f>MIN(IF($AU90=100%,1,1+VLOOKUP(($AJ90-$AI90-$AH90-$AG90-$AF90-$AE90*(1+DO$3))/$AJ90,'Технический лист'!$I:$J,2,1)-VLOOKUP($AO90,'Технический лист'!$I:$J,2,1)),1+(1-$AU90))</f>
        <v/>
      </c>
      <c r="DP90" s="172">
        <f>MIN(IF($AU90=100%,1,1+VLOOKUP(($AJ90-$AI90-$AH90-$AG90-$AF90-$AE90*(1+DP$3))/$AJ90,'Технический лист'!$I:$J,2,1)-VLOOKUP($AO90,'Технический лист'!$I:$J,2,1)),1+(1-$AU90))</f>
        <v/>
      </c>
      <c r="DQ90" s="172">
        <f>MIN(IF($AU90=100%,1,1+VLOOKUP(($AJ90-$AI90-$AH90-$AG90-$AF90-$AE90*(1+DQ$3))/$AJ90,'Технический лист'!$I:$J,2,1)-VLOOKUP($AO90,'Технический лист'!$I:$J,2,1)),1+(1-$AU90))</f>
        <v/>
      </c>
      <c r="DR90" s="172">
        <f>MIN(IF($AU90=100%,1,1+VLOOKUP(($AJ90-$AI90-$AH90-$AG90-$AF90-$AE90*(1+DR$3))/$AJ90,'Технический лист'!$I:$J,2,1)-VLOOKUP($AO90,'Технический лист'!$I:$J,2,1)),1+(1-$AU90))</f>
        <v/>
      </c>
      <c r="DS90" s="172">
        <f>MIN(IF($AU90=100%,1,1+VLOOKUP(($AJ90-$AI90-$AH90-$AG90-$AF90-$AE90*(1+DS$3))/$AJ90,'Технический лист'!$I:$J,2,1)-VLOOKUP($AO90,'Технический лист'!$I:$J,2,1)),1+(1-$AU90))</f>
        <v/>
      </c>
      <c r="DT90" s="172">
        <f>MIN(IF($AU90=100%,1,1+VLOOKUP(($AJ90-$AI90-$AH90-$AG90-$AF90-$AE90*(1+DT$3))/$AJ90,'Технический лист'!$I:$J,2,1)-VLOOKUP($AO90,'Технический лист'!$I:$J,2,1)),1+(1-$AU90))</f>
        <v/>
      </c>
      <c r="DU90" s="172">
        <f>MIN(IF($AU90=100%,1,1+VLOOKUP(($AJ90-$AI90-$AH90-$AG90-$AF90-$AE90*(1+DU$3))/$AJ90,'Технический лист'!$I:$J,2,1)-VLOOKUP($AO90,'Технический лист'!$I:$J,2,1)),1+(1-$AU90))</f>
        <v/>
      </c>
      <c r="DV90" s="172">
        <f>MIN(IF($AU90=100%,1,1+VLOOKUP(($AJ90-$AI90-$AH90-$AG90-$AF90-$AE90*(1+DV$3))/$AJ90,'Технический лист'!$I:$J,2,1)-VLOOKUP($AO90,'Технический лист'!$I:$J,2,1)),1+(1-$AU90))</f>
        <v/>
      </c>
      <c r="DW90" s="172">
        <f>MIN(IF($AU90=100%,1,1+VLOOKUP(($AJ90-$AI90-$AH90-$AG90-$AF90-$AE90*(1+DW$3))/$AJ90,'Технический лист'!$I:$J,2,1)-VLOOKUP($AO90,'Технический лист'!$I:$J,2,1)),1+(1-$AU90))</f>
        <v/>
      </c>
      <c r="DX90" s="172">
        <f>MIN(IF($AU90=100%,1,1+VLOOKUP(($AJ90-$AI90-$AH90-$AG90-$AF90-$AE90*(1+DX$3))/$AJ90,'Технический лист'!$I:$J,2,1)-VLOOKUP($AO90,'Технический лист'!$I:$J,2,1)),1+(1-$AU90))</f>
        <v/>
      </c>
      <c r="DY90" s="172">
        <f>MIN(IF($AU90=100%,1,1+VLOOKUP(($AJ90-$AI90-$AH90-$AG90-$AF90-$AE90*(1+DY$3))/$AJ90,'Технический лист'!$I:$J,2,1)-VLOOKUP($AO90,'Технический лист'!$I:$J,2,1)),1+(1-$AU90))</f>
        <v/>
      </c>
      <c r="DZ90" s="172">
        <f>MIN(IF($AU90=100%,1,1+VLOOKUP(($AJ90-$AI90-$AH90-$AG90-$AF90-$AE90*(1+DZ$3))/$AJ90,'Технический лист'!$I:$J,2,1)-VLOOKUP($AO90,'Технический лист'!$I:$J,2,1)),1+(1-$AU90))</f>
        <v/>
      </c>
      <c r="EA90" s="172">
        <f>MIN(IF($AU90=100%,1,1+VLOOKUP(($AJ90-$AI90-$AH90-$AG90-$AF90-$AE90*(1+EA$3))/$AJ90,'Технический лист'!$I:$J,2,1)-VLOOKUP($AO90,'Технический лист'!$I:$J,2,1)),1+(1-$AU90))</f>
        <v/>
      </c>
      <c r="EB90" s="172">
        <f>MIN(IF($AU90=100%,1,1+VLOOKUP(($AJ90-$AI90-$AH90-$AG90-$AF90-$AE90*(1+EB$3))/$AJ90,'Технический лист'!$I:$J,2,1)-VLOOKUP($AO90,'Технический лист'!$I:$J,2,1)),1+(1-$AU90))</f>
        <v/>
      </c>
      <c r="EC90" s="172">
        <f>MIN(IF($AU90=100%,1,1+VLOOKUP(($AJ90-$AI90-$AH90-$AG90-$AF90-$AE90*(1+EC$3))/$AJ90,'Технический лист'!$I:$J,2,1)-VLOOKUP($AO90,'Технический лист'!$I:$J,2,1)),1+(1-$AU90))</f>
        <v/>
      </c>
      <c r="ED90" s="172">
        <f>MIN(IF($AU90=100%,1,1+VLOOKUP(($AJ90-$AI90-$AH90-$AG90-$AF90-$AE90*(1+ED$3))/$AJ90,'Технический лист'!$I:$J,2,1)-VLOOKUP($AO90,'Технический лист'!$I:$J,2,1)),1+(1-$AU90))</f>
        <v/>
      </c>
      <c r="EE90" s="172">
        <f>MIN(IF($AU90=100%,1,1+VLOOKUP(($AJ90-$AI90-$AH90-$AG90-$AF90-$AE90*(1+EE$3))/$AJ90,'Технический лист'!$I:$J,2,1)-VLOOKUP($AO90,'Технический лист'!$I:$J,2,1)),1+(1-$AU90))</f>
        <v/>
      </c>
      <c r="EF90" s="172">
        <f>MIN(IF($AU90=100%,1,1+VLOOKUP(($AJ90-$AI90-$AH90-$AG90-$AF90-$AE90*(1+EF$3))/$AJ90,'Технический лист'!$I:$J,2,1)-VLOOKUP($AO90,'Технический лист'!$I:$J,2,1)),1+(1-$AU90))</f>
        <v/>
      </c>
      <c r="EG90" s="172">
        <f>MIN(IF($AU90=100%,1,1+VLOOKUP(($AJ90-$AI90-$AH90-$AG90-$AF90-$AE90*(1+EG$3))/$AJ90,'Технический лист'!$I:$J,2,1)-VLOOKUP($AO90,'Технический лист'!$I:$J,2,1)),1+(1-$AU90))</f>
        <v/>
      </c>
      <c r="EH90" s="172">
        <f>MIN(IF($AU90=100%,1,1+VLOOKUP(($AJ90-$AI90-$AH90-$AG90-$AF90-$AE90*(1+EH$3))/$AJ90,'Технический лист'!$I:$J,2,1)-VLOOKUP($AO90,'Технический лист'!$I:$J,2,1)),1+(1-$AU90))</f>
        <v/>
      </c>
      <c r="EI90" s="172">
        <f>MIN(IF($AU90=100%,1,1+VLOOKUP(($AJ90-$AI90-$AH90-$AG90-$AF90-$AE90*(1+EI$3))/$AJ90,'Технический лист'!$I:$J,2,1)-VLOOKUP($AO90,'Технический лист'!$I:$J,2,1)),1+(1-$AU90))</f>
        <v/>
      </c>
      <c r="EJ90" s="172">
        <f>MIN(IF($AU90=100%,1,1+VLOOKUP(($AJ90-$AI90-$AH90-$AG90-$AF90-$AE90*(1+EJ$3))/$AJ90,'Технический лист'!$I:$J,2,1)-VLOOKUP($AO90,'Технический лист'!$I:$J,2,1)),1+(1-$AU90))</f>
        <v/>
      </c>
      <c r="EK90" s="172">
        <f>MIN(IF($AU90=100%,1,1+VLOOKUP(($AJ90-$AI90-$AH90-$AG90-$AF90-$AE90*(1+EK$3))/$AJ90,'Технический лист'!$I:$J,2,1)-VLOOKUP($AO90,'Технический лист'!$I:$J,2,1)),1+(1-$AU90))</f>
        <v/>
      </c>
      <c r="EL90" s="172">
        <f>MIN(IF($AU90=100%,1,1+VLOOKUP(($AJ90-$AI90-$AH90-$AG90-$AF90-$AE90*(1+EL$3))/$AJ90,'Технический лист'!$I:$J,2,1)-VLOOKUP($AO90,'Технический лист'!$I:$J,2,1)),1+(1-$AU90))</f>
        <v/>
      </c>
      <c r="EM90" s="172">
        <f>MIN(IF($AU90=100%,1,1+VLOOKUP(($AJ90-$AI90-$AH90-$AG90-$AF90-$AE90*(1+EM$3))/$AJ90,'Технический лист'!$I:$J,2,1)-VLOOKUP($AO90,'Технический лист'!$I:$J,2,1)),1+(1-$AU90))</f>
        <v/>
      </c>
      <c r="EN90" s="172">
        <f>MIN(IF($AU90=100%,1,1+VLOOKUP(($AJ90-$AI90-$AH90-$AG90-$AF90-$AE90*(1+EN$3))/$AJ90,'Технический лист'!$I:$J,2,1)-VLOOKUP($AO90,'Технический лист'!$I:$J,2,1)),1+(1-$AU90))</f>
        <v/>
      </c>
      <c r="EO90" s="172">
        <f>MIN(IF($AU90=100%,1,1+VLOOKUP(($AJ90-$AI90-$AH90-$AG90-$AF90-$AE90*(1+EO$3))/$AJ90,'Технический лист'!$I:$J,2,1)-VLOOKUP($AO90,'Технический лист'!$I:$J,2,1)),1+(1-$AU90))</f>
        <v/>
      </c>
      <c r="EP90" s="172">
        <f>MIN(IF($AU90=100%,1,1+VLOOKUP(($AJ90-$AI90-$AH90-$AG90-$AF90-$AE90*(1+EP$3))/$AJ90,'Технический лист'!$I:$J,2,1)-VLOOKUP($AO90,'Технический лист'!$I:$J,2,1)),1+(1-$AU90))</f>
        <v/>
      </c>
      <c r="EQ90" s="172">
        <f>MIN(IF($AU90=100%,1,1+VLOOKUP(($AJ90-$AI90-$AH90-$AG90-$AF90-$AE90*(1+EQ$3))/$AJ90,'Технический лист'!$I:$J,2,1)-VLOOKUP($AO90,'Технический лист'!$I:$J,2,1)),1+(1-$AU90))</f>
        <v/>
      </c>
      <c r="ER90" s="172">
        <f>MIN(IF($AU90=100%,1,1+VLOOKUP(($AJ90-$AI90-$AH90-$AG90-$AF90-$AE90*(1+ER$3))/$AJ90,'Технический лист'!$I:$J,2,1)-VLOOKUP($AO90,'Технический лист'!$I:$J,2,1)),1+(1-$AU90))</f>
        <v/>
      </c>
      <c r="ES90" s="172">
        <f>MIN(IF($AU90=100%,1,1+VLOOKUP(($AJ90-$AI90-$AH90-$AG90-$AF90-$AE90*(1+ES$3))/$AJ90,'Технический лист'!$I:$J,2,1)-VLOOKUP($AO90,'Технический лист'!$I:$J,2,1)),1+(1-$AU90))</f>
        <v/>
      </c>
      <c r="ET90" s="172">
        <f>MIN(IF($AU90=100%,1,1+VLOOKUP(($AJ90-$AI90-$AH90-$AG90-$AF90-$AE90*(1+ET$3))/$AJ90,'Технический лист'!$I:$J,2,1)-VLOOKUP($AO90,'Технический лист'!$I:$J,2,1)),1+(1-$AU90))</f>
        <v/>
      </c>
      <c r="EU90" s="172">
        <f>MIN(IF($AU90=100%,1,1+VLOOKUP(($AJ90-$AI90-$AH90-$AG90-$AF90-$AE90*(1+EU$3))/$AJ90,'Технический лист'!$I:$J,2,1)-VLOOKUP($AO90,'Технический лист'!$I:$J,2,1)),1+(1-$AU90))</f>
        <v/>
      </c>
      <c r="EV90" s="173" t="n">
        <v>1</v>
      </c>
      <c r="EW90" s="172">
        <f>MIN(1,MAX(VLOOKUP(($AJ90-$AI90-$AH90-$AG90-$AF90-$AE90*(1+EW$3))/$AJ90,'Технический лист'!$A:$B,2,1),(EV90-0.05)))</f>
        <v/>
      </c>
      <c r="EX90" s="172">
        <f>MIN(1,MAX(VLOOKUP(($AJ90-$AI90-$AH90-$AG90-$AF90-$AE90*(1+EX$3))/$AJ90,'Технический лист'!$A:$B,2,1),(EW90-0.05)))</f>
        <v/>
      </c>
      <c r="EY90" s="172">
        <f>MIN(1,MAX(VLOOKUP(($AJ90-$AI90-$AH90-$AG90-$AF90-$AE90*(1+EY$3))/$AJ90,'Технический лист'!$A:$B,2,1),(EX90-0.05)))</f>
        <v/>
      </c>
      <c r="EZ90" s="172">
        <f>MIN(1,MAX(VLOOKUP(($AJ90-$AI90-$AH90-$AG90-$AF90-$AE90*(1+EZ$3))/$AJ90,'Технический лист'!$A:$B,2,1),(EY90-0.05)))</f>
        <v/>
      </c>
      <c r="FA90" s="172">
        <f>MIN(1,MAX(VLOOKUP(($AJ90-$AI90-$AH90-$AG90-$AF90-$AE90*(1+FA$3))/$AJ90,'Технический лист'!$A:$B,2,1),(EZ90-0.05)))</f>
        <v/>
      </c>
      <c r="FB90" s="172">
        <f>MIN(1,MAX(VLOOKUP(($AJ90-$AI90-$AH90-$AG90-$AF90-$AE90*(1+FB$3))/$AJ90,'Технический лист'!$A:$B,2,1),(FA90-0.05)))</f>
        <v/>
      </c>
      <c r="FC90" s="172">
        <f>MIN(1,MAX(VLOOKUP(($AJ90-$AI90-$AH90-$AG90-$AF90-$AE90*(1+FC$3))/$AJ90,'Технический лист'!$A:$B,2,1),(FB90-0.05)))</f>
        <v/>
      </c>
      <c r="FD90" s="172">
        <f>MIN(1,MAX(VLOOKUP(($AJ90-$AI90-$AH90-$AG90-$AF90-$AE90*(1+FD$3))/$AJ90,'Технический лист'!$A:$B,2,1),(FC90-0.05)))</f>
        <v/>
      </c>
      <c r="FE90" s="172">
        <f>MIN(1,MAX(VLOOKUP(($AJ90-$AI90-$AH90-$AG90-$AF90-$AE90*(1+FE$3))/$AJ90,'Технический лист'!$A:$B,2,1),(FD90-0.05)))</f>
        <v/>
      </c>
      <c r="FF90" s="172">
        <f>MIN(1,MAX(VLOOKUP(($AJ90-$AI90-$AH90-$AG90-$AF90-$AE90*(1+FF$3))/$AJ90,'Технический лист'!$A:$B,2,1),(FE90-0.05)))</f>
        <v/>
      </c>
      <c r="FG90" s="172">
        <f>MIN(1,MAX(VLOOKUP(($AJ90-$AI90-$AH90-$AG90-$AF90-$AE90*(1+FG$3))/$AJ90,'Технический лист'!$A:$B,2,1),(FF90-0.05)))</f>
        <v/>
      </c>
      <c r="FH90" s="172">
        <f>MIN(1,MAX(VLOOKUP(($AJ90-$AI90-$AH90-$AG90-$AF90-$AE90*(1+FH$3))/$AJ90,'Технический лист'!$A:$B,2,1),(FG90-0.05)))</f>
        <v/>
      </c>
      <c r="FI90" s="172">
        <f>MIN(1,MAX(VLOOKUP(($AJ90-$AI90-$AH90-$AG90-$AF90-$AE90*(1+FI$3))/$AJ90,'Технический лист'!$A:$B,2,1),(FH90-0.05)))</f>
        <v/>
      </c>
      <c r="FJ90" s="172">
        <f>MIN(1,MAX(VLOOKUP(($AJ90-$AI90-$AH90-$AG90-$AF90-$AE90*(1+FJ$3))/$AJ90,'Технический лист'!$A:$B,2,1),(FI90-0.05)))</f>
        <v/>
      </c>
      <c r="FK90" s="172">
        <f>MIN(1,MAX(VLOOKUP(($AJ90-$AI90-$AH90-$AG90-$AF90-$AE90*(1+FK$3))/$AJ90,'Технический лист'!$A:$B,2,1),(FJ90-0.05)))</f>
        <v/>
      </c>
      <c r="FL90" s="172">
        <f>MIN(1,MAX(VLOOKUP(($AJ90-$AI90-$AH90-$AG90-$AF90-$AE90*(1+FL$3))/$AJ90,'Технический лист'!$A:$B,2,1),(FK90-0.05)))</f>
        <v/>
      </c>
      <c r="FM90" s="172">
        <f>MIN(1,MAX(VLOOKUP(($AJ90-$AI90-$AH90-$AG90-$AF90-$AE90*(1+FM$3))/$AJ90,'Технический лист'!$A:$B,2,1),(FL90-0.05)))</f>
        <v/>
      </c>
      <c r="FN90" s="172">
        <f>MIN(1,MAX(VLOOKUP(($AJ90-$AI90-$AH90-$AG90-$AF90-$AE90*(1+FN$3))/$AJ90,'Технический лист'!$A:$B,2,1),(FM90-0.05)))</f>
        <v/>
      </c>
      <c r="FO90" s="172">
        <f>MIN(1,MAX(VLOOKUP(($AJ90-$AI90-$AH90-$AG90-$AF90-$AE90*(1+FO$3))/$AJ90,'Технический лист'!$A:$B,2,1),(FN90-0.05)))</f>
        <v/>
      </c>
      <c r="FP90" s="172">
        <f>MIN(1,MAX(VLOOKUP(($AJ90-$AI90-$AH90-$AG90-$AF90-$AE90*(1+FP$3))/$AJ90,'Технический лист'!$A:$B,2,1),(FO90-0.05)))</f>
        <v/>
      </c>
      <c r="FQ90" s="172">
        <f>MIN(1,MAX(VLOOKUP(($AJ90-$AI90-$AH90-$AG90-$AF90-$AE90*(1+FQ$3))/$AJ90,'Технический лист'!$A:$B,2,1),(FP90-0.05)))</f>
        <v/>
      </c>
      <c r="FR90" s="172">
        <f>MIN(1,MAX(VLOOKUP(($AJ90-$AI90-$AH90-$AG90-$AF90-$AE90*(1+FR$3))/$AJ90,'Технический лист'!$A:$B,2,1),(FQ90-0.05)))</f>
        <v/>
      </c>
      <c r="FS90" s="172">
        <f>MIN(1,MAX(VLOOKUP(($AJ90-$AI90-$AH90-$AG90-$AF90-$AE90*(1+FS$3))/$AJ90,'Технический лист'!$A:$B,2,1),(FR90-0.05)))</f>
        <v/>
      </c>
      <c r="FT90" s="172">
        <f>MIN(1,MAX(VLOOKUP(($AJ90-$AI90-$AH90-$AG90-$AF90-$AE90*(1+FT$3))/$AJ90,'Технический лист'!$A:$B,2,1),(FS90-0.05)))</f>
        <v/>
      </c>
      <c r="FU90" s="172">
        <f>MIN(1,MAX(VLOOKUP(($AJ90-$AI90-$AH90-$AG90-$AF90-$AE90*(1+FU$3))/$AJ90,'Технический лист'!$A:$B,2,1),(FT90-0.05)))</f>
        <v/>
      </c>
      <c r="FV90" s="172">
        <f>MIN(1,MAX(VLOOKUP(($AJ90-$AI90-$AH90-$AG90-$AF90-$AE90*(1+FV$3))/$AJ90,'Технический лист'!$A:$B,2,1),(FU90-0.05)))</f>
        <v/>
      </c>
      <c r="FW90" s="172">
        <f>MIN(1,MAX(VLOOKUP(($AJ90-$AI90-$AH90-$AG90-$AF90-$AE90*(1+FW$3))/$AJ90,'Технический лист'!$A:$B,2,1),(FV90-0.05)))</f>
        <v/>
      </c>
      <c r="FX90" s="172">
        <f>MIN(1,MAX(VLOOKUP(($AJ90-$AI90-$AH90-$AG90-$AF90-$AE90*(1+FX$3))/$AJ90,'Технический лист'!$A:$B,2,1),(FW90-0.05)))</f>
        <v/>
      </c>
      <c r="FY90" s="172">
        <f>MIN(1,MAX(VLOOKUP(($AJ90-$AI90-$AH90-$AG90-$AF90-$AE90*(1+FY$3))/$AJ90,'Технический лист'!$A:$B,2,1),(FX90-0.05)))</f>
        <v/>
      </c>
      <c r="FZ90" s="172">
        <f>MIN(1,MAX(VLOOKUP(($AJ90-$AI90-$AH90-$AG90-$AF90-$AE90*(1+FZ$3))/$AJ90,'Технический лист'!$A:$B,2,1),(FY90-0.05)))</f>
        <v/>
      </c>
      <c r="GA90" s="172">
        <f>MIN(1,MAX(VLOOKUP(($AJ90-$AI90-$AH90-$AG90-$AF90-$AE90*(1+GA$3))/$AJ90,'Технический лист'!$A:$B,2,1),(FZ90-0.05)))</f>
        <v/>
      </c>
      <c r="GB90" s="172">
        <f>MIN(1,MAX(VLOOKUP(($AJ90-$AI90-$AH90-$AG90-$AF90-$AE90*(1+GB$3))/$AJ90,'Технический лист'!$A:$B,2,1),(GA90-0.05)))</f>
        <v/>
      </c>
      <c r="GC90" s="172">
        <f>MIN(1,MAX(VLOOKUP(($AJ90-$AI90-$AH90-$AG90-$AF90-$AE90*(1+GC$3))/$AJ90,'Технический лист'!$A:$B,2,1),(GB90-0.05)))</f>
        <v/>
      </c>
      <c r="GD90" s="172">
        <f>MIN(1,MAX(VLOOKUP(($AJ90-$AI90-$AH90-$AG90-$AF90-$AE90*(1+GD$3))/$AJ90,'Технический лист'!$A:$B,2,1),(GC90-0.05)))</f>
        <v/>
      </c>
      <c r="GE90" s="172">
        <f>MIN(1,MAX(VLOOKUP(($AJ90-$AI90-$AH90-$AG90-$AF90-$AE90*(1+GE$3))/$AJ90,'Технический лист'!$A:$B,2,1),(GD90-0.05)))</f>
        <v/>
      </c>
      <c r="GF90" s="172">
        <f>MIN(1,MAX(VLOOKUP(($AJ90-$AI90-$AH90-$AG90-$AF90-$AE90*(1+GF$3))/$AJ90,'Технический лист'!$A:$B,2,1),(GE90-0.05)))</f>
        <v/>
      </c>
      <c r="GG90" s="172">
        <f>MIN(1,MAX(VLOOKUP(($AJ90-$AI90-$AH90-$AG90-$AF90-$AE90*(1+GG$3))/$AJ90,'Технический лист'!$A:$B,2,1),(GF90-0.05)))</f>
        <v/>
      </c>
      <c r="GH90" s="172">
        <f>MIN(1,MAX(VLOOKUP(($AJ90-$AI90-$AH90-$AG90-$AF90-$AE90*(1+GH$3))/$AJ90,'Технический лист'!$A:$B,2,1),(GG90-0.05)))</f>
        <v/>
      </c>
      <c r="GI90" s="172">
        <f>MIN(1,MAX(VLOOKUP(($AJ90-$AI90-$AH90-$AG90-$AF90-$AE90*(1+GI$3))/$AJ90,'Технический лист'!$A:$B,2,1),(GH90-0.05)))</f>
        <v/>
      </c>
      <c r="GJ90" s="172">
        <f>MIN(1,MAX(VLOOKUP(($AJ90-$AI90-$AH90-$AG90-$AF90-$AE90*(1+GJ$3))/$AJ90,'Технический лист'!$A:$B,2,1),(GI90-0.05)))</f>
        <v/>
      </c>
      <c r="GK90" s="172">
        <f>MIN(1,MAX(VLOOKUP(($AJ90-$AI90-$AH90-$AG90-$AF90-$AE90*(1+GK$3))/$AJ90,'Технический лист'!$A:$B,2,1),(GJ90-0.05)))</f>
        <v/>
      </c>
      <c r="GL90" s="172">
        <f>MIN(1,MAX(VLOOKUP(($AJ90-$AI90-$AH90-$AG90-$AF90-$AE90*(1+GL$3))/$AJ90,'Технический лист'!$A:$B,2,1),(GK90-0.05)))</f>
        <v/>
      </c>
      <c r="GM90" s="172">
        <f>MIN(1,MAX(VLOOKUP(($AJ90-$AI90-$AH90-$AG90-$AF90-$AE90*(1+GM$3))/$AJ90,'Технический лист'!$A:$B,2,1),(GL90-0.05)))</f>
        <v/>
      </c>
      <c r="GN90" s="172">
        <f>MIN(1,MAX(VLOOKUP(($AJ90-$AI90-$AH90-$AG90-$AF90-$AE90*(1+GN$3))/$AJ90,'Технический лист'!$A:$B,2,1),(GM90-0.05)))</f>
        <v/>
      </c>
      <c r="GO90" s="172">
        <f>MIN(1,MAX(VLOOKUP(($AJ90-$AI90-$AH90-$AG90-$AF90-$AE90*(1+GO$3))/$AJ90,'Технический лист'!$A:$B,2,1),(GN90-0.05)))</f>
        <v/>
      </c>
      <c r="GP90" s="172">
        <f>MIN(1,MAX(VLOOKUP(($AJ90-$AI90-$AH90-$AG90-$AF90-$AE90*(1+GP$3))/$AJ90,'Технический лист'!$A:$B,2,1),(GO90-0.05)))</f>
        <v/>
      </c>
      <c r="GQ90" s="172">
        <f>MIN(1,MAX(VLOOKUP(($AJ90-$AI90-$AH90-$AG90-$AF90-$AE90*(1+GQ$3))/$AJ90,'Технический лист'!$A:$B,2,1),(GP90-0.05)))</f>
        <v/>
      </c>
      <c r="GR90" s="172">
        <f>MIN(1,MAX(VLOOKUP(($AJ90-$AI90-$AH90-$AG90-$AF90-$AE90*(1+GR$3))/$AJ90,'Технический лист'!$A:$B,2,1),(GQ90-0.05)))</f>
        <v/>
      </c>
      <c r="GS90" s="172">
        <f>MIN(1,MAX(VLOOKUP(($AJ90-$AI90-$AH90-$AG90-$AF90-$AE90*(1+GS$3))/$AJ90,'Технический лист'!$A:$B,2,1),(GR90-0.05)))</f>
        <v/>
      </c>
      <c r="GT90" s="172">
        <f>MIN(1,MAX(VLOOKUP(($AJ90-$AI90-$AH90-$AG90-$AF90-$AE90*(1+GT$3))/$AJ90,'Технический лист'!$A:$B,2,1),(GS90-0.05)))</f>
        <v/>
      </c>
      <c r="GU90" s="172">
        <f>MIN(1,MAX(VLOOKUP(($AJ90-$AI90-$AH90-$AG90-$AF90-$AE90*(1+GU$3))/$AJ90,'Технический лист'!$A:$B,2,1),(GT90-0.05)))</f>
        <v/>
      </c>
      <c r="GV90" s="172">
        <f>MIN(1,MAX(VLOOKUP(($AJ90-$AI90-$AH90-$AG90-$AF90-$AE90*(1+GV$3))/$AJ90,'Технический лист'!$A:$B,2,1),(GU90-0.05)))</f>
        <v/>
      </c>
      <c r="GW90" s="172">
        <f>MIN(1,MAX(VLOOKUP(($AJ90-$AI90-$AH90-$AG90-$AF90-$AE90*(1+GW$3))/$AJ90,'Технический лист'!$A:$B,2,1),(GV90-0.05)))</f>
        <v/>
      </c>
      <c r="GX90" s="172">
        <f>MIN(1,MAX(VLOOKUP(($AJ90-$AI90-$AH90-$AG90-$AF90-$AE90*(1+GX$3))/$AJ90,'Технический лист'!$A:$B,2,1),(GW90-0.05)))</f>
        <v/>
      </c>
      <c r="GY90" s="172">
        <f>MIN(1,MAX(VLOOKUP(($AJ90-$AI90-$AH90-$AG90-$AF90-$AE90*(1+GY$3))/$AJ90,'Технический лист'!$A:$B,2,1),(GX90-0.05)))</f>
        <v/>
      </c>
      <c r="GZ90" s="172">
        <f>MIN(1,MAX(VLOOKUP(($AJ90-$AI90-$AH90-$AG90-$AF90-$AE90*(1+GZ$3))/$AJ90,'Технический лист'!$A:$B,2,1),(GY90-0.05)))</f>
        <v/>
      </c>
      <c r="HA90" s="172">
        <f>MIN(1,MAX(VLOOKUP(($AJ90-$AI90-$AH90-$AG90-$AF90-$AE90*(1+HA$3))/$AJ90,'Технический лист'!$A:$B,2,1),(GZ90-0.05)))</f>
        <v/>
      </c>
      <c r="HB90" s="172">
        <f>MIN(1,MAX(VLOOKUP(($AJ90-$AI90-$AH90-$AG90-$AF90-$AE90*(1+HB$3))/$AJ90,'Технический лист'!$A:$B,2,1),(HA90-0.05)))</f>
        <v/>
      </c>
      <c r="HC90" s="172">
        <f>MIN(1,MAX(VLOOKUP(($AJ90-$AI90-$AH90-$AG90-$AF90-$AE90*(1+HC$3))/$AJ90,'Технический лист'!$A:$B,2,1),(HB90-0.05)))</f>
        <v/>
      </c>
      <c r="HD90" s="172">
        <f>MIN(1,MAX(VLOOKUP(($AJ90-$AI90-$AH90-$AG90-$AF90-$AE90*(1+HD$3))/$AJ90,'Технический лист'!$A:$B,2,1),(HC90-0.05)))</f>
        <v/>
      </c>
      <c r="HE90" s="172">
        <f>MIN(1,MAX(VLOOKUP(($AJ90-$AI90-$AH90-$AG90-$AF90-$AE90*(1+HE$3))/$AJ90,'Технический лист'!$A:$B,2,1),(HD90-0.05)))</f>
        <v/>
      </c>
      <c r="HF90" s="172">
        <f>MIN(1,MAX(VLOOKUP(($AJ90-$AI90-$AH90-$AG90-$AF90-$AE90*(1+HF$3))/$AJ90,'Технический лист'!$A:$B,2,1),(HE90-0.05)))</f>
        <v/>
      </c>
      <c r="HG90" s="172">
        <f>MIN(1,MAX(VLOOKUP(($AJ90-$AI90-$AH90-$AG90-$AF90-$AE90*(1+HG$3))/$AJ90,'Технический лист'!$A:$B,2,1),(HF90-0.05)))</f>
        <v/>
      </c>
      <c r="HH90" s="172">
        <f>MIN(1,MAX(VLOOKUP(($AJ90-$AI90-$AH90-$AG90-$AF90-$AE90*(1+HH$3))/$AJ90,'Технический лист'!$A:$B,2,1),(HG90-0.05)))</f>
        <v/>
      </c>
      <c r="HI90" s="172">
        <f>MIN(1,MAX(VLOOKUP(($AJ90-$AI90-$AH90-$AG90-$AF90-$AE90*(1+HI$3))/$AJ90,'Технический лист'!$A:$B,2,1),(HH90-0.05)))</f>
        <v/>
      </c>
      <c r="HJ90" s="172">
        <f>MIN(1,MAX(VLOOKUP(($AJ90-$AI90-$AH90-$AG90-$AF90-$AE90*(1+HJ$3))/$AJ90,'Технический лист'!$A:$B,2,1),(HI90-0.05)))</f>
        <v/>
      </c>
      <c r="HK90" s="172">
        <f>MIN(1,MAX(VLOOKUP(($AJ90-$AI90-$AH90-$AG90-$AF90-$AE90*(1+HK$3))/$AJ90,'Технический лист'!$A:$B,2,1),(HJ90-0.05)))</f>
        <v/>
      </c>
      <c r="HL90" s="172">
        <f>MIN(1,MAX(VLOOKUP(($AJ90-$AI90-$AH90-$AG90-$AF90-$AE90*(1+HL$3))/$AJ90,'Технический лист'!$A:$B,2,1),(HK90-0.05)))</f>
        <v/>
      </c>
      <c r="HM90" s="172">
        <f>MIN(1,MAX(VLOOKUP(($AJ90-$AI90-$AH90-$AG90-$AF90-$AE90*(1+HM$3))/$AJ90,'Технический лист'!$A:$B,2,1),(HL90-0.05)))</f>
        <v/>
      </c>
      <c r="HN90" s="172">
        <f>MIN(1,MAX(VLOOKUP(($AJ90-$AI90-$AH90-$AG90-$AF90-$AE90*(1+HN$3))/$AJ90,'Технический лист'!$A:$B,2,1),(HM90-0.05)))</f>
        <v/>
      </c>
      <c r="HO90" s="172">
        <f>MIN(1,MAX(VLOOKUP(($AJ90-$AI90-$AH90-$AG90-$AF90-$AE90*(1+HO$3))/$AJ90,'Технический лист'!$A:$B,2,1),(HN90-0.05)))</f>
        <v/>
      </c>
      <c r="HP90" s="172">
        <f>MIN(1,MAX(VLOOKUP(($AJ90-$AI90-$AH90-$AG90-$AF90-$AE90*(1+HP$3))/$AJ90,'Технический лист'!$A:$B,2,1),(HO90-0.05)))</f>
        <v/>
      </c>
      <c r="HQ90" s="172">
        <f>MIN(1,MAX(VLOOKUP(($AJ90-$AI90-$AH90-$AG90-$AF90-$AE90*(1+HQ$3))/$AJ90,'Технический лист'!$A:$B,2,1),(HP90-0.05)))</f>
        <v/>
      </c>
      <c r="HR90" s="172">
        <f>MIN(1,MAX(VLOOKUP(($AJ90-$AI90-$AH90-$AG90-$AF90-$AE90*(1+HR$3))/$AJ90,'Технический лист'!$A:$B,2,1),(HQ90-0.05)))</f>
        <v/>
      </c>
      <c r="HS90" s="172">
        <f>MIN(1,MAX(VLOOKUP(($AJ90-$AI90-$AH90-$AG90-$AF90-$AE90*(1+HS$3))/$AJ90,'Технический лист'!$A:$B,2,1),(HR90-0.05)))</f>
        <v/>
      </c>
      <c r="HT90" s="172">
        <f>MIN(1,MAX(VLOOKUP(($AJ90-$AI90-$AH90-$AG90-$AF90-$AE90*(1+HT$3))/$AJ90,'Технический лист'!$A:$B,2,1),(HS90-0.05)))</f>
        <v/>
      </c>
      <c r="HU90" s="172">
        <f>MIN(1,MAX(VLOOKUP(($AJ90-$AI90-$AH90-$AG90-$AF90-$AE90*(1+HU$3))/$AJ90,'Технический лист'!$A:$B,2,1),(HT90-0.05)))</f>
        <v/>
      </c>
      <c r="HV90" s="172">
        <f>MIN(1,MAX(VLOOKUP(($AJ90-$AI90-$AH90-$AG90-$AF90-$AE90*(1+HV$3))/$AJ90,'Технический лист'!$A:$B,2,1),(HU90-0.05)))</f>
        <v/>
      </c>
      <c r="HW90" s="172">
        <f>MIN(1,MAX(VLOOKUP(($AJ90-$AI90-$AH90-$AG90-$AF90-$AE90*(1+HW$3))/$AJ90,'Технический лист'!$A:$B,2,1),(HV90-0.05)))</f>
        <v/>
      </c>
      <c r="HX90" s="172">
        <f>MIN(1,MAX(VLOOKUP(($AJ90-$AI90-$AH90-$AG90-$AF90-$AE90*(1+HX$3))/$AJ90,'Технический лист'!$A:$B,2,1),(HW90-0.05)))</f>
        <v/>
      </c>
      <c r="HY90" s="172">
        <f>MIN(1,MAX(VLOOKUP(($AJ90-$AI90-$AH90-$AG90-$AF90-$AE90*(1+HY$3))/$AJ90,'Технический лист'!$A:$B,2,1),(HX90-0.05)))</f>
        <v/>
      </c>
      <c r="HZ90" s="172">
        <f>MIN(1,MAX(VLOOKUP(($AJ90-$AI90-$AH90-$AG90-$AF90-$AE90*(1+HZ$3))/$AJ90,'Технический лист'!$A:$B,2,1),(HY90-0.05)))</f>
        <v/>
      </c>
      <c r="IA90" s="172">
        <f>MIN(1,MAX(VLOOKUP(($AJ90-$AI90-$AH90-$AG90-$AF90-$AE90*(1+IA$3))/$AJ90,'Технический лист'!$A:$B,2,1),(HZ90-0.05)))</f>
        <v/>
      </c>
      <c r="IB90" s="172">
        <f>MIN(1,MAX(VLOOKUP(($AJ90-$AI90-$AH90-$AG90-$AF90-$AE90*(1+IB$3))/$AJ90,'Технический лист'!$A:$B,2,1),(IA90-0.05)))</f>
        <v/>
      </c>
      <c r="IC90" s="172">
        <f>MIN(1,MAX(VLOOKUP(($AJ90-$AI90-$AH90-$AG90-$AF90-$AE90*(1+IC$3))/$AJ90,'Технический лист'!$A:$B,2,1),(IB90-0.05)))</f>
        <v/>
      </c>
      <c r="ID90" s="172">
        <f>MIN(1,MAX(VLOOKUP(($AJ90-$AI90-$AH90-$AG90-$AF90-$AE90*(1+ID$3))/$AJ90,'Технический лист'!$A:$B,2,1),(IC90-0.05)))</f>
        <v/>
      </c>
      <c r="IE90" s="172">
        <f>MIN(1,MAX(VLOOKUP(($AJ90-$AI90-$AH90-$AG90-$AF90-$AE90*(1+IE$3))/$AJ90,'Технический лист'!$A:$B,2,1),(ID90-0.05)))</f>
        <v/>
      </c>
      <c r="IF90" s="172">
        <f>MIN(1,MAX(VLOOKUP(($AJ90-$AI90-$AH90-$AG90-$AF90-$AE90*(1+IF$3))/$AJ90,'Технический лист'!$A:$B,2,1),(IE90-0.05)))</f>
        <v/>
      </c>
      <c r="IG90" s="172">
        <f>MIN(1,MAX(VLOOKUP(($AJ90-$AI90-$AH90-$AG90-$AF90-$AE90*(1+IG$3))/$AJ90,'Технический лист'!$A:$B,2,1),(IF90-0.05)))</f>
        <v/>
      </c>
      <c r="IH90" s="172">
        <f>MIN(1,MAX(VLOOKUP(($AJ90-$AI90-$AH90-$AG90-$AF90-$AE90*(1+IH$3))/$AJ90,'Технический лист'!$A:$B,2,1),(IG90-0.05)))</f>
        <v/>
      </c>
      <c r="II90" s="172">
        <f>MIN(1,MAX(VLOOKUP(($AJ90-$AI90-$AH90-$AG90-$AF90-$AE90*(1+II$3))/$AJ90,'Технический лист'!$A:$B,2,1),(IH90-0.05)))</f>
        <v/>
      </c>
      <c r="IJ90" s="172">
        <f>MIN(1,MAX(VLOOKUP(($AJ90-$AI90-$AH90-$AG90-$AF90-$AE90*(1+IJ$3))/$AJ90,'Технический лист'!$A:$B,2,1),(II90-0.05)))</f>
        <v/>
      </c>
      <c r="IK90" s="172">
        <f>MIN(1,MAX(VLOOKUP(($AJ90-$AI90-$AH90-$AG90-$AF90-$AE90*(1+IK$3))/$AJ90,'Технический лист'!$A:$B,2,1),(IJ90-0.05)))</f>
        <v/>
      </c>
      <c r="IL90" s="172">
        <f>MIN(1,MAX(VLOOKUP(($AJ90-$AI90-$AH90-$AG90-$AF90-$AE90*(1+IL$3))/$AJ90,'Технический лист'!$A:$B,2,1),(IK90-0.05)))</f>
        <v/>
      </c>
      <c r="IM90" s="172">
        <f>MIN(1,MAX(VLOOKUP(($AJ90-$AI90-$AH90-$AG90-$AF90-$AE90*(1+IM$3))/$AJ90,'Технический лист'!$A:$B,2,1),(IL90-0.05)))</f>
        <v/>
      </c>
      <c r="IN90" s="172">
        <f>MIN(1,MAX(VLOOKUP(($AJ90-$AI90-$AH90-$AG90-$AF90-$AE90*(1+IN$3))/$AJ90,'Технический лист'!$A:$B,2,1),(IM90-0.05)))</f>
        <v/>
      </c>
      <c r="IO90" s="172">
        <f>MIN(1,MAX(VLOOKUP(($AJ90-$AI90-$AH90-$AG90-$AF90-$AE90*(1+IO$3))/$AJ90,'Технический лист'!$A:$B,2,1),(IN90-0.05)))</f>
        <v/>
      </c>
      <c r="IP90" s="172">
        <f>MIN(1,MAX(VLOOKUP(($AJ90-$AI90-$AH90-$AG90-$AF90-$AE90*(1+IP$3))/$AJ90,'Технический лист'!$A:$B,2,1),(IO90-0.05)))</f>
        <v/>
      </c>
      <c r="IQ90" s="172">
        <f>MIN(1,MAX(VLOOKUP(($AJ90-$AI90-$AH90-$AG90-$AF90-$AE90*(1+IQ$3))/$AJ90,'Технический лист'!$A:$B,2,1),(IP90-0.05)))</f>
        <v/>
      </c>
      <c r="IR90" s="172">
        <f>MIN(1,MAX(VLOOKUP(($AJ90-$AI90-$AH90-$AG90-$AF90-$AE90*(1+IR$3))/$AJ90,'Технический лист'!$A:$B,2,1),(IQ90-0.05)))</f>
        <v/>
      </c>
    </row>
    <row r="91" ht="58.3" customHeight="1" s="123">
      <c r="A91" s="89" t="inlineStr">
        <is>
          <t>ЧМ (продукция)</t>
        </is>
      </c>
      <c r="B91" s="90" t="n">
        <v>5</v>
      </c>
      <c r="C91" s="5" t="inlineStr">
        <is>
          <t>Черные металлы</t>
        </is>
      </c>
      <c r="D91" s="91" t="n">
        <v>32411</v>
      </c>
      <c r="E91" s="91" t="inlineStr">
        <is>
          <t xml:space="preserve">Прокат черных металлов, не поименованный в алфавите </t>
        </is>
      </c>
      <c r="F91" s="92" t="inlineStr">
        <is>
          <t>ПРОЧИЕ ВИДЫ ПРОКАТА ЧЕРНЫ</t>
        </is>
      </c>
      <c r="G91" s="91" t="inlineStr">
        <is>
          <t>ЮВС</t>
        </is>
      </c>
      <c r="H91" s="91" t="inlineStr">
        <is>
          <t>МСК</t>
        </is>
      </c>
      <c r="I91" s="91" t="inlineStr">
        <is>
          <t>КОТЕЛ</t>
        </is>
      </c>
      <c r="J91" s="91" t="inlineStr">
        <is>
          <t>ТУЛА-ВЯЗ.</t>
        </is>
      </c>
      <c r="K91" s="91" t="n">
        <v>449</v>
      </c>
      <c r="L91" s="91" t="inlineStr">
        <is>
          <t>Полувагоны</t>
        </is>
      </c>
      <c r="M91" s="91" t="inlineStr">
        <is>
          <t>Внутр. перевозки</t>
        </is>
      </c>
      <c r="N91" s="91" t="inlineStr">
        <is>
          <t>вагонная</t>
        </is>
      </c>
      <c r="O91" s="91" t="inlineStr">
        <is>
          <t xml:space="preserve">Северо-Западное </t>
        </is>
      </c>
      <c r="P91" s="89" t="inlineStr">
        <is>
          <t>'000000187895</t>
        </is>
      </c>
      <c r="Q91" s="91" t="inlineStr">
        <is>
          <t>'ОАО "Оскольский электрометаллургический комбинат"</t>
        </is>
      </c>
      <c r="R91" s="91" t="inlineStr">
        <is>
          <t>ООО УК "Металлоинвест"</t>
        </is>
      </c>
      <c r="S91" s="87" t="n">
        <v>77230</v>
      </c>
      <c r="T91" s="87" t="n">
        <v>34655582</v>
      </c>
      <c r="U91" s="88" t="n">
        <v>1144</v>
      </c>
      <c r="V91" s="88" t="n">
        <v>0</v>
      </c>
      <c r="W91" s="87" t="n">
        <v>91722590</v>
      </c>
      <c r="X91" s="112" t="n">
        <v>67</v>
      </c>
      <c r="Y91" s="112" t="inlineStr">
        <is>
          <t>групповая</t>
        </is>
      </c>
      <c r="Z91" s="113" t="n">
        <v>5</v>
      </c>
      <c r="AA91" s="113" t="n">
        <v>4</v>
      </c>
      <c r="AB91" s="113" t="n">
        <v>4</v>
      </c>
      <c r="AC91" s="161" t="n">
        <v>1310.34</v>
      </c>
      <c r="AD91" s="161">
        <f>AE91-AC91</f>
        <v/>
      </c>
      <c r="AE91" s="161" t="n">
        <v>1456.42</v>
      </c>
      <c r="AF91" s="162">
        <f>(Z91+AA91+AB91)*'Ставки аренды'!$B$3/X91</f>
        <v/>
      </c>
      <c r="AG91" s="163" t="n">
        <v>0</v>
      </c>
      <c r="AH91" s="164" t="n">
        <v>0</v>
      </c>
      <c r="AI91" s="165">
        <f>240828/411356*AVERAGE(AJ91,AJ93)</f>
        <v/>
      </c>
      <c r="AJ91" s="166">
        <f>Цены!D23</f>
        <v/>
      </c>
      <c r="AK91" s="164">
        <f>AJ91/Цены!$B$1</f>
        <v/>
      </c>
      <c r="AL91" s="164">
        <f>AE91+AF91+AG91</f>
        <v/>
      </c>
      <c r="AM91" s="164">
        <f>AJ91-AL91</f>
        <v/>
      </c>
      <c r="AN91" s="164">
        <f>AI91+AH91+AG91+AF91+AE91</f>
        <v/>
      </c>
      <c r="AO91" s="167">
        <f>(AJ91-AN91)/AJ91</f>
        <v/>
      </c>
      <c r="AP91" s="168">
        <f>AL91/AJ91</f>
        <v/>
      </c>
      <c r="AQ91" s="168">
        <f>AE91/AJ91</f>
        <v/>
      </c>
      <c r="AR91" s="168">
        <f>AE91/AL91</f>
        <v/>
      </c>
      <c r="AS91" s="169" t="n">
        <v>1</v>
      </c>
      <c r="AT91" s="121">
        <f>S91*AS91</f>
        <v/>
      </c>
      <c r="AU91" s="83" t="n">
        <v>0.9</v>
      </c>
      <c r="AV91" s="170">
        <f>(AJ91-(AE91*(1+$IS$2)+AF91+AG91+AH91+AI91))/AJ91</f>
        <v/>
      </c>
      <c r="AW91" s="171">
        <f>(AE91*(1+$IS$2)+AF91+AG91)/AJ91</f>
        <v/>
      </c>
      <c r="AX91" s="171">
        <f>(AE91*(1+$IS$2))/AJ91</f>
        <v/>
      </c>
      <c r="AY91" s="171">
        <f>(AE91*(1+$IS$2))/(AE91*(1+$IS$2)+AF91+AG91)</f>
        <v/>
      </c>
      <c r="AZ91" s="172">
        <f>MIN(IF($AU91=100%,1,1+VLOOKUP(($AJ91-$AI91-$AH91-$AG91-$AF91-$AE91*(1+AZ$3))/$AJ91,'Технический лист'!$I:$J,2,1)-VLOOKUP($AO91,'Технический лист'!$I:$J,2,1)),1+(1-$AU91))</f>
        <v/>
      </c>
      <c r="BA91" s="172">
        <f>MIN(IF($AU91=100%,1,1+VLOOKUP(($AJ91-$AI91-$AH91-$AG91-$AF91-$AE91*(1+BA$3))/$AJ91,'Технический лист'!$I:$J,2,1)-VLOOKUP($AO91,'Технический лист'!$I:$J,2,1)),1+(1-$AU91))</f>
        <v/>
      </c>
      <c r="BB91" s="172">
        <f>MIN(IF($AU91=100%,1,1+VLOOKUP(($AJ91-$AI91-$AH91-$AG91-$AF91-$AE91*(1+BB$3))/$AJ91,'Технический лист'!$I:$J,2,1)-VLOOKUP($AO91,'Технический лист'!$I:$J,2,1)),1+(1-$AU91))</f>
        <v/>
      </c>
      <c r="BC91" s="172">
        <f>MIN(IF($AU91=100%,1,1+VLOOKUP(($AJ91-$AI91-$AH91-$AG91-$AF91-$AE91*(1+BC$3))/$AJ91,'Технический лист'!$I:$J,2,1)-VLOOKUP($AO91,'Технический лист'!$I:$J,2,1)),1+(1-$AU91))</f>
        <v/>
      </c>
      <c r="BD91" s="172">
        <f>MIN(IF($AU91=100%,1,1+VLOOKUP(($AJ91-$AI91-$AH91-$AG91-$AF91-$AE91*(1+BD$3))/$AJ91,'Технический лист'!$I:$J,2,1)-VLOOKUP($AO91,'Технический лист'!$I:$J,2,1)),1+(1-$AU91))</f>
        <v/>
      </c>
      <c r="BE91" s="172">
        <f>MIN(IF($AU91=100%,1,1+VLOOKUP(($AJ91-$AI91-$AH91-$AG91-$AF91-$AE91*(1+BE$3))/$AJ91,'Технический лист'!$I:$J,2,1)-VLOOKUP($AO91,'Технический лист'!$I:$J,2,1)),1+(1-$AU91))</f>
        <v/>
      </c>
      <c r="BF91" s="172">
        <f>MIN(IF($AU91=100%,1,1+VLOOKUP(($AJ91-$AI91-$AH91-$AG91-$AF91-$AE91*(1+BF$3))/$AJ91,'Технический лист'!$I:$J,2,1)-VLOOKUP($AO91,'Технический лист'!$I:$J,2,1)),1+(1-$AU91))</f>
        <v/>
      </c>
      <c r="BG91" s="172">
        <f>MIN(IF($AU91=100%,1,1+VLOOKUP(($AJ91-$AI91-$AH91-$AG91-$AF91-$AE91*(1+BG$3))/$AJ91,'Технический лист'!$I:$J,2,1)-VLOOKUP($AO91,'Технический лист'!$I:$J,2,1)),1+(1-$AU91))</f>
        <v/>
      </c>
      <c r="BH91" s="172">
        <f>MIN(IF($AU91=100%,1,1+VLOOKUP(($AJ91-$AI91-$AH91-$AG91-$AF91-$AE91*(1+BH$3))/$AJ91,'Технический лист'!$I:$J,2,1)-VLOOKUP($AO91,'Технический лист'!$I:$J,2,1)),1+(1-$AU91))</f>
        <v/>
      </c>
      <c r="BI91" s="172">
        <f>MIN(IF($AU91=100%,1,1+VLOOKUP(($AJ91-$AI91-$AH91-$AG91-$AF91-$AE91*(1+BI$3))/$AJ91,'Технический лист'!$I:$J,2,1)-VLOOKUP($AO91,'Технический лист'!$I:$J,2,1)),1+(1-$AU91))</f>
        <v/>
      </c>
      <c r="BJ91" s="172">
        <f>MIN(IF($AU91=100%,1,1+VLOOKUP(($AJ91-$AI91-$AH91-$AG91-$AF91-$AE91*(1+BJ$3))/$AJ91,'Технический лист'!$I:$J,2,1)-VLOOKUP($AO91,'Технический лист'!$I:$J,2,1)),1+(1-$AU91))</f>
        <v/>
      </c>
      <c r="BK91" s="172">
        <f>MIN(IF($AU91=100%,1,1+VLOOKUP(($AJ91-$AI91-$AH91-$AG91-$AF91-$AE91*(1+BK$3))/$AJ91,'Технический лист'!$I:$J,2,1)-VLOOKUP($AO91,'Технический лист'!$I:$J,2,1)),1+(1-$AU91))</f>
        <v/>
      </c>
      <c r="BL91" s="172">
        <f>MIN(IF($AU91=100%,1,1+VLOOKUP(($AJ91-$AI91-$AH91-$AG91-$AF91-$AE91*(1+BL$3))/$AJ91,'Технический лист'!$I:$J,2,1)-VLOOKUP($AO91,'Технический лист'!$I:$J,2,1)),1+(1-$AU91))</f>
        <v/>
      </c>
      <c r="BM91" s="172">
        <f>MIN(IF($AU91=100%,1,1+VLOOKUP(($AJ91-$AI91-$AH91-$AG91-$AF91-$AE91*(1+BM$3))/$AJ91,'Технический лист'!$I:$J,2,1)-VLOOKUP($AO91,'Технический лист'!$I:$J,2,1)),1+(1-$AU91))</f>
        <v/>
      </c>
      <c r="BN91" s="172">
        <f>MIN(IF($AU91=100%,1,1+VLOOKUP(($AJ91-$AI91-$AH91-$AG91-$AF91-$AE91*(1+BN$3))/$AJ91,'Технический лист'!$I:$J,2,1)-VLOOKUP($AO91,'Технический лист'!$I:$J,2,1)),1+(1-$AU91))</f>
        <v/>
      </c>
      <c r="BO91" s="172">
        <f>MIN(IF($AU91=100%,1,1+VLOOKUP(($AJ91-$AI91-$AH91-$AG91-$AF91-$AE91*(1+BO$3))/$AJ91,'Технический лист'!$I:$J,2,1)-VLOOKUP($AO91,'Технический лист'!$I:$J,2,1)),1+(1-$AU91))</f>
        <v/>
      </c>
      <c r="BP91" s="172">
        <f>MIN(IF($AU91=100%,1,1+VLOOKUP(($AJ91-$AI91-$AH91-$AG91-$AF91-$AE91*(1+BP$3))/$AJ91,'Технический лист'!$I:$J,2,1)-VLOOKUP($AO91,'Технический лист'!$I:$J,2,1)),1+(1-$AU91))</f>
        <v/>
      </c>
      <c r="BQ91" s="172">
        <f>MIN(IF($AU91=100%,1,1+VLOOKUP(($AJ91-$AI91-$AH91-$AG91-$AF91-$AE91*(1+BQ$3))/$AJ91,'Технический лист'!$I:$J,2,1)-VLOOKUP($AO91,'Технический лист'!$I:$J,2,1)),1+(1-$AU91))</f>
        <v/>
      </c>
      <c r="BR91" s="172">
        <f>MIN(IF($AU91=100%,1,1+VLOOKUP(($AJ91-$AI91-$AH91-$AG91-$AF91-$AE91*(1+BR$3))/$AJ91,'Технический лист'!$I:$J,2,1)-VLOOKUP($AO91,'Технический лист'!$I:$J,2,1)),1+(1-$AU91))</f>
        <v/>
      </c>
      <c r="BS91" s="172">
        <f>MIN(IF($AU91=100%,1,1+VLOOKUP(($AJ91-$AI91-$AH91-$AG91-$AF91-$AE91*(1+BS$3))/$AJ91,'Технический лист'!$I:$J,2,1)-VLOOKUP($AO91,'Технический лист'!$I:$J,2,1)),1+(1-$AU91))</f>
        <v/>
      </c>
      <c r="BT91" s="172">
        <f>MIN(IF($AU91=100%,1,1+VLOOKUP(($AJ91-$AI91-$AH91-$AG91-$AF91-$AE91*(1+BT$3))/$AJ91,'Технический лист'!$I:$J,2,1)-VLOOKUP($AO91,'Технический лист'!$I:$J,2,1)),1+(1-$AU91))</f>
        <v/>
      </c>
      <c r="BU91" s="172">
        <f>MIN(IF($AU91=100%,1,1+VLOOKUP(($AJ91-$AI91-$AH91-$AG91-$AF91-$AE91*(1+BU$3))/$AJ91,'Технический лист'!$I:$J,2,1)-VLOOKUP($AO91,'Технический лист'!$I:$J,2,1)),1+(1-$AU91))</f>
        <v/>
      </c>
      <c r="BV91" s="172">
        <f>MIN(IF($AU91=100%,1,1+VLOOKUP(($AJ91-$AI91-$AH91-$AG91-$AF91-$AE91*(1+BV$3))/$AJ91,'Технический лист'!$I:$J,2,1)-VLOOKUP($AO91,'Технический лист'!$I:$J,2,1)),1+(1-$AU91))</f>
        <v/>
      </c>
      <c r="BW91" s="172">
        <f>MIN(IF($AU91=100%,1,1+VLOOKUP(($AJ91-$AI91-$AH91-$AG91-$AF91-$AE91*(1+BW$3))/$AJ91,'Технический лист'!$I:$J,2,1)-VLOOKUP($AO91,'Технический лист'!$I:$J,2,1)),1+(1-$AU91))</f>
        <v/>
      </c>
      <c r="BX91" s="172">
        <f>MIN(IF($AU91=100%,1,1+VLOOKUP(($AJ91-$AI91-$AH91-$AG91-$AF91-$AE91*(1+BX$3))/$AJ91,'Технический лист'!$I:$J,2,1)-VLOOKUP($AO91,'Технический лист'!$I:$J,2,1)),1+(1-$AU91))</f>
        <v/>
      </c>
      <c r="BY91" s="172">
        <f>MIN(IF($AU91=100%,1,1+VLOOKUP(($AJ91-$AI91-$AH91-$AG91-$AF91-$AE91*(1+BY$3))/$AJ91,'Технический лист'!$I:$J,2,1)-VLOOKUP($AO91,'Технический лист'!$I:$J,2,1)),1+(1-$AU91))</f>
        <v/>
      </c>
      <c r="BZ91" s="172">
        <f>MIN(IF($AU91=100%,1,1+VLOOKUP(($AJ91-$AI91-$AH91-$AG91-$AF91-$AE91*(1+BZ$3))/$AJ91,'Технический лист'!$I:$J,2,1)-VLOOKUP($AO91,'Технический лист'!$I:$J,2,1)),1+(1-$AU91))</f>
        <v/>
      </c>
      <c r="CA91" s="172">
        <f>MIN(IF($AU91=100%,1,1+VLOOKUP(($AJ91-$AI91-$AH91-$AG91-$AF91-$AE91*(1+CA$3))/$AJ91,'Технический лист'!$I:$J,2,1)-VLOOKUP($AO91,'Технический лист'!$I:$J,2,1)),1+(1-$AU91))</f>
        <v/>
      </c>
      <c r="CB91" s="172">
        <f>MIN(IF($AU91=100%,1,1+VLOOKUP(($AJ91-$AI91-$AH91-$AG91-$AF91-$AE91*(1+CB$3))/$AJ91,'Технический лист'!$I:$J,2,1)-VLOOKUP($AO91,'Технический лист'!$I:$J,2,1)),1+(1-$AU91))</f>
        <v/>
      </c>
      <c r="CC91" s="172">
        <f>MIN(IF($AU91=100%,1,1+VLOOKUP(($AJ91-$AI91-$AH91-$AG91-$AF91-$AE91*(1+CC$3))/$AJ91,'Технический лист'!$I:$J,2,1)-VLOOKUP($AO91,'Технический лист'!$I:$J,2,1)),1+(1-$AU91))</f>
        <v/>
      </c>
      <c r="CD91" s="172">
        <f>MIN(IF($AU91=100%,1,1+VLOOKUP(($AJ91-$AI91-$AH91-$AG91-$AF91-$AE91*(1+CD$3))/$AJ91,'Технический лист'!$I:$J,2,1)-VLOOKUP($AO91,'Технический лист'!$I:$J,2,1)),1+(1-$AU91))</f>
        <v/>
      </c>
      <c r="CE91" s="172">
        <f>MIN(IF($AU91=100%,1,1+VLOOKUP(($AJ91-$AI91-$AH91-$AG91-$AF91-$AE91*(1+CE$3))/$AJ91,'Технический лист'!$I:$J,2,1)-VLOOKUP($AO91,'Технический лист'!$I:$J,2,1)),1+(1-$AU91))</f>
        <v/>
      </c>
      <c r="CF91" s="172">
        <f>MIN(IF($AU91=100%,1,1+VLOOKUP(($AJ91-$AI91-$AH91-$AG91-$AF91-$AE91*(1+CF$3))/$AJ91,'Технический лист'!$I:$J,2,1)-VLOOKUP($AO91,'Технический лист'!$I:$J,2,1)),1+(1-$AU91))</f>
        <v/>
      </c>
      <c r="CG91" s="172">
        <f>MIN(IF($AU91=100%,1,1+VLOOKUP(($AJ91-$AI91-$AH91-$AG91-$AF91-$AE91*(1+CG$3))/$AJ91,'Технический лист'!$I:$J,2,1)-VLOOKUP($AO91,'Технический лист'!$I:$J,2,1)),1+(1-$AU91))</f>
        <v/>
      </c>
      <c r="CH91" s="172">
        <f>MIN(IF($AU91=100%,1,1+VLOOKUP(($AJ91-$AI91-$AH91-$AG91-$AF91-$AE91*(1+CH$3))/$AJ91,'Технический лист'!$I:$J,2,1)-VLOOKUP($AO91,'Технический лист'!$I:$J,2,1)),1+(1-$AU91))</f>
        <v/>
      </c>
      <c r="CI91" s="172">
        <f>MIN(IF($AU91=100%,1,1+VLOOKUP(($AJ91-$AI91-$AH91-$AG91-$AF91-$AE91*(1+CI$3))/$AJ91,'Технический лист'!$I:$J,2,1)-VLOOKUP($AO91,'Технический лист'!$I:$J,2,1)),1+(1-$AU91))</f>
        <v/>
      </c>
      <c r="CJ91" s="172">
        <f>MIN(IF($AU91=100%,1,1+VLOOKUP(($AJ91-$AI91-$AH91-$AG91-$AF91-$AE91*(1+CJ$3))/$AJ91,'Технический лист'!$I:$J,2,1)-VLOOKUP($AO91,'Технический лист'!$I:$J,2,1)),1+(1-$AU91))</f>
        <v/>
      </c>
      <c r="CK91" s="172">
        <f>MIN(IF($AU91=100%,1,1+VLOOKUP(($AJ91-$AI91-$AH91-$AG91-$AF91-$AE91*(1+CK$3))/$AJ91,'Технический лист'!$I:$J,2,1)-VLOOKUP($AO91,'Технический лист'!$I:$J,2,1)),1+(1-$AU91))</f>
        <v/>
      </c>
      <c r="CL91" s="172">
        <f>MIN(IF($AU91=100%,1,1+VLOOKUP(($AJ91-$AI91-$AH91-$AG91-$AF91-$AE91*(1+CL$3))/$AJ91,'Технический лист'!$I:$J,2,1)-VLOOKUP($AO91,'Технический лист'!$I:$J,2,1)),1+(1-$AU91))</f>
        <v/>
      </c>
      <c r="CM91" s="172">
        <f>MIN(IF($AU91=100%,1,1+VLOOKUP(($AJ91-$AI91-$AH91-$AG91-$AF91-$AE91*(1+CM$3))/$AJ91,'Технический лист'!$I:$J,2,1)-VLOOKUP($AO91,'Технический лист'!$I:$J,2,1)),1+(1-$AU91))</f>
        <v/>
      </c>
      <c r="CN91" s="172">
        <f>MIN(IF($AU91=100%,1,1+VLOOKUP(($AJ91-$AI91-$AH91-$AG91-$AF91-$AE91*(1+CN$3))/$AJ91,'Технический лист'!$I:$J,2,1)-VLOOKUP($AO91,'Технический лист'!$I:$J,2,1)),1+(1-$AU91))</f>
        <v/>
      </c>
      <c r="CO91" s="172">
        <f>MIN(IF($AU91=100%,1,1+VLOOKUP(($AJ91-$AI91-$AH91-$AG91-$AF91-$AE91*(1+CO$3))/$AJ91,'Технический лист'!$I:$J,2,1)-VLOOKUP($AO91,'Технический лист'!$I:$J,2,1)),1+(1-$AU91))</f>
        <v/>
      </c>
      <c r="CP91" s="172">
        <f>MIN(IF($AU91=100%,1,1+VLOOKUP(($AJ91-$AI91-$AH91-$AG91-$AF91-$AE91*(1+CP$3))/$AJ91,'Технический лист'!$I:$J,2,1)-VLOOKUP($AO91,'Технический лист'!$I:$J,2,1)),1+(1-$AU91))</f>
        <v/>
      </c>
      <c r="CQ91" s="172">
        <f>MIN(IF($AU91=100%,1,1+VLOOKUP(($AJ91-$AI91-$AH91-$AG91-$AF91-$AE91*(1+CQ$3))/$AJ91,'Технический лист'!$I:$J,2,1)-VLOOKUP($AO91,'Технический лист'!$I:$J,2,1)),1+(1-$AU91))</f>
        <v/>
      </c>
      <c r="CR91" s="172">
        <f>MIN(IF($AU91=100%,1,1+VLOOKUP(($AJ91-$AI91-$AH91-$AG91-$AF91-$AE91*(1+CR$3))/$AJ91,'Технический лист'!$I:$J,2,1)-VLOOKUP($AO91,'Технический лист'!$I:$J,2,1)),1+(1-$AU91))</f>
        <v/>
      </c>
      <c r="CS91" s="172">
        <f>MIN(IF($AU91=100%,1,1+VLOOKUP(($AJ91-$AI91-$AH91-$AG91-$AF91-$AE91*(1+CS$3))/$AJ91,'Технический лист'!$I:$J,2,1)-VLOOKUP($AO91,'Технический лист'!$I:$J,2,1)),1+(1-$AU91))</f>
        <v/>
      </c>
      <c r="CT91" s="172">
        <f>MIN(IF($AU91=100%,1,1+VLOOKUP(($AJ91-$AI91-$AH91-$AG91-$AF91-$AE91*(1+CT$3))/$AJ91,'Технический лист'!$I:$J,2,1)-VLOOKUP($AO91,'Технический лист'!$I:$J,2,1)),1+(1-$AU91))</f>
        <v/>
      </c>
      <c r="CU91" s="172">
        <f>MIN(IF($AU91=100%,1,1+VLOOKUP(($AJ91-$AI91-$AH91-$AG91-$AF91-$AE91*(1+CU$3))/$AJ91,'Технический лист'!$I:$J,2,1)-VLOOKUP($AO91,'Технический лист'!$I:$J,2,1)),1+(1-$AU91))</f>
        <v/>
      </c>
      <c r="CV91" s="172">
        <f>MIN(IF($AU91=100%,1,1+VLOOKUP(($AJ91-$AI91-$AH91-$AG91-$AF91-$AE91*(1+CV$3))/$AJ91,'Технический лист'!$I:$J,2,1)-VLOOKUP($AO91,'Технический лист'!$I:$J,2,1)),1+(1-$AU91))</f>
        <v/>
      </c>
      <c r="CW91" s="172">
        <f>MIN(IF($AU91=100%,1,1+VLOOKUP(($AJ91-$AI91-$AH91-$AG91-$AF91-$AE91*(1+CW$3))/$AJ91,'Технический лист'!$I:$J,2,1)-VLOOKUP($AO91,'Технический лист'!$I:$J,2,1)),1+(1-$AU91))</f>
        <v/>
      </c>
      <c r="CX91" s="172">
        <f>MIN(IF($AU91=100%,1,1+VLOOKUP(($AJ91-$AI91-$AH91-$AG91-$AF91-$AE91*(1+CX$3))/$AJ91,'Технический лист'!$I:$J,2,1)-VLOOKUP($AO91,'Технический лист'!$I:$J,2,1)),1+(1-$AU91))</f>
        <v/>
      </c>
      <c r="CY91" s="172">
        <f>MIN(IF($AU91=100%,1,1+VLOOKUP(($AJ91-$AI91-$AH91-$AG91-$AF91-$AE91*(1+CY$3))/$AJ91,'Технический лист'!$I:$J,2,1)-VLOOKUP($AO91,'Технический лист'!$I:$J,2,1)),1+(1-$AU91))</f>
        <v/>
      </c>
      <c r="CZ91" s="172">
        <f>MIN(IF($AU91=100%,1,1+VLOOKUP(($AJ91-$AI91-$AH91-$AG91-$AF91-$AE91*(1+CZ$3))/$AJ91,'Технический лист'!$I:$J,2,1)-VLOOKUP($AO91,'Технический лист'!$I:$J,2,1)),1+(1-$AU91))</f>
        <v/>
      </c>
      <c r="DA91" s="172">
        <f>MIN(IF($AU91=100%,1,1+VLOOKUP(($AJ91-$AI91-$AH91-$AG91-$AF91-$AE91*(1+DA$3))/$AJ91,'Технический лист'!$I:$J,2,1)-VLOOKUP($AO91,'Технический лист'!$I:$J,2,1)),1+(1-$AU91))</f>
        <v/>
      </c>
      <c r="DB91" s="172">
        <f>MIN(IF($AU91=100%,1,1+VLOOKUP(($AJ91-$AI91-$AH91-$AG91-$AF91-$AE91*(1+DB$3))/$AJ91,'Технический лист'!$I:$J,2,1)-VLOOKUP($AO91,'Технический лист'!$I:$J,2,1)),1+(1-$AU91))</f>
        <v/>
      </c>
      <c r="DC91" s="172">
        <f>MIN(IF($AU91=100%,1,1+VLOOKUP(($AJ91-$AI91-$AH91-$AG91-$AF91-$AE91*(1+DC$3))/$AJ91,'Технический лист'!$I:$J,2,1)-VLOOKUP($AO91,'Технический лист'!$I:$J,2,1)),1+(1-$AU91))</f>
        <v/>
      </c>
      <c r="DD91" s="172">
        <f>MIN(IF($AU91=100%,1,1+VLOOKUP(($AJ91-$AI91-$AH91-$AG91-$AF91-$AE91*(1+DD$3))/$AJ91,'Технический лист'!$I:$J,2,1)-VLOOKUP($AO91,'Технический лист'!$I:$J,2,1)),1+(1-$AU91))</f>
        <v/>
      </c>
      <c r="DE91" s="172">
        <f>MIN(IF($AU91=100%,1,1+VLOOKUP(($AJ91-$AI91-$AH91-$AG91-$AF91-$AE91*(1+DE$3))/$AJ91,'Технический лист'!$I:$J,2,1)-VLOOKUP($AO91,'Технический лист'!$I:$J,2,1)),1+(1-$AU91))</f>
        <v/>
      </c>
      <c r="DF91" s="172">
        <f>MIN(IF($AU91=100%,1,1+VLOOKUP(($AJ91-$AI91-$AH91-$AG91-$AF91-$AE91*(1+DF$3))/$AJ91,'Технический лист'!$I:$J,2,1)-VLOOKUP($AO91,'Технический лист'!$I:$J,2,1)),1+(1-$AU91))</f>
        <v/>
      </c>
      <c r="DG91" s="172">
        <f>MIN(IF($AU91=100%,1,1+VLOOKUP(($AJ91-$AI91-$AH91-$AG91-$AF91-$AE91*(1+DG$3))/$AJ91,'Технический лист'!$I:$J,2,1)-VLOOKUP($AO91,'Технический лист'!$I:$J,2,1)),1+(1-$AU91))</f>
        <v/>
      </c>
      <c r="DH91" s="172">
        <f>MIN(IF($AU91=100%,1,1+VLOOKUP(($AJ91-$AI91-$AH91-$AG91-$AF91-$AE91*(1+DH$3))/$AJ91,'Технический лист'!$I:$J,2,1)-VLOOKUP($AO91,'Технический лист'!$I:$J,2,1)),1+(1-$AU91))</f>
        <v/>
      </c>
      <c r="DI91" s="172">
        <f>MIN(IF($AU91=100%,1,1+VLOOKUP(($AJ91-$AI91-$AH91-$AG91-$AF91-$AE91*(1+DI$3))/$AJ91,'Технический лист'!$I:$J,2,1)-VLOOKUP($AO91,'Технический лист'!$I:$J,2,1)),1+(1-$AU91))</f>
        <v/>
      </c>
      <c r="DJ91" s="172">
        <f>MIN(IF($AU91=100%,1,1+VLOOKUP(($AJ91-$AI91-$AH91-$AG91-$AF91-$AE91*(1+DJ$3))/$AJ91,'Технический лист'!$I:$J,2,1)-VLOOKUP($AO91,'Технический лист'!$I:$J,2,1)),1+(1-$AU91))</f>
        <v/>
      </c>
      <c r="DK91" s="172">
        <f>MIN(IF($AU91=100%,1,1+VLOOKUP(($AJ91-$AI91-$AH91-$AG91-$AF91-$AE91*(1+DK$3))/$AJ91,'Технический лист'!$I:$J,2,1)-VLOOKUP($AO91,'Технический лист'!$I:$J,2,1)),1+(1-$AU91))</f>
        <v/>
      </c>
      <c r="DL91" s="172">
        <f>MIN(IF($AU91=100%,1,1+VLOOKUP(($AJ91-$AI91-$AH91-$AG91-$AF91-$AE91*(1+DL$3))/$AJ91,'Технический лист'!$I:$J,2,1)-VLOOKUP($AO91,'Технический лист'!$I:$J,2,1)),1+(1-$AU91))</f>
        <v/>
      </c>
      <c r="DM91" s="172">
        <f>MIN(IF($AU91=100%,1,1+VLOOKUP(($AJ91-$AI91-$AH91-$AG91-$AF91-$AE91*(1+DM$3))/$AJ91,'Технический лист'!$I:$J,2,1)-VLOOKUP($AO91,'Технический лист'!$I:$J,2,1)),1+(1-$AU91))</f>
        <v/>
      </c>
      <c r="DN91" s="172">
        <f>MIN(IF($AU91=100%,1,1+VLOOKUP(($AJ91-$AI91-$AH91-$AG91-$AF91-$AE91*(1+DN$3))/$AJ91,'Технический лист'!$I:$J,2,1)-VLOOKUP($AO91,'Технический лист'!$I:$J,2,1)),1+(1-$AU91))</f>
        <v/>
      </c>
      <c r="DO91" s="172">
        <f>MIN(IF($AU91=100%,1,1+VLOOKUP(($AJ91-$AI91-$AH91-$AG91-$AF91-$AE91*(1+DO$3))/$AJ91,'Технический лист'!$I:$J,2,1)-VLOOKUP($AO91,'Технический лист'!$I:$J,2,1)),1+(1-$AU91))</f>
        <v/>
      </c>
      <c r="DP91" s="172">
        <f>MIN(IF($AU91=100%,1,1+VLOOKUP(($AJ91-$AI91-$AH91-$AG91-$AF91-$AE91*(1+DP$3))/$AJ91,'Технический лист'!$I:$J,2,1)-VLOOKUP($AO91,'Технический лист'!$I:$J,2,1)),1+(1-$AU91))</f>
        <v/>
      </c>
      <c r="DQ91" s="172">
        <f>MIN(IF($AU91=100%,1,1+VLOOKUP(($AJ91-$AI91-$AH91-$AG91-$AF91-$AE91*(1+DQ$3))/$AJ91,'Технический лист'!$I:$J,2,1)-VLOOKUP($AO91,'Технический лист'!$I:$J,2,1)),1+(1-$AU91))</f>
        <v/>
      </c>
      <c r="DR91" s="172">
        <f>MIN(IF($AU91=100%,1,1+VLOOKUP(($AJ91-$AI91-$AH91-$AG91-$AF91-$AE91*(1+DR$3))/$AJ91,'Технический лист'!$I:$J,2,1)-VLOOKUP($AO91,'Технический лист'!$I:$J,2,1)),1+(1-$AU91))</f>
        <v/>
      </c>
      <c r="DS91" s="172">
        <f>MIN(IF($AU91=100%,1,1+VLOOKUP(($AJ91-$AI91-$AH91-$AG91-$AF91-$AE91*(1+DS$3))/$AJ91,'Технический лист'!$I:$J,2,1)-VLOOKUP($AO91,'Технический лист'!$I:$J,2,1)),1+(1-$AU91))</f>
        <v/>
      </c>
      <c r="DT91" s="172">
        <f>MIN(IF($AU91=100%,1,1+VLOOKUP(($AJ91-$AI91-$AH91-$AG91-$AF91-$AE91*(1+DT$3))/$AJ91,'Технический лист'!$I:$J,2,1)-VLOOKUP($AO91,'Технический лист'!$I:$J,2,1)),1+(1-$AU91))</f>
        <v/>
      </c>
      <c r="DU91" s="172">
        <f>MIN(IF($AU91=100%,1,1+VLOOKUP(($AJ91-$AI91-$AH91-$AG91-$AF91-$AE91*(1+DU$3))/$AJ91,'Технический лист'!$I:$J,2,1)-VLOOKUP($AO91,'Технический лист'!$I:$J,2,1)),1+(1-$AU91))</f>
        <v/>
      </c>
      <c r="DV91" s="172">
        <f>MIN(IF($AU91=100%,1,1+VLOOKUP(($AJ91-$AI91-$AH91-$AG91-$AF91-$AE91*(1+DV$3))/$AJ91,'Технический лист'!$I:$J,2,1)-VLOOKUP($AO91,'Технический лист'!$I:$J,2,1)),1+(1-$AU91))</f>
        <v/>
      </c>
      <c r="DW91" s="172">
        <f>MIN(IF($AU91=100%,1,1+VLOOKUP(($AJ91-$AI91-$AH91-$AG91-$AF91-$AE91*(1+DW$3))/$AJ91,'Технический лист'!$I:$J,2,1)-VLOOKUP($AO91,'Технический лист'!$I:$J,2,1)),1+(1-$AU91))</f>
        <v/>
      </c>
      <c r="DX91" s="172">
        <f>MIN(IF($AU91=100%,1,1+VLOOKUP(($AJ91-$AI91-$AH91-$AG91-$AF91-$AE91*(1+DX$3))/$AJ91,'Технический лист'!$I:$J,2,1)-VLOOKUP($AO91,'Технический лист'!$I:$J,2,1)),1+(1-$AU91))</f>
        <v/>
      </c>
      <c r="DY91" s="172">
        <f>MIN(IF($AU91=100%,1,1+VLOOKUP(($AJ91-$AI91-$AH91-$AG91-$AF91-$AE91*(1+DY$3))/$AJ91,'Технический лист'!$I:$J,2,1)-VLOOKUP($AO91,'Технический лист'!$I:$J,2,1)),1+(1-$AU91))</f>
        <v/>
      </c>
      <c r="DZ91" s="172">
        <f>MIN(IF($AU91=100%,1,1+VLOOKUP(($AJ91-$AI91-$AH91-$AG91-$AF91-$AE91*(1+DZ$3))/$AJ91,'Технический лист'!$I:$J,2,1)-VLOOKUP($AO91,'Технический лист'!$I:$J,2,1)),1+(1-$AU91))</f>
        <v/>
      </c>
      <c r="EA91" s="172">
        <f>MIN(IF($AU91=100%,1,1+VLOOKUP(($AJ91-$AI91-$AH91-$AG91-$AF91-$AE91*(1+EA$3))/$AJ91,'Технический лист'!$I:$J,2,1)-VLOOKUP($AO91,'Технический лист'!$I:$J,2,1)),1+(1-$AU91))</f>
        <v/>
      </c>
      <c r="EB91" s="172">
        <f>MIN(IF($AU91=100%,1,1+VLOOKUP(($AJ91-$AI91-$AH91-$AG91-$AF91-$AE91*(1+EB$3))/$AJ91,'Технический лист'!$I:$J,2,1)-VLOOKUP($AO91,'Технический лист'!$I:$J,2,1)),1+(1-$AU91))</f>
        <v/>
      </c>
      <c r="EC91" s="172">
        <f>MIN(IF($AU91=100%,1,1+VLOOKUP(($AJ91-$AI91-$AH91-$AG91-$AF91-$AE91*(1+EC$3))/$AJ91,'Технический лист'!$I:$J,2,1)-VLOOKUP($AO91,'Технический лист'!$I:$J,2,1)),1+(1-$AU91))</f>
        <v/>
      </c>
      <c r="ED91" s="172">
        <f>MIN(IF($AU91=100%,1,1+VLOOKUP(($AJ91-$AI91-$AH91-$AG91-$AF91-$AE91*(1+ED$3))/$AJ91,'Технический лист'!$I:$J,2,1)-VLOOKUP($AO91,'Технический лист'!$I:$J,2,1)),1+(1-$AU91))</f>
        <v/>
      </c>
      <c r="EE91" s="172">
        <f>MIN(IF($AU91=100%,1,1+VLOOKUP(($AJ91-$AI91-$AH91-$AG91-$AF91-$AE91*(1+EE$3))/$AJ91,'Технический лист'!$I:$J,2,1)-VLOOKUP($AO91,'Технический лист'!$I:$J,2,1)),1+(1-$AU91))</f>
        <v/>
      </c>
      <c r="EF91" s="172">
        <f>MIN(IF($AU91=100%,1,1+VLOOKUP(($AJ91-$AI91-$AH91-$AG91-$AF91-$AE91*(1+EF$3))/$AJ91,'Технический лист'!$I:$J,2,1)-VLOOKUP($AO91,'Технический лист'!$I:$J,2,1)),1+(1-$AU91))</f>
        <v/>
      </c>
      <c r="EG91" s="172">
        <f>MIN(IF($AU91=100%,1,1+VLOOKUP(($AJ91-$AI91-$AH91-$AG91-$AF91-$AE91*(1+EG$3))/$AJ91,'Технический лист'!$I:$J,2,1)-VLOOKUP($AO91,'Технический лист'!$I:$J,2,1)),1+(1-$AU91))</f>
        <v/>
      </c>
      <c r="EH91" s="172">
        <f>MIN(IF($AU91=100%,1,1+VLOOKUP(($AJ91-$AI91-$AH91-$AG91-$AF91-$AE91*(1+EH$3))/$AJ91,'Технический лист'!$I:$J,2,1)-VLOOKUP($AO91,'Технический лист'!$I:$J,2,1)),1+(1-$AU91))</f>
        <v/>
      </c>
      <c r="EI91" s="172">
        <f>MIN(IF($AU91=100%,1,1+VLOOKUP(($AJ91-$AI91-$AH91-$AG91-$AF91-$AE91*(1+EI$3))/$AJ91,'Технический лист'!$I:$J,2,1)-VLOOKUP($AO91,'Технический лист'!$I:$J,2,1)),1+(1-$AU91))</f>
        <v/>
      </c>
      <c r="EJ91" s="172">
        <f>MIN(IF($AU91=100%,1,1+VLOOKUP(($AJ91-$AI91-$AH91-$AG91-$AF91-$AE91*(1+EJ$3))/$AJ91,'Технический лист'!$I:$J,2,1)-VLOOKUP($AO91,'Технический лист'!$I:$J,2,1)),1+(1-$AU91))</f>
        <v/>
      </c>
      <c r="EK91" s="172">
        <f>MIN(IF($AU91=100%,1,1+VLOOKUP(($AJ91-$AI91-$AH91-$AG91-$AF91-$AE91*(1+EK$3))/$AJ91,'Технический лист'!$I:$J,2,1)-VLOOKUP($AO91,'Технический лист'!$I:$J,2,1)),1+(1-$AU91))</f>
        <v/>
      </c>
      <c r="EL91" s="172">
        <f>MIN(IF($AU91=100%,1,1+VLOOKUP(($AJ91-$AI91-$AH91-$AG91-$AF91-$AE91*(1+EL$3))/$AJ91,'Технический лист'!$I:$J,2,1)-VLOOKUP($AO91,'Технический лист'!$I:$J,2,1)),1+(1-$AU91))</f>
        <v/>
      </c>
      <c r="EM91" s="172">
        <f>MIN(IF($AU91=100%,1,1+VLOOKUP(($AJ91-$AI91-$AH91-$AG91-$AF91-$AE91*(1+EM$3))/$AJ91,'Технический лист'!$I:$J,2,1)-VLOOKUP($AO91,'Технический лист'!$I:$J,2,1)),1+(1-$AU91))</f>
        <v/>
      </c>
      <c r="EN91" s="172">
        <f>MIN(IF($AU91=100%,1,1+VLOOKUP(($AJ91-$AI91-$AH91-$AG91-$AF91-$AE91*(1+EN$3))/$AJ91,'Технический лист'!$I:$J,2,1)-VLOOKUP($AO91,'Технический лист'!$I:$J,2,1)),1+(1-$AU91))</f>
        <v/>
      </c>
      <c r="EO91" s="172">
        <f>MIN(IF($AU91=100%,1,1+VLOOKUP(($AJ91-$AI91-$AH91-$AG91-$AF91-$AE91*(1+EO$3))/$AJ91,'Технический лист'!$I:$J,2,1)-VLOOKUP($AO91,'Технический лист'!$I:$J,2,1)),1+(1-$AU91))</f>
        <v/>
      </c>
      <c r="EP91" s="172">
        <f>MIN(IF($AU91=100%,1,1+VLOOKUP(($AJ91-$AI91-$AH91-$AG91-$AF91-$AE91*(1+EP$3))/$AJ91,'Технический лист'!$I:$J,2,1)-VLOOKUP($AO91,'Технический лист'!$I:$J,2,1)),1+(1-$AU91))</f>
        <v/>
      </c>
      <c r="EQ91" s="172">
        <f>MIN(IF($AU91=100%,1,1+VLOOKUP(($AJ91-$AI91-$AH91-$AG91-$AF91-$AE91*(1+EQ$3))/$AJ91,'Технический лист'!$I:$J,2,1)-VLOOKUP($AO91,'Технический лист'!$I:$J,2,1)),1+(1-$AU91))</f>
        <v/>
      </c>
      <c r="ER91" s="172">
        <f>MIN(IF($AU91=100%,1,1+VLOOKUP(($AJ91-$AI91-$AH91-$AG91-$AF91-$AE91*(1+ER$3))/$AJ91,'Технический лист'!$I:$J,2,1)-VLOOKUP($AO91,'Технический лист'!$I:$J,2,1)),1+(1-$AU91))</f>
        <v/>
      </c>
      <c r="ES91" s="172">
        <f>MIN(IF($AU91=100%,1,1+VLOOKUP(($AJ91-$AI91-$AH91-$AG91-$AF91-$AE91*(1+ES$3))/$AJ91,'Технический лист'!$I:$J,2,1)-VLOOKUP($AO91,'Технический лист'!$I:$J,2,1)),1+(1-$AU91))</f>
        <v/>
      </c>
      <c r="ET91" s="172">
        <f>MIN(IF($AU91=100%,1,1+VLOOKUP(($AJ91-$AI91-$AH91-$AG91-$AF91-$AE91*(1+ET$3))/$AJ91,'Технический лист'!$I:$J,2,1)-VLOOKUP($AO91,'Технический лист'!$I:$J,2,1)),1+(1-$AU91))</f>
        <v/>
      </c>
      <c r="EU91" s="172">
        <f>MIN(IF($AU91=100%,1,1+VLOOKUP(($AJ91-$AI91-$AH91-$AG91-$AF91-$AE91*(1+EU$3))/$AJ91,'Технический лист'!$I:$J,2,1)-VLOOKUP($AO91,'Технический лист'!$I:$J,2,1)),1+(1-$AU91))</f>
        <v/>
      </c>
      <c r="EV91" s="173" t="n">
        <v>1</v>
      </c>
      <c r="EW91" s="172">
        <f>MIN(1,MAX(VLOOKUP(($AJ91-$AI91-$AH91-$AG91-$AF91-$AE91*(1+EW$3))/$AJ91,'Технический лист'!$A:$B,2,1),(EV91-0.05)))</f>
        <v/>
      </c>
      <c r="EX91" s="172">
        <f>MIN(1,MAX(VLOOKUP(($AJ91-$AI91-$AH91-$AG91-$AF91-$AE91*(1+EX$3))/$AJ91,'Технический лист'!$A:$B,2,1),(EW91-0.05)))</f>
        <v/>
      </c>
      <c r="EY91" s="172">
        <f>MIN(1,MAX(VLOOKUP(($AJ91-$AI91-$AH91-$AG91-$AF91-$AE91*(1+EY$3))/$AJ91,'Технический лист'!$A:$B,2,1),(EX91-0.05)))</f>
        <v/>
      </c>
      <c r="EZ91" s="172">
        <f>MIN(1,MAX(VLOOKUP(($AJ91-$AI91-$AH91-$AG91-$AF91-$AE91*(1+EZ$3))/$AJ91,'Технический лист'!$A:$B,2,1),(EY91-0.05)))</f>
        <v/>
      </c>
      <c r="FA91" s="172">
        <f>MIN(1,MAX(VLOOKUP(($AJ91-$AI91-$AH91-$AG91-$AF91-$AE91*(1+FA$3))/$AJ91,'Технический лист'!$A:$B,2,1),(EZ91-0.05)))</f>
        <v/>
      </c>
      <c r="FB91" s="172">
        <f>MIN(1,MAX(VLOOKUP(($AJ91-$AI91-$AH91-$AG91-$AF91-$AE91*(1+FB$3))/$AJ91,'Технический лист'!$A:$B,2,1),(FA91-0.05)))</f>
        <v/>
      </c>
      <c r="FC91" s="172">
        <f>MIN(1,MAX(VLOOKUP(($AJ91-$AI91-$AH91-$AG91-$AF91-$AE91*(1+FC$3))/$AJ91,'Технический лист'!$A:$B,2,1),(FB91-0.05)))</f>
        <v/>
      </c>
      <c r="FD91" s="172">
        <f>MIN(1,MAX(VLOOKUP(($AJ91-$AI91-$AH91-$AG91-$AF91-$AE91*(1+FD$3))/$AJ91,'Технический лист'!$A:$B,2,1),(FC91-0.05)))</f>
        <v/>
      </c>
      <c r="FE91" s="172">
        <f>MIN(1,MAX(VLOOKUP(($AJ91-$AI91-$AH91-$AG91-$AF91-$AE91*(1+FE$3))/$AJ91,'Технический лист'!$A:$B,2,1),(FD91-0.05)))</f>
        <v/>
      </c>
      <c r="FF91" s="172">
        <f>MIN(1,MAX(VLOOKUP(($AJ91-$AI91-$AH91-$AG91-$AF91-$AE91*(1+FF$3))/$AJ91,'Технический лист'!$A:$B,2,1),(FE91-0.05)))</f>
        <v/>
      </c>
      <c r="FG91" s="172">
        <f>MIN(1,MAX(VLOOKUP(($AJ91-$AI91-$AH91-$AG91-$AF91-$AE91*(1+FG$3))/$AJ91,'Технический лист'!$A:$B,2,1),(FF91-0.05)))</f>
        <v/>
      </c>
      <c r="FH91" s="172">
        <f>MIN(1,MAX(VLOOKUP(($AJ91-$AI91-$AH91-$AG91-$AF91-$AE91*(1+FH$3))/$AJ91,'Технический лист'!$A:$B,2,1),(FG91-0.05)))</f>
        <v/>
      </c>
      <c r="FI91" s="172">
        <f>MIN(1,MAX(VLOOKUP(($AJ91-$AI91-$AH91-$AG91-$AF91-$AE91*(1+FI$3))/$AJ91,'Технический лист'!$A:$B,2,1),(FH91-0.05)))</f>
        <v/>
      </c>
      <c r="FJ91" s="172">
        <f>MIN(1,MAX(VLOOKUP(($AJ91-$AI91-$AH91-$AG91-$AF91-$AE91*(1+FJ$3))/$AJ91,'Технический лист'!$A:$B,2,1),(FI91-0.05)))</f>
        <v/>
      </c>
      <c r="FK91" s="172">
        <f>MIN(1,MAX(VLOOKUP(($AJ91-$AI91-$AH91-$AG91-$AF91-$AE91*(1+FK$3))/$AJ91,'Технический лист'!$A:$B,2,1),(FJ91-0.05)))</f>
        <v/>
      </c>
      <c r="FL91" s="172">
        <f>MIN(1,MAX(VLOOKUP(($AJ91-$AI91-$AH91-$AG91-$AF91-$AE91*(1+FL$3))/$AJ91,'Технический лист'!$A:$B,2,1),(FK91-0.05)))</f>
        <v/>
      </c>
      <c r="FM91" s="172">
        <f>MIN(1,MAX(VLOOKUP(($AJ91-$AI91-$AH91-$AG91-$AF91-$AE91*(1+FM$3))/$AJ91,'Технический лист'!$A:$B,2,1),(FL91-0.05)))</f>
        <v/>
      </c>
      <c r="FN91" s="172">
        <f>MIN(1,MAX(VLOOKUP(($AJ91-$AI91-$AH91-$AG91-$AF91-$AE91*(1+FN$3))/$AJ91,'Технический лист'!$A:$B,2,1),(FM91-0.05)))</f>
        <v/>
      </c>
      <c r="FO91" s="172">
        <f>MIN(1,MAX(VLOOKUP(($AJ91-$AI91-$AH91-$AG91-$AF91-$AE91*(1+FO$3))/$AJ91,'Технический лист'!$A:$B,2,1),(FN91-0.05)))</f>
        <v/>
      </c>
      <c r="FP91" s="172">
        <f>MIN(1,MAX(VLOOKUP(($AJ91-$AI91-$AH91-$AG91-$AF91-$AE91*(1+FP$3))/$AJ91,'Технический лист'!$A:$B,2,1),(FO91-0.05)))</f>
        <v/>
      </c>
      <c r="FQ91" s="172">
        <f>MIN(1,MAX(VLOOKUP(($AJ91-$AI91-$AH91-$AG91-$AF91-$AE91*(1+FQ$3))/$AJ91,'Технический лист'!$A:$B,2,1),(FP91-0.05)))</f>
        <v/>
      </c>
      <c r="FR91" s="172">
        <f>MIN(1,MAX(VLOOKUP(($AJ91-$AI91-$AH91-$AG91-$AF91-$AE91*(1+FR$3))/$AJ91,'Технический лист'!$A:$B,2,1),(FQ91-0.05)))</f>
        <v/>
      </c>
      <c r="FS91" s="172">
        <f>MIN(1,MAX(VLOOKUP(($AJ91-$AI91-$AH91-$AG91-$AF91-$AE91*(1+FS$3))/$AJ91,'Технический лист'!$A:$B,2,1),(FR91-0.05)))</f>
        <v/>
      </c>
      <c r="FT91" s="172">
        <f>MIN(1,MAX(VLOOKUP(($AJ91-$AI91-$AH91-$AG91-$AF91-$AE91*(1+FT$3))/$AJ91,'Технический лист'!$A:$B,2,1),(FS91-0.05)))</f>
        <v/>
      </c>
      <c r="FU91" s="172">
        <f>MIN(1,MAX(VLOOKUP(($AJ91-$AI91-$AH91-$AG91-$AF91-$AE91*(1+FU$3))/$AJ91,'Технический лист'!$A:$B,2,1),(FT91-0.05)))</f>
        <v/>
      </c>
      <c r="FV91" s="172">
        <f>MIN(1,MAX(VLOOKUP(($AJ91-$AI91-$AH91-$AG91-$AF91-$AE91*(1+FV$3))/$AJ91,'Технический лист'!$A:$B,2,1),(FU91-0.05)))</f>
        <v/>
      </c>
      <c r="FW91" s="172">
        <f>MIN(1,MAX(VLOOKUP(($AJ91-$AI91-$AH91-$AG91-$AF91-$AE91*(1+FW$3))/$AJ91,'Технический лист'!$A:$B,2,1),(FV91-0.05)))</f>
        <v/>
      </c>
      <c r="FX91" s="172">
        <f>MIN(1,MAX(VLOOKUP(($AJ91-$AI91-$AH91-$AG91-$AF91-$AE91*(1+FX$3))/$AJ91,'Технический лист'!$A:$B,2,1),(FW91-0.05)))</f>
        <v/>
      </c>
      <c r="FY91" s="172">
        <f>MIN(1,MAX(VLOOKUP(($AJ91-$AI91-$AH91-$AG91-$AF91-$AE91*(1+FY$3))/$AJ91,'Технический лист'!$A:$B,2,1),(FX91-0.05)))</f>
        <v/>
      </c>
      <c r="FZ91" s="172">
        <f>MIN(1,MAX(VLOOKUP(($AJ91-$AI91-$AH91-$AG91-$AF91-$AE91*(1+FZ$3))/$AJ91,'Технический лист'!$A:$B,2,1),(FY91-0.05)))</f>
        <v/>
      </c>
      <c r="GA91" s="172">
        <f>MIN(1,MAX(VLOOKUP(($AJ91-$AI91-$AH91-$AG91-$AF91-$AE91*(1+GA$3))/$AJ91,'Технический лист'!$A:$B,2,1),(FZ91-0.05)))</f>
        <v/>
      </c>
      <c r="GB91" s="172">
        <f>MIN(1,MAX(VLOOKUP(($AJ91-$AI91-$AH91-$AG91-$AF91-$AE91*(1+GB$3))/$AJ91,'Технический лист'!$A:$B,2,1),(GA91-0.05)))</f>
        <v/>
      </c>
      <c r="GC91" s="172">
        <f>MIN(1,MAX(VLOOKUP(($AJ91-$AI91-$AH91-$AG91-$AF91-$AE91*(1+GC$3))/$AJ91,'Технический лист'!$A:$B,2,1),(GB91-0.05)))</f>
        <v/>
      </c>
      <c r="GD91" s="172">
        <f>MIN(1,MAX(VLOOKUP(($AJ91-$AI91-$AH91-$AG91-$AF91-$AE91*(1+GD$3))/$AJ91,'Технический лист'!$A:$B,2,1),(GC91-0.05)))</f>
        <v/>
      </c>
      <c r="GE91" s="172">
        <f>MIN(1,MAX(VLOOKUP(($AJ91-$AI91-$AH91-$AG91-$AF91-$AE91*(1+GE$3))/$AJ91,'Технический лист'!$A:$B,2,1),(GD91-0.05)))</f>
        <v/>
      </c>
      <c r="GF91" s="172">
        <f>MIN(1,MAX(VLOOKUP(($AJ91-$AI91-$AH91-$AG91-$AF91-$AE91*(1+GF$3))/$AJ91,'Технический лист'!$A:$B,2,1),(GE91-0.05)))</f>
        <v/>
      </c>
      <c r="GG91" s="172">
        <f>MIN(1,MAX(VLOOKUP(($AJ91-$AI91-$AH91-$AG91-$AF91-$AE91*(1+GG$3))/$AJ91,'Технический лист'!$A:$B,2,1),(GF91-0.05)))</f>
        <v/>
      </c>
      <c r="GH91" s="172">
        <f>MIN(1,MAX(VLOOKUP(($AJ91-$AI91-$AH91-$AG91-$AF91-$AE91*(1+GH$3))/$AJ91,'Технический лист'!$A:$B,2,1),(GG91-0.05)))</f>
        <v/>
      </c>
      <c r="GI91" s="172">
        <f>MIN(1,MAX(VLOOKUP(($AJ91-$AI91-$AH91-$AG91-$AF91-$AE91*(1+GI$3))/$AJ91,'Технический лист'!$A:$B,2,1),(GH91-0.05)))</f>
        <v/>
      </c>
      <c r="GJ91" s="172">
        <f>MIN(1,MAX(VLOOKUP(($AJ91-$AI91-$AH91-$AG91-$AF91-$AE91*(1+GJ$3))/$AJ91,'Технический лист'!$A:$B,2,1),(GI91-0.05)))</f>
        <v/>
      </c>
      <c r="GK91" s="172">
        <f>MIN(1,MAX(VLOOKUP(($AJ91-$AI91-$AH91-$AG91-$AF91-$AE91*(1+GK$3))/$AJ91,'Технический лист'!$A:$B,2,1),(GJ91-0.05)))</f>
        <v/>
      </c>
      <c r="GL91" s="172">
        <f>MIN(1,MAX(VLOOKUP(($AJ91-$AI91-$AH91-$AG91-$AF91-$AE91*(1+GL$3))/$AJ91,'Технический лист'!$A:$B,2,1),(GK91-0.05)))</f>
        <v/>
      </c>
      <c r="GM91" s="172">
        <f>MIN(1,MAX(VLOOKUP(($AJ91-$AI91-$AH91-$AG91-$AF91-$AE91*(1+GM$3))/$AJ91,'Технический лист'!$A:$B,2,1),(GL91-0.05)))</f>
        <v/>
      </c>
      <c r="GN91" s="172">
        <f>MIN(1,MAX(VLOOKUP(($AJ91-$AI91-$AH91-$AG91-$AF91-$AE91*(1+GN$3))/$AJ91,'Технический лист'!$A:$B,2,1),(GM91-0.05)))</f>
        <v/>
      </c>
      <c r="GO91" s="172">
        <f>MIN(1,MAX(VLOOKUP(($AJ91-$AI91-$AH91-$AG91-$AF91-$AE91*(1+GO$3))/$AJ91,'Технический лист'!$A:$B,2,1),(GN91-0.05)))</f>
        <v/>
      </c>
      <c r="GP91" s="172">
        <f>MIN(1,MAX(VLOOKUP(($AJ91-$AI91-$AH91-$AG91-$AF91-$AE91*(1+GP$3))/$AJ91,'Технический лист'!$A:$B,2,1),(GO91-0.05)))</f>
        <v/>
      </c>
      <c r="GQ91" s="172">
        <f>MIN(1,MAX(VLOOKUP(($AJ91-$AI91-$AH91-$AG91-$AF91-$AE91*(1+GQ$3))/$AJ91,'Технический лист'!$A:$B,2,1),(GP91-0.05)))</f>
        <v/>
      </c>
      <c r="GR91" s="172">
        <f>MIN(1,MAX(VLOOKUP(($AJ91-$AI91-$AH91-$AG91-$AF91-$AE91*(1+GR$3))/$AJ91,'Технический лист'!$A:$B,2,1),(GQ91-0.05)))</f>
        <v/>
      </c>
      <c r="GS91" s="172">
        <f>MIN(1,MAX(VLOOKUP(($AJ91-$AI91-$AH91-$AG91-$AF91-$AE91*(1+GS$3))/$AJ91,'Технический лист'!$A:$B,2,1),(GR91-0.05)))</f>
        <v/>
      </c>
      <c r="GT91" s="172">
        <f>MIN(1,MAX(VLOOKUP(($AJ91-$AI91-$AH91-$AG91-$AF91-$AE91*(1+GT$3))/$AJ91,'Технический лист'!$A:$B,2,1),(GS91-0.05)))</f>
        <v/>
      </c>
      <c r="GU91" s="172">
        <f>MIN(1,MAX(VLOOKUP(($AJ91-$AI91-$AH91-$AG91-$AF91-$AE91*(1+GU$3))/$AJ91,'Технический лист'!$A:$B,2,1),(GT91-0.05)))</f>
        <v/>
      </c>
      <c r="GV91" s="172">
        <f>MIN(1,MAX(VLOOKUP(($AJ91-$AI91-$AH91-$AG91-$AF91-$AE91*(1+GV$3))/$AJ91,'Технический лист'!$A:$B,2,1),(GU91-0.05)))</f>
        <v/>
      </c>
      <c r="GW91" s="172">
        <f>MIN(1,MAX(VLOOKUP(($AJ91-$AI91-$AH91-$AG91-$AF91-$AE91*(1+GW$3))/$AJ91,'Технический лист'!$A:$B,2,1),(GV91-0.05)))</f>
        <v/>
      </c>
      <c r="GX91" s="172">
        <f>MIN(1,MAX(VLOOKUP(($AJ91-$AI91-$AH91-$AG91-$AF91-$AE91*(1+GX$3))/$AJ91,'Технический лист'!$A:$B,2,1),(GW91-0.05)))</f>
        <v/>
      </c>
      <c r="GY91" s="172">
        <f>MIN(1,MAX(VLOOKUP(($AJ91-$AI91-$AH91-$AG91-$AF91-$AE91*(1+GY$3))/$AJ91,'Технический лист'!$A:$B,2,1),(GX91-0.05)))</f>
        <v/>
      </c>
      <c r="GZ91" s="172">
        <f>MIN(1,MAX(VLOOKUP(($AJ91-$AI91-$AH91-$AG91-$AF91-$AE91*(1+GZ$3))/$AJ91,'Технический лист'!$A:$B,2,1),(GY91-0.05)))</f>
        <v/>
      </c>
      <c r="HA91" s="172">
        <f>MIN(1,MAX(VLOOKUP(($AJ91-$AI91-$AH91-$AG91-$AF91-$AE91*(1+HA$3))/$AJ91,'Технический лист'!$A:$B,2,1),(GZ91-0.05)))</f>
        <v/>
      </c>
      <c r="HB91" s="172">
        <f>MIN(1,MAX(VLOOKUP(($AJ91-$AI91-$AH91-$AG91-$AF91-$AE91*(1+HB$3))/$AJ91,'Технический лист'!$A:$B,2,1),(HA91-0.05)))</f>
        <v/>
      </c>
      <c r="HC91" s="172">
        <f>MIN(1,MAX(VLOOKUP(($AJ91-$AI91-$AH91-$AG91-$AF91-$AE91*(1+HC$3))/$AJ91,'Технический лист'!$A:$B,2,1),(HB91-0.05)))</f>
        <v/>
      </c>
      <c r="HD91" s="172">
        <f>MIN(1,MAX(VLOOKUP(($AJ91-$AI91-$AH91-$AG91-$AF91-$AE91*(1+HD$3))/$AJ91,'Технический лист'!$A:$B,2,1),(HC91-0.05)))</f>
        <v/>
      </c>
      <c r="HE91" s="172">
        <f>MIN(1,MAX(VLOOKUP(($AJ91-$AI91-$AH91-$AG91-$AF91-$AE91*(1+HE$3))/$AJ91,'Технический лист'!$A:$B,2,1),(HD91-0.05)))</f>
        <v/>
      </c>
      <c r="HF91" s="172">
        <f>MIN(1,MAX(VLOOKUP(($AJ91-$AI91-$AH91-$AG91-$AF91-$AE91*(1+HF$3))/$AJ91,'Технический лист'!$A:$B,2,1),(HE91-0.05)))</f>
        <v/>
      </c>
      <c r="HG91" s="172">
        <f>MIN(1,MAX(VLOOKUP(($AJ91-$AI91-$AH91-$AG91-$AF91-$AE91*(1+HG$3))/$AJ91,'Технический лист'!$A:$B,2,1),(HF91-0.05)))</f>
        <v/>
      </c>
      <c r="HH91" s="172">
        <f>MIN(1,MAX(VLOOKUP(($AJ91-$AI91-$AH91-$AG91-$AF91-$AE91*(1+HH$3))/$AJ91,'Технический лист'!$A:$B,2,1),(HG91-0.05)))</f>
        <v/>
      </c>
      <c r="HI91" s="172">
        <f>MIN(1,MAX(VLOOKUP(($AJ91-$AI91-$AH91-$AG91-$AF91-$AE91*(1+HI$3))/$AJ91,'Технический лист'!$A:$B,2,1),(HH91-0.05)))</f>
        <v/>
      </c>
      <c r="HJ91" s="172">
        <f>MIN(1,MAX(VLOOKUP(($AJ91-$AI91-$AH91-$AG91-$AF91-$AE91*(1+HJ$3))/$AJ91,'Технический лист'!$A:$B,2,1),(HI91-0.05)))</f>
        <v/>
      </c>
      <c r="HK91" s="172">
        <f>MIN(1,MAX(VLOOKUP(($AJ91-$AI91-$AH91-$AG91-$AF91-$AE91*(1+HK$3))/$AJ91,'Технический лист'!$A:$B,2,1),(HJ91-0.05)))</f>
        <v/>
      </c>
      <c r="HL91" s="172">
        <f>MIN(1,MAX(VLOOKUP(($AJ91-$AI91-$AH91-$AG91-$AF91-$AE91*(1+HL$3))/$AJ91,'Технический лист'!$A:$B,2,1),(HK91-0.05)))</f>
        <v/>
      </c>
      <c r="HM91" s="172">
        <f>MIN(1,MAX(VLOOKUP(($AJ91-$AI91-$AH91-$AG91-$AF91-$AE91*(1+HM$3))/$AJ91,'Технический лист'!$A:$B,2,1),(HL91-0.05)))</f>
        <v/>
      </c>
      <c r="HN91" s="172">
        <f>MIN(1,MAX(VLOOKUP(($AJ91-$AI91-$AH91-$AG91-$AF91-$AE91*(1+HN$3))/$AJ91,'Технический лист'!$A:$B,2,1),(HM91-0.05)))</f>
        <v/>
      </c>
      <c r="HO91" s="172">
        <f>MIN(1,MAX(VLOOKUP(($AJ91-$AI91-$AH91-$AG91-$AF91-$AE91*(1+HO$3))/$AJ91,'Технический лист'!$A:$B,2,1),(HN91-0.05)))</f>
        <v/>
      </c>
      <c r="HP91" s="172">
        <f>MIN(1,MAX(VLOOKUP(($AJ91-$AI91-$AH91-$AG91-$AF91-$AE91*(1+HP$3))/$AJ91,'Технический лист'!$A:$B,2,1),(HO91-0.05)))</f>
        <v/>
      </c>
      <c r="HQ91" s="172">
        <f>MIN(1,MAX(VLOOKUP(($AJ91-$AI91-$AH91-$AG91-$AF91-$AE91*(1+HQ$3))/$AJ91,'Технический лист'!$A:$B,2,1),(HP91-0.05)))</f>
        <v/>
      </c>
      <c r="HR91" s="172">
        <f>MIN(1,MAX(VLOOKUP(($AJ91-$AI91-$AH91-$AG91-$AF91-$AE91*(1+HR$3))/$AJ91,'Технический лист'!$A:$B,2,1),(HQ91-0.05)))</f>
        <v/>
      </c>
      <c r="HS91" s="172">
        <f>MIN(1,MAX(VLOOKUP(($AJ91-$AI91-$AH91-$AG91-$AF91-$AE91*(1+HS$3))/$AJ91,'Технический лист'!$A:$B,2,1),(HR91-0.05)))</f>
        <v/>
      </c>
      <c r="HT91" s="172">
        <f>MIN(1,MAX(VLOOKUP(($AJ91-$AI91-$AH91-$AG91-$AF91-$AE91*(1+HT$3))/$AJ91,'Технический лист'!$A:$B,2,1),(HS91-0.05)))</f>
        <v/>
      </c>
      <c r="HU91" s="172">
        <f>MIN(1,MAX(VLOOKUP(($AJ91-$AI91-$AH91-$AG91-$AF91-$AE91*(1+HU$3))/$AJ91,'Технический лист'!$A:$B,2,1),(HT91-0.05)))</f>
        <v/>
      </c>
      <c r="HV91" s="172">
        <f>MIN(1,MAX(VLOOKUP(($AJ91-$AI91-$AH91-$AG91-$AF91-$AE91*(1+HV$3))/$AJ91,'Технический лист'!$A:$B,2,1),(HU91-0.05)))</f>
        <v/>
      </c>
      <c r="HW91" s="172">
        <f>MIN(1,MAX(VLOOKUP(($AJ91-$AI91-$AH91-$AG91-$AF91-$AE91*(1+HW$3))/$AJ91,'Технический лист'!$A:$B,2,1),(HV91-0.05)))</f>
        <v/>
      </c>
      <c r="HX91" s="172">
        <f>MIN(1,MAX(VLOOKUP(($AJ91-$AI91-$AH91-$AG91-$AF91-$AE91*(1+HX$3))/$AJ91,'Технический лист'!$A:$B,2,1),(HW91-0.05)))</f>
        <v/>
      </c>
      <c r="HY91" s="172">
        <f>MIN(1,MAX(VLOOKUP(($AJ91-$AI91-$AH91-$AG91-$AF91-$AE91*(1+HY$3))/$AJ91,'Технический лист'!$A:$B,2,1),(HX91-0.05)))</f>
        <v/>
      </c>
      <c r="HZ91" s="172">
        <f>MIN(1,MAX(VLOOKUP(($AJ91-$AI91-$AH91-$AG91-$AF91-$AE91*(1+HZ$3))/$AJ91,'Технический лист'!$A:$B,2,1),(HY91-0.05)))</f>
        <v/>
      </c>
      <c r="IA91" s="172">
        <f>MIN(1,MAX(VLOOKUP(($AJ91-$AI91-$AH91-$AG91-$AF91-$AE91*(1+IA$3))/$AJ91,'Технический лист'!$A:$B,2,1),(HZ91-0.05)))</f>
        <v/>
      </c>
      <c r="IB91" s="172">
        <f>MIN(1,MAX(VLOOKUP(($AJ91-$AI91-$AH91-$AG91-$AF91-$AE91*(1+IB$3))/$AJ91,'Технический лист'!$A:$B,2,1),(IA91-0.05)))</f>
        <v/>
      </c>
      <c r="IC91" s="172">
        <f>MIN(1,MAX(VLOOKUP(($AJ91-$AI91-$AH91-$AG91-$AF91-$AE91*(1+IC$3))/$AJ91,'Технический лист'!$A:$B,2,1),(IB91-0.05)))</f>
        <v/>
      </c>
      <c r="ID91" s="172">
        <f>MIN(1,MAX(VLOOKUP(($AJ91-$AI91-$AH91-$AG91-$AF91-$AE91*(1+ID$3))/$AJ91,'Технический лист'!$A:$B,2,1),(IC91-0.05)))</f>
        <v/>
      </c>
      <c r="IE91" s="172">
        <f>MIN(1,MAX(VLOOKUP(($AJ91-$AI91-$AH91-$AG91-$AF91-$AE91*(1+IE$3))/$AJ91,'Технический лист'!$A:$B,2,1),(ID91-0.05)))</f>
        <v/>
      </c>
      <c r="IF91" s="172">
        <f>MIN(1,MAX(VLOOKUP(($AJ91-$AI91-$AH91-$AG91-$AF91-$AE91*(1+IF$3))/$AJ91,'Технический лист'!$A:$B,2,1),(IE91-0.05)))</f>
        <v/>
      </c>
      <c r="IG91" s="172">
        <f>MIN(1,MAX(VLOOKUP(($AJ91-$AI91-$AH91-$AG91-$AF91-$AE91*(1+IG$3))/$AJ91,'Технический лист'!$A:$B,2,1),(IF91-0.05)))</f>
        <v/>
      </c>
      <c r="IH91" s="172">
        <f>MIN(1,MAX(VLOOKUP(($AJ91-$AI91-$AH91-$AG91-$AF91-$AE91*(1+IH$3))/$AJ91,'Технический лист'!$A:$B,2,1),(IG91-0.05)))</f>
        <v/>
      </c>
      <c r="II91" s="172">
        <f>MIN(1,MAX(VLOOKUP(($AJ91-$AI91-$AH91-$AG91-$AF91-$AE91*(1+II$3))/$AJ91,'Технический лист'!$A:$B,2,1),(IH91-0.05)))</f>
        <v/>
      </c>
      <c r="IJ91" s="172">
        <f>MIN(1,MAX(VLOOKUP(($AJ91-$AI91-$AH91-$AG91-$AF91-$AE91*(1+IJ$3))/$AJ91,'Технический лист'!$A:$B,2,1),(II91-0.05)))</f>
        <v/>
      </c>
      <c r="IK91" s="172">
        <f>MIN(1,MAX(VLOOKUP(($AJ91-$AI91-$AH91-$AG91-$AF91-$AE91*(1+IK$3))/$AJ91,'Технический лист'!$A:$B,2,1),(IJ91-0.05)))</f>
        <v/>
      </c>
      <c r="IL91" s="172">
        <f>MIN(1,MAX(VLOOKUP(($AJ91-$AI91-$AH91-$AG91-$AF91-$AE91*(1+IL$3))/$AJ91,'Технический лист'!$A:$B,2,1),(IK91-0.05)))</f>
        <v/>
      </c>
      <c r="IM91" s="172">
        <f>MIN(1,MAX(VLOOKUP(($AJ91-$AI91-$AH91-$AG91-$AF91-$AE91*(1+IM$3))/$AJ91,'Технический лист'!$A:$B,2,1),(IL91-0.05)))</f>
        <v/>
      </c>
      <c r="IN91" s="172">
        <f>MIN(1,MAX(VLOOKUP(($AJ91-$AI91-$AH91-$AG91-$AF91-$AE91*(1+IN$3))/$AJ91,'Технический лист'!$A:$B,2,1),(IM91-0.05)))</f>
        <v/>
      </c>
      <c r="IO91" s="172">
        <f>MIN(1,MAX(VLOOKUP(($AJ91-$AI91-$AH91-$AG91-$AF91-$AE91*(1+IO$3))/$AJ91,'Технический лист'!$A:$B,2,1),(IN91-0.05)))</f>
        <v/>
      </c>
      <c r="IP91" s="172">
        <f>MIN(1,MAX(VLOOKUP(($AJ91-$AI91-$AH91-$AG91-$AF91-$AE91*(1+IP$3))/$AJ91,'Технический лист'!$A:$B,2,1),(IO91-0.05)))</f>
        <v/>
      </c>
      <c r="IQ91" s="172">
        <f>MIN(1,MAX(VLOOKUP(($AJ91-$AI91-$AH91-$AG91-$AF91-$AE91*(1+IQ$3))/$AJ91,'Технический лист'!$A:$B,2,1),(IP91-0.05)))</f>
        <v/>
      </c>
      <c r="IR91" s="172">
        <f>MIN(1,MAX(VLOOKUP(($AJ91-$AI91-$AH91-$AG91-$AF91-$AE91*(1+IR$3))/$AJ91,'Технический лист'!$A:$B,2,1),(IQ91-0.05)))</f>
        <v/>
      </c>
    </row>
    <row r="92" ht="43.75" customHeight="1" s="123">
      <c r="A92" s="89" t="inlineStr">
        <is>
          <t>ЧМ (продукция)</t>
        </is>
      </c>
      <c r="B92" s="90" t="n">
        <v>5</v>
      </c>
      <c r="C92" s="5" t="inlineStr">
        <is>
          <t>Черные металлы</t>
        </is>
      </c>
      <c r="D92" s="91" t="n">
        <v>32421</v>
      </c>
      <c r="E92" s="91" t="inlineStr">
        <is>
          <t xml:space="preserve">Шары стальные помольные </t>
        </is>
      </c>
      <c r="F92" s="92" t="inlineStr">
        <is>
          <t>ПРОЧИЕ ВИДЫ ПРОКАТА ЧЕРНЫ</t>
        </is>
      </c>
      <c r="G92" s="91" t="inlineStr">
        <is>
          <t>ЮВС</t>
        </is>
      </c>
      <c r="H92" s="91" t="inlineStr">
        <is>
          <t>ВСБ</t>
        </is>
      </c>
      <c r="I92" s="91" t="inlineStr">
        <is>
          <t>КОТЕЛ</t>
        </is>
      </c>
      <c r="J92" s="91" t="inlineStr">
        <is>
          <t>НОВАЯ ЧАРА</t>
        </is>
      </c>
      <c r="K92" s="91" t="n">
        <v>6501</v>
      </c>
      <c r="L92" s="91" t="inlineStr">
        <is>
          <t>Полувагоны</t>
        </is>
      </c>
      <c r="M92" s="91" t="inlineStr">
        <is>
          <t>Внутр. перевозки</t>
        </is>
      </c>
      <c r="N92" s="91" t="inlineStr">
        <is>
          <t>вагонная</t>
        </is>
      </c>
      <c r="O92" s="91" t="inlineStr">
        <is>
          <t xml:space="preserve">Восточное </t>
        </is>
      </c>
      <c r="P92" s="89" t="inlineStr">
        <is>
          <t>'000000187895</t>
        </is>
      </c>
      <c r="Q92" s="91" t="inlineStr">
        <is>
          <t>'ОАО "Оскольский электрометаллургический комбинат"</t>
        </is>
      </c>
      <c r="R92" s="91" t="inlineStr">
        <is>
          <t>ООО УК "Металлоинвест"</t>
        </is>
      </c>
      <c r="S92" s="87" t="n">
        <v>16973</v>
      </c>
      <c r="T92" s="87" t="n">
        <v>110344876</v>
      </c>
      <c r="U92" s="88" t="n">
        <v>259</v>
      </c>
      <c r="V92" s="88" t="n">
        <v>0</v>
      </c>
      <c r="W92" s="87" t="n">
        <v>143917343</v>
      </c>
      <c r="X92" s="112" t="n">
        <v>66</v>
      </c>
      <c r="Y92" s="112" t="inlineStr">
        <is>
          <t>групповая</t>
        </is>
      </c>
      <c r="Z92" s="113" t="n">
        <v>19</v>
      </c>
      <c r="AA92" s="113" t="n">
        <v>14</v>
      </c>
      <c r="AB92" s="113" t="n">
        <v>4</v>
      </c>
      <c r="AC92" s="161" t="n">
        <v>9305.389999999999</v>
      </c>
      <c r="AD92" s="161">
        <f>AE92-AC92</f>
        <v/>
      </c>
      <c r="AE92" s="161" t="n">
        <v>10347.52</v>
      </c>
      <c r="AF92" s="162">
        <f>(Z92+AA92+AB92)*'Ставки аренды'!$B$3/X92</f>
        <v/>
      </c>
      <c r="AG92" s="163" t="n">
        <v>0</v>
      </c>
      <c r="AH92" s="164" t="n">
        <v>0</v>
      </c>
      <c r="AI92" s="165">
        <f>240828/411356*AVERAGE(AJ91,AJ93)</f>
        <v/>
      </c>
      <c r="AJ92" s="166">
        <f>Цены!D23</f>
        <v/>
      </c>
      <c r="AK92" s="164">
        <f>AJ92/Цены!$B$1</f>
        <v/>
      </c>
      <c r="AL92" s="164">
        <f>AE92+AF92+AG92</f>
        <v/>
      </c>
      <c r="AM92" s="164">
        <f>AJ92-AL92</f>
        <v/>
      </c>
      <c r="AN92" s="164">
        <f>AI92+AH92+AG92+AF92+AE92</f>
        <v/>
      </c>
      <c r="AO92" s="167">
        <f>(AJ92-AN92)/AJ92</f>
        <v/>
      </c>
      <c r="AP92" s="168">
        <f>AL92/AJ92</f>
        <v/>
      </c>
      <c r="AQ92" s="168">
        <f>AE92/AJ92</f>
        <v/>
      </c>
      <c r="AR92" s="168">
        <f>AE92/AL92</f>
        <v/>
      </c>
      <c r="AS92" s="169" t="n">
        <v>1</v>
      </c>
      <c r="AT92" s="121">
        <f>S92*AS92</f>
        <v/>
      </c>
      <c r="AU92" s="83" t="n">
        <v>0.9</v>
      </c>
      <c r="AV92" s="170">
        <f>(AJ92-(AE92*(1+$IS$2)+AF92+AG92+AH92+AI92))/AJ92</f>
        <v/>
      </c>
      <c r="AW92" s="171">
        <f>(AE92*(1+$IS$2)+AF92+AG92)/AJ92</f>
        <v/>
      </c>
      <c r="AX92" s="171">
        <f>(AE92*(1+$IS$2))/AJ92</f>
        <v/>
      </c>
      <c r="AY92" s="171">
        <f>(AE92*(1+$IS$2))/(AE92*(1+$IS$2)+AF92+AG92)</f>
        <v/>
      </c>
      <c r="AZ92" s="172">
        <f>MIN(IF($AU92=100%,1,1+VLOOKUP(($AJ92-$AI92-$AH92-$AG92-$AF92-$AE92*(1+AZ$3))/$AJ92,'Технический лист'!$I:$J,2,1)-VLOOKUP($AO92,'Технический лист'!$I:$J,2,1)),1+(1-$AU92))</f>
        <v/>
      </c>
      <c r="BA92" s="172">
        <f>MIN(IF($AU92=100%,1,1+VLOOKUP(($AJ92-$AI92-$AH92-$AG92-$AF92-$AE92*(1+BA$3))/$AJ92,'Технический лист'!$I:$J,2,1)-VLOOKUP($AO92,'Технический лист'!$I:$J,2,1)),1+(1-$AU92))</f>
        <v/>
      </c>
      <c r="BB92" s="172">
        <f>MIN(IF($AU92=100%,1,1+VLOOKUP(($AJ92-$AI92-$AH92-$AG92-$AF92-$AE92*(1+BB$3))/$AJ92,'Технический лист'!$I:$J,2,1)-VLOOKUP($AO92,'Технический лист'!$I:$J,2,1)),1+(1-$AU92))</f>
        <v/>
      </c>
      <c r="BC92" s="172">
        <f>MIN(IF($AU92=100%,1,1+VLOOKUP(($AJ92-$AI92-$AH92-$AG92-$AF92-$AE92*(1+BC$3))/$AJ92,'Технический лист'!$I:$J,2,1)-VLOOKUP($AO92,'Технический лист'!$I:$J,2,1)),1+(1-$AU92))</f>
        <v/>
      </c>
      <c r="BD92" s="172">
        <f>MIN(IF($AU92=100%,1,1+VLOOKUP(($AJ92-$AI92-$AH92-$AG92-$AF92-$AE92*(1+BD$3))/$AJ92,'Технический лист'!$I:$J,2,1)-VLOOKUP($AO92,'Технический лист'!$I:$J,2,1)),1+(1-$AU92))</f>
        <v/>
      </c>
      <c r="BE92" s="172">
        <f>MIN(IF($AU92=100%,1,1+VLOOKUP(($AJ92-$AI92-$AH92-$AG92-$AF92-$AE92*(1+BE$3))/$AJ92,'Технический лист'!$I:$J,2,1)-VLOOKUP($AO92,'Технический лист'!$I:$J,2,1)),1+(1-$AU92))</f>
        <v/>
      </c>
      <c r="BF92" s="172">
        <f>MIN(IF($AU92=100%,1,1+VLOOKUP(($AJ92-$AI92-$AH92-$AG92-$AF92-$AE92*(1+BF$3))/$AJ92,'Технический лист'!$I:$J,2,1)-VLOOKUP($AO92,'Технический лист'!$I:$J,2,1)),1+(1-$AU92))</f>
        <v/>
      </c>
      <c r="BG92" s="172">
        <f>MIN(IF($AU92=100%,1,1+VLOOKUP(($AJ92-$AI92-$AH92-$AG92-$AF92-$AE92*(1+BG$3))/$AJ92,'Технический лист'!$I:$J,2,1)-VLOOKUP($AO92,'Технический лист'!$I:$J,2,1)),1+(1-$AU92))</f>
        <v/>
      </c>
      <c r="BH92" s="172">
        <f>MIN(IF($AU92=100%,1,1+VLOOKUP(($AJ92-$AI92-$AH92-$AG92-$AF92-$AE92*(1+BH$3))/$AJ92,'Технический лист'!$I:$J,2,1)-VLOOKUP($AO92,'Технический лист'!$I:$J,2,1)),1+(1-$AU92))</f>
        <v/>
      </c>
      <c r="BI92" s="172">
        <f>MIN(IF($AU92=100%,1,1+VLOOKUP(($AJ92-$AI92-$AH92-$AG92-$AF92-$AE92*(1+BI$3))/$AJ92,'Технический лист'!$I:$J,2,1)-VLOOKUP($AO92,'Технический лист'!$I:$J,2,1)),1+(1-$AU92))</f>
        <v/>
      </c>
      <c r="BJ92" s="172">
        <f>MIN(IF($AU92=100%,1,1+VLOOKUP(($AJ92-$AI92-$AH92-$AG92-$AF92-$AE92*(1+BJ$3))/$AJ92,'Технический лист'!$I:$J,2,1)-VLOOKUP($AO92,'Технический лист'!$I:$J,2,1)),1+(1-$AU92))</f>
        <v/>
      </c>
      <c r="BK92" s="172">
        <f>MIN(IF($AU92=100%,1,1+VLOOKUP(($AJ92-$AI92-$AH92-$AG92-$AF92-$AE92*(1+BK$3))/$AJ92,'Технический лист'!$I:$J,2,1)-VLOOKUP($AO92,'Технический лист'!$I:$J,2,1)),1+(1-$AU92))</f>
        <v/>
      </c>
      <c r="BL92" s="172">
        <f>MIN(IF($AU92=100%,1,1+VLOOKUP(($AJ92-$AI92-$AH92-$AG92-$AF92-$AE92*(1+BL$3))/$AJ92,'Технический лист'!$I:$J,2,1)-VLOOKUP($AO92,'Технический лист'!$I:$J,2,1)),1+(1-$AU92))</f>
        <v/>
      </c>
      <c r="BM92" s="172">
        <f>MIN(IF($AU92=100%,1,1+VLOOKUP(($AJ92-$AI92-$AH92-$AG92-$AF92-$AE92*(1+BM$3))/$AJ92,'Технический лист'!$I:$J,2,1)-VLOOKUP($AO92,'Технический лист'!$I:$J,2,1)),1+(1-$AU92))</f>
        <v/>
      </c>
      <c r="BN92" s="172">
        <f>MIN(IF($AU92=100%,1,1+VLOOKUP(($AJ92-$AI92-$AH92-$AG92-$AF92-$AE92*(1+BN$3))/$AJ92,'Технический лист'!$I:$J,2,1)-VLOOKUP($AO92,'Технический лист'!$I:$J,2,1)),1+(1-$AU92))</f>
        <v/>
      </c>
      <c r="BO92" s="172">
        <f>MIN(IF($AU92=100%,1,1+VLOOKUP(($AJ92-$AI92-$AH92-$AG92-$AF92-$AE92*(1+BO$3))/$AJ92,'Технический лист'!$I:$J,2,1)-VLOOKUP($AO92,'Технический лист'!$I:$J,2,1)),1+(1-$AU92))</f>
        <v/>
      </c>
      <c r="BP92" s="172">
        <f>MIN(IF($AU92=100%,1,1+VLOOKUP(($AJ92-$AI92-$AH92-$AG92-$AF92-$AE92*(1+BP$3))/$AJ92,'Технический лист'!$I:$J,2,1)-VLOOKUP($AO92,'Технический лист'!$I:$J,2,1)),1+(1-$AU92))</f>
        <v/>
      </c>
      <c r="BQ92" s="172">
        <f>MIN(IF($AU92=100%,1,1+VLOOKUP(($AJ92-$AI92-$AH92-$AG92-$AF92-$AE92*(1+BQ$3))/$AJ92,'Технический лист'!$I:$J,2,1)-VLOOKUP($AO92,'Технический лист'!$I:$J,2,1)),1+(1-$AU92))</f>
        <v/>
      </c>
      <c r="BR92" s="172">
        <f>MIN(IF($AU92=100%,1,1+VLOOKUP(($AJ92-$AI92-$AH92-$AG92-$AF92-$AE92*(1+BR$3))/$AJ92,'Технический лист'!$I:$J,2,1)-VLOOKUP($AO92,'Технический лист'!$I:$J,2,1)),1+(1-$AU92))</f>
        <v/>
      </c>
      <c r="BS92" s="172">
        <f>MIN(IF($AU92=100%,1,1+VLOOKUP(($AJ92-$AI92-$AH92-$AG92-$AF92-$AE92*(1+BS$3))/$AJ92,'Технический лист'!$I:$J,2,1)-VLOOKUP($AO92,'Технический лист'!$I:$J,2,1)),1+(1-$AU92))</f>
        <v/>
      </c>
      <c r="BT92" s="172">
        <f>MIN(IF($AU92=100%,1,1+VLOOKUP(($AJ92-$AI92-$AH92-$AG92-$AF92-$AE92*(1+BT$3))/$AJ92,'Технический лист'!$I:$J,2,1)-VLOOKUP($AO92,'Технический лист'!$I:$J,2,1)),1+(1-$AU92))</f>
        <v/>
      </c>
      <c r="BU92" s="172">
        <f>MIN(IF($AU92=100%,1,1+VLOOKUP(($AJ92-$AI92-$AH92-$AG92-$AF92-$AE92*(1+BU$3))/$AJ92,'Технический лист'!$I:$J,2,1)-VLOOKUP($AO92,'Технический лист'!$I:$J,2,1)),1+(1-$AU92))</f>
        <v/>
      </c>
      <c r="BV92" s="172">
        <f>MIN(IF($AU92=100%,1,1+VLOOKUP(($AJ92-$AI92-$AH92-$AG92-$AF92-$AE92*(1+BV$3))/$AJ92,'Технический лист'!$I:$J,2,1)-VLOOKUP($AO92,'Технический лист'!$I:$J,2,1)),1+(1-$AU92))</f>
        <v/>
      </c>
      <c r="BW92" s="172">
        <f>MIN(IF($AU92=100%,1,1+VLOOKUP(($AJ92-$AI92-$AH92-$AG92-$AF92-$AE92*(1+BW$3))/$AJ92,'Технический лист'!$I:$J,2,1)-VLOOKUP($AO92,'Технический лист'!$I:$J,2,1)),1+(1-$AU92))</f>
        <v/>
      </c>
      <c r="BX92" s="172">
        <f>MIN(IF($AU92=100%,1,1+VLOOKUP(($AJ92-$AI92-$AH92-$AG92-$AF92-$AE92*(1+BX$3))/$AJ92,'Технический лист'!$I:$J,2,1)-VLOOKUP($AO92,'Технический лист'!$I:$J,2,1)),1+(1-$AU92))</f>
        <v/>
      </c>
      <c r="BY92" s="172">
        <f>MIN(IF($AU92=100%,1,1+VLOOKUP(($AJ92-$AI92-$AH92-$AG92-$AF92-$AE92*(1+BY$3))/$AJ92,'Технический лист'!$I:$J,2,1)-VLOOKUP($AO92,'Технический лист'!$I:$J,2,1)),1+(1-$AU92))</f>
        <v/>
      </c>
      <c r="BZ92" s="172">
        <f>MIN(IF($AU92=100%,1,1+VLOOKUP(($AJ92-$AI92-$AH92-$AG92-$AF92-$AE92*(1+BZ$3))/$AJ92,'Технический лист'!$I:$J,2,1)-VLOOKUP($AO92,'Технический лист'!$I:$J,2,1)),1+(1-$AU92))</f>
        <v/>
      </c>
      <c r="CA92" s="172">
        <f>MIN(IF($AU92=100%,1,1+VLOOKUP(($AJ92-$AI92-$AH92-$AG92-$AF92-$AE92*(1+CA$3))/$AJ92,'Технический лист'!$I:$J,2,1)-VLOOKUP($AO92,'Технический лист'!$I:$J,2,1)),1+(1-$AU92))</f>
        <v/>
      </c>
      <c r="CB92" s="172">
        <f>MIN(IF($AU92=100%,1,1+VLOOKUP(($AJ92-$AI92-$AH92-$AG92-$AF92-$AE92*(1+CB$3))/$AJ92,'Технический лист'!$I:$J,2,1)-VLOOKUP($AO92,'Технический лист'!$I:$J,2,1)),1+(1-$AU92))</f>
        <v/>
      </c>
      <c r="CC92" s="172">
        <f>MIN(IF($AU92=100%,1,1+VLOOKUP(($AJ92-$AI92-$AH92-$AG92-$AF92-$AE92*(1+CC$3))/$AJ92,'Технический лист'!$I:$J,2,1)-VLOOKUP($AO92,'Технический лист'!$I:$J,2,1)),1+(1-$AU92))</f>
        <v/>
      </c>
      <c r="CD92" s="172">
        <f>MIN(IF($AU92=100%,1,1+VLOOKUP(($AJ92-$AI92-$AH92-$AG92-$AF92-$AE92*(1+CD$3))/$AJ92,'Технический лист'!$I:$J,2,1)-VLOOKUP($AO92,'Технический лист'!$I:$J,2,1)),1+(1-$AU92))</f>
        <v/>
      </c>
      <c r="CE92" s="172">
        <f>MIN(IF($AU92=100%,1,1+VLOOKUP(($AJ92-$AI92-$AH92-$AG92-$AF92-$AE92*(1+CE$3))/$AJ92,'Технический лист'!$I:$J,2,1)-VLOOKUP($AO92,'Технический лист'!$I:$J,2,1)),1+(1-$AU92))</f>
        <v/>
      </c>
      <c r="CF92" s="172">
        <f>MIN(IF($AU92=100%,1,1+VLOOKUP(($AJ92-$AI92-$AH92-$AG92-$AF92-$AE92*(1+CF$3))/$AJ92,'Технический лист'!$I:$J,2,1)-VLOOKUP($AO92,'Технический лист'!$I:$J,2,1)),1+(1-$AU92))</f>
        <v/>
      </c>
      <c r="CG92" s="172">
        <f>MIN(IF($AU92=100%,1,1+VLOOKUP(($AJ92-$AI92-$AH92-$AG92-$AF92-$AE92*(1+CG$3))/$AJ92,'Технический лист'!$I:$J,2,1)-VLOOKUP($AO92,'Технический лист'!$I:$J,2,1)),1+(1-$AU92))</f>
        <v/>
      </c>
      <c r="CH92" s="172">
        <f>MIN(IF($AU92=100%,1,1+VLOOKUP(($AJ92-$AI92-$AH92-$AG92-$AF92-$AE92*(1+CH$3))/$AJ92,'Технический лист'!$I:$J,2,1)-VLOOKUP($AO92,'Технический лист'!$I:$J,2,1)),1+(1-$AU92))</f>
        <v/>
      </c>
      <c r="CI92" s="172">
        <f>MIN(IF($AU92=100%,1,1+VLOOKUP(($AJ92-$AI92-$AH92-$AG92-$AF92-$AE92*(1+CI$3))/$AJ92,'Технический лист'!$I:$J,2,1)-VLOOKUP($AO92,'Технический лист'!$I:$J,2,1)),1+(1-$AU92))</f>
        <v/>
      </c>
      <c r="CJ92" s="172">
        <f>MIN(IF($AU92=100%,1,1+VLOOKUP(($AJ92-$AI92-$AH92-$AG92-$AF92-$AE92*(1+CJ$3))/$AJ92,'Технический лист'!$I:$J,2,1)-VLOOKUP($AO92,'Технический лист'!$I:$J,2,1)),1+(1-$AU92))</f>
        <v/>
      </c>
      <c r="CK92" s="172">
        <f>MIN(IF($AU92=100%,1,1+VLOOKUP(($AJ92-$AI92-$AH92-$AG92-$AF92-$AE92*(1+CK$3))/$AJ92,'Технический лист'!$I:$J,2,1)-VLOOKUP($AO92,'Технический лист'!$I:$J,2,1)),1+(1-$AU92))</f>
        <v/>
      </c>
      <c r="CL92" s="172">
        <f>MIN(IF($AU92=100%,1,1+VLOOKUP(($AJ92-$AI92-$AH92-$AG92-$AF92-$AE92*(1+CL$3))/$AJ92,'Технический лист'!$I:$J,2,1)-VLOOKUP($AO92,'Технический лист'!$I:$J,2,1)),1+(1-$AU92))</f>
        <v/>
      </c>
      <c r="CM92" s="172">
        <f>MIN(IF($AU92=100%,1,1+VLOOKUP(($AJ92-$AI92-$AH92-$AG92-$AF92-$AE92*(1+CM$3))/$AJ92,'Технический лист'!$I:$J,2,1)-VLOOKUP($AO92,'Технический лист'!$I:$J,2,1)),1+(1-$AU92))</f>
        <v/>
      </c>
      <c r="CN92" s="172">
        <f>MIN(IF($AU92=100%,1,1+VLOOKUP(($AJ92-$AI92-$AH92-$AG92-$AF92-$AE92*(1+CN$3))/$AJ92,'Технический лист'!$I:$J,2,1)-VLOOKUP($AO92,'Технический лист'!$I:$J,2,1)),1+(1-$AU92))</f>
        <v/>
      </c>
      <c r="CO92" s="172">
        <f>MIN(IF($AU92=100%,1,1+VLOOKUP(($AJ92-$AI92-$AH92-$AG92-$AF92-$AE92*(1+CO$3))/$AJ92,'Технический лист'!$I:$J,2,1)-VLOOKUP($AO92,'Технический лист'!$I:$J,2,1)),1+(1-$AU92))</f>
        <v/>
      </c>
      <c r="CP92" s="172">
        <f>MIN(IF($AU92=100%,1,1+VLOOKUP(($AJ92-$AI92-$AH92-$AG92-$AF92-$AE92*(1+CP$3))/$AJ92,'Технический лист'!$I:$J,2,1)-VLOOKUP($AO92,'Технический лист'!$I:$J,2,1)),1+(1-$AU92))</f>
        <v/>
      </c>
      <c r="CQ92" s="172">
        <f>MIN(IF($AU92=100%,1,1+VLOOKUP(($AJ92-$AI92-$AH92-$AG92-$AF92-$AE92*(1+CQ$3))/$AJ92,'Технический лист'!$I:$J,2,1)-VLOOKUP($AO92,'Технический лист'!$I:$J,2,1)),1+(1-$AU92))</f>
        <v/>
      </c>
      <c r="CR92" s="172">
        <f>MIN(IF($AU92=100%,1,1+VLOOKUP(($AJ92-$AI92-$AH92-$AG92-$AF92-$AE92*(1+CR$3))/$AJ92,'Технический лист'!$I:$J,2,1)-VLOOKUP($AO92,'Технический лист'!$I:$J,2,1)),1+(1-$AU92))</f>
        <v/>
      </c>
      <c r="CS92" s="172">
        <f>MIN(IF($AU92=100%,1,1+VLOOKUP(($AJ92-$AI92-$AH92-$AG92-$AF92-$AE92*(1+CS$3))/$AJ92,'Технический лист'!$I:$J,2,1)-VLOOKUP($AO92,'Технический лист'!$I:$J,2,1)),1+(1-$AU92))</f>
        <v/>
      </c>
      <c r="CT92" s="172">
        <f>MIN(IF($AU92=100%,1,1+VLOOKUP(($AJ92-$AI92-$AH92-$AG92-$AF92-$AE92*(1+CT$3))/$AJ92,'Технический лист'!$I:$J,2,1)-VLOOKUP($AO92,'Технический лист'!$I:$J,2,1)),1+(1-$AU92))</f>
        <v/>
      </c>
      <c r="CU92" s="172">
        <f>MIN(IF($AU92=100%,1,1+VLOOKUP(($AJ92-$AI92-$AH92-$AG92-$AF92-$AE92*(1+CU$3))/$AJ92,'Технический лист'!$I:$J,2,1)-VLOOKUP($AO92,'Технический лист'!$I:$J,2,1)),1+(1-$AU92))</f>
        <v/>
      </c>
      <c r="CV92" s="172">
        <f>MIN(IF($AU92=100%,1,1+VLOOKUP(($AJ92-$AI92-$AH92-$AG92-$AF92-$AE92*(1+CV$3))/$AJ92,'Технический лист'!$I:$J,2,1)-VLOOKUP($AO92,'Технический лист'!$I:$J,2,1)),1+(1-$AU92))</f>
        <v/>
      </c>
      <c r="CW92" s="172">
        <f>MIN(IF($AU92=100%,1,1+VLOOKUP(($AJ92-$AI92-$AH92-$AG92-$AF92-$AE92*(1+CW$3))/$AJ92,'Технический лист'!$I:$J,2,1)-VLOOKUP($AO92,'Технический лист'!$I:$J,2,1)),1+(1-$AU92))</f>
        <v/>
      </c>
      <c r="CX92" s="172">
        <f>MIN(IF($AU92=100%,1,1+VLOOKUP(($AJ92-$AI92-$AH92-$AG92-$AF92-$AE92*(1+CX$3))/$AJ92,'Технический лист'!$I:$J,2,1)-VLOOKUP($AO92,'Технический лист'!$I:$J,2,1)),1+(1-$AU92))</f>
        <v/>
      </c>
      <c r="CY92" s="172">
        <f>MIN(IF($AU92=100%,1,1+VLOOKUP(($AJ92-$AI92-$AH92-$AG92-$AF92-$AE92*(1+CY$3))/$AJ92,'Технический лист'!$I:$J,2,1)-VLOOKUP($AO92,'Технический лист'!$I:$J,2,1)),1+(1-$AU92))</f>
        <v/>
      </c>
      <c r="CZ92" s="172">
        <f>MIN(IF($AU92=100%,1,1+VLOOKUP(($AJ92-$AI92-$AH92-$AG92-$AF92-$AE92*(1+CZ$3))/$AJ92,'Технический лист'!$I:$J,2,1)-VLOOKUP($AO92,'Технический лист'!$I:$J,2,1)),1+(1-$AU92))</f>
        <v/>
      </c>
      <c r="DA92" s="172">
        <f>MIN(IF($AU92=100%,1,1+VLOOKUP(($AJ92-$AI92-$AH92-$AG92-$AF92-$AE92*(1+DA$3))/$AJ92,'Технический лист'!$I:$J,2,1)-VLOOKUP($AO92,'Технический лист'!$I:$J,2,1)),1+(1-$AU92))</f>
        <v/>
      </c>
      <c r="DB92" s="172">
        <f>MIN(IF($AU92=100%,1,1+VLOOKUP(($AJ92-$AI92-$AH92-$AG92-$AF92-$AE92*(1+DB$3))/$AJ92,'Технический лист'!$I:$J,2,1)-VLOOKUP($AO92,'Технический лист'!$I:$J,2,1)),1+(1-$AU92))</f>
        <v/>
      </c>
      <c r="DC92" s="172">
        <f>MIN(IF($AU92=100%,1,1+VLOOKUP(($AJ92-$AI92-$AH92-$AG92-$AF92-$AE92*(1+DC$3))/$AJ92,'Технический лист'!$I:$J,2,1)-VLOOKUP($AO92,'Технический лист'!$I:$J,2,1)),1+(1-$AU92))</f>
        <v/>
      </c>
      <c r="DD92" s="172">
        <f>MIN(IF($AU92=100%,1,1+VLOOKUP(($AJ92-$AI92-$AH92-$AG92-$AF92-$AE92*(1+DD$3))/$AJ92,'Технический лист'!$I:$J,2,1)-VLOOKUP($AO92,'Технический лист'!$I:$J,2,1)),1+(1-$AU92))</f>
        <v/>
      </c>
      <c r="DE92" s="172">
        <f>MIN(IF($AU92=100%,1,1+VLOOKUP(($AJ92-$AI92-$AH92-$AG92-$AF92-$AE92*(1+DE$3))/$AJ92,'Технический лист'!$I:$J,2,1)-VLOOKUP($AO92,'Технический лист'!$I:$J,2,1)),1+(1-$AU92))</f>
        <v/>
      </c>
      <c r="DF92" s="172">
        <f>MIN(IF($AU92=100%,1,1+VLOOKUP(($AJ92-$AI92-$AH92-$AG92-$AF92-$AE92*(1+DF$3))/$AJ92,'Технический лист'!$I:$J,2,1)-VLOOKUP($AO92,'Технический лист'!$I:$J,2,1)),1+(1-$AU92))</f>
        <v/>
      </c>
      <c r="DG92" s="172">
        <f>MIN(IF($AU92=100%,1,1+VLOOKUP(($AJ92-$AI92-$AH92-$AG92-$AF92-$AE92*(1+DG$3))/$AJ92,'Технический лист'!$I:$J,2,1)-VLOOKUP($AO92,'Технический лист'!$I:$J,2,1)),1+(1-$AU92))</f>
        <v/>
      </c>
      <c r="DH92" s="172">
        <f>MIN(IF($AU92=100%,1,1+VLOOKUP(($AJ92-$AI92-$AH92-$AG92-$AF92-$AE92*(1+DH$3))/$AJ92,'Технический лист'!$I:$J,2,1)-VLOOKUP($AO92,'Технический лист'!$I:$J,2,1)),1+(1-$AU92))</f>
        <v/>
      </c>
      <c r="DI92" s="172">
        <f>MIN(IF($AU92=100%,1,1+VLOOKUP(($AJ92-$AI92-$AH92-$AG92-$AF92-$AE92*(1+DI$3))/$AJ92,'Технический лист'!$I:$J,2,1)-VLOOKUP($AO92,'Технический лист'!$I:$J,2,1)),1+(1-$AU92))</f>
        <v/>
      </c>
      <c r="DJ92" s="172">
        <f>MIN(IF($AU92=100%,1,1+VLOOKUP(($AJ92-$AI92-$AH92-$AG92-$AF92-$AE92*(1+DJ$3))/$AJ92,'Технический лист'!$I:$J,2,1)-VLOOKUP($AO92,'Технический лист'!$I:$J,2,1)),1+(1-$AU92))</f>
        <v/>
      </c>
      <c r="DK92" s="172">
        <f>MIN(IF($AU92=100%,1,1+VLOOKUP(($AJ92-$AI92-$AH92-$AG92-$AF92-$AE92*(1+DK$3))/$AJ92,'Технический лист'!$I:$J,2,1)-VLOOKUP($AO92,'Технический лист'!$I:$J,2,1)),1+(1-$AU92))</f>
        <v/>
      </c>
      <c r="DL92" s="172">
        <f>MIN(IF($AU92=100%,1,1+VLOOKUP(($AJ92-$AI92-$AH92-$AG92-$AF92-$AE92*(1+DL$3))/$AJ92,'Технический лист'!$I:$J,2,1)-VLOOKUP($AO92,'Технический лист'!$I:$J,2,1)),1+(1-$AU92))</f>
        <v/>
      </c>
      <c r="DM92" s="172">
        <f>MIN(IF($AU92=100%,1,1+VLOOKUP(($AJ92-$AI92-$AH92-$AG92-$AF92-$AE92*(1+DM$3))/$AJ92,'Технический лист'!$I:$J,2,1)-VLOOKUP($AO92,'Технический лист'!$I:$J,2,1)),1+(1-$AU92))</f>
        <v/>
      </c>
      <c r="DN92" s="172">
        <f>MIN(IF($AU92=100%,1,1+VLOOKUP(($AJ92-$AI92-$AH92-$AG92-$AF92-$AE92*(1+DN$3))/$AJ92,'Технический лист'!$I:$J,2,1)-VLOOKUP($AO92,'Технический лист'!$I:$J,2,1)),1+(1-$AU92))</f>
        <v/>
      </c>
      <c r="DO92" s="172">
        <f>MIN(IF($AU92=100%,1,1+VLOOKUP(($AJ92-$AI92-$AH92-$AG92-$AF92-$AE92*(1+DO$3))/$AJ92,'Технический лист'!$I:$J,2,1)-VLOOKUP($AO92,'Технический лист'!$I:$J,2,1)),1+(1-$AU92))</f>
        <v/>
      </c>
      <c r="DP92" s="172">
        <f>MIN(IF($AU92=100%,1,1+VLOOKUP(($AJ92-$AI92-$AH92-$AG92-$AF92-$AE92*(1+DP$3))/$AJ92,'Технический лист'!$I:$J,2,1)-VLOOKUP($AO92,'Технический лист'!$I:$J,2,1)),1+(1-$AU92))</f>
        <v/>
      </c>
      <c r="DQ92" s="172">
        <f>MIN(IF($AU92=100%,1,1+VLOOKUP(($AJ92-$AI92-$AH92-$AG92-$AF92-$AE92*(1+DQ$3))/$AJ92,'Технический лист'!$I:$J,2,1)-VLOOKUP($AO92,'Технический лист'!$I:$J,2,1)),1+(1-$AU92))</f>
        <v/>
      </c>
      <c r="DR92" s="172">
        <f>MIN(IF($AU92=100%,1,1+VLOOKUP(($AJ92-$AI92-$AH92-$AG92-$AF92-$AE92*(1+DR$3))/$AJ92,'Технический лист'!$I:$J,2,1)-VLOOKUP($AO92,'Технический лист'!$I:$J,2,1)),1+(1-$AU92))</f>
        <v/>
      </c>
      <c r="DS92" s="172">
        <f>MIN(IF($AU92=100%,1,1+VLOOKUP(($AJ92-$AI92-$AH92-$AG92-$AF92-$AE92*(1+DS$3))/$AJ92,'Технический лист'!$I:$J,2,1)-VLOOKUP($AO92,'Технический лист'!$I:$J,2,1)),1+(1-$AU92))</f>
        <v/>
      </c>
      <c r="DT92" s="172">
        <f>MIN(IF($AU92=100%,1,1+VLOOKUP(($AJ92-$AI92-$AH92-$AG92-$AF92-$AE92*(1+DT$3))/$AJ92,'Технический лист'!$I:$J,2,1)-VLOOKUP($AO92,'Технический лист'!$I:$J,2,1)),1+(1-$AU92))</f>
        <v/>
      </c>
      <c r="DU92" s="172">
        <f>MIN(IF($AU92=100%,1,1+VLOOKUP(($AJ92-$AI92-$AH92-$AG92-$AF92-$AE92*(1+DU$3))/$AJ92,'Технический лист'!$I:$J,2,1)-VLOOKUP($AO92,'Технический лист'!$I:$J,2,1)),1+(1-$AU92))</f>
        <v/>
      </c>
      <c r="DV92" s="172">
        <f>MIN(IF($AU92=100%,1,1+VLOOKUP(($AJ92-$AI92-$AH92-$AG92-$AF92-$AE92*(1+DV$3))/$AJ92,'Технический лист'!$I:$J,2,1)-VLOOKUP($AO92,'Технический лист'!$I:$J,2,1)),1+(1-$AU92))</f>
        <v/>
      </c>
      <c r="DW92" s="172">
        <f>MIN(IF($AU92=100%,1,1+VLOOKUP(($AJ92-$AI92-$AH92-$AG92-$AF92-$AE92*(1+DW$3))/$AJ92,'Технический лист'!$I:$J,2,1)-VLOOKUP($AO92,'Технический лист'!$I:$J,2,1)),1+(1-$AU92))</f>
        <v/>
      </c>
      <c r="DX92" s="172">
        <f>MIN(IF($AU92=100%,1,1+VLOOKUP(($AJ92-$AI92-$AH92-$AG92-$AF92-$AE92*(1+DX$3))/$AJ92,'Технический лист'!$I:$J,2,1)-VLOOKUP($AO92,'Технический лист'!$I:$J,2,1)),1+(1-$AU92))</f>
        <v/>
      </c>
      <c r="DY92" s="172">
        <f>MIN(IF($AU92=100%,1,1+VLOOKUP(($AJ92-$AI92-$AH92-$AG92-$AF92-$AE92*(1+DY$3))/$AJ92,'Технический лист'!$I:$J,2,1)-VLOOKUP($AO92,'Технический лист'!$I:$J,2,1)),1+(1-$AU92))</f>
        <v/>
      </c>
      <c r="DZ92" s="172">
        <f>MIN(IF($AU92=100%,1,1+VLOOKUP(($AJ92-$AI92-$AH92-$AG92-$AF92-$AE92*(1+DZ$3))/$AJ92,'Технический лист'!$I:$J,2,1)-VLOOKUP($AO92,'Технический лист'!$I:$J,2,1)),1+(1-$AU92))</f>
        <v/>
      </c>
      <c r="EA92" s="172">
        <f>MIN(IF($AU92=100%,1,1+VLOOKUP(($AJ92-$AI92-$AH92-$AG92-$AF92-$AE92*(1+EA$3))/$AJ92,'Технический лист'!$I:$J,2,1)-VLOOKUP($AO92,'Технический лист'!$I:$J,2,1)),1+(1-$AU92))</f>
        <v/>
      </c>
      <c r="EB92" s="172">
        <f>MIN(IF($AU92=100%,1,1+VLOOKUP(($AJ92-$AI92-$AH92-$AG92-$AF92-$AE92*(1+EB$3))/$AJ92,'Технический лист'!$I:$J,2,1)-VLOOKUP($AO92,'Технический лист'!$I:$J,2,1)),1+(1-$AU92))</f>
        <v/>
      </c>
      <c r="EC92" s="172">
        <f>MIN(IF($AU92=100%,1,1+VLOOKUP(($AJ92-$AI92-$AH92-$AG92-$AF92-$AE92*(1+EC$3))/$AJ92,'Технический лист'!$I:$J,2,1)-VLOOKUP($AO92,'Технический лист'!$I:$J,2,1)),1+(1-$AU92))</f>
        <v/>
      </c>
      <c r="ED92" s="172">
        <f>MIN(IF($AU92=100%,1,1+VLOOKUP(($AJ92-$AI92-$AH92-$AG92-$AF92-$AE92*(1+ED$3))/$AJ92,'Технический лист'!$I:$J,2,1)-VLOOKUP($AO92,'Технический лист'!$I:$J,2,1)),1+(1-$AU92))</f>
        <v/>
      </c>
      <c r="EE92" s="172">
        <f>MIN(IF($AU92=100%,1,1+VLOOKUP(($AJ92-$AI92-$AH92-$AG92-$AF92-$AE92*(1+EE$3))/$AJ92,'Технический лист'!$I:$J,2,1)-VLOOKUP($AO92,'Технический лист'!$I:$J,2,1)),1+(1-$AU92))</f>
        <v/>
      </c>
      <c r="EF92" s="172">
        <f>MIN(IF($AU92=100%,1,1+VLOOKUP(($AJ92-$AI92-$AH92-$AG92-$AF92-$AE92*(1+EF$3))/$AJ92,'Технический лист'!$I:$J,2,1)-VLOOKUP($AO92,'Технический лист'!$I:$J,2,1)),1+(1-$AU92))</f>
        <v/>
      </c>
      <c r="EG92" s="172">
        <f>MIN(IF($AU92=100%,1,1+VLOOKUP(($AJ92-$AI92-$AH92-$AG92-$AF92-$AE92*(1+EG$3))/$AJ92,'Технический лист'!$I:$J,2,1)-VLOOKUP($AO92,'Технический лист'!$I:$J,2,1)),1+(1-$AU92))</f>
        <v/>
      </c>
      <c r="EH92" s="172">
        <f>MIN(IF($AU92=100%,1,1+VLOOKUP(($AJ92-$AI92-$AH92-$AG92-$AF92-$AE92*(1+EH$3))/$AJ92,'Технический лист'!$I:$J,2,1)-VLOOKUP($AO92,'Технический лист'!$I:$J,2,1)),1+(1-$AU92))</f>
        <v/>
      </c>
      <c r="EI92" s="172">
        <f>MIN(IF($AU92=100%,1,1+VLOOKUP(($AJ92-$AI92-$AH92-$AG92-$AF92-$AE92*(1+EI$3))/$AJ92,'Технический лист'!$I:$J,2,1)-VLOOKUP($AO92,'Технический лист'!$I:$J,2,1)),1+(1-$AU92))</f>
        <v/>
      </c>
      <c r="EJ92" s="172">
        <f>MIN(IF($AU92=100%,1,1+VLOOKUP(($AJ92-$AI92-$AH92-$AG92-$AF92-$AE92*(1+EJ$3))/$AJ92,'Технический лист'!$I:$J,2,1)-VLOOKUP($AO92,'Технический лист'!$I:$J,2,1)),1+(1-$AU92))</f>
        <v/>
      </c>
      <c r="EK92" s="172">
        <f>MIN(IF($AU92=100%,1,1+VLOOKUP(($AJ92-$AI92-$AH92-$AG92-$AF92-$AE92*(1+EK$3))/$AJ92,'Технический лист'!$I:$J,2,1)-VLOOKUP($AO92,'Технический лист'!$I:$J,2,1)),1+(1-$AU92))</f>
        <v/>
      </c>
      <c r="EL92" s="172">
        <f>MIN(IF($AU92=100%,1,1+VLOOKUP(($AJ92-$AI92-$AH92-$AG92-$AF92-$AE92*(1+EL$3))/$AJ92,'Технический лист'!$I:$J,2,1)-VLOOKUP($AO92,'Технический лист'!$I:$J,2,1)),1+(1-$AU92))</f>
        <v/>
      </c>
      <c r="EM92" s="172">
        <f>MIN(IF($AU92=100%,1,1+VLOOKUP(($AJ92-$AI92-$AH92-$AG92-$AF92-$AE92*(1+EM$3))/$AJ92,'Технический лист'!$I:$J,2,1)-VLOOKUP($AO92,'Технический лист'!$I:$J,2,1)),1+(1-$AU92))</f>
        <v/>
      </c>
      <c r="EN92" s="172">
        <f>MIN(IF($AU92=100%,1,1+VLOOKUP(($AJ92-$AI92-$AH92-$AG92-$AF92-$AE92*(1+EN$3))/$AJ92,'Технический лист'!$I:$J,2,1)-VLOOKUP($AO92,'Технический лист'!$I:$J,2,1)),1+(1-$AU92))</f>
        <v/>
      </c>
      <c r="EO92" s="172">
        <f>MIN(IF($AU92=100%,1,1+VLOOKUP(($AJ92-$AI92-$AH92-$AG92-$AF92-$AE92*(1+EO$3))/$AJ92,'Технический лист'!$I:$J,2,1)-VLOOKUP($AO92,'Технический лист'!$I:$J,2,1)),1+(1-$AU92))</f>
        <v/>
      </c>
      <c r="EP92" s="172">
        <f>MIN(IF($AU92=100%,1,1+VLOOKUP(($AJ92-$AI92-$AH92-$AG92-$AF92-$AE92*(1+EP$3))/$AJ92,'Технический лист'!$I:$J,2,1)-VLOOKUP($AO92,'Технический лист'!$I:$J,2,1)),1+(1-$AU92))</f>
        <v/>
      </c>
      <c r="EQ92" s="172">
        <f>MIN(IF($AU92=100%,1,1+VLOOKUP(($AJ92-$AI92-$AH92-$AG92-$AF92-$AE92*(1+EQ$3))/$AJ92,'Технический лист'!$I:$J,2,1)-VLOOKUP($AO92,'Технический лист'!$I:$J,2,1)),1+(1-$AU92))</f>
        <v/>
      </c>
      <c r="ER92" s="172">
        <f>MIN(IF($AU92=100%,1,1+VLOOKUP(($AJ92-$AI92-$AH92-$AG92-$AF92-$AE92*(1+ER$3))/$AJ92,'Технический лист'!$I:$J,2,1)-VLOOKUP($AO92,'Технический лист'!$I:$J,2,1)),1+(1-$AU92))</f>
        <v/>
      </c>
      <c r="ES92" s="172">
        <f>MIN(IF($AU92=100%,1,1+VLOOKUP(($AJ92-$AI92-$AH92-$AG92-$AF92-$AE92*(1+ES$3))/$AJ92,'Технический лист'!$I:$J,2,1)-VLOOKUP($AO92,'Технический лист'!$I:$J,2,1)),1+(1-$AU92))</f>
        <v/>
      </c>
      <c r="ET92" s="172">
        <f>MIN(IF($AU92=100%,1,1+VLOOKUP(($AJ92-$AI92-$AH92-$AG92-$AF92-$AE92*(1+ET$3))/$AJ92,'Технический лист'!$I:$J,2,1)-VLOOKUP($AO92,'Технический лист'!$I:$J,2,1)),1+(1-$AU92))</f>
        <v/>
      </c>
      <c r="EU92" s="172">
        <f>MIN(IF($AU92=100%,1,1+VLOOKUP(($AJ92-$AI92-$AH92-$AG92-$AF92-$AE92*(1+EU$3))/$AJ92,'Технический лист'!$I:$J,2,1)-VLOOKUP($AO92,'Технический лист'!$I:$J,2,1)),1+(1-$AU92))</f>
        <v/>
      </c>
      <c r="EV92" s="173" t="n">
        <v>1</v>
      </c>
      <c r="EW92" s="172">
        <f>MIN(1,MAX(VLOOKUP(($AJ92-$AI92-$AH92-$AG92-$AF92-$AE92*(1+EW$3))/$AJ92,'Технический лист'!$A:$B,2,1),(EV92-0.05)))</f>
        <v/>
      </c>
      <c r="EX92" s="172">
        <f>MIN(1,MAX(VLOOKUP(($AJ92-$AI92-$AH92-$AG92-$AF92-$AE92*(1+EX$3))/$AJ92,'Технический лист'!$A:$B,2,1),(EW92-0.05)))</f>
        <v/>
      </c>
      <c r="EY92" s="172">
        <f>MIN(1,MAX(VLOOKUP(($AJ92-$AI92-$AH92-$AG92-$AF92-$AE92*(1+EY$3))/$AJ92,'Технический лист'!$A:$B,2,1),(EX92-0.05)))</f>
        <v/>
      </c>
      <c r="EZ92" s="172">
        <f>MIN(1,MAX(VLOOKUP(($AJ92-$AI92-$AH92-$AG92-$AF92-$AE92*(1+EZ$3))/$AJ92,'Технический лист'!$A:$B,2,1),(EY92-0.05)))</f>
        <v/>
      </c>
      <c r="FA92" s="172">
        <f>MIN(1,MAX(VLOOKUP(($AJ92-$AI92-$AH92-$AG92-$AF92-$AE92*(1+FA$3))/$AJ92,'Технический лист'!$A:$B,2,1),(EZ92-0.05)))</f>
        <v/>
      </c>
      <c r="FB92" s="172">
        <f>MIN(1,MAX(VLOOKUP(($AJ92-$AI92-$AH92-$AG92-$AF92-$AE92*(1+FB$3))/$AJ92,'Технический лист'!$A:$B,2,1),(FA92-0.05)))</f>
        <v/>
      </c>
      <c r="FC92" s="172">
        <f>MIN(1,MAX(VLOOKUP(($AJ92-$AI92-$AH92-$AG92-$AF92-$AE92*(1+FC$3))/$AJ92,'Технический лист'!$A:$B,2,1),(FB92-0.05)))</f>
        <v/>
      </c>
      <c r="FD92" s="172">
        <f>MIN(1,MAX(VLOOKUP(($AJ92-$AI92-$AH92-$AG92-$AF92-$AE92*(1+FD$3))/$AJ92,'Технический лист'!$A:$B,2,1),(FC92-0.05)))</f>
        <v/>
      </c>
      <c r="FE92" s="172">
        <f>MIN(1,MAX(VLOOKUP(($AJ92-$AI92-$AH92-$AG92-$AF92-$AE92*(1+FE$3))/$AJ92,'Технический лист'!$A:$B,2,1),(FD92-0.05)))</f>
        <v/>
      </c>
      <c r="FF92" s="172">
        <f>MIN(1,MAX(VLOOKUP(($AJ92-$AI92-$AH92-$AG92-$AF92-$AE92*(1+FF$3))/$AJ92,'Технический лист'!$A:$B,2,1),(FE92-0.05)))</f>
        <v/>
      </c>
      <c r="FG92" s="172">
        <f>MIN(1,MAX(VLOOKUP(($AJ92-$AI92-$AH92-$AG92-$AF92-$AE92*(1+FG$3))/$AJ92,'Технический лист'!$A:$B,2,1),(FF92-0.05)))</f>
        <v/>
      </c>
      <c r="FH92" s="172">
        <f>MIN(1,MAX(VLOOKUP(($AJ92-$AI92-$AH92-$AG92-$AF92-$AE92*(1+FH$3))/$AJ92,'Технический лист'!$A:$B,2,1),(FG92-0.05)))</f>
        <v/>
      </c>
      <c r="FI92" s="172">
        <f>MIN(1,MAX(VLOOKUP(($AJ92-$AI92-$AH92-$AG92-$AF92-$AE92*(1+FI$3))/$AJ92,'Технический лист'!$A:$B,2,1),(FH92-0.05)))</f>
        <v/>
      </c>
      <c r="FJ92" s="172">
        <f>MIN(1,MAX(VLOOKUP(($AJ92-$AI92-$AH92-$AG92-$AF92-$AE92*(1+FJ$3))/$AJ92,'Технический лист'!$A:$B,2,1),(FI92-0.05)))</f>
        <v/>
      </c>
      <c r="FK92" s="172">
        <f>MIN(1,MAX(VLOOKUP(($AJ92-$AI92-$AH92-$AG92-$AF92-$AE92*(1+FK$3))/$AJ92,'Технический лист'!$A:$B,2,1),(FJ92-0.05)))</f>
        <v/>
      </c>
      <c r="FL92" s="172">
        <f>MIN(1,MAX(VLOOKUP(($AJ92-$AI92-$AH92-$AG92-$AF92-$AE92*(1+FL$3))/$AJ92,'Технический лист'!$A:$B,2,1),(FK92-0.05)))</f>
        <v/>
      </c>
      <c r="FM92" s="172">
        <f>MIN(1,MAX(VLOOKUP(($AJ92-$AI92-$AH92-$AG92-$AF92-$AE92*(1+FM$3))/$AJ92,'Технический лист'!$A:$B,2,1),(FL92-0.05)))</f>
        <v/>
      </c>
      <c r="FN92" s="172">
        <f>MIN(1,MAX(VLOOKUP(($AJ92-$AI92-$AH92-$AG92-$AF92-$AE92*(1+FN$3))/$AJ92,'Технический лист'!$A:$B,2,1),(FM92-0.05)))</f>
        <v/>
      </c>
      <c r="FO92" s="172">
        <f>MIN(1,MAX(VLOOKUP(($AJ92-$AI92-$AH92-$AG92-$AF92-$AE92*(1+FO$3))/$AJ92,'Технический лист'!$A:$B,2,1),(FN92-0.05)))</f>
        <v/>
      </c>
      <c r="FP92" s="172">
        <f>MIN(1,MAX(VLOOKUP(($AJ92-$AI92-$AH92-$AG92-$AF92-$AE92*(1+FP$3))/$AJ92,'Технический лист'!$A:$B,2,1),(FO92-0.05)))</f>
        <v/>
      </c>
      <c r="FQ92" s="172">
        <f>MIN(1,MAX(VLOOKUP(($AJ92-$AI92-$AH92-$AG92-$AF92-$AE92*(1+FQ$3))/$AJ92,'Технический лист'!$A:$B,2,1),(FP92-0.05)))</f>
        <v/>
      </c>
      <c r="FR92" s="172">
        <f>MIN(1,MAX(VLOOKUP(($AJ92-$AI92-$AH92-$AG92-$AF92-$AE92*(1+FR$3))/$AJ92,'Технический лист'!$A:$B,2,1),(FQ92-0.05)))</f>
        <v/>
      </c>
      <c r="FS92" s="172">
        <f>MIN(1,MAX(VLOOKUP(($AJ92-$AI92-$AH92-$AG92-$AF92-$AE92*(1+FS$3))/$AJ92,'Технический лист'!$A:$B,2,1),(FR92-0.05)))</f>
        <v/>
      </c>
      <c r="FT92" s="172">
        <f>MIN(1,MAX(VLOOKUP(($AJ92-$AI92-$AH92-$AG92-$AF92-$AE92*(1+FT$3))/$AJ92,'Технический лист'!$A:$B,2,1),(FS92-0.05)))</f>
        <v/>
      </c>
      <c r="FU92" s="172">
        <f>MIN(1,MAX(VLOOKUP(($AJ92-$AI92-$AH92-$AG92-$AF92-$AE92*(1+FU$3))/$AJ92,'Технический лист'!$A:$B,2,1),(FT92-0.05)))</f>
        <v/>
      </c>
      <c r="FV92" s="172">
        <f>MIN(1,MAX(VLOOKUP(($AJ92-$AI92-$AH92-$AG92-$AF92-$AE92*(1+FV$3))/$AJ92,'Технический лист'!$A:$B,2,1),(FU92-0.05)))</f>
        <v/>
      </c>
      <c r="FW92" s="172">
        <f>MIN(1,MAX(VLOOKUP(($AJ92-$AI92-$AH92-$AG92-$AF92-$AE92*(1+FW$3))/$AJ92,'Технический лист'!$A:$B,2,1),(FV92-0.05)))</f>
        <v/>
      </c>
      <c r="FX92" s="172">
        <f>MIN(1,MAX(VLOOKUP(($AJ92-$AI92-$AH92-$AG92-$AF92-$AE92*(1+FX$3))/$AJ92,'Технический лист'!$A:$B,2,1),(FW92-0.05)))</f>
        <v/>
      </c>
      <c r="FY92" s="172">
        <f>MIN(1,MAX(VLOOKUP(($AJ92-$AI92-$AH92-$AG92-$AF92-$AE92*(1+FY$3))/$AJ92,'Технический лист'!$A:$B,2,1),(FX92-0.05)))</f>
        <v/>
      </c>
      <c r="FZ92" s="172">
        <f>MIN(1,MAX(VLOOKUP(($AJ92-$AI92-$AH92-$AG92-$AF92-$AE92*(1+FZ$3))/$AJ92,'Технический лист'!$A:$B,2,1),(FY92-0.05)))</f>
        <v/>
      </c>
      <c r="GA92" s="172">
        <f>MIN(1,MAX(VLOOKUP(($AJ92-$AI92-$AH92-$AG92-$AF92-$AE92*(1+GA$3))/$AJ92,'Технический лист'!$A:$B,2,1),(FZ92-0.05)))</f>
        <v/>
      </c>
      <c r="GB92" s="172">
        <f>MIN(1,MAX(VLOOKUP(($AJ92-$AI92-$AH92-$AG92-$AF92-$AE92*(1+GB$3))/$AJ92,'Технический лист'!$A:$B,2,1),(GA92-0.05)))</f>
        <v/>
      </c>
      <c r="GC92" s="172">
        <f>MIN(1,MAX(VLOOKUP(($AJ92-$AI92-$AH92-$AG92-$AF92-$AE92*(1+GC$3))/$AJ92,'Технический лист'!$A:$B,2,1),(GB92-0.05)))</f>
        <v/>
      </c>
      <c r="GD92" s="172">
        <f>MIN(1,MAX(VLOOKUP(($AJ92-$AI92-$AH92-$AG92-$AF92-$AE92*(1+GD$3))/$AJ92,'Технический лист'!$A:$B,2,1),(GC92-0.05)))</f>
        <v/>
      </c>
      <c r="GE92" s="172">
        <f>MIN(1,MAX(VLOOKUP(($AJ92-$AI92-$AH92-$AG92-$AF92-$AE92*(1+GE$3))/$AJ92,'Технический лист'!$A:$B,2,1),(GD92-0.05)))</f>
        <v/>
      </c>
      <c r="GF92" s="172">
        <f>MIN(1,MAX(VLOOKUP(($AJ92-$AI92-$AH92-$AG92-$AF92-$AE92*(1+GF$3))/$AJ92,'Технический лист'!$A:$B,2,1),(GE92-0.05)))</f>
        <v/>
      </c>
      <c r="GG92" s="172">
        <f>MIN(1,MAX(VLOOKUP(($AJ92-$AI92-$AH92-$AG92-$AF92-$AE92*(1+GG$3))/$AJ92,'Технический лист'!$A:$B,2,1),(GF92-0.05)))</f>
        <v/>
      </c>
      <c r="GH92" s="172">
        <f>MIN(1,MAX(VLOOKUP(($AJ92-$AI92-$AH92-$AG92-$AF92-$AE92*(1+GH$3))/$AJ92,'Технический лист'!$A:$B,2,1),(GG92-0.05)))</f>
        <v/>
      </c>
      <c r="GI92" s="172">
        <f>MIN(1,MAX(VLOOKUP(($AJ92-$AI92-$AH92-$AG92-$AF92-$AE92*(1+GI$3))/$AJ92,'Технический лист'!$A:$B,2,1),(GH92-0.05)))</f>
        <v/>
      </c>
      <c r="GJ92" s="172">
        <f>MIN(1,MAX(VLOOKUP(($AJ92-$AI92-$AH92-$AG92-$AF92-$AE92*(1+GJ$3))/$AJ92,'Технический лист'!$A:$B,2,1),(GI92-0.05)))</f>
        <v/>
      </c>
      <c r="GK92" s="172">
        <f>MIN(1,MAX(VLOOKUP(($AJ92-$AI92-$AH92-$AG92-$AF92-$AE92*(1+GK$3))/$AJ92,'Технический лист'!$A:$B,2,1),(GJ92-0.05)))</f>
        <v/>
      </c>
      <c r="GL92" s="172">
        <f>MIN(1,MAX(VLOOKUP(($AJ92-$AI92-$AH92-$AG92-$AF92-$AE92*(1+GL$3))/$AJ92,'Технический лист'!$A:$B,2,1),(GK92-0.05)))</f>
        <v/>
      </c>
      <c r="GM92" s="172">
        <f>MIN(1,MAX(VLOOKUP(($AJ92-$AI92-$AH92-$AG92-$AF92-$AE92*(1+GM$3))/$AJ92,'Технический лист'!$A:$B,2,1),(GL92-0.05)))</f>
        <v/>
      </c>
      <c r="GN92" s="172">
        <f>MIN(1,MAX(VLOOKUP(($AJ92-$AI92-$AH92-$AG92-$AF92-$AE92*(1+GN$3))/$AJ92,'Технический лист'!$A:$B,2,1),(GM92-0.05)))</f>
        <v/>
      </c>
      <c r="GO92" s="172">
        <f>MIN(1,MAX(VLOOKUP(($AJ92-$AI92-$AH92-$AG92-$AF92-$AE92*(1+GO$3))/$AJ92,'Технический лист'!$A:$B,2,1),(GN92-0.05)))</f>
        <v/>
      </c>
      <c r="GP92" s="172">
        <f>MIN(1,MAX(VLOOKUP(($AJ92-$AI92-$AH92-$AG92-$AF92-$AE92*(1+GP$3))/$AJ92,'Технический лист'!$A:$B,2,1),(GO92-0.05)))</f>
        <v/>
      </c>
      <c r="GQ92" s="172">
        <f>MIN(1,MAX(VLOOKUP(($AJ92-$AI92-$AH92-$AG92-$AF92-$AE92*(1+GQ$3))/$AJ92,'Технический лист'!$A:$B,2,1),(GP92-0.05)))</f>
        <v/>
      </c>
      <c r="GR92" s="172">
        <f>MIN(1,MAX(VLOOKUP(($AJ92-$AI92-$AH92-$AG92-$AF92-$AE92*(1+GR$3))/$AJ92,'Технический лист'!$A:$B,2,1),(GQ92-0.05)))</f>
        <v/>
      </c>
      <c r="GS92" s="172">
        <f>MIN(1,MAX(VLOOKUP(($AJ92-$AI92-$AH92-$AG92-$AF92-$AE92*(1+GS$3))/$AJ92,'Технический лист'!$A:$B,2,1),(GR92-0.05)))</f>
        <v/>
      </c>
      <c r="GT92" s="172">
        <f>MIN(1,MAX(VLOOKUP(($AJ92-$AI92-$AH92-$AG92-$AF92-$AE92*(1+GT$3))/$AJ92,'Технический лист'!$A:$B,2,1),(GS92-0.05)))</f>
        <v/>
      </c>
      <c r="GU92" s="172">
        <f>MIN(1,MAX(VLOOKUP(($AJ92-$AI92-$AH92-$AG92-$AF92-$AE92*(1+GU$3))/$AJ92,'Технический лист'!$A:$B,2,1),(GT92-0.05)))</f>
        <v/>
      </c>
      <c r="GV92" s="172">
        <f>MIN(1,MAX(VLOOKUP(($AJ92-$AI92-$AH92-$AG92-$AF92-$AE92*(1+GV$3))/$AJ92,'Технический лист'!$A:$B,2,1),(GU92-0.05)))</f>
        <v/>
      </c>
      <c r="GW92" s="172">
        <f>MIN(1,MAX(VLOOKUP(($AJ92-$AI92-$AH92-$AG92-$AF92-$AE92*(1+GW$3))/$AJ92,'Технический лист'!$A:$B,2,1),(GV92-0.05)))</f>
        <v/>
      </c>
      <c r="GX92" s="172">
        <f>MIN(1,MAX(VLOOKUP(($AJ92-$AI92-$AH92-$AG92-$AF92-$AE92*(1+GX$3))/$AJ92,'Технический лист'!$A:$B,2,1),(GW92-0.05)))</f>
        <v/>
      </c>
      <c r="GY92" s="172">
        <f>MIN(1,MAX(VLOOKUP(($AJ92-$AI92-$AH92-$AG92-$AF92-$AE92*(1+GY$3))/$AJ92,'Технический лист'!$A:$B,2,1),(GX92-0.05)))</f>
        <v/>
      </c>
      <c r="GZ92" s="172">
        <f>MIN(1,MAX(VLOOKUP(($AJ92-$AI92-$AH92-$AG92-$AF92-$AE92*(1+GZ$3))/$AJ92,'Технический лист'!$A:$B,2,1),(GY92-0.05)))</f>
        <v/>
      </c>
      <c r="HA92" s="172">
        <f>MIN(1,MAX(VLOOKUP(($AJ92-$AI92-$AH92-$AG92-$AF92-$AE92*(1+HA$3))/$AJ92,'Технический лист'!$A:$B,2,1),(GZ92-0.05)))</f>
        <v/>
      </c>
      <c r="HB92" s="172">
        <f>MIN(1,MAX(VLOOKUP(($AJ92-$AI92-$AH92-$AG92-$AF92-$AE92*(1+HB$3))/$AJ92,'Технический лист'!$A:$B,2,1),(HA92-0.05)))</f>
        <v/>
      </c>
      <c r="HC92" s="172">
        <f>MIN(1,MAX(VLOOKUP(($AJ92-$AI92-$AH92-$AG92-$AF92-$AE92*(1+HC$3))/$AJ92,'Технический лист'!$A:$B,2,1),(HB92-0.05)))</f>
        <v/>
      </c>
      <c r="HD92" s="172">
        <f>MIN(1,MAX(VLOOKUP(($AJ92-$AI92-$AH92-$AG92-$AF92-$AE92*(1+HD$3))/$AJ92,'Технический лист'!$A:$B,2,1),(HC92-0.05)))</f>
        <v/>
      </c>
      <c r="HE92" s="172">
        <f>MIN(1,MAX(VLOOKUP(($AJ92-$AI92-$AH92-$AG92-$AF92-$AE92*(1+HE$3))/$AJ92,'Технический лист'!$A:$B,2,1),(HD92-0.05)))</f>
        <v/>
      </c>
      <c r="HF92" s="172">
        <f>MIN(1,MAX(VLOOKUP(($AJ92-$AI92-$AH92-$AG92-$AF92-$AE92*(1+HF$3))/$AJ92,'Технический лист'!$A:$B,2,1),(HE92-0.05)))</f>
        <v/>
      </c>
      <c r="HG92" s="172">
        <f>MIN(1,MAX(VLOOKUP(($AJ92-$AI92-$AH92-$AG92-$AF92-$AE92*(1+HG$3))/$AJ92,'Технический лист'!$A:$B,2,1),(HF92-0.05)))</f>
        <v/>
      </c>
      <c r="HH92" s="172">
        <f>MIN(1,MAX(VLOOKUP(($AJ92-$AI92-$AH92-$AG92-$AF92-$AE92*(1+HH$3))/$AJ92,'Технический лист'!$A:$B,2,1),(HG92-0.05)))</f>
        <v/>
      </c>
      <c r="HI92" s="172">
        <f>MIN(1,MAX(VLOOKUP(($AJ92-$AI92-$AH92-$AG92-$AF92-$AE92*(1+HI$3))/$AJ92,'Технический лист'!$A:$B,2,1),(HH92-0.05)))</f>
        <v/>
      </c>
      <c r="HJ92" s="172">
        <f>MIN(1,MAX(VLOOKUP(($AJ92-$AI92-$AH92-$AG92-$AF92-$AE92*(1+HJ$3))/$AJ92,'Технический лист'!$A:$B,2,1),(HI92-0.05)))</f>
        <v/>
      </c>
      <c r="HK92" s="172">
        <f>MIN(1,MAX(VLOOKUP(($AJ92-$AI92-$AH92-$AG92-$AF92-$AE92*(1+HK$3))/$AJ92,'Технический лист'!$A:$B,2,1),(HJ92-0.05)))</f>
        <v/>
      </c>
      <c r="HL92" s="172">
        <f>MIN(1,MAX(VLOOKUP(($AJ92-$AI92-$AH92-$AG92-$AF92-$AE92*(1+HL$3))/$AJ92,'Технический лист'!$A:$B,2,1),(HK92-0.05)))</f>
        <v/>
      </c>
      <c r="HM92" s="172">
        <f>MIN(1,MAX(VLOOKUP(($AJ92-$AI92-$AH92-$AG92-$AF92-$AE92*(1+HM$3))/$AJ92,'Технический лист'!$A:$B,2,1),(HL92-0.05)))</f>
        <v/>
      </c>
      <c r="HN92" s="172">
        <f>MIN(1,MAX(VLOOKUP(($AJ92-$AI92-$AH92-$AG92-$AF92-$AE92*(1+HN$3))/$AJ92,'Технический лист'!$A:$B,2,1),(HM92-0.05)))</f>
        <v/>
      </c>
      <c r="HO92" s="172">
        <f>MIN(1,MAX(VLOOKUP(($AJ92-$AI92-$AH92-$AG92-$AF92-$AE92*(1+HO$3))/$AJ92,'Технический лист'!$A:$B,2,1),(HN92-0.05)))</f>
        <v/>
      </c>
      <c r="HP92" s="172">
        <f>MIN(1,MAX(VLOOKUP(($AJ92-$AI92-$AH92-$AG92-$AF92-$AE92*(1+HP$3))/$AJ92,'Технический лист'!$A:$B,2,1),(HO92-0.05)))</f>
        <v/>
      </c>
      <c r="HQ92" s="172">
        <f>MIN(1,MAX(VLOOKUP(($AJ92-$AI92-$AH92-$AG92-$AF92-$AE92*(1+HQ$3))/$AJ92,'Технический лист'!$A:$B,2,1),(HP92-0.05)))</f>
        <v/>
      </c>
      <c r="HR92" s="172">
        <f>MIN(1,MAX(VLOOKUP(($AJ92-$AI92-$AH92-$AG92-$AF92-$AE92*(1+HR$3))/$AJ92,'Технический лист'!$A:$B,2,1),(HQ92-0.05)))</f>
        <v/>
      </c>
      <c r="HS92" s="172">
        <f>MIN(1,MAX(VLOOKUP(($AJ92-$AI92-$AH92-$AG92-$AF92-$AE92*(1+HS$3))/$AJ92,'Технический лист'!$A:$B,2,1),(HR92-0.05)))</f>
        <v/>
      </c>
      <c r="HT92" s="172">
        <f>MIN(1,MAX(VLOOKUP(($AJ92-$AI92-$AH92-$AG92-$AF92-$AE92*(1+HT$3))/$AJ92,'Технический лист'!$A:$B,2,1),(HS92-0.05)))</f>
        <v/>
      </c>
      <c r="HU92" s="172">
        <f>MIN(1,MAX(VLOOKUP(($AJ92-$AI92-$AH92-$AG92-$AF92-$AE92*(1+HU$3))/$AJ92,'Технический лист'!$A:$B,2,1),(HT92-0.05)))</f>
        <v/>
      </c>
      <c r="HV92" s="172">
        <f>MIN(1,MAX(VLOOKUP(($AJ92-$AI92-$AH92-$AG92-$AF92-$AE92*(1+HV$3))/$AJ92,'Технический лист'!$A:$B,2,1),(HU92-0.05)))</f>
        <v/>
      </c>
      <c r="HW92" s="172">
        <f>MIN(1,MAX(VLOOKUP(($AJ92-$AI92-$AH92-$AG92-$AF92-$AE92*(1+HW$3))/$AJ92,'Технический лист'!$A:$B,2,1),(HV92-0.05)))</f>
        <v/>
      </c>
      <c r="HX92" s="172">
        <f>MIN(1,MAX(VLOOKUP(($AJ92-$AI92-$AH92-$AG92-$AF92-$AE92*(1+HX$3))/$AJ92,'Технический лист'!$A:$B,2,1),(HW92-0.05)))</f>
        <v/>
      </c>
      <c r="HY92" s="172">
        <f>MIN(1,MAX(VLOOKUP(($AJ92-$AI92-$AH92-$AG92-$AF92-$AE92*(1+HY$3))/$AJ92,'Технический лист'!$A:$B,2,1),(HX92-0.05)))</f>
        <v/>
      </c>
      <c r="HZ92" s="172">
        <f>MIN(1,MAX(VLOOKUP(($AJ92-$AI92-$AH92-$AG92-$AF92-$AE92*(1+HZ$3))/$AJ92,'Технический лист'!$A:$B,2,1),(HY92-0.05)))</f>
        <v/>
      </c>
      <c r="IA92" s="172">
        <f>MIN(1,MAX(VLOOKUP(($AJ92-$AI92-$AH92-$AG92-$AF92-$AE92*(1+IA$3))/$AJ92,'Технический лист'!$A:$B,2,1),(HZ92-0.05)))</f>
        <v/>
      </c>
      <c r="IB92" s="172">
        <f>MIN(1,MAX(VLOOKUP(($AJ92-$AI92-$AH92-$AG92-$AF92-$AE92*(1+IB$3))/$AJ92,'Технический лист'!$A:$B,2,1),(IA92-0.05)))</f>
        <v/>
      </c>
      <c r="IC92" s="172">
        <f>MIN(1,MAX(VLOOKUP(($AJ92-$AI92-$AH92-$AG92-$AF92-$AE92*(1+IC$3))/$AJ92,'Технический лист'!$A:$B,2,1),(IB92-0.05)))</f>
        <v/>
      </c>
      <c r="ID92" s="172">
        <f>MIN(1,MAX(VLOOKUP(($AJ92-$AI92-$AH92-$AG92-$AF92-$AE92*(1+ID$3))/$AJ92,'Технический лист'!$A:$B,2,1),(IC92-0.05)))</f>
        <v/>
      </c>
      <c r="IE92" s="172">
        <f>MIN(1,MAX(VLOOKUP(($AJ92-$AI92-$AH92-$AG92-$AF92-$AE92*(1+IE$3))/$AJ92,'Технический лист'!$A:$B,2,1),(ID92-0.05)))</f>
        <v/>
      </c>
      <c r="IF92" s="172">
        <f>MIN(1,MAX(VLOOKUP(($AJ92-$AI92-$AH92-$AG92-$AF92-$AE92*(1+IF$3))/$AJ92,'Технический лист'!$A:$B,2,1),(IE92-0.05)))</f>
        <v/>
      </c>
      <c r="IG92" s="172">
        <f>MIN(1,MAX(VLOOKUP(($AJ92-$AI92-$AH92-$AG92-$AF92-$AE92*(1+IG$3))/$AJ92,'Технический лист'!$A:$B,2,1),(IF92-0.05)))</f>
        <v/>
      </c>
      <c r="IH92" s="172">
        <f>MIN(1,MAX(VLOOKUP(($AJ92-$AI92-$AH92-$AG92-$AF92-$AE92*(1+IH$3))/$AJ92,'Технический лист'!$A:$B,2,1),(IG92-0.05)))</f>
        <v/>
      </c>
      <c r="II92" s="172">
        <f>MIN(1,MAX(VLOOKUP(($AJ92-$AI92-$AH92-$AG92-$AF92-$AE92*(1+II$3))/$AJ92,'Технический лист'!$A:$B,2,1),(IH92-0.05)))</f>
        <v/>
      </c>
      <c r="IJ92" s="172">
        <f>MIN(1,MAX(VLOOKUP(($AJ92-$AI92-$AH92-$AG92-$AF92-$AE92*(1+IJ$3))/$AJ92,'Технический лист'!$A:$B,2,1),(II92-0.05)))</f>
        <v/>
      </c>
      <c r="IK92" s="172">
        <f>MIN(1,MAX(VLOOKUP(($AJ92-$AI92-$AH92-$AG92-$AF92-$AE92*(1+IK$3))/$AJ92,'Технический лист'!$A:$B,2,1),(IJ92-0.05)))</f>
        <v/>
      </c>
      <c r="IL92" s="172">
        <f>MIN(1,MAX(VLOOKUP(($AJ92-$AI92-$AH92-$AG92-$AF92-$AE92*(1+IL$3))/$AJ92,'Технический лист'!$A:$B,2,1),(IK92-0.05)))</f>
        <v/>
      </c>
      <c r="IM92" s="172">
        <f>MIN(1,MAX(VLOOKUP(($AJ92-$AI92-$AH92-$AG92-$AF92-$AE92*(1+IM$3))/$AJ92,'Технический лист'!$A:$B,2,1),(IL92-0.05)))</f>
        <v/>
      </c>
      <c r="IN92" s="172">
        <f>MIN(1,MAX(VLOOKUP(($AJ92-$AI92-$AH92-$AG92-$AF92-$AE92*(1+IN$3))/$AJ92,'Технический лист'!$A:$B,2,1),(IM92-0.05)))</f>
        <v/>
      </c>
      <c r="IO92" s="172">
        <f>MIN(1,MAX(VLOOKUP(($AJ92-$AI92-$AH92-$AG92-$AF92-$AE92*(1+IO$3))/$AJ92,'Технический лист'!$A:$B,2,1),(IN92-0.05)))</f>
        <v/>
      </c>
      <c r="IP92" s="172">
        <f>MIN(1,MAX(VLOOKUP(($AJ92-$AI92-$AH92-$AG92-$AF92-$AE92*(1+IP$3))/$AJ92,'Технический лист'!$A:$B,2,1),(IO92-0.05)))</f>
        <v/>
      </c>
      <c r="IQ92" s="172">
        <f>MIN(1,MAX(VLOOKUP(($AJ92-$AI92-$AH92-$AG92-$AF92-$AE92*(1+IQ$3))/$AJ92,'Технический лист'!$A:$B,2,1),(IP92-0.05)))</f>
        <v/>
      </c>
      <c r="IR92" s="172">
        <f>MIN(1,MAX(VLOOKUP(($AJ92-$AI92-$AH92-$AG92-$AF92-$AE92*(1+IR$3))/$AJ92,'Технический лист'!$A:$B,2,1),(IQ92-0.05)))</f>
        <v/>
      </c>
    </row>
    <row r="93" ht="58.3" customHeight="1" s="123">
      <c r="A93" s="89" t="inlineStr">
        <is>
          <t>ЧМ (продукция)</t>
        </is>
      </c>
      <c r="B93" s="90" t="n">
        <v>5</v>
      </c>
      <c r="C93" s="5" t="inlineStr">
        <is>
          <t>Черные металлы</t>
        </is>
      </c>
      <c r="D93" s="91" t="n">
        <v>32411</v>
      </c>
      <c r="E93" s="91" t="inlineStr">
        <is>
          <t xml:space="preserve">Прокат черных металлов, не поименованный в алфавите </t>
        </is>
      </c>
      <c r="F93" s="92" t="inlineStr">
        <is>
          <t>ПРОЧИЕ ВИДЫ ПРОКАТА ЧЕРНЫ</t>
        </is>
      </c>
      <c r="G93" s="91" t="inlineStr">
        <is>
          <t>ЮВС</t>
        </is>
      </c>
      <c r="H93" s="91" t="inlineStr">
        <is>
          <t>МСК</t>
        </is>
      </c>
      <c r="I93" s="91" t="inlineStr">
        <is>
          <t>КОТЕЛ</t>
        </is>
      </c>
      <c r="J93" s="91" t="inlineStr">
        <is>
          <t>КРАСНОЕ-ЭКСП</t>
        </is>
      </c>
      <c r="K93" s="91" t="n">
        <v>894</v>
      </c>
      <c r="L93" s="91" t="inlineStr">
        <is>
          <t>Полувагоны</t>
        </is>
      </c>
      <c r="M93" s="91" t="inlineStr">
        <is>
          <t>Экспорт</t>
        </is>
      </c>
      <c r="N93" s="91" t="inlineStr">
        <is>
          <t>вагонная</t>
        </is>
      </c>
      <c r="O93" s="91" t="inlineStr">
        <is>
          <t xml:space="preserve">Северо-Западное </t>
        </is>
      </c>
      <c r="P93" s="89" t="inlineStr">
        <is>
          <t>'000000187895</t>
        </is>
      </c>
      <c r="Q93" s="91" t="inlineStr">
        <is>
          <t>'ОАО "Оскольский электрометаллургический комбинат"</t>
        </is>
      </c>
      <c r="R93" s="91" t="inlineStr">
        <is>
          <t>ООО УК "Металлоинвест"</t>
        </is>
      </c>
      <c r="S93" s="87" t="n">
        <v>5295</v>
      </c>
      <c r="T93" s="87" t="n">
        <v>4735042</v>
      </c>
      <c r="U93" s="88" t="n">
        <v>82</v>
      </c>
      <c r="V93" s="88" t="n">
        <v>0</v>
      </c>
      <c r="W93" s="87" t="n">
        <v>11170650</v>
      </c>
      <c r="X93" s="112" t="n">
        <v>67</v>
      </c>
      <c r="Y93" s="112" t="inlineStr">
        <is>
          <t>групповая</t>
        </is>
      </c>
      <c r="Z93" s="113" t="n">
        <v>5</v>
      </c>
      <c r="AA93" s="113" t="n">
        <v>3</v>
      </c>
      <c r="AB93" s="113" t="n">
        <v>4</v>
      </c>
      <c r="AC93" s="161" t="n">
        <v>2043.6</v>
      </c>
      <c r="AD93" s="161">
        <f>AE93-AC93</f>
        <v/>
      </c>
      <c r="AE93" s="161" t="n">
        <v>2294.39</v>
      </c>
      <c r="AF93" s="162">
        <f>(Z93+AA93+AB93)*'Ставки аренды'!$B$3/X93</f>
        <v/>
      </c>
      <c r="AG93" s="163" t="n">
        <v>0</v>
      </c>
      <c r="AH93" s="164" t="n">
        <v>0</v>
      </c>
      <c r="AI93" s="165">
        <f>240828/411356*AVERAGE(AJ91,AJ93)</f>
        <v/>
      </c>
      <c r="AJ93" s="166">
        <f>Цены!C24*'Курсы валют'!B2</f>
        <v/>
      </c>
      <c r="AK93" s="164">
        <f>AJ93/Цены!$B$1</f>
        <v/>
      </c>
      <c r="AL93" s="164">
        <f>AE93+AF93+AG93</f>
        <v/>
      </c>
      <c r="AM93" s="164">
        <f>AJ93-AL93</f>
        <v/>
      </c>
      <c r="AN93" s="164">
        <f>AI93+AH93+AG93+AF93+AE93</f>
        <v/>
      </c>
      <c r="AO93" s="167">
        <f>(AJ93-AN93)/AJ93</f>
        <v/>
      </c>
      <c r="AP93" s="168">
        <f>AL93/AJ93</f>
        <v/>
      </c>
      <c r="AQ93" s="168">
        <f>AE93/AJ93</f>
        <v/>
      </c>
      <c r="AR93" s="168">
        <f>AE93/AL93</f>
        <v/>
      </c>
      <c r="AS93" s="169" t="n">
        <v>1</v>
      </c>
      <c r="AT93" s="121">
        <f>S93*AS93</f>
        <v/>
      </c>
      <c r="AU93" s="83" t="n">
        <v>0.9</v>
      </c>
      <c r="AV93" s="170">
        <f>(AJ93-(AE93*(1+$IS$2)+AF93+AG93+AH93+AI93))/AJ93</f>
        <v/>
      </c>
      <c r="AW93" s="171">
        <f>(AE93*(1+$IS$2)+AF93+AG93)/AJ93</f>
        <v/>
      </c>
      <c r="AX93" s="171">
        <f>(AE93*(1+$IS$2))/AJ93</f>
        <v/>
      </c>
      <c r="AY93" s="171">
        <f>(AE93*(1+$IS$2))/(AE93*(1+$IS$2)+AF93+AG93)</f>
        <v/>
      </c>
      <c r="AZ93" s="172">
        <f>MIN(IF($AU93=100%,1,1+VLOOKUP(($AJ93-$AI93-$AH93-$AG93-$AF93-$AE93*(1+AZ$3))/$AJ93,'Технический лист'!$I:$J,2,1)-VLOOKUP($AO93,'Технический лист'!$I:$J,2,1)),1+(1-$AU93))</f>
        <v/>
      </c>
      <c r="BA93" s="172">
        <f>MIN(IF($AU93=100%,1,1+VLOOKUP(($AJ93-$AI93-$AH93-$AG93-$AF93-$AE93*(1+BA$3))/$AJ93,'Технический лист'!$I:$J,2,1)-VLOOKUP($AO93,'Технический лист'!$I:$J,2,1)),1+(1-$AU93))</f>
        <v/>
      </c>
      <c r="BB93" s="172">
        <f>MIN(IF($AU93=100%,1,1+VLOOKUP(($AJ93-$AI93-$AH93-$AG93-$AF93-$AE93*(1+BB$3))/$AJ93,'Технический лист'!$I:$J,2,1)-VLOOKUP($AO93,'Технический лист'!$I:$J,2,1)),1+(1-$AU93))</f>
        <v/>
      </c>
      <c r="BC93" s="172">
        <f>MIN(IF($AU93=100%,1,1+VLOOKUP(($AJ93-$AI93-$AH93-$AG93-$AF93-$AE93*(1+BC$3))/$AJ93,'Технический лист'!$I:$J,2,1)-VLOOKUP($AO93,'Технический лист'!$I:$J,2,1)),1+(1-$AU93))</f>
        <v/>
      </c>
      <c r="BD93" s="172">
        <f>MIN(IF($AU93=100%,1,1+VLOOKUP(($AJ93-$AI93-$AH93-$AG93-$AF93-$AE93*(1+BD$3))/$AJ93,'Технический лист'!$I:$J,2,1)-VLOOKUP($AO93,'Технический лист'!$I:$J,2,1)),1+(1-$AU93))</f>
        <v/>
      </c>
      <c r="BE93" s="172">
        <f>MIN(IF($AU93=100%,1,1+VLOOKUP(($AJ93-$AI93-$AH93-$AG93-$AF93-$AE93*(1+BE$3))/$AJ93,'Технический лист'!$I:$J,2,1)-VLOOKUP($AO93,'Технический лист'!$I:$J,2,1)),1+(1-$AU93))</f>
        <v/>
      </c>
      <c r="BF93" s="172">
        <f>MIN(IF($AU93=100%,1,1+VLOOKUP(($AJ93-$AI93-$AH93-$AG93-$AF93-$AE93*(1+BF$3))/$AJ93,'Технический лист'!$I:$J,2,1)-VLOOKUP($AO93,'Технический лист'!$I:$J,2,1)),1+(1-$AU93))</f>
        <v/>
      </c>
      <c r="BG93" s="172">
        <f>MIN(IF($AU93=100%,1,1+VLOOKUP(($AJ93-$AI93-$AH93-$AG93-$AF93-$AE93*(1+BG$3))/$AJ93,'Технический лист'!$I:$J,2,1)-VLOOKUP($AO93,'Технический лист'!$I:$J,2,1)),1+(1-$AU93))</f>
        <v/>
      </c>
      <c r="BH93" s="172">
        <f>MIN(IF($AU93=100%,1,1+VLOOKUP(($AJ93-$AI93-$AH93-$AG93-$AF93-$AE93*(1+BH$3))/$AJ93,'Технический лист'!$I:$J,2,1)-VLOOKUP($AO93,'Технический лист'!$I:$J,2,1)),1+(1-$AU93))</f>
        <v/>
      </c>
      <c r="BI93" s="172">
        <f>MIN(IF($AU93=100%,1,1+VLOOKUP(($AJ93-$AI93-$AH93-$AG93-$AF93-$AE93*(1+BI$3))/$AJ93,'Технический лист'!$I:$J,2,1)-VLOOKUP($AO93,'Технический лист'!$I:$J,2,1)),1+(1-$AU93))</f>
        <v/>
      </c>
      <c r="BJ93" s="172">
        <f>MIN(IF($AU93=100%,1,1+VLOOKUP(($AJ93-$AI93-$AH93-$AG93-$AF93-$AE93*(1+BJ$3))/$AJ93,'Технический лист'!$I:$J,2,1)-VLOOKUP($AO93,'Технический лист'!$I:$J,2,1)),1+(1-$AU93))</f>
        <v/>
      </c>
      <c r="BK93" s="172">
        <f>MIN(IF($AU93=100%,1,1+VLOOKUP(($AJ93-$AI93-$AH93-$AG93-$AF93-$AE93*(1+BK$3))/$AJ93,'Технический лист'!$I:$J,2,1)-VLOOKUP($AO93,'Технический лист'!$I:$J,2,1)),1+(1-$AU93))</f>
        <v/>
      </c>
      <c r="BL93" s="172">
        <f>MIN(IF($AU93=100%,1,1+VLOOKUP(($AJ93-$AI93-$AH93-$AG93-$AF93-$AE93*(1+BL$3))/$AJ93,'Технический лист'!$I:$J,2,1)-VLOOKUP($AO93,'Технический лист'!$I:$J,2,1)),1+(1-$AU93))</f>
        <v/>
      </c>
      <c r="BM93" s="172">
        <f>MIN(IF($AU93=100%,1,1+VLOOKUP(($AJ93-$AI93-$AH93-$AG93-$AF93-$AE93*(1+BM$3))/$AJ93,'Технический лист'!$I:$J,2,1)-VLOOKUP($AO93,'Технический лист'!$I:$J,2,1)),1+(1-$AU93))</f>
        <v/>
      </c>
      <c r="BN93" s="172">
        <f>MIN(IF($AU93=100%,1,1+VLOOKUP(($AJ93-$AI93-$AH93-$AG93-$AF93-$AE93*(1+BN$3))/$AJ93,'Технический лист'!$I:$J,2,1)-VLOOKUP($AO93,'Технический лист'!$I:$J,2,1)),1+(1-$AU93))</f>
        <v/>
      </c>
      <c r="BO93" s="172">
        <f>MIN(IF($AU93=100%,1,1+VLOOKUP(($AJ93-$AI93-$AH93-$AG93-$AF93-$AE93*(1+BO$3))/$AJ93,'Технический лист'!$I:$J,2,1)-VLOOKUP($AO93,'Технический лист'!$I:$J,2,1)),1+(1-$AU93))</f>
        <v/>
      </c>
      <c r="BP93" s="172">
        <f>MIN(IF($AU93=100%,1,1+VLOOKUP(($AJ93-$AI93-$AH93-$AG93-$AF93-$AE93*(1+BP$3))/$AJ93,'Технический лист'!$I:$J,2,1)-VLOOKUP($AO93,'Технический лист'!$I:$J,2,1)),1+(1-$AU93))</f>
        <v/>
      </c>
      <c r="BQ93" s="172">
        <f>MIN(IF($AU93=100%,1,1+VLOOKUP(($AJ93-$AI93-$AH93-$AG93-$AF93-$AE93*(1+BQ$3))/$AJ93,'Технический лист'!$I:$J,2,1)-VLOOKUP($AO93,'Технический лист'!$I:$J,2,1)),1+(1-$AU93))</f>
        <v/>
      </c>
      <c r="BR93" s="172">
        <f>MIN(IF($AU93=100%,1,1+VLOOKUP(($AJ93-$AI93-$AH93-$AG93-$AF93-$AE93*(1+BR$3))/$AJ93,'Технический лист'!$I:$J,2,1)-VLOOKUP($AO93,'Технический лист'!$I:$J,2,1)),1+(1-$AU93))</f>
        <v/>
      </c>
      <c r="BS93" s="172">
        <f>MIN(IF($AU93=100%,1,1+VLOOKUP(($AJ93-$AI93-$AH93-$AG93-$AF93-$AE93*(1+BS$3))/$AJ93,'Технический лист'!$I:$J,2,1)-VLOOKUP($AO93,'Технический лист'!$I:$J,2,1)),1+(1-$AU93))</f>
        <v/>
      </c>
      <c r="BT93" s="172">
        <f>MIN(IF($AU93=100%,1,1+VLOOKUP(($AJ93-$AI93-$AH93-$AG93-$AF93-$AE93*(1+BT$3))/$AJ93,'Технический лист'!$I:$J,2,1)-VLOOKUP($AO93,'Технический лист'!$I:$J,2,1)),1+(1-$AU93))</f>
        <v/>
      </c>
      <c r="BU93" s="172">
        <f>MIN(IF($AU93=100%,1,1+VLOOKUP(($AJ93-$AI93-$AH93-$AG93-$AF93-$AE93*(1+BU$3))/$AJ93,'Технический лист'!$I:$J,2,1)-VLOOKUP($AO93,'Технический лист'!$I:$J,2,1)),1+(1-$AU93))</f>
        <v/>
      </c>
      <c r="BV93" s="172">
        <f>MIN(IF($AU93=100%,1,1+VLOOKUP(($AJ93-$AI93-$AH93-$AG93-$AF93-$AE93*(1+BV$3))/$AJ93,'Технический лист'!$I:$J,2,1)-VLOOKUP($AO93,'Технический лист'!$I:$J,2,1)),1+(1-$AU93))</f>
        <v/>
      </c>
      <c r="BW93" s="172">
        <f>MIN(IF($AU93=100%,1,1+VLOOKUP(($AJ93-$AI93-$AH93-$AG93-$AF93-$AE93*(1+BW$3))/$AJ93,'Технический лист'!$I:$J,2,1)-VLOOKUP($AO93,'Технический лист'!$I:$J,2,1)),1+(1-$AU93))</f>
        <v/>
      </c>
      <c r="BX93" s="172">
        <f>MIN(IF($AU93=100%,1,1+VLOOKUP(($AJ93-$AI93-$AH93-$AG93-$AF93-$AE93*(1+BX$3))/$AJ93,'Технический лист'!$I:$J,2,1)-VLOOKUP($AO93,'Технический лист'!$I:$J,2,1)),1+(1-$AU93))</f>
        <v/>
      </c>
      <c r="BY93" s="172">
        <f>MIN(IF($AU93=100%,1,1+VLOOKUP(($AJ93-$AI93-$AH93-$AG93-$AF93-$AE93*(1+BY$3))/$AJ93,'Технический лист'!$I:$J,2,1)-VLOOKUP($AO93,'Технический лист'!$I:$J,2,1)),1+(1-$AU93))</f>
        <v/>
      </c>
      <c r="BZ93" s="172">
        <f>MIN(IF($AU93=100%,1,1+VLOOKUP(($AJ93-$AI93-$AH93-$AG93-$AF93-$AE93*(1+BZ$3))/$AJ93,'Технический лист'!$I:$J,2,1)-VLOOKUP($AO93,'Технический лист'!$I:$J,2,1)),1+(1-$AU93))</f>
        <v/>
      </c>
      <c r="CA93" s="172">
        <f>MIN(IF($AU93=100%,1,1+VLOOKUP(($AJ93-$AI93-$AH93-$AG93-$AF93-$AE93*(1+CA$3))/$AJ93,'Технический лист'!$I:$J,2,1)-VLOOKUP($AO93,'Технический лист'!$I:$J,2,1)),1+(1-$AU93))</f>
        <v/>
      </c>
      <c r="CB93" s="172">
        <f>MIN(IF($AU93=100%,1,1+VLOOKUP(($AJ93-$AI93-$AH93-$AG93-$AF93-$AE93*(1+CB$3))/$AJ93,'Технический лист'!$I:$J,2,1)-VLOOKUP($AO93,'Технический лист'!$I:$J,2,1)),1+(1-$AU93))</f>
        <v/>
      </c>
      <c r="CC93" s="172">
        <f>MIN(IF($AU93=100%,1,1+VLOOKUP(($AJ93-$AI93-$AH93-$AG93-$AF93-$AE93*(1+CC$3))/$AJ93,'Технический лист'!$I:$J,2,1)-VLOOKUP($AO93,'Технический лист'!$I:$J,2,1)),1+(1-$AU93))</f>
        <v/>
      </c>
      <c r="CD93" s="172">
        <f>MIN(IF($AU93=100%,1,1+VLOOKUP(($AJ93-$AI93-$AH93-$AG93-$AF93-$AE93*(1+CD$3))/$AJ93,'Технический лист'!$I:$J,2,1)-VLOOKUP($AO93,'Технический лист'!$I:$J,2,1)),1+(1-$AU93))</f>
        <v/>
      </c>
      <c r="CE93" s="172">
        <f>MIN(IF($AU93=100%,1,1+VLOOKUP(($AJ93-$AI93-$AH93-$AG93-$AF93-$AE93*(1+CE$3))/$AJ93,'Технический лист'!$I:$J,2,1)-VLOOKUP($AO93,'Технический лист'!$I:$J,2,1)),1+(1-$AU93))</f>
        <v/>
      </c>
      <c r="CF93" s="172">
        <f>MIN(IF($AU93=100%,1,1+VLOOKUP(($AJ93-$AI93-$AH93-$AG93-$AF93-$AE93*(1+CF$3))/$AJ93,'Технический лист'!$I:$J,2,1)-VLOOKUP($AO93,'Технический лист'!$I:$J,2,1)),1+(1-$AU93))</f>
        <v/>
      </c>
      <c r="CG93" s="172">
        <f>MIN(IF($AU93=100%,1,1+VLOOKUP(($AJ93-$AI93-$AH93-$AG93-$AF93-$AE93*(1+CG$3))/$AJ93,'Технический лист'!$I:$J,2,1)-VLOOKUP($AO93,'Технический лист'!$I:$J,2,1)),1+(1-$AU93))</f>
        <v/>
      </c>
      <c r="CH93" s="172">
        <f>MIN(IF($AU93=100%,1,1+VLOOKUP(($AJ93-$AI93-$AH93-$AG93-$AF93-$AE93*(1+CH$3))/$AJ93,'Технический лист'!$I:$J,2,1)-VLOOKUP($AO93,'Технический лист'!$I:$J,2,1)),1+(1-$AU93))</f>
        <v/>
      </c>
      <c r="CI93" s="172">
        <f>MIN(IF($AU93=100%,1,1+VLOOKUP(($AJ93-$AI93-$AH93-$AG93-$AF93-$AE93*(1+CI$3))/$AJ93,'Технический лист'!$I:$J,2,1)-VLOOKUP($AO93,'Технический лист'!$I:$J,2,1)),1+(1-$AU93))</f>
        <v/>
      </c>
      <c r="CJ93" s="172">
        <f>MIN(IF($AU93=100%,1,1+VLOOKUP(($AJ93-$AI93-$AH93-$AG93-$AF93-$AE93*(1+CJ$3))/$AJ93,'Технический лист'!$I:$J,2,1)-VLOOKUP($AO93,'Технический лист'!$I:$J,2,1)),1+(1-$AU93))</f>
        <v/>
      </c>
      <c r="CK93" s="172">
        <f>MIN(IF($AU93=100%,1,1+VLOOKUP(($AJ93-$AI93-$AH93-$AG93-$AF93-$AE93*(1+CK$3))/$AJ93,'Технический лист'!$I:$J,2,1)-VLOOKUP($AO93,'Технический лист'!$I:$J,2,1)),1+(1-$AU93))</f>
        <v/>
      </c>
      <c r="CL93" s="172">
        <f>MIN(IF($AU93=100%,1,1+VLOOKUP(($AJ93-$AI93-$AH93-$AG93-$AF93-$AE93*(1+CL$3))/$AJ93,'Технический лист'!$I:$J,2,1)-VLOOKUP($AO93,'Технический лист'!$I:$J,2,1)),1+(1-$AU93))</f>
        <v/>
      </c>
      <c r="CM93" s="172">
        <f>MIN(IF($AU93=100%,1,1+VLOOKUP(($AJ93-$AI93-$AH93-$AG93-$AF93-$AE93*(1+CM$3))/$AJ93,'Технический лист'!$I:$J,2,1)-VLOOKUP($AO93,'Технический лист'!$I:$J,2,1)),1+(1-$AU93))</f>
        <v/>
      </c>
      <c r="CN93" s="172">
        <f>MIN(IF($AU93=100%,1,1+VLOOKUP(($AJ93-$AI93-$AH93-$AG93-$AF93-$AE93*(1+CN$3))/$AJ93,'Технический лист'!$I:$J,2,1)-VLOOKUP($AO93,'Технический лист'!$I:$J,2,1)),1+(1-$AU93))</f>
        <v/>
      </c>
      <c r="CO93" s="172">
        <f>MIN(IF($AU93=100%,1,1+VLOOKUP(($AJ93-$AI93-$AH93-$AG93-$AF93-$AE93*(1+CO$3))/$AJ93,'Технический лист'!$I:$J,2,1)-VLOOKUP($AO93,'Технический лист'!$I:$J,2,1)),1+(1-$AU93))</f>
        <v/>
      </c>
      <c r="CP93" s="172">
        <f>MIN(IF($AU93=100%,1,1+VLOOKUP(($AJ93-$AI93-$AH93-$AG93-$AF93-$AE93*(1+CP$3))/$AJ93,'Технический лист'!$I:$J,2,1)-VLOOKUP($AO93,'Технический лист'!$I:$J,2,1)),1+(1-$AU93))</f>
        <v/>
      </c>
      <c r="CQ93" s="172">
        <f>MIN(IF($AU93=100%,1,1+VLOOKUP(($AJ93-$AI93-$AH93-$AG93-$AF93-$AE93*(1+CQ$3))/$AJ93,'Технический лист'!$I:$J,2,1)-VLOOKUP($AO93,'Технический лист'!$I:$J,2,1)),1+(1-$AU93))</f>
        <v/>
      </c>
      <c r="CR93" s="172">
        <f>MIN(IF($AU93=100%,1,1+VLOOKUP(($AJ93-$AI93-$AH93-$AG93-$AF93-$AE93*(1+CR$3))/$AJ93,'Технический лист'!$I:$J,2,1)-VLOOKUP($AO93,'Технический лист'!$I:$J,2,1)),1+(1-$AU93))</f>
        <v/>
      </c>
      <c r="CS93" s="172">
        <f>MIN(IF($AU93=100%,1,1+VLOOKUP(($AJ93-$AI93-$AH93-$AG93-$AF93-$AE93*(1+CS$3))/$AJ93,'Технический лист'!$I:$J,2,1)-VLOOKUP($AO93,'Технический лист'!$I:$J,2,1)),1+(1-$AU93))</f>
        <v/>
      </c>
      <c r="CT93" s="172">
        <f>MIN(IF($AU93=100%,1,1+VLOOKUP(($AJ93-$AI93-$AH93-$AG93-$AF93-$AE93*(1+CT$3))/$AJ93,'Технический лист'!$I:$J,2,1)-VLOOKUP($AO93,'Технический лист'!$I:$J,2,1)),1+(1-$AU93))</f>
        <v/>
      </c>
      <c r="CU93" s="172">
        <f>MIN(IF($AU93=100%,1,1+VLOOKUP(($AJ93-$AI93-$AH93-$AG93-$AF93-$AE93*(1+CU$3))/$AJ93,'Технический лист'!$I:$J,2,1)-VLOOKUP($AO93,'Технический лист'!$I:$J,2,1)),1+(1-$AU93))</f>
        <v/>
      </c>
      <c r="CV93" s="172">
        <f>MIN(IF($AU93=100%,1,1+VLOOKUP(($AJ93-$AI93-$AH93-$AG93-$AF93-$AE93*(1+CV$3))/$AJ93,'Технический лист'!$I:$J,2,1)-VLOOKUP($AO93,'Технический лист'!$I:$J,2,1)),1+(1-$AU93))</f>
        <v/>
      </c>
      <c r="CW93" s="172">
        <f>MIN(IF($AU93=100%,1,1+VLOOKUP(($AJ93-$AI93-$AH93-$AG93-$AF93-$AE93*(1+CW$3))/$AJ93,'Технический лист'!$I:$J,2,1)-VLOOKUP($AO93,'Технический лист'!$I:$J,2,1)),1+(1-$AU93))</f>
        <v/>
      </c>
      <c r="CX93" s="172">
        <f>MIN(IF($AU93=100%,1,1+VLOOKUP(($AJ93-$AI93-$AH93-$AG93-$AF93-$AE93*(1+CX$3))/$AJ93,'Технический лист'!$I:$J,2,1)-VLOOKUP($AO93,'Технический лист'!$I:$J,2,1)),1+(1-$AU93))</f>
        <v/>
      </c>
      <c r="CY93" s="172">
        <f>MIN(IF($AU93=100%,1,1+VLOOKUP(($AJ93-$AI93-$AH93-$AG93-$AF93-$AE93*(1+CY$3))/$AJ93,'Технический лист'!$I:$J,2,1)-VLOOKUP($AO93,'Технический лист'!$I:$J,2,1)),1+(1-$AU93))</f>
        <v/>
      </c>
      <c r="CZ93" s="172">
        <f>MIN(IF($AU93=100%,1,1+VLOOKUP(($AJ93-$AI93-$AH93-$AG93-$AF93-$AE93*(1+CZ$3))/$AJ93,'Технический лист'!$I:$J,2,1)-VLOOKUP($AO93,'Технический лист'!$I:$J,2,1)),1+(1-$AU93))</f>
        <v/>
      </c>
      <c r="DA93" s="172">
        <f>MIN(IF($AU93=100%,1,1+VLOOKUP(($AJ93-$AI93-$AH93-$AG93-$AF93-$AE93*(1+DA$3))/$AJ93,'Технический лист'!$I:$J,2,1)-VLOOKUP($AO93,'Технический лист'!$I:$J,2,1)),1+(1-$AU93))</f>
        <v/>
      </c>
      <c r="DB93" s="172">
        <f>MIN(IF($AU93=100%,1,1+VLOOKUP(($AJ93-$AI93-$AH93-$AG93-$AF93-$AE93*(1+DB$3))/$AJ93,'Технический лист'!$I:$J,2,1)-VLOOKUP($AO93,'Технический лист'!$I:$J,2,1)),1+(1-$AU93))</f>
        <v/>
      </c>
      <c r="DC93" s="172">
        <f>MIN(IF($AU93=100%,1,1+VLOOKUP(($AJ93-$AI93-$AH93-$AG93-$AF93-$AE93*(1+DC$3))/$AJ93,'Технический лист'!$I:$J,2,1)-VLOOKUP($AO93,'Технический лист'!$I:$J,2,1)),1+(1-$AU93))</f>
        <v/>
      </c>
      <c r="DD93" s="172">
        <f>MIN(IF($AU93=100%,1,1+VLOOKUP(($AJ93-$AI93-$AH93-$AG93-$AF93-$AE93*(1+DD$3))/$AJ93,'Технический лист'!$I:$J,2,1)-VLOOKUP($AO93,'Технический лист'!$I:$J,2,1)),1+(1-$AU93))</f>
        <v/>
      </c>
      <c r="DE93" s="172">
        <f>MIN(IF($AU93=100%,1,1+VLOOKUP(($AJ93-$AI93-$AH93-$AG93-$AF93-$AE93*(1+DE$3))/$AJ93,'Технический лист'!$I:$J,2,1)-VLOOKUP($AO93,'Технический лист'!$I:$J,2,1)),1+(1-$AU93))</f>
        <v/>
      </c>
      <c r="DF93" s="172">
        <f>MIN(IF($AU93=100%,1,1+VLOOKUP(($AJ93-$AI93-$AH93-$AG93-$AF93-$AE93*(1+DF$3))/$AJ93,'Технический лист'!$I:$J,2,1)-VLOOKUP($AO93,'Технический лист'!$I:$J,2,1)),1+(1-$AU93))</f>
        <v/>
      </c>
      <c r="DG93" s="172">
        <f>MIN(IF($AU93=100%,1,1+VLOOKUP(($AJ93-$AI93-$AH93-$AG93-$AF93-$AE93*(1+DG$3))/$AJ93,'Технический лист'!$I:$J,2,1)-VLOOKUP($AO93,'Технический лист'!$I:$J,2,1)),1+(1-$AU93))</f>
        <v/>
      </c>
      <c r="DH93" s="172">
        <f>MIN(IF($AU93=100%,1,1+VLOOKUP(($AJ93-$AI93-$AH93-$AG93-$AF93-$AE93*(1+DH$3))/$AJ93,'Технический лист'!$I:$J,2,1)-VLOOKUP($AO93,'Технический лист'!$I:$J,2,1)),1+(1-$AU93))</f>
        <v/>
      </c>
      <c r="DI93" s="172">
        <f>MIN(IF($AU93=100%,1,1+VLOOKUP(($AJ93-$AI93-$AH93-$AG93-$AF93-$AE93*(1+DI$3))/$AJ93,'Технический лист'!$I:$J,2,1)-VLOOKUP($AO93,'Технический лист'!$I:$J,2,1)),1+(1-$AU93))</f>
        <v/>
      </c>
      <c r="DJ93" s="172">
        <f>MIN(IF($AU93=100%,1,1+VLOOKUP(($AJ93-$AI93-$AH93-$AG93-$AF93-$AE93*(1+DJ$3))/$AJ93,'Технический лист'!$I:$J,2,1)-VLOOKUP($AO93,'Технический лист'!$I:$J,2,1)),1+(1-$AU93))</f>
        <v/>
      </c>
      <c r="DK93" s="172">
        <f>MIN(IF($AU93=100%,1,1+VLOOKUP(($AJ93-$AI93-$AH93-$AG93-$AF93-$AE93*(1+DK$3))/$AJ93,'Технический лист'!$I:$J,2,1)-VLOOKUP($AO93,'Технический лист'!$I:$J,2,1)),1+(1-$AU93))</f>
        <v/>
      </c>
      <c r="DL93" s="172">
        <f>MIN(IF($AU93=100%,1,1+VLOOKUP(($AJ93-$AI93-$AH93-$AG93-$AF93-$AE93*(1+DL$3))/$AJ93,'Технический лист'!$I:$J,2,1)-VLOOKUP($AO93,'Технический лист'!$I:$J,2,1)),1+(1-$AU93))</f>
        <v/>
      </c>
      <c r="DM93" s="172">
        <f>MIN(IF($AU93=100%,1,1+VLOOKUP(($AJ93-$AI93-$AH93-$AG93-$AF93-$AE93*(1+DM$3))/$AJ93,'Технический лист'!$I:$J,2,1)-VLOOKUP($AO93,'Технический лист'!$I:$J,2,1)),1+(1-$AU93))</f>
        <v/>
      </c>
      <c r="DN93" s="172">
        <f>MIN(IF($AU93=100%,1,1+VLOOKUP(($AJ93-$AI93-$AH93-$AG93-$AF93-$AE93*(1+DN$3))/$AJ93,'Технический лист'!$I:$J,2,1)-VLOOKUP($AO93,'Технический лист'!$I:$J,2,1)),1+(1-$AU93))</f>
        <v/>
      </c>
      <c r="DO93" s="172">
        <f>MIN(IF($AU93=100%,1,1+VLOOKUP(($AJ93-$AI93-$AH93-$AG93-$AF93-$AE93*(1+DO$3))/$AJ93,'Технический лист'!$I:$J,2,1)-VLOOKUP($AO93,'Технический лист'!$I:$J,2,1)),1+(1-$AU93))</f>
        <v/>
      </c>
      <c r="DP93" s="172">
        <f>MIN(IF($AU93=100%,1,1+VLOOKUP(($AJ93-$AI93-$AH93-$AG93-$AF93-$AE93*(1+DP$3))/$AJ93,'Технический лист'!$I:$J,2,1)-VLOOKUP($AO93,'Технический лист'!$I:$J,2,1)),1+(1-$AU93))</f>
        <v/>
      </c>
      <c r="DQ93" s="172">
        <f>MIN(IF($AU93=100%,1,1+VLOOKUP(($AJ93-$AI93-$AH93-$AG93-$AF93-$AE93*(1+DQ$3))/$AJ93,'Технический лист'!$I:$J,2,1)-VLOOKUP($AO93,'Технический лист'!$I:$J,2,1)),1+(1-$AU93))</f>
        <v/>
      </c>
      <c r="DR93" s="172">
        <f>MIN(IF($AU93=100%,1,1+VLOOKUP(($AJ93-$AI93-$AH93-$AG93-$AF93-$AE93*(1+DR$3))/$AJ93,'Технический лист'!$I:$J,2,1)-VLOOKUP($AO93,'Технический лист'!$I:$J,2,1)),1+(1-$AU93))</f>
        <v/>
      </c>
      <c r="DS93" s="172">
        <f>MIN(IF($AU93=100%,1,1+VLOOKUP(($AJ93-$AI93-$AH93-$AG93-$AF93-$AE93*(1+DS$3))/$AJ93,'Технический лист'!$I:$J,2,1)-VLOOKUP($AO93,'Технический лист'!$I:$J,2,1)),1+(1-$AU93))</f>
        <v/>
      </c>
      <c r="DT93" s="172">
        <f>MIN(IF($AU93=100%,1,1+VLOOKUP(($AJ93-$AI93-$AH93-$AG93-$AF93-$AE93*(1+DT$3))/$AJ93,'Технический лист'!$I:$J,2,1)-VLOOKUP($AO93,'Технический лист'!$I:$J,2,1)),1+(1-$AU93))</f>
        <v/>
      </c>
      <c r="DU93" s="172">
        <f>MIN(IF($AU93=100%,1,1+VLOOKUP(($AJ93-$AI93-$AH93-$AG93-$AF93-$AE93*(1+DU$3))/$AJ93,'Технический лист'!$I:$J,2,1)-VLOOKUP($AO93,'Технический лист'!$I:$J,2,1)),1+(1-$AU93))</f>
        <v/>
      </c>
      <c r="DV93" s="172">
        <f>MIN(IF($AU93=100%,1,1+VLOOKUP(($AJ93-$AI93-$AH93-$AG93-$AF93-$AE93*(1+DV$3))/$AJ93,'Технический лист'!$I:$J,2,1)-VLOOKUP($AO93,'Технический лист'!$I:$J,2,1)),1+(1-$AU93))</f>
        <v/>
      </c>
      <c r="DW93" s="172">
        <f>MIN(IF($AU93=100%,1,1+VLOOKUP(($AJ93-$AI93-$AH93-$AG93-$AF93-$AE93*(1+DW$3))/$AJ93,'Технический лист'!$I:$J,2,1)-VLOOKUP($AO93,'Технический лист'!$I:$J,2,1)),1+(1-$AU93))</f>
        <v/>
      </c>
      <c r="DX93" s="172">
        <f>MIN(IF($AU93=100%,1,1+VLOOKUP(($AJ93-$AI93-$AH93-$AG93-$AF93-$AE93*(1+DX$3))/$AJ93,'Технический лист'!$I:$J,2,1)-VLOOKUP($AO93,'Технический лист'!$I:$J,2,1)),1+(1-$AU93))</f>
        <v/>
      </c>
      <c r="DY93" s="172">
        <f>MIN(IF($AU93=100%,1,1+VLOOKUP(($AJ93-$AI93-$AH93-$AG93-$AF93-$AE93*(1+DY$3))/$AJ93,'Технический лист'!$I:$J,2,1)-VLOOKUP($AO93,'Технический лист'!$I:$J,2,1)),1+(1-$AU93))</f>
        <v/>
      </c>
      <c r="DZ93" s="172">
        <f>MIN(IF($AU93=100%,1,1+VLOOKUP(($AJ93-$AI93-$AH93-$AG93-$AF93-$AE93*(1+DZ$3))/$AJ93,'Технический лист'!$I:$J,2,1)-VLOOKUP($AO93,'Технический лист'!$I:$J,2,1)),1+(1-$AU93))</f>
        <v/>
      </c>
      <c r="EA93" s="172">
        <f>MIN(IF($AU93=100%,1,1+VLOOKUP(($AJ93-$AI93-$AH93-$AG93-$AF93-$AE93*(1+EA$3))/$AJ93,'Технический лист'!$I:$J,2,1)-VLOOKUP($AO93,'Технический лист'!$I:$J,2,1)),1+(1-$AU93))</f>
        <v/>
      </c>
      <c r="EB93" s="172">
        <f>MIN(IF($AU93=100%,1,1+VLOOKUP(($AJ93-$AI93-$AH93-$AG93-$AF93-$AE93*(1+EB$3))/$AJ93,'Технический лист'!$I:$J,2,1)-VLOOKUP($AO93,'Технический лист'!$I:$J,2,1)),1+(1-$AU93))</f>
        <v/>
      </c>
      <c r="EC93" s="172">
        <f>MIN(IF($AU93=100%,1,1+VLOOKUP(($AJ93-$AI93-$AH93-$AG93-$AF93-$AE93*(1+EC$3))/$AJ93,'Технический лист'!$I:$J,2,1)-VLOOKUP($AO93,'Технический лист'!$I:$J,2,1)),1+(1-$AU93))</f>
        <v/>
      </c>
      <c r="ED93" s="172">
        <f>MIN(IF($AU93=100%,1,1+VLOOKUP(($AJ93-$AI93-$AH93-$AG93-$AF93-$AE93*(1+ED$3))/$AJ93,'Технический лист'!$I:$J,2,1)-VLOOKUP($AO93,'Технический лист'!$I:$J,2,1)),1+(1-$AU93))</f>
        <v/>
      </c>
      <c r="EE93" s="172">
        <f>MIN(IF($AU93=100%,1,1+VLOOKUP(($AJ93-$AI93-$AH93-$AG93-$AF93-$AE93*(1+EE$3))/$AJ93,'Технический лист'!$I:$J,2,1)-VLOOKUP($AO93,'Технический лист'!$I:$J,2,1)),1+(1-$AU93))</f>
        <v/>
      </c>
      <c r="EF93" s="172">
        <f>MIN(IF($AU93=100%,1,1+VLOOKUP(($AJ93-$AI93-$AH93-$AG93-$AF93-$AE93*(1+EF$3))/$AJ93,'Технический лист'!$I:$J,2,1)-VLOOKUP($AO93,'Технический лист'!$I:$J,2,1)),1+(1-$AU93))</f>
        <v/>
      </c>
      <c r="EG93" s="172">
        <f>MIN(IF($AU93=100%,1,1+VLOOKUP(($AJ93-$AI93-$AH93-$AG93-$AF93-$AE93*(1+EG$3))/$AJ93,'Технический лист'!$I:$J,2,1)-VLOOKUP($AO93,'Технический лист'!$I:$J,2,1)),1+(1-$AU93))</f>
        <v/>
      </c>
      <c r="EH93" s="172">
        <f>MIN(IF($AU93=100%,1,1+VLOOKUP(($AJ93-$AI93-$AH93-$AG93-$AF93-$AE93*(1+EH$3))/$AJ93,'Технический лист'!$I:$J,2,1)-VLOOKUP($AO93,'Технический лист'!$I:$J,2,1)),1+(1-$AU93))</f>
        <v/>
      </c>
      <c r="EI93" s="172">
        <f>MIN(IF($AU93=100%,1,1+VLOOKUP(($AJ93-$AI93-$AH93-$AG93-$AF93-$AE93*(1+EI$3))/$AJ93,'Технический лист'!$I:$J,2,1)-VLOOKUP($AO93,'Технический лист'!$I:$J,2,1)),1+(1-$AU93))</f>
        <v/>
      </c>
      <c r="EJ93" s="172">
        <f>MIN(IF($AU93=100%,1,1+VLOOKUP(($AJ93-$AI93-$AH93-$AG93-$AF93-$AE93*(1+EJ$3))/$AJ93,'Технический лист'!$I:$J,2,1)-VLOOKUP($AO93,'Технический лист'!$I:$J,2,1)),1+(1-$AU93))</f>
        <v/>
      </c>
      <c r="EK93" s="172">
        <f>MIN(IF($AU93=100%,1,1+VLOOKUP(($AJ93-$AI93-$AH93-$AG93-$AF93-$AE93*(1+EK$3))/$AJ93,'Технический лист'!$I:$J,2,1)-VLOOKUP($AO93,'Технический лист'!$I:$J,2,1)),1+(1-$AU93))</f>
        <v/>
      </c>
      <c r="EL93" s="172">
        <f>MIN(IF($AU93=100%,1,1+VLOOKUP(($AJ93-$AI93-$AH93-$AG93-$AF93-$AE93*(1+EL$3))/$AJ93,'Технический лист'!$I:$J,2,1)-VLOOKUP($AO93,'Технический лист'!$I:$J,2,1)),1+(1-$AU93))</f>
        <v/>
      </c>
      <c r="EM93" s="172">
        <f>MIN(IF($AU93=100%,1,1+VLOOKUP(($AJ93-$AI93-$AH93-$AG93-$AF93-$AE93*(1+EM$3))/$AJ93,'Технический лист'!$I:$J,2,1)-VLOOKUP($AO93,'Технический лист'!$I:$J,2,1)),1+(1-$AU93))</f>
        <v/>
      </c>
      <c r="EN93" s="172">
        <f>MIN(IF($AU93=100%,1,1+VLOOKUP(($AJ93-$AI93-$AH93-$AG93-$AF93-$AE93*(1+EN$3))/$AJ93,'Технический лист'!$I:$J,2,1)-VLOOKUP($AO93,'Технический лист'!$I:$J,2,1)),1+(1-$AU93))</f>
        <v/>
      </c>
      <c r="EO93" s="172">
        <f>MIN(IF($AU93=100%,1,1+VLOOKUP(($AJ93-$AI93-$AH93-$AG93-$AF93-$AE93*(1+EO$3))/$AJ93,'Технический лист'!$I:$J,2,1)-VLOOKUP($AO93,'Технический лист'!$I:$J,2,1)),1+(1-$AU93))</f>
        <v/>
      </c>
      <c r="EP93" s="172">
        <f>MIN(IF($AU93=100%,1,1+VLOOKUP(($AJ93-$AI93-$AH93-$AG93-$AF93-$AE93*(1+EP$3))/$AJ93,'Технический лист'!$I:$J,2,1)-VLOOKUP($AO93,'Технический лист'!$I:$J,2,1)),1+(1-$AU93))</f>
        <v/>
      </c>
      <c r="EQ93" s="172">
        <f>MIN(IF($AU93=100%,1,1+VLOOKUP(($AJ93-$AI93-$AH93-$AG93-$AF93-$AE93*(1+EQ$3))/$AJ93,'Технический лист'!$I:$J,2,1)-VLOOKUP($AO93,'Технический лист'!$I:$J,2,1)),1+(1-$AU93))</f>
        <v/>
      </c>
      <c r="ER93" s="172">
        <f>MIN(IF($AU93=100%,1,1+VLOOKUP(($AJ93-$AI93-$AH93-$AG93-$AF93-$AE93*(1+ER$3))/$AJ93,'Технический лист'!$I:$J,2,1)-VLOOKUP($AO93,'Технический лист'!$I:$J,2,1)),1+(1-$AU93))</f>
        <v/>
      </c>
      <c r="ES93" s="172">
        <f>MIN(IF($AU93=100%,1,1+VLOOKUP(($AJ93-$AI93-$AH93-$AG93-$AF93-$AE93*(1+ES$3))/$AJ93,'Технический лист'!$I:$J,2,1)-VLOOKUP($AO93,'Технический лист'!$I:$J,2,1)),1+(1-$AU93))</f>
        <v/>
      </c>
      <c r="ET93" s="172">
        <f>MIN(IF($AU93=100%,1,1+VLOOKUP(($AJ93-$AI93-$AH93-$AG93-$AF93-$AE93*(1+ET$3))/$AJ93,'Технический лист'!$I:$J,2,1)-VLOOKUP($AO93,'Технический лист'!$I:$J,2,1)),1+(1-$AU93))</f>
        <v/>
      </c>
      <c r="EU93" s="172">
        <f>MIN(IF($AU93=100%,1,1+VLOOKUP(($AJ93-$AI93-$AH93-$AG93-$AF93-$AE93*(1+EU$3))/$AJ93,'Технический лист'!$I:$J,2,1)-VLOOKUP($AO93,'Технический лист'!$I:$J,2,1)),1+(1-$AU93))</f>
        <v/>
      </c>
      <c r="EV93" s="173" t="n">
        <v>1</v>
      </c>
      <c r="EW93" s="172">
        <f>MIN(1,MAX(VLOOKUP(($AJ93-$AI93-$AH93-$AG93-$AF93-$AE93*(1+EW$3))/$AJ93,'Технический лист'!$A:$B,2,1),(EV93-0.05)))</f>
        <v/>
      </c>
      <c r="EX93" s="172">
        <f>MIN(1,MAX(VLOOKUP(($AJ93-$AI93-$AH93-$AG93-$AF93-$AE93*(1+EX$3))/$AJ93,'Технический лист'!$A:$B,2,1),(EW93-0.05)))</f>
        <v/>
      </c>
      <c r="EY93" s="172">
        <f>MIN(1,MAX(VLOOKUP(($AJ93-$AI93-$AH93-$AG93-$AF93-$AE93*(1+EY$3))/$AJ93,'Технический лист'!$A:$B,2,1),(EX93-0.05)))</f>
        <v/>
      </c>
      <c r="EZ93" s="172">
        <f>MIN(1,MAX(VLOOKUP(($AJ93-$AI93-$AH93-$AG93-$AF93-$AE93*(1+EZ$3))/$AJ93,'Технический лист'!$A:$B,2,1),(EY93-0.05)))</f>
        <v/>
      </c>
      <c r="FA93" s="172">
        <f>MIN(1,MAX(VLOOKUP(($AJ93-$AI93-$AH93-$AG93-$AF93-$AE93*(1+FA$3))/$AJ93,'Технический лист'!$A:$B,2,1),(EZ93-0.05)))</f>
        <v/>
      </c>
      <c r="FB93" s="172">
        <f>MIN(1,MAX(VLOOKUP(($AJ93-$AI93-$AH93-$AG93-$AF93-$AE93*(1+FB$3))/$AJ93,'Технический лист'!$A:$B,2,1),(FA93-0.05)))</f>
        <v/>
      </c>
      <c r="FC93" s="172">
        <f>MIN(1,MAX(VLOOKUP(($AJ93-$AI93-$AH93-$AG93-$AF93-$AE93*(1+FC$3))/$AJ93,'Технический лист'!$A:$B,2,1),(FB93-0.05)))</f>
        <v/>
      </c>
      <c r="FD93" s="172">
        <f>MIN(1,MAX(VLOOKUP(($AJ93-$AI93-$AH93-$AG93-$AF93-$AE93*(1+FD$3))/$AJ93,'Технический лист'!$A:$B,2,1),(FC93-0.05)))</f>
        <v/>
      </c>
      <c r="FE93" s="172">
        <f>MIN(1,MAX(VLOOKUP(($AJ93-$AI93-$AH93-$AG93-$AF93-$AE93*(1+FE$3))/$AJ93,'Технический лист'!$A:$B,2,1),(FD93-0.05)))</f>
        <v/>
      </c>
      <c r="FF93" s="172">
        <f>MIN(1,MAX(VLOOKUP(($AJ93-$AI93-$AH93-$AG93-$AF93-$AE93*(1+FF$3))/$AJ93,'Технический лист'!$A:$B,2,1),(FE93-0.05)))</f>
        <v/>
      </c>
      <c r="FG93" s="172">
        <f>MIN(1,MAX(VLOOKUP(($AJ93-$AI93-$AH93-$AG93-$AF93-$AE93*(1+FG$3))/$AJ93,'Технический лист'!$A:$B,2,1),(FF93-0.05)))</f>
        <v/>
      </c>
      <c r="FH93" s="172">
        <f>MIN(1,MAX(VLOOKUP(($AJ93-$AI93-$AH93-$AG93-$AF93-$AE93*(1+FH$3))/$AJ93,'Технический лист'!$A:$B,2,1),(FG93-0.05)))</f>
        <v/>
      </c>
      <c r="FI93" s="172">
        <f>MIN(1,MAX(VLOOKUP(($AJ93-$AI93-$AH93-$AG93-$AF93-$AE93*(1+FI$3))/$AJ93,'Технический лист'!$A:$B,2,1),(FH93-0.05)))</f>
        <v/>
      </c>
      <c r="FJ93" s="172">
        <f>MIN(1,MAX(VLOOKUP(($AJ93-$AI93-$AH93-$AG93-$AF93-$AE93*(1+FJ$3))/$AJ93,'Технический лист'!$A:$B,2,1),(FI93-0.05)))</f>
        <v/>
      </c>
      <c r="FK93" s="172">
        <f>MIN(1,MAX(VLOOKUP(($AJ93-$AI93-$AH93-$AG93-$AF93-$AE93*(1+FK$3))/$AJ93,'Технический лист'!$A:$B,2,1),(FJ93-0.05)))</f>
        <v/>
      </c>
      <c r="FL93" s="172">
        <f>MIN(1,MAX(VLOOKUP(($AJ93-$AI93-$AH93-$AG93-$AF93-$AE93*(1+FL$3))/$AJ93,'Технический лист'!$A:$B,2,1),(FK93-0.05)))</f>
        <v/>
      </c>
      <c r="FM93" s="172">
        <f>MIN(1,MAX(VLOOKUP(($AJ93-$AI93-$AH93-$AG93-$AF93-$AE93*(1+FM$3))/$AJ93,'Технический лист'!$A:$B,2,1),(FL93-0.05)))</f>
        <v/>
      </c>
      <c r="FN93" s="172">
        <f>MIN(1,MAX(VLOOKUP(($AJ93-$AI93-$AH93-$AG93-$AF93-$AE93*(1+FN$3))/$AJ93,'Технический лист'!$A:$B,2,1),(FM93-0.05)))</f>
        <v/>
      </c>
      <c r="FO93" s="172">
        <f>MIN(1,MAX(VLOOKUP(($AJ93-$AI93-$AH93-$AG93-$AF93-$AE93*(1+FO$3))/$AJ93,'Технический лист'!$A:$B,2,1),(FN93-0.05)))</f>
        <v/>
      </c>
      <c r="FP93" s="172">
        <f>MIN(1,MAX(VLOOKUP(($AJ93-$AI93-$AH93-$AG93-$AF93-$AE93*(1+FP$3))/$AJ93,'Технический лист'!$A:$B,2,1),(FO93-0.05)))</f>
        <v/>
      </c>
      <c r="FQ93" s="172">
        <f>MIN(1,MAX(VLOOKUP(($AJ93-$AI93-$AH93-$AG93-$AF93-$AE93*(1+FQ$3))/$AJ93,'Технический лист'!$A:$B,2,1),(FP93-0.05)))</f>
        <v/>
      </c>
      <c r="FR93" s="172">
        <f>MIN(1,MAX(VLOOKUP(($AJ93-$AI93-$AH93-$AG93-$AF93-$AE93*(1+FR$3))/$AJ93,'Технический лист'!$A:$B,2,1),(FQ93-0.05)))</f>
        <v/>
      </c>
      <c r="FS93" s="172">
        <f>MIN(1,MAX(VLOOKUP(($AJ93-$AI93-$AH93-$AG93-$AF93-$AE93*(1+FS$3))/$AJ93,'Технический лист'!$A:$B,2,1),(FR93-0.05)))</f>
        <v/>
      </c>
      <c r="FT93" s="172">
        <f>MIN(1,MAX(VLOOKUP(($AJ93-$AI93-$AH93-$AG93-$AF93-$AE93*(1+FT$3))/$AJ93,'Технический лист'!$A:$B,2,1),(FS93-0.05)))</f>
        <v/>
      </c>
      <c r="FU93" s="172">
        <f>MIN(1,MAX(VLOOKUP(($AJ93-$AI93-$AH93-$AG93-$AF93-$AE93*(1+FU$3))/$AJ93,'Технический лист'!$A:$B,2,1),(FT93-0.05)))</f>
        <v/>
      </c>
      <c r="FV93" s="172">
        <f>MIN(1,MAX(VLOOKUP(($AJ93-$AI93-$AH93-$AG93-$AF93-$AE93*(1+FV$3))/$AJ93,'Технический лист'!$A:$B,2,1),(FU93-0.05)))</f>
        <v/>
      </c>
      <c r="FW93" s="172">
        <f>MIN(1,MAX(VLOOKUP(($AJ93-$AI93-$AH93-$AG93-$AF93-$AE93*(1+FW$3))/$AJ93,'Технический лист'!$A:$B,2,1),(FV93-0.05)))</f>
        <v/>
      </c>
      <c r="FX93" s="172">
        <f>MIN(1,MAX(VLOOKUP(($AJ93-$AI93-$AH93-$AG93-$AF93-$AE93*(1+FX$3))/$AJ93,'Технический лист'!$A:$B,2,1),(FW93-0.05)))</f>
        <v/>
      </c>
      <c r="FY93" s="172">
        <f>MIN(1,MAX(VLOOKUP(($AJ93-$AI93-$AH93-$AG93-$AF93-$AE93*(1+FY$3))/$AJ93,'Технический лист'!$A:$B,2,1),(FX93-0.05)))</f>
        <v/>
      </c>
      <c r="FZ93" s="172">
        <f>MIN(1,MAX(VLOOKUP(($AJ93-$AI93-$AH93-$AG93-$AF93-$AE93*(1+FZ$3))/$AJ93,'Технический лист'!$A:$B,2,1),(FY93-0.05)))</f>
        <v/>
      </c>
      <c r="GA93" s="172">
        <f>MIN(1,MAX(VLOOKUP(($AJ93-$AI93-$AH93-$AG93-$AF93-$AE93*(1+GA$3))/$AJ93,'Технический лист'!$A:$B,2,1),(FZ93-0.05)))</f>
        <v/>
      </c>
      <c r="GB93" s="172">
        <f>MIN(1,MAX(VLOOKUP(($AJ93-$AI93-$AH93-$AG93-$AF93-$AE93*(1+GB$3))/$AJ93,'Технический лист'!$A:$B,2,1),(GA93-0.05)))</f>
        <v/>
      </c>
      <c r="GC93" s="172">
        <f>MIN(1,MAX(VLOOKUP(($AJ93-$AI93-$AH93-$AG93-$AF93-$AE93*(1+GC$3))/$AJ93,'Технический лист'!$A:$B,2,1),(GB93-0.05)))</f>
        <v/>
      </c>
      <c r="GD93" s="172">
        <f>MIN(1,MAX(VLOOKUP(($AJ93-$AI93-$AH93-$AG93-$AF93-$AE93*(1+GD$3))/$AJ93,'Технический лист'!$A:$B,2,1),(GC93-0.05)))</f>
        <v/>
      </c>
      <c r="GE93" s="172">
        <f>MIN(1,MAX(VLOOKUP(($AJ93-$AI93-$AH93-$AG93-$AF93-$AE93*(1+GE$3))/$AJ93,'Технический лист'!$A:$B,2,1),(GD93-0.05)))</f>
        <v/>
      </c>
      <c r="GF93" s="172">
        <f>MIN(1,MAX(VLOOKUP(($AJ93-$AI93-$AH93-$AG93-$AF93-$AE93*(1+GF$3))/$AJ93,'Технический лист'!$A:$B,2,1),(GE93-0.05)))</f>
        <v/>
      </c>
      <c r="GG93" s="172">
        <f>MIN(1,MAX(VLOOKUP(($AJ93-$AI93-$AH93-$AG93-$AF93-$AE93*(1+GG$3))/$AJ93,'Технический лист'!$A:$B,2,1),(GF93-0.05)))</f>
        <v/>
      </c>
      <c r="GH93" s="172">
        <f>MIN(1,MAX(VLOOKUP(($AJ93-$AI93-$AH93-$AG93-$AF93-$AE93*(1+GH$3))/$AJ93,'Технический лист'!$A:$B,2,1),(GG93-0.05)))</f>
        <v/>
      </c>
      <c r="GI93" s="172">
        <f>MIN(1,MAX(VLOOKUP(($AJ93-$AI93-$AH93-$AG93-$AF93-$AE93*(1+GI$3))/$AJ93,'Технический лист'!$A:$B,2,1),(GH93-0.05)))</f>
        <v/>
      </c>
      <c r="GJ93" s="172">
        <f>MIN(1,MAX(VLOOKUP(($AJ93-$AI93-$AH93-$AG93-$AF93-$AE93*(1+GJ$3))/$AJ93,'Технический лист'!$A:$B,2,1),(GI93-0.05)))</f>
        <v/>
      </c>
      <c r="GK93" s="172">
        <f>MIN(1,MAX(VLOOKUP(($AJ93-$AI93-$AH93-$AG93-$AF93-$AE93*(1+GK$3))/$AJ93,'Технический лист'!$A:$B,2,1),(GJ93-0.05)))</f>
        <v/>
      </c>
      <c r="GL93" s="172">
        <f>MIN(1,MAX(VLOOKUP(($AJ93-$AI93-$AH93-$AG93-$AF93-$AE93*(1+GL$3))/$AJ93,'Технический лист'!$A:$B,2,1),(GK93-0.05)))</f>
        <v/>
      </c>
      <c r="GM93" s="172">
        <f>MIN(1,MAX(VLOOKUP(($AJ93-$AI93-$AH93-$AG93-$AF93-$AE93*(1+GM$3))/$AJ93,'Технический лист'!$A:$B,2,1),(GL93-0.05)))</f>
        <v/>
      </c>
      <c r="GN93" s="172">
        <f>MIN(1,MAX(VLOOKUP(($AJ93-$AI93-$AH93-$AG93-$AF93-$AE93*(1+GN$3))/$AJ93,'Технический лист'!$A:$B,2,1),(GM93-0.05)))</f>
        <v/>
      </c>
      <c r="GO93" s="172">
        <f>MIN(1,MAX(VLOOKUP(($AJ93-$AI93-$AH93-$AG93-$AF93-$AE93*(1+GO$3))/$AJ93,'Технический лист'!$A:$B,2,1),(GN93-0.05)))</f>
        <v/>
      </c>
      <c r="GP93" s="172">
        <f>MIN(1,MAX(VLOOKUP(($AJ93-$AI93-$AH93-$AG93-$AF93-$AE93*(1+GP$3))/$AJ93,'Технический лист'!$A:$B,2,1),(GO93-0.05)))</f>
        <v/>
      </c>
      <c r="GQ93" s="172">
        <f>MIN(1,MAX(VLOOKUP(($AJ93-$AI93-$AH93-$AG93-$AF93-$AE93*(1+GQ$3))/$AJ93,'Технический лист'!$A:$B,2,1),(GP93-0.05)))</f>
        <v/>
      </c>
      <c r="GR93" s="172">
        <f>MIN(1,MAX(VLOOKUP(($AJ93-$AI93-$AH93-$AG93-$AF93-$AE93*(1+GR$3))/$AJ93,'Технический лист'!$A:$B,2,1),(GQ93-0.05)))</f>
        <v/>
      </c>
      <c r="GS93" s="172">
        <f>MIN(1,MAX(VLOOKUP(($AJ93-$AI93-$AH93-$AG93-$AF93-$AE93*(1+GS$3))/$AJ93,'Технический лист'!$A:$B,2,1),(GR93-0.05)))</f>
        <v/>
      </c>
      <c r="GT93" s="172">
        <f>MIN(1,MAX(VLOOKUP(($AJ93-$AI93-$AH93-$AG93-$AF93-$AE93*(1+GT$3))/$AJ93,'Технический лист'!$A:$B,2,1),(GS93-0.05)))</f>
        <v/>
      </c>
      <c r="GU93" s="172">
        <f>MIN(1,MAX(VLOOKUP(($AJ93-$AI93-$AH93-$AG93-$AF93-$AE93*(1+GU$3))/$AJ93,'Технический лист'!$A:$B,2,1),(GT93-0.05)))</f>
        <v/>
      </c>
      <c r="GV93" s="172">
        <f>MIN(1,MAX(VLOOKUP(($AJ93-$AI93-$AH93-$AG93-$AF93-$AE93*(1+GV$3))/$AJ93,'Технический лист'!$A:$B,2,1),(GU93-0.05)))</f>
        <v/>
      </c>
      <c r="GW93" s="172">
        <f>MIN(1,MAX(VLOOKUP(($AJ93-$AI93-$AH93-$AG93-$AF93-$AE93*(1+GW$3))/$AJ93,'Технический лист'!$A:$B,2,1),(GV93-0.05)))</f>
        <v/>
      </c>
      <c r="GX93" s="172">
        <f>MIN(1,MAX(VLOOKUP(($AJ93-$AI93-$AH93-$AG93-$AF93-$AE93*(1+GX$3))/$AJ93,'Технический лист'!$A:$B,2,1),(GW93-0.05)))</f>
        <v/>
      </c>
      <c r="GY93" s="172">
        <f>MIN(1,MAX(VLOOKUP(($AJ93-$AI93-$AH93-$AG93-$AF93-$AE93*(1+GY$3))/$AJ93,'Технический лист'!$A:$B,2,1),(GX93-0.05)))</f>
        <v/>
      </c>
      <c r="GZ93" s="172">
        <f>MIN(1,MAX(VLOOKUP(($AJ93-$AI93-$AH93-$AG93-$AF93-$AE93*(1+GZ$3))/$AJ93,'Технический лист'!$A:$B,2,1),(GY93-0.05)))</f>
        <v/>
      </c>
      <c r="HA93" s="172">
        <f>MIN(1,MAX(VLOOKUP(($AJ93-$AI93-$AH93-$AG93-$AF93-$AE93*(1+HA$3))/$AJ93,'Технический лист'!$A:$B,2,1),(GZ93-0.05)))</f>
        <v/>
      </c>
      <c r="HB93" s="172">
        <f>MIN(1,MAX(VLOOKUP(($AJ93-$AI93-$AH93-$AG93-$AF93-$AE93*(1+HB$3))/$AJ93,'Технический лист'!$A:$B,2,1),(HA93-0.05)))</f>
        <v/>
      </c>
      <c r="HC93" s="172">
        <f>MIN(1,MAX(VLOOKUP(($AJ93-$AI93-$AH93-$AG93-$AF93-$AE93*(1+HC$3))/$AJ93,'Технический лист'!$A:$B,2,1),(HB93-0.05)))</f>
        <v/>
      </c>
      <c r="HD93" s="172">
        <f>MIN(1,MAX(VLOOKUP(($AJ93-$AI93-$AH93-$AG93-$AF93-$AE93*(1+HD$3))/$AJ93,'Технический лист'!$A:$B,2,1),(HC93-0.05)))</f>
        <v/>
      </c>
      <c r="HE93" s="172">
        <f>MIN(1,MAX(VLOOKUP(($AJ93-$AI93-$AH93-$AG93-$AF93-$AE93*(1+HE$3))/$AJ93,'Технический лист'!$A:$B,2,1),(HD93-0.05)))</f>
        <v/>
      </c>
      <c r="HF93" s="172">
        <f>MIN(1,MAX(VLOOKUP(($AJ93-$AI93-$AH93-$AG93-$AF93-$AE93*(1+HF$3))/$AJ93,'Технический лист'!$A:$B,2,1),(HE93-0.05)))</f>
        <v/>
      </c>
      <c r="HG93" s="172">
        <f>MIN(1,MAX(VLOOKUP(($AJ93-$AI93-$AH93-$AG93-$AF93-$AE93*(1+HG$3))/$AJ93,'Технический лист'!$A:$B,2,1),(HF93-0.05)))</f>
        <v/>
      </c>
      <c r="HH93" s="172">
        <f>MIN(1,MAX(VLOOKUP(($AJ93-$AI93-$AH93-$AG93-$AF93-$AE93*(1+HH$3))/$AJ93,'Технический лист'!$A:$B,2,1),(HG93-0.05)))</f>
        <v/>
      </c>
      <c r="HI93" s="172">
        <f>MIN(1,MAX(VLOOKUP(($AJ93-$AI93-$AH93-$AG93-$AF93-$AE93*(1+HI$3))/$AJ93,'Технический лист'!$A:$B,2,1),(HH93-0.05)))</f>
        <v/>
      </c>
      <c r="HJ93" s="172">
        <f>MIN(1,MAX(VLOOKUP(($AJ93-$AI93-$AH93-$AG93-$AF93-$AE93*(1+HJ$3))/$AJ93,'Технический лист'!$A:$B,2,1),(HI93-0.05)))</f>
        <v/>
      </c>
      <c r="HK93" s="172">
        <f>MIN(1,MAX(VLOOKUP(($AJ93-$AI93-$AH93-$AG93-$AF93-$AE93*(1+HK$3))/$AJ93,'Технический лист'!$A:$B,2,1),(HJ93-0.05)))</f>
        <v/>
      </c>
      <c r="HL93" s="172">
        <f>MIN(1,MAX(VLOOKUP(($AJ93-$AI93-$AH93-$AG93-$AF93-$AE93*(1+HL$3))/$AJ93,'Технический лист'!$A:$B,2,1),(HK93-0.05)))</f>
        <v/>
      </c>
      <c r="HM93" s="172">
        <f>MIN(1,MAX(VLOOKUP(($AJ93-$AI93-$AH93-$AG93-$AF93-$AE93*(1+HM$3))/$AJ93,'Технический лист'!$A:$B,2,1),(HL93-0.05)))</f>
        <v/>
      </c>
      <c r="HN93" s="172">
        <f>MIN(1,MAX(VLOOKUP(($AJ93-$AI93-$AH93-$AG93-$AF93-$AE93*(1+HN$3))/$AJ93,'Технический лист'!$A:$B,2,1),(HM93-0.05)))</f>
        <v/>
      </c>
      <c r="HO93" s="172">
        <f>MIN(1,MAX(VLOOKUP(($AJ93-$AI93-$AH93-$AG93-$AF93-$AE93*(1+HO$3))/$AJ93,'Технический лист'!$A:$B,2,1),(HN93-0.05)))</f>
        <v/>
      </c>
      <c r="HP93" s="172">
        <f>MIN(1,MAX(VLOOKUP(($AJ93-$AI93-$AH93-$AG93-$AF93-$AE93*(1+HP$3))/$AJ93,'Технический лист'!$A:$B,2,1),(HO93-0.05)))</f>
        <v/>
      </c>
      <c r="HQ93" s="172">
        <f>MIN(1,MAX(VLOOKUP(($AJ93-$AI93-$AH93-$AG93-$AF93-$AE93*(1+HQ$3))/$AJ93,'Технический лист'!$A:$B,2,1),(HP93-0.05)))</f>
        <v/>
      </c>
      <c r="HR93" s="172">
        <f>MIN(1,MAX(VLOOKUP(($AJ93-$AI93-$AH93-$AG93-$AF93-$AE93*(1+HR$3))/$AJ93,'Технический лист'!$A:$B,2,1),(HQ93-0.05)))</f>
        <v/>
      </c>
      <c r="HS93" s="172">
        <f>MIN(1,MAX(VLOOKUP(($AJ93-$AI93-$AH93-$AG93-$AF93-$AE93*(1+HS$3))/$AJ93,'Технический лист'!$A:$B,2,1),(HR93-0.05)))</f>
        <v/>
      </c>
      <c r="HT93" s="172">
        <f>MIN(1,MAX(VLOOKUP(($AJ93-$AI93-$AH93-$AG93-$AF93-$AE93*(1+HT$3))/$AJ93,'Технический лист'!$A:$B,2,1),(HS93-0.05)))</f>
        <v/>
      </c>
      <c r="HU93" s="172">
        <f>MIN(1,MAX(VLOOKUP(($AJ93-$AI93-$AH93-$AG93-$AF93-$AE93*(1+HU$3))/$AJ93,'Технический лист'!$A:$B,2,1),(HT93-0.05)))</f>
        <v/>
      </c>
      <c r="HV93" s="172">
        <f>MIN(1,MAX(VLOOKUP(($AJ93-$AI93-$AH93-$AG93-$AF93-$AE93*(1+HV$3))/$AJ93,'Технический лист'!$A:$B,2,1),(HU93-0.05)))</f>
        <v/>
      </c>
      <c r="HW93" s="172">
        <f>MIN(1,MAX(VLOOKUP(($AJ93-$AI93-$AH93-$AG93-$AF93-$AE93*(1+HW$3))/$AJ93,'Технический лист'!$A:$B,2,1),(HV93-0.05)))</f>
        <v/>
      </c>
      <c r="HX93" s="172">
        <f>MIN(1,MAX(VLOOKUP(($AJ93-$AI93-$AH93-$AG93-$AF93-$AE93*(1+HX$3))/$AJ93,'Технический лист'!$A:$B,2,1),(HW93-0.05)))</f>
        <v/>
      </c>
      <c r="HY93" s="172">
        <f>MIN(1,MAX(VLOOKUP(($AJ93-$AI93-$AH93-$AG93-$AF93-$AE93*(1+HY$3))/$AJ93,'Технический лист'!$A:$B,2,1),(HX93-0.05)))</f>
        <v/>
      </c>
      <c r="HZ93" s="172">
        <f>MIN(1,MAX(VLOOKUP(($AJ93-$AI93-$AH93-$AG93-$AF93-$AE93*(1+HZ$3))/$AJ93,'Технический лист'!$A:$B,2,1),(HY93-0.05)))</f>
        <v/>
      </c>
      <c r="IA93" s="172">
        <f>MIN(1,MAX(VLOOKUP(($AJ93-$AI93-$AH93-$AG93-$AF93-$AE93*(1+IA$3))/$AJ93,'Технический лист'!$A:$B,2,1),(HZ93-0.05)))</f>
        <v/>
      </c>
      <c r="IB93" s="172">
        <f>MIN(1,MAX(VLOOKUP(($AJ93-$AI93-$AH93-$AG93-$AF93-$AE93*(1+IB$3))/$AJ93,'Технический лист'!$A:$B,2,1),(IA93-0.05)))</f>
        <v/>
      </c>
      <c r="IC93" s="172">
        <f>MIN(1,MAX(VLOOKUP(($AJ93-$AI93-$AH93-$AG93-$AF93-$AE93*(1+IC$3))/$AJ93,'Технический лист'!$A:$B,2,1),(IB93-0.05)))</f>
        <v/>
      </c>
      <c r="ID93" s="172">
        <f>MIN(1,MAX(VLOOKUP(($AJ93-$AI93-$AH93-$AG93-$AF93-$AE93*(1+ID$3))/$AJ93,'Технический лист'!$A:$B,2,1),(IC93-0.05)))</f>
        <v/>
      </c>
      <c r="IE93" s="172">
        <f>MIN(1,MAX(VLOOKUP(($AJ93-$AI93-$AH93-$AG93-$AF93-$AE93*(1+IE$3))/$AJ93,'Технический лист'!$A:$B,2,1),(ID93-0.05)))</f>
        <v/>
      </c>
      <c r="IF93" s="172">
        <f>MIN(1,MAX(VLOOKUP(($AJ93-$AI93-$AH93-$AG93-$AF93-$AE93*(1+IF$3))/$AJ93,'Технический лист'!$A:$B,2,1),(IE93-0.05)))</f>
        <v/>
      </c>
      <c r="IG93" s="172">
        <f>MIN(1,MAX(VLOOKUP(($AJ93-$AI93-$AH93-$AG93-$AF93-$AE93*(1+IG$3))/$AJ93,'Технический лист'!$A:$B,2,1),(IF93-0.05)))</f>
        <v/>
      </c>
      <c r="IH93" s="172">
        <f>MIN(1,MAX(VLOOKUP(($AJ93-$AI93-$AH93-$AG93-$AF93-$AE93*(1+IH$3))/$AJ93,'Технический лист'!$A:$B,2,1),(IG93-0.05)))</f>
        <v/>
      </c>
      <c r="II93" s="172">
        <f>MIN(1,MAX(VLOOKUP(($AJ93-$AI93-$AH93-$AG93-$AF93-$AE93*(1+II$3))/$AJ93,'Технический лист'!$A:$B,2,1),(IH93-0.05)))</f>
        <v/>
      </c>
      <c r="IJ93" s="172">
        <f>MIN(1,MAX(VLOOKUP(($AJ93-$AI93-$AH93-$AG93-$AF93-$AE93*(1+IJ$3))/$AJ93,'Технический лист'!$A:$B,2,1),(II93-0.05)))</f>
        <v/>
      </c>
      <c r="IK93" s="172">
        <f>MIN(1,MAX(VLOOKUP(($AJ93-$AI93-$AH93-$AG93-$AF93-$AE93*(1+IK$3))/$AJ93,'Технический лист'!$A:$B,2,1),(IJ93-0.05)))</f>
        <v/>
      </c>
      <c r="IL93" s="172">
        <f>MIN(1,MAX(VLOOKUP(($AJ93-$AI93-$AH93-$AG93-$AF93-$AE93*(1+IL$3))/$AJ93,'Технический лист'!$A:$B,2,1),(IK93-0.05)))</f>
        <v/>
      </c>
      <c r="IM93" s="172">
        <f>MIN(1,MAX(VLOOKUP(($AJ93-$AI93-$AH93-$AG93-$AF93-$AE93*(1+IM$3))/$AJ93,'Технический лист'!$A:$B,2,1),(IL93-0.05)))</f>
        <v/>
      </c>
      <c r="IN93" s="172">
        <f>MIN(1,MAX(VLOOKUP(($AJ93-$AI93-$AH93-$AG93-$AF93-$AE93*(1+IN$3))/$AJ93,'Технический лист'!$A:$B,2,1),(IM93-0.05)))</f>
        <v/>
      </c>
      <c r="IO93" s="172">
        <f>MIN(1,MAX(VLOOKUP(($AJ93-$AI93-$AH93-$AG93-$AF93-$AE93*(1+IO$3))/$AJ93,'Технический лист'!$A:$B,2,1),(IN93-0.05)))</f>
        <v/>
      </c>
      <c r="IP93" s="172">
        <f>MIN(1,MAX(VLOOKUP(($AJ93-$AI93-$AH93-$AG93-$AF93-$AE93*(1+IP$3))/$AJ93,'Технический лист'!$A:$B,2,1),(IO93-0.05)))</f>
        <v/>
      </c>
      <c r="IQ93" s="172">
        <f>MIN(1,MAX(VLOOKUP(($AJ93-$AI93-$AH93-$AG93-$AF93-$AE93*(1+IQ$3))/$AJ93,'Технический лист'!$A:$B,2,1),(IP93-0.05)))</f>
        <v/>
      </c>
      <c r="IR93" s="172">
        <f>MIN(1,MAX(VLOOKUP(($AJ93-$AI93-$AH93-$AG93-$AF93-$AE93*(1+IR$3))/$AJ93,'Технический лист'!$A:$B,2,1),(IQ93-0.05)))</f>
        <v/>
      </c>
    </row>
    <row r="94" ht="43.75" customHeight="1" s="123">
      <c r="A94" s="89" t="inlineStr">
        <is>
          <t>ЧМ (продукция)</t>
        </is>
      </c>
      <c r="B94" s="90" t="n">
        <v>5</v>
      </c>
      <c r="C94" s="5" t="inlineStr">
        <is>
          <t>Черные металлы</t>
        </is>
      </c>
      <c r="D94" s="91" t="n">
        <v>31405</v>
      </c>
      <c r="E94" s="91" t="inlineStr">
        <is>
          <t xml:space="preserve">Заготовка стальная, не поименованная в алфавите </t>
        </is>
      </c>
      <c r="F94" s="92" t="inlineStr">
        <is>
          <t>ЗАГОТОВКИ СТАЛЬНЫЕ</t>
        </is>
      </c>
      <c r="G94" s="91" t="inlineStr">
        <is>
          <t>СВР</t>
        </is>
      </c>
      <c r="H94" s="91" t="inlineStr">
        <is>
          <t>СВР</t>
        </is>
      </c>
      <c r="I94" s="91" t="inlineStr">
        <is>
          <t>РЕВДА</t>
        </is>
      </c>
      <c r="J94" s="91" t="inlineStr">
        <is>
          <t>НИЖНЕСЕРГИНС</t>
        </is>
      </c>
      <c r="K94" s="91" t="n">
        <v>72</v>
      </c>
      <c r="L94" s="91" t="inlineStr">
        <is>
          <t>Полувагоны</t>
        </is>
      </c>
      <c r="M94" s="91" t="inlineStr">
        <is>
          <t>Внутр. перевозки</t>
        </is>
      </c>
      <c r="N94" s="91" t="inlineStr">
        <is>
          <t>вагонная</t>
        </is>
      </c>
      <c r="O94" s="91" t="inlineStr">
        <is>
          <t xml:space="preserve">Южное </t>
        </is>
      </c>
      <c r="P94" s="89" t="inlineStr">
        <is>
          <t>'000055791017</t>
        </is>
      </c>
      <c r="Q94" s="91" t="inlineStr">
        <is>
          <t>ООО "ПРОМСОРТ-УРАЛ"</t>
        </is>
      </c>
      <c r="R94" s="91" t="inlineStr">
        <is>
          <t>ООО "УК"ПМХ"</t>
        </is>
      </c>
      <c r="S94" s="87" t="n">
        <v>529900</v>
      </c>
      <c r="T94" s="87" t="n">
        <v>38152801</v>
      </c>
      <c r="U94" s="88" t="n">
        <v>7705</v>
      </c>
      <c r="V94" s="88" t="n">
        <v>0</v>
      </c>
      <c r="W94" s="87" t="n">
        <v>299409673</v>
      </c>
      <c r="X94" s="112" t="n">
        <v>69</v>
      </c>
      <c r="Y94" s="112" t="inlineStr">
        <is>
          <t>групповая</t>
        </is>
      </c>
      <c r="Z94" s="113" t="n">
        <v>3</v>
      </c>
      <c r="AA94" s="113" t="n">
        <v>3</v>
      </c>
      <c r="AB94" s="113" t="n">
        <v>4</v>
      </c>
      <c r="AC94" s="161" t="n">
        <v>633.4299999999999</v>
      </c>
      <c r="AD94" s="161">
        <f>AE94-AC94</f>
        <v/>
      </c>
      <c r="AE94" s="161" t="n">
        <v>673.35</v>
      </c>
      <c r="AF94" s="162">
        <f>(Z94+AA94+AB94)*'Ставки аренды'!$B$3/X94</f>
        <v/>
      </c>
      <c r="AG94" s="163" t="n">
        <v>0</v>
      </c>
      <c r="AH94" s="164" t="n">
        <v>0</v>
      </c>
      <c r="AI94" s="165">
        <f>56808019/60637187*AJ94</f>
        <v/>
      </c>
      <c r="AJ94" s="166">
        <f>Цены!$D$11</f>
        <v/>
      </c>
      <c r="AK94" s="164">
        <f>AJ94/Цены!$B$1</f>
        <v/>
      </c>
      <c r="AL94" s="164">
        <f>AE94+AF94+AG94</f>
        <v/>
      </c>
      <c r="AM94" s="164">
        <f>AJ94-AL94</f>
        <v/>
      </c>
      <c r="AN94" s="164">
        <f>AI94+AH94+AG94+AF94+AE94</f>
        <v/>
      </c>
      <c r="AO94" s="167">
        <f>(AJ94-AN94)/AJ94</f>
        <v/>
      </c>
      <c r="AP94" s="168">
        <f>AL94/AJ94</f>
        <v/>
      </c>
      <c r="AQ94" s="168">
        <f>AE94/AJ94</f>
        <v/>
      </c>
      <c r="AR94" s="168">
        <f>AE94/AL94</f>
        <v/>
      </c>
      <c r="AS94" s="169" t="n">
        <v>1</v>
      </c>
      <c r="AT94" s="121">
        <f>S94*AS94</f>
        <v/>
      </c>
      <c r="AU94" s="83" t="n">
        <v>0.8</v>
      </c>
      <c r="AV94" s="170">
        <f>(AJ94-(AE94*(1+$IS$2)+AF94+AG94+AH94+AI94))/AJ94</f>
        <v/>
      </c>
      <c r="AW94" s="171">
        <f>(AE94*(1+$IS$2)+AF94+AG94)/AJ94</f>
        <v/>
      </c>
      <c r="AX94" s="171">
        <f>(AE94*(1+$IS$2))/AJ94</f>
        <v/>
      </c>
      <c r="AY94" s="171">
        <f>(AE94*(1+$IS$2))/(AE94*(1+$IS$2)+AF94+AG94)</f>
        <v/>
      </c>
      <c r="AZ94" s="172">
        <f>MIN(IF($AU94=100%,1,1+VLOOKUP(($AJ94-$AI94-$AH94-$AG94-$AF94-$AE94*(1+AZ$3))/$AJ94,'Технический лист'!$I:$J,2,1)-VLOOKUP($AO94,'Технический лист'!$I:$J,2,1)),1+(1-$AU94))</f>
        <v/>
      </c>
      <c r="BA94" s="172">
        <f>MIN(IF($AU94=100%,1,1+VLOOKUP(($AJ94-$AI94-$AH94-$AG94-$AF94-$AE94*(1+BA$3))/$AJ94,'Технический лист'!$I:$J,2,1)-VLOOKUP($AO94,'Технический лист'!$I:$J,2,1)),1+(1-$AU94))</f>
        <v/>
      </c>
      <c r="BB94" s="172">
        <f>MIN(IF($AU94=100%,1,1+VLOOKUP(($AJ94-$AI94-$AH94-$AG94-$AF94-$AE94*(1+BB$3))/$AJ94,'Технический лист'!$I:$J,2,1)-VLOOKUP($AO94,'Технический лист'!$I:$J,2,1)),1+(1-$AU94))</f>
        <v/>
      </c>
      <c r="BC94" s="172">
        <f>MIN(IF($AU94=100%,1,1+VLOOKUP(($AJ94-$AI94-$AH94-$AG94-$AF94-$AE94*(1+BC$3))/$AJ94,'Технический лист'!$I:$J,2,1)-VLOOKUP($AO94,'Технический лист'!$I:$J,2,1)),1+(1-$AU94))</f>
        <v/>
      </c>
      <c r="BD94" s="172">
        <f>MIN(IF($AU94=100%,1,1+VLOOKUP(($AJ94-$AI94-$AH94-$AG94-$AF94-$AE94*(1+BD$3))/$AJ94,'Технический лист'!$I:$J,2,1)-VLOOKUP($AO94,'Технический лист'!$I:$J,2,1)),1+(1-$AU94))</f>
        <v/>
      </c>
      <c r="BE94" s="172">
        <f>MIN(IF($AU94=100%,1,1+VLOOKUP(($AJ94-$AI94-$AH94-$AG94-$AF94-$AE94*(1+BE$3))/$AJ94,'Технический лист'!$I:$J,2,1)-VLOOKUP($AO94,'Технический лист'!$I:$J,2,1)),1+(1-$AU94))</f>
        <v/>
      </c>
      <c r="BF94" s="172">
        <f>MIN(IF($AU94=100%,1,1+VLOOKUP(($AJ94-$AI94-$AH94-$AG94-$AF94-$AE94*(1+BF$3))/$AJ94,'Технический лист'!$I:$J,2,1)-VLOOKUP($AO94,'Технический лист'!$I:$J,2,1)),1+(1-$AU94))</f>
        <v/>
      </c>
      <c r="BG94" s="172">
        <f>MIN(IF($AU94=100%,1,1+VLOOKUP(($AJ94-$AI94-$AH94-$AG94-$AF94-$AE94*(1+BG$3))/$AJ94,'Технический лист'!$I:$J,2,1)-VLOOKUP($AO94,'Технический лист'!$I:$J,2,1)),1+(1-$AU94))</f>
        <v/>
      </c>
      <c r="BH94" s="172">
        <f>MIN(IF($AU94=100%,1,1+VLOOKUP(($AJ94-$AI94-$AH94-$AG94-$AF94-$AE94*(1+BH$3))/$AJ94,'Технический лист'!$I:$J,2,1)-VLOOKUP($AO94,'Технический лист'!$I:$J,2,1)),1+(1-$AU94))</f>
        <v/>
      </c>
      <c r="BI94" s="172">
        <f>MIN(IF($AU94=100%,1,1+VLOOKUP(($AJ94-$AI94-$AH94-$AG94-$AF94-$AE94*(1+BI$3))/$AJ94,'Технический лист'!$I:$J,2,1)-VLOOKUP($AO94,'Технический лист'!$I:$J,2,1)),1+(1-$AU94))</f>
        <v/>
      </c>
      <c r="BJ94" s="172">
        <f>MIN(IF($AU94=100%,1,1+VLOOKUP(($AJ94-$AI94-$AH94-$AG94-$AF94-$AE94*(1+BJ$3))/$AJ94,'Технический лист'!$I:$J,2,1)-VLOOKUP($AO94,'Технический лист'!$I:$J,2,1)),1+(1-$AU94))</f>
        <v/>
      </c>
      <c r="BK94" s="172">
        <f>MIN(IF($AU94=100%,1,1+VLOOKUP(($AJ94-$AI94-$AH94-$AG94-$AF94-$AE94*(1+BK$3))/$AJ94,'Технический лист'!$I:$J,2,1)-VLOOKUP($AO94,'Технический лист'!$I:$J,2,1)),1+(1-$AU94))</f>
        <v/>
      </c>
      <c r="BL94" s="172">
        <f>MIN(IF($AU94=100%,1,1+VLOOKUP(($AJ94-$AI94-$AH94-$AG94-$AF94-$AE94*(1+BL$3))/$AJ94,'Технический лист'!$I:$J,2,1)-VLOOKUP($AO94,'Технический лист'!$I:$J,2,1)),1+(1-$AU94))</f>
        <v/>
      </c>
      <c r="BM94" s="172">
        <f>MIN(IF($AU94=100%,1,1+VLOOKUP(($AJ94-$AI94-$AH94-$AG94-$AF94-$AE94*(1+BM$3))/$AJ94,'Технический лист'!$I:$J,2,1)-VLOOKUP($AO94,'Технический лист'!$I:$J,2,1)),1+(1-$AU94))</f>
        <v/>
      </c>
      <c r="BN94" s="172">
        <f>MIN(IF($AU94=100%,1,1+VLOOKUP(($AJ94-$AI94-$AH94-$AG94-$AF94-$AE94*(1+BN$3))/$AJ94,'Технический лист'!$I:$J,2,1)-VLOOKUP($AO94,'Технический лист'!$I:$J,2,1)),1+(1-$AU94))</f>
        <v/>
      </c>
      <c r="BO94" s="172">
        <f>MIN(IF($AU94=100%,1,1+VLOOKUP(($AJ94-$AI94-$AH94-$AG94-$AF94-$AE94*(1+BO$3))/$AJ94,'Технический лист'!$I:$J,2,1)-VLOOKUP($AO94,'Технический лист'!$I:$J,2,1)),1+(1-$AU94))</f>
        <v/>
      </c>
      <c r="BP94" s="172">
        <f>MIN(IF($AU94=100%,1,1+VLOOKUP(($AJ94-$AI94-$AH94-$AG94-$AF94-$AE94*(1+BP$3))/$AJ94,'Технический лист'!$I:$J,2,1)-VLOOKUP($AO94,'Технический лист'!$I:$J,2,1)),1+(1-$AU94))</f>
        <v/>
      </c>
      <c r="BQ94" s="172">
        <f>MIN(IF($AU94=100%,1,1+VLOOKUP(($AJ94-$AI94-$AH94-$AG94-$AF94-$AE94*(1+BQ$3))/$AJ94,'Технический лист'!$I:$J,2,1)-VLOOKUP($AO94,'Технический лист'!$I:$J,2,1)),1+(1-$AU94))</f>
        <v/>
      </c>
      <c r="BR94" s="172">
        <f>MIN(IF($AU94=100%,1,1+VLOOKUP(($AJ94-$AI94-$AH94-$AG94-$AF94-$AE94*(1+BR$3))/$AJ94,'Технический лист'!$I:$J,2,1)-VLOOKUP($AO94,'Технический лист'!$I:$J,2,1)),1+(1-$AU94))</f>
        <v/>
      </c>
      <c r="BS94" s="172">
        <f>MIN(IF($AU94=100%,1,1+VLOOKUP(($AJ94-$AI94-$AH94-$AG94-$AF94-$AE94*(1+BS$3))/$AJ94,'Технический лист'!$I:$J,2,1)-VLOOKUP($AO94,'Технический лист'!$I:$J,2,1)),1+(1-$AU94))</f>
        <v/>
      </c>
      <c r="BT94" s="172">
        <f>MIN(IF($AU94=100%,1,1+VLOOKUP(($AJ94-$AI94-$AH94-$AG94-$AF94-$AE94*(1+BT$3))/$AJ94,'Технический лист'!$I:$J,2,1)-VLOOKUP($AO94,'Технический лист'!$I:$J,2,1)),1+(1-$AU94))</f>
        <v/>
      </c>
      <c r="BU94" s="172">
        <f>MIN(IF($AU94=100%,1,1+VLOOKUP(($AJ94-$AI94-$AH94-$AG94-$AF94-$AE94*(1+BU$3))/$AJ94,'Технический лист'!$I:$J,2,1)-VLOOKUP($AO94,'Технический лист'!$I:$J,2,1)),1+(1-$AU94))</f>
        <v/>
      </c>
      <c r="BV94" s="172">
        <f>MIN(IF($AU94=100%,1,1+VLOOKUP(($AJ94-$AI94-$AH94-$AG94-$AF94-$AE94*(1+BV$3))/$AJ94,'Технический лист'!$I:$J,2,1)-VLOOKUP($AO94,'Технический лист'!$I:$J,2,1)),1+(1-$AU94))</f>
        <v/>
      </c>
      <c r="BW94" s="172">
        <f>MIN(IF($AU94=100%,1,1+VLOOKUP(($AJ94-$AI94-$AH94-$AG94-$AF94-$AE94*(1+BW$3))/$AJ94,'Технический лист'!$I:$J,2,1)-VLOOKUP($AO94,'Технический лист'!$I:$J,2,1)),1+(1-$AU94))</f>
        <v/>
      </c>
      <c r="BX94" s="172">
        <f>MIN(IF($AU94=100%,1,1+VLOOKUP(($AJ94-$AI94-$AH94-$AG94-$AF94-$AE94*(1+BX$3))/$AJ94,'Технический лист'!$I:$J,2,1)-VLOOKUP($AO94,'Технический лист'!$I:$J,2,1)),1+(1-$AU94))</f>
        <v/>
      </c>
      <c r="BY94" s="172">
        <f>MIN(IF($AU94=100%,1,1+VLOOKUP(($AJ94-$AI94-$AH94-$AG94-$AF94-$AE94*(1+BY$3))/$AJ94,'Технический лист'!$I:$J,2,1)-VLOOKUP($AO94,'Технический лист'!$I:$J,2,1)),1+(1-$AU94))</f>
        <v/>
      </c>
      <c r="BZ94" s="172">
        <f>MIN(IF($AU94=100%,1,1+VLOOKUP(($AJ94-$AI94-$AH94-$AG94-$AF94-$AE94*(1+BZ$3))/$AJ94,'Технический лист'!$I:$J,2,1)-VLOOKUP($AO94,'Технический лист'!$I:$J,2,1)),1+(1-$AU94))</f>
        <v/>
      </c>
      <c r="CA94" s="172">
        <f>MIN(IF($AU94=100%,1,1+VLOOKUP(($AJ94-$AI94-$AH94-$AG94-$AF94-$AE94*(1+CA$3))/$AJ94,'Технический лист'!$I:$J,2,1)-VLOOKUP($AO94,'Технический лист'!$I:$J,2,1)),1+(1-$AU94))</f>
        <v/>
      </c>
      <c r="CB94" s="172">
        <f>MIN(IF($AU94=100%,1,1+VLOOKUP(($AJ94-$AI94-$AH94-$AG94-$AF94-$AE94*(1+CB$3))/$AJ94,'Технический лист'!$I:$J,2,1)-VLOOKUP($AO94,'Технический лист'!$I:$J,2,1)),1+(1-$AU94))</f>
        <v/>
      </c>
      <c r="CC94" s="172">
        <f>MIN(IF($AU94=100%,1,1+VLOOKUP(($AJ94-$AI94-$AH94-$AG94-$AF94-$AE94*(1+CC$3))/$AJ94,'Технический лист'!$I:$J,2,1)-VLOOKUP($AO94,'Технический лист'!$I:$J,2,1)),1+(1-$AU94))</f>
        <v/>
      </c>
      <c r="CD94" s="172">
        <f>MIN(IF($AU94=100%,1,1+VLOOKUP(($AJ94-$AI94-$AH94-$AG94-$AF94-$AE94*(1+CD$3))/$AJ94,'Технический лист'!$I:$J,2,1)-VLOOKUP($AO94,'Технический лист'!$I:$J,2,1)),1+(1-$AU94))</f>
        <v/>
      </c>
      <c r="CE94" s="172">
        <f>MIN(IF($AU94=100%,1,1+VLOOKUP(($AJ94-$AI94-$AH94-$AG94-$AF94-$AE94*(1+CE$3))/$AJ94,'Технический лист'!$I:$J,2,1)-VLOOKUP($AO94,'Технический лист'!$I:$J,2,1)),1+(1-$AU94))</f>
        <v/>
      </c>
      <c r="CF94" s="172">
        <f>MIN(IF($AU94=100%,1,1+VLOOKUP(($AJ94-$AI94-$AH94-$AG94-$AF94-$AE94*(1+CF$3))/$AJ94,'Технический лист'!$I:$J,2,1)-VLOOKUP($AO94,'Технический лист'!$I:$J,2,1)),1+(1-$AU94))</f>
        <v/>
      </c>
      <c r="CG94" s="172">
        <f>MIN(IF($AU94=100%,1,1+VLOOKUP(($AJ94-$AI94-$AH94-$AG94-$AF94-$AE94*(1+CG$3))/$AJ94,'Технический лист'!$I:$J,2,1)-VLOOKUP($AO94,'Технический лист'!$I:$J,2,1)),1+(1-$AU94))</f>
        <v/>
      </c>
      <c r="CH94" s="172">
        <f>MIN(IF($AU94=100%,1,1+VLOOKUP(($AJ94-$AI94-$AH94-$AG94-$AF94-$AE94*(1+CH$3))/$AJ94,'Технический лист'!$I:$J,2,1)-VLOOKUP($AO94,'Технический лист'!$I:$J,2,1)),1+(1-$AU94))</f>
        <v/>
      </c>
      <c r="CI94" s="172">
        <f>MIN(IF($AU94=100%,1,1+VLOOKUP(($AJ94-$AI94-$AH94-$AG94-$AF94-$AE94*(1+CI$3))/$AJ94,'Технический лист'!$I:$J,2,1)-VLOOKUP($AO94,'Технический лист'!$I:$J,2,1)),1+(1-$AU94))</f>
        <v/>
      </c>
      <c r="CJ94" s="172">
        <f>MIN(IF($AU94=100%,1,1+VLOOKUP(($AJ94-$AI94-$AH94-$AG94-$AF94-$AE94*(1+CJ$3))/$AJ94,'Технический лист'!$I:$J,2,1)-VLOOKUP($AO94,'Технический лист'!$I:$J,2,1)),1+(1-$AU94))</f>
        <v/>
      </c>
      <c r="CK94" s="172">
        <f>MIN(IF($AU94=100%,1,1+VLOOKUP(($AJ94-$AI94-$AH94-$AG94-$AF94-$AE94*(1+CK$3))/$AJ94,'Технический лист'!$I:$J,2,1)-VLOOKUP($AO94,'Технический лист'!$I:$J,2,1)),1+(1-$AU94))</f>
        <v/>
      </c>
      <c r="CL94" s="172">
        <f>MIN(IF($AU94=100%,1,1+VLOOKUP(($AJ94-$AI94-$AH94-$AG94-$AF94-$AE94*(1+CL$3))/$AJ94,'Технический лист'!$I:$J,2,1)-VLOOKUP($AO94,'Технический лист'!$I:$J,2,1)),1+(1-$AU94))</f>
        <v/>
      </c>
      <c r="CM94" s="172">
        <f>MIN(IF($AU94=100%,1,1+VLOOKUP(($AJ94-$AI94-$AH94-$AG94-$AF94-$AE94*(1+CM$3))/$AJ94,'Технический лист'!$I:$J,2,1)-VLOOKUP($AO94,'Технический лист'!$I:$J,2,1)),1+(1-$AU94))</f>
        <v/>
      </c>
      <c r="CN94" s="172">
        <f>MIN(IF($AU94=100%,1,1+VLOOKUP(($AJ94-$AI94-$AH94-$AG94-$AF94-$AE94*(1+CN$3))/$AJ94,'Технический лист'!$I:$J,2,1)-VLOOKUP($AO94,'Технический лист'!$I:$J,2,1)),1+(1-$AU94))</f>
        <v/>
      </c>
      <c r="CO94" s="172">
        <f>MIN(IF($AU94=100%,1,1+VLOOKUP(($AJ94-$AI94-$AH94-$AG94-$AF94-$AE94*(1+CO$3))/$AJ94,'Технический лист'!$I:$J,2,1)-VLOOKUP($AO94,'Технический лист'!$I:$J,2,1)),1+(1-$AU94))</f>
        <v/>
      </c>
      <c r="CP94" s="172">
        <f>MIN(IF($AU94=100%,1,1+VLOOKUP(($AJ94-$AI94-$AH94-$AG94-$AF94-$AE94*(1+CP$3))/$AJ94,'Технический лист'!$I:$J,2,1)-VLOOKUP($AO94,'Технический лист'!$I:$J,2,1)),1+(1-$AU94))</f>
        <v/>
      </c>
      <c r="CQ94" s="172">
        <f>MIN(IF($AU94=100%,1,1+VLOOKUP(($AJ94-$AI94-$AH94-$AG94-$AF94-$AE94*(1+CQ$3))/$AJ94,'Технический лист'!$I:$J,2,1)-VLOOKUP($AO94,'Технический лист'!$I:$J,2,1)),1+(1-$AU94))</f>
        <v/>
      </c>
      <c r="CR94" s="172">
        <f>MIN(IF($AU94=100%,1,1+VLOOKUP(($AJ94-$AI94-$AH94-$AG94-$AF94-$AE94*(1+CR$3))/$AJ94,'Технический лист'!$I:$J,2,1)-VLOOKUP($AO94,'Технический лист'!$I:$J,2,1)),1+(1-$AU94))</f>
        <v/>
      </c>
      <c r="CS94" s="172">
        <f>MIN(IF($AU94=100%,1,1+VLOOKUP(($AJ94-$AI94-$AH94-$AG94-$AF94-$AE94*(1+CS$3))/$AJ94,'Технический лист'!$I:$J,2,1)-VLOOKUP($AO94,'Технический лист'!$I:$J,2,1)),1+(1-$AU94))</f>
        <v/>
      </c>
      <c r="CT94" s="172">
        <f>MIN(IF($AU94=100%,1,1+VLOOKUP(($AJ94-$AI94-$AH94-$AG94-$AF94-$AE94*(1+CT$3))/$AJ94,'Технический лист'!$I:$J,2,1)-VLOOKUP($AO94,'Технический лист'!$I:$J,2,1)),1+(1-$AU94))</f>
        <v/>
      </c>
      <c r="CU94" s="172">
        <f>MIN(IF($AU94=100%,1,1+VLOOKUP(($AJ94-$AI94-$AH94-$AG94-$AF94-$AE94*(1+CU$3))/$AJ94,'Технический лист'!$I:$J,2,1)-VLOOKUP($AO94,'Технический лист'!$I:$J,2,1)),1+(1-$AU94))</f>
        <v/>
      </c>
      <c r="CV94" s="172">
        <f>MIN(IF($AU94=100%,1,1+VLOOKUP(($AJ94-$AI94-$AH94-$AG94-$AF94-$AE94*(1+CV$3))/$AJ94,'Технический лист'!$I:$J,2,1)-VLOOKUP($AO94,'Технический лист'!$I:$J,2,1)),1+(1-$AU94))</f>
        <v/>
      </c>
      <c r="CW94" s="172">
        <f>MIN(IF($AU94=100%,1,1+VLOOKUP(($AJ94-$AI94-$AH94-$AG94-$AF94-$AE94*(1+CW$3))/$AJ94,'Технический лист'!$I:$J,2,1)-VLOOKUP($AO94,'Технический лист'!$I:$J,2,1)),1+(1-$AU94))</f>
        <v/>
      </c>
      <c r="CX94" s="172">
        <f>MIN(IF($AU94=100%,1,1+VLOOKUP(($AJ94-$AI94-$AH94-$AG94-$AF94-$AE94*(1+CX$3))/$AJ94,'Технический лист'!$I:$J,2,1)-VLOOKUP($AO94,'Технический лист'!$I:$J,2,1)),1+(1-$AU94))</f>
        <v/>
      </c>
      <c r="CY94" s="172">
        <f>MIN(IF($AU94=100%,1,1+VLOOKUP(($AJ94-$AI94-$AH94-$AG94-$AF94-$AE94*(1+CY$3))/$AJ94,'Технический лист'!$I:$J,2,1)-VLOOKUP($AO94,'Технический лист'!$I:$J,2,1)),1+(1-$AU94))</f>
        <v/>
      </c>
      <c r="CZ94" s="172">
        <f>MIN(IF($AU94=100%,1,1+VLOOKUP(($AJ94-$AI94-$AH94-$AG94-$AF94-$AE94*(1+CZ$3))/$AJ94,'Технический лист'!$I:$J,2,1)-VLOOKUP($AO94,'Технический лист'!$I:$J,2,1)),1+(1-$AU94))</f>
        <v/>
      </c>
      <c r="DA94" s="172">
        <f>MIN(IF($AU94=100%,1,1+VLOOKUP(($AJ94-$AI94-$AH94-$AG94-$AF94-$AE94*(1+DA$3))/$AJ94,'Технический лист'!$I:$J,2,1)-VLOOKUP($AO94,'Технический лист'!$I:$J,2,1)),1+(1-$AU94))</f>
        <v/>
      </c>
      <c r="DB94" s="172">
        <f>MIN(IF($AU94=100%,1,1+VLOOKUP(($AJ94-$AI94-$AH94-$AG94-$AF94-$AE94*(1+DB$3))/$AJ94,'Технический лист'!$I:$J,2,1)-VLOOKUP($AO94,'Технический лист'!$I:$J,2,1)),1+(1-$AU94))</f>
        <v/>
      </c>
      <c r="DC94" s="172">
        <f>MIN(IF($AU94=100%,1,1+VLOOKUP(($AJ94-$AI94-$AH94-$AG94-$AF94-$AE94*(1+DC$3))/$AJ94,'Технический лист'!$I:$J,2,1)-VLOOKUP($AO94,'Технический лист'!$I:$J,2,1)),1+(1-$AU94))</f>
        <v/>
      </c>
      <c r="DD94" s="172">
        <f>MIN(IF($AU94=100%,1,1+VLOOKUP(($AJ94-$AI94-$AH94-$AG94-$AF94-$AE94*(1+DD$3))/$AJ94,'Технический лист'!$I:$J,2,1)-VLOOKUP($AO94,'Технический лист'!$I:$J,2,1)),1+(1-$AU94))</f>
        <v/>
      </c>
      <c r="DE94" s="172">
        <f>MIN(IF($AU94=100%,1,1+VLOOKUP(($AJ94-$AI94-$AH94-$AG94-$AF94-$AE94*(1+DE$3))/$AJ94,'Технический лист'!$I:$J,2,1)-VLOOKUP($AO94,'Технический лист'!$I:$J,2,1)),1+(1-$AU94))</f>
        <v/>
      </c>
      <c r="DF94" s="172">
        <f>MIN(IF($AU94=100%,1,1+VLOOKUP(($AJ94-$AI94-$AH94-$AG94-$AF94-$AE94*(1+DF$3))/$AJ94,'Технический лист'!$I:$J,2,1)-VLOOKUP($AO94,'Технический лист'!$I:$J,2,1)),1+(1-$AU94))</f>
        <v/>
      </c>
      <c r="DG94" s="172">
        <f>MIN(IF($AU94=100%,1,1+VLOOKUP(($AJ94-$AI94-$AH94-$AG94-$AF94-$AE94*(1+DG$3))/$AJ94,'Технический лист'!$I:$J,2,1)-VLOOKUP($AO94,'Технический лист'!$I:$J,2,1)),1+(1-$AU94))</f>
        <v/>
      </c>
      <c r="DH94" s="172">
        <f>MIN(IF($AU94=100%,1,1+VLOOKUP(($AJ94-$AI94-$AH94-$AG94-$AF94-$AE94*(1+DH$3))/$AJ94,'Технический лист'!$I:$J,2,1)-VLOOKUP($AO94,'Технический лист'!$I:$J,2,1)),1+(1-$AU94))</f>
        <v/>
      </c>
      <c r="DI94" s="172">
        <f>MIN(IF($AU94=100%,1,1+VLOOKUP(($AJ94-$AI94-$AH94-$AG94-$AF94-$AE94*(1+DI$3))/$AJ94,'Технический лист'!$I:$J,2,1)-VLOOKUP($AO94,'Технический лист'!$I:$J,2,1)),1+(1-$AU94))</f>
        <v/>
      </c>
      <c r="DJ94" s="172">
        <f>MIN(IF($AU94=100%,1,1+VLOOKUP(($AJ94-$AI94-$AH94-$AG94-$AF94-$AE94*(1+DJ$3))/$AJ94,'Технический лист'!$I:$J,2,1)-VLOOKUP($AO94,'Технический лист'!$I:$J,2,1)),1+(1-$AU94))</f>
        <v/>
      </c>
      <c r="DK94" s="172">
        <f>MIN(IF($AU94=100%,1,1+VLOOKUP(($AJ94-$AI94-$AH94-$AG94-$AF94-$AE94*(1+DK$3))/$AJ94,'Технический лист'!$I:$J,2,1)-VLOOKUP($AO94,'Технический лист'!$I:$J,2,1)),1+(1-$AU94))</f>
        <v/>
      </c>
      <c r="DL94" s="172">
        <f>MIN(IF($AU94=100%,1,1+VLOOKUP(($AJ94-$AI94-$AH94-$AG94-$AF94-$AE94*(1+DL$3))/$AJ94,'Технический лист'!$I:$J,2,1)-VLOOKUP($AO94,'Технический лист'!$I:$J,2,1)),1+(1-$AU94))</f>
        <v/>
      </c>
      <c r="DM94" s="172">
        <f>MIN(IF($AU94=100%,1,1+VLOOKUP(($AJ94-$AI94-$AH94-$AG94-$AF94-$AE94*(1+DM$3))/$AJ94,'Технический лист'!$I:$J,2,1)-VLOOKUP($AO94,'Технический лист'!$I:$J,2,1)),1+(1-$AU94))</f>
        <v/>
      </c>
      <c r="DN94" s="172">
        <f>MIN(IF($AU94=100%,1,1+VLOOKUP(($AJ94-$AI94-$AH94-$AG94-$AF94-$AE94*(1+DN$3))/$AJ94,'Технический лист'!$I:$J,2,1)-VLOOKUP($AO94,'Технический лист'!$I:$J,2,1)),1+(1-$AU94))</f>
        <v/>
      </c>
      <c r="DO94" s="172">
        <f>MIN(IF($AU94=100%,1,1+VLOOKUP(($AJ94-$AI94-$AH94-$AG94-$AF94-$AE94*(1+DO$3))/$AJ94,'Технический лист'!$I:$J,2,1)-VLOOKUP($AO94,'Технический лист'!$I:$J,2,1)),1+(1-$AU94))</f>
        <v/>
      </c>
      <c r="DP94" s="172">
        <f>MIN(IF($AU94=100%,1,1+VLOOKUP(($AJ94-$AI94-$AH94-$AG94-$AF94-$AE94*(1+DP$3))/$AJ94,'Технический лист'!$I:$J,2,1)-VLOOKUP($AO94,'Технический лист'!$I:$J,2,1)),1+(1-$AU94))</f>
        <v/>
      </c>
      <c r="DQ94" s="172">
        <f>MIN(IF($AU94=100%,1,1+VLOOKUP(($AJ94-$AI94-$AH94-$AG94-$AF94-$AE94*(1+DQ$3))/$AJ94,'Технический лист'!$I:$J,2,1)-VLOOKUP($AO94,'Технический лист'!$I:$J,2,1)),1+(1-$AU94))</f>
        <v/>
      </c>
      <c r="DR94" s="172">
        <f>MIN(IF($AU94=100%,1,1+VLOOKUP(($AJ94-$AI94-$AH94-$AG94-$AF94-$AE94*(1+DR$3))/$AJ94,'Технический лист'!$I:$J,2,1)-VLOOKUP($AO94,'Технический лист'!$I:$J,2,1)),1+(1-$AU94))</f>
        <v/>
      </c>
      <c r="DS94" s="172">
        <f>MIN(IF($AU94=100%,1,1+VLOOKUP(($AJ94-$AI94-$AH94-$AG94-$AF94-$AE94*(1+DS$3))/$AJ94,'Технический лист'!$I:$J,2,1)-VLOOKUP($AO94,'Технический лист'!$I:$J,2,1)),1+(1-$AU94))</f>
        <v/>
      </c>
      <c r="DT94" s="172">
        <f>MIN(IF($AU94=100%,1,1+VLOOKUP(($AJ94-$AI94-$AH94-$AG94-$AF94-$AE94*(1+DT$3))/$AJ94,'Технический лист'!$I:$J,2,1)-VLOOKUP($AO94,'Технический лист'!$I:$J,2,1)),1+(1-$AU94))</f>
        <v/>
      </c>
      <c r="DU94" s="172">
        <f>MIN(IF($AU94=100%,1,1+VLOOKUP(($AJ94-$AI94-$AH94-$AG94-$AF94-$AE94*(1+DU$3))/$AJ94,'Технический лист'!$I:$J,2,1)-VLOOKUP($AO94,'Технический лист'!$I:$J,2,1)),1+(1-$AU94))</f>
        <v/>
      </c>
      <c r="DV94" s="172">
        <f>MIN(IF($AU94=100%,1,1+VLOOKUP(($AJ94-$AI94-$AH94-$AG94-$AF94-$AE94*(1+DV$3))/$AJ94,'Технический лист'!$I:$J,2,1)-VLOOKUP($AO94,'Технический лист'!$I:$J,2,1)),1+(1-$AU94))</f>
        <v/>
      </c>
      <c r="DW94" s="172">
        <f>MIN(IF($AU94=100%,1,1+VLOOKUP(($AJ94-$AI94-$AH94-$AG94-$AF94-$AE94*(1+DW$3))/$AJ94,'Технический лист'!$I:$J,2,1)-VLOOKUP($AO94,'Технический лист'!$I:$J,2,1)),1+(1-$AU94))</f>
        <v/>
      </c>
      <c r="DX94" s="172">
        <f>MIN(IF($AU94=100%,1,1+VLOOKUP(($AJ94-$AI94-$AH94-$AG94-$AF94-$AE94*(1+DX$3))/$AJ94,'Технический лист'!$I:$J,2,1)-VLOOKUP($AO94,'Технический лист'!$I:$J,2,1)),1+(1-$AU94))</f>
        <v/>
      </c>
      <c r="DY94" s="172">
        <f>MIN(IF($AU94=100%,1,1+VLOOKUP(($AJ94-$AI94-$AH94-$AG94-$AF94-$AE94*(1+DY$3))/$AJ94,'Технический лист'!$I:$J,2,1)-VLOOKUP($AO94,'Технический лист'!$I:$J,2,1)),1+(1-$AU94))</f>
        <v/>
      </c>
      <c r="DZ94" s="172">
        <f>MIN(IF($AU94=100%,1,1+VLOOKUP(($AJ94-$AI94-$AH94-$AG94-$AF94-$AE94*(1+DZ$3))/$AJ94,'Технический лист'!$I:$J,2,1)-VLOOKUP($AO94,'Технический лист'!$I:$J,2,1)),1+(1-$AU94))</f>
        <v/>
      </c>
      <c r="EA94" s="172">
        <f>MIN(IF($AU94=100%,1,1+VLOOKUP(($AJ94-$AI94-$AH94-$AG94-$AF94-$AE94*(1+EA$3))/$AJ94,'Технический лист'!$I:$J,2,1)-VLOOKUP($AO94,'Технический лист'!$I:$J,2,1)),1+(1-$AU94))</f>
        <v/>
      </c>
      <c r="EB94" s="172">
        <f>MIN(IF($AU94=100%,1,1+VLOOKUP(($AJ94-$AI94-$AH94-$AG94-$AF94-$AE94*(1+EB$3))/$AJ94,'Технический лист'!$I:$J,2,1)-VLOOKUP($AO94,'Технический лист'!$I:$J,2,1)),1+(1-$AU94))</f>
        <v/>
      </c>
      <c r="EC94" s="172">
        <f>MIN(IF($AU94=100%,1,1+VLOOKUP(($AJ94-$AI94-$AH94-$AG94-$AF94-$AE94*(1+EC$3))/$AJ94,'Технический лист'!$I:$J,2,1)-VLOOKUP($AO94,'Технический лист'!$I:$J,2,1)),1+(1-$AU94))</f>
        <v/>
      </c>
      <c r="ED94" s="172">
        <f>MIN(IF($AU94=100%,1,1+VLOOKUP(($AJ94-$AI94-$AH94-$AG94-$AF94-$AE94*(1+ED$3))/$AJ94,'Технический лист'!$I:$J,2,1)-VLOOKUP($AO94,'Технический лист'!$I:$J,2,1)),1+(1-$AU94))</f>
        <v/>
      </c>
      <c r="EE94" s="172">
        <f>MIN(IF($AU94=100%,1,1+VLOOKUP(($AJ94-$AI94-$AH94-$AG94-$AF94-$AE94*(1+EE$3))/$AJ94,'Технический лист'!$I:$J,2,1)-VLOOKUP($AO94,'Технический лист'!$I:$J,2,1)),1+(1-$AU94))</f>
        <v/>
      </c>
      <c r="EF94" s="172">
        <f>MIN(IF($AU94=100%,1,1+VLOOKUP(($AJ94-$AI94-$AH94-$AG94-$AF94-$AE94*(1+EF$3))/$AJ94,'Технический лист'!$I:$J,2,1)-VLOOKUP($AO94,'Технический лист'!$I:$J,2,1)),1+(1-$AU94))</f>
        <v/>
      </c>
      <c r="EG94" s="172">
        <f>MIN(IF($AU94=100%,1,1+VLOOKUP(($AJ94-$AI94-$AH94-$AG94-$AF94-$AE94*(1+EG$3))/$AJ94,'Технический лист'!$I:$J,2,1)-VLOOKUP($AO94,'Технический лист'!$I:$J,2,1)),1+(1-$AU94))</f>
        <v/>
      </c>
      <c r="EH94" s="172">
        <f>MIN(IF($AU94=100%,1,1+VLOOKUP(($AJ94-$AI94-$AH94-$AG94-$AF94-$AE94*(1+EH$3))/$AJ94,'Технический лист'!$I:$J,2,1)-VLOOKUP($AO94,'Технический лист'!$I:$J,2,1)),1+(1-$AU94))</f>
        <v/>
      </c>
      <c r="EI94" s="172">
        <f>MIN(IF($AU94=100%,1,1+VLOOKUP(($AJ94-$AI94-$AH94-$AG94-$AF94-$AE94*(1+EI$3))/$AJ94,'Технический лист'!$I:$J,2,1)-VLOOKUP($AO94,'Технический лист'!$I:$J,2,1)),1+(1-$AU94))</f>
        <v/>
      </c>
      <c r="EJ94" s="172">
        <f>MIN(IF($AU94=100%,1,1+VLOOKUP(($AJ94-$AI94-$AH94-$AG94-$AF94-$AE94*(1+EJ$3))/$AJ94,'Технический лист'!$I:$J,2,1)-VLOOKUP($AO94,'Технический лист'!$I:$J,2,1)),1+(1-$AU94))</f>
        <v/>
      </c>
      <c r="EK94" s="172">
        <f>MIN(IF($AU94=100%,1,1+VLOOKUP(($AJ94-$AI94-$AH94-$AG94-$AF94-$AE94*(1+EK$3))/$AJ94,'Технический лист'!$I:$J,2,1)-VLOOKUP($AO94,'Технический лист'!$I:$J,2,1)),1+(1-$AU94))</f>
        <v/>
      </c>
      <c r="EL94" s="172">
        <f>MIN(IF($AU94=100%,1,1+VLOOKUP(($AJ94-$AI94-$AH94-$AG94-$AF94-$AE94*(1+EL$3))/$AJ94,'Технический лист'!$I:$J,2,1)-VLOOKUP($AO94,'Технический лист'!$I:$J,2,1)),1+(1-$AU94))</f>
        <v/>
      </c>
      <c r="EM94" s="172">
        <f>MIN(IF($AU94=100%,1,1+VLOOKUP(($AJ94-$AI94-$AH94-$AG94-$AF94-$AE94*(1+EM$3))/$AJ94,'Технический лист'!$I:$J,2,1)-VLOOKUP($AO94,'Технический лист'!$I:$J,2,1)),1+(1-$AU94))</f>
        <v/>
      </c>
      <c r="EN94" s="172">
        <f>MIN(IF($AU94=100%,1,1+VLOOKUP(($AJ94-$AI94-$AH94-$AG94-$AF94-$AE94*(1+EN$3))/$AJ94,'Технический лист'!$I:$J,2,1)-VLOOKUP($AO94,'Технический лист'!$I:$J,2,1)),1+(1-$AU94))</f>
        <v/>
      </c>
      <c r="EO94" s="172">
        <f>MIN(IF($AU94=100%,1,1+VLOOKUP(($AJ94-$AI94-$AH94-$AG94-$AF94-$AE94*(1+EO$3))/$AJ94,'Технический лист'!$I:$J,2,1)-VLOOKUP($AO94,'Технический лист'!$I:$J,2,1)),1+(1-$AU94))</f>
        <v/>
      </c>
      <c r="EP94" s="172">
        <f>MIN(IF($AU94=100%,1,1+VLOOKUP(($AJ94-$AI94-$AH94-$AG94-$AF94-$AE94*(1+EP$3))/$AJ94,'Технический лист'!$I:$J,2,1)-VLOOKUP($AO94,'Технический лист'!$I:$J,2,1)),1+(1-$AU94))</f>
        <v/>
      </c>
      <c r="EQ94" s="172">
        <f>MIN(IF($AU94=100%,1,1+VLOOKUP(($AJ94-$AI94-$AH94-$AG94-$AF94-$AE94*(1+EQ$3))/$AJ94,'Технический лист'!$I:$J,2,1)-VLOOKUP($AO94,'Технический лист'!$I:$J,2,1)),1+(1-$AU94))</f>
        <v/>
      </c>
      <c r="ER94" s="172">
        <f>MIN(IF($AU94=100%,1,1+VLOOKUP(($AJ94-$AI94-$AH94-$AG94-$AF94-$AE94*(1+ER$3))/$AJ94,'Технический лист'!$I:$J,2,1)-VLOOKUP($AO94,'Технический лист'!$I:$J,2,1)),1+(1-$AU94))</f>
        <v/>
      </c>
      <c r="ES94" s="172">
        <f>MIN(IF($AU94=100%,1,1+VLOOKUP(($AJ94-$AI94-$AH94-$AG94-$AF94-$AE94*(1+ES$3))/$AJ94,'Технический лист'!$I:$J,2,1)-VLOOKUP($AO94,'Технический лист'!$I:$J,2,1)),1+(1-$AU94))</f>
        <v/>
      </c>
      <c r="ET94" s="172">
        <f>MIN(IF($AU94=100%,1,1+VLOOKUP(($AJ94-$AI94-$AH94-$AG94-$AF94-$AE94*(1+ET$3))/$AJ94,'Технический лист'!$I:$J,2,1)-VLOOKUP($AO94,'Технический лист'!$I:$J,2,1)),1+(1-$AU94))</f>
        <v/>
      </c>
      <c r="EU94" s="172">
        <f>MIN(IF($AU94=100%,1,1+VLOOKUP(($AJ94-$AI94-$AH94-$AG94-$AF94-$AE94*(1+EU$3))/$AJ94,'Технический лист'!$I:$J,2,1)-VLOOKUP($AO94,'Технический лист'!$I:$J,2,1)),1+(1-$AU94))</f>
        <v/>
      </c>
      <c r="EV94" s="173" t="n">
        <v>1</v>
      </c>
      <c r="EW94" s="172">
        <f>MIN(1,MAX(VLOOKUP(($AJ94-$AI94-$AH94-$AG94-$AF94-$AE94*(1+EW$3))/$AJ94,'Технический лист'!$A:$B,2,1),(EV94-0.05)))</f>
        <v/>
      </c>
      <c r="EX94" s="172">
        <f>MIN(1,MAX(VLOOKUP(($AJ94-$AI94-$AH94-$AG94-$AF94-$AE94*(1+EX$3))/$AJ94,'Технический лист'!$A:$B,2,1),(EW94-0.05)))</f>
        <v/>
      </c>
      <c r="EY94" s="172">
        <f>MIN(1,MAX(VLOOKUP(($AJ94-$AI94-$AH94-$AG94-$AF94-$AE94*(1+EY$3))/$AJ94,'Технический лист'!$A:$B,2,1),(EX94-0.05)))</f>
        <v/>
      </c>
      <c r="EZ94" s="172">
        <f>MIN(1,MAX(VLOOKUP(($AJ94-$AI94-$AH94-$AG94-$AF94-$AE94*(1+EZ$3))/$AJ94,'Технический лист'!$A:$B,2,1),(EY94-0.05)))</f>
        <v/>
      </c>
      <c r="FA94" s="172">
        <f>MIN(1,MAX(VLOOKUP(($AJ94-$AI94-$AH94-$AG94-$AF94-$AE94*(1+FA$3))/$AJ94,'Технический лист'!$A:$B,2,1),(EZ94-0.05)))</f>
        <v/>
      </c>
      <c r="FB94" s="172">
        <f>MIN(1,MAX(VLOOKUP(($AJ94-$AI94-$AH94-$AG94-$AF94-$AE94*(1+FB$3))/$AJ94,'Технический лист'!$A:$B,2,1),(FA94-0.05)))</f>
        <v/>
      </c>
      <c r="FC94" s="172">
        <f>MIN(1,MAX(VLOOKUP(($AJ94-$AI94-$AH94-$AG94-$AF94-$AE94*(1+FC$3))/$AJ94,'Технический лист'!$A:$B,2,1),(FB94-0.05)))</f>
        <v/>
      </c>
      <c r="FD94" s="172">
        <f>MIN(1,MAX(VLOOKUP(($AJ94-$AI94-$AH94-$AG94-$AF94-$AE94*(1+FD$3))/$AJ94,'Технический лист'!$A:$B,2,1),(FC94-0.05)))</f>
        <v/>
      </c>
      <c r="FE94" s="172">
        <f>MIN(1,MAX(VLOOKUP(($AJ94-$AI94-$AH94-$AG94-$AF94-$AE94*(1+FE$3))/$AJ94,'Технический лист'!$A:$B,2,1),(FD94-0.05)))</f>
        <v/>
      </c>
      <c r="FF94" s="172">
        <f>MIN(1,MAX(VLOOKUP(($AJ94-$AI94-$AH94-$AG94-$AF94-$AE94*(1+FF$3))/$AJ94,'Технический лист'!$A:$B,2,1),(FE94-0.05)))</f>
        <v/>
      </c>
      <c r="FG94" s="172">
        <f>MIN(1,MAX(VLOOKUP(($AJ94-$AI94-$AH94-$AG94-$AF94-$AE94*(1+FG$3))/$AJ94,'Технический лист'!$A:$B,2,1),(FF94-0.05)))</f>
        <v/>
      </c>
      <c r="FH94" s="172">
        <f>MIN(1,MAX(VLOOKUP(($AJ94-$AI94-$AH94-$AG94-$AF94-$AE94*(1+FH$3))/$AJ94,'Технический лист'!$A:$B,2,1),(FG94-0.05)))</f>
        <v/>
      </c>
      <c r="FI94" s="172">
        <f>MIN(1,MAX(VLOOKUP(($AJ94-$AI94-$AH94-$AG94-$AF94-$AE94*(1+FI$3))/$AJ94,'Технический лист'!$A:$B,2,1),(FH94-0.05)))</f>
        <v/>
      </c>
      <c r="FJ94" s="172">
        <f>MIN(1,MAX(VLOOKUP(($AJ94-$AI94-$AH94-$AG94-$AF94-$AE94*(1+FJ$3))/$AJ94,'Технический лист'!$A:$B,2,1),(FI94-0.05)))</f>
        <v/>
      </c>
      <c r="FK94" s="172">
        <f>MIN(1,MAX(VLOOKUP(($AJ94-$AI94-$AH94-$AG94-$AF94-$AE94*(1+FK$3))/$AJ94,'Технический лист'!$A:$B,2,1),(FJ94-0.05)))</f>
        <v/>
      </c>
      <c r="FL94" s="172">
        <f>MIN(1,MAX(VLOOKUP(($AJ94-$AI94-$AH94-$AG94-$AF94-$AE94*(1+FL$3))/$AJ94,'Технический лист'!$A:$B,2,1),(FK94-0.05)))</f>
        <v/>
      </c>
      <c r="FM94" s="172">
        <f>MIN(1,MAX(VLOOKUP(($AJ94-$AI94-$AH94-$AG94-$AF94-$AE94*(1+FM$3))/$AJ94,'Технический лист'!$A:$B,2,1),(FL94-0.05)))</f>
        <v/>
      </c>
      <c r="FN94" s="172">
        <f>MIN(1,MAX(VLOOKUP(($AJ94-$AI94-$AH94-$AG94-$AF94-$AE94*(1+FN$3))/$AJ94,'Технический лист'!$A:$B,2,1),(FM94-0.05)))</f>
        <v/>
      </c>
      <c r="FO94" s="172">
        <f>MIN(1,MAX(VLOOKUP(($AJ94-$AI94-$AH94-$AG94-$AF94-$AE94*(1+FO$3))/$AJ94,'Технический лист'!$A:$B,2,1),(FN94-0.05)))</f>
        <v/>
      </c>
      <c r="FP94" s="172">
        <f>MIN(1,MAX(VLOOKUP(($AJ94-$AI94-$AH94-$AG94-$AF94-$AE94*(1+FP$3))/$AJ94,'Технический лист'!$A:$B,2,1),(FO94-0.05)))</f>
        <v/>
      </c>
      <c r="FQ94" s="172">
        <f>MIN(1,MAX(VLOOKUP(($AJ94-$AI94-$AH94-$AG94-$AF94-$AE94*(1+FQ$3))/$AJ94,'Технический лист'!$A:$B,2,1),(FP94-0.05)))</f>
        <v/>
      </c>
      <c r="FR94" s="172">
        <f>MIN(1,MAX(VLOOKUP(($AJ94-$AI94-$AH94-$AG94-$AF94-$AE94*(1+FR$3))/$AJ94,'Технический лист'!$A:$B,2,1),(FQ94-0.05)))</f>
        <v/>
      </c>
      <c r="FS94" s="172">
        <f>MIN(1,MAX(VLOOKUP(($AJ94-$AI94-$AH94-$AG94-$AF94-$AE94*(1+FS$3))/$AJ94,'Технический лист'!$A:$B,2,1),(FR94-0.05)))</f>
        <v/>
      </c>
      <c r="FT94" s="172">
        <f>MIN(1,MAX(VLOOKUP(($AJ94-$AI94-$AH94-$AG94-$AF94-$AE94*(1+FT$3))/$AJ94,'Технический лист'!$A:$B,2,1),(FS94-0.05)))</f>
        <v/>
      </c>
      <c r="FU94" s="172">
        <f>MIN(1,MAX(VLOOKUP(($AJ94-$AI94-$AH94-$AG94-$AF94-$AE94*(1+FU$3))/$AJ94,'Технический лист'!$A:$B,2,1),(FT94-0.05)))</f>
        <v/>
      </c>
      <c r="FV94" s="172">
        <f>MIN(1,MAX(VLOOKUP(($AJ94-$AI94-$AH94-$AG94-$AF94-$AE94*(1+FV$3))/$AJ94,'Технический лист'!$A:$B,2,1),(FU94-0.05)))</f>
        <v/>
      </c>
      <c r="FW94" s="172">
        <f>MIN(1,MAX(VLOOKUP(($AJ94-$AI94-$AH94-$AG94-$AF94-$AE94*(1+FW$3))/$AJ94,'Технический лист'!$A:$B,2,1),(FV94-0.05)))</f>
        <v/>
      </c>
      <c r="FX94" s="172">
        <f>MIN(1,MAX(VLOOKUP(($AJ94-$AI94-$AH94-$AG94-$AF94-$AE94*(1+FX$3))/$AJ94,'Технический лист'!$A:$B,2,1),(FW94-0.05)))</f>
        <v/>
      </c>
      <c r="FY94" s="172">
        <f>MIN(1,MAX(VLOOKUP(($AJ94-$AI94-$AH94-$AG94-$AF94-$AE94*(1+FY$3))/$AJ94,'Технический лист'!$A:$B,2,1),(FX94-0.05)))</f>
        <v/>
      </c>
      <c r="FZ94" s="172">
        <f>MIN(1,MAX(VLOOKUP(($AJ94-$AI94-$AH94-$AG94-$AF94-$AE94*(1+FZ$3))/$AJ94,'Технический лист'!$A:$B,2,1),(FY94-0.05)))</f>
        <v/>
      </c>
      <c r="GA94" s="172">
        <f>MIN(1,MAX(VLOOKUP(($AJ94-$AI94-$AH94-$AG94-$AF94-$AE94*(1+GA$3))/$AJ94,'Технический лист'!$A:$B,2,1),(FZ94-0.05)))</f>
        <v/>
      </c>
      <c r="GB94" s="172">
        <f>MIN(1,MAX(VLOOKUP(($AJ94-$AI94-$AH94-$AG94-$AF94-$AE94*(1+GB$3))/$AJ94,'Технический лист'!$A:$B,2,1),(GA94-0.05)))</f>
        <v/>
      </c>
      <c r="GC94" s="172">
        <f>MIN(1,MAX(VLOOKUP(($AJ94-$AI94-$AH94-$AG94-$AF94-$AE94*(1+GC$3))/$AJ94,'Технический лист'!$A:$B,2,1),(GB94-0.05)))</f>
        <v/>
      </c>
      <c r="GD94" s="172">
        <f>MIN(1,MAX(VLOOKUP(($AJ94-$AI94-$AH94-$AG94-$AF94-$AE94*(1+GD$3))/$AJ94,'Технический лист'!$A:$B,2,1),(GC94-0.05)))</f>
        <v/>
      </c>
      <c r="GE94" s="172">
        <f>MIN(1,MAX(VLOOKUP(($AJ94-$AI94-$AH94-$AG94-$AF94-$AE94*(1+GE$3))/$AJ94,'Технический лист'!$A:$B,2,1),(GD94-0.05)))</f>
        <v/>
      </c>
      <c r="GF94" s="172">
        <f>MIN(1,MAX(VLOOKUP(($AJ94-$AI94-$AH94-$AG94-$AF94-$AE94*(1+GF$3))/$AJ94,'Технический лист'!$A:$B,2,1),(GE94-0.05)))</f>
        <v/>
      </c>
      <c r="GG94" s="172">
        <f>MIN(1,MAX(VLOOKUP(($AJ94-$AI94-$AH94-$AG94-$AF94-$AE94*(1+GG$3))/$AJ94,'Технический лист'!$A:$B,2,1),(GF94-0.05)))</f>
        <v/>
      </c>
      <c r="GH94" s="172">
        <f>MIN(1,MAX(VLOOKUP(($AJ94-$AI94-$AH94-$AG94-$AF94-$AE94*(1+GH$3))/$AJ94,'Технический лист'!$A:$B,2,1),(GG94-0.05)))</f>
        <v/>
      </c>
      <c r="GI94" s="172">
        <f>MIN(1,MAX(VLOOKUP(($AJ94-$AI94-$AH94-$AG94-$AF94-$AE94*(1+GI$3))/$AJ94,'Технический лист'!$A:$B,2,1),(GH94-0.05)))</f>
        <v/>
      </c>
      <c r="GJ94" s="172">
        <f>MIN(1,MAX(VLOOKUP(($AJ94-$AI94-$AH94-$AG94-$AF94-$AE94*(1+GJ$3))/$AJ94,'Технический лист'!$A:$B,2,1),(GI94-0.05)))</f>
        <v/>
      </c>
      <c r="GK94" s="172">
        <f>MIN(1,MAX(VLOOKUP(($AJ94-$AI94-$AH94-$AG94-$AF94-$AE94*(1+GK$3))/$AJ94,'Технический лист'!$A:$B,2,1),(GJ94-0.05)))</f>
        <v/>
      </c>
      <c r="GL94" s="172">
        <f>MIN(1,MAX(VLOOKUP(($AJ94-$AI94-$AH94-$AG94-$AF94-$AE94*(1+GL$3))/$AJ94,'Технический лист'!$A:$B,2,1),(GK94-0.05)))</f>
        <v/>
      </c>
      <c r="GM94" s="172">
        <f>MIN(1,MAX(VLOOKUP(($AJ94-$AI94-$AH94-$AG94-$AF94-$AE94*(1+GM$3))/$AJ94,'Технический лист'!$A:$B,2,1),(GL94-0.05)))</f>
        <v/>
      </c>
      <c r="GN94" s="172">
        <f>MIN(1,MAX(VLOOKUP(($AJ94-$AI94-$AH94-$AG94-$AF94-$AE94*(1+GN$3))/$AJ94,'Технический лист'!$A:$B,2,1),(GM94-0.05)))</f>
        <v/>
      </c>
      <c r="GO94" s="172">
        <f>MIN(1,MAX(VLOOKUP(($AJ94-$AI94-$AH94-$AG94-$AF94-$AE94*(1+GO$3))/$AJ94,'Технический лист'!$A:$B,2,1),(GN94-0.05)))</f>
        <v/>
      </c>
      <c r="GP94" s="172">
        <f>MIN(1,MAX(VLOOKUP(($AJ94-$AI94-$AH94-$AG94-$AF94-$AE94*(1+GP$3))/$AJ94,'Технический лист'!$A:$B,2,1),(GO94-0.05)))</f>
        <v/>
      </c>
      <c r="GQ94" s="172">
        <f>MIN(1,MAX(VLOOKUP(($AJ94-$AI94-$AH94-$AG94-$AF94-$AE94*(1+GQ$3))/$AJ94,'Технический лист'!$A:$B,2,1),(GP94-0.05)))</f>
        <v/>
      </c>
      <c r="GR94" s="172">
        <f>MIN(1,MAX(VLOOKUP(($AJ94-$AI94-$AH94-$AG94-$AF94-$AE94*(1+GR$3))/$AJ94,'Технический лист'!$A:$B,2,1),(GQ94-0.05)))</f>
        <v/>
      </c>
      <c r="GS94" s="172">
        <f>MIN(1,MAX(VLOOKUP(($AJ94-$AI94-$AH94-$AG94-$AF94-$AE94*(1+GS$3))/$AJ94,'Технический лист'!$A:$B,2,1),(GR94-0.05)))</f>
        <v/>
      </c>
      <c r="GT94" s="172">
        <f>MIN(1,MAX(VLOOKUP(($AJ94-$AI94-$AH94-$AG94-$AF94-$AE94*(1+GT$3))/$AJ94,'Технический лист'!$A:$B,2,1),(GS94-0.05)))</f>
        <v/>
      </c>
      <c r="GU94" s="172">
        <f>MIN(1,MAX(VLOOKUP(($AJ94-$AI94-$AH94-$AG94-$AF94-$AE94*(1+GU$3))/$AJ94,'Технический лист'!$A:$B,2,1),(GT94-0.05)))</f>
        <v/>
      </c>
      <c r="GV94" s="172">
        <f>MIN(1,MAX(VLOOKUP(($AJ94-$AI94-$AH94-$AG94-$AF94-$AE94*(1+GV$3))/$AJ94,'Технический лист'!$A:$B,2,1),(GU94-0.05)))</f>
        <v/>
      </c>
      <c r="GW94" s="172">
        <f>MIN(1,MAX(VLOOKUP(($AJ94-$AI94-$AH94-$AG94-$AF94-$AE94*(1+GW$3))/$AJ94,'Технический лист'!$A:$B,2,1),(GV94-0.05)))</f>
        <v/>
      </c>
      <c r="GX94" s="172">
        <f>MIN(1,MAX(VLOOKUP(($AJ94-$AI94-$AH94-$AG94-$AF94-$AE94*(1+GX$3))/$AJ94,'Технический лист'!$A:$B,2,1),(GW94-0.05)))</f>
        <v/>
      </c>
      <c r="GY94" s="172">
        <f>MIN(1,MAX(VLOOKUP(($AJ94-$AI94-$AH94-$AG94-$AF94-$AE94*(1+GY$3))/$AJ94,'Технический лист'!$A:$B,2,1),(GX94-0.05)))</f>
        <v/>
      </c>
      <c r="GZ94" s="172">
        <f>MIN(1,MAX(VLOOKUP(($AJ94-$AI94-$AH94-$AG94-$AF94-$AE94*(1+GZ$3))/$AJ94,'Технический лист'!$A:$B,2,1),(GY94-0.05)))</f>
        <v/>
      </c>
      <c r="HA94" s="172">
        <f>MIN(1,MAX(VLOOKUP(($AJ94-$AI94-$AH94-$AG94-$AF94-$AE94*(1+HA$3))/$AJ94,'Технический лист'!$A:$B,2,1),(GZ94-0.05)))</f>
        <v/>
      </c>
      <c r="HB94" s="172">
        <f>MIN(1,MAX(VLOOKUP(($AJ94-$AI94-$AH94-$AG94-$AF94-$AE94*(1+HB$3))/$AJ94,'Технический лист'!$A:$B,2,1),(HA94-0.05)))</f>
        <v/>
      </c>
      <c r="HC94" s="172">
        <f>MIN(1,MAX(VLOOKUP(($AJ94-$AI94-$AH94-$AG94-$AF94-$AE94*(1+HC$3))/$AJ94,'Технический лист'!$A:$B,2,1),(HB94-0.05)))</f>
        <v/>
      </c>
      <c r="HD94" s="172">
        <f>MIN(1,MAX(VLOOKUP(($AJ94-$AI94-$AH94-$AG94-$AF94-$AE94*(1+HD$3))/$AJ94,'Технический лист'!$A:$B,2,1),(HC94-0.05)))</f>
        <v/>
      </c>
      <c r="HE94" s="172">
        <f>MIN(1,MAX(VLOOKUP(($AJ94-$AI94-$AH94-$AG94-$AF94-$AE94*(1+HE$3))/$AJ94,'Технический лист'!$A:$B,2,1),(HD94-0.05)))</f>
        <v/>
      </c>
      <c r="HF94" s="172">
        <f>MIN(1,MAX(VLOOKUP(($AJ94-$AI94-$AH94-$AG94-$AF94-$AE94*(1+HF$3))/$AJ94,'Технический лист'!$A:$B,2,1),(HE94-0.05)))</f>
        <v/>
      </c>
      <c r="HG94" s="172">
        <f>MIN(1,MAX(VLOOKUP(($AJ94-$AI94-$AH94-$AG94-$AF94-$AE94*(1+HG$3))/$AJ94,'Технический лист'!$A:$B,2,1),(HF94-0.05)))</f>
        <v/>
      </c>
      <c r="HH94" s="172">
        <f>MIN(1,MAX(VLOOKUP(($AJ94-$AI94-$AH94-$AG94-$AF94-$AE94*(1+HH$3))/$AJ94,'Технический лист'!$A:$B,2,1),(HG94-0.05)))</f>
        <v/>
      </c>
      <c r="HI94" s="172">
        <f>MIN(1,MAX(VLOOKUP(($AJ94-$AI94-$AH94-$AG94-$AF94-$AE94*(1+HI$3))/$AJ94,'Технический лист'!$A:$B,2,1),(HH94-0.05)))</f>
        <v/>
      </c>
      <c r="HJ94" s="172">
        <f>MIN(1,MAX(VLOOKUP(($AJ94-$AI94-$AH94-$AG94-$AF94-$AE94*(1+HJ$3))/$AJ94,'Технический лист'!$A:$B,2,1),(HI94-0.05)))</f>
        <v/>
      </c>
      <c r="HK94" s="172">
        <f>MIN(1,MAX(VLOOKUP(($AJ94-$AI94-$AH94-$AG94-$AF94-$AE94*(1+HK$3))/$AJ94,'Технический лист'!$A:$B,2,1),(HJ94-0.05)))</f>
        <v/>
      </c>
      <c r="HL94" s="172">
        <f>MIN(1,MAX(VLOOKUP(($AJ94-$AI94-$AH94-$AG94-$AF94-$AE94*(1+HL$3))/$AJ94,'Технический лист'!$A:$B,2,1),(HK94-0.05)))</f>
        <v/>
      </c>
      <c r="HM94" s="172">
        <f>MIN(1,MAX(VLOOKUP(($AJ94-$AI94-$AH94-$AG94-$AF94-$AE94*(1+HM$3))/$AJ94,'Технический лист'!$A:$B,2,1),(HL94-0.05)))</f>
        <v/>
      </c>
      <c r="HN94" s="172">
        <f>MIN(1,MAX(VLOOKUP(($AJ94-$AI94-$AH94-$AG94-$AF94-$AE94*(1+HN$3))/$AJ94,'Технический лист'!$A:$B,2,1),(HM94-0.05)))</f>
        <v/>
      </c>
      <c r="HO94" s="172">
        <f>MIN(1,MAX(VLOOKUP(($AJ94-$AI94-$AH94-$AG94-$AF94-$AE94*(1+HO$3))/$AJ94,'Технический лист'!$A:$B,2,1),(HN94-0.05)))</f>
        <v/>
      </c>
      <c r="HP94" s="172">
        <f>MIN(1,MAX(VLOOKUP(($AJ94-$AI94-$AH94-$AG94-$AF94-$AE94*(1+HP$3))/$AJ94,'Технический лист'!$A:$B,2,1),(HO94-0.05)))</f>
        <v/>
      </c>
      <c r="HQ94" s="172">
        <f>MIN(1,MAX(VLOOKUP(($AJ94-$AI94-$AH94-$AG94-$AF94-$AE94*(1+HQ$3))/$AJ94,'Технический лист'!$A:$B,2,1),(HP94-0.05)))</f>
        <v/>
      </c>
      <c r="HR94" s="172">
        <f>MIN(1,MAX(VLOOKUP(($AJ94-$AI94-$AH94-$AG94-$AF94-$AE94*(1+HR$3))/$AJ94,'Технический лист'!$A:$B,2,1),(HQ94-0.05)))</f>
        <v/>
      </c>
      <c r="HS94" s="172">
        <f>MIN(1,MAX(VLOOKUP(($AJ94-$AI94-$AH94-$AG94-$AF94-$AE94*(1+HS$3))/$AJ94,'Технический лист'!$A:$B,2,1),(HR94-0.05)))</f>
        <v/>
      </c>
      <c r="HT94" s="172">
        <f>MIN(1,MAX(VLOOKUP(($AJ94-$AI94-$AH94-$AG94-$AF94-$AE94*(1+HT$3))/$AJ94,'Технический лист'!$A:$B,2,1),(HS94-0.05)))</f>
        <v/>
      </c>
      <c r="HU94" s="172">
        <f>MIN(1,MAX(VLOOKUP(($AJ94-$AI94-$AH94-$AG94-$AF94-$AE94*(1+HU$3))/$AJ94,'Технический лист'!$A:$B,2,1),(HT94-0.05)))</f>
        <v/>
      </c>
      <c r="HV94" s="172">
        <f>MIN(1,MAX(VLOOKUP(($AJ94-$AI94-$AH94-$AG94-$AF94-$AE94*(1+HV$3))/$AJ94,'Технический лист'!$A:$B,2,1),(HU94-0.05)))</f>
        <v/>
      </c>
      <c r="HW94" s="172">
        <f>MIN(1,MAX(VLOOKUP(($AJ94-$AI94-$AH94-$AG94-$AF94-$AE94*(1+HW$3))/$AJ94,'Технический лист'!$A:$B,2,1),(HV94-0.05)))</f>
        <v/>
      </c>
      <c r="HX94" s="172">
        <f>MIN(1,MAX(VLOOKUP(($AJ94-$AI94-$AH94-$AG94-$AF94-$AE94*(1+HX$3))/$AJ94,'Технический лист'!$A:$B,2,1),(HW94-0.05)))</f>
        <v/>
      </c>
      <c r="HY94" s="172">
        <f>MIN(1,MAX(VLOOKUP(($AJ94-$AI94-$AH94-$AG94-$AF94-$AE94*(1+HY$3))/$AJ94,'Технический лист'!$A:$B,2,1),(HX94-0.05)))</f>
        <v/>
      </c>
      <c r="HZ94" s="172">
        <f>MIN(1,MAX(VLOOKUP(($AJ94-$AI94-$AH94-$AG94-$AF94-$AE94*(1+HZ$3))/$AJ94,'Технический лист'!$A:$B,2,1),(HY94-0.05)))</f>
        <v/>
      </c>
      <c r="IA94" s="172">
        <f>MIN(1,MAX(VLOOKUP(($AJ94-$AI94-$AH94-$AG94-$AF94-$AE94*(1+IA$3))/$AJ94,'Технический лист'!$A:$B,2,1),(HZ94-0.05)))</f>
        <v/>
      </c>
      <c r="IB94" s="172">
        <f>MIN(1,MAX(VLOOKUP(($AJ94-$AI94-$AH94-$AG94-$AF94-$AE94*(1+IB$3))/$AJ94,'Технический лист'!$A:$B,2,1),(IA94-0.05)))</f>
        <v/>
      </c>
      <c r="IC94" s="172">
        <f>MIN(1,MAX(VLOOKUP(($AJ94-$AI94-$AH94-$AG94-$AF94-$AE94*(1+IC$3))/$AJ94,'Технический лист'!$A:$B,2,1),(IB94-0.05)))</f>
        <v/>
      </c>
      <c r="ID94" s="172">
        <f>MIN(1,MAX(VLOOKUP(($AJ94-$AI94-$AH94-$AG94-$AF94-$AE94*(1+ID$3))/$AJ94,'Технический лист'!$A:$B,2,1),(IC94-0.05)))</f>
        <v/>
      </c>
      <c r="IE94" s="172">
        <f>MIN(1,MAX(VLOOKUP(($AJ94-$AI94-$AH94-$AG94-$AF94-$AE94*(1+IE$3))/$AJ94,'Технический лист'!$A:$B,2,1),(ID94-0.05)))</f>
        <v/>
      </c>
      <c r="IF94" s="172">
        <f>MIN(1,MAX(VLOOKUP(($AJ94-$AI94-$AH94-$AG94-$AF94-$AE94*(1+IF$3))/$AJ94,'Технический лист'!$A:$B,2,1),(IE94-0.05)))</f>
        <v/>
      </c>
      <c r="IG94" s="172">
        <f>MIN(1,MAX(VLOOKUP(($AJ94-$AI94-$AH94-$AG94-$AF94-$AE94*(1+IG$3))/$AJ94,'Технический лист'!$A:$B,2,1),(IF94-0.05)))</f>
        <v/>
      </c>
      <c r="IH94" s="172">
        <f>MIN(1,MAX(VLOOKUP(($AJ94-$AI94-$AH94-$AG94-$AF94-$AE94*(1+IH$3))/$AJ94,'Технический лист'!$A:$B,2,1),(IG94-0.05)))</f>
        <v/>
      </c>
      <c r="II94" s="172">
        <f>MIN(1,MAX(VLOOKUP(($AJ94-$AI94-$AH94-$AG94-$AF94-$AE94*(1+II$3))/$AJ94,'Технический лист'!$A:$B,2,1),(IH94-0.05)))</f>
        <v/>
      </c>
      <c r="IJ94" s="172">
        <f>MIN(1,MAX(VLOOKUP(($AJ94-$AI94-$AH94-$AG94-$AF94-$AE94*(1+IJ$3))/$AJ94,'Технический лист'!$A:$B,2,1),(II94-0.05)))</f>
        <v/>
      </c>
      <c r="IK94" s="172">
        <f>MIN(1,MAX(VLOOKUP(($AJ94-$AI94-$AH94-$AG94-$AF94-$AE94*(1+IK$3))/$AJ94,'Технический лист'!$A:$B,2,1),(IJ94-0.05)))</f>
        <v/>
      </c>
      <c r="IL94" s="172">
        <f>MIN(1,MAX(VLOOKUP(($AJ94-$AI94-$AH94-$AG94-$AF94-$AE94*(1+IL$3))/$AJ94,'Технический лист'!$A:$B,2,1),(IK94-0.05)))</f>
        <v/>
      </c>
      <c r="IM94" s="172">
        <f>MIN(1,MAX(VLOOKUP(($AJ94-$AI94-$AH94-$AG94-$AF94-$AE94*(1+IM$3))/$AJ94,'Технический лист'!$A:$B,2,1),(IL94-0.05)))</f>
        <v/>
      </c>
      <c r="IN94" s="172">
        <f>MIN(1,MAX(VLOOKUP(($AJ94-$AI94-$AH94-$AG94-$AF94-$AE94*(1+IN$3))/$AJ94,'Технический лист'!$A:$B,2,1),(IM94-0.05)))</f>
        <v/>
      </c>
      <c r="IO94" s="172">
        <f>MIN(1,MAX(VLOOKUP(($AJ94-$AI94-$AH94-$AG94-$AF94-$AE94*(1+IO$3))/$AJ94,'Технический лист'!$A:$B,2,1),(IN94-0.05)))</f>
        <v/>
      </c>
      <c r="IP94" s="172">
        <f>MIN(1,MAX(VLOOKUP(($AJ94-$AI94-$AH94-$AG94-$AF94-$AE94*(1+IP$3))/$AJ94,'Технический лист'!$A:$B,2,1),(IO94-0.05)))</f>
        <v/>
      </c>
      <c r="IQ94" s="172">
        <f>MIN(1,MAX(VLOOKUP(($AJ94-$AI94-$AH94-$AG94-$AF94-$AE94*(1+IQ$3))/$AJ94,'Технический лист'!$A:$B,2,1),(IP94-0.05)))</f>
        <v/>
      </c>
      <c r="IR94" s="172">
        <f>MIN(1,MAX(VLOOKUP(($AJ94-$AI94-$AH94-$AG94-$AF94-$AE94*(1+IR$3))/$AJ94,'Технический лист'!$A:$B,2,1),(IQ94-0.05)))</f>
        <v/>
      </c>
    </row>
    <row r="95" ht="58.3" customHeight="1" s="123">
      <c r="A95" s="89" t="inlineStr">
        <is>
          <t>ЧМ (продукция)</t>
        </is>
      </c>
      <c r="B95" s="90" t="n">
        <v>5</v>
      </c>
      <c r="C95" s="5" t="inlineStr">
        <is>
          <t>Черные металлы</t>
        </is>
      </c>
      <c r="D95" s="91" t="n">
        <v>32411</v>
      </c>
      <c r="E95" s="91" t="inlineStr">
        <is>
          <t xml:space="preserve">Прокат черных металлов, не поименованный в алфавите </t>
        </is>
      </c>
      <c r="F95" s="92" t="inlineStr">
        <is>
          <t>ПРОЧИЕ ВИДЫ ПРОКАТА ЧЕРНЫ</t>
        </is>
      </c>
      <c r="G95" s="91" t="inlineStr">
        <is>
          <t>СВР</t>
        </is>
      </c>
      <c r="H95" s="91" t="inlineStr">
        <is>
          <t>ЮУР</t>
        </is>
      </c>
      <c r="I95" s="91" t="inlineStr">
        <is>
          <t>НИЖНЕСЕРГИНС</t>
        </is>
      </c>
      <c r="J95" s="91" t="inlineStr">
        <is>
          <t>КАРТ1-ЭК-РОС</t>
        </is>
      </c>
      <c r="K95" s="91" t="n">
        <v>679</v>
      </c>
      <c r="L95" s="91" t="inlineStr">
        <is>
          <t>Полувагоны</t>
        </is>
      </c>
      <c r="M95" s="91" t="inlineStr">
        <is>
          <t>Экспорт</t>
        </is>
      </c>
      <c r="N95" s="91" t="inlineStr">
        <is>
          <t>вагонная</t>
        </is>
      </c>
      <c r="O95" s="91" t="inlineStr">
        <is>
          <t xml:space="preserve">Южное </t>
        </is>
      </c>
      <c r="P95" s="89" t="inlineStr">
        <is>
          <t>'000055791017</t>
        </is>
      </c>
      <c r="Q95" s="91" t="inlineStr">
        <is>
          <t>ООО "ПРОМСОРТ-УРАЛ"</t>
        </is>
      </c>
      <c r="R95" s="91" t="inlineStr">
        <is>
          <t>ООО "УК"ПМХ"</t>
        </is>
      </c>
      <c r="S95" s="87" t="n">
        <v>138433</v>
      </c>
      <c r="T95" s="87" t="n">
        <v>93983406</v>
      </c>
      <c r="U95" s="88" t="n">
        <v>2005</v>
      </c>
      <c r="V95" s="88" t="n">
        <v>0</v>
      </c>
      <c r="W95" s="87" t="n">
        <v>228734486</v>
      </c>
      <c r="X95" s="112" t="n">
        <v>69</v>
      </c>
      <c r="Y95" s="112" t="inlineStr">
        <is>
          <t>групповая</t>
        </is>
      </c>
      <c r="Z95" s="113" t="n">
        <v>5</v>
      </c>
      <c r="AA95" s="113" t="n">
        <v>3</v>
      </c>
      <c r="AB95" s="113" t="n">
        <v>4</v>
      </c>
      <c r="AC95" s="161" t="n">
        <v>1778.74</v>
      </c>
      <c r="AD95" s="161">
        <f>AE95-AC95</f>
        <v/>
      </c>
      <c r="AE95" s="161" t="n">
        <v>1983.91</v>
      </c>
      <c r="AF95" s="162">
        <f>(Z95+AA95+AB95)*'Ставки аренды'!$B$3/X95</f>
        <v/>
      </c>
      <c r="AG95" s="163" t="n">
        <v>0</v>
      </c>
      <c r="AH95" s="164" t="n">
        <v>0</v>
      </c>
      <c r="AI95" s="165">
        <f>56808019/60637187*AVERAGE(AJ95,AJ98)</f>
        <v/>
      </c>
      <c r="AJ95" s="166">
        <f>Цены!C24*'Курсы валют'!B2</f>
        <v/>
      </c>
      <c r="AK95" s="164">
        <f>AJ95/Цены!$B$1</f>
        <v/>
      </c>
      <c r="AL95" s="164">
        <f>AE95+AF95+AG95</f>
        <v/>
      </c>
      <c r="AM95" s="164">
        <f>AJ95-AL95</f>
        <v/>
      </c>
      <c r="AN95" s="164">
        <f>AI95+AH95+AG95+AF95+AE95</f>
        <v/>
      </c>
      <c r="AO95" s="167">
        <f>(AJ95-AN95)/AJ95</f>
        <v/>
      </c>
      <c r="AP95" s="168">
        <f>AL95/AJ95</f>
        <v/>
      </c>
      <c r="AQ95" s="168">
        <f>AE95/AJ95</f>
        <v/>
      </c>
      <c r="AR95" s="168">
        <f>AE95/AL95</f>
        <v/>
      </c>
      <c r="AS95" s="169" t="n">
        <v>1</v>
      </c>
      <c r="AT95" s="121">
        <f>S95*AS95</f>
        <v/>
      </c>
      <c r="AU95" s="83" t="n">
        <v>0.8</v>
      </c>
      <c r="AV95" s="170">
        <f>(AJ95-(AE95*(1+$IS$2)+AF95+AG95+AH95+AI95))/AJ95</f>
        <v/>
      </c>
      <c r="AW95" s="171">
        <f>(AE95*(1+$IS$2)+AF95+AG95)/AJ95</f>
        <v/>
      </c>
      <c r="AX95" s="171">
        <f>(AE95*(1+$IS$2))/AJ95</f>
        <v/>
      </c>
      <c r="AY95" s="171">
        <f>(AE95*(1+$IS$2))/(AE95*(1+$IS$2)+AF95+AG95)</f>
        <v/>
      </c>
      <c r="AZ95" s="172">
        <f>MIN(IF($AU95=100%,1,1+VLOOKUP(($AJ95-$AI95-$AH95-$AG95-$AF95-$AE95*(1+AZ$3))/$AJ95,'Технический лист'!$I:$J,2,1)-VLOOKUP($AO95,'Технический лист'!$I:$J,2,1)),1+(1-$AU95))</f>
        <v/>
      </c>
      <c r="BA95" s="172">
        <f>MIN(IF($AU95=100%,1,1+VLOOKUP(($AJ95-$AI95-$AH95-$AG95-$AF95-$AE95*(1+BA$3))/$AJ95,'Технический лист'!$I:$J,2,1)-VLOOKUP($AO95,'Технический лист'!$I:$J,2,1)),1+(1-$AU95))</f>
        <v/>
      </c>
      <c r="BB95" s="172">
        <f>MIN(IF($AU95=100%,1,1+VLOOKUP(($AJ95-$AI95-$AH95-$AG95-$AF95-$AE95*(1+BB$3))/$AJ95,'Технический лист'!$I:$J,2,1)-VLOOKUP($AO95,'Технический лист'!$I:$J,2,1)),1+(1-$AU95))</f>
        <v/>
      </c>
      <c r="BC95" s="172">
        <f>MIN(IF($AU95=100%,1,1+VLOOKUP(($AJ95-$AI95-$AH95-$AG95-$AF95-$AE95*(1+BC$3))/$AJ95,'Технический лист'!$I:$J,2,1)-VLOOKUP($AO95,'Технический лист'!$I:$J,2,1)),1+(1-$AU95))</f>
        <v/>
      </c>
      <c r="BD95" s="172">
        <f>MIN(IF($AU95=100%,1,1+VLOOKUP(($AJ95-$AI95-$AH95-$AG95-$AF95-$AE95*(1+BD$3))/$AJ95,'Технический лист'!$I:$J,2,1)-VLOOKUP($AO95,'Технический лист'!$I:$J,2,1)),1+(1-$AU95))</f>
        <v/>
      </c>
      <c r="BE95" s="172">
        <f>MIN(IF($AU95=100%,1,1+VLOOKUP(($AJ95-$AI95-$AH95-$AG95-$AF95-$AE95*(1+BE$3))/$AJ95,'Технический лист'!$I:$J,2,1)-VLOOKUP($AO95,'Технический лист'!$I:$J,2,1)),1+(1-$AU95))</f>
        <v/>
      </c>
      <c r="BF95" s="172">
        <f>MIN(IF($AU95=100%,1,1+VLOOKUP(($AJ95-$AI95-$AH95-$AG95-$AF95-$AE95*(1+BF$3))/$AJ95,'Технический лист'!$I:$J,2,1)-VLOOKUP($AO95,'Технический лист'!$I:$J,2,1)),1+(1-$AU95))</f>
        <v/>
      </c>
      <c r="BG95" s="172">
        <f>MIN(IF($AU95=100%,1,1+VLOOKUP(($AJ95-$AI95-$AH95-$AG95-$AF95-$AE95*(1+BG$3))/$AJ95,'Технический лист'!$I:$J,2,1)-VLOOKUP($AO95,'Технический лист'!$I:$J,2,1)),1+(1-$AU95))</f>
        <v/>
      </c>
      <c r="BH95" s="172">
        <f>MIN(IF($AU95=100%,1,1+VLOOKUP(($AJ95-$AI95-$AH95-$AG95-$AF95-$AE95*(1+BH$3))/$AJ95,'Технический лист'!$I:$J,2,1)-VLOOKUP($AO95,'Технический лист'!$I:$J,2,1)),1+(1-$AU95))</f>
        <v/>
      </c>
      <c r="BI95" s="172">
        <f>MIN(IF($AU95=100%,1,1+VLOOKUP(($AJ95-$AI95-$AH95-$AG95-$AF95-$AE95*(1+BI$3))/$AJ95,'Технический лист'!$I:$J,2,1)-VLOOKUP($AO95,'Технический лист'!$I:$J,2,1)),1+(1-$AU95))</f>
        <v/>
      </c>
      <c r="BJ95" s="172">
        <f>MIN(IF($AU95=100%,1,1+VLOOKUP(($AJ95-$AI95-$AH95-$AG95-$AF95-$AE95*(1+BJ$3))/$AJ95,'Технический лист'!$I:$J,2,1)-VLOOKUP($AO95,'Технический лист'!$I:$J,2,1)),1+(1-$AU95))</f>
        <v/>
      </c>
      <c r="BK95" s="172">
        <f>MIN(IF($AU95=100%,1,1+VLOOKUP(($AJ95-$AI95-$AH95-$AG95-$AF95-$AE95*(1+BK$3))/$AJ95,'Технический лист'!$I:$J,2,1)-VLOOKUP($AO95,'Технический лист'!$I:$J,2,1)),1+(1-$AU95))</f>
        <v/>
      </c>
      <c r="BL95" s="172">
        <f>MIN(IF($AU95=100%,1,1+VLOOKUP(($AJ95-$AI95-$AH95-$AG95-$AF95-$AE95*(1+BL$3))/$AJ95,'Технический лист'!$I:$J,2,1)-VLOOKUP($AO95,'Технический лист'!$I:$J,2,1)),1+(1-$AU95))</f>
        <v/>
      </c>
      <c r="BM95" s="172">
        <f>MIN(IF($AU95=100%,1,1+VLOOKUP(($AJ95-$AI95-$AH95-$AG95-$AF95-$AE95*(1+BM$3))/$AJ95,'Технический лист'!$I:$J,2,1)-VLOOKUP($AO95,'Технический лист'!$I:$J,2,1)),1+(1-$AU95))</f>
        <v/>
      </c>
      <c r="BN95" s="172">
        <f>MIN(IF($AU95=100%,1,1+VLOOKUP(($AJ95-$AI95-$AH95-$AG95-$AF95-$AE95*(1+BN$3))/$AJ95,'Технический лист'!$I:$J,2,1)-VLOOKUP($AO95,'Технический лист'!$I:$J,2,1)),1+(1-$AU95))</f>
        <v/>
      </c>
      <c r="BO95" s="172">
        <f>MIN(IF($AU95=100%,1,1+VLOOKUP(($AJ95-$AI95-$AH95-$AG95-$AF95-$AE95*(1+BO$3))/$AJ95,'Технический лист'!$I:$J,2,1)-VLOOKUP($AO95,'Технический лист'!$I:$J,2,1)),1+(1-$AU95))</f>
        <v/>
      </c>
      <c r="BP95" s="172">
        <f>MIN(IF($AU95=100%,1,1+VLOOKUP(($AJ95-$AI95-$AH95-$AG95-$AF95-$AE95*(1+BP$3))/$AJ95,'Технический лист'!$I:$J,2,1)-VLOOKUP($AO95,'Технический лист'!$I:$J,2,1)),1+(1-$AU95))</f>
        <v/>
      </c>
      <c r="BQ95" s="172">
        <f>MIN(IF($AU95=100%,1,1+VLOOKUP(($AJ95-$AI95-$AH95-$AG95-$AF95-$AE95*(1+BQ$3))/$AJ95,'Технический лист'!$I:$J,2,1)-VLOOKUP($AO95,'Технический лист'!$I:$J,2,1)),1+(1-$AU95))</f>
        <v/>
      </c>
      <c r="BR95" s="172">
        <f>MIN(IF($AU95=100%,1,1+VLOOKUP(($AJ95-$AI95-$AH95-$AG95-$AF95-$AE95*(1+BR$3))/$AJ95,'Технический лист'!$I:$J,2,1)-VLOOKUP($AO95,'Технический лист'!$I:$J,2,1)),1+(1-$AU95))</f>
        <v/>
      </c>
      <c r="BS95" s="172">
        <f>MIN(IF($AU95=100%,1,1+VLOOKUP(($AJ95-$AI95-$AH95-$AG95-$AF95-$AE95*(1+BS$3))/$AJ95,'Технический лист'!$I:$J,2,1)-VLOOKUP($AO95,'Технический лист'!$I:$J,2,1)),1+(1-$AU95))</f>
        <v/>
      </c>
      <c r="BT95" s="172">
        <f>MIN(IF($AU95=100%,1,1+VLOOKUP(($AJ95-$AI95-$AH95-$AG95-$AF95-$AE95*(1+BT$3))/$AJ95,'Технический лист'!$I:$J,2,1)-VLOOKUP($AO95,'Технический лист'!$I:$J,2,1)),1+(1-$AU95))</f>
        <v/>
      </c>
      <c r="BU95" s="172">
        <f>MIN(IF($AU95=100%,1,1+VLOOKUP(($AJ95-$AI95-$AH95-$AG95-$AF95-$AE95*(1+BU$3))/$AJ95,'Технический лист'!$I:$J,2,1)-VLOOKUP($AO95,'Технический лист'!$I:$J,2,1)),1+(1-$AU95))</f>
        <v/>
      </c>
      <c r="BV95" s="172">
        <f>MIN(IF($AU95=100%,1,1+VLOOKUP(($AJ95-$AI95-$AH95-$AG95-$AF95-$AE95*(1+BV$3))/$AJ95,'Технический лист'!$I:$J,2,1)-VLOOKUP($AO95,'Технический лист'!$I:$J,2,1)),1+(1-$AU95))</f>
        <v/>
      </c>
      <c r="BW95" s="172">
        <f>MIN(IF($AU95=100%,1,1+VLOOKUP(($AJ95-$AI95-$AH95-$AG95-$AF95-$AE95*(1+BW$3))/$AJ95,'Технический лист'!$I:$J,2,1)-VLOOKUP($AO95,'Технический лист'!$I:$J,2,1)),1+(1-$AU95))</f>
        <v/>
      </c>
      <c r="BX95" s="172">
        <f>MIN(IF($AU95=100%,1,1+VLOOKUP(($AJ95-$AI95-$AH95-$AG95-$AF95-$AE95*(1+BX$3))/$AJ95,'Технический лист'!$I:$J,2,1)-VLOOKUP($AO95,'Технический лист'!$I:$J,2,1)),1+(1-$AU95))</f>
        <v/>
      </c>
      <c r="BY95" s="172">
        <f>MIN(IF($AU95=100%,1,1+VLOOKUP(($AJ95-$AI95-$AH95-$AG95-$AF95-$AE95*(1+BY$3))/$AJ95,'Технический лист'!$I:$J,2,1)-VLOOKUP($AO95,'Технический лист'!$I:$J,2,1)),1+(1-$AU95))</f>
        <v/>
      </c>
      <c r="BZ95" s="172">
        <f>MIN(IF($AU95=100%,1,1+VLOOKUP(($AJ95-$AI95-$AH95-$AG95-$AF95-$AE95*(1+BZ$3))/$AJ95,'Технический лист'!$I:$J,2,1)-VLOOKUP($AO95,'Технический лист'!$I:$J,2,1)),1+(1-$AU95))</f>
        <v/>
      </c>
      <c r="CA95" s="172">
        <f>MIN(IF($AU95=100%,1,1+VLOOKUP(($AJ95-$AI95-$AH95-$AG95-$AF95-$AE95*(1+CA$3))/$AJ95,'Технический лист'!$I:$J,2,1)-VLOOKUP($AO95,'Технический лист'!$I:$J,2,1)),1+(1-$AU95))</f>
        <v/>
      </c>
      <c r="CB95" s="172">
        <f>MIN(IF($AU95=100%,1,1+VLOOKUP(($AJ95-$AI95-$AH95-$AG95-$AF95-$AE95*(1+CB$3))/$AJ95,'Технический лист'!$I:$J,2,1)-VLOOKUP($AO95,'Технический лист'!$I:$J,2,1)),1+(1-$AU95))</f>
        <v/>
      </c>
      <c r="CC95" s="172">
        <f>MIN(IF($AU95=100%,1,1+VLOOKUP(($AJ95-$AI95-$AH95-$AG95-$AF95-$AE95*(1+CC$3))/$AJ95,'Технический лист'!$I:$J,2,1)-VLOOKUP($AO95,'Технический лист'!$I:$J,2,1)),1+(1-$AU95))</f>
        <v/>
      </c>
      <c r="CD95" s="172">
        <f>MIN(IF($AU95=100%,1,1+VLOOKUP(($AJ95-$AI95-$AH95-$AG95-$AF95-$AE95*(1+CD$3))/$AJ95,'Технический лист'!$I:$J,2,1)-VLOOKUP($AO95,'Технический лист'!$I:$J,2,1)),1+(1-$AU95))</f>
        <v/>
      </c>
      <c r="CE95" s="172">
        <f>MIN(IF($AU95=100%,1,1+VLOOKUP(($AJ95-$AI95-$AH95-$AG95-$AF95-$AE95*(1+CE$3))/$AJ95,'Технический лист'!$I:$J,2,1)-VLOOKUP($AO95,'Технический лист'!$I:$J,2,1)),1+(1-$AU95))</f>
        <v/>
      </c>
      <c r="CF95" s="172">
        <f>MIN(IF($AU95=100%,1,1+VLOOKUP(($AJ95-$AI95-$AH95-$AG95-$AF95-$AE95*(1+CF$3))/$AJ95,'Технический лист'!$I:$J,2,1)-VLOOKUP($AO95,'Технический лист'!$I:$J,2,1)),1+(1-$AU95))</f>
        <v/>
      </c>
      <c r="CG95" s="172">
        <f>MIN(IF($AU95=100%,1,1+VLOOKUP(($AJ95-$AI95-$AH95-$AG95-$AF95-$AE95*(1+CG$3))/$AJ95,'Технический лист'!$I:$J,2,1)-VLOOKUP($AO95,'Технический лист'!$I:$J,2,1)),1+(1-$AU95))</f>
        <v/>
      </c>
      <c r="CH95" s="172">
        <f>MIN(IF($AU95=100%,1,1+VLOOKUP(($AJ95-$AI95-$AH95-$AG95-$AF95-$AE95*(1+CH$3))/$AJ95,'Технический лист'!$I:$J,2,1)-VLOOKUP($AO95,'Технический лист'!$I:$J,2,1)),1+(1-$AU95))</f>
        <v/>
      </c>
      <c r="CI95" s="172">
        <f>MIN(IF($AU95=100%,1,1+VLOOKUP(($AJ95-$AI95-$AH95-$AG95-$AF95-$AE95*(1+CI$3))/$AJ95,'Технический лист'!$I:$J,2,1)-VLOOKUP($AO95,'Технический лист'!$I:$J,2,1)),1+(1-$AU95))</f>
        <v/>
      </c>
      <c r="CJ95" s="172">
        <f>MIN(IF($AU95=100%,1,1+VLOOKUP(($AJ95-$AI95-$AH95-$AG95-$AF95-$AE95*(1+CJ$3))/$AJ95,'Технический лист'!$I:$J,2,1)-VLOOKUP($AO95,'Технический лист'!$I:$J,2,1)),1+(1-$AU95))</f>
        <v/>
      </c>
      <c r="CK95" s="172">
        <f>MIN(IF($AU95=100%,1,1+VLOOKUP(($AJ95-$AI95-$AH95-$AG95-$AF95-$AE95*(1+CK$3))/$AJ95,'Технический лист'!$I:$J,2,1)-VLOOKUP($AO95,'Технический лист'!$I:$J,2,1)),1+(1-$AU95))</f>
        <v/>
      </c>
      <c r="CL95" s="172">
        <f>MIN(IF($AU95=100%,1,1+VLOOKUP(($AJ95-$AI95-$AH95-$AG95-$AF95-$AE95*(1+CL$3))/$AJ95,'Технический лист'!$I:$J,2,1)-VLOOKUP($AO95,'Технический лист'!$I:$J,2,1)),1+(1-$AU95))</f>
        <v/>
      </c>
      <c r="CM95" s="172">
        <f>MIN(IF($AU95=100%,1,1+VLOOKUP(($AJ95-$AI95-$AH95-$AG95-$AF95-$AE95*(1+CM$3))/$AJ95,'Технический лист'!$I:$J,2,1)-VLOOKUP($AO95,'Технический лист'!$I:$J,2,1)),1+(1-$AU95))</f>
        <v/>
      </c>
      <c r="CN95" s="172">
        <f>MIN(IF($AU95=100%,1,1+VLOOKUP(($AJ95-$AI95-$AH95-$AG95-$AF95-$AE95*(1+CN$3))/$AJ95,'Технический лист'!$I:$J,2,1)-VLOOKUP($AO95,'Технический лист'!$I:$J,2,1)),1+(1-$AU95))</f>
        <v/>
      </c>
      <c r="CO95" s="172">
        <f>MIN(IF($AU95=100%,1,1+VLOOKUP(($AJ95-$AI95-$AH95-$AG95-$AF95-$AE95*(1+CO$3))/$AJ95,'Технический лист'!$I:$J,2,1)-VLOOKUP($AO95,'Технический лист'!$I:$J,2,1)),1+(1-$AU95))</f>
        <v/>
      </c>
      <c r="CP95" s="172">
        <f>MIN(IF($AU95=100%,1,1+VLOOKUP(($AJ95-$AI95-$AH95-$AG95-$AF95-$AE95*(1+CP$3))/$AJ95,'Технический лист'!$I:$J,2,1)-VLOOKUP($AO95,'Технический лист'!$I:$J,2,1)),1+(1-$AU95))</f>
        <v/>
      </c>
      <c r="CQ95" s="172">
        <f>MIN(IF($AU95=100%,1,1+VLOOKUP(($AJ95-$AI95-$AH95-$AG95-$AF95-$AE95*(1+CQ$3))/$AJ95,'Технический лист'!$I:$J,2,1)-VLOOKUP($AO95,'Технический лист'!$I:$J,2,1)),1+(1-$AU95))</f>
        <v/>
      </c>
      <c r="CR95" s="172">
        <f>MIN(IF($AU95=100%,1,1+VLOOKUP(($AJ95-$AI95-$AH95-$AG95-$AF95-$AE95*(1+CR$3))/$AJ95,'Технический лист'!$I:$J,2,1)-VLOOKUP($AO95,'Технический лист'!$I:$J,2,1)),1+(1-$AU95))</f>
        <v/>
      </c>
      <c r="CS95" s="172">
        <f>MIN(IF($AU95=100%,1,1+VLOOKUP(($AJ95-$AI95-$AH95-$AG95-$AF95-$AE95*(1+CS$3))/$AJ95,'Технический лист'!$I:$J,2,1)-VLOOKUP($AO95,'Технический лист'!$I:$J,2,1)),1+(1-$AU95))</f>
        <v/>
      </c>
      <c r="CT95" s="172">
        <f>MIN(IF($AU95=100%,1,1+VLOOKUP(($AJ95-$AI95-$AH95-$AG95-$AF95-$AE95*(1+CT$3))/$AJ95,'Технический лист'!$I:$J,2,1)-VLOOKUP($AO95,'Технический лист'!$I:$J,2,1)),1+(1-$AU95))</f>
        <v/>
      </c>
      <c r="CU95" s="172">
        <f>MIN(IF($AU95=100%,1,1+VLOOKUP(($AJ95-$AI95-$AH95-$AG95-$AF95-$AE95*(1+CU$3))/$AJ95,'Технический лист'!$I:$J,2,1)-VLOOKUP($AO95,'Технический лист'!$I:$J,2,1)),1+(1-$AU95))</f>
        <v/>
      </c>
      <c r="CV95" s="172">
        <f>MIN(IF($AU95=100%,1,1+VLOOKUP(($AJ95-$AI95-$AH95-$AG95-$AF95-$AE95*(1+CV$3))/$AJ95,'Технический лист'!$I:$J,2,1)-VLOOKUP($AO95,'Технический лист'!$I:$J,2,1)),1+(1-$AU95))</f>
        <v/>
      </c>
      <c r="CW95" s="172">
        <f>MIN(IF($AU95=100%,1,1+VLOOKUP(($AJ95-$AI95-$AH95-$AG95-$AF95-$AE95*(1+CW$3))/$AJ95,'Технический лист'!$I:$J,2,1)-VLOOKUP($AO95,'Технический лист'!$I:$J,2,1)),1+(1-$AU95))</f>
        <v/>
      </c>
      <c r="CX95" s="172">
        <f>MIN(IF($AU95=100%,1,1+VLOOKUP(($AJ95-$AI95-$AH95-$AG95-$AF95-$AE95*(1+CX$3))/$AJ95,'Технический лист'!$I:$J,2,1)-VLOOKUP($AO95,'Технический лист'!$I:$J,2,1)),1+(1-$AU95))</f>
        <v/>
      </c>
      <c r="CY95" s="172">
        <f>MIN(IF($AU95=100%,1,1+VLOOKUP(($AJ95-$AI95-$AH95-$AG95-$AF95-$AE95*(1+CY$3))/$AJ95,'Технический лист'!$I:$J,2,1)-VLOOKUP($AO95,'Технический лист'!$I:$J,2,1)),1+(1-$AU95))</f>
        <v/>
      </c>
      <c r="CZ95" s="172">
        <f>MIN(IF($AU95=100%,1,1+VLOOKUP(($AJ95-$AI95-$AH95-$AG95-$AF95-$AE95*(1+CZ$3))/$AJ95,'Технический лист'!$I:$J,2,1)-VLOOKUP($AO95,'Технический лист'!$I:$J,2,1)),1+(1-$AU95))</f>
        <v/>
      </c>
      <c r="DA95" s="172">
        <f>MIN(IF($AU95=100%,1,1+VLOOKUP(($AJ95-$AI95-$AH95-$AG95-$AF95-$AE95*(1+DA$3))/$AJ95,'Технический лист'!$I:$J,2,1)-VLOOKUP($AO95,'Технический лист'!$I:$J,2,1)),1+(1-$AU95))</f>
        <v/>
      </c>
      <c r="DB95" s="172">
        <f>MIN(IF($AU95=100%,1,1+VLOOKUP(($AJ95-$AI95-$AH95-$AG95-$AF95-$AE95*(1+DB$3))/$AJ95,'Технический лист'!$I:$J,2,1)-VLOOKUP($AO95,'Технический лист'!$I:$J,2,1)),1+(1-$AU95))</f>
        <v/>
      </c>
      <c r="DC95" s="172">
        <f>MIN(IF($AU95=100%,1,1+VLOOKUP(($AJ95-$AI95-$AH95-$AG95-$AF95-$AE95*(1+DC$3))/$AJ95,'Технический лист'!$I:$J,2,1)-VLOOKUP($AO95,'Технический лист'!$I:$J,2,1)),1+(1-$AU95))</f>
        <v/>
      </c>
      <c r="DD95" s="172">
        <f>MIN(IF($AU95=100%,1,1+VLOOKUP(($AJ95-$AI95-$AH95-$AG95-$AF95-$AE95*(1+DD$3))/$AJ95,'Технический лист'!$I:$J,2,1)-VLOOKUP($AO95,'Технический лист'!$I:$J,2,1)),1+(1-$AU95))</f>
        <v/>
      </c>
      <c r="DE95" s="172">
        <f>MIN(IF($AU95=100%,1,1+VLOOKUP(($AJ95-$AI95-$AH95-$AG95-$AF95-$AE95*(1+DE$3))/$AJ95,'Технический лист'!$I:$J,2,1)-VLOOKUP($AO95,'Технический лист'!$I:$J,2,1)),1+(1-$AU95))</f>
        <v/>
      </c>
      <c r="DF95" s="172">
        <f>MIN(IF($AU95=100%,1,1+VLOOKUP(($AJ95-$AI95-$AH95-$AG95-$AF95-$AE95*(1+DF$3))/$AJ95,'Технический лист'!$I:$J,2,1)-VLOOKUP($AO95,'Технический лист'!$I:$J,2,1)),1+(1-$AU95))</f>
        <v/>
      </c>
      <c r="DG95" s="172">
        <f>MIN(IF($AU95=100%,1,1+VLOOKUP(($AJ95-$AI95-$AH95-$AG95-$AF95-$AE95*(1+DG$3))/$AJ95,'Технический лист'!$I:$J,2,1)-VLOOKUP($AO95,'Технический лист'!$I:$J,2,1)),1+(1-$AU95))</f>
        <v/>
      </c>
      <c r="DH95" s="172">
        <f>MIN(IF($AU95=100%,1,1+VLOOKUP(($AJ95-$AI95-$AH95-$AG95-$AF95-$AE95*(1+DH$3))/$AJ95,'Технический лист'!$I:$J,2,1)-VLOOKUP($AO95,'Технический лист'!$I:$J,2,1)),1+(1-$AU95))</f>
        <v/>
      </c>
      <c r="DI95" s="172">
        <f>MIN(IF($AU95=100%,1,1+VLOOKUP(($AJ95-$AI95-$AH95-$AG95-$AF95-$AE95*(1+DI$3))/$AJ95,'Технический лист'!$I:$J,2,1)-VLOOKUP($AO95,'Технический лист'!$I:$J,2,1)),1+(1-$AU95))</f>
        <v/>
      </c>
      <c r="DJ95" s="172">
        <f>MIN(IF($AU95=100%,1,1+VLOOKUP(($AJ95-$AI95-$AH95-$AG95-$AF95-$AE95*(1+DJ$3))/$AJ95,'Технический лист'!$I:$J,2,1)-VLOOKUP($AO95,'Технический лист'!$I:$J,2,1)),1+(1-$AU95))</f>
        <v/>
      </c>
      <c r="DK95" s="172">
        <f>MIN(IF($AU95=100%,1,1+VLOOKUP(($AJ95-$AI95-$AH95-$AG95-$AF95-$AE95*(1+DK$3))/$AJ95,'Технический лист'!$I:$J,2,1)-VLOOKUP($AO95,'Технический лист'!$I:$J,2,1)),1+(1-$AU95))</f>
        <v/>
      </c>
      <c r="DL95" s="172">
        <f>MIN(IF($AU95=100%,1,1+VLOOKUP(($AJ95-$AI95-$AH95-$AG95-$AF95-$AE95*(1+DL$3))/$AJ95,'Технический лист'!$I:$J,2,1)-VLOOKUP($AO95,'Технический лист'!$I:$J,2,1)),1+(1-$AU95))</f>
        <v/>
      </c>
      <c r="DM95" s="172">
        <f>MIN(IF($AU95=100%,1,1+VLOOKUP(($AJ95-$AI95-$AH95-$AG95-$AF95-$AE95*(1+DM$3))/$AJ95,'Технический лист'!$I:$J,2,1)-VLOOKUP($AO95,'Технический лист'!$I:$J,2,1)),1+(1-$AU95))</f>
        <v/>
      </c>
      <c r="DN95" s="172">
        <f>MIN(IF($AU95=100%,1,1+VLOOKUP(($AJ95-$AI95-$AH95-$AG95-$AF95-$AE95*(1+DN$3))/$AJ95,'Технический лист'!$I:$J,2,1)-VLOOKUP($AO95,'Технический лист'!$I:$J,2,1)),1+(1-$AU95))</f>
        <v/>
      </c>
      <c r="DO95" s="172">
        <f>MIN(IF($AU95=100%,1,1+VLOOKUP(($AJ95-$AI95-$AH95-$AG95-$AF95-$AE95*(1+DO$3))/$AJ95,'Технический лист'!$I:$J,2,1)-VLOOKUP($AO95,'Технический лист'!$I:$J,2,1)),1+(1-$AU95))</f>
        <v/>
      </c>
      <c r="DP95" s="172">
        <f>MIN(IF($AU95=100%,1,1+VLOOKUP(($AJ95-$AI95-$AH95-$AG95-$AF95-$AE95*(1+DP$3))/$AJ95,'Технический лист'!$I:$J,2,1)-VLOOKUP($AO95,'Технический лист'!$I:$J,2,1)),1+(1-$AU95))</f>
        <v/>
      </c>
      <c r="DQ95" s="172">
        <f>MIN(IF($AU95=100%,1,1+VLOOKUP(($AJ95-$AI95-$AH95-$AG95-$AF95-$AE95*(1+DQ$3))/$AJ95,'Технический лист'!$I:$J,2,1)-VLOOKUP($AO95,'Технический лист'!$I:$J,2,1)),1+(1-$AU95))</f>
        <v/>
      </c>
      <c r="DR95" s="172">
        <f>MIN(IF($AU95=100%,1,1+VLOOKUP(($AJ95-$AI95-$AH95-$AG95-$AF95-$AE95*(1+DR$3))/$AJ95,'Технический лист'!$I:$J,2,1)-VLOOKUP($AO95,'Технический лист'!$I:$J,2,1)),1+(1-$AU95))</f>
        <v/>
      </c>
      <c r="DS95" s="172">
        <f>MIN(IF($AU95=100%,1,1+VLOOKUP(($AJ95-$AI95-$AH95-$AG95-$AF95-$AE95*(1+DS$3))/$AJ95,'Технический лист'!$I:$J,2,1)-VLOOKUP($AO95,'Технический лист'!$I:$J,2,1)),1+(1-$AU95))</f>
        <v/>
      </c>
      <c r="DT95" s="172">
        <f>MIN(IF($AU95=100%,1,1+VLOOKUP(($AJ95-$AI95-$AH95-$AG95-$AF95-$AE95*(1+DT$3))/$AJ95,'Технический лист'!$I:$J,2,1)-VLOOKUP($AO95,'Технический лист'!$I:$J,2,1)),1+(1-$AU95))</f>
        <v/>
      </c>
      <c r="DU95" s="172">
        <f>MIN(IF($AU95=100%,1,1+VLOOKUP(($AJ95-$AI95-$AH95-$AG95-$AF95-$AE95*(1+DU$3))/$AJ95,'Технический лист'!$I:$J,2,1)-VLOOKUP($AO95,'Технический лист'!$I:$J,2,1)),1+(1-$AU95))</f>
        <v/>
      </c>
      <c r="DV95" s="172">
        <f>MIN(IF($AU95=100%,1,1+VLOOKUP(($AJ95-$AI95-$AH95-$AG95-$AF95-$AE95*(1+DV$3))/$AJ95,'Технический лист'!$I:$J,2,1)-VLOOKUP($AO95,'Технический лист'!$I:$J,2,1)),1+(1-$AU95))</f>
        <v/>
      </c>
      <c r="DW95" s="172">
        <f>MIN(IF($AU95=100%,1,1+VLOOKUP(($AJ95-$AI95-$AH95-$AG95-$AF95-$AE95*(1+DW$3))/$AJ95,'Технический лист'!$I:$J,2,1)-VLOOKUP($AO95,'Технический лист'!$I:$J,2,1)),1+(1-$AU95))</f>
        <v/>
      </c>
      <c r="DX95" s="172">
        <f>MIN(IF($AU95=100%,1,1+VLOOKUP(($AJ95-$AI95-$AH95-$AG95-$AF95-$AE95*(1+DX$3))/$AJ95,'Технический лист'!$I:$J,2,1)-VLOOKUP($AO95,'Технический лист'!$I:$J,2,1)),1+(1-$AU95))</f>
        <v/>
      </c>
      <c r="DY95" s="172">
        <f>MIN(IF($AU95=100%,1,1+VLOOKUP(($AJ95-$AI95-$AH95-$AG95-$AF95-$AE95*(1+DY$3))/$AJ95,'Технический лист'!$I:$J,2,1)-VLOOKUP($AO95,'Технический лист'!$I:$J,2,1)),1+(1-$AU95))</f>
        <v/>
      </c>
      <c r="DZ95" s="172">
        <f>MIN(IF($AU95=100%,1,1+VLOOKUP(($AJ95-$AI95-$AH95-$AG95-$AF95-$AE95*(1+DZ$3))/$AJ95,'Технический лист'!$I:$J,2,1)-VLOOKUP($AO95,'Технический лист'!$I:$J,2,1)),1+(1-$AU95))</f>
        <v/>
      </c>
      <c r="EA95" s="172">
        <f>MIN(IF($AU95=100%,1,1+VLOOKUP(($AJ95-$AI95-$AH95-$AG95-$AF95-$AE95*(1+EA$3))/$AJ95,'Технический лист'!$I:$J,2,1)-VLOOKUP($AO95,'Технический лист'!$I:$J,2,1)),1+(1-$AU95))</f>
        <v/>
      </c>
      <c r="EB95" s="172">
        <f>MIN(IF($AU95=100%,1,1+VLOOKUP(($AJ95-$AI95-$AH95-$AG95-$AF95-$AE95*(1+EB$3))/$AJ95,'Технический лист'!$I:$J,2,1)-VLOOKUP($AO95,'Технический лист'!$I:$J,2,1)),1+(1-$AU95))</f>
        <v/>
      </c>
      <c r="EC95" s="172">
        <f>MIN(IF($AU95=100%,1,1+VLOOKUP(($AJ95-$AI95-$AH95-$AG95-$AF95-$AE95*(1+EC$3))/$AJ95,'Технический лист'!$I:$J,2,1)-VLOOKUP($AO95,'Технический лист'!$I:$J,2,1)),1+(1-$AU95))</f>
        <v/>
      </c>
      <c r="ED95" s="172">
        <f>MIN(IF($AU95=100%,1,1+VLOOKUP(($AJ95-$AI95-$AH95-$AG95-$AF95-$AE95*(1+ED$3))/$AJ95,'Технический лист'!$I:$J,2,1)-VLOOKUP($AO95,'Технический лист'!$I:$J,2,1)),1+(1-$AU95))</f>
        <v/>
      </c>
      <c r="EE95" s="172">
        <f>MIN(IF($AU95=100%,1,1+VLOOKUP(($AJ95-$AI95-$AH95-$AG95-$AF95-$AE95*(1+EE$3))/$AJ95,'Технический лист'!$I:$J,2,1)-VLOOKUP($AO95,'Технический лист'!$I:$J,2,1)),1+(1-$AU95))</f>
        <v/>
      </c>
      <c r="EF95" s="172">
        <f>MIN(IF($AU95=100%,1,1+VLOOKUP(($AJ95-$AI95-$AH95-$AG95-$AF95-$AE95*(1+EF$3))/$AJ95,'Технический лист'!$I:$J,2,1)-VLOOKUP($AO95,'Технический лист'!$I:$J,2,1)),1+(1-$AU95))</f>
        <v/>
      </c>
      <c r="EG95" s="172">
        <f>MIN(IF($AU95=100%,1,1+VLOOKUP(($AJ95-$AI95-$AH95-$AG95-$AF95-$AE95*(1+EG$3))/$AJ95,'Технический лист'!$I:$J,2,1)-VLOOKUP($AO95,'Технический лист'!$I:$J,2,1)),1+(1-$AU95))</f>
        <v/>
      </c>
      <c r="EH95" s="172">
        <f>MIN(IF($AU95=100%,1,1+VLOOKUP(($AJ95-$AI95-$AH95-$AG95-$AF95-$AE95*(1+EH$3))/$AJ95,'Технический лист'!$I:$J,2,1)-VLOOKUP($AO95,'Технический лист'!$I:$J,2,1)),1+(1-$AU95))</f>
        <v/>
      </c>
      <c r="EI95" s="172">
        <f>MIN(IF($AU95=100%,1,1+VLOOKUP(($AJ95-$AI95-$AH95-$AG95-$AF95-$AE95*(1+EI$3))/$AJ95,'Технический лист'!$I:$J,2,1)-VLOOKUP($AO95,'Технический лист'!$I:$J,2,1)),1+(1-$AU95))</f>
        <v/>
      </c>
      <c r="EJ95" s="172">
        <f>MIN(IF($AU95=100%,1,1+VLOOKUP(($AJ95-$AI95-$AH95-$AG95-$AF95-$AE95*(1+EJ$3))/$AJ95,'Технический лист'!$I:$J,2,1)-VLOOKUP($AO95,'Технический лист'!$I:$J,2,1)),1+(1-$AU95))</f>
        <v/>
      </c>
      <c r="EK95" s="172">
        <f>MIN(IF($AU95=100%,1,1+VLOOKUP(($AJ95-$AI95-$AH95-$AG95-$AF95-$AE95*(1+EK$3))/$AJ95,'Технический лист'!$I:$J,2,1)-VLOOKUP($AO95,'Технический лист'!$I:$J,2,1)),1+(1-$AU95))</f>
        <v/>
      </c>
      <c r="EL95" s="172">
        <f>MIN(IF($AU95=100%,1,1+VLOOKUP(($AJ95-$AI95-$AH95-$AG95-$AF95-$AE95*(1+EL$3))/$AJ95,'Технический лист'!$I:$J,2,1)-VLOOKUP($AO95,'Технический лист'!$I:$J,2,1)),1+(1-$AU95))</f>
        <v/>
      </c>
      <c r="EM95" s="172">
        <f>MIN(IF($AU95=100%,1,1+VLOOKUP(($AJ95-$AI95-$AH95-$AG95-$AF95-$AE95*(1+EM$3))/$AJ95,'Технический лист'!$I:$J,2,1)-VLOOKUP($AO95,'Технический лист'!$I:$J,2,1)),1+(1-$AU95))</f>
        <v/>
      </c>
      <c r="EN95" s="172">
        <f>MIN(IF($AU95=100%,1,1+VLOOKUP(($AJ95-$AI95-$AH95-$AG95-$AF95-$AE95*(1+EN$3))/$AJ95,'Технический лист'!$I:$J,2,1)-VLOOKUP($AO95,'Технический лист'!$I:$J,2,1)),1+(1-$AU95))</f>
        <v/>
      </c>
      <c r="EO95" s="172">
        <f>MIN(IF($AU95=100%,1,1+VLOOKUP(($AJ95-$AI95-$AH95-$AG95-$AF95-$AE95*(1+EO$3))/$AJ95,'Технический лист'!$I:$J,2,1)-VLOOKUP($AO95,'Технический лист'!$I:$J,2,1)),1+(1-$AU95))</f>
        <v/>
      </c>
      <c r="EP95" s="172">
        <f>MIN(IF($AU95=100%,1,1+VLOOKUP(($AJ95-$AI95-$AH95-$AG95-$AF95-$AE95*(1+EP$3))/$AJ95,'Технический лист'!$I:$J,2,1)-VLOOKUP($AO95,'Технический лист'!$I:$J,2,1)),1+(1-$AU95))</f>
        <v/>
      </c>
      <c r="EQ95" s="172">
        <f>MIN(IF($AU95=100%,1,1+VLOOKUP(($AJ95-$AI95-$AH95-$AG95-$AF95-$AE95*(1+EQ$3))/$AJ95,'Технический лист'!$I:$J,2,1)-VLOOKUP($AO95,'Технический лист'!$I:$J,2,1)),1+(1-$AU95))</f>
        <v/>
      </c>
      <c r="ER95" s="172">
        <f>MIN(IF($AU95=100%,1,1+VLOOKUP(($AJ95-$AI95-$AH95-$AG95-$AF95-$AE95*(1+ER$3))/$AJ95,'Технический лист'!$I:$J,2,1)-VLOOKUP($AO95,'Технический лист'!$I:$J,2,1)),1+(1-$AU95))</f>
        <v/>
      </c>
      <c r="ES95" s="172">
        <f>MIN(IF($AU95=100%,1,1+VLOOKUP(($AJ95-$AI95-$AH95-$AG95-$AF95-$AE95*(1+ES$3))/$AJ95,'Технический лист'!$I:$J,2,1)-VLOOKUP($AO95,'Технический лист'!$I:$J,2,1)),1+(1-$AU95))</f>
        <v/>
      </c>
      <c r="ET95" s="172">
        <f>MIN(IF($AU95=100%,1,1+VLOOKUP(($AJ95-$AI95-$AH95-$AG95-$AF95-$AE95*(1+ET$3))/$AJ95,'Технический лист'!$I:$J,2,1)-VLOOKUP($AO95,'Технический лист'!$I:$J,2,1)),1+(1-$AU95))</f>
        <v/>
      </c>
      <c r="EU95" s="172">
        <f>MIN(IF($AU95=100%,1,1+VLOOKUP(($AJ95-$AI95-$AH95-$AG95-$AF95-$AE95*(1+EU$3))/$AJ95,'Технический лист'!$I:$J,2,1)-VLOOKUP($AO95,'Технический лист'!$I:$J,2,1)),1+(1-$AU95))</f>
        <v/>
      </c>
      <c r="EV95" s="173" t="n">
        <v>1</v>
      </c>
      <c r="EW95" s="172">
        <f>MIN(1,MAX(VLOOKUP(($AJ95-$AI95-$AH95-$AG95-$AF95-$AE95*(1+EW$3))/$AJ95,'Технический лист'!$A:$B,2,1),(EV95-0.05)))</f>
        <v/>
      </c>
      <c r="EX95" s="172">
        <f>MIN(1,MAX(VLOOKUP(($AJ95-$AI95-$AH95-$AG95-$AF95-$AE95*(1+EX$3))/$AJ95,'Технический лист'!$A:$B,2,1),(EW95-0.05)))</f>
        <v/>
      </c>
      <c r="EY95" s="172">
        <f>MIN(1,MAX(VLOOKUP(($AJ95-$AI95-$AH95-$AG95-$AF95-$AE95*(1+EY$3))/$AJ95,'Технический лист'!$A:$B,2,1),(EX95-0.05)))</f>
        <v/>
      </c>
      <c r="EZ95" s="172">
        <f>MIN(1,MAX(VLOOKUP(($AJ95-$AI95-$AH95-$AG95-$AF95-$AE95*(1+EZ$3))/$AJ95,'Технический лист'!$A:$B,2,1),(EY95-0.05)))</f>
        <v/>
      </c>
      <c r="FA95" s="172">
        <f>MIN(1,MAX(VLOOKUP(($AJ95-$AI95-$AH95-$AG95-$AF95-$AE95*(1+FA$3))/$AJ95,'Технический лист'!$A:$B,2,1),(EZ95-0.05)))</f>
        <v/>
      </c>
      <c r="FB95" s="172">
        <f>MIN(1,MAX(VLOOKUP(($AJ95-$AI95-$AH95-$AG95-$AF95-$AE95*(1+FB$3))/$AJ95,'Технический лист'!$A:$B,2,1),(FA95-0.05)))</f>
        <v/>
      </c>
      <c r="FC95" s="172">
        <f>MIN(1,MAX(VLOOKUP(($AJ95-$AI95-$AH95-$AG95-$AF95-$AE95*(1+FC$3))/$AJ95,'Технический лист'!$A:$B,2,1),(FB95-0.05)))</f>
        <v/>
      </c>
      <c r="FD95" s="172">
        <f>MIN(1,MAX(VLOOKUP(($AJ95-$AI95-$AH95-$AG95-$AF95-$AE95*(1+FD$3))/$AJ95,'Технический лист'!$A:$B,2,1),(FC95-0.05)))</f>
        <v/>
      </c>
      <c r="FE95" s="172">
        <f>MIN(1,MAX(VLOOKUP(($AJ95-$AI95-$AH95-$AG95-$AF95-$AE95*(1+FE$3))/$AJ95,'Технический лист'!$A:$B,2,1),(FD95-0.05)))</f>
        <v/>
      </c>
      <c r="FF95" s="172">
        <f>MIN(1,MAX(VLOOKUP(($AJ95-$AI95-$AH95-$AG95-$AF95-$AE95*(1+FF$3))/$AJ95,'Технический лист'!$A:$B,2,1),(FE95-0.05)))</f>
        <v/>
      </c>
      <c r="FG95" s="172">
        <f>MIN(1,MAX(VLOOKUP(($AJ95-$AI95-$AH95-$AG95-$AF95-$AE95*(1+FG$3))/$AJ95,'Технический лист'!$A:$B,2,1),(FF95-0.05)))</f>
        <v/>
      </c>
      <c r="FH95" s="172">
        <f>MIN(1,MAX(VLOOKUP(($AJ95-$AI95-$AH95-$AG95-$AF95-$AE95*(1+FH$3))/$AJ95,'Технический лист'!$A:$B,2,1),(FG95-0.05)))</f>
        <v/>
      </c>
      <c r="FI95" s="172">
        <f>MIN(1,MAX(VLOOKUP(($AJ95-$AI95-$AH95-$AG95-$AF95-$AE95*(1+FI$3))/$AJ95,'Технический лист'!$A:$B,2,1),(FH95-0.05)))</f>
        <v/>
      </c>
      <c r="FJ95" s="172">
        <f>MIN(1,MAX(VLOOKUP(($AJ95-$AI95-$AH95-$AG95-$AF95-$AE95*(1+FJ$3))/$AJ95,'Технический лист'!$A:$B,2,1),(FI95-0.05)))</f>
        <v/>
      </c>
      <c r="FK95" s="172">
        <f>MIN(1,MAX(VLOOKUP(($AJ95-$AI95-$AH95-$AG95-$AF95-$AE95*(1+FK$3))/$AJ95,'Технический лист'!$A:$B,2,1),(FJ95-0.05)))</f>
        <v/>
      </c>
      <c r="FL95" s="172">
        <f>MIN(1,MAX(VLOOKUP(($AJ95-$AI95-$AH95-$AG95-$AF95-$AE95*(1+FL$3))/$AJ95,'Технический лист'!$A:$B,2,1),(FK95-0.05)))</f>
        <v/>
      </c>
      <c r="FM95" s="172">
        <f>MIN(1,MAX(VLOOKUP(($AJ95-$AI95-$AH95-$AG95-$AF95-$AE95*(1+FM$3))/$AJ95,'Технический лист'!$A:$B,2,1),(FL95-0.05)))</f>
        <v/>
      </c>
      <c r="FN95" s="172">
        <f>MIN(1,MAX(VLOOKUP(($AJ95-$AI95-$AH95-$AG95-$AF95-$AE95*(1+FN$3))/$AJ95,'Технический лист'!$A:$B,2,1),(FM95-0.05)))</f>
        <v/>
      </c>
      <c r="FO95" s="172">
        <f>MIN(1,MAX(VLOOKUP(($AJ95-$AI95-$AH95-$AG95-$AF95-$AE95*(1+FO$3))/$AJ95,'Технический лист'!$A:$B,2,1),(FN95-0.05)))</f>
        <v/>
      </c>
      <c r="FP95" s="172">
        <f>MIN(1,MAX(VLOOKUP(($AJ95-$AI95-$AH95-$AG95-$AF95-$AE95*(1+FP$3))/$AJ95,'Технический лист'!$A:$B,2,1),(FO95-0.05)))</f>
        <v/>
      </c>
      <c r="FQ95" s="172">
        <f>MIN(1,MAX(VLOOKUP(($AJ95-$AI95-$AH95-$AG95-$AF95-$AE95*(1+FQ$3))/$AJ95,'Технический лист'!$A:$B,2,1),(FP95-0.05)))</f>
        <v/>
      </c>
      <c r="FR95" s="172">
        <f>MIN(1,MAX(VLOOKUP(($AJ95-$AI95-$AH95-$AG95-$AF95-$AE95*(1+FR$3))/$AJ95,'Технический лист'!$A:$B,2,1),(FQ95-0.05)))</f>
        <v/>
      </c>
      <c r="FS95" s="172">
        <f>MIN(1,MAX(VLOOKUP(($AJ95-$AI95-$AH95-$AG95-$AF95-$AE95*(1+FS$3))/$AJ95,'Технический лист'!$A:$B,2,1),(FR95-0.05)))</f>
        <v/>
      </c>
      <c r="FT95" s="172">
        <f>MIN(1,MAX(VLOOKUP(($AJ95-$AI95-$AH95-$AG95-$AF95-$AE95*(1+FT$3))/$AJ95,'Технический лист'!$A:$B,2,1),(FS95-0.05)))</f>
        <v/>
      </c>
      <c r="FU95" s="172">
        <f>MIN(1,MAX(VLOOKUP(($AJ95-$AI95-$AH95-$AG95-$AF95-$AE95*(1+FU$3))/$AJ95,'Технический лист'!$A:$B,2,1),(FT95-0.05)))</f>
        <v/>
      </c>
      <c r="FV95" s="172">
        <f>MIN(1,MAX(VLOOKUP(($AJ95-$AI95-$AH95-$AG95-$AF95-$AE95*(1+FV$3))/$AJ95,'Технический лист'!$A:$B,2,1),(FU95-0.05)))</f>
        <v/>
      </c>
      <c r="FW95" s="172">
        <f>MIN(1,MAX(VLOOKUP(($AJ95-$AI95-$AH95-$AG95-$AF95-$AE95*(1+FW$3))/$AJ95,'Технический лист'!$A:$B,2,1),(FV95-0.05)))</f>
        <v/>
      </c>
      <c r="FX95" s="172">
        <f>MIN(1,MAX(VLOOKUP(($AJ95-$AI95-$AH95-$AG95-$AF95-$AE95*(1+FX$3))/$AJ95,'Технический лист'!$A:$B,2,1),(FW95-0.05)))</f>
        <v/>
      </c>
      <c r="FY95" s="172">
        <f>MIN(1,MAX(VLOOKUP(($AJ95-$AI95-$AH95-$AG95-$AF95-$AE95*(1+FY$3))/$AJ95,'Технический лист'!$A:$B,2,1),(FX95-0.05)))</f>
        <v/>
      </c>
      <c r="FZ95" s="172">
        <f>MIN(1,MAX(VLOOKUP(($AJ95-$AI95-$AH95-$AG95-$AF95-$AE95*(1+FZ$3))/$AJ95,'Технический лист'!$A:$B,2,1),(FY95-0.05)))</f>
        <v/>
      </c>
      <c r="GA95" s="172">
        <f>MIN(1,MAX(VLOOKUP(($AJ95-$AI95-$AH95-$AG95-$AF95-$AE95*(1+GA$3))/$AJ95,'Технический лист'!$A:$B,2,1),(FZ95-0.05)))</f>
        <v/>
      </c>
      <c r="GB95" s="172">
        <f>MIN(1,MAX(VLOOKUP(($AJ95-$AI95-$AH95-$AG95-$AF95-$AE95*(1+GB$3))/$AJ95,'Технический лист'!$A:$B,2,1),(GA95-0.05)))</f>
        <v/>
      </c>
      <c r="GC95" s="172">
        <f>MIN(1,MAX(VLOOKUP(($AJ95-$AI95-$AH95-$AG95-$AF95-$AE95*(1+GC$3))/$AJ95,'Технический лист'!$A:$B,2,1),(GB95-0.05)))</f>
        <v/>
      </c>
      <c r="GD95" s="172">
        <f>MIN(1,MAX(VLOOKUP(($AJ95-$AI95-$AH95-$AG95-$AF95-$AE95*(1+GD$3))/$AJ95,'Технический лист'!$A:$B,2,1),(GC95-0.05)))</f>
        <v/>
      </c>
      <c r="GE95" s="172">
        <f>MIN(1,MAX(VLOOKUP(($AJ95-$AI95-$AH95-$AG95-$AF95-$AE95*(1+GE$3))/$AJ95,'Технический лист'!$A:$B,2,1),(GD95-0.05)))</f>
        <v/>
      </c>
      <c r="GF95" s="172">
        <f>MIN(1,MAX(VLOOKUP(($AJ95-$AI95-$AH95-$AG95-$AF95-$AE95*(1+GF$3))/$AJ95,'Технический лист'!$A:$B,2,1),(GE95-0.05)))</f>
        <v/>
      </c>
      <c r="GG95" s="172">
        <f>MIN(1,MAX(VLOOKUP(($AJ95-$AI95-$AH95-$AG95-$AF95-$AE95*(1+GG$3))/$AJ95,'Технический лист'!$A:$B,2,1),(GF95-0.05)))</f>
        <v/>
      </c>
      <c r="GH95" s="172">
        <f>MIN(1,MAX(VLOOKUP(($AJ95-$AI95-$AH95-$AG95-$AF95-$AE95*(1+GH$3))/$AJ95,'Технический лист'!$A:$B,2,1),(GG95-0.05)))</f>
        <v/>
      </c>
      <c r="GI95" s="172">
        <f>MIN(1,MAX(VLOOKUP(($AJ95-$AI95-$AH95-$AG95-$AF95-$AE95*(1+GI$3))/$AJ95,'Технический лист'!$A:$B,2,1),(GH95-0.05)))</f>
        <v/>
      </c>
      <c r="GJ95" s="172">
        <f>MIN(1,MAX(VLOOKUP(($AJ95-$AI95-$AH95-$AG95-$AF95-$AE95*(1+GJ$3))/$AJ95,'Технический лист'!$A:$B,2,1),(GI95-0.05)))</f>
        <v/>
      </c>
      <c r="GK95" s="172">
        <f>MIN(1,MAX(VLOOKUP(($AJ95-$AI95-$AH95-$AG95-$AF95-$AE95*(1+GK$3))/$AJ95,'Технический лист'!$A:$B,2,1),(GJ95-0.05)))</f>
        <v/>
      </c>
      <c r="GL95" s="172">
        <f>MIN(1,MAX(VLOOKUP(($AJ95-$AI95-$AH95-$AG95-$AF95-$AE95*(1+GL$3))/$AJ95,'Технический лист'!$A:$B,2,1),(GK95-0.05)))</f>
        <v/>
      </c>
      <c r="GM95" s="172">
        <f>MIN(1,MAX(VLOOKUP(($AJ95-$AI95-$AH95-$AG95-$AF95-$AE95*(1+GM$3))/$AJ95,'Технический лист'!$A:$B,2,1),(GL95-0.05)))</f>
        <v/>
      </c>
      <c r="GN95" s="172">
        <f>MIN(1,MAX(VLOOKUP(($AJ95-$AI95-$AH95-$AG95-$AF95-$AE95*(1+GN$3))/$AJ95,'Технический лист'!$A:$B,2,1),(GM95-0.05)))</f>
        <v/>
      </c>
      <c r="GO95" s="172">
        <f>MIN(1,MAX(VLOOKUP(($AJ95-$AI95-$AH95-$AG95-$AF95-$AE95*(1+GO$3))/$AJ95,'Технический лист'!$A:$B,2,1),(GN95-0.05)))</f>
        <v/>
      </c>
      <c r="GP95" s="172">
        <f>MIN(1,MAX(VLOOKUP(($AJ95-$AI95-$AH95-$AG95-$AF95-$AE95*(1+GP$3))/$AJ95,'Технический лист'!$A:$B,2,1),(GO95-0.05)))</f>
        <v/>
      </c>
      <c r="GQ95" s="172">
        <f>MIN(1,MAX(VLOOKUP(($AJ95-$AI95-$AH95-$AG95-$AF95-$AE95*(1+GQ$3))/$AJ95,'Технический лист'!$A:$B,2,1),(GP95-0.05)))</f>
        <v/>
      </c>
      <c r="GR95" s="172">
        <f>MIN(1,MAX(VLOOKUP(($AJ95-$AI95-$AH95-$AG95-$AF95-$AE95*(1+GR$3))/$AJ95,'Технический лист'!$A:$B,2,1),(GQ95-0.05)))</f>
        <v/>
      </c>
      <c r="GS95" s="172">
        <f>MIN(1,MAX(VLOOKUP(($AJ95-$AI95-$AH95-$AG95-$AF95-$AE95*(1+GS$3))/$AJ95,'Технический лист'!$A:$B,2,1),(GR95-0.05)))</f>
        <v/>
      </c>
      <c r="GT95" s="172">
        <f>MIN(1,MAX(VLOOKUP(($AJ95-$AI95-$AH95-$AG95-$AF95-$AE95*(1+GT$3))/$AJ95,'Технический лист'!$A:$B,2,1),(GS95-0.05)))</f>
        <v/>
      </c>
      <c r="GU95" s="172">
        <f>MIN(1,MAX(VLOOKUP(($AJ95-$AI95-$AH95-$AG95-$AF95-$AE95*(1+GU$3))/$AJ95,'Технический лист'!$A:$B,2,1),(GT95-0.05)))</f>
        <v/>
      </c>
      <c r="GV95" s="172">
        <f>MIN(1,MAX(VLOOKUP(($AJ95-$AI95-$AH95-$AG95-$AF95-$AE95*(1+GV$3))/$AJ95,'Технический лист'!$A:$B,2,1),(GU95-0.05)))</f>
        <v/>
      </c>
      <c r="GW95" s="172">
        <f>MIN(1,MAX(VLOOKUP(($AJ95-$AI95-$AH95-$AG95-$AF95-$AE95*(1+GW$3))/$AJ95,'Технический лист'!$A:$B,2,1),(GV95-0.05)))</f>
        <v/>
      </c>
      <c r="GX95" s="172">
        <f>MIN(1,MAX(VLOOKUP(($AJ95-$AI95-$AH95-$AG95-$AF95-$AE95*(1+GX$3))/$AJ95,'Технический лист'!$A:$B,2,1),(GW95-0.05)))</f>
        <v/>
      </c>
      <c r="GY95" s="172">
        <f>MIN(1,MAX(VLOOKUP(($AJ95-$AI95-$AH95-$AG95-$AF95-$AE95*(1+GY$3))/$AJ95,'Технический лист'!$A:$B,2,1),(GX95-0.05)))</f>
        <v/>
      </c>
      <c r="GZ95" s="172">
        <f>MIN(1,MAX(VLOOKUP(($AJ95-$AI95-$AH95-$AG95-$AF95-$AE95*(1+GZ$3))/$AJ95,'Технический лист'!$A:$B,2,1),(GY95-0.05)))</f>
        <v/>
      </c>
      <c r="HA95" s="172">
        <f>MIN(1,MAX(VLOOKUP(($AJ95-$AI95-$AH95-$AG95-$AF95-$AE95*(1+HA$3))/$AJ95,'Технический лист'!$A:$B,2,1),(GZ95-0.05)))</f>
        <v/>
      </c>
      <c r="HB95" s="172">
        <f>MIN(1,MAX(VLOOKUP(($AJ95-$AI95-$AH95-$AG95-$AF95-$AE95*(1+HB$3))/$AJ95,'Технический лист'!$A:$B,2,1),(HA95-0.05)))</f>
        <v/>
      </c>
      <c r="HC95" s="172">
        <f>MIN(1,MAX(VLOOKUP(($AJ95-$AI95-$AH95-$AG95-$AF95-$AE95*(1+HC$3))/$AJ95,'Технический лист'!$A:$B,2,1),(HB95-0.05)))</f>
        <v/>
      </c>
      <c r="HD95" s="172">
        <f>MIN(1,MAX(VLOOKUP(($AJ95-$AI95-$AH95-$AG95-$AF95-$AE95*(1+HD$3))/$AJ95,'Технический лист'!$A:$B,2,1),(HC95-0.05)))</f>
        <v/>
      </c>
      <c r="HE95" s="172">
        <f>MIN(1,MAX(VLOOKUP(($AJ95-$AI95-$AH95-$AG95-$AF95-$AE95*(1+HE$3))/$AJ95,'Технический лист'!$A:$B,2,1),(HD95-0.05)))</f>
        <v/>
      </c>
      <c r="HF95" s="172">
        <f>MIN(1,MAX(VLOOKUP(($AJ95-$AI95-$AH95-$AG95-$AF95-$AE95*(1+HF$3))/$AJ95,'Технический лист'!$A:$B,2,1),(HE95-0.05)))</f>
        <v/>
      </c>
      <c r="HG95" s="172">
        <f>MIN(1,MAX(VLOOKUP(($AJ95-$AI95-$AH95-$AG95-$AF95-$AE95*(1+HG$3))/$AJ95,'Технический лист'!$A:$B,2,1),(HF95-0.05)))</f>
        <v/>
      </c>
      <c r="HH95" s="172">
        <f>MIN(1,MAX(VLOOKUP(($AJ95-$AI95-$AH95-$AG95-$AF95-$AE95*(1+HH$3))/$AJ95,'Технический лист'!$A:$B,2,1),(HG95-0.05)))</f>
        <v/>
      </c>
      <c r="HI95" s="172">
        <f>MIN(1,MAX(VLOOKUP(($AJ95-$AI95-$AH95-$AG95-$AF95-$AE95*(1+HI$3))/$AJ95,'Технический лист'!$A:$B,2,1),(HH95-0.05)))</f>
        <v/>
      </c>
      <c r="HJ95" s="172">
        <f>MIN(1,MAX(VLOOKUP(($AJ95-$AI95-$AH95-$AG95-$AF95-$AE95*(1+HJ$3))/$AJ95,'Технический лист'!$A:$B,2,1),(HI95-0.05)))</f>
        <v/>
      </c>
      <c r="HK95" s="172">
        <f>MIN(1,MAX(VLOOKUP(($AJ95-$AI95-$AH95-$AG95-$AF95-$AE95*(1+HK$3))/$AJ95,'Технический лист'!$A:$B,2,1),(HJ95-0.05)))</f>
        <v/>
      </c>
      <c r="HL95" s="172">
        <f>MIN(1,MAX(VLOOKUP(($AJ95-$AI95-$AH95-$AG95-$AF95-$AE95*(1+HL$3))/$AJ95,'Технический лист'!$A:$B,2,1),(HK95-0.05)))</f>
        <v/>
      </c>
      <c r="HM95" s="172">
        <f>MIN(1,MAX(VLOOKUP(($AJ95-$AI95-$AH95-$AG95-$AF95-$AE95*(1+HM$3))/$AJ95,'Технический лист'!$A:$B,2,1),(HL95-0.05)))</f>
        <v/>
      </c>
      <c r="HN95" s="172">
        <f>MIN(1,MAX(VLOOKUP(($AJ95-$AI95-$AH95-$AG95-$AF95-$AE95*(1+HN$3))/$AJ95,'Технический лист'!$A:$B,2,1),(HM95-0.05)))</f>
        <v/>
      </c>
      <c r="HO95" s="172">
        <f>MIN(1,MAX(VLOOKUP(($AJ95-$AI95-$AH95-$AG95-$AF95-$AE95*(1+HO$3))/$AJ95,'Технический лист'!$A:$B,2,1),(HN95-0.05)))</f>
        <v/>
      </c>
      <c r="HP95" s="172">
        <f>MIN(1,MAX(VLOOKUP(($AJ95-$AI95-$AH95-$AG95-$AF95-$AE95*(1+HP$3))/$AJ95,'Технический лист'!$A:$B,2,1),(HO95-0.05)))</f>
        <v/>
      </c>
      <c r="HQ95" s="172">
        <f>MIN(1,MAX(VLOOKUP(($AJ95-$AI95-$AH95-$AG95-$AF95-$AE95*(1+HQ$3))/$AJ95,'Технический лист'!$A:$B,2,1),(HP95-0.05)))</f>
        <v/>
      </c>
      <c r="HR95" s="172">
        <f>MIN(1,MAX(VLOOKUP(($AJ95-$AI95-$AH95-$AG95-$AF95-$AE95*(1+HR$3))/$AJ95,'Технический лист'!$A:$B,2,1),(HQ95-0.05)))</f>
        <v/>
      </c>
      <c r="HS95" s="172">
        <f>MIN(1,MAX(VLOOKUP(($AJ95-$AI95-$AH95-$AG95-$AF95-$AE95*(1+HS$3))/$AJ95,'Технический лист'!$A:$B,2,1),(HR95-0.05)))</f>
        <v/>
      </c>
      <c r="HT95" s="172">
        <f>MIN(1,MAX(VLOOKUP(($AJ95-$AI95-$AH95-$AG95-$AF95-$AE95*(1+HT$3))/$AJ95,'Технический лист'!$A:$B,2,1),(HS95-0.05)))</f>
        <v/>
      </c>
      <c r="HU95" s="172">
        <f>MIN(1,MAX(VLOOKUP(($AJ95-$AI95-$AH95-$AG95-$AF95-$AE95*(1+HU$3))/$AJ95,'Технический лист'!$A:$B,2,1),(HT95-0.05)))</f>
        <v/>
      </c>
      <c r="HV95" s="172">
        <f>MIN(1,MAX(VLOOKUP(($AJ95-$AI95-$AH95-$AG95-$AF95-$AE95*(1+HV$3))/$AJ95,'Технический лист'!$A:$B,2,1),(HU95-0.05)))</f>
        <v/>
      </c>
      <c r="HW95" s="172">
        <f>MIN(1,MAX(VLOOKUP(($AJ95-$AI95-$AH95-$AG95-$AF95-$AE95*(1+HW$3))/$AJ95,'Технический лист'!$A:$B,2,1),(HV95-0.05)))</f>
        <v/>
      </c>
      <c r="HX95" s="172">
        <f>MIN(1,MAX(VLOOKUP(($AJ95-$AI95-$AH95-$AG95-$AF95-$AE95*(1+HX$3))/$AJ95,'Технический лист'!$A:$B,2,1),(HW95-0.05)))</f>
        <v/>
      </c>
      <c r="HY95" s="172">
        <f>MIN(1,MAX(VLOOKUP(($AJ95-$AI95-$AH95-$AG95-$AF95-$AE95*(1+HY$3))/$AJ95,'Технический лист'!$A:$B,2,1),(HX95-0.05)))</f>
        <v/>
      </c>
      <c r="HZ95" s="172">
        <f>MIN(1,MAX(VLOOKUP(($AJ95-$AI95-$AH95-$AG95-$AF95-$AE95*(1+HZ$3))/$AJ95,'Технический лист'!$A:$B,2,1),(HY95-0.05)))</f>
        <v/>
      </c>
      <c r="IA95" s="172">
        <f>MIN(1,MAX(VLOOKUP(($AJ95-$AI95-$AH95-$AG95-$AF95-$AE95*(1+IA$3))/$AJ95,'Технический лист'!$A:$B,2,1),(HZ95-0.05)))</f>
        <v/>
      </c>
      <c r="IB95" s="172">
        <f>MIN(1,MAX(VLOOKUP(($AJ95-$AI95-$AH95-$AG95-$AF95-$AE95*(1+IB$3))/$AJ95,'Технический лист'!$A:$B,2,1),(IA95-0.05)))</f>
        <v/>
      </c>
      <c r="IC95" s="172">
        <f>MIN(1,MAX(VLOOKUP(($AJ95-$AI95-$AH95-$AG95-$AF95-$AE95*(1+IC$3))/$AJ95,'Технический лист'!$A:$B,2,1),(IB95-0.05)))</f>
        <v/>
      </c>
      <c r="ID95" s="172">
        <f>MIN(1,MAX(VLOOKUP(($AJ95-$AI95-$AH95-$AG95-$AF95-$AE95*(1+ID$3))/$AJ95,'Технический лист'!$A:$B,2,1),(IC95-0.05)))</f>
        <v/>
      </c>
      <c r="IE95" s="172">
        <f>MIN(1,MAX(VLOOKUP(($AJ95-$AI95-$AH95-$AG95-$AF95-$AE95*(1+IE$3))/$AJ95,'Технический лист'!$A:$B,2,1),(ID95-0.05)))</f>
        <v/>
      </c>
      <c r="IF95" s="172">
        <f>MIN(1,MAX(VLOOKUP(($AJ95-$AI95-$AH95-$AG95-$AF95-$AE95*(1+IF$3))/$AJ95,'Технический лист'!$A:$B,2,1),(IE95-0.05)))</f>
        <v/>
      </c>
      <c r="IG95" s="172">
        <f>MIN(1,MAX(VLOOKUP(($AJ95-$AI95-$AH95-$AG95-$AF95-$AE95*(1+IG$3))/$AJ95,'Технический лист'!$A:$B,2,1),(IF95-0.05)))</f>
        <v/>
      </c>
      <c r="IH95" s="172">
        <f>MIN(1,MAX(VLOOKUP(($AJ95-$AI95-$AH95-$AG95-$AF95-$AE95*(1+IH$3))/$AJ95,'Технический лист'!$A:$B,2,1),(IG95-0.05)))</f>
        <v/>
      </c>
      <c r="II95" s="172">
        <f>MIN(1,MAX(VLOOKUP(($AJ95-$AI95-$AH95-$AG95-$AF95-$AE95*(1+II$3))/$AJ95,'Технический лист'!$A:$B,2,1),(IH95-0.05)))</f>
        <v/>
      </c>
      <c r="IJ95" s="172">
        <f>MIN(1,MAX(VLOOKUP(($AJ95-$AI95-$AH95-$AG95-$AF95-$AE95*(1+IJ$3))/$AJ95,'Технический лист'!$A:$B,2,1),(II95-0.05)))</f>
        <v/>
      </c>
      <c r="IK95" s="172">
        <f>MIN(1,MAX(VLOOKUP(($AJ95-$AI95-$AH95-$AG95-$AF95-$AE95*(1+IK$3))/$AJ95,'Технический лист'!$A:$B,2,1),(IJ95-0.05)))</f>
        <v/>
      </c>
      <c r="IL95" s="172">
        <f>MIN(1,MAX(VLOOKUP(($AJ95-$AI95-$AH95-$AG95-$AF95-$AE95*(1+IL$3))/$AJ95,'Технический лист'!$A:$B,2,1),(IK95-0.05)))</f>
        <v/>
      </c>
      <c r="IM95" s="172">
        <f>MIN(1,MAX(VLOOKUP(($AJ95-$AI95-$AH95-$AG95-$AF95-$AE95*(1+IM$3))/$AJ95,'Технический лист'!$A:$B,2,1),(IL95-0.05)))</f>
        <v/>
      </c>
      <c r="IN95" s="172">
        <f>MIN(1,MAX(VLOOKUP(($AJ95-$AI95-$AH95-$AG95-$AF95-$AE95*(1+IN$3))/$AJ95,'Технический лист'!$A:$B,2,1),(IM95-0.05)))</f>
        <v/>
      </c>
      <c r="IO95" s="172">
        <f>MIN(1,MAX(VLOOKUP(($AJ95-$AI95-$AH95-$AG95-$AF95-$AE95*(1+IO$3))/$AJ95,'Технический лист'!$A:$B,2,1),(IN95-0.05)))</f>
        <v/>
      </c>
      <c r="IP95" s="172">
        <f>MIN(1,MAX(VLOOKUP(($AJ95-$AI95-$AH95-$AG95-$AF95-$AE95*(1+IP$3))/$AJ95,'Технический лист'!$A:$B,2,1),(IO95-0.05)))</f>
        <v/>
      </c>
      <c r="IQ95" s="172">
        <f>MIN(1,MAX(VLOOKUP(($AJ95-$AI95-$AH95-$AG95-$AF95-$AE95*(1+IQ$3))/$AJ95,'Технический лист'!$A:$B,2,1),(IP95-0.05)))</f>
        <v/>
      </c>
      <c r="IR95" s="172">
        <f>MIN(1,MAX(VLOOKUP(($AJ95-$AI95-$AH95-$AG95-$AF95-$AE95*(1+IR$3))/$AJ95,'Технический лист'!$A:$B,2,1),(IQ95-0.05)))</f>
        <v/>
      </c>
    </row>
    <row r="96" ht="43.75" customHeight="1" s="123">
      <c r="A96" s="89" t="inlineStr">
        <is>
          <t>ЧМ (продукция)</t>
        </is>
      </c>
      <c r="B96" s="90" t="n">
        <v>5</v>
      </c>
      <c r="C96" s="5" t="inlineStr">
        <is>
          <t>Черные металлы</t>
        </is>
      </c>
      <c r="D96" s="91" t="n">
        <v>31405</v>
      </c>
      <c r="E96" s="91" t="inlineStr">
        <is>
          <t xml:space="preserve">Заготовка стальная, не поименованная в алфавите </t>
        </is>
      </c>
      <c r="F96" s="92" t="inlineStr">
        <is>
          <t>ЗАГОТОВКИ СТАЛЬНЫЕ</t>
        </is>
      </c>
      <c r="G96" s="91" t="inlineStr">
        <is>
          <t>МСК</t>
        </is>
      </c>
      <c r="H96" s="91" t="inlineStr">
        <is>
          <t>МСК</t>
        </is>
      </c>
      <c r="I96" s="91" t="inlineStr">
        <is>
          <t>ВОРСИНО</t>
        </is>
      </c>
      <c r="J96" s="91" t="inlineStr">
        <is>
          <t>КРАСНОЕ-ЭКСП</t>
        </is>
      </c>
      <c r="K96" s="91" t="n">
        <v>479</v>
      </c>
      <c r="L96" s="91" t="inlineStr">
        <is>
          <t>Полувагоны</t>
        </is>
      </c>
      <c r="M96" s="91" t="inlineStr">
        <is>
          <t>Экспорт</t>
        </is>
      </c>
      <c r="N96" s="91" t="inlineStr">
        <is>
          <t>вагонная</t>
        </is>
      </c>
      <c r="O96" s="91" t="inlineStr">
        <is>
          <t xml:space="preserve">Северо-Западное </t>
        </is>
      </c>
      <c r="P96" s="89" t="inlineStr">
        <is>
          <t>'000072809061</t>
        </is>
      </c>
      <c r="Q96" s="97" t="inlineStr">
        <is>
          <t>'ООО "НЛМК-Калуга"</t>
        </is>
      </c>
      <c r="R96" s="91" t="inlineStr">
        <is>
          <t>ООО "УК"ПМХ"</t>
        </is>
      </c>
      <c r="S96" s="87" t="n">
        <v>75861</v>
      </c>
      <c r="T96" s="87" t="n">
        <v>36337296</v>
      </c>
      <c r="U96" s="88" t="n">
        <v>1111</v>
      </c>
      <c r="V96" s="88" t="n">
        <v>0</v>
      </c>
      <c r="W96" s="87" t="n">
        <v>86887217</v>
      </c>
      <c r="X96" s="112" t="n">
        <v>69</v>
      </c>
      <c r="Y96" s="112" t="inlineStr">
        <is>
          <t>групповая</t>
        </is>
      </c>
      <c r="Z96" s="113" t="n">
        <v>4</v>
      </c>
      <c r="AA96" s="113" t="n">
        <v>2</v>
      </c>
      <c r="AB96" s="113" t="n">
        <v>4</v>
      </c>
      <c r="AC96" s="161" t="n">
        <v>1424.86</v>
      </c>
      <c r="AD96" s="161">
        <f>AE96-AC96</f>
        <v/>
      </c>
      <c r="AE96" s="161" t="n">
        <v>1577.52</v>
      </c>
      <c r="AF96" s="162">
        <f>(Z96+AA96+AB96)*'Ставки аренды'!$B$3/X96</f>
        <v/>
      </c>
      <c r="AG96" s="163" t="n">
        <v>0</v>
      </c>
      <c r="AH96" s="164" t="n">
        <v>0</v>
      </c>
      <c r="AI96" s="165">
        <f>50869260/54664255*AJ96</f>
        <v/>
      </c>
      <c r="AJ96" s="166">
        <f>Цены!$C$5*'Курсы валют'!$B$2</f>
        <v/>
      </c>
      <c r="AK96" s="164">
        <f>AJ96/Цены!$B$1</f>
        <v/>
      </c>
      <c r="AL96" s="164">
        <f>AE96+AF96+AG96</f>
        <v/>
      </c>
      <c r="AM96" s="164">
        <f>AJ96-AL96</f>
        <v/>
      </c>
      <c r="AN96" s="164">
        <f>AI96+AH96+AG96+AF96+AE96</f>
        <v/>
      </c>
      <c r="AO96" s="167">
        <f>(AJ96-AN96)/AJ96</f>
        <v/>
      </c>
      <c r="AP96" s="168">
        <f>AL96/AJ96</f>
        <v/>
      </c>
      <c r="AQ96" s="168">
        <f>AE96/AJ96</f>
        <v/>
      </c>
      <c r="AR96" s="168">
        <f>AE96/AL96</f>
        <v/>
      </c>
      <c r="AS96" s="169" t="n">
        <v>1</v>
      </c>
      <c r="AT96" s="121">
        <f>S96*AS96</f>
        <v/>
      </c>
      <c r="AU96" s="83" t="n">
        <v>0.8</v>
      </c>
      <c r="AV96" s="170">
        <f>(AJ96-(AE96*(1+$IS$2)+AF96+AG96+AH96+AI96))/AJ96</f>
        <v/>
      </c>
      <c r="AW96" s="171">
        <f>(AE96*(1+$IS$2)+AF96+AG96)/AJ96</f>
        <v/>
      </c>
      <c r="AX96" s="171">
        <f>(AE96*(1+$IS$2))/AJ96</f>
        <v/>
      </c>
      <c r="AY96" s="171">
        <f>(AE96*(1+$IS$2))/(AE96*(1+$IS$2)+AF96+AG96)</f>
        <v/>
      </c>
      <c r="AZ96" s="172">
        <f>MIN(IF($AU96=100%,1,1+VLOOKUP(($AJ96-$AI96-$AH96-$AG96-$AF96-$AE96*(1+AZ$3))/$AJ96,'Технический лист'!$I:$J,2,1)-VLOOKUP($AO96,'Технический лист'!$I:$J,2,1)),1+(1-$AU96))</f>
        <v/>
      </c>
      <c r="BA96" s="172">
        <f>MIN(IF($AU96=100%,1,1+VLOOKUP(($AJ96-$AI96-$AH96-$AG96-$AF96-$AE96*(1+BA$3))/$AJ96,'Технический лист'!$I:$J,2,1)-VLOOKUP($AO96,'Технический лист'!$I:$J,2,1)),1+(1-$AU96))</f>
        <v/>
      </c>
      <c r="BB96" s="172">
        <f>MIN(IF($AU96=100%,1,1+VLOOKUP(($AJ96-$AI96-$AH96-$AG96-$AF96-$AE96*(1+BB$3))/$AJ96,'Технический лист'!$I:$J,2,1)-VLOOKUP($AO96,'Технический лист'!$I:$J,2,1)),1+(1-$AU96))</f>
        <v/>
      </c>
      <c r="BC96" s="172">
        <f>MIN(IF($AU96=100%,1,1+VLOOKUP(($AJ96-$AI96-$AH96-$AG96-$AF96-$AE96*(1+BC$3))/$AJ96,'Технический лист'!$I:$J,2,1)-VLOOKUP($AO96,'Технический лист'!$I:$J,2,1)),1+(1-$AU96))</f>
        <v/>
      </c>
      <c r="BD96" s="172">
        <f>MIN(IF($AU96=100%,1,1+VLOOKUP(($AJ96-$AI96-$AH96-$AG96-$AF96-$AE96*(1+BD$3))/$AJ96,'Технический лист'!$I:$J,2,1)-VLOOKUP($AO96,'Технический лист'!$I:$J,2,1)),1+(1-$AU96))</f>
        <v/>
      </c>
      <c r="BE96" s="172">
        <f>MIN(IF($AU96=100%,1,1+VLOOKUP(($AJ96-$AI96-$AH96-$AG96-$AF96-$AE96*(1+BE$3))/$AJ96,'Технический лист'!$I:$J,2,1)-VLOOKUP($AO96,'Технический лист'!$I:$J,2,1)),1+(1-$AU96))</f>
        <v/>
      </c>
      <c r="BF96" s="172">
        <f>MIN(IF($AU96=100%,1,1+VLOOKUP(($AJ96-$AI96-$AH96-$AG96-$AF96-$AE96*(1+BF$3))/$AJ96,'Технический лист'!$I:$J,2,1)-VLOOKUP($AO96,'Технический лист'!$I:$J,2,1)),1+(1-$AU96))</f>
        <v/>
      </c>
      <c r="BG96" s="172">
        <f>MIN(IF($AU96=100%,1,1+VLOOKUP(($AJ96-$AI96-$AH96-$AG96-$AF96-$AE96*(1+BG$3))/$AJ96,'Технический лист'!$I:$J,2,1)-VLOOKUP($AO96,'Технический лист'!$I:$J,2,1)),1+(1-$AU96))</f>
        <v/>
      </c>
      <c r="BH96" s="172">
        <f>MIN(IF($AU96=100%,1,1+VLOOKUP(($AJ96-$AI96-$AH96-$AG96-$AF96-$AE96*(1+BH$3))/$AJ96,'Технический лист'!$I:$J,2,1)-VLOOKUP($AO96,'Технический лист'!$I:$J,2,1)),1+(1-$AU96))</f>
        <v/>
      </c>
      <c r="BI96" s="172">
        <f>MIN(IF($AU96=100%,1,1+VLOOKUP(($AJ96-$AI96-$AH96-$AG96-$AF96-$AE96*(1+BI$3))/$AJ96,'Технический лист'!$I:$J,2,1)-VLOOKUP($AO96,'Технический лист'!$I:$J,2,1)),1+(1-$AU96))</f>
        <v/>
      </c>
      <c r="BJ96" s="172">
        <f>MIN(IF($AU96=100%,1,1+VLOOKUP(($AJ96-$AI96-$AH96-$AG96-$AF96-$AE96*(1+BJ$3))/$AJ96,'Технический лист'!$I:$J,2,1)-VLOOKUP($AO96,'Технический лист'!$I:$J,2,1)),1+(1-$AU96))</f>
        <v/>
      </c>
      <c r="BK96" s="172">
        <f>MIN(IF($AU96=100%,1,1+VLOOKUP(($AJ96-$AI96-$AH96-$AG96-$AF96-$AE96*(1+BK$3))/$AJ96,'Технический лист'!$I:$J,2,1)-VLOOKUP($AO96,'Технический лист'!$I:$J,2,1)),1+(1-$AU96))</f>
        <v/>
      </c>
      <c r="BL96" s="172">
        <f>MIN(IF($AU96=100%,1,1+VLOOKUP(($AJ96-$AI96-$AH96-$AG96-$AF96-$AE96*(1+BL$3))/$AJ96,'Технический лист'!$I:$J,2,1)-VLOOKUP($AO96,'Технический лист'!$I:$J,2,1)),1+(1-$AU96))</f>
        <v/>
      </c>
      <c r="BM96" s="172">
        <f>MIN(IF($AU96=100%,1,1+VLOOKUP(($AJ96-$AI96-$AH96-$AG96-$AF96-$AE96*(1+BM$3))/$AJ96,'Технический лист'!$I:$J,2,1)-VLOOKUP($AO96,'Технический лист'!$I:$J,2,1)),1+(1-$AU96))</f>
        <v/>
      </c>
      <c r="BN96" s="172">
        <f>MIN(IF($AU96=100%,1,1+VLOOKUP(($AJ96-$AI96-$AH96-$AG96-$AF96-$AE96*(1+BN$3))/$AJ96,'Технический лист'!$I:$J,2,1)-VLOOKUP($AO96,'Технический лист'!$I:$J,2,1)),1+(1-$AU96))</f>
        <v/>
      </c>
      <c r="BO96" s="172">
        <f>MIN(IF($AU96=100%,1,1+VLOOKUP(($AJ96-$AI96-$AH96-$AG96-$AF96-$AE96*(1+BO$3))/$AJ96,'Технический лист'!$I:$J,2,1)-VLOOKUP($AO96,'Технический лист'!$I:$J,2,1)),1+(1-$AU96))</f>
        <v/>
      </c>
      <c r="BP96" s="172">
        <f>MIN(IF($AU96=100%,1,1+VLOOKUP(($AJ96-$AI96-$AH96-$AG96-$AF96-$AE96*(1+BP$3))/$AJ96,'Технический лист'!$I:$J,2,1)-VLOOKUP($AO96,'Технический лист'!$I:$J,2,1)),1+(1-$AU96))</f>
        <v/>
      </c>
      <c r="BQ96" s="172">
        <f>MIN(IF($AU96=100%,1,1+VLOOKUP(($AJ96-$AI96-$AH96-$AG96-$AF96-$AE96*(1+BQ$3))/$AJ96,'Технический лист'!$I:$J,2,1)-VLOOKUP($AO96,'Технический лист'!$I:$J,2,1)),1+(1-$AU96))</f>
        <v/>
      </c>
      <c r="BR96" s="172">
        <f>MIN(IF($AU96=100%,1,1+VLOOKUP(($AJ96-$AI96-$AH96-$AG96-$AF96-$AE96*(1+BR$3))/$AJ96,'Технический лист'!$I:$J,2,1)-VLOOKUP($AO96,'Технический лист'!$I:$J,2,1)),1+(1-$AU96))</f>
        <v/>
      </c>
      <c r="BS96" s="172">
        <f>MIN(IF($AU96=100%,1,1+VLOOKUP(($AJ96-$AI96-$AH96-$AG96-$AF96-$AE96*(1+BS$3))/$AJ96,'Технический лист'!$I:$J,2,1)-VLOOKUP($AO96,'Технический лист'!$I:$J,2,1)),1+(1-$AU96))</f>
        <v/>
      </c>
      <c r="BT96" s="172">
        <f>MIN(IF($AU96=100%,1,1+VLOOKUP(($AJ96-$AI96-$AH96-$AG96-$AF96-$AE96*(1+BT$3))/$AJ96,'Технический лист'!$I:$J,2,1)-VLOOKUP($AO96,'Технический лист'!$I:$J,2,1)),1+(1-$AU96))</f>
        <v/>
      </c>
      <c r="BU96" s="172">
        <f>MIN(IF($AU96=100%,1,1+VLOOKUP(($AJ96-$AI96-$AH96-$AG96-$AF96-$AE96*(1+BU$3))/$AJ96,'Технический лист'!$I:$J,2,1)-VLOOKUP($AO96,'Технический лист'!$I:$J,2,1)),1+(1-$AU96))</f>
        <v/>
      </c>
      <c r="BV96" s="172">
        <f>MIN(IF($AU96=100%,1,1+VLOOKUP(($AJ96-$AI96-$AH96-$AG96-$AF96-$AE96*(1+BV$3))/$AJ96,'Технический лист'!$I:$J,2,1)-VLOOKUP($AO96,'Технический лист'!$I:$J,2,1)),1+(1-$AU96))</f>
        <v/>
      </c>
      <c r="BW96" s="172">
        <f>MIN(IF($AU96=100%,1,1+VLOOKUP(($AJ96-$AI96-$AH96-$AG96-$AF96-$AE96*(1+BW$3))/$AJ96,'Технический лист'!$I:$J,2,1)-VLOOKUP($AO96,'Технический лист'!$I:$J,2,1)),1+(1-$AU96))</f>
        <v/>
      </c>
      <c r="BX96" s="172">
        <f>MIN(IF($AU96=100%,1,1+VLOOKUP(($AJ96-$AI96-$AH96-$AG96-$AF96-$AE96*(1+BX$3))/$AJ96,'Технический лист'!$I:$J,2,1)-VLOOKUP($AO96,'Технический лист'!$I:$J,2,1)),1+(1-$AU96))</f>
        <v/>
      </c>
      <c r="BY96" s="172">
        <f>MIN(IF($AU96=100%,1,1+VLOOKUP(($AJ96-$AI96-$AH96-$AG96-$AF96-$AE96*(1+BY$3))/$AJ96,'Технический лист'!$I:$J,2,1)-VLOOKUP($AO96,'Технический лист'!$I:$J,2,1)),1+(1-$AU96))</f>
        <v/>
      </c>
      <c r="BZ96" s="172">
        <f>MIN(IF($AU96=100%,1,1+VLOOKUP(($AJ96-$AI96-$AH96-$AG96-$AF96-$AE96*(1+BZ$3))/$AJ96,'Технический лист'!$I:$J,2,1)-VLOOKUP($AO96,'Технический лист'!$I:$J,2,1)),1+(1-$AU96))</f>
        <v/>
      </c>
      <c r="CA96" s="172">
        <f>MIN(IF($AU96=100%,1,1+VLOOKUP(($AJ96-$AI96-$AH96-$AG96-$AF96-$AE96*(1+CA$3))/$AJ96,'Технический лист'!$I:$J,2,1)-VLOOKUP($AO96,'Технический лист'!$I:$J,2,1)),1+(1-$AU96))</f>
        <v/>
      </c>
      <c r="CB96" s="172">
        <f>MIN(IF($AU96=100%,1,1+VLOOKUP(($AJ96-$AI96-$AH96-$AG96-$AF96-$AE96*(1+CB$3))/$AJ96,'Технический лист'!$I:$J,2,1)-VLOOKUP($AO96,'Технический лист'!$I:$J,2,1)),1+(1-$AU96))</f>
        <v/>
      </c>
      <c r="CC96" s="172">
        <f>MIN(IF($AU96=100%,1,1+VLOOKUP(($AJ96-$AI96-$AH96-$AG96-$AF96-$AE96*(1+CC$3))/$AJ96,'Технический лист'!$I:$J,2,1)-VLOOKUP($AO96,'Технический лист'!$I:$J,2,1)),1+(1-$AU96))</f>
        <v/>
      </c>
      <c r="CD96" s="172">
        <f>MIN(IF($AU96=100%,1,1+VLOOKUP(($AJ96-$AI96-$AH96-$AG96-$AF96-$AE96*(1+CD$3))/$AJ96,'Технический лист'!$I:$J,2,1)-VLOOKUP($AO96,'Технический лист'!$I:$J,2,1)),1+(1-$AU96))</f>
        <v/>
      </c>
      <c r="CE96" s="172">
        <f>MIN(IF($AU96=100%,1,1+VLOOKUP(($AJ96-$AI96-$AH96-$AG96-$AF96-$AE96*(1+CE$3))/$AJ96,'Технический лист'!$I:$J,2,1)-VLOOKUP($AO96,'Технический лист'!$I:$J,2,1)),1+(1-$AU96))</f>
        <v/>
      </c>
      <c r="CF96" s="172">
        <f>MIN(IF($AU96=100%,1,1+VLOOKUP(($AJ96-$AI96-$AH96-$AG96-$AF96-$AE96*(1+CF$3))/$AJ96,'Технический лист'!$I:$J,2,1)-VLOOKUP($AO96,'Технический лист'!$I:$J,2,1)),1+(1-$AU96))</f>
        <v/>
      </c>
      <c r="CG96" s="172">
        <f>MIN(IF($AU96=100%,1,1+VLOOKUP(($AJ96-$AI96-$AH96-$AG96-$AF96-$AE96*(1+CG$3))/$AJ96,'Технический лист'!$I:$J,2,1)-VLOOKUP($AO96,'Технический лист'!$I:$J,2,1)),1+(1-$AU96))</f>
        <v/>
      </c>
      <c r="CH96" s="172">
        <f>MIN(IF($AU96=100%,1,1+VLOOKUP(($AJ96-$AI96-$AH96-$AG96-$AF96-$AE96*(1+CH$3))/$AJ96,'Технический лист'!$I:$J,2,1)-VLOOKUP($AO96,'Технический лист'!$I:$J,2,1)),1+(1-$AU96))</f>
        <v/>
      </c>
      <c r="CI96" s="172">
        <f>MIN(IF($AU96=100%,1,1+VLOOKUP(($AJ96-$AI96-$AH96-$AG96-$AF96-$AE96*(1+CI$3))/$AJ96,'Технический лист'!$I:$J,2,1)-VLOOKUP($AO96,'Технический лист'!$I:$J,2,1)),1+(1-$AU96))</f>
        <v/>
      </c>
      <c r="CJ96" s="172">
        <f>MIN(IF($AU96=100%,1,1+VLOOKUP(($AJ96-$AI96-$AH96-$AG96-$AF96-$AE96*(1+CJ$3))/$AJ96,'Технический лист'!$I:$J,2,1)-VLOOKUP($AO96,'Технический лист'!$I:$J,2,1)),1+(1-$AU96))</f>
        <v/>
      </c>
      <c r="CK96" s="172">
        <f>MIN(IF($AU96=100%,1,1+VLOOKUP(($AJ96-$AI96-$AH96-$AG96-$AF96-$AE96*(1+CK$3))/$AJ96,'Технический лист'!$I:$J,2,1)-VLOOKUP($AO96,'Технический лист'!$I:$J,2,1)),1+(1-$AU96))</f>
        <v/>
      </c>
      <c r="CL96" s="172">
        <f>MIN(IF($AU96=100%,1,1+VLOOKUP(($AJ96-$AI96-$AH96-$AG96-$AF96-$AE96*(1+CL$3))/$AJ96,'Технический лист'!$I:$J,2,1)-VLOOKUP($AO96,'Технический лист'!$I:$J,2,1)),1+(1-$AU96))</f>
        <v/>
      </c>
      <c r="CM96" s="172">
        <f>MIN(IF($AU96=100%,1,1+VLOOKUP(($AJ96-$AI96-$AH96-$AG96-$AF96-$AE96*(1+CM$3))/$AJ96,'Технический лист'!$I:$J,2,1)-VLOOKUP($AO96,'Технический лист'!$I:$J,2,1)),1+(1-$AU96))</f>
        <v/>
      </c>
      <c r="CN96" s="172">
        <f>MIN(IF($AU96=100%,1,1+VLOOKUP(($AJ96-$AI96-$AH96-$AG96-$AF96-$AE96*(1+CN$3))/$AJ96,'Технический лист'!$I:$J,2,1)-VLOOKUP($AO96,'Технический лист'!$I:$J,2,1)),1+(1-$AU96))</f>
        <v/>
      </c>
      <c r="CO96" s="172">
        <f>MIN(IF($AU96=100%,1,1+VLOOKUP(($AJ96-$AI96-$AH96-$AG96-$AF96-$AE96*(1+CO$3))/$AJ96,'Технический лист'!$I:$J,2,1)-VLOOKUP($AO96,'Технический лист'!$I:$J,2,1)),1+(1-$AU96))</f>
        <v/>
      </c>
      <c r="CP96" s="172">
        <f>MIN(IF($AU96=100%,1,1+VLOOKUP(($AJ96-$AI96-$AH96-$AG96-$AF96-$AE96*(1+CP$3))/$AJ96,'Технический лист'!$I:$J,2,1)-VLOOKUP($AO96,'Технический лист'!$I:$J,2,1)),1+(1-$AU96))</f>
        <v/>
      </c>
      <c r="CQ96" s="172">
        <f>MIN(IF($AU96=100%,1,1+VLOOKUP(($AJ96-$AI96-$AH96-$AG96-$AF96-$AE96*(1+CQ$3))/$AJ96,'Технический лист'!$I:$J,2,1)-VLOOKUP($AO96,'Технический лист'!$I:$J,2,1)),1+(1-$AU96))</f>
        <v/>
      </c>
      <c r="CR96" s="172">
        <f>MIN(IF($AU96=100%,1,1+VLOOKUP(($AJ96-$AI96-$AH96-$AG96-$AF96-$AE96*(1+CR$3))/$AJ96,'Технический лист'!$I:$J,2,1)-VLOOKUP($AO96,'Технический лист'!$I:$J,2,1)),1+(1-$AU96))</f>
        <v/>
      </c>
      <c r="CS96" s="172">
        <f>MIN(IF($AU96=100%,1,1+VLOOKUP(($AJ96-$AI96-$AH96-$AG96-$AF96-$AE96*(1+CS$3))/$AJ96,'Технический лист'!$I:$J,2,1)-VLOOKUP($AO96,'Технический лист'!$I:$J,2,1)),1+(1-$AU96))</f>
        <v/>
      </c>
      <c r="CT96" s="172">
        <f>MIN(IF($AU96=100%,1,1+VLOOKUP(($AJ96-$AI96-$AH96-$AG96-$AF96-$AE96*(1+CT$3))/$AJ96,'Технический лист'!$I:$J,2,1)-VLOOKUP($AO96,'Технический лист'!$I:$J,2,1)),1+(1-$AU96))</f>
        <v/>
      </c>
      <c r="CU96" s="172">
        <f>MIN(IF($AU96=100%,1,1+VLOOKUP(($AJ96-$AI96-$AH96-$AG96-$AF96-$AE96*(1+CU$3))/$AJ96,'Технический лист'!$I:$J,2,1)-VLOOKUP($AO96,'Технический лист'!$I:$J,2,1)),1+(1-$AU96))</f>
        <v/>
      </c>
      <c r="CV96" s="172">
        <f>MIN(IF($AU96=100%,1,1+VLOOKUP(($AJ96-$AI96-$AH96-$AG96-$AF96-$AE96*(1+CV$3))/$AJ96,'Технический лист'!$I:$J,2,1)-VLOOKUP($AO96,'Технический лист'!$I:$J,2,1)),1+(1-$AU96))</f>
        <v/>
      </c>
      <c r="CW96" s="172">
        <f>MIN(IF($AU96=100%,1,1+VLOOKUP(($AJ96-$AI96-$AH96-$AG96-$AF96-$AE96*(1+CW$3))/$AJ96,'Технический лист'!$I:$J,2,1)-VLOOKUP($AO96,'Технический лист'!$I:$J,2,1)),1+(1-$AU96))</f>
        <v/>
      </c>
      <c r="CX96" s="172">
        <f>MIN(IF($AU96=100%,1,1+VLOOKUP(($AJ96-$AI96-$AH96-$AG96-$AF96-$AE96*(1+CX$3))/$AJ96,'Технический лист'!$I:$J,2,1)-VLOOKUP($AO96,'Технический лист'!$I:$J,2,1)),1+(1-$AU96))</f>
        <v/>
      </c>
      <c r="CY96" s="172">
        <f>MIN(IF($AU96=100%,1,1+VLOOKUP(($AJ96-$AI96-$AH96-$AG96-$AF96-$AE96*(1+CY$3))/$AJ96,'Технический лист'!$I:$J,2,1)-VLOOKUP($AO96,'Технический лист'!$I:$J,2,1)),1+(1-$AU96))</f>
        <v/>
      </c>
      <c r="CZ96" s="172">
        <f>MIN(IF($AU96=100%,1,1+VLOOKUP(($AJ96-$AI96-$AH96-$AG96-$AF96-$AE96*(1+CZ$3))/$AJ96,'Технический лист'!$I:$J,2,1)-VLOOKUP($AO96,'Технический лист'!$I:$J,2,1)),1+(1-$AU96))</f>
        <v/>
      </c>
      <c r="DA96" s="172">
        <f>MIN(IF($AU96=100%,1,1+VLOOKUP(($AJ96-$AI96-$AH96-$AG96-$AF96-$AE96*(1+DA$3))/$AJ96,'Технический лист'!$I:$J,2,1)-VLOOKUP($AO96,'Технический лист'!$I:$J,2,1)),1+(1-$AU96))</f>
        <v/>
      </c>
      <c r="DB96" s="172">
        <f>MIN(IF($AU96=100%,1,1+VLOOKUP(($AJ96-$AI96-$AH96-$AG96-$AF96-$AE96*(1+DB$3))/$AJ96,'Технический лист'!$I:$J,2,1)-VLOOKUP($AO96,'Технический лист'!$I:$J,2,1)),1+(1-$AU96))</f>
        <v/>
      </c>
      <c r="DC96" s="172">
        <f>MIN(IF($AU96=100%,1,1+VLOOKUP(($AJ96-$AI96-$AH96-$AG96-$AF96-$AE96*(1+DC$3))/$AJ96,'Технический лист'!$I:$J,2,1)-VLOOKUP($AO96,'Технический лист'!$I:$J,2,1)),1+(1-$AU96))</f>
        <v/>
      </c>
      <c r="DD96" s="172">
        <f>MIN(IF($AU96=100%,1,1+VLOOKUP(($AJ96-$AI96-$AH96-$AG96-$AF96-$AE96*(1+DD$3))/$AJ96,'Технический лист'!$I:$J,2,1)-VLOOKUP($AO96,'Технический лист'!$I:$J,2,1)),1+(1-$AU96))</f>
        <v/>
      </c>
      <c r="DE96" s="172">
        <f>MIN(IF($AU96=100%,1,1+VLOOKUP(($AJ96-$AI96-$AH96-$AG96-$AF96-$AE96*(1+DE$3))/$AJ96,'Технический лист'!$I:$J,2,1)-VLOOKUP($AO96,'Технический лист'!$I:$J,2,1)),1+(1-$AU96))</f>
        <v/>
      </c>
      <c r="DF96" s="172">
        <f>MIN(IF($AU96=100%,1,1+VLOOKUP(($AJ96-$AI96-$AH96-$AG96-$AF96-$AE96*(1+DF$3))/$AJ96,'Технический лист'!$I:$J,2,1)-VLOOKUP($AO96,'Технический лист'!$I:$J,2,1)),1+(1-$AU96))</f>
        <v/>
      </c>
      <c r="DG96" s="172">
        <f>MIN(IF($AU96=100%,1,1+VLOOKUP(($AJ96-$AI96-$AH96-$AG96-$AF96-$AE96*(1+DG$3))/$AJ96,'Технический лист'!$I:$J,2,1)-VLOOKUP($AO96,'Технический лист'!$I:$J,2,1)),1+(1-$AU96))</f>
        <v/>
      </c>
      <c r="DH96" s="172">
        <f>MIN(IF($AU96=100%,1,1+VLOOKUP(($AJ96-$AI96-$AH96-$AG96-$AF96-$AE96*(1+DH$3))/$AJ96,'Технический лист'!$I:$J,2,1)-VLOOKUP($AO96,'Технический лист'!$I:$J,2,1)),1+(1-$AU96))</f>
        <v/>
      </c>
      <c r="DI96" s="172">
        <f>MIN(IF($AU96=100%,1,1+VLOOKUP(($AJ96-$AI96-$AH96-$AG96-$AF96-$AE96*(1+DI$3))/$AJ96,'Технический лист'!$I:$J,2,1)-VLOOKUP($AO96,'Технический лист'!$I:$J,2,1)),1+(1-$AU96))</f>
        <v/>
      </c>
      <c r="DJ96" s="172">
        <f>MIN(IF($AU96=100%,1,1+VLOOKUP(($AJ96-$AI96-$AH96-$AG96-$AF96-$AE96*(1+DJ$3))/$AJ96,'Технический лист'!$I:$J,2,1)-VLOOKUP($AO96,'Технический лист'!$I:$J,2,1)),1+(1-$AU96))</f>
        <v/>
      </c>
      <c r="DK96" s="172">
        <f>MIN(IF($AU96=100%,1,1+VLOOKUP(($AJ96-$AI96-$AH96-$AG96-$AF96-$AE96*(1+DK$3))/$AJ96,'Технический лист'!$I:$J,2,1)-VLOOKUP($AO96,'Технический лист'!$I:$J,2,1)),1+(1-$AU96))</f>
        <v/>
      </c>
      <c r="DL96" s="172">
        <f>MIN(IF($AU96=100%,1,1+VLOOKUP(($AJ96-$AI96-$AH96-$AG96-$AF96-$AE96*(1+DL$3))/$AJ96,'Технический лист'!$I:$J,2,1)-VLOOKUP($AO96,'Технический лист'!$I:$J,2,1)),1+(1-$AU96))</f>
        <v/>
      </c>
      <c r="DM96" s="172">
        <f>MIN(IF($AU96=100%,1,1+VLOOKUP(($AJ96-$AI96-$AH96-$AG96-$AF96-$AE96*(1+DM$3))/$AJ96,'Технический лист'!$I:$J,2,1)-VLOOKUP($AO96,'Технический лист'!$I:$J,2,1)),1+(1-$AU96))</f>
        <v/>
      </c>
      <c r="DN96" s="172">
        <f>MIN(IF($AU96=100%,1,1+VLOOKUP(($AJ96-$AI96-$AH96-$AG96-$AF96-$AE96*(1+DN$3))/$AJ96,'Технический лист'!$I:$J,2,1)-VLOOKUP($AO96,'Технический лист'!$I:$J,2,1)),1+(1-$AU96))</f>
        <v/>
      </c>
      <c r="DO96" s="172">
        <f>MIN(IF($AU96=100%,1,1+VLOOKUP(($AJ96-$AI96-$AH96-$AG96-$AF96-$AE96*(1+DO$3))/$AJ96,'Технический лист'!$I:$J,2,1)-VLOOKUP($AO96,'Технический лист'!$I:$J,2,1)),1+(1-$AU96))</f>
        <v/>
      </c>
      <c r="DP96" s="172">
        <f>MIN(IF($AU96=100%,1,1+VLOOKUP(($AJ96-$AI96-$AH96-$AG96-$AF96-$AE96*(1+DP$3))/$AJ96,'Технический лист'!$I:$J,2,1)-VLOOKUP($AO96,'Технический лист'!$I:$J,2,1)),1+(1-$AU96))</f>
        <v/>
      </c>
      <c r="DQ96" s="172">
        <f>MIN(IF($AU96=100%,1,1+VLOOKUP(($AJ96-$AI96-$AH96-$AG96-$AF96-$AE96*(1+DQ$3))/$AJ96,'Технический лист'!$I:$J,2,1)-VLOOKUP($AO96,'Технический лист'!$I:$J,2,1)),1+(1-$AU96))</f>
        <v/>
      </c>
      <c r="DR96" s="172">
        <f>MIN(IF($AU96=100%,1,1+VLOOKUP(($AJ96-$AI96-$AH96-$AG96-$AF96-$AE96*(1+DR$3))/$AJ96,'Технический лист'!$I:$J,2,1)-VLOOKUP($AO96,'Технический лист'!$I:$J,2,1)),1+(1-$AU96))</f>
        <v/>
      </c>
      <c r="DS96" s="172">
        <f>MIN(IF($AU96=100%,1,1+VLOOKUP(($AJ96-$AI96-$AH96-$AG96-$AF96-$AE96*(1+DS$3))/$AJ96,'Технический лист'!$I:$J,2,1)-VLOOKUP($AO96,'Технический лист'!$I:$J,2,1)),1+(1-$AU96))</f>
        <v/>
      </c>
      <c r="DT96" s="172">
        <f>MIN(IF($AU96=100%,1,1+VLOOKUP(($AJ96-$AI96-$AH96-$AG96-$AF96-$AE96*(1+DT$3))/$AJ96,'Технический лист'!$I:$J,2,1)-VLOOKUP($AO96,'Технический лист'!$I:$J,2,1)),1+(1-$AU96))</f>
        <v/>
      </c>
      <c r="DU96" s="172">
        <f>MIN(IF($AU96=100%,1,1+VLOOKUP(($AJ96-$AI96-$AH96-$AG96-$AF96-$AE96*(1+DU$3))/$AJ96,'Технический лист'!$I:$J,2,1)-VLOOKUP($AO96,'Технический лист'!$I:$J,2,1)),1+(1-$AU96))</f>
        <v/>
      </c>
      <c r="DV96" s="172">
        <f>MIN(IF($AU96=100%,1,1+VLOOKUP(($AJ96-$AI96-$AH96-$AG96-$AF96-$AE96*(1+DV$3))/$AJ96,'Технический лист'!$I:$J,2,1)-VLOOKUP($AO96,'Технический лист'!$I:$J,2,1)),1+(1-$AU96))</f>
        <v/>
      </c>
      <c r="DW96" s="172">
        <f>MIN(IF($AU96=100%,1,1+VLOOKUP(($AJ96-$AI96-$AH96-$AG96-$AF96-$AE96*(1+DW$3))/$AJ96,'Технический лист'!$I:$J,2,1)-VLOOKUP($AO96,'Технический лист'!$I:$J,2,1)),1+(1-$AU96))</f>
        <v/>
      </c>
      <c r="DX96" s="172">
        <f>MIN(IF($AU96=100%,1,1+VLOOKUP(($AJ96-$AI96-$AH96-$AG96-$AF96-$AE96*(1+DX$3))/$AJ96,'Технический лист'!$I:$J,2,1)-VLOOKUP($AO96,'Технический лист'!$I:$J,2,1)),1+(1-$AU96))</f>
        <v/>
      </c>
      <c r="DY96" s="172">
        <f>MIN(IF($AU96=100%,1,1+VLOOKUP(($AJ96-$AI96-$AH96-$AG96-$AF96-$AE96*(1+DY$3))/$AJ96,'Технический лист'!$I:$J,2,1)-VLOOKUP($AO96,'Технический лист'!$I:$J,2,1)),1+(1-$AU96))</f>
        <v/>
      </c>
      <c r="DZ96" s="172">
        <f>MIN(IF($AU96=100%,1,1+VLOOKUP(($AJ96-$AI96-$AH96-$AG96-$AF96-$AE96*(1+DZ$3))/$AJ96,'Технический лист'!$I:$J,2,1)-VLOOKUP($AO96,'Технический лист'!$I:$J,2,1)),1+(1-$AU96))</f>
        <v/>
      </c>
      <c r="EA96" s="172">
        <f>MIN(IF($AU96=100%,1,1+VLOOKUP(($AJ96-$AI96-$AH96-$AG96-$AF96-$AE96*(1+EA$3))/$AJ96,'Технический лист'!$I:$J,2,1)-VLOOKUP($AO96,'Технический лист'!$I:$J,2,1)),1+(1-$AU96))</f>
        <v/>
      </c>
      <c r="EB96" s="172">
        <f>MIN(IF($AU96=100%,1,1+VLOOKUP(($AJ96-$AI96-$AH96-$AG96-$AF96-$AE96*(1+EB$3))/$AJ96,'Технический лист'!$I:$J,2,1)-VLOOKUP($AO96,'Технический лист'!$I:$J,2,1)),1+(1-$AU96))</f>
        <v/>
      </c>
      <c r="EC96" s="172">
        <f>MIN(IF($AU96=100%,1,1+VLOOKUP(($AJ96-$AI96-$AH96-$AG96-$AF96-$AE96*(1+EC$3))/$AJ96,'Технический лист'!$I:$J,2,1)-VLOOKUP($AO96,'Технический лист'!$I:$J,2,1)),1+(1-$AU96))</f>
        <v/>
      </c>
      <c r="ED96" s="172">
        <f>MIN(IF($AU96=100%,1,1+VLOOKUP(($AJ96-$AI96-$AH96-$AG96-$AF96-$AE96*(1+ED$3))/$AJ96,'Технический лист'!$I:$J,2,1)-VLOOKUP($AO96,'Технический лист'!$I:$J,2,1)),1+(1-$AU96))</f>
        <v/>
      </c>
      <c r="EE96" s="172">
        <f>MIN(IF($AU96=100%,1,1+VLOOKUP(($AJ96-$AI96-$AH96-$AG96-$AF96-$AE96*(1+EE$3))/$AJ96,'Технический лист'!$I:$J,2,1)-VLOOKUP($AO96,'Технический лист'!$I:$J,2,1)),1+(1-$AU96))</f>
        <v/>
      </c>
      <c r="EF96" s="172">
        <f>MIN(IF($AU96=100%,1,1+VLOOKUP(($AJ96-$AI96-$AH96-$AG96-$AF96-$AE96*(1+EF$3))/$AJ96,'Технический лист'!$I:$J,2,1)-VLOOKUP($AO96,'Технический лист'!$I:$J,2,1)),1+(1-$AU96))</f>
        <v/>
      </c>
      <c r="EG96" s="172">
        <f>MIN(IF($AU96=100%,1,1+VLOOKUP(($AJ96-$AI96-$AH96-$AG96-$AF96-$AE96*(1+EG$3))/$AJ96,'Технический лист'!$I:$J,2,1)-VLOOKUP($AO96,'Технический лист'!$I:$J,2,1)),1+(1-$AU96))</f>
        <v/>
      </c>
      <c r="EH96" s="172">
        <f>MIN(IF($AU96=100%,1,1+VLOOKUP(($AJ96-$AI96-$AH96-$AG96-$AF96-$AE96*(1+EH$3))/$AJ96,'Технический лист'!$I:$J,2,1)-VLOOKUP($AO96,'Технический лист'!$I:$J,2,1)),1+(1-$AU96))</f>
        <v/>
      </c>
      <c r="EI96" s="172">
        <f>MIN(IF($AU96=100%,1,1+VLOOKUP(($AJ96-$AI96-$AH96-$AG96-$AF96-$AE96*(1+EI$3))/$AJ96,'Технический лист'!$I:$J,2,1)-VLOOKUP($AO96,'Технический лист'!$I:$J,2,1)),1+(1-$AU96))</f>
        <v/>
      </c>
      <c r="EJ96" s="172">
        <f>MIN(IF($AU96=100%,1,1+VLOOKUP(($AJ96-$AI96-$AH96-$AG96-$AF96-$AE96*(1+EJ$3))/$AJ96,'Технический лист'!$I:$J,2,1)-VLOOKUP($AO96,'Технический лист'!$I:$J,2,1)),1+(1-$AU96))</f>
        <v/>
      </c>
      <c r="EK96" s="172">
        <f>MIN(IF($AU96=100%,1,1+VLOOKUP(($AJ96-$AI96-$AH96-$AG96-$AF96-$AE96*(1+EK$3))/$AJ96,'Технический лист'!$I:$J,2,1)-VLOOKUP($AO96,'Технический лист'!$I:$J,2,1)),1+(1-$AU96))</f>
        <v/>
      </c>
      <c r="EL96" s="172">
        <f>MIN(IF($AU96=100%,1,1+VLOOKUP(($AJ96-$AI96-$AH96-$AG96-$AF96-$AE96*(1+EL$3))/$AJ96,'Технический лист'!$I:$J,2,1)-VLOOKUP($AO96,'Технический лист'!$I:$J,2,1)),1+(1-$AU96))</f>
        <v/>
      </c>
      <c r="EM96" s="172">
        <f>MIN(IF($AU96=100%,1,1+VLOOKUP(($AJ96-$AI96-$AH96-$AG96-$AF96-$AE96*(1+EM$3))/$AJ96,'Технический лист'!$I:$J,2,1)-VLOOKUP($AO96,'Технический лист'!$I:$J,2,1)),1+(1-$AU96))</f>
        <v/>
      </c>
      <c r="EN96" s="172">
        <f>MIN(IF($AU96=100%,1,1+VLOOKUP(($AJ96-$AI96-$AH96-$AG96-$AF96-$AE96*(1+EN$3))/$AJ96,'Технический лист'!$I:$J,2,1)-VLOOKUP($AO96,'Технический лист'!$I:$J,2,1)),1+(1-$AU96))</f>
        <v/>
      </c>
      <c r="EO96" s="172">
        <f>MIN(IF($AU96=100%,1,1+VLOOKUP(($AJ96-$AI96-$AH96-$AG96-$AF96-$AE96*(1+EO$3))/$AJ96,'Технический лист'!$I:$J,2,1)-VLOOKUP($AO96,'Технический лист'!$I:$J,2,1)),1+(1-$AU96))</f>
        <v/>
      </c>
      <c r="EP96" s="172">
        <f>MIN(IF($AU96=100%,1,1+VLOOKUP(($AJ96-$AI96-$AH96-$AG96-$AF96-$AE96*(1+EP$3))/$AJ96,'Технический лист'!$I:$J,2,1)-VLOOKUP($AO96,'Технический лист'!$I:$J,2,1)),1+(1-$AU96))</f>
        <v/>
      </c>
      <c r="EQ96" s="172">
        <f>MIN(IF($AU96=100%,1,1+VLOOKUP(($AJ96-$AI96-$AH96-$AG96-$AF96-$AE96*(1+EQ$3))/$AJ96,'Технический лист'!$I:$J,2,1)-VLOOKUP($AO96,'Технический лист'!$I:$J,2,1)),1+(1-$AU96))</f>
        <v/>
      </c>
      <c r="ER96" s="172">
        <f>MIN(IF($AU96=100%,1,1+VLOOKUP(($AJ96-$AI96-$AH96-$AG96-$AF96-$AE96*(1+ER$3))/$AJ96,'Технический лист'!$I:$J,2,1)-VLOOKUP($AO96,'Технический лист'!$I:$J,2,1)),1+(1-$AU96))</f>
        <v/>
      </c>
      <c r="ES96" s="172">
        <f>MIN(IF($AU96=100%,1,1+VLOOKUP(($AJ96-$AI96-$AH96-$AG96-$AF96-$AE96*(1+ES$3))/$AJ96,'Технический лист'!$I:$J,2,1)-VLOOKUP($AO96,'Технический лист'!$I:$J,2,1)),1+(1-$AU96))</f>
        <v/>
      </c>
      <c r="ET96" s="172">
        <f>MIN(IF($AU96=100%,1,1+VLOOKUP(($AJ96-$AI96-$AH96-$AG96-$AF96-$AE96*(1+ET$3))/$AJ96,'Технический лист'!$I:$J,2,1)-VLOOKUP($AO96,'Технический лист'!$I:$J,2,1)),1+(1-$AU96))</f>
        <v/>
      </c>
      <c r="EU96" s="172">
        <f>MIN(IF($AU96=100%,1,1+VLOOKUP(($AJ96-$AI96-$AH96-$AG96-$AF96-$AE96*(1+EU$3))/$AJ96,'Технический лист'!$I:$J,2,1)-VLOOKUP($AO96,'Технический лист'!$I:$J,2,1)),1+(1-$AU96))</f>
        <v/>
      </c>
      <c r="EV96" s="173" t="n">
        <v>1</v>
      </c>
      <c r="EW96" s="172">
        <f>MIN(1,MAX(VLOOKUP(($AJ96-$AI96-$AH96-$AG96-$AF96-$AE96*(1+EW$3))/$AJ96,'Технический лист'!$A:$B,2,1),(EV96-0.05)))</f>
        <v/>
      </c>
      <c r="EX96" s="172">
        <f>MIN(1,MAX(VLOOKUP(($AJ96-$AI96-$AH96-$AG96-$AF96-$AE96*(1+EX$3))/$AJ96,'Технический лист'!$A:$B,2,1),(EW96-0.05)))</f>
        <v/>
      </c>
      <c r="EY96" s="172">
        <f>MIN(1,MAX(VLOOKUP(($AJ96-$AI96-$AH96-$AG96-$AF96-$AE96*(1+EY$3))/$AJ96,'Технический лист'!$A:$B,2,1),(EX96-0.05)))</f>
        <v/>
      </c>
      <c r="EZ96" s="172">
        <f>MIN(1,MAX(VLOOKUP(($AJ96-$AI96-$AH96-$AG96-$AF96-$AE96*(1+EZ$3))/$AJ96,'Технический лист'!$A:$B,2,1),(EY96-0.05)))</f>
        <v/>
      </c>
      <c r="FA96" s="172">
        <f>MIN(1,MAX(VLOOKUP(($AJ96-$AI96-$AH96-$AG96-$AF96-$AE96*(1+FA$3))/$AJ96,'Технический лист'!$A:$B,2,1),(EZ96-0.05)))</f>
        <v/>
      </c>
      <c r="FB96" s="172">
        <f>MIN(1,MAX(VLOOKUP(($AJ96-$AI96-$AH96-$AG96-$AF96-$AE96*(1+FB$3))/$AJ96,'Технический лист'!$A:$B,2,1),(FA96-0.05)))</f>
        <v/>
      </c>
      <c r="FC96" s="172">
        <f>MIN(1,MAX(VLOOKUP(($AJ96-$AI96-$AH96-$AG96-$AF96-$AE96*(1+FC$3))/$AJ96,'Технический лист'!$A:$B,2,1),(FB96-0.05)))</f>
        <v/>
      </c>
      <c r="FD96" s="172">
        <f>MIN(1,MAX(VLOOKUP(($AJ96-$AI96-$AH96-$AG96-$AF96-$AE96*(1+FD$3))/$AJ96,'Технический лист'!$A:$B,2,1),(FC96-0.05)))</f>
        <v/>
      </c>
      <c r="FE96" s="172">
        <f>MIN(1,MAX(VLOOKUP(($AJ96-$AI96-$AH96-$AG96-$AF96-$AE96*(1+FE$3))/$AJ96,'Технический лист'!$A:$B,2,1),(FD96-0.05)))</f>
        <v/>
      </c>
      <c r="FF96" s="172">
        <f>MIN(1,MAX(VLOOKUP(($AJ96-$AI96-$AH96-$AG96-$AF96-$AE96*(1+FF$3))/$AJ96,'Технический лист'!$A:$B,2,1),(FE96-0.05)))</f>
        <v/>
      </c>
      <c r="FG96" s="172">
        <f>MIN(1,MAX(VLOOKUP(($AJ96-$AI96-$AH96-$AG96-$AF96-$AE96*(1+FG$3))/$AJ96,'Технический лист'!$A:$B,2,1),(FF96-0.05)))</f>
        <v/>
      </c>
      <c r="FH96" s="172">
        <f>MIN(1,MAX(VLOOKUP(($AJ96-$AI96-$AH96-$AG96-$AF96-$AE96*(1+FH$3))/$AJ96,'Технический лист'!$A:$B,2,1),(FG96-0.05)))</f>
        <v/>
      </c>
      <c r="FI96" s="172">
        <f>MIN(1,MAX(VLOOKUP(($AJ96-$AI96-$AH96-$AG96-$AF96-$AE96*(1+FI$3))/$AJ96,'Технический лист'!$A:$B,2,1),(FH96-0.05)))</f>
        <v/>
      </c>
      <c r="FJ96" s="172">
        <f>MIN(1,MAX(VLOOKUP(($AJ96-$AI96-$AH96-$AG96-$AF96-$AE96*(1+FJ$3))/$AJ96,'Технический лист'!$A:$B,2,1),(FI96-0.05)))</f>
        <v/>
      </c>
      <c r="FK96" s="172">
        <f>MIN(1,MAX(VLOOKUP(($AJ96-$AI96-$AH96-$AG96-$AF96-$AE96*(1+FK$3))/$AJ96,'Технический лист'!$A:$B,2,1),(FJ96-0.05)))</f>
        <v/>
      </c>
      <c r="FL96" s="172">
        <f>MIN(1,MAX(VLOOKUP(($AJ96-$AI96-$AH96-$AG96-$AF96-$AE96*(1+FL$3))/$AJ96,'Технический лист'!$A:$B,2,1),(FK96-0.05)))</f>
        <v/>
      </c>
      <c r="FM96" s="172">
        <f>MIN(1,MAX(VLOOKUP(($AJ96-$AI96-$AH96-$AG96-$AF96-$AE96*(1+FM$3))/$AJ96,'Технический лист'!$A:$B,2,1),(FL96-0.05)))</f>
        <v/>
      </c>
      <c r="FN96" s="172">
        <f>MIN(1,MAX(VLOOKUP(($AJ96-$AI96-$AH96-$AG96-$AF96-$AE96*(1+FN$3))/$AJ96,'Технический лист'!$A:$B,2,1),(FM96-0.05)))</f>
        <v/>
      </c>
      <c r="FO96" s="172">
        <f>MIN(1,MAX(VLOOKUP(($AJ96-$AI96-$AH96-$AG96-$AF96-$AE96*(1+FO$3))/$AJ96,'Технический лист'!$A:$B,2,1),(FN96-0.05)))</f>
        <v/>
      </c>
      <c r="FP96" s="172">
        <f>MIN(1,MAX(VLOOKUP(($AJ96-$AI96-$AH96-$AG96-$AF96-$AE96*(1+FP$3))/$AJ96,'Технический лист'!$A:$B,2,1),(FO96-0.05)))</f>
        <v/>
      </c>
      <c r="FQ96" s="172">
        <f>MIN(1,MAX(VLOOKUP(($AJ96-$AI96-$AH96-$AG96-$AF96-$AE96*(1+FQ$3))/$AJ96,'Технический лист'!$A:$B,2,1),(FP96-0.05)))</f>
        <v/>
      </c>
      <c r="FR96" s="172">
        <f>MIN(1,MAX(VLOOKUP(($AJ96-$AI96-$AH96-$AG96-$AF96-$AE96*(1+FR$3))/$AJ96,'Технический лист'!$A:$B,2,1),(FQ96-0.05)))</f>
        <v/>
      </c>
      <c r="FS96" s="172">
        <f>MIN(1,MAX(VLOOKUP(($AJ96-$AI96-$AH96-$AG96-$AF96-$AE96*(1+FS$3))/$AJ96,'Технический лист'!$A:$B,2,1),(FR96-0.05)))</f>
        <v/>
      </c>
      <c r="FT96" s="172">
        <f>MIN(1,MAX(VLOOKUP(($AJ96-$AI96-$AH96-$AG96-$AF96-$AE96*(1+FT$3))/$AJ96,'Технический лист'!$A:$B,2,1),(FS96-0.05)))</f>
        <v/>
      </c>
      <c r="FU96" s="172">
        <f>MIN(1,MAX(VLOOKUP(($AJ96-$AI96-$AH96-$AG96-$AF96-$AE96*(1+FU$3))/$AJ96,'Технический лист'!$A:$B,2,1),(FT96-0.05)))</f>
        <v/>
      </c>
      <c r="FV96" s="172">
        <f>MIN(1,MAX(VLOOKUP(($AJ96-$AI96-$AH96-$AG96-$AF96-$AE96*(1+FV$3))/$AJ96,'Технический лист'!$A:$B,2,1),(FU96-0.05)))</f>
        <v/>
      </c>
      <c r="FW96" s="172">
        <f>MIN(1,MAX(VLOOKUP(($AJ96-$AI96-$AH96-$AG96-$AF96-$AE96*(1+FW$3))/$AJ96,'Технический лист'!$A:$B,2,1),(FV96-0.05)))</f>
        <v/>
      </c>
      <c r="FX96" s="172">
        <f>MIN(1,MAX(VLOOKUP(($AJ96-$AI96-$AH96-$AG96-$AF96-$AE96*(1+FX$3))/$AJ96,'Технический лист'!$A:$B,2,1),(FW96-0.05)))</f>
        <v/>
      </c>
      <c r="FY96" s="172">
        <f>MIN(1,MAX(VLOOKUP(($AJ96-$AI96-$AH96-$AG96-$AF96-$AE96*(1+FY$3))/$AJ96,'Технический лист'!$A:$B,2,1),(FX96-0.05)))</f>
        <v/>
      </c>
      <c r="FZ96" s="172">
        <f>MIN(1,MAX(VLOOKUP(($AJ96-$AI96-$AH96-$AG96-$AF96-$AE96*(1+FZ$3))/$AJ96,'Технический лист'!$A:$B,2,1),(FY96-0.05)))</f>
        <v/>
      </c>
      <c r="GA96" s="172">
        <f>MIN(1,MAX(VLOOKUP(($AJ96-$AI96-$AH96-$AG96-$AF96-$AE96*(1+GA$3))/$AJ96,'Технический лист'!$A:$B,2,1),(FZ96-0.05)))</f>
        <v/>
      </c>
      <c r="GB96" s="172">
        <f>MIN(1,MAX(VLOOKUP(($AJ96-$AI96-$AH96-$AG96-$AF96-$AE96*(1+GB$3))/$AJ96,'Технический лист'!$A:$B,2,1),(GA96-0.05)))</f>
        <v/>
      </c>
      <c r="GC96" s="172">
        <f>MIN(1,MAX(VLOOKUP(($AJ96-$AI96-$AH96-$AG96-$AF96-$AE96*(1+GC$3))/$AJ96,'Технический лист'!$A:$B,2,1),(GB96-0.05)))</f>
        <v/>
      </c>
      <c r="GD96" s="172">
        <f>MIN(1,MAX(VLOOKUP(($AJ96-$AI96-$AH96-$AG96-$AF96-$AE96*(1+GD$3))/$AJ96,'Технический лист'!$A:$B,2,1),(GC96-0.05)))</f>
        <v/>
      </c>
      <c r="GE96" s="172">
        <f>MIN(1,MAX(VLOOKUP(($AJ96-$AI96-$AH96-$AG96-$AF96-$AE96*(1+GE$3))/$AJ96,'Технический лист'!$A:$B,2,1),(GD96-0.05)))</f>
        <v/>
      </c>
      <c r="GF96" s="172">
        <f>MIN(1,MAX(VLOOKUP(($AJ96-$AI96-$AH96-$AG96-$AF96-$AE96*(1+GF$3))/$AJ96,'Технический лист'!$A:$B,2,1),(GE96-0.05)))</f>
        <v/>
      </c>
      <c r="GG96" s="172">
        <f>MIN(1,MAX(VLOOKUP(($AJ96-$AI96-$AH96-$AG96-$AF96-$AE96*(1+GG$3))/$AJ96,'Технический лист'!$A:$B,2,1),(GF96-0.05)))</f>
        <v/>
      </c>
      <c r="GH96" s="172">
        <f>MIN(1,MAX(VLOOKUP(($AJ96-$AI96-$AH96-$AG96-$AF96-$AE96*(1+GH$3))/$AJ96,'Технический лист'!$A:$B,2,1),(GG96-0.05)))</f>
        <v/>
      </c>
      <c r="GI96" s="172">
        <f>MIN(1,MAX(VLOOKUP(($AJ96-$AI96-$AH96-$AG96-$AF96-$AE96*(1+GI$3))/$AJ96,'Технический лист'!$A:$B,2,1),(GH96-0.05)))</f>
        <v/>
      </c>
      <c r="GJ96" s="172">
        <f>MIN(1,MAX(VLOOKUP(($AJ96-$AI96-$AH96-$AG96-$AF96-$AE96*(1+GJ$3))/$AJ96,'Технический лист'!$A:$B,2,1),(GI96-0.05)))</f>
        <v/>
      </c>
      <c r="GK96" s="172">
        <f>MIN(1,MAX(VLOOKUP(($AJ96-$AI96-$AH96-$AG96-$AF96-$AE96*(1+GK$3))/$AJ96,'Технический лист'!$A:$B,2,1),(GJ96-0.05)))</f>
        <v/>
      </c>
      <c r="GL96" s="172">
        <f>MIN(1,MAX(VLOOKUP(($AJ96-$AI96-$AH96-$AG96-$AF96-$AE96*(1+GL$3))/$AJ96,'Технический лист'!$A:$B,2,1),(GK96-0.05)))</f>
        <v/>
      </c>
      <c r="GM96" s="172">
        <f>MIN(1,MAX(VLOOKUP(($AJ96-$AI96-$AH96-$AG96-$AF96-$AE96*(1+GM$3))/$AJ96,'Технический лист'!$A:$B,2,1),(GL96-0.05)))</f>
        <v/>
      </c>
      <c r="GN96" s="172">
        <f>MIN(1,MAX(VLOOKUP(($AJ96-$AI96-$AH96-$AG96-$AF96-$AE96*(1+GN$3))/$AJ96,'Технический лист'!$A:$B,2,1),(GM96-0.05)))</f>
        <v/>
      </c>
      <c r="GO96" s="172">
        <f>MIN(1,MAX(VLOOKUP(($AJ96-$AI96-$AH96-$AG96-$AF96-$AE96*(1+GO$3))/$AJ96,'Технический лист'!$A:$B,2,1),(GN96-0.05)))</f>
        <v/>
      </c>
      <c r="GP96" s="172">
        <f>MIN(1,MAX(VLOOKUP(($AJ96-$AI96-$AH96-$AG96-$AF96-$AE96*(1+GP$3))/$AJ96,'Технический лист'!$A:$B,2,1),(GO96-0.05)))</f>
        <v/>
      </c>
      <c r="GQ96" s="172">
        <f>MIN(1,MAX(VLOOKUP(($AJ96-$AI96-$AH96-$AG96-$AF96-$AE96*(1+GQ$3))/$AJ96,'Технический лист'!$A:$B,2,1),(GP96-0.05)))</f>
        <v/>
      </c>
      <c r="GR96" s="172">
        <f>MIN(1,MAX(VLOOKUP(($AJ96-$AI96-$AH96-$AG96-$AF96-$AE96*(1+GR$3))/$AJ96,'Технический лист'!$A:$B,2,1),(GQ96-0.05)))</f>
        <v/>
      </c>
      <c r="GS96" s="172">
        <f>MIN(1,MAX(VLOOKUP(($AJ96-$AI96-$AH96-$AG96-$AF96-$AE96*(1+GS$3))/$AJ96,'Технический лист'!$A:$B,2,1),(GR96-0.05)))</f>
        <v/>
      </c>
      <c r="GT96" s="172">
        <f>MIN(1,MAX(VLOOKUP(($AJ96-$AI96-$AH96-$AG96-$AF96-$AE96*(1+GT$3))/$AJ96,'Технический лист'!$A:$B,2,1),(GS96-0.05)))</f>
        <v/>
      </c>
      <c r="GU96" s="172">
        <f>MIN(1,MAX(VLOOKUP(($AJ96-$AI96-$AH96-$AG96-$AF96-$AE96*(1+GU$3))/$AJ96,'Технический лист'!$A:$B,2,1),(GT96-0.05)))</f>
        <v/>
      </c>
      <c r="GV96" s="172">
        <f>MIN(1,MAX(VLOOKUP(($AJ96-$AI96-$AH96-$AG96-$AF96-$AE96*(1+GV$3))/$AJ96,'Технический лист'!$A:$B,2,1),(GU96-0.05)))</f>
        <v/>
      </c>
      <c r="GW96" s="172">
        <f>MIN(1,MAX(VLOOKUP(($AJ96-$AI96-$AH96-$AG96-$AF96-$AE96*(1+GW$3))/$AJ96,'Технический лист'!$A:$B,2,1),(GV96-0.05)))</f>
        <v/>
      </c>
      <c r="GX96" s="172">
        <f>MIN(1,MAX(VLOOKUP(($AJ96-$AI96-$AH96-$AG96-$AF96-$AE96*(1+GX$3))/$AJ96,'Технический лист'!$A:$B,2,1),(GW96-0.05)))</f>
        <v/>
      </c>
      <c r="GY96" s="172">
        <f>MIN(1,MAX(VLOOKUP(($AJ96-$AI96-$AH96-$AG96-$AF96-$AE96*(1+GY$3))/$AJ96,'Технический лист'!$A:$B,2,1),(GX96-0.05)))</f>
        <v/>
      </c>
      <c r="GZ96" s="172">
        <f>MIN(1,MAX(VLOOKUP(($AJ96-$AI96-$AH96-$AG96-$AF96-$AE96*(1+GZ$3))/$AJ96,'Технический лист'!$A:$B,2,1),(GY96-0.05)))</f>
        <v/>
      </c>
      <c r="HA96" s="172">
        <f>MIN(1,MAX(VLOOKUP(($AJ96-$AI96-$AH96-$AG96-$AF96-$AE96*(1+HA$3))/$AJ96,'Технический лист'!$A:$B,2,1),(GZ96-0.05)))</f>
        <v/>
      </c>
      <c r="HB96" s="172">
        <f>MIN(1,MAX(VLOOKUP(($AJ96-$AI96-$AH96-$AG96-$AF96-$AE96*(1+HB$3))/$AJ96,'Технический лист'!$A:$B,2,1),(HA96-0.05)))</f>
        <v/>
      </c>
      <c r="HC96" s="172">
        <f>MIN(1,MAX(VLOOKUP(($AJ96-$AI96-$AH96-$AG96-$AF96-$AE96*(1+HC$3))/$AJ96,'Технический лист'!$A:$B,2,1),(HB96-0.05)))</f>
        <v/>
      </c>
      <c r="HD96" s="172">
        <f>MIN(1,MAX(VLOOKUP(($AJ96-$AI96-$AH96-$AG96-$AF96-$AE96*(1+HD$3))/$AJ96,'Технический лист'!$A:$B,2,1),(HC96-0.05)))</f>
        <v/>
      </c>
      <c r="HE96" s="172">
        <f>MIN(1,MAX(VLOOKUP(($AJ96-$AI96-$AH96-$AG96-$AF96-$AE96*(1+HE$3))/$AJ96,'Технический лист'!$A:$B,2,1),(HD96-0.05)))</f>
        <v/>
      </c>
      <c r="HF96" s="172">
        <f>MIN(1,MAX(VLOOKUP(($AJ96-$AI96-$AH96-$AG96-$AF96-$AE96*(1+HF$3))/$AJ96,'Технический лист'!$A:$B,2,1),(HE96-0.05)))</f>
        <v/>
      </c>
      <c r="HG96" s="172">
        <f>MIN(1,MAX(VLOOKUP(($AJ96-$AI96-$AH96-$AG96-$AF96-$AE96*(1+HG$3))/$AJ96,'Технический лист'!$A:$B,2,1),(HF96-0.05)))</f>
        <v/>
      </c>
      <c r="HH96" s="172">
        <f>MIN(1,MAX(VLOOKUP(($AJ96-$AI96-$AH96-$AG96-$AF96-$AE96*(1+HH$3))/$AJ96,'Технический лист'!$A:$B,2,1),(HG96-0.05)))</f>
        <v/>
      </c>
      <c r="HI96" s="172">
        <f>MIN(1,MAX(VLOOKUP(($AJ96-$AI96-$AH96-$AG96-$AF96-$AE96*(1+HI$3))/$AJ96,'Технический лист'!$A:$B,2,1),(HH96-0.05)))</f>
        <v/>
      </c>
      <c r="HJ96" s="172">
        <f>MIN(1,MAX(VLOOKUP(($AJ96-$AI96-$AH96-$AG96-$AF96-$AE96*(1+HJ$3))/$AJ96,'Технический лист'!$A:$B,2,1),(HI96-0.05)))</f>
        <v/>
      </c>
      <c r="HK96" s="172">
        <f>MIN(1,MAX(VLOOKUP(($AJ96-$AI96-$AH96-$AG96-$AF96-$AE96*(1+HK$3))/$AJ96,'Технический лист'!$A:$B,2,1),(HJ96-0.05)))</f>
        <v/>
      </c>
      <c r="HL96" s="172">
        <f>MIN(1,MAX(VLOOKUP(($AJ96-$AI96-$AH96-$AG96-$AF96-$AE96*(1+HL$3))/$AJ96,'Технический лист'!$A:$B,2,1),(HK96-0.05)))</f>
        <v/>
      </c>
      <c r="HM96" s="172">
        <f>MIN(1,MAX(VLOOKUP(($AJ96-$AI96-$AH96-$AG96-$AF96-$AE96*(1+HM$3))/$AJ96,'Технический лист'!$A:$B,2,1),(HL96-0.05)))</f>
        <v/>
      </c>
      <c r="HN96" s="172">
        <f>MIN(1,MAX(VLOOKUP(($AJ96-$AI96-$AH96-$AG96-$AF96-$AE96*(1+HN$3))/$AJ96,'Технический лист'!$A:$B,2,1),(HM96-0.05)))</f>
        <v/>
      </c>
      <c r="HO96" s="172">
        <f>MIN(1,MAX(VLOOKUP(($AJ96-$AI96-$AH96-$AG96-$AF96-$AE96*(1+HO$3))/$AJ96,'Технический лист'!$A:$B,2,1),(HN96-0.05)))</f>
        <v/>
      </c>
      <c r="HP96" s="172">
        <f>MIN(1,MAX(VLOOKUP(($AJ96-$AI96-$AH96-$AG96-$AF96-$AE96*(1+HP$3))/$AJ96,'Технический лист'!$A:$B,2,1),(HO96-0.05)))</f>
        <v/>
      </c>
      <c r="HQ96" s="172">
        <f>MIN(1,MAX(VLOOKUP(($AJ96-$AI96-$AH96-$AG96-$AF96-$AE96*(1+HQ$3))/$AJ96,'Технический лист'!$A:$B,2,1),(HP96-0.05)))</f>
        <v/>
      </c>
      <c r="HR96" s="172">
        <f>MIN(1,MAX(VLOOKUP(($AJ96-$AI96-$AH96-$AG96-$AF96-$AE96*(1+HR$3))/$AJ96,'Технический лист'!$A:$B,2,1),(HQ96-0.05)))</f>
        <v/>
      </c>
      <c r="HS96" s="172">
        <f>MIN(1,MAX(VLOOKUP(($AJ96-$AI96-$AH96-$AG96-$AF96-$AE96*(1+HS$3))/$AJ96,'Технический лист'!$A:$B,2,1),(HR96-0.05)))</f>
        <v/>
      </c>
      <c r="HT96" s="172">
        <f>MIN(1,MAX(VLOOKUP(($AJ96-$AI96-$AH96-$AG96-$AF96-$AE96*(1+HT$3))/$AJ96,'Технический лист'!$A:$B,2,1),(HS96-0.05)))</f>
        <v/>
      </c>
      <c r="HU96" s="172">
        <f>MIN(1,MAX(VLOOKUP(($AJ96-$AI96-$AH96-$AG96-$AF96-$AE96*(1+HU$3))/$AJ96,'Технический лист'!$A:$B,2,1),(HT96-0.05)))</f>
        <v/>
      </c>
      <c r="HV96" s="172">
        <f>MIN(1,MAX(VLOOKUP(($AJ96-$AI96-$AH96-$AG96-$AF96-$AE96*(1+HV$3))/$AJ96,'Технический лист'!$A:$B,2,1),(HU96-0.05)))</f>
        <v/>
      </c>
      <c r="HW96" s="172">
        <f>MIN(1,MAX(VLOOKUP(($AJ96-$AI96-$AH96-$AG96-$AF96-$AE96*(1+HW$3))/$AJ96,'Технический лист'!$A:$B,2,1),(HV96-0.05)))</f>
        <v/>
      </c>
      <c r="HX96" s="172">
        <f>MIN(1,MAX(VLOOKUP(($AJ96-$AI96-$AH96-$AG96-$AF96-$AE96*(1+HX$3))/$AJ96,'Технический лист'!$A:$B,2,1),(HW96-0.05)))</f>
        <v/>
      </c>
      <c r="HY96" s="172">
        <f>MIN(1,MAX(VLOOKUP(($AJ96-$AI96-$AH96-$AG96-$AF96-$AE96*(1+HY$3))/$AJ96,'Технический лист'!$A:$B,2,1),(HX96-0.05)))</f>
        <v/>
      </c>
      <c r="HZ96" s="172">
        <f>MIN(1,MAX(VLOOKUP(($AJ96-$AI96-$AH96-$AG96-$AF96-$AE96*(1+HZ$3))/$AJ96,'Технический лист'!$A:$B,2,1),(HY96-0.05)))</f>
        <v/>
      </c>
      <c r="IA96" s="172">
        <f>MIN(1,MAX(VLOOKUP(($AJ96-$AI96-$AH96-$AG96-$AF96-$AE96*(1+IA$3))/$AJ96,'Технический лист'!$A:$B,2,1),(HZ96-0.05)))</f>
        <v/>
      </c>
      <c r="IB96" s="172">
        <f>MIN(1,MAX(VLOOKUP(($AJ96-$AI96-$AH96-$AG96-$AF96-$AE96*(1+IB$3))/$AJ96,'Технический лист'!$A:$B,2,1),(IA96-0.05)))</f>
        <v/>
      </c>
      <c r="IC96" s="172">
        <f>MIN(1,MAX(VLOOKUP(($AJ96-$AI96-$AH96-$AG96-$AF96-$AE96*(1+IC$3))/$AJ96,'Технический лист'!$A:$B,2,1),(IB96-0.05)))</f>
        <v/>
      </c>
      <c r="ID96" s="172">
        <f>MIN(1,MAX(VLOOKUP(($AJ96-$AI96-$AH96-$AG96-$AF96-$AE96*(1+ID$3))/$AJ96,'Технический лист'!$A:$B,2,1),(IC96-0.05)))</f>
        <v/>
      </c>
      <c r="IE96" s="172">
        <f>MIN(1,MAX(VLOOKUP(($AJ96-$AI96-$AH96-$AG96-$AF96-$AE96*(1+IE$3))/$AJ96,'Технический лист'!$A:$B,2,1),(ID96-0.05)))</f>
        <v/>
      </c>
      <c r="IF96" s="172">
        <f>MIN(1,MAX(VLOOKUP(($AJ96-$AI96-$AH96-$AG96-$AF96-$AE96*(1+IF$3))/$AJ96,'Технический лист'!$A:$B,2,1),(IE96-0.05)))</f>
        <v/>
      </c>
      <c r="IG96" s="172">
        <f>MIN(1,MAX(VLOOKUP(($AJ96-$AI96-$AH96-$AG96-$AF96-$AE96*(1+IG$3))/$AJ96,'Технический лист'!$A:$B,2,1),(IF96-0.05)))</f>
        <v/>
      </c>
      <c r="IH96" s="172">
        <f>MIN(1,MAX(VLOOKUP(($AJ96-$AI96-$AH96-$AG96-$AF96-$AE96*(1+IH$3))/$AJ96,'Технический лист'!$A:$B,2,1),(IG96-0.05)))</f>
        <v/>
      </c>
      <c r="II96" s="172">
        <f>MIN(1,MAX(VLOOKUP(($AJ96-$AI96-$AH96-$AG96-$AF96-$AE96*(1+II$3))/$AJ96,'Технический лист'!$A:$B,2,1),(IH96-0.05)))</f>
        <v/>
      </c>
      <c r="IJ96" s="172">
        <f>MIN(1,MAX(VLOOKUP(($AJ96-$AI96-$AH96-$AG96-$AF96-$AE96*(1+IJ$3))/$AJ96,'Технический лист'!$A:$B,2,1),(II96-0.05)))</f>
        <v/>
      </c>
      <c r="IK96" s="172">
        <f>MIN(1,MAX(VLOOKUP(($AJ96-$AI96-$AH96-$AG96-$AF96-$AE96*(1+IK$3))/$AJ96,'Технический лист'!$A:$B,2,1),(IJ96-0.05)))</f>
        <v/>
      </c>
      <c r="IL96" s="172">
        <f>MIN(1,MAX(VLOOKUP(($AJ96-$AI96-$AH96-$AG96-$AF96-$AE96*(1+IL$3))/$AJ96,'Технический лист'!$A:$B,2,1),(IK96-0.05)))</f>
        <v/>
      </c>
      <c r="IM96" s="172">
        <f>MIN(1,MAX(VLOOKUP(($AJ96-$AI96-$AH96-$AG96-$AF96-$AE96*(1+IM$3))/$AJ96,'Технический лист'!$A:$B,2,1),(IL96-0.05)))</f>
        <v/>
      </c>
      <c r="IN96" s="172">
        <f>MIN(1,MAX(VLOOKUP(($AJ96-$AI96-$AH96-$AG96-$AF96-$AE96*(1+IN$3))/$AJ96,'Технический лист'!$A:$B,2,1),(IM96-0.05)))</f>
        <v/>
      </c>
      <c r="IO96" s="172">
        <f>MIN(1,MAX(VLOOKUP(($AJ96-$AI96-$AH96-$AG96-$AF96-$AE96*(1+IO$3))/$AJ96,'Технический лист'!$A:$B,2,1),(IN96-0.05)))</f>
        <v/>
      </c>
      <c r="IP96" s="172">
        <f>MIN(1,MAX(VLOOKUP(($AJ96-$AI96-$AH96-$AG96-$AF96-$AE96*(1+IP$3))/$AJ96,'Технический лист'!$A:$B,2,1),(IO96-0.05)))</f>
        <v/>
      </c>
      <c r="IQ96" s="172">
        <f>MIN(1,MAX(VLOOKUP(($AJ96-$AI96-$AH96-$AG96-$AF96-$AE96*(1+IQ$3))/$AJ96,'Технический лист'!$A:$B,2,1),(IP96-0.05)))</f>
        <v/>
      </c>
      <c r="IR96" s="172">
        <f>MIN(1,MAX(VLOOKUP(($AJ96-$AI96-$AH96-$AG96-$AF96-$AE96*(1+IR$3))/$AJ96,'Технический лист'!$A:$B,2,1),(IQ96-0.05)))</f>
        <v/>
      </c>
    </row>
    <row r="97" ht="29.15" customHeight="1" s="123">
      <c r="A97" s="89" t="inlineStr">
        <is>
          <t>ЧМ (продукция)</t>
        </is>
      </c>
      <c r="B97" s="90" t="n">
        <v>5</v>
      </c>
      <c r="C97" s="5" t="inlineStr">
        <is>
          <t>Черные металлы</t>
        </is>
      </c>
      <c r="D97" s="91" t="n">
        <v>31106</v>
      </c>
      <c r="E97" s="91" t="inlineStr">
        <is>
          <t xml:space="preserve">Чугун передельный рядовой </t>
        </is>
      </c>
      <c r="F97" s="92" t="inlineStr">
        <is>
          <t>ЧУГУН</t>
        </is>
      </c>
      <c r="G97" s="91" t="inlineStr">
        <is>
          <t>МСК</t>
        </is>
      </c>
      <c r="H97" s="91" t="inlineStr">
        <is>
          <t>ДВС</t>
        </is>
      </c>
      <c r="I97" s="91" t="inlineStr">
        <is>
          <t>ПРИСАДЫ</t>
        </is>
      </c>
      <c r="J97" s="91" t="inlineStr">
        <is>
          <t>ВЛАДИВОСТ-ЭК</t>
        </is>
      </c>
      <c r="K97" s="91" t="n">
        <v>9468</v>
      </c>
      <c r="L97" s="91" t="inlineStr">
        <is>
          <t>Полувагоны</t>
        </is>
      </c>
      <c r="M97" s="91" t="inlineStr">
        <is>
          <t>Экспорт</t>
        </is>
      </c>
      <c r="N97" s="91" t="inlineStr">
        <is>
          <t>вагонная</t>
        </is>
      </c>
      <c r="O97" s="91" t="inlineStr">
        <is>
          <t xml:space="preserve">Восточное </t>
        </is>
      </c>
      <c r="P97" s="89" t="inlineStr">
        <is>
          <t>'000000186281</t>
        </is>
      </c>
      <c r="Q97" s="91" t="inlineStr">
        <is>
          <t>'ПАО "Тулачермет"</t>
        </is>
      </c>
      <c r="R97" s="91" t="inlineStr">
        <is>
          <t>ООО "УК"ПМХ"</t>
        </is>
      </c>
      <c r="S97" s="87" t="n">
        <v>26874</v>
      </c>
      <c r="T97" s="87" t="n">
        <v>254444155</v>
      </c>
      <c r="U97" s="88" t="n">
        <v>384</v>
      </c>
      <c r="V97" s="88" t="n">
        <v>0</v>
      </c>
      <c r="W97" s="87" t="n">
        <v>98057223</v>
      </c>
      <c r="X97" s="112" t="n">
        <v>69</v>
      </c>
      <c r="Y97" s="112" t="inlineStr">
        <is>
          <t>маршрутная</t>
        </is>
      </c>
      <c r="Z97" s="113" t="n">
        <v>19</v>
      </c>
      <c r="AA97" s="113" t="n">
        <v>19</v>
      </c>
      <c r="AB97" s="113" t="n">
        <v>4</v>
      </c>
      <c r="AC97" s="161" t="n">
        <v>4256</v>
      </c>
      <c r="AD97" s="161">
        <f>AE97-AC97</f>
        <v/>
      </c>
      <c r="AE97" s="161" t="n">
        <v>6000.52</v>
      </c>
      <c r="AF97" s="162">
        <f>(Z97+AA97+AB97)*'Ставки аренды'!$B$3/X97</f>
        <v/>
      </c>
      <c r="AG97" s="163">
        <f>'Ставки перевалки'!$B$8*'Курсы валют'!$B$2</f>
        <v/>
      </c>
      <c r="AH97" s="164" t="n">
        <v>0</v>
      </c>
      <c r="AI97" s="165">
        <f>131496272/143742760*AJ97</f>
        <v/>
      </c>
      <c r="AJ97" s="166">
        <f>Цены!C37*'Курсы валют'!B2</f>
        <v/>
      </c>
      <c r="AK97" s="164">
        <f>AJ97/Цены!$B$1</f>
        <v/>
      </c>
      <c r="AL97" s="164">
        <f>AE97+AF97+AG97</f>
        <v/>
      </c>
      <c r="AM97" s="164">
        <f>AJ97-AL97</f>
        <v/>
      </c>
      <c r="AN97" s="164">
        <f>AI97+AH97+AG97+AF97+AE97</f>
        <v/>
      </c>
      <c r="AO97" s="167">
        <f>(AJ97-AN97)/AJ97</f>
        <v/>
      </c>
      <c r="AP97" s="168">
        <f>AL97/AJ97</f>
        <v/>
      </c>
      <c r="AQ97" s="168">
        <f>AE97/AJ97</f>
        <v/>
      </c>
      <c r="AR97" s="168">
        <f>AE97/AL97</f>
        <v/>
      </c>
      <c r="AS97" s="169" t="n">
        <v>1</v>
      </c>
      <c r="AT97" s="121">
        <f>S97*AS97</f>
        <v/>
      </c>
      <c r="AU97" s="83" t="n">
        <v>0.98</v>
      </c>
      <c r="AV97" s="170">
        <f>(AJ97-(AE97*(1+$IS$2)+AF97+AG97+AH97+AI97))/AJ97</f>
        <v/>
      </c>
      <c r="AW97" s="171">
        <f>(AE97*(1+$IS$2)+AF97+AG97)/AJ97</f>
        <v/>
      </c>
      <c r="AX97" s="171">
        <f>(AE97*(1+$IS$2))/AJ97</f>
        <v/>
      </c>
      <c r="AY97" s="171">
        <f>(AE97*(1+$IS$2))/(AE97*(1+$IS$2)+AF97+AG97)</f>
        <v/>
      </c>
      <c r="AZ97" s="172">
        <f>MIN(IF($AU97=100%,1,1+VLOOKUP(($AJ97-$AI97-$AH97-$AG97-$AF97-$AE97*(1+AZ$3))/$AJ97,'Технический лист'!$I:$J,2,1)-VLOOKUP($AO97,'Технический лист'!$I:$J,2,1)),1+(1-$AU97))</f>
        <v/>
      </c>
      <c r="BA97" s="172">
        <f>MIN(IF($AU97=100%,1,1+VLOOKUP(($AJ97-$AI97-$AH97-$AG97-$AF97-$AE97*(1+BA$3))/$AJ97,'Технический лист'!$I:$J,2,1)-VLOOKUP($AO97,'Технический лист'!$I:$J,2,1)),1+(1-$AU97))</f>
        <v/>
      </c>
      <c r="BB97" s="172">
        <f>MIN(IF($AU97=100%,1,1+VLOOKUP(($AJ97-$AI97-$AH97-$AG97-$AF97-$AE97*(1+BB$3))/$AJ97,'Технический лист'!$I:$J,2,1)-VLOOKUP($AO97,'Технический лист'!$I:$J,2,1)),1+(1-$AU97))</f>
        <v/>
      </c>
      <c r="BC97" s="172">
        <f>MIN(IF($AU97=100%,1,1+VLOOKUP(($AJ97-$AI97-$AH97-$AG97-$AF97-$AE97*(1+BC$3))/$AJ97,'Технический лист'!$I:$J,2,1)-VLOOKUP($AO97,'Технический лист'!$I:$J,2,1)),1+(1-$AU97))</f>
        <v/>
      </c>
      <c r="BD97" s="172">
        <f>MIN(IF($AU97=100%,1,1+VLOOKUP(($AJ97-$AI97-$AH97-$AG97-$AF97-$AE97*(1+BD$3))/$AJ97,'Технический лист'!$I:$J,2,1)-VLOOKUP($AO97,'Технический лист'!$I:$J,2,1)),1+(1-$AU97))</f>
        <v/>
      </c>
      <c r="BE97" s="172">
        <f>MIN(IF($AU97=100%,1,1+VLOOKUP(($AJ97-$AI97-$AH97-$AG97-$AF97-$AE97*(1+BE$3))/$AJ97,'Технический лист'!$I:$J,2,1)-VLOOKUP($AO97,'Технический лист'!$I:$J,2,1)),1+(1-$AU97))</f>
        <v/>
      </c>
      <c r="BF97" s="172">
        <f>MIN(IF($AU97=100%,1,1+VLOOKUP(($AJ97-$AI97-$AH97-$AG97-$AF97-$AE97*(1+BF$3))/$AJ97,'Технический лист'!$I:$J,2,1)-VLOOKUP($AO97,'Технический лист'!$I:$J,2,1)),1+(1-$AU97))</f>
        <v/>
      </c>
      <c r="BG97" s="172">
        <f>MIN(IF($AU97=100%,1,1+VLOOKUP(($AJ97-$AI97-$AH97-$AG97-$AF97-$AE97*(1+BG$3))/$AJ97,'Технический лист'!$I:$J,2,1)-VLOOKUP($AO97,'Технический лист'!$I:$J,2,1)),1+(1-$AU97))</f>
        <v/>
      </c>
      <c r="BH97" s="172">
        <f>MIN(IF($AU97=100%,1,1+VLOOKUP(($AJ97-$AI97-$AH97-$AG97-$AF97-$AE97*(1+BH$3))/$AJ97,'Технический лист'!$I:$J,2,1)-VLOOKUP($AO97,'Технический лист'!$I:$J,2,1)),1+(1-$AU97))</f>
        <v/>
      </c>
      <c r="BI97" s="172">
        <f>MIN(IF($AU97=100%,1,1+VLOOKUP(($AJ97-$AI97-$AH97-$AG97-$AF97-$AE97*(1+BI$3))/$AJ97,'Технический лист'!$I:$J,2,1)-VLOOKUP($AO97,'Технический лист'!$I:$J,2,1)),1+(1-$AU97))</f>
        <v/>
      </c>
      <c r="BJ97" s="172">
        <f>MIN(IF($AU97=100%,1,1+VLOOKUP(($AJ97-$AI97-$AH97-$AG97-$AF97-$AE97*(1+BJ$3))/$AJ97,'Технический лист'!$I:$J,2,1)-VLOOKUP($AO97,'Технический лист'!$I:$J,2,1)),1+(1-$AU97))</f>
        <v/>
      </c>
      <c r="BK97" s="172">
        <f>MIN(IF($AU97=100%,1,1+VLOOKUP(($AJ97-$AI97-$AH97-$AG97-$AF97-$AE97*(1+BK$3))/$AJ97,'Технический лист'!$I:$J,2,1)-VLOOKUP($AO97,'Технический лист'!$I:$J,2,1)),1+(1-$AU97))</f>
        <v/>
      </c>
      <c r="BL97" s="172">
        <f>MIN(IF($AU97=100%,1,1+VLOOKUP(($AJ97-$AI97-$AH97-$AG97-$AF97-$AE97*(1+BL$3))/$AJ97,'Технический лист'!$I:$J,2,1)-VLOOKUP($AO97,'Технический лист'!$I:$J,2,1)),1+(1-$AU97))</f>
        <v/>
      </c>
      <c r="BM97" s="172">
        <f>MIN(IF($AU97=100%,1,1+VLOOKUP(($AJ97-$AI97-$AH97-$AG97-$AF97-$AE97*(1+BM$3))/$AJ97,'Технический лист'!$I:$J,2,1)-VLOOKUP($AO97,'Технический лист'!$I:$J,2,1)),1+(1-$AU97))</f>
        <v/>
      </c>
      <c r="BN97" s="172">
        <f>MIN(IF($AU97=100%,1,1+VLOOKUP(($AJ97-$AI97-$AH97-$AG97-$AF97-$AE97*(1+BN$3))/$AJ97,'Технический лист'!$I:$J,2,1)-VLOOKUP($AO97,'Технический лист'!$I:$J,2,1)),1+(1-$AU97))</f>
        <v/>
      </c>
      <c r="BO97" s="172">
        <f>MIN(IF($AU97=100%,1,1+VLOOKUP(($AJ97-$AI97-$AH97-$AG97-$AF97-$AE97*(1+BO$3))/$AJ97,'Технический лист'!$I:$J,2,1)-VLOOKUP($AO97,'Технический лист'!$I:$J,2,1)),1+(1-$AU97))</f>
        <v/>
      </c>
      <c r="BP97" s="172">
        <f>MIN(IF($AU97=100%,1,1+VLOOKUP(($AJ97-$AI97-$AH97-$AG97-$AF97-$AE97*(1+BP$3))/$AJ97,'Технический лист'!$I:$J,2,1)-VLOOKUP($AO97,'Технический лист'!$I:$J,2,1)),1+(1-$AU97))</f>
        <v/>
      </c>
      <c r="BQ97" s="172">
        <f>MIN(IF($AU97=100%,1,1+VLOOKUP(($AJ97-$AI97-$AH97-$AG97-$AF97-$AE97*(1+BQ$3))/$AJ97,'Технический лист'!$I:$J,2,1)-VLOOKUP($AO97,'Технический лист'!$I:$J,2,1)),1+(1-$AU97))</f>
        <v/>
      </c>
      <c r="BR97" s="172">
        <f>MIN(IF($AU97=100%,1,1+VLOOKUP(($AJ97-$AI97-$AH97-$AG97-$AF97-$AE97*(1+BR$3))/$AJ97,'Технический лист'!$I:$J,2,1)-VLOOKUP($AO97,'Технический лист'!$I:$J,2,1)),1+(1-$AU97))</f>
        <v/>
      </c>
      <c r="BS97" s="172">
        <f>MIN(IF($AU97=100%,1,1+VLOOKUP(($AJ97-$AI97-$AH97-$AG97-$AF97-$AE97*(1+BS$3))/$AJ97,'Технический лист'!$I:$J,2,1)-VLOOKUP($AO97,'Технический лист'!$I:$J,2,1)),1+(1-$AU97))</f>
        <v/>
      </c>
      <c r="BT97" s="172">
        <f>MIN(IF($AU97=100%,1,1+VLOOKUP(($AJ97-$AI97-$AH97-$AG97-$AF97-$AE97*(1+BT$3))/$AJ97,'Технический лист'!$I:$J,2,1)-VLOOKUP($AO97,'Технический лист'!$I:$J,2,1)),1+(1-$AU97))</f>
        <v/>
      </c>
      <c r="BU97" s="172">
        <f>MIN(IF($AU97=100%,1,1+VLOOKUP(($AJ97-$AI97-$AH97-$AG97-$AF97-$AE97*(1+BU$3))/$AJ97,'Технический лист'!$I:$J,2,1)-VLOOKUP($AO97,'Технический лист'!$I:$J,2,1)),1+(1-$AU97))</f>
        <v/>
      </c>
      <c r="BV97" s="172">
        <f>MIN(IF($AU97=100%,1,1+VLOOKUP(($AJ97-$AI97-$AH97-$AG97-$AF97-$AE97*(1+BV$3))/$AJ97,'Технический лист'!$I:$J,2,1)-VLOOKUP($AO97,'Технический лист'!$I:$J,2,1)),1+(1-$AU97))</f>
        <v/>
      </c>
      <c r="BW97" s="172">
        <f>MIN(IF($AU97=100%,1,1+VLOOKUP(($AJ97-$AI97-$AH97-$AG97-$AF97-$AE97*(1+BW$3))/$AJ97,'Технический лист'!$I:$J,2,1)-VLOOKUP($AO97,'Технический лист'!$I:$J,2,1)),1+(1-$AU97))</f>
        <v/>
      </c>
      <c r="BX97" s="172">
        <f>MIN(IF($AU97=100%,1,1+VLOOKUP(($AJ97-$AI97-$AH97-$AG97-$AF97-$AE97*(1+BX$3))/$AJ97,'Технический лист'!$I:$J,2,1)-VLOOKUP($AO97,'Технический лист'!$I:$J,2,1)),1+(1-$AU97))</f>
        <v/>
      </c>
      <c r="BY97" s="172">
        <f>MIN(IF($AU97=100%,1,1+VLOOKUP(($AJ97-$AI97-$AH97-$AG97-$AF97-$AE97*(1+BY$3))/$AJ97,'Технический лист'!$I:$J,2,1)-VLOOKUP($AO97,'Технический лист'!$I:$J,2,1)),1+(1-$AU97))</f>
        <v/>
      </c>
      <c r="BZ97" s="172">
        <f>MIN(IF($AU97=100%,1,1+VLOOKUP(($AJ97-$AI97-$AH97-$AG97-$AF97-$AE97*(1+BZ$3))/$AJ97,'Технический лист'!$I:$J,2,1)-VLOOKUP($AO97,'Технический лист'!$I:$J,2,1)),1+(1-$AU97))</f>
        <v/>
      </c>
      <c r="CA97" s="172">
        <f>MIN(IF($AU97=100%,1,1+VLOOKUP(($AJ97-$AI97-$AH97-$AG97-$AF97-$AE97*(1+CA$3))/$AJ97,'Технический лист'!$I:$J,2,1)-VLOOKUP($AO97,'Технический лист'!$I:$J,2,1)),1+(1-$AU97))</f>
        <v/>
      </c>
      <c r="CB97" s="172">
        <f>MIN(IF($AU97=100%,1,1+VLOOKUP(($AJ97-$AI97-$AH97-$AG97-$AF97-$AE97*(1+CB$3))/$AJ97,'Технический лист'!$I:$J,2,1)-VLOOKUP($AO97,'Технический лист'!$I:$J,2,1)),1+(1-$AU97))</f>
        <v/>
      </c>
      <c r="CC97" s="172">
        <f>MIN(IF($AU97=100%,1,1+VLOOKUP(($AJ97-$AI97-$AH97-$AG97-$AF97-$AE97*(1+CC$3))/$AJ97,'Технический лист'!$I:$J,2,1)-VLOOKUP($AO97,'Технический лист'!$I:$J,2,1)),1+(1-$AU97))</f>
        <v/>
      </c>
      <c r="CD97" s="172">
        <f>MIN(IF($AU97=100%,1,1+VLOOKUP(($AJ97-$AI97-$AH97-$AG97-$AF97-$AE97*(1+CD$3))/$AJ97,'Технический лист'!$I:$J,2,1)-VLOOKUP($AO97,'Технический лист'!$I:$J,2,1)),1+(1-$AU97))</f>
        <v/>
      </c>
      <c r="CE97" s="172">
        <f>MIN(IF($AU97=100%,1,1+VLOOKUP(($AJ97-$AI97-$AH97-$AG97-$AF97-$AE97*(1+CE$3))/$AJ97,'Технический лист'!$I:$J,2,1)-VLOOKUP($AO97,'Технический лист'!$I:$J,2,1)),1+(1-$AU97))</f>
        <v/>
      </c>
      <c r="CF97" s="172">
        <f>MIN(IF($AU97=100%,1,1+VLOOKUP(($AJ97-$AI97-$AH97-$AG97-$AF97-$AE97*(1+CF$3))/$AJ97,'Технический лист'!$I:$J,2,1)-VLOOKUP($AO97,'Технический лист'!$I:$J,2,1)),1+(1-$AU97))</f>
        <v/>
      </c>
      <c r="CG97" s="172">
        <f>MIN(IF($AU97=100%,1,1+VLOOKUP(($AJ97-$AI97-$AH97-$AG97-$AF97-$AE97*(1+CG$3))/$AJ97,'Технический лист'!$I:$J,2,1)-VLOOKUP($AO97,'Технический лист'!$I:$J,2,1)),1+(1-$AU97))</f>
        <v/>
      </c>
      <c r="CH97" s="172">
        <f>MIN(IF($AU97=100%,1,1+VLOOKUP(($AJ97-$AI97-$AH97-$AG97-$AF97-$AE97*(1+CH$3))/$AJ97,'Технический лист'!$I:$J,2,1)-VLOOKUP($AO97,'Технический лист'!$I:$J,2,1)),1+(1-$AU97))</f>
        <v/>
      </c>
      <c r="CI97" s="172">
        <f>MIN(IF($AU97=100%,1,1+VLOOKUP(($AJ97-$AI97-$AH97-$AG97-$AF97-$AE97*(1+CI$3))/$AJ97,'Технический лист'!$I:$J,2,1)-VLOOKUP($AO97,'Технический лист'!$I:$J,2,1)),1+(1-$AU97))</f>
        <v/>
      </c>
      <c r="CJ97" s="172">
        <f>MIN(IF($AU97=100%,1,1+VLOOKUP(($AJ97-$AI97-$AH97-$AG97-$AF97-$AE97*(1+CJ$3))/$AJ97,'Технический лист'!$I:$J,2,1)-VLOOKUP($AO97,'Технический лист'!$I:$J,2,1)),1+(1-$AU97))</f>
        <v/>
      </c>
      <c r="CK97" s="172">
        <f>MIN(IF($AU97=100%,1,1+VLOOKUP(($AJ97-$AI97-$AH97-$AG97-$AF97-$AE97*(1+CK$3))/$AJ97,'Технический лист'!$I:$J,2,1)-VLOOKUP($AO97,'Технический лист'!$I:$J,2,1)),1+(1-$AU97))</f>
        <v/>
      </c>
      <c r="CL97" s="172">
        <f>MIN(IF($AU97=100%,1,1+VLOOKUP(($AJ97-$AI97-$AH97-$AG97-$AF97-$AE97*(1+CL$3))/$AJ97,'Технический лист'!$I:$J,2,1)-VLOOKUP($AO97,'Технический лист'!$I:$J,2,1)),1+(1-$AU97))</f>
        <v/>
      </c>
      <c r="CM97" s="172">
        <f>MIN(IF($AU97=100%,1,1+VLOOKUP(($AJ97-$AI97-$AH97-$AG97-$AF97-$AE97*(1+CM$3))/$AJ97,'Технический лист'!$I:$J,2,1)-VLOOKUP($AO97,'Технический лист'!$I:$J,2,1)),1+(1-$AU97))</f>
        <v/>
      </c>
      <c r="CN97" s="172">
        <f>MIN(IF($AU97=100%,1,1+VLOOKUP(($AJ97-$AI97-$AH97-$AG97-$AF97-$AE97*(1+CN$3))/$AJ97,'Технический лист'!$I:$J,2,1)-VLOOKUP($AO97,'Технический лист'!$I:$J,2,1)),1+(1-$AU97))</f>
        <v/>
      </c>
      <c r="CO97" s="172">
        <f>MIN(IF($AU97=100%,1,1+VLOOKUP(($AJ97-$AI97-$AH97-$AG97-$AF97-$AE97*(1+CO$3))/$AJ97,'Технический лист'!$I:$J,2,1)-VLOOKUP($AO97,'Технический лист'!$I:$J,2,1)),1+(1-$AU97))</f>
        <v/>
      </c>
      <c r="CP97" s="172">
        <f>MIN(IF($AU97=100%,1,1+VLOOKUP(($AJ97-$AI97-$AH97-$AG97-$AF97-$AE97*(1+CP$3))/$AJ97,'Технический лист'!$I:$J,2,1)-VLOOKUP($AO97,'Технический лист'!$I:$J,2,1)),1+(1-$AU97))</f>
        <v/>
      </c>
      <c r="CQ97" s="172">
        <f>MIN(IF($AU97=100%,1,1+VLOOKUP(($AJ97-$AI97-$AH97-$AG97-$AF97-$AE97*(1+CQ$3))/$AJ97,'Технический лист'!$I:$J,2,1)-VLOOKUP($AO97,'Технический лист'!$I:$J,2,1)),1+(1-$AU97))</f>
        <v/>
      </c>
      <c r="CR97" s="172">
        <f>MIN(IF($AU97=100%,1,1+VLOOKUP(($AJ97-$AI97-$AH97-$AG97-$AF97-$AE97*(1+CR$3))/$AJ97,'Технический лист'!$I:$J,2,1)-VLOOKUP($AO97,'Технический лист'!$I:$J,2,1)),1+(1-$AU97))</f>
        <v/>
      </c>
      <c r="CS97" s="172">
        <f>MIN(IF($AU97=100%,1,1+VLOOKUP(($AJ97-$AI97-$AH97-$AG97-$AF97-$AE97*(1+CS$3))/$AJ97,'Технический лист'!$I:$J,2,1)-VLOOKUP($AO97,'Технический лист'!$I:$J,2,1)),1+(1-$AU97))</f>
        <v/>
      </c>
      <c r="CT97" s="172">
        <f>MIN(IF($AU97=100%,1,1+VLOOKUP(($AJ97-$AI97-$AH97-$AG97-$AF97-$AE97*(1+CT$3))/$AJ97,'Технический лист'!$I:$J,2,1)-VLOOKUP($AO97,'Технический лист'!$I:$J,2,1)),1+(1-$AU97))</f>
        <v/>
      </c>
      <c r="CU97" s="172">
        <f>MIN(IF($AU97=100%,1,1+VLOOKUP(($AJ97-$AI97-$AH97-$AG97-$AF97-$AE97*(1+CU$3))/$AJ97,'Технический лист'!$I:$J,2,1)-VLOOKUP($AO97,'Технический лист'!$I:$J,2,1)),1+(1-$AU97))</f>
        <v/>
      </c>
      <c r="CV97" s="172">
        <f>MIN(IF($AU97=100%,1,1+VLOOKUP(($AJ97-$AI97-$AH97-$AG97-$AF97-$AE97*(1+CV$3))/$AJ97,'Технический лист'!$I:$J,2,1)-VLOOKUP($AO97,'Технический лист'!$I:$J,2,1)),1+(1-$AU97))</f>
        <v/>
      </c>
      <c r="CW97" s="172">
        <f>MIN(IF($AU97=100%,1,1+VLOOKUP(($AJ97-$AI97-$AH97-$AG97-$AF97-$AE97*(1+CW$3))/$AJ97,'Технический лист'!$I:$J,2,1)-VLOOKUP($AO97,'Технический лист'!$I:$J,2,1)),1+(1-$AU97))</f>
        <v/>
      </c>
      <c r="CX97" s="172">
        <f>MIN(IF($AU97=100%,1,1+VLOOKUP(($AJ97-$AI97-$AH97-$AG97-$AF97-$AE97*(1+CX$3))/$AJ97,'Технический лист'!$I:$J,2,1)-VLOOKUP($AO97,'Технический лист'!$I:$J,2,1)),1+(1-$AU97))</f>
        <v/>
      </c>
      <c r="CY97" s="172">
        <f>MIN(IF($AU97=100%,1,1+VLOOKUP(($AJ97-$AI97-$AH97-$AG97-$AF97-$AE97*(1+CY$3))/$AJ97,'Технический лист'!$I:$J,2,1)-VLOOKUP($AO97,'Технический лист'!$I:$J,2,1)),1+(1-$AU97))</f>
        <v/>
      </c>
      <c r="CZ97" s="172">
        <f>MIN(IF($AU97=100%,1,1+VLOOKUP(($AJ97-$AI97-$AH97-$AG97-$AF97-$AE97*(1+CZ$3))/$AJ97,'Технический лист'!$I:$J,2,1)-VLOOKUP($AO97,'Технический лист'!$I:$J,2,1)),1+(1-$AU97))</f>
        <v/>
      </c>
      <c r="DA97" s="172">
        <f>MIN(IF($AU97=100%,1,1+VLOOKUP(($AJ97-$AI97-$AH97-$AG97-$AF97-$AE97*(1+DA$3))/$AJ97,'Технический лист'!$I:$J,2,1)-VLOOKUP($AO97,'Технический лист'!$I:$J,2,1)),1+(1-$AU97))</f>
        <v/>
      </c>
      <c r="DB97" s="172">
        <f>MIN(IF($AU97=100%,1,1+VLOOKUP(($AJ97-$AI97-$AH97-$AG97-$AF97-$AE97*(1+DB$3))/$AJ97,'Технический лист'!$I:$J,2,1)-VLOOKUP($AO97,'Технический лист'!$I:$J,2,1)),1+(1-$AU97))</f>
        <v/>
      </c>
      <c r="DC97" s="172">
        <f>MIN(IF($AU97=100%,1,1+VLOOKUP(($AJ97-$AI97-$AH97-$AG97-$AF97-$AE97*(1+DC$3))/$AJ97,'Технический лист'!$I:$J,2,1)-VLOOKUP($AO97,'Технический лист'!$I:$J,2,1)),1+(1-$AU97))</f>
        <v/>
      </c>
      <c r="DD97" s="172">
        <f>MIN(IF($AU97=100%,1,1+VLOOKUP(($AJ97-$AI97-$AH97-$AG97-$AF97-$AE97*(1+DD$3))/$AJ97,'Технический лист'!$I:$J,2,1)-VLOOKUP($AO97,'Технический лист'!$I:$J,2,1)),1+(1-$AU97))</f>
        <v/>
      </c>
      <c r="DE97" s="172">
        <f>MIN(IF($AU97=100%,1,1+VLOOKUP(($AJ97-$AI97-$AH97-$AG97-$AF97-$AE97*(1+DE$3))/$AJ97,'Технический лист'!$I:$J,2,1)-VLOOKUP($AO97,'Технический лист'!$I:$J,2,1)),1+(1-$AU97))</f>
        <v/>
      </c>
      <c r="DF97" s="172">
        <f>MIN(IF($AU97=100%,1,1+VLOOKUP(($AJ97-$AI97-$AH97-$AG97-$AF97-$AE97*(1+DF$3))/$AJ97,'Технический лист'!$I:$J,2,1)-VLOOKUP($AO97,'Технический лист'!$I:$J,2,1)),1+(1-$AU97))</f>
        <v/>
      </c>
      <c r="DG97" s="172">
        <f>MIN(IF($AU97=100%,1,1+VLOOKUP(($AJ97-$AI97-$AH97-$AG97-$AF97-$AE97*(1+DG$3))/$AJ97,'Технический лист'!$I:$J,2,1)-VLOOKUP($AO97,'Технический лист'!$I:$J,2,1)),1+(1-$AU97))</f>
        <v/>
      </c>
      <c r="DH97" s="172">
        <f>MIN(IF($AU97=100%,1,1+VLOOKUP(($AJ97-$AI97-$AH97-$AG97-$AF97-$AE97*(1+DH$3))/$AJ97,'Технический лист'!$I:$J,2,1)-VLOOKUP($AO97,'Технический лист'!$I:$J,2,1)),1+(1-$AU97))</f>
        <v/>
      </c>
      <c r="DI97" s="172">
        <f>MIN(IF($AU97=100%,1,1+VLOOKUP(($AJ97-$AI97-$AH97-$AG97-$AF97-$AE97*(1+DI$3))/$AJ97,'Технический лист'!$I:$J,2,1)-VLOOKUP($AO97,'Технический лист'!$I:$J,2,1)),1+(1-$AU97))</f>
        <v/>
      </c>
      <c r="DJ97" s="172">
        <f>MIN(IF($AU97=100%,1,1+VLOOKUP(($AJ97-$AI97-$AH97-$AG97-$AF97-$AE97*(1+DJ$3))/$AJ97,'Технический лист'!$I:$J,2,1)-VLOOKUP($AO97,'Технический лист'!$I:$J,2,1)),1+(1-$AU97))</f>
        <v/>
      </c>
      <c r="DK97" s="172">
        <f>MIN(IF($AU97=100%,1,1+VLOOKUP(($AJ97-$AI97-$AH97-$AG97-$AF97-$AE97*(1+DK$3))/$AJ97,'Технический лист'!$I:$J,2,1)-VLOOKUP($AO97,'Технический лист'!$I:$J,2,1)),1+(1-$AU97))</f>
        <v/>
      </c>
      <c r="DL97" s="172">
        <f>MIN(IF($AU97=100%,1,1+VLOOKUP(($AJ97-$AI97-$AH97-$AG97-$AF97-$AE97*(1+DL$3))/$AJ97,'Технический лист'!$I:$J,2,1)-VLOOKUP($AO97,'Технический лист'!$I:$J,2,1)),1+(1-$AU97))</f>
        <v/>
      </c>
      <c r="DM97" s="172">
        <f>MIN(IF($AU97=100%,1,1+VLOOKUP(($AJ97-$AI97-$AH97-$AG97-$AF97-$AE97*(1+DM$3))/$AJ97,'Технический лист'!$I:$J,2,1)-VLOOKUP($AO97,'Технический лист'!$I:$J,2,1)),1+(1-$AU97))</f>
        <v/>
      </c>
      <c r="DN97" s="172">
        <f>MIN(IF($AU97=100%,1,1+VLOOKUP(($AJ97-$AI97-$AH97-$AG97-$AF97-$AE97*(1+DN$3))/$AJ97,'Технический лист'!$I:$J,2,1)-VLOOKUP($AO97,'Технический лист'!$I:$J,2,1)),1+(1-$AU97))</f>
        <v/>
      </c>
      <c r="DO97" s="172">
        <f>MIN(IF($AU97=100%,1,1+VLOOKUP(($AJ97-$AI97-$AH97-$AG97-$AF97-$AE97*(1+DO$3))/$AJ97,'Технический лист'!$I:$J,2,1)-VLOOKUP($AO97,'Технический лист'!$I:$J,2,1)),1+(1-$AU97))</f>
        <v/>
      </c>
      <c r="DP97" s="172">
        <f>MIN(IF($AU97=100%,1,1+VLOOKUP(($AJ97-$AI97-$AH97-$AG97-$AF97-$AE97*(1+DP$3))/$AJ97,'Технический лист'!$I:$J,2,1)-VLOOKUP($AO97,'Технический лист'!$I:$J,2,1)),1+(1-$AU97))</f>
        <v/>
      </c>
      <c r="DQ97" s="172">
        <f>MIN(IF($AU97=100%,1,1+VLOOKUP(($AJ97-$AI97-$AH97-$AG97-$AF97-$AE97*(1+DQ$3))/$AJ97,'Технический лист'!$I:$J,2,1)-VLOOKUP($AO97,'Технический лист'!$I:$J,2,1)),1+(1-$AU97))</f>
        <v/>
      </c>
      <c r="DR97" s="172">
        <f>MIN(IF($AU97=100%,1,1+VLOOKUP(($AJ97-$AI97-$AH97-$AG97-$AF97-$AE97*(1+DR$3))/$AJ97,'Технический лист'!$I:$J,2,1)-VLOOKUP($AO97,'Технический лист'!$I:$J,2,1)),1+(1-$AU97))</f>
        <v/>
      </c>
      <c r="DS97" s="172">
        <f>MIN(IF($AU97=100%,1,1+VLOOKUP(($AJ97-$AI97-$AH97-$AG97-$AF97-$AE97*(1+DS$3))/$AJ97,'Технический лист'!$I:$J,2,1)-VLOOKUP($AO97,'Технический лист'!$I:$J,2,1)),1+(1-$AU97))</f>
        <v/>
      </c>
      <c r="DT97" s="172">
        <f>MIN(IF($AU97=100%,1,1+VLOOKUP(($AJ97-$AI97-$AH97-$AG97-$AF97-$AE97*(1+DT$3))/$AJ97,'Технический лист'!$I:$J,2,1)-VLOOKUP($AO97,'Технический лист'!$I:$J,2,1)),1+(1-$AU97))</f>
        <v/>
      </c>
      <c r="DU97" s="172">
        <f>MIN(IF($AU97=100%,1,1+VLOOKUP(($AJ97-$AI97-$AH97-$AG97-$AF97-$AE97*(1+DU$3))/$AJ97,'Технический лист'!$I:$J,2,1)-VLOOKUP($AO97,'Технический лист'!$I:$J,2,1)),1+(1-$AU97))</f>
        <v/>
      </c>
      <c r="DV97" s="172">
        <f>MIN(IF($AU97=100%,1,1+VLOOKUP(($AJ97-$AI97-$AH97-$AG97-$AF97-$AE97*(1+DV$3))/$AJ97,'Технический лист'!$I:$J,2,1)-VLOOKUP($AO97,'Технический лист'!$I:$J,2,1)),1+(1-$AU97))</f>
        <v/>
      </c>
      <c r="DW97" s="172">
        <f>MIN(IF($AU97=100%,1,1+VLOOKUP(($AJ97-$AI97-$AH97-$AG97-$AF97-$AE97*(1+DW$3))/$AJ97,'Технический лист'!$I:$J,2,1)-VLOOKUP($AO97,'Технический лист'!$I:$J,2,1)),1+(1-$AU97))</f>
        <v/>
      </c>
      <c r="DX97" s="172">
        <f>MIN(IF($AU97=100%,1,1+VLOOKUP(($AJ97-$AI97-$AH97-$AG97-$AF97-$AE97*(1+DX$3))/$AJ97,'Технический лист'!$I:$J,2,1)-VLOOKUP($AO97,'Технический лист'!$I:$J,2,1)),1+(1-$AU97))</f>
        <v/>
      </c>
      <c r="DY97" s="172">
        <f>MIN(IF($AU97=100%,1,1+VLOOKUP(($AJ97-$AI97-$AH97-$AG97-$AF97-$AE97*(1+DY$3))/$AJ97,'Технический лист'!$I:$J,2,1)-VLOOKUP($AO97,'Технический лист'!$I:$J,2,1)),1+(1-$AU97))</f>
        <v/>
      </c>
      <c r="DZ97" s="172">
        <f>MIN(IF($AU97=100%,1,1+VLOOKUP(($AJ97-$AI97-$AH97-$AG97-$AF97-$AE97*(1+DZ$3))/$AJ97,'Технический лист'!$I:$J,2,1)-VLOOKUP($AO97,'Технический лист'!$I:$J,2,1)),1+(1-$AU97))</f>
        <v/>
      </c>
      <c r="EA97" s="172">
        <f>MIN(IF($AU97=100%,1,1+VLOOKUP(($AJ97-$AI97-$AH97-$AG97-$AF97-$AE97*(1+EA$3))/$AJ97,'Технический лист'!$I:$J,2,1)-VLOOKUP($AO97,'Технический лист'!$I:$J,2,1)),1+(1-$AU97))</f>
        <v/>
      </c>
      <c r="EB97" s="172">
        <f>MIN(IF($AU97=100%,1,1+VLOOKUP(($AJ97-$AI97-$AH97-$AG97-$AF97-$AE97*(1+EB$3))/$AJ97,'Технический лист'!$I:$J,2,1)-VLOOKUP($AO97,'Технический лист'!$I:$J,2,1)),1+(1-$AU97))</f>
        <v/>
      </c>
      <c r="EC97" s="172">
        <f>MIN(IF($AU97=100%,1,1+VLOOKUP(($AJ97-$AI97-$AH97-$AG97-$AF97-$AE97*(1+EC$3))/$AJ97,'Технический лист'!$I:$J,2,1)-VLOOKUP($AO97,'Технический лист'!$I:$J,2,1)),1+(1-$AU97))</f>
        <v/>
      </c>
      <c r="ED97" s="172">
        <f>MIN(IF($AU97=100%,1,1+VLOOKUP(($AJ97-$AI97-$AH97-$AG97-$AF97-$AE97*(1+ED$3))/$AJ97,'Технический лист'!$I:$J,2,1)-VLOOKUP($AO97,'Технический лист'!$I:$J,2,1)),1+(1-$AU97))</f>
        <v/>
      </c>
      <c r="EE97" s="172">
        <f>MIN(IF($AU97=100%,1,1+VLOOKUP(($AJ97-$AI97-$AH97-$AG97-$AF97-$AE97*(1+EE$3))/$AJ97,'Технический лист'!$I:$J,2,1)-VLOOKUP($AO97,'Технический лист'!$I:$J,2,1)),1+(1-$AU97))</f>
        <v/>
      </c>
      <c r="EF97" s="172">
        <f>MIN(IF($AU97=100%,1,1+VLOOKUP(($AJ97-$AI97-$AH97-$AG97-$AF97-$AE97*(1+EF$3))/$AJ97,'Технический лист'!$I:$J,2,1)-VLOOKUP($AO97,'Технический лист'!$I:$J,2,1)),1+(1-$AU97))</f>
        <v/>
      </c>
      <c r="EG97" s="172">
        <f>MIN(IF($AU97=100%,1,1+VLOOKUP(($AJ97-$AI97-$AH97-$AG97-$AF97-$AE97*(1+EG$3))/$AJ97,'Технический лист'!$I:$J,2,1)-VLOOKUP($AO97,'Технический лист'!$I:$J,2,1)),1+(1-$AU97))</f>
        <v/>
      </c>
      <c r="EH97" s="172">
        <f>MIN(IF($AU97=100%,1,1+VLOOKUP(($AJ97-$AI97-$AH97-$AG97-$AF97-$AE97*(1+EH$3))/$AJ97,'Технический лист'!$I:$J,2,1)-VLOOKUP($AO97,'Технический лист'!$I:$J,2,1)),1+(1-$AU97))</f>
        <v/>
      </c>
      <c r="EI97" s="172">
        <f>MIN(IF($AU97=100%,1,1+VLOOKUP(($AJ97-$AI97-$AH97-$AG97-$AF97-$AE97*(1+EI$3))/$AJ97,'Технический лист'!$I:$J,2,1)-VLOOKUP($AO97,'Технический лист'!$I:$J,2,1)),1+(1-$AU97))</f>
        <v/>
      </c>
      <c r="EJ97" s="172">
        <f>MIN(IF($AU97=100%,1,1+VLOOKUP(($AJ97-$AI97-$AH97-$AG97-$AF97-$AE97*(1+EJ$3))/$AJ97,'Технический лист'!$I:$J,2,1)-VLOOKUP($AO97,'Технический лист'!$I:$J,2,1)),1+(1-$AU97))</f>
        <v/>
      </c>
      <c r="EK97" s="172">
        <f>MIN(IF($AU97=100%,1,1+VLOOKUP(($AJ97-$AI97-$AH97-$AG97-$AF97-$AE97*(1+EK$3))/$AJ97,'Технический лист'!$I:$J,2,1)-VLOOKUP($AO97,'Технический лист'!$I:$J,2,1)),1+(1-$AU97))</f>
        <v/>
      </c>
      <c r="EL97" s="172">
        <f>MIN(IF($AU97=100%,1,1+VLOOKUP(($AJ97-$AI97-$AH97-$AG97-$AF97-$AE97*(1+EL$3))/$AJ97,'Технический лист'!$I:$J,2,1)-VLOOKUP($AO97,'Технический лист'!$I:$J,2,1)),1+(1-$AU97))</f>
        <v/>
      </c>
      <c r="EM97" s="172">
        <f>MIN(IF($AU97=100%,1,1+VLOOKUP(($AJ97-$AI97-$AH97-$AG97-$AF97-$AE97*(1+EM$3))/$AJ97,'Технический лист'!$I:$J,2,1)-VLOOKUP($AO97,'Технический лист'!$I:$J,2,1)),1+(1-$AU97))</f>
        <v/>
      </c>
      <c r="EN97" s="172">
        <f>MIN(IF($AU97=100%,1,1+VLOOKUP(($AJ97-$AI97-$AH97-$AG97-$AF97-$AE97*(1+EN$3))/$AJ97,'Технический лист'!$I:$J,2,1)-VLOOKUP($AO97,'Технический лист'!$I:$J,2,1)),1+(1-$AU97))</f>
        <v/>
      </c>
      <c r="EO97" s="172">
        <f>MIN(IF($AU97=100%,1,1+VLOOKUP(($AJ97-$AI97-$AH97-$AG97-$AF97-$AE97*(1+EO$3))/$AJ97,'Технический лист'!$I:$J,2,1)-VLOOKUP($AO97,'Технический лист'!$I:$J,2,1)),1+(1-$AU97))</f>
        <v/>
      </c>
      <c r="EP97" s="172">
        <f>MIN(IF($AU97=100%,1,1+VLOOKUP(($AJ97-$AI97-$AH97-$AG97-$AF97-$AE97*(1+EP$3))/$AJ97,'Технический лист'!$I:$J,2,1)-VLOOKUP($AO97,'Технический лист'!$I:$J,2,1)),1+(1-$AU97))</f>
        <v/>
      </c>
      <c r="EQ97" s="172">
        <f>MIN(IF($AU97=100%,1,1+VLOOKUP(($AJ97-$AI97-$AH97-$AG97-$AF97-$AE97*(1+EQ$3))/$AJ97,'Технический лист'!$I:$J,2,1)-VLOOKUP($AO97,'Технический лист'!$I:$J,2,1)),1+(1-$AU97))</f>
        <v/>
      </c>
      <c r="ER97" s="172">
        <f>MIN(IF($AU97=100%,1,1+VLOOKUP(($AJ97-$AI97-$AH97-$AG97-$AF97-$AE97*(1+ER$3))/$AJ97,'Технический лист'!$I:$J,2,1)-VLOOKUP($AO97,'Технический лист'!$I:$J,2,1)),1+(1-$AU97))</f>
        <v/>
      </c>
      <c r="ES97" s="172">
        <f>MIN(IF($AU97=100%,1,1+VLOOKUP(($AJ97-$AI97-$AH97-$AG97-$AF97-$AE97*(1+ES$3))/$AJ97,'Технический лист'!$I:$J,2,1)-VLOOKUP($AO97,'Технический лист'!$I:$J,2,1)),1+(1-$AU97))</f>
        <v/>
      </c>
      <c r="ET97" s="172">
        <f>MIN(IF($AU97=100%,1,1+VLOOKUP(($AJ97-$AI97-$AH97-$AG97-$AF97-$AE97*(1+ET$3))/$AJ97,'Технический лист'!$I:$J,2,1)-VLOOKUP($AO97,'Технический лист'!$I:$J,2,1)),1+(1-$AU97))</f>
        <v/>
      </c>
      <c r="EU97" s="172">
        <f>MIN(IF($AU97=100%,1,1+VLOOKUP(($AJ97-$AI97-$AH97-$AG97-$AF97-$AE97*(1+EU$3))/$AJ97,'Технический лист'!$I:$J,2,1)-VLOOKUP($AO97,'Технический лист'!$I:$J,2,1)),1+(1-$AU97))</f>
        <v/>
      </c>
      <c r="EV97" s="173" t="n">
        <v>1</v>
      </c>
      <c r="EW97" s="172">
        <f>MIN(1,MAX(VLOOKUP(($AJ97-$AI97-$AH97-$AG97-$AF97-$AE97*(1+EW$3))/$AJ97,'Технический лист'!$A:$B,2,1),(EV97-0.05)))</f>
        <v/>
      </c>
      <c r="EX97" s="172">
        <f>MIN(1,MAX(VLOOKUP(($AJ97-$AI97-$AH97-$AG97-$AF97-$AE97*(1+EX$3))/$AJ97,'Технический лист'!$A:$B,2,1),(EW97-0.05)))</f>
        <v/>
      </c>
      <c r="EY97" s="172">
        <f>MIN(1,MAX(VLOOKUP(($AJ97-$AI97-$AH97-$AG97-$AF97-$AE97*(1+EY$3))/$AJ97,'Технический лист'!$A:$B,2,1),(EX97-0.05)))</f>
        <v/>
      </c>
      <c r="EZ97" s="172">
        <f>MIN(1,MAX(VLOOKUP(($AJ97-$AI97-$AH97-$AG97-$AF97-$AE97*(1+EZ$3))/$AJ97,'Технический лист'!$A:$B,2,1),(EY97-0.05)))</f>
        <v/>
      </c>
      <c r="FA97" s="172">
        <f>MIN(1,MAX(VLOOKUP(($AJ97-$AI97-$AH97-$AG97-$AF97-$AE97*(1+FA$3))/$AJ97,'Технический лист'!$A:$B,2,1),(EZ97-0.05)))</f>
        <v/>
      </c>
      <c r="FB97" s="172">
        <f>MIN(1,MAX(VLOOKUP(($AJ97-$AI97-$AH97-$AG97-$AF97-$AE97*(1+FB$3))/$AJ97,'Технический лист'!$A:$B,2,1),(FA97-0.05)))</f>
        <v/>
      </c>
      <c r="FC97" s="172">
        <f>MIN(1,MAX(VLOOKUP(($AJ97-$AI97-$AH97-$AG97-$AF97-$AE97*(1+FC$3))/$AJ97,'Технический лист'!$A:$B,2,1),(FB97-0.05)))</f>
        <v/>
      </c>
      <c r="FD97" s="172">
        <f>MIN(1,MAX(VLOOKUP(($AJ97-$AI97-$AH97-$AG97-$AF97-$AE97*(1+FD$3))/$AJ97,'Технический лист'!$A:$B,2,1),(FC97-0.05)))</f>
        <v/>
      </c>
      <c r="FE97" s="172">
        <f>MIN(1,MAX(VLOOKUP(($AJ97-$AI97-$AH97-$AG97-$AF97-$AE97*(1+FE$3))/$AJ97,'Технический лист'!$A:$B,2,1),(FD97-0.05)))</f>
        <v/>
      </c>
      <c r="FF97" s="172">
        <f>MIN(1,MAX(VLOOKUP(($AJ97-$AI97-$AH97-$AG97-$AF97-$AE97*(1+FF$3))/$AJ97,'Технический лист'!$A:$B,2,1),(FE97-0.05)))</f>
        <v/>
      </c>
      <c r="FG97" s="172">
        <f>MIN(1,MAX(VLOOKUP(($AJ97-$AI97-$AH97-$AG97-$AF97-$AE97*(1+FG$3))/$AJ97,'Технический лист'!$A:$B,2,1),(FF97-0.05)))</f>
        <v/>
      </c>
      <c r="FH97" s="172">
        <f>MIN(1,MAX(VLOOKUP(($AJ97-$AI97-$AH97-$AG97-$AF97-$AE97*(1+FH$3))/$AJ97,'Технический лист'!$A:$B,2,1),(FG97-0.05)))</f>
        <v/>
      </c>
      <c r="FI97" s="172">
        <f>MIN(1,MAX(VLOOKUP(($AJ97-$AI97-$AH97-$AG97-$AF97-$AE97*(1+FI$3))/$AJ97,'Технический лист'!$A:$B,2,1),(FH97-0.05)))</f>
        <v/>
      </c>
      <c r="FJ97" s="172">
        <f>MIN(1,MAX(VLOOKUP(($AJ97-$AI97-$AH97-$AG97-$AF97-$AE97*(1+FJ$3))/$AJ97,'Технический лист'!$A:$B,2,1),(FI97-0.05)))</f>
        <v/>
      </c>
      <c r="FK97" s="172">
        <f>MIN(1,MAX(VLOOKUP(($AJ97-$AI97-$AH97-$AG97-$AF97-$AE97*(1+FK$3))/$AJ97,'Технический лист'!$A:$B,2,1),(FJ97-0.05)))</f>
        <v/>
      </c>
      <c r="FL97" s="172">
        <f>MIN(1,MAX(VLOOKUP(($AJ97-$AI97-$AH97-$AG97-$AF97-$AE97*(1+FL$3))/$AJ97,'Технический лист'!$A:$B,2,1),(FK97-0.05)))</f>
        <v/>
      </c>
      <c r="FM97" s="172">
        <f>MIN(1,MAX(VLOOKUP(($AJ97-$AI97-$AH97-$AG97-$AF97-$AE97*(1+FM$3))/$AJ97,'Технический лист'!$A:$B,2,1),(FL97-0.05)))</f>
        <v/>
      </c>
      <c r="FN97" s="172">
        <f>MIN(1,MAX(VLOOKUP(($AJ97-$AI97-$AH97-$AG97-$AF97-$AE97*(1+FN$3))/$AJ97,'Технический лист'!$A:$B,2,1),(FM97-0.05)))</f>
        <v/>
      </c>
      <c r="FO97" s="172">
        <f>MIN(1,MAX(VLOOKUP(($AJ97-$AI97-$AH97-$AG97-$AF97-$AE97*(1+FO$3))/$AJ97,'Технический лист'!$A:$B,2,1),(FN97-0.05)))</f>
        <v/>
      </c>
      <c r="FP97" s="172">
        <f>MIN(1,MAX(VLOOKUP(($AJ97-$AI97-$AH97-$AG97-$AF97-$AE97*(1+FP$3))/$AJ97,'Технический лист'!$A:$B,2,1),(FO97-0.05)))</f>
        <v/>
      </c>
      <c r="FQ97" s="172">
        <f>MIN(1,MAX(VLOOKUP(($AJ97-$AI97-$AH97-$AG97-$AF97-$AE97*(1+FQ$3))/$AJ97,'Технический лист'!$A:$B,2,1),(FP97-0.05)))</f>
        <v/>
      </c>
      <c r="FR97" s="172">
        <f>MIN(1,MAX(VLOOKUP(($AJ97-$AI97-$AH97-$AG97-$AF97-$AE97*(1+FR$3))/$AJ97,'Технический лист'!$A:$B,2,1),(FQ97-0.05)))</f>
        <v/>
      </c>
      <c r="FS97" s="172">
        <f>MIN(1,MAX(VLOOKUP(($AJ97-$AI97-$AH97-$AG97-$AF97-$AE97*(1+FS$3))/$AJ97,'Технический лист'!$A:$B,2,1),(FR97-0.05)))</f>
        <v/>
      </c>
      <c r="FT97" s="172">
        <f>MIN(1,MAX(VLOOKUP(($AJ97-$AI97-$AH97-$AG97-$AF97-$AE97*(1+FT$3))/$AJ97,'Технический лист'!$A:$B,2,1),(FS97-0.05)))</f>
        <v/>
      </c>
      <c r="FU97" s="172">
        <f>MIN(1,MAX(VLOOKUP(($AJ97-$AI97-$AH97-$AG97-$AF97-$AE97*(1+FU$3))/$AJ97,'Технический лист'!$A:$B,2,1),(FT97-0.05)))</f>
        <v/>
      </c>
      <c r="FV97" s="172">
        <f>MIN(1,MAX(VLOOKUP(($AJ97-$AI97-$AH97-$AG97-$AF97-$AE97*(1+FV$3))/$AJ97,'Технический лист'!$A:$B,2,1),(FU97-0.05)))</f>
        <v/>
      </c>
      <c r="FW97" s="172">
        <f>MIN(1,MAX(VLOOKUP(($AJ97-$AI97-$AH97-$AG97-$AF97-$AE97*(1+FW$3))/$AJ97,'Технический лист'!$A:$B,2,1),(FV97-0.05)))</f>
        <v/>
      </c>
      <c r="FX97" s="172">
        <f>MIN(1,MAX(VLOOKUP(($AJ97-$AI97-$AH97-$AG97-$AF97-$AE97*(1+FX$3))/$AJ97,'Технический лист'!$A:$B,2,1),(FW97-0.05)))</f>
        <v/>
      </c>
      <c r="FY97" s="172">
        <f>MIN(1,MAX(VLOOKUP(($AJ97-$AI97-$AH97-$AG97-$AF97-$AE97*(1+FY$3))/$AJ97,'Технический лист'!$A:$B,2,1),(FX97-0.05)))</f>
        <v/>
      </c>
      <c r="FZ97" s="172">
        <f>MIN(1,MAX(VLOOKUP(($AJ97-$AI97-$AH97-$AG97-$AF97-$AE97*(1+FZ$3))/$AJ97,'Технический лист'!$A:$B,2,1),(FY97-0.05)))</f>
        <v/>
      </c>
      <c r="GA97" s="172">
        <f>MIN(1,MAX(VLOOKUP(($AJ97-$AI97-$AH97-$AG97-$AF97-$AE97*(1+GA$3))/$AJ97,'Технический лист'!$A:$B,2,1),(FZ97-0.05)))</f>
        <v/>
      </c>
      <c r="GB97" s="172">
        <f>MIN(1,MAX(VLOOKUP(($AJ97-$AI97-$AH97-$AG97-$AF97-$AE97*(1+GB$3))/$AJ97,'Технический лист'!$A:$B,2,1),(GA97-0.05)))</f>
        <v/>
      </c>
      <c r="GC97" s="172">
        <f>MIN(1,MAX(VLOOKUP(($AJ97-$AI97-$AH97-$AG97-$AF97-$AE97*(1+GC$3))/$AJ97,'Технический лист'!$A:$B,2,1),(GB97-0.05)))</f>
        <v/>
      </c>
      <c r="GD97" s="172">
        <f>MIN(1,MAX(VLOOKUP(($AJ97-$AI97-$AH97-$AG97-$AF97-$AE97*(1+GD$3))/$AJ97,'Технический лист'!$A:$B,2,1),(GC97-0.05)))</f>
        <v/>
      </c>
      <c r="GE97" s="172">
        <f>MIN(1,MAX(VLOOKUP(($AJ97-$AI97-$AH97-$AG97-$AF97-$AE97*(1+GE$3))/$AJ97,'Технический лист'!$A:$B,2,1),(GD97-0.05)))</f>
        <v/>
      </c>
      <c r="GF97" s="172">
        <f>MIN(1,MAX(VLOOKUP(($AJ97-$AI97-$AH97-$AG97-$AF97-$AE97*(1+GF$3))/$AJ97,'Технический лист'!$A:$B,2,1),(GE97-0.05)))</f>
        <v/>
      </c>
      <c r="GG97" s="172">
        <f>MIN(1,MAX(VLOOKUP(($AJ97-$AI97-$AH97-$AG97-$AF97-$AE97*(1+GG$3))/$AJ97,'Технический лист'!$A:$B,2,1),(GF97-0.05)))</f>
        <v/>
      </c>
      <c r="GH97" s="172">
        <f>MIN(1,MAX(VLOOKUP(($AJ97-$AI97-$AH97-$AG97-$AF97-$AE97*(1+GH$3))/$AJ97,'Технический лист'!$A:$B,2,1),(GG97-0.05)))</f>
        <v/>
      </c>
      <c r="GI97" s="172">
        <f>MIN(1,MAX(VLOOKUP(($AJ97-$AI97-$AH97-$AG97-$AF97-$AE97*(1+GI$3))/$AJ97,'Технический лист'!$A:$B,2,1),(GH97-0.05)))</f>
        <v/>
      </c>
      <c r="GJ97" s="172">
        <f>MIN(1,MAX(VLOOKUP(($AJ97-$AI97-$AH97-$AG97-$AF97-$AE97*(1+GJ$3))/$AJ97,'Технический лист'!$A:$B,2,1),(GI97-0.05)))</f>
        <v/>
      </c>
      <c r="GK97" s="172">
        <f>MIN(1,MAX(VLOOKUP(($AJ97-$AI97-$AH97-$AG97-$AF97-$AE97*(1+GK$3))/$AJ97,'Технический лист'!$A:$B,2,1),(GJ97-0.05)))</f>
        <v/>
      </c>
      <c r="GL97" s="172">
        <f>MIN(1,MAX(VLOOKUP(($AJ97-$AI97-$AH97-$AG97-$AF97-$AE97*(1+GL$3))/$AJ97,'Технический лист'!$A:$B,2,1),(GK97-0.05)))</f>
        <v/>
      </c>
      <c r="GM97" s="172">
        <f>MIN(1,MAX(VLOOKUP(($AJ97-$AI97-$AH97-$AG97-$AF97-$AE97*(1+GM$3))/$AJ97,'Технический лист'!$A:$B,2,1),(GL97-0.05)))</f>
        <v/>
      </c>
      <c r="GN97" s="172">
        <f>MIN(1,MAX(VLOOKUP(($AJ97-$AI97-$AH97-$AG97-$AF97-$AE97*(1+GN$3))/$AJ97,'Технический лист'!$A:$B,2,1),(GM97-0.05)))</f>
        <v/>
      </c>
      <c r="GO97" s="172">
        <f>MIN(1,MAX(VLOOKUP(($AJ97-$AI97-$AH97-$AG97-$AF97-$AE97*(1+GO$3))/$AJ97,'Технический лист'!$A:$B,2,1),(GN97-0.05)))</f>
        <v/>
      </c>
      <c r="GP97" s="172">
        <f>MIN(1,MAX(VLOOKUP(($AJ97-$AI97-$AH97-$AG97-$AF97-$AE97*(1+GP$3))/$AJ97,'Технический лист'!$A:$B,2,1),(GO97-0.05)))</f>
        <v/>
      </c>
      <c r="GQ97" s="172">
        <f>MIN(1,MAX(VLOOKUP(($AJ97-$AI97-$AH97-$AG97-$AF97-$AE97*(1+GQ$3))/$AJ97,'Технический лист'!$A:$B,2,1),(GP97-0.05)))</f>
        <v/>
      </c>
      <c r="GR97" s="172">
        <f>MIN(1,MAX(VLOOKUP(($AJ97-$AI97-$AH97-$AG97-$AF97-$AE97*(1+GR$3))/$AJ97,'Технический лист'!$A:$B,2,1),(GQ97-0.05)))</f>
        <v/>
      </c>
      <c r="GS97" s="172">
        <f>MIN(1,MAX(VLOOKUP(($AJ97-$AI97-$AH97-$AG97-$AF97-$AE97*(1+GS$3))/$AJ97,'Технический лист'!$A:$B,2,1),(GR97-0.05)))</f>
        <v/>
      </c>
      <c r="GT97" s="172">
        <f>MIN(1,MAX(VLOOKUP(($AJ97-$AI97-$AH97-$AG97-$AF97-$AE97*(1+GT$3))/$AJ97,'Технический лист'!$A:$B,2,1),(GS97-0.05)))</f>
        <v/>
      </c>
      <c r="GU97" s="172">
        <f>MIN(1,MAX(VLOOKUP(($AJ97-$AI97-$AH97-$AG97-$AF97-$AE97*(1+GU$3))/$AJ97,'Технический лист'!$A:$B,2,1),(GT97-0.05)))</f>
        <v/>
      </c>
      <c r="GV97" s="172">
        <f>MIN(1,MAX(VLOOKUP(($AJ97-$AI97-$AH97-$AG97-$AF97-$AE97*(1+GV$3))/$AJ97,'Технический лист'!$A:$B,2,1),(GU97-0.05)))</f>
        <v/>
      </c>
      <c r="GW97" s="172">
        <f>MIN(1,MAX(VLOOKUP(($AJ97-$AI97-$AH97-$AG97-$AF97-$AE97*(1+GW$3))/$AJ97,'Технический лист'!$A:$B,2,1),(GV97-0.05)))</f>
        <v/>
      </c>
      <c r="GX97" s="172">
        <f>MIN(1,MAX(VLOOKUP(($AJ97-$AI97-$AH97-$AG97-$AF97-$AE97*(1+GX$3))/$AJ97,'Технический лист'!$A:$B,2,1),(GW97-0.05)))</f>
        <v/>
      </c>
      <c r="GY97" s="172">
        <f>MIN(1,MAX(VLOOKUP(($AJ97-$AI97-$AH97-$AG97-$AF97-$AE97*(1+GY$3))/$AJ97,'Технический лист'!$A:$B,2,1),(GX97-0.05)))</f>
        <v/>
      </c>
      <c r="GZ97" s="172">
        <f>MIN(1,MAX(VLOOKUP(($AJ97-$AI97-$AH97-$AG97-$AF97-$AE97*(1+GZ$3))/$AJ97,'Технический лист'!$A:$B,2,1),(GY97-0.05)))</f>
        <v/>
      </c>
      <c r="HA97" s="172">
        <f>MIN(1,MAX(VLOOKUP(($AJ97-$AI97-$AH97-$AG97-$AF97-$AE97*(1+HA$3))/$AJ97,'Технический лист'!$A:$B,2,1),(GZ97-0.05)))</f>
        <v/>
      </c>
      <c r="HB97" s="172">
        <f>MIN(1,MAX(VLOOKUP(($AJ97-$AI97-$AH97-$AG97-$AF97-$AE97*(1+HB$3))/$AJ97,'Технический лист'!$A:$B,2,1),(HA97-0.05)))</f>
        <v/>
      </c>
      <c r="HC97" s="172">
        <f>MIN(1,MAX(VLOOKUP(($AJ97-$AI97-$AH97-$AG97-$AF97-$AE97*(1+HC$3))/$AJ97,'Технический лист'!$A:$B,2,1),(HB97-0.05)))</f>
        <v/>
      </c>
      <c r="HD97" s="172">
        <f>MIN(1,MAX(VLOOKUP(($AJ97-$AI97-$AH97-$AG97-$AF97-$AE97*(1+HD$3))/$AJ97,'Технический лист'!$A:$B,2,1),(HC97-0.05)))</f>
        <v/>
      </c>
      <c r="HE97" s="172">
        <f>MIN(1,MAX(VLOOKUP(($AJ97-$AI97-$AH97-$AG97-$AF97-$AE97*(1+HE$3))/$AJ97,'Технический лист'!$A:$B,2,1),(HD97-0.05)))</f>
        <v/>
      </c>
      <c r="HF97" s="172">
        <f>MIN(1,MAX(VLOOKUP(($AJ97-$AI97-$AH97-$AG97-$AF97-$AE97*(1+HF$3))/$AJ97,'Технический лист'!$A:$B,2,1),(HE97-0.05)))</f>
        <v/>
      </c>
      <c r="HG97" s="172">
        <f>MIN(1,MAX(VLOOKUP(($AJ97-$AI97-$AH97-$AG97-$AF97-$AE97*(1+HG$3))/$AJ97,'Технический лист'!$A:$B,2,1),(HF97-0.05)))</f>
        <v/>
      </c>
      <c r="HH97" s="172">
        <f>MIN(1,MAX(VLOOKUP(($AJ97-$AI97-$AH97-$AG97-$AF97-$AE97*(1+HH$3))/$AJ97,'Технический лист'!$A:$B,2,1),(HG97-0.05)))</f>
        <v/>
      </c>
      <c r="HI97" s="172">
        <f>MIN(1,MAX(VLOOKUP(($AJ97-$AI97-$AH97-$AG97-$AF97-$AE97*(1+HI$3))/$AJ97,'Технический лист'!$A:$B,2,1),(HH97-0.05)))</f>
        <v/>
      </c>
      <c r="HJ97" s="172">
        <f>MIN(1,MAX(VLOOKUP(($AJ97-$AI97-$AH97-$AG97-$AF97-$AE97*(1+HJ$3))/$AJ97,'Технический лист'!$A:$B,2,1),(HI97-0.05)))</f>
        <v/>
      </c>
      <c r="HK97" s="172">
        <f>MIN(1,MAX(VLOOKUP(($AJ97-$AI97-$AH97-$AG97-$AF97-$AE97*(1+HK$3))/$AJ97,'Технический лист'!$A:$B,2,1),(HJ97-0.05)))</f>
        <v/>
      </c>
      <c r="HL97" s="172">
        <f>MIN(1,MAX(VLOOKUP(($AJ97-$AI97-$AH97-$AG97-$AF97-$AE97*(1+HL$3))/$AJ97,'Технический лист'!$A:$B,2,1),(HK97-0.05)))</f>
        <v/>
      </c>
      <c r="HM97" s="172">
        <f>MIN(1,MAX(VLOOKUP(($AJ97-$AI97-$AH97-$AG97-$AF97-$AE97*(1+HM$3))/$AJ97,'Технический лист'!$A:$B,2,1),(HL97-0.05)))</f>
        <v/>
      </c>
      <c r="HN97" s="172">
        <f>MIN(1,MAX(VLOOKUP(($AJ97-$AI97-$AH97-$AG97-$AF97-$AE97*(1+HN$3))/$AJ97,'Технический лист'!$A:$B,2,1),(HM97-0.05)))</f>
        <v/>
      </c>
      <c r="HO97" s="172">
        <f>MIN(1,MAX(VLOOKUP(($AJ97-$AI97-$AH97-$AG97-$AF97-$AE97*(1+HO$3))/$AJ97,'Технический лист'!$A:$B,2,1),(HN97-0.05)))</f>
        <v/>
      </c>
      <c r="HP97" s="172">
        <f>MIN(1,MAX(VLOOKUP(($AJ97-$AI97-$AH97-$AG97-$AF97-$AE97*(1+HP$3))/$AJ97,'Технический лист'!$A:$B,2,1),(HO97-0.05)))</f>
        <v/>
      </c>
      <c r="HQ97" s="172">
        <f>MIN(1,MAX(VLOOKUP(($AJ97-$AI97-$AH97-$AG97-$AF97-$AE97*(1+HQ$3))/$AJ97,'Технический лист'!$A:$B,2,1),(HP97-0.05)))</f>
        <v/>
      </c>
      <c r="HR97" s="172">
        <f>MIN(1,MAX(VLOOKUP(($AJ97-$AI97-$AH97-$AG97-$AF97-$AE97*(1+HR$3))/$AJ97,'Технический лист'!$A:$B,2,1),(HQ97-0.05)))</f>
        <v/>
      </c>
      <c r="HS97" s="172">
        <f>MIN(1,MAX(VLOOKUP(($AJ97-$AI97-$AH97-$AG97-$AF97-$AE97*(1+HS$3))/$AJ97,'Технический лист'!$A:$B,2,1),(HR97-0.05)))</f>
        <v/>
      </c>
      <c r="HT97" s="172">
        <f>MIN(1,MAX(VLOOKUP(($AJ97-$AI97-$AH97-$AG97-$AF97-$AE97*(1+HT$3))/$AJ97,'Технический лист'!$A:$B,2,1),(HS97-0.05)))</f>
        <v/>
      </c>
      <c r="HU97" s="172">
        <f>MIN(1,MAX(VLOOKUP(($AJ97-$AI97-$AH97-$AG97-$AF97-$AE97*(1+HU$3))/$AJ97,'Технический лист'!$A:$B,2,1),(HT97-0.05)))</f>
        <v/>
      </c>
      <c r="HV97" s="172">
        <f>MIN(1,MAX(VLOOKUP(($AJ97-$AI97-$AH97-$AG97-$AF97-$AE97*(1+HV$3))/$AJ97,'Технический лист'!$A:$B,2,1),(HU97-0.05)))</f>
        <v/>
      </c>
      <c r="HW97" s="172">
        <f>MIN(1,MAX(VLOOKUP(($AJ97-$AI97-$AH97-$AG97-$AF97-$AE97*(1+HW$3))/$AJ97,'Технический лист'!$A:$B,2,1),(HV97-0.05)))</f>
        <v/>
      </c>
      <c r="HX97" s="172">
        <f>MIN(1,MAX(VLOOKUP(($AJ97-$AI97-$AH97-$AG97-$AF97-$AE97*(1+HX$3))/$AJ97,'Технический лист'!$A:$B,2,1),(HW97-0.05)))</f>
        <v/>
      </c>
      <c r="HY97" s="172">
        <f>MIN(1,MAX(VLOOKUP(($AJ97-$AI97-$AH97-$AG97-$AF97-$AE97*(1+HY$3))/$AJ97,'Технический лист'!$A:$B,2,1),(HX97-0.05)))</f>
        <v/>
      </c>
      <c r="HZ97" s="172">
        <f>MIN(1,MAX(VLOOKUP(($AJ97-$AI97-$AH97-$AG97-$AF97-$AE97*(1+HZ$3))/$AJ97,'Технический лист'!$A:$B,2,1),(HY97-0.05)))</f>
        <v/>
      </c>
      <c r="IA97" s="172">
        <f>MIN(1,MAX(VLOOKUP(($AJ97-$AI97-$AH97-$AG97-$AF97-$AE97*(1+IA$3))/$AJ97,'Технический лист'!$A:$B,2,1),(HZ97-0.05)))</f>
        <v/>
      </c>
      <c r="IB97" s="172">
        <f>MIN(1,MAX(VLOOKUP(($AJ97-$AI97-$AH97-$AG97-$AF97-$AE97*(1+IB$3))/$AJ97,'Технический лист'!$A:$B,2,1),(IA97-0.05)))</f>
        <v/>
      </c>
      <c r="IC97" s="172">
        <f>MIN(1,MAX(VLOOKUP(($AJ97-$AI97-$AH97-$AG97-$AF97-$AE97*(1+IC$3))/$AJ97,'Технический лист'!$A:$B,2,1),(IB97-0.05)))</f>
        <v/>
      </c>
      <c r="ID97" s="172">
        <f>MIN(1,MAX(VLOOKUP(($AJ97-$AI97-$AH97-$AG97-$AF97-$AE97*(1+ID$3))/$AJ97,'Технический лист'!$A:$B,2,1),(IC97-0.05)))</f>
        <v/>
      </c>
      <c r="IE97" s="172">
        <f>MIN(1,MAX(VLOOKUP(($AJ97-$AI97-$AH97-$AG97-$AF97-$AE97*(1+IE$3))/$AJ97,'Технический лист'!$A:$B,2,1),(ID97-0.05)))</f>
        <v/>
      </c>
      <c r="IF97" s="172">
        <f>MIN(1,MAX(VLOOKUP(($AJ97-$AI97-$AH97-$AG97-$AF97-$AE97*(1+IF$3))/$AJ97,'Технический лист'!$A:$B,2,1),(IE97-0.05)))</f>
        <v/>
      </c>
      <c r="IG97" s="172">
        <f>MIN(1,MAX(VLOOKUP(($AJ97-$AI97-$AH97-$AG97-$AF97-$AE97*(1+IG$3))/$AJ97,'Технический лист'!$A:$B,2,1),(IF97-0.05)))</f>
        <v/>
      </c>
      <c r="IH97" s="172">
        <f>MIN(1,MAX(VLOOKUP(($AJ97-$AI97-$AH97-$AG97-$AF97-$AE97*(1+IH$3))/$AJ97,'Технический лист'!$A:$B,2,1),(IG97-0.05)))</f>
        <v/>
      </c>
      <c r="II97" s="172">
        <f>MIN(1,MAX(VLOOKUP(($AJ97-$AI97-$AH97-$AG97-$AF97-$AE97*(1+II$3))/$AJ97,'Технический лист'!$A:$B,2,1),(IH97-0.05)))</f>
        <v/>
      </c>
      <c r="IJ97" s="172">
        <f>MIN(1,MAX(VLOOKUP(($AJ97-$AI97-$AH97-$AG97-$AF97-$AE97*(1+IJ$3))/$AJ97,'Технический лист'!$A:$B,2,1),(II97-0.05)))</f>
        <v/>
      </c>
      <c r="IK97" s="172">
        <f>MIN(1,MAX(VLOOKUP(($AJ97-$AI97-$AH97-$AG97-$AF97-$AE97*(1+IK$3))/$AJ97,'Технический лист'!$A:$B,2,1),(IJ97-0.05)))</f>
        <v/>
      </c>
      <c r="IL97" s="172">
        <f>MIN(1,MAX(VLOOKUP(($AJ97-$AI97-$AH97-$AG97-$AF97-$AE97*(1+IL$3))/$AJ97,'Технический лист'!$A:$B,2,1),(IK97-0.05)))</f>
        <v/>
      </c>
      <c r="IM97" s="172">
        <f>MIN(1,MAX(VLOOKUP(($AJ97-$AI97-$AH97-$AG97-$AF97-$AE97*(1+IM$3))/$AJ97,'Технический лист'!$A:$B,2,1),(IL97-0.05)))</f>
        <v/>
      </c>
      <c r="IN97" s="172">
        <f>MIN(1,MAX(VLOOKUP(($AJ97-$AI97-$AH97-$AG97-$AF97-$AE97*(1+IN$3))/$AJ97,'Технический лист'!$A:$B,2,1),(IM97-0.05)))</f>
        <v/>
      </c>
      <c r="IO97" s="172">
        <f>MIN(1,MAX(VLOOKUP(($AJ97-$AI97-$AH97-$AG97-$AF97-$AE97*(1+IO$3))/$AJ97,'Технический лист'!$A:$B,2,1),(IN97-0.05)))</f>
        <v/>
      </c>
      <c r="IP97" s="172">
        <f>MIN(1,MAX(VLOOKUP(($AJ97-$AI97-$AH97-$AG97-$AF97-$AE97*(1+IP$3))/$AJ97,'Технический лист'!$A:$B,2,1),(IO97-0.05)))</f>
        <v/>
      </c>
      <c r="IQ97" s="172">
        <f>MIN(1,MAX(VLOOKUP(($AJ97-$AI97-$AH97-$AG97-$AF97-$AE97*(1+IQ$3))/$AJ97,'Технический лист'!$A:$B,2,1),(IP97-0.05)))</f>
        <v/>
      </c>
      <c r="IR97" s="172">
        <f>MIN(1,MAX(VLOOKUP(($AJ97-$AI97-$AH97-$AG97-$AF97-$AE97*(1+IR$3))/$AJ97,'Технический лист'!$A:$B,2,1),(IQ97-0.05)))</f>
        <v/>
      </c>
    </row>
    <row r="98">
      <c r="A98" s="89" t="inlineStr">
        <is>
          <t>ЧМ (продукция)</t>
        </is>
      </c>
      <c r="B98" s="90" t="n">
        <v>5</v>
      </c>
      <c r="C98" s="5" t="inlineStr">
        <is>
          <t>Черные металлы</t>
        </is>
      </c>
      <c r="D98" s="91" t="n">
        <v>32403</v>
      </c>
      <c r="E98" s="91" t="inlineStr">
        <is>
          <t xml:space="preserve">Катанка стальная </t>
        </is>
      </c>
      <c r="F98" s="92" t="inlineStr">
        <is>
          <t>ПРОЧИЕ ВИДЫ ПРОКАТА ЧЕРНЫ</t>
        </is>
      </c>
      <c r="G98" s="91" t="inlineStr">
        <is>
          <t>СВР</t>
        </is>
      </c>
      <c r="H98" s="91" t="inlineStr">
        <is>
          <t>МСК</t>
        </is>
      </c>
      <c r="I98" s="91" t="inlineStr">
        <is>
          <t>АППАРАТНАЯ</t>
        </is>
      </c>
      <c r="J98" s="91" t="inlineStr">
        <is>
          <t>НАХАБИНО</t>
        </is>
      </c>
      <c r="K98" s="91" t="n">
        <v>1861</v>
      </c>
      <c r="L98" s="91" t="inlineStr">
        <is>
          <t>Полувагоны</t>
        </is>
      </c>
      <c r="M98" s="91" t="inlineStr">
        <is>
          <t>Внутр. перевозки</t>
        </is>
      </c>
      <c r="N98" s="91" t="inlineStr">
        <is>
          <t>вагонная</t>
        </is>
      </c>
      <c r="O98" s="91" t="inlineStr">
        <is>
          <t xml:space="preserve">Северо-Западное </t>
        </is>
      </c>
      <c r="P98" s="89" t="inlineStr">
        <is>
          <t>'000055791017</t>
        </is>
      </c>
      <c r="Q98" s="91" t="inlineStr">
        <is>
          <t>ООО "ПРОМСОРТ-УРАЛ"</t>
        </is>
      </c>
      <c r="R98" s="91" t="inlineStr">
        <is>
          <t>ООО "УК"ПМХ"</t>
        </is>
      </c>
      <c r="S98" s="87" t="n">
        <v>8971</v>
      </c>
      <c r="T98" s="87" t="n">
        <v>16694687</v>
      </c>
      <c r="U98" s="88" t="n">
        <v>142</v>
      </c>
      <c r="V98" s="88" t="n">
        <v>0</v>
      </c>
      <c r="W98" s="87" t="n">
        <v>31249756</v>
      </c>
      <c r="X98" s="112" t="n">
        <v>67</v>
      </c>
      <c r="Y98" s="112" t="inlineStr">
        <is>
          <t>групповая</t>
        </is>
      </c>
      <c r="Z98" s="113" t="n">
        <v>9</v>
      </c>
      <c r="AA98" s="113" t="n">
        <v>6</v>
      </c>
      <c r="AB98" s="113" t="n">
        <v>4</v>
      </c>
      <c r="AC98" s="161" t="n">
        <v>3585.12</v>
      </c>
      <c r="AD98" s="161">
        <f>AE98-AC98</f>
        <v/>
      </c>
      <c r="AE98" s="161" t="n">
        <v>4123.15</v>
      </c>
      <c r="AF98" s="162">
        <f>(Z98+AA98+AB98)*'Ставки аренды'!$B$3/X98</f>
        <v/>
      </c>
      <c r="AG98" s="163" t="n">
        <v>0</v>
      </c>
      <c r="AH98" s="164" t="n">
        <v>0</v>
      </c>
      <c r="AI98" s="165">
        <f>56808019/60637187*AVERAGE(AJ95,AJ98)</f>
        <v/>
      </c>
      <c r="AJ98" s="166">
        <f>Цены!D23</f>
        <v/>
      </c>
      <c r="AK98" s="164">
        <f>AJ98/Цены!$B$1</f>
        <v/>
      </c>
      <c r="AL98" s="164">
        <f>AE98+AF98+AG98</f>
        <v/>
      </c>
      <c r="AM98" s="164">
        <f>AJ98-AL98</f>
        <v/>
      </c>
      <c r="AN98" s="164">
        <f>AI98+AH98+AG98+AF98+AE98</f>
        <v/>
      </c>
      <c r="AO98" s="167">
        <f>(AJ98-AN98)/AJ98</f>
        <v/>
      </c>
      <c r="AP98" s="168">
        <f>AL98/AJ98</f>
        <v/>
      </c>
      <c r="AQ98" s="168">
        <f>AE98/AJ98</f>
        <v/>
      </c>
      <c r="AR98" s="168">
        <f>AE98/AL98</f>
        <v/>
      </c>
      <c r="AS98" s="169" t="n">
        <v>1</v>
      </c>
      <c r="AT98" s="121">
        <f>S98*AS98</f>
        <v/>
      </c>
      <c r="AU98" s="83" t="n">
        <v>0.8</v>
      </c>
      <c r="AV98" s="170">
        <f>(AJ98-(AE98*(1+$IS$2)+AF98+AG98+AH98+AI98))/AJ98</f>
        <v/>
      </c>
      <c r="AW98" s="171">
        <f>(AE98*(1+$IS$2)+AF98+AG98)/AJ98</f>
        <v/>
      </c>
      <c r="AX98" s="171">
        <f>(AE98*(1+$IS$2))/AJ98</f>
        <v/>
      </c>
      <c r="AY98" s="171">
        <f>(AE98*(1+$IS$2))/(AE98*(1+$IS$2)+AF98+AG98)</f>
        <v/>
      </c>
      <c r="AZ98" s="172">
        <f>MIN(IF($AU98=100%,1,1+VLOOKUP(($AJ98-$AI98-$AH98-$AG98-$AF98-$AE98*(1+AZ$3))/$AJ98,'Технический лист'!$I:$J,2,1)-VLOOKUP($AO98,'Технический лист'!$I:$J,2,1)),1+(1-$AU98))</f>
        <v/>
      </c>
      <c r="BA98" s="172">
        <f>MIN(IF($AU98=100%,1,1+VLOOKUP(($AJ98-$AI98-$AH98-$AG98-$AF98-$AE98*(1+BA$3))/$AJ98,'Технический лист'!$I:$J,2,1)-VLOOKUP($AO98,'Технический лист'!$I:$J,2,1)),1+(1-$AU98))</f>
        <v/>
      </c>
      <c r="BB98" s="172">
        <f>MIN(IF($AU98=100%,1,1+VLOOKUP(($AJ98-$AI98-$AH98-$AG98-$AF98-$AE98*(1+BB$3))/$AJ98,'Технический лист'!$I:$J,2,1)-VLOOKUP($AO98,'Технический лист'!$I:$J,2,1)),1+(1-$AU98))</f>
        <v/>
      </c>
      <c r="BC98" s="172">
        <f>MIN(IF($AU98=100%,1,1+VLOOKUP(($AJ98-$AI98-$AH98-$AG98-$AF98-$AE98*(1+BC$3))/$AJ98,'Технический лист'!$I:$J,2,1)-VLOOKUP($AO98,'Технический лист'!$I:$J,2,1)),1+(1-$AU98))</f>
        <v/>
      </c>
      <c r="BD98" s="172">
        <f>MIN(IF($AU98=100%,1,1+VLOOKUP(($AJ98-$AI98-$AH98-$AG98-$AF98-$AE98*(1+BD$3))/$AJ98,'Технический лист'!$I:$J,2,1)-VLOOKUP($AO98,'Технический лист'!$I:$J,2,1)),1+(1-$AU98))</f>
        <v/>
      </c>
      <c r="BE98" s="172">
        <f>MIN(IF($AU98=100%,1,1+VLOOKUP(($AJ98-$AI98-$AH98-$AG98-$AF98-$AE98*(1+BE$3))/$AJ98,'Технический лист'!$I:$J,2,1)-VLOOKUP($AO98,'Технический лист'!$I:$J,2,1)),1+(1-$AU98))</f>
        <v/>
      </c>
      <c r="BF98" s="172">
        <f>MIN(IF($AU98=100%,1,1+VLOOKUP(($AJ98-$AI98-$AH98-$AG98-$AF98-$AE98*(1+BF$3))/$AJ98,'Технический лист'!$I:$J,2,1)-VLOOKUP($AO98,'Технический лист'!$I:$J,2,1)),1+(1-$AU98))</f>
        <v/>
      </c>
      <c r="BG98" s="172">
        <f>MIN(IF($AU98=100%,1,1+VLOOKUP(($AJ98-$AI98-$AH98-$AG98-$AF98-$AE98*(1+BG$3))/$AJ98,'Технический лист'!$I:$J,2,1)-VLOOKUP($AO98,'Технический лист'!$I:$J,2,1)),1+(1-$AU98))</f>
        <v/>
      </c>
      <c r="BH98" s="172">
        <f>MIN(IF($AU98=100%,1,1+VLOOKUP(($AJ98-$AI98-$AH98-$AG98-$AF98-$AE98*(1+BH$3))/$AJ98,'Технический лист'!$I:$J,2,1)-VLOOKUP($AO98,'Технический лист'!$I:$J,2,1)),1+(1-$AU98))</f>
        <v/>
      </c>
      <c r="BI98" s="172">
        <f>MIN(IF($AU98=100%,1,1+VLOOKUP(($AJ98-$AI98-$AH98-$AG98-$AF98-$AE98*(1+BI$3))/$AJ98,'Технический лист'!$I:$J,2,1)-VLOOKUP($AO98,'Технический лист'!$I:$J,2,1)),1+(1-$AU98))</f>
        <v/>
      </c>
      <c r="BJ98" s="172">
        <f>MIN(IF($AU98=100%,1,1+VLOOKUP(($AJ98-$AI98-$AH98-$AG98-$AF98-$AE98*(1+BJ$3))/$AJ98,'Технический лист'!$I:$J,2,1)-VLOOKUP($AO98,'Технический лист'!$I:$J,2,1)),1+(1-$AU98))</f>
        <v/>
      </c>
      <c r="BK98" s="172">
        <f>MIN(IF($AU98=100%,1,1+VLOOKUP(($AJ98-$AI98-$AH98-$AG98-$AF98-$AE98*(1+BK$3))/$AJ98,'Технический лист'!$I:$J,2,1)-VLOOKUP($AO98,'Технический лист'!$I:$J,2,1)),1+(1-$AU98))</f>
        <v/>
      </c>
      <c r="BL98" s="172">
        <f>MIN(IF($AU98=100%,1,1+VLOOKUP(($AJ98-$AI98-$AH98-$AG98-$AF98-$AE98*(1+BL$3))/$AJ98,'Технический лист'!$I:$J,2,1)-VLOOKUP($AO98,'Технический лист'!$I:$J,2,1)),1+(1-$AU98))</f>
        <v/>
      </c>
      <c r="BM98" s="172">
        <f>MIN(IF($AU98=100%,1,1+VLOOKUP(($AJ98-$AI98-$AH98-$AG98-$AF98-$AE98*(1+BM$3))/$AJ98,'Технический лист'!$I:$J,2,1)-VLOOKUP($AO98,'Технический лист'!$I:$J,2,1)),1+(1-$AU98))</f>
        <v/>
      </c>
      <c r="BN98" s="172">
        <f>MIN(IF($AU98=100%,1,1+VLOOKUP(($AJ98-$AI98-$AH98-$AG98-$AF98-$AE98*(1+BN$3))/$AJ98,'Технический лист'!$I:$J,2,1)-VLOOKUP($AO98,'Технический лист'!$I:$J,2,1)),1+(1-$AU98))</f>
        <v/>
      </c>
      <c r="BO98" s="172">
        <f>MIN(IF($AU98=100%,1,1+VLOOKUP(($AJ98-$AI98-$AH98-$AG98-$AF98-$AE98*(1+BO$3))/$AJ98,'Технический лист'!$I:$J,2,1)-VLOOKUP($AO98,'Технический лист'!$I:$J,2,1)),1+(1-$AU98))</f>
        <v/>
      </c>
      <c r="BP98" s="172">
        <f>MIN(IF($AU98=100%,1,1+VLOOKUP(($AJ98-$AI98-$AH98-$AG98-$AF98-$AE98*(1+BP$3))/$AJ98,'Технический лист'!$I:$J,2,1)-VLOOKUP($AO98,'Технический лист'!$I:$J,2,1)),1+(1-$AU98))</f>
        <v/>
      </c>
      <c r="BQ98" s="172">
        <f>MIN(IF($AU98=100%,1,1+VLOOKUP(($AJ98-$AI98-$AH98-$AG98-$AF98-$AE98*(1+BQ$3))/$AJ98,'Технический лист'!$I:$J,2,1)-VLOOKUP($AO98,'Технический лист'!$I:$J,2,1)),1+(1-$AU98))</f>
        <v/>
      </c>
      <c r="BR98" s="172">
        <f>MIN(IF($AU98=100%,1,1+VLOOKUP(($AJ98-$AI98-$AH98-$AG98-$AF98-$AE98*(1+BR$3))/$AJ98,'Технический лист'!$I:$J,2,1)-VLOOKUP($AO98,'Технический лист'!$I:$J,2,1)),1+(1-$AU98))</f>
        <v/>
      </c>
      <c r="BS98" s="172">
        <f>MIN(IF($AU98=100%,1,1+VLOOKUP(($AJ98-$AI98-$AH98-$AG98-$AF98-$AE98*(1+BS$3))/$AJ98,'Технический лист'!$I:$J,2,1)-VLOOKUP($AO98,'Технический лист'!$I:$J,2,1)),1+(1-$AU98))</f>
        <v/>
      </c>
      <c r="BT98" s="172">
        <f>MIN(IF($AU98=100%,1,1+VLOOKUP(($AJ98-$AI98-$AH98-$AG98-$AF98-$AE98*(1+BT$3))/$AJ98,'Технический лист'!$I:$J,2,1)-VLOOKUP($AO98,'Технический лист'!$I:$J,2,1)),1+(1-$AU98))</f>
        <v/>
      </c>
      <c r="BU98" s="172">
        <f>MIN(IF($AU98=100%,1,1+VLOOKUP(($AJ98-$AI98-$AH98-$AG98-$AF98-$AE98*(1+BU$3))/$AJ98,'Технический лист'!$I:$J,2,1)-VLOOKUP($AO98,'Технический лист'!$I:$J,2,1)),1+(1-$AU98))</f>
        <v/>
      </c>
      <c r="BV98" s="172">
        <f>MIN(IF($AU98=100%,1,1+VLOOKUP(($AJ98-$AI98-$AH98-$AG98-$AF98-$AE98*(1+BV$3))/$AJ98,'Технический лист'!$I:$J,2,1)-VLOOKUP($AO98,'Технический лист'!$I:$J,2,1)),1+(1-$AU98))</f>
        <v/>
      </c>
      <c r="BW98" s="172">
        <f>MIN(IF($AU98=100%,1,1+VLOOKUP(($AJ98-$AI98-$AH98-$AG98-$AF98-$AE98*(1+BW$3))/$AJ98,'Технический лист'!$I:$J,2,1)-VLOOKUP($AO98,'Технический лист'!$I:$J,2,1)),1+(1-$AU98))</f>
        <v/>
      </c>
      <c r="BX98" s="172">
        <f>MIN(IF($AU98=100%,1,1+VLOOKUP(($AJ98-$AI98-$AH98-$AG98-$AF98-$AE98*(1+BX$3))/$AJ98,'Технический лист'!$I:$J,2,1)-VLOOKUP($AO98,'Технический лист'!$I:$J,2,1)),1+(1-$AU98))</f>
        <v/>
      </c>
      <c r="BY98" s="172">
        <f>MIN(IF($AU98=100%,1,1+VLOOKUP(($AJ98-$AI98-$AH98-$AG98-$AF98-$AE98*(1+BY$3))/$AJ98,'Технический лист'!$I:$J,2,1)-VLOOKUP($AO98,'Технический лист'!$I:$J,2,1)),1+(1-$AU98))</f>
        <v/>
      </c>
      <c r="BZ98" s="172">
        <f>MIN(IF($AU98=100%,1,1+VLOOKUP(($AJ98-$AI98-$AH98-$AG98-$AF98-$AE98*(1+BZ$3))/$AJ98,'Технический лист'!$I:$J,2,1)-VLOOKUP($AO98,'Технический лист'!$I:$J,2,1)),1+(1-$AU98))</f>
        <v/>
      </c>
      <c r="CA98" s="172">
        <f>MIN(IF($AU98=100%,1,1+VLOOKUP(($AJ98-$AI98-$AH98-$AG98-$AF98-$AE98*(1+CA$3))/$AJ98,'Технический лист'!$I:$J,2,1)-VLOOKUP($AO98,'Технический лист'!$I:$J,2,1)),1+(1-$AU98))</f>
        <v/>
      </c>
      <c r="CB98" s="172">
        <f>MIN(IF($AU98=100%,1,1+VLOOKUP(($AJ98-$AI98-$AH98-$AG98-$AF98-$AE98*(1+CB$3))/$AJ98,'Технический лист'!$I:$J,2,1)-VLOOKUP($AO98,'Технический лист'!$I:$J,2,1)),1+(1-$AU98))</f>
        <v/>
      </c>
      <c r="CC98" s="172">
        <f>MIN(IF($AU98=100%,1,1+VLOOKUP(($AJ98-$AI98-$AH98-$AG98-$AF98-$AE98*(1+CC$3))/$AJ98,'Технический лист'!$I:$J,2,1)-VLOOKUP($AO98,'Технический лист'!$I:$J,2,1)),1+(1-$AU98))</f>
        <v/>
      </c>
      <c r="CD98" s="172">
        <f>MIN(IF($AU98=100%,1,1+VLOOKUP(($AJ98-$AI98-$AH98-$AG98-$AF98-$AE98*(1+CD$3))/$AJ98,'Технический лист'!$I:$J,2,1)-VLOOKUP($AO98,'Технический лист'!$I:$J,2,1)),1+(1-$AU98))</f>
        <v/>
      </c>
      <c r="CE98" s="172">
        <f>MIN(IF($AU98=100%,1,1+VLOOKUP(($AJ98-$AI98-$AH98-$AG98-$AF98-$AE98*(1+CE$3))/$AJ98,'Технический лист'!$I:$J,2,1)-VLOOKUP($AO98,'Технический лист'!$I:$J,2,1)),1+(1-$AU98))</f>
        <v/>
      </c>
      <c r="CF98" s="172">
        <f>MIN(IF($AU98=100%,1,1+VLOOKUP(($AJ98-$AI98-$AH98-$AG98-$AF98-$AE98*(1+CF$3))/$AJ98,'Технический лист'!$I:$J,2,1)-VLOOKUP($AO98,'Технический лист'!$I:$J,2,1)),1+(1-$AU98))</f>
        <v/>
      </c>
      <c r="CG98" s="172">
        <f>MIN(IF($AU98=100%,1,1+VLOOKUP(($AJ98-$AI98-$AH98-$AG98-$AF98-$AE98*(1+CG$3))/$AJ98,'Технический лист'!$I:$J,2,1)-VLOOKUP($AO98,'Технический лист'!$I:$J,2,1)),1+(1-$AU98))</f>
        <v/>
      </c>
      <c r="CH98" s="172">
        <f>MIN(IF($AU98=100%,1,1+VLOOKUP(($AJ98-$AI98-$AH98-$AG98-$AF98-$AE98*(1+CH$3))/$AJ98,'Технический лист'!$I:$J,2,1)-VLOOKUP($AO98,'Технический лист'!$I:$J,2,1)),1+(1-$AU98))</f>
        <v/>
      </c>
      <c r="CI98" s="172">
        <f>MIN(IF($AU98=100%,1,1+VLOOKUP(($AJ98-$AI98-$AH98-$AG98-$AF98-$AE98*(1+CI$3))/$AJ98,'Технический лист'!$I:$J,2,1)-VLOOKUP($AO98,'Технический лист'!$I:$J,2,1)),1+(1-$AU98))</f>
        <v/>
      </c>
      <c r="CJ98" s="172">
        <f>MIN(IF($AU98=100%,1,1+VLOOKUP(($AJ98-$AI98-$AH98-$AG98-$AF98-$AE98*(1+CJ$3))/$AJ98,'Технический лист'!$I:$J,2,1)-VLOOKUP($AO98,'Технический лист'!$I:$J,2,1)),1+(1-$AU98))</f>
        <v/>
      </c>
      <c r="CK98" s="172">
        <f>MIN(IF($AU98=100%,1,1+VLOOKUP(($AJ98-$AI98-$AH98-$AG98-$AF98-$AE98*(1+CK$3))/$AJ98,'Технический лист'!$I:$J,2,1)-VLOOKUP($AO98,'Технический лист'!$I:$J,2,1)),1+(1-$AU98))</f>
        <v/>
      </c>
      <c r="CL98" s="172">
        <f>MIN(IF($AU98=100%,1,1+VLOOKUP(($AJ98-$AI98-$AH98-$AG98-$AF98-$AE98*(1+CL$3))/$AJ98,'Технический лист'!$I:$J,2,1)-VLOOKUP($AO98,'Технический лист'!$I:$J,2,1)),1+(1-$AU98))</f>
        <v/>
      </c>
      <c r="CM98" s="172">
        <f>MIN(IF($AU98=100%,1,1+VLOOKUP(($AJ98-$AI98-$AH98-$AG98-$AF98-$AE98*(1+CM$3))/$AJ98,'Технический лист'!$I:$J,2,1)-VLOOKUP($AO98,'Технический лист'!$I:$J,2,1)),1+(1-$AU98))</f>
        <v/>
      </c>
      <c r="CN98" s="172">
        <f>MIN(IF($AU98=100%,1,1+VLOOKUP(($AJ98-$AI98-$AH98-$AG98-$AF98-$AE98*(1+CN$3))/$AJ98,'Технический лист'!$I:$J,2,1)-VLOOKUP($AO98,'Технический лист'!$I:$J,2,1)),1+(1-$AU98))</f>
        <v/>
      </c>
      <c r="CO98" s="172">
        <f>MIN(IF($AU98=100%,1,1+VLOOKUP(($AJ98-$AI98-$AH98-$AG98-$AF98-$AE98*(1+CO$3))/$AJ98,'Технический лист'!$I:$J,2,1)-VLOOKUP($AO98,'Технический лист'!$I:$J,2,1)),1+(1-$AU98))</f>
        <v/>
      </c>
      <c r="CP98" s="172">
        <f>MIN(IF($AU98=100%,1,1+VLOOKUP(($AJ98-$AI98-$AH98-$AG98-$AF98-$AE98*(1+CP$3))/$AJ98,'Технический лист'!$I:$J,2,1)-VLOOKUP($AO98,'Технический лист'!$I:$J,2,1)),1+(1-$AU98))</f>
        <v/>
      </c>
      <c r="CQ98" s="172">
        <f>MIN(IF($AU98=100%,1,1+VLOOKUP(($AJ98-$AI98-$AH98-$AG98-$AF98-$AE98*(1+CQ$3))/$AJ98,'Технический лист'!$I:$J,2,1)-VLOOKUP($AO98,'Технический лист'!$I:$J,2,1)),1+(1-$AU98))</f>
        <v/>
      </c>
      <c r="CR98" s="172">
        <f>MIN(IF($AU98=100%,1,1+VLOOKUP(($AJ98-$AI98-$AH98-$AG98-$AF98-$AE98*(1+CR$3))/$AJ98,'Технический лист'!$I:$J,2,1)-VLOOKUP($AO98,'Технический лист'!$I:$J,2,1)),1+(1-$AU98))</f>
        <v/>
      </c>
      <c r="CS98" s="172">
        <f>MIN(IF($AU98=100%,1,1+VLOOKUP(($AJ98-$AI98-$AH98-$AG98-$AF98-$AE98*(1+CS$3))/$AJ98,'Технический лист'!$I:$J,2,1)-VLOOKUP($AO98,'Технический лист'!$I:$J,2,1)),1+(1-$AU98))</f>
        <v/>
      </c>
      <c r="CT98" s="172">
        <f>MIN(IF($AU98=100%,1,1+VLOOKUP(($AJ98-$AI98-$AH98-$AG98-$AF98-$AE98*(1+CT$3))/$AJ98,'Технический лист'!$I:$J,2,1)-VLOOKUP($AO98,'Технический лист'!$I:$J,2,1)),1+(1-$AU98))</f>
        <v/>
      </c>
      <c r="CU98" s="172">
        <f>MIN(IF($AU98=100%,1,1+VLOOKUP(($AJ98-$AI98-$AH98-$AG98-$AF98-$AE98*(1+CU$3))/$AJ98,'Технический лист'!$I:$J,2,1)-VLOOKUP($AO98,'Технический лист'!$I:$J,2,1)),1+(1-$AU98))</f>
        <v/>
      </c>
      <c r="CV98" s="172">
        <f>MIN(IF($AU98=100%,1,1+VLOOKUP(($AJ98-$AI98-$AH98-$AG98-$AF98-$AE98*(1+CV$3))/$AJ98,'Технический лист'!$I:$J,2,1)-VLOOKUP($AO98,'Технический лист'!$I:$J,2,1)),1+(1-$AU98))</f>
        <v/>
      </c>
      <c r="CW98" s="172">
        <f>MIN(IF($AU98=100%,1,1+VLOOKUP(($AJ98-$AI98-$AH98-$AG98-$AF98-$AE98*(1+CW$3))/$AJ98,'Технический лист'!$I:$J,2,1)-VLOOKUP($AO98,'Технический лист'!$I:$J,2,1)),1+(1-$AU98))</f>
        <v/>
      </c>
      <c r="CX98" s="172">
        <f>MIN(IF($AU98=100%,1,1+VLOOKUP(($AJ98-$AI98-$AH98-$AG98-$AF98-$AE98*(1+CX$3))/$AJ98,'Технический лист'!$I:$J,2,1)-VLOOKUP($AO98,'Технический лист'!$I:$J,2,1)),1+(1-$AU98))</f>
        <v/>
      </c>
      <c r="CY98" s="172">
        <f>MIN(IF($AU98=100%,1,1+VLOOKUP(($AJ98-$AI98-$AH98-$AG98-$AF98-$AE98*(1+CY$3))/$AJ98,'Технический лист'!$I:$J,2,1)-VLOOKUP($AO98,'Технический лист'!$I:$J,2,1)),1+(1-$AU98))</f>
        <v/>
      </c>
      <c r="CZ98" s="172">
        <f>MIN(IF($AU98=100%,1,1+VLOOKUP(($AJ98-$AI98-$AH98-$AG98-$AF98-$AE98*(1+CZ$3))/$AJ98,'Технический лист'!$I:$J,2,1)-VLOOKUP($AO98,'Технический лист'!$I:$J,2,1)),1+(1-$AU98))</f>
        <v/>
      </c>
      <c r="DA98" s="172">
        <f>MIN(IF($AU98=100%,1,1+VLOOKUP(($AJ98-$AI98-$AH98-$AG98-$AF98-$AE98*(1+DA$3))/$AJ98,'Технический лист'!$I:$J,2,1)-VLOOKUP($AO98,'Технический лист'!$I:$J,2,1)),1+(1-$AU98))</f>
        <v/>
      </c>
      <c r="DB98" s="172">
        <f>MIN(IF($AU98=100%,1,1+VLOOKUP(($AJ98-$AI98-$AH98-$AG98-$AF98-$AE98*(1+DB$3))/$AJ98,'Технический лист'!$I:$J,2,1)-VLOOKUP($AO98,'Технический лист'!$I:$J,2,1)),1+(1-$AU98))</f>
        <v/>
      </c>
      <c r="DC98" s="172">
        <f>MIN(IF($AU98=100%,1,1+VLOOKUP(($AJ98-$AI98-$AH98-$AG98-$AF98-$AE98*(1+DC$3))/$AJ98,'Технический лист'!$I:$J,2,1)-VLOOKUP($AO98,'Технический лист'!$I:$J,2,1)),1+(1-$AU98))</f>
        <v/>
      </c>
      <c r="DD98" s="172">
        <f>MIN(IF($AU98=100%,1,1+VLOOKUP(($AJ98-$AI98-$AH98-$AG98-$AF98-$AE98*(1+DD$3))/$AJ98,'Технический лист'!$I:$J,2,1)-VLOOKUP($AO98,'Технический лист'!$I:$J,2,1)),1+(1-$AU98))</f>
        <v/>
      </c>
      <c r="DE98" s="172">
        <f>MIN(IF($AU98=100%,1,1+VLOOKUP(($AJ98-$AI98-$AH98-$AG98-$AF98-$AE98*(1+DE$3))/$AJ98,'Технический лист'!$I:$J,2,1)-VLOOKUP($AO98,'Технический лист'!$I:$J,2,1)),1+(1-$AU98))</f>
        <v/>
      </c>
      <c r="DF98" s="172">
        <f>MIN(IF($AU98=100%,1,1+VLOOKUP(($AJ98-$AI98-$AH98-$AG98-$AF98-$AE98*(1+DF$3))/$AJ98,'Технический лист'!$I:$J,2,1)-VLOOKUP($AO98,'Технический лист'!$I:$J,2,1)),1+(1-$AU98))</f>
        <v/>
      </c>
      <c r="DG98" s="172">
        <f>MIN(IF($AU98=100%,1,1+VLOOKUP(($AJ98-$AI98-$AH98-$AG98-$AF98-$AE98*(1+DG$3))/$AJ98,'Технический лист'!$I:$J,2,1)-VLOOKUP($AO98,'Технический лист'!$I:$J,2,1)),1+(1-$AU98))</f>
        <v/>
      </c>
      <c r="DH98" s="172">
        <f>MIN(IF($AU98=100%,1,1+VLOOKUP(($AJ98-$AI98-$AH98-$AG98-$AF98-$AE98*(1+DH$3))/$AJ98,'Технический лист'!$I:$J,2,1)-VLOOKUP($AO98,'Технический лист'!$I:$J,2,1)),1+(1-$AU98))</f>
        <v/>
      </c>
      <c r="DI98" s="172">
        <f>MIN(IF($AU98=100%,1,1+VLOOKUP(($AJ98-$AI98-$AH98-$AG98-$AF98-$AE98*(1+DI$3))/$AJ98,'Технический лист'!$I:$J,2,1)-VLOOKUP($AO98,'Технический лист'!$I:$J,2,1)),1+(1-$AU98))</f>
        <v/>
      </c>
      <c r="DJ98" s="172">
        <f>MIN(IF($AU98=100%,1,1+VLOOKUP(($AJ98-$AI98-$AH98-$AG98-$AF98-$AE98*(1+DJ$3))/$AJ98,'Технический лист'!$I:$J,2,1)-VLOOKUP($AO98,'Технический лист'!$I:$J,2,1)),1+(1-$AU98))</f>
        <v/>
      </c>
      <c r="DK98" s="172">
        <f>MIN(IF($AU98=100%,1,1+VLOOKUP(($AJ98-$AI98-$AH98-$AG98-$AF98-$AE98*(1+DK$3))/$AJ98,'Технический лист'!$I:$J,2,1)-VLOOKUP($AO98,'Технический лист'!$I:$J,2,1)),1+(1-$AU98))</f>
        <v/>
      </c>
      <c r="DL98" s="172">
        <f>MIN(IF($AU98=100%,1,1+VLOOKUP(($AJ98-$AI98-$AH98-$AG98-$AF98-$AE98*(1+DL$3))/$AJ98,'Технический лист'!$I:$J,2,1)-VLOOKUP($AO98,'Технический лист'!$I:$J,2,1)),1+(1-$AU98))</f>
        <v/>
      </c>
      <c r="DM98" s="172">
        <f>MIN(IF($AU98=100%,1,1+VLOOKUP(($AJ98-$AI98-$AH98-$AG98-$AF98-$AE98*(1+DM$3))/$AJ98,'Технический лист'!$I:$J,2,1)-VLOOKUP($AO98,'Технический лист'!$I:$J,2,1)),1+(1-$AU98))</f>
        <v/>
      </c>
      <c r="DN98" s="172">
        <f>MIN(IF($AU98=100%,1,1+VLOOKUP(($AJ98-$AI98-$AH98-$AG98-$AF98-$AE98*(1+DN$3))/$AJ98,'Технический лист'!$I:$J,2,1)-VLOOKUP($AO98,'Технический лист'!$I:$J,2,1)),1+(1-$AU98))</f>
        <v/>
      </c>
      <c r="DO98" s="172">
        <f>MIN(IF($AU98=100%,1,1+VLOOKUP(($AJ98-$AI98-$AH98-$AG98-$AF98-$AE98*(1+DO$3))/$AJ98,'Технический лист'!$I:$J,2,1)-VLOOKUP($AO98,'Технический лист'!$I:$J,2,1)),1+(1-$AU98))</f>
        <v/>
      </c>
      <c r="DP98" s="172">
        <f>MIN(IF($AU98=100%,1,1+VLOOKUP(($AJ98-$AI98-$AH98-$AG98-$AF98-$AE98*(1+DP$3))/$AJ98,'Технический лист'!$I:$J,2,1)-VLOOKUP($AO98,'Технический лист'!$I:$J,2,1)),1+(1-$AU98))</f>
        <v/>
      </c>
      <c r="DQ98" s="172">
        <f>MIN(IF($AU98=100%,1,1+VLOOKUP(($AJ98-$AI98-$AH98-$AG98-$AF98-$AE98*(1+DQ$3))/$AJ98,'Технический лист'!$I:$J,2,1)-VLOOKUP($AO98,'Технический лист'!$I:$J,2,1)),1+(1-$AU98))</f>
        <v/>
      </c>
      <c r="DR98" s="172">
        <f>MIN(IF($AU98=100%,1,1+VLOOKUP(($AJ98-$AI98-$AH98-$AG98-$AF98-$AE98*(1+DR$3))/$AJ98,'Технический лист'!$I:$J,2,1)-VLOOKUP($AO98,'Технический лист'!$I:$J,2,1)),1+(1-$AU98))</f>
        <v/>
      </c>
      <c r="DS98" s="172">
        <f>MIN(IF($AU98=100%,1,1+VLOOKUP(($AJ98-$AI98-$AH98-$AG98-$AF98-$AE98*(1+DS$3))/$AJ98,'Технический лист'!$I:$J,2,1)-VLOOKUP($AO98,'Технический лист'!$I:$J,2,1)),1+(1-$AU98))</f>
        <v/>
      </c>
      <c r="DT98" s="172">
        <f>MIN(IF($AU98=100%,1,1+VLOOKUP(($AJ98-$AI98-$AH98-$AG98-$AF98-$AE98*(1+DT$3))/$AJ98,'Технический лист'!$I:$J,2,1)-VLOOKUP($AO98,'Технический лист'!$I:$J,2,1)),1+(1-$AU98))</f>
        <v/>
      </c>
      <c r="DU98" s="172">
        <f>MIN(IF($AU98=100%,1,1+VLOOKUP(($AJ98-$AI98-$AH98-$AG98-$AF98-$AE98*(1+DU$3))/$AJ98,'Технический лист'!$I:$J,2,1)-VLOOKUP($AO98,'Технический лист'!$I:$J,2,1)),1+(1-$AU98))</f>
        <v/>
      </c>
      <c r="DV98" s="172">
        <f>MIN(IF($AU98=100%,1,1+VLOOKUP(($AJ98-$AI98-$AH98-$AG98-$AF98-$AE98*(1+DV$3))/$AJ98,'Технический лист'!$I:$J,2,1)-VLOOKUP($AO98,'Технический лист'!$I:$J,2,1)),1+(1-$AU98))</f>
        <v/>
      </c>
      <c r="DW98" s="172">
        <f>MIN(IF($AU98=100%,1,1+VLOOKUP(($AJ98-$AI98-$AH98-$AG98-$AF98-$AE98*(1+DW$3))/$AJ98,'Технический лист'!$I:$J,2,1)-VLOOKUP($AO98,'Технический лист'!$I:$J,2,1)),1+(1-$AU98))</f>
        <v/>
      </c>
      <c r="DX98" s="172">
        <f>MIN(IF($AU98=100%,1,1+VLOOKUP(($AJ98-$AI98-$AH98-$AG98-$AF98-$AE98*(1+DX$3))/$AJ98,'Технический лист'!$I:$J,2,1)-VLOOKUP($AO98,'Технический лист'!$I:$J,2,1)),1+(1-$AU98))</f>
        <v/>
      </c>
      <c r="DY98" s="172">
        <f>MIN(IF($AU98=100%,1,1+VLOOKUP(($AJ98-$AI98-$AH98-$AG98-$AF98-$AE98*(1+DY$3))/$AJ98,'Технический лист'!$I:$J,2,1)-VLOOKUP($AO98,'Технический лист'!$I:$J,2,1)),1+(1-$AU98))</f>
        <v/>
      </c>
      <c r="DZ98" s="172">
        <f>MIN(IF($AU98=100%,1,1+VLOOKUP(($AJ98-$AI98-$AH98-$AG98-$AF98-$AE98*(1+DZ$3))/$AJ98,'Технический лист'!$I:$J,2,1)-VLOOKUP($AO98,'Технический лист'!$I:$J,2,1)),1+(1-$AU98))</f>
        <v/>
      </c>
      <c r="EA98" s="172">
        <f>MIN(IF($AU98=100%,1,1+VLOOKUP(($AJ98-$AI98-$AH98-$AG98-$AF98-$AE98*(1+EA$3))/$AJ98,'Технический лист'!$I:$J,2,1)-VLOOKUP($AO98,'Технический лист'!$I:$J,2,1)),1+(1-$AU98))</f>
        <v/>
      </c>
      <c r="EB98" s="172">
        <f>MIN(IF($AU98=100%,1,1+VLOOKUP(($AJ98-$AI98-$AH98-$AG98-$AF98-$AE98*(1+EB$3))/$AJ98,'Технический лист'!$I:$J,2,1)-VLOOKUP($AO98,'Технический лист'!$I:$J,2,1)),1+(1-$AU98))</f>
        <v/>
      </c>
      <c r="EC98" s="172">
        <f>MIN(IF($AU98=100%,1,1+VLOOKUP(($AJ98-$AI98-$AH98-$AG98-$AF98-$AE98*(1+EC$3))/$AJ98,'Технический лист'!$I:$J,2,1)-VLOOKUP($AO98,'Технический лист'!$I:$J,2,1)),1+(1-$AU98))</f>
        <v/>
      </c>
      <c r="ED98" s="172">
        <f>MIN(IF($AU98=100%,1,1+VLOOKUP(($AJ98-$AI98-$AH98-$AG98-$AF98-$AE98*(1+ED$3))/$AJ98,'Технический лист'!$I:$J,2,1)-VLOOKUP($AO98,'Технический лист'!$I:$J,2,1)),1+(1-$AU98))</f>
        <v/>
      </c>
      <c r="EE98" s="172">
        <f>MIN(IF($AU98=100%,1,1+VLOOKUP(($AJ98-$AI98-$AH98-$AG98-$AF98-$AE98*(1+EE$3))/$AJ98,'Технический лист'!$I:$J,2,1)-VLOOKUP($AO98,'Технический лист'!$I:$J,2,1)),1+(1-$AU98))</f>
        <v/>
      </c>
      <c r="EF98" s="172">
        <f>MIN(IF($AU98=100%,1,1+VLOOKUP(($AJ98-$AI98-$AH98-$AG98-$AF98-$AE98*(1+EF$3))/$AJ98,'Технический лист'!$I:$J,2,1)-VLOOKUP($AO98,'Технический лист'!$I:$J,2,1)),1+(1-$AU98))</f>
        <v/>
      </c>
      <c r="EG98" s="172">
        <f>MIN(IF($AU98=100%,1,1+VLOOKUP(($AJ98-$AI98-$AH98-$AG98-$AF98-$AE98*(1+EG$3))/$AJ98,'Технический лист'!$I:$J,2,1)-VLOOKUP($AO98,'Технический лист'!$I:$J,2,1)),1+(1-$AU98))</f>
        <v/>
      </c>
      <c r="EH98" s="172">
        <f>MIN(IF($AU98=100%,1,1+VLOOKUP(($AJ98-$AI98-$AH98-$AG98-$AF98-$AE98*(1+EH$3))/$AJ98,'Технический лист'!$I:$J,2,1)-VLOOKUP($AO98,'Технический лист'!$I:$J,2,1)),1+(1-$AU98))</f>
        <v/>
      </c>
      <c r="EI98" s="172">
        <f>MIN(IF($AU98=100%,1,1+VLOOKUP(($AJ98-$AI98-$AH98-$AG98-$AF98-$AE98*(1+EI$3))/$AJ98,'Технический лист'!$I:$J,2,1)-VLOOKUP($AO98,'Технический лист'!$I:$J,2,1)),1+(1-$AU98))</f>
        <v/>
      </c>
      <c r="EJ98" s="172">
        <f>MIN(IF($AU98=100%,1,1+VLOOKUP(($AJ98-$AI98-$AH98-$AG98-$AF98-$AE98*(1+EJ$3))/$AJ98,'Технический лист'!$I:$J,2,1)-VLOOKUP($AO98,'Технический лист'!$I:$J,2,1)),1+(1-$AU98))</f>
        <v/>
      </c>
      <c r="EK98" s="172">
        <f>MIN(IF($AU98=100%,1,1+VLOOKUP(($AJ98-$AI98-$AH98-$AG98-$AF98-$AE98*(1+EK$3))/$AJ98,'Технический лист'!$I:$J,2,1)-VLOOKUP($AO98,'Технический лист'!$I:$J,2,1)),1+(1-$AU98))</f>
        <v/>
      </c>
      <c r="EL98" s="172">
        <f>MIN(IF($AU98=100%,1,1+VLOOKUP(($AJ98-$AI98-$AH98-$AG98-$AF98-$AE98*(1+EL$3))/$AJ98,'Технический лист'!$I:$J,2,1)-VLOOKUP($AO98,'Технический лист'!$I:$J,2,1)),1+(1-$AU98))</f>
        <v/>
      </c>
      <c r="EM98" s="172">
        <f>MIN(IF($AU98=100%,1,1+VLOOKUP(($AJ98-$AI98-$AH98-$AG98-$AF98-$AE98*(1+EM$3))/$AJ98,'Технический лист'!$I:$J,2,1)-VLOOKUP($AO98,'Технический лист'!$I:$J,2,1)),1+(1-$AU98))</f>
        <v/>
      </c>
      <c r="EN98" s="172">
        <f>MIN(IF($AU98=100%,1,1+VLOOKUP(($AJ98-$AI98-$AH98-$AG98-$AF98-$AE98*(1+EN$3))/$AJ98,'Технический лист'!$I:$J,2,1)-VLOOKUP($AO98,'Технический лист'!$I:$J,2,1)),1+(1-$AU98))</f>
        <v/>
      </c>
      <c r="EO98" s="172">
        <f>MIN(IF($AU98=100%,1,1+VLOOKUP(($AJ98-$AI98-$AH98-$AG98-$AF98-$AE98*(1+EO$3))/$AJ98,'Технический лист'!$I:$J,2,1)-VLOOKUP($AO98,'Технический лист'!$I:$J,2,1)),1+(1-$AU98))</f>
        <v/>
      </c>
      <c r="EP98" s="172">
        <f>MIN(IF($AU98=100%,1,1+VLOOKUP(($AJ98-$AI98-$AH98-$AG98-$AF98-$AE98*(1+EP$3))/$AJ98,'Технический лист'!$I:$J,2,1)-VLOOKUP($AO98,'Технический лист'!$I:$J,2,1)),1+(1-$AU98))</f>
        <v/>
      </c>
      <c r="EQ98" s="172">
        <f>MIN(IF($AU98=100%,1,1+VLOOKUP(($AJ98-$AI98-$AH98-$AG98-$AF98-$AE98*(1+EQ$3))/$AJ98,'Технический лист'!$I:$J,2,1)-VLOOKUP($AO98,'Технический лист'!$I:$J,2,1)),1+(1-$AU98))</f>
        <v/>
      </c>
      <c r="ER98" s="172">
        <f>MIN(IF($AU98=100%,1,1+VLOOKUP(($AJ98-$AI98-$AH98-$AG98-$AF98-$AE98*(1+ER$3))/$AJ98,'Технический лист'!$I:$J,2,1)-VLOOKUP($AO98,'Технический лист'!$I:$J,2,1)),1+(1-$AU98))</f>
        <v/>
      </c>
      <c r="ES98" s="172">
        <f>MIN(IF($AU98=100%,1,1+VLOOKUP(($AJ98-$AI98-$AH98-$AG98-$AF98-$AE98*(1+ES$3))/$AJ98,'Технический лист'!$I:$J,2,1)-VLOOKUP($AO98,'Технический лист'!$I:$J,2,1)),1+(1-$AU98))</f>
        <v/>
      </c>
      <c r="ET98" s="172">
        <f>MIN(IF($AU98=100%,1,1+VLOOKUP(($AJ98-$AI98-$AH98-$AG98-$AF98-$AE98*(1+ET$3))/$AJ98,'Технический лист'!$I:$J,2,1)-VLOOKUP($AO98,'Технический лист'!$I:$J,2,1)),1+(1-$AU98))</f>
        <v/>
      </c>
      <c r="EU98" s="172">
        <f>MIN(IF($AU98=100%,1,1+VLOOKUP(($AJ98-$AI98-$AH98-$AG98-$AF98-$AE98*(1+EU$3))/$AJ98,'Технический лист'!$I:$J,2,1)-VLOOKUP($AO98,'Технический лист'!$I:$J,2,1)),1+(1-$AU98))</f>
        <v/>
      </c>
      <c r="EV98" s="173" t="n">
        <v>1</v>
      </c>
      <c r="EW98" s="172">
        <f>MIN(1,MAX(VLOOKUP(($AJ98-$AI98-$AH98-$AG98-$AF98-$AE98*(1+EW$3))/$AJ98,'Технический лист'!$A:$B,2,1),(EV98-0.05)))</f>
        <v/>
      </c>
      <c r="EX98" s="172">
        <f>MIN(1,MAX(VLOOKUP(($AJ98-$AI98-$AH98-$AG98-$AF98-$AE98*(1+EX$3))/$AJ98,'Технический лист'!$A:$B,2,1),(EW98-0.05)))</f>
        <v/>
      </c>
      <c r="EY98" s="172">
        <f>MIN(1,MAX(VLOOKUP(($AJ98-$AI98-$AH98-$AG98-$AF98-$AE98*(1+EY$3))/$AJ98,'Технический лист'!$A:$B,2,1),(EX98-0.05)))</f>
        <v/>
      </c>
      <c r="EZ98" s="172">
        <f>MIN(1,MAX(VLOOKUP(($AJ98-$AI98-$AH98-$AG98-$AF98-$AE98*(1+EZ$3))/$AJ98,'Технический лист'!$A:$B,2,1),(EY98-0.05)))</f>
        <v/>
      </c>
      <c r="FA98" s="172">
        <f>MIN(1,MAX(VLOOKUP(($AJ98-$AI98-$AH98-$AG98-$AF98-$AE98*(1+FA$3))/$AJ98,'Технический лист'!$A:$B,2,1),(EZ98-0.05)))</f>
        <v/>
      </c>
      <c r="FB98" s="172">
        <f>MIN(1,MAX(VLOOKUP(($AJ98-$AI98-$AH98-$AG98-$AF98-$AE98*(1+FB$3))/$AJ98,'Технический лист'!$A:$B,2,1),(FA98-0.05)))</f>
        <v/>
      </c>
      <c r="FC98" s="172">
        <f>MIN(1,MAX(VLOOKUP(($AJ98-$AI98-$AH98-$AG98-$AF98-$AE98*(1+FC$3))/$AJ98,'Технический лист'!$A:$B,2,1),(FB98-0.05)))</f>
        <v/>
      </c>
      <c r="FD98" s="172">
        <f>MIN(1,MAX(VLOOKUP(($AJ98-$AI98-$AH98-$AG98-$AF98-$AE98*(1+FD$3))/$AJ98,'Технический лист'!$A:$B,2,1),(FC98-0.05)))</f>
        <v/>
      </c>
      <c r="FE98" s="172">
        <f>MIN(1,MAX(VLOOKUP(($AJ98-$AI98-$AH98-$AG98-$AF98-$AE98*(1+FE$3))/$AJ98,'Технический лист'!$A:$B,2,1),(FD98-0.05)))</f>
        <v/>
      </c>
      <c r="FF98" s="172">
        <f>MIN(1,MAX(VLOOKUP(($AJ98-$AI98-$AH98-$AG98-$AF98-$AE98*(1+FF$3))/$AJ98,'Технический лист'!$A:$B,2,1),(FE98-0.05)))</f>
        <v/>
      </c>
      <c r="FG98" s="172">
        <f>MIN(1,MAX(VLOOKUP(($AJ98-$AI98-$AH98-$AG98-$AF98-$AE98*(1+FG$3))/$AJ98,'Технический лист'!$A:$B,2,1),(FF98-0.05)))</f>
        <v/>
      </c>
      <c r="FH98" s="172">
        <f>MIN(1,MAX(VLOOKUP(($AJ98-$AI98-$AH98-$AG98-$AF98-$AE98*(1+FH$3))/$AJ98,'Технический лист'!$A:$B,2,1),(FG98-0.05)))</f>
        <v/>
      </c>
      <c r="FI98" s="172">
        <f>MIN(1,MAX(VLOOKUP(($AJ98-$AI98-$AH98-$AG98-$AF98-$AE98*(1+FI$3))/$AJ98,'Технический лист'!$A:$B,2,1),(FH98-0.05)))</f>
        <v/>
      </c>
      <c r="FJ98" s="172">
        <f>MIN(1,MAX(VLOOKUP(($AJ98-$AI98-$AH98-$AG98-$AF98-$AE98*(1+FJ$3))/$AJ98,'Технический лист'!$A:$B,2,1),(FI98-0.05)))</f>
        <v/>
      </c>
      <c r="FK98" s="172">
        <f>MIN(1,MAX(VLOOKUP(($AJ98-$AI98-$AH98-$AG98-$AF98-$AE98*(1+FK$3))/$AJ98,'Технический лист'!$A:$B,2,1),(FJ98-0.05)))</f>
        <v/>
      </c>
      <c r="FL98" s="172">
        <f>MIN(1,MAX(VLOOKUP(($AJ98-$AI98-$AH98-$AG98-$AF98-$AE98*(1+FL$3))/$AJ98,'Технический лист'!$A:$B,2,1),(FK98-0.05)))</f>
        <v/>
      </c>
      <c r="FM98" s="172">
        <f>MIN(1,MAX(VLOOKUP(($AJ98-$AI98-$AH98-$AG98-$AF98-$AE98*(1+FM$3))/$AJ98,'Технический лист'!$A:$B,2,1),(FL98-0.05)))</f>
        <v/>
      </c>
      <c r="FN98" s="172">
        <f>MIN(1,MAX(VLOOKUP(($AJ98-$AI98-$AH98-$AG98-$AF98-$AE98*(1+FN$3))/$AJ98,'Технический лист'!$A:$B,2,1),(FM98-0.05)))</f>
        <v/>
      </c>
      <c r="FO98" s="172">
        <f>MIN(1,MAX(VLOOKUP(($AJ98-$AI98-$AH98-$AG98-$AF98-$AE98*(1+FO$3))/$AJ98,'Технический лист'!$A:$B,2,1),(FN98-0.05)))</f>
        <v/>
      </c>
      <c r="FP98" s="172">
        <f>MIN(1,MAX(VLOOKUP(($AJ98-$AI98-$AH98-$AG98-$AF98-$AE98*(1+FP$3))/$AJ98,'Технический лист'!$A:$B,2,1),(FO98-0.05)))</f>
        <v/>
      </c>
      <c r="FQ98" s="172">
        <f>MIN(1,MAX(VLOOKUP(($AJ98-$AI98-$AH98-$AG98-$AF98-$AE98*(1+FQ$3))/$AJ98,'Технический лист'!$A:$B,2,1),(FP98-0.05)))</f>
        <v/>
      </c>
      <c r="FR98" s="172">
        <f>MIN(1,MAX(VLOOKUP(($AJ98-$AI98-$AH98-$AG98-$AF98-$AE98*(1+FR$3))/$AJ98,'Технический лист'!$A:$B,2,1),(FQ98-0.05)))</f>
        <v/>
      </c>
      <c r="FS98" s="172">
        <f>MIN(1,MAX(VLOOKUP(($AJ98-$AI98-$AH98-$AG98-$AF98-$AE98*(1+FS$3))/$AJ98,'Технический лист'!$A:$B,2,1),(FR98-0.05)))</f>
        <v/>
      </c>
      <c r="FT98" s="172">
        <f>MIN(1,MAX(VLOOKUP(($AJ98-$AI98-$AH98-$AG98-$AF98-$AE98*(1+FT$3))/$AJ98,'Технический лист'!$A:$B,2,1),(FS98-0.05)))</f>
        <v/>
      </c>
      <c r="FU98" s="172">
        <f>MIN(1,MAX(VLOOKUP(($AJ98-$AI98-$AH98-$AG98-$AF98-$AE98*(1+FU$3))/$AJ98,'Технический лист'!$A:$B,2,1),(FT98-0.05)))</f>
        <v/>
      </c>
      <c r="FV98" s="172">
        <f>MIN(1,MAX(VLOOKUP(($AJ98-$AI98-$AH98-$AG98-$AF98-$AE98*(1+FV$3))/$AJ98,'Технический лист'!$A:$B,2,1),(FU98-0.05)))</f>
        <v/>
      </c>
      <c r="FW98" s="172">
        <f>MIN(1,MAX(VLOOKUP(($AJ98-$AI98-$AH98-$AG98-$AF98-$AE98*(1+FW$3))/$AJ98,'Технический лист'!$A:$B,2,1),(FV98-0.05)))</f>
        <v/>
      </c>
      <c r="FX98" s="172">
        <f>MIN(1,MAX(VLOOKUP(($AJ98-$AI98-$AH98-$AG98-$AF98-$AE98*(1+FX$3))/$AJ98,'Технический лист'!$A:$B,2,1),(FW98-0.05)))</f>
        <v/>
      </c>
      <c r="FY98" s="172">
        <f>MIN(1,MAX(VLOOKUP(($AJ98-$AI98-$AH98-$AG98-$AF98-$AE98*(1+FY$3))/$AJ98,'Технический лист'!$A:$B,2,1),(FX98-0.05)))</f>
        <v/>
      </c>
      <c r="FZ98" s="172">
        <f>MIN(1,MAX(VLOOKUP(($AJ98-$AI98-$AH98-$AG98-$AF98-$AE98*(1+FZ$3))/$AJ98,'Технический лист'!$A:$B,2,1),(FY98-0.05)))</f>
        <v/>
      </c>
      <c r="GA98" s="172">
        <f>MIN(1,MAX(VLOOKUP(($AJ98-$AI98-$AH98-$AG98-$AF98-$AE98*(1+GA$3))/$AJ98,'Технический лист'!$A:$B,2,1),(FZ98-0.05)))</f>
        <v/>
      </c>
      <c r="GB98" s="172">
        <f>MIN(1,MAX(VLOOKUP(($AJ98-$AI98-$AH98-$AG98-$AF98-$AE98*(1+GB$3))/$AJ98,'Технический лист'!$A:$B,2,1),(GA98-0.05)))</f>
        <v/>
      </c>
      <c r="GC98" s="172">
        <f>MIN(1,MAX(VLOOKUP(($AJ98-$AI98-$AH98-$AG98-$AF98-$AE98*(1+GC$3))/$AJ98,'Технический лист'!$A:$B,2,1),(GB98-0.05)))</f>
        <v/>
      </c>
      <c r="GD98" s="172">
        <f>MIN(1,MAX(VLOOKUP(($AJ98-$AI98-$AH98-$AG98-$AF98-$AE98*(1+GD$3))/$AJ98,'Технический лист'!$A:$B,2,1),(GC98-0.05)))</f>
        <v/>
      </c>
      <c r="GE98" s="172">
        <f>MIN(1,MAX(VLOOKUP(($AJ98-$AI98-$AH98-$AG98-$AF98-$AE98*(1+GE$3))/$AJ98,'Технический лист'!$A:$B,2,1),(GD98-0.05)))</f>
        <v/>
      </c>
      <c r="GF98" s="172">
        <f>MIN(1,MAX(VLOOKUP(($AJ98-$AI98-$AH98-$AG98-$AF98-$AE98*(1+GF$3))/$AJ98,'Технический лист'!$A:$B,2,1),(GE98-0.05)))</f>
        <v/>
      </c>
      <c r="GG98" s="172">
        <f>MIN(1,MAX(VLOOKUP(($AJ98-$AI98-$AH98-$AG98-$AF98-$AE98*(1+GG$3))/$AJ98,'Технический лист'!$A:$B,2,1),(GF98-0.05)))</f>
        <v/>
      </c>
      <c r="GH98" s="172">
        <f>MIN(1,MAX(VLOOKUP(($AJ98-$AI98-$AH98-$AG98-$AF98-$AE98*(1+GH$3))/$AJ98,'Технический лист'!$A:$B,2,1),(GG98-0.05)))</f>
        <v/>
      </c>
      <c r="GI98" s="172">
        <f>MIN(1,MAX(VLOOKUP(($AJ98-$AI98-$AH98-$AG98-$AF98-$AE98*(1+GI$3))/$AJ98,'Технический лист'!$A:$B,2,1),(GH98-0.05)))</f>
        <v/>
      </c>
      <c r="GJ98" s="172">
        <f>MIN(1,MAX(VLOOKUP(($AJ98-$AI98-$AH98-$AG98-$AF98-$AE98*(1+GJ$3))/$AJ98,'Технический лист'!$A:$B,2,1),(GI98-0.05)))</f>
        <v/>
      </c>
      <c r="GK98" s="172">
        <f>MIN(1,MAX(VLOOKUP(($AJ98-$AI98-$AH98-$AG98-$AF98-$AE98*(1+GK$3))/$AJ98,'Технический лист'!$A:$B,2,1),(GJ98-0.05)))</f>
        <v/>
      </c>
      <c r="GL98" s="172">
        <f>MIN(1,MAX(VLOOKUP(($AJ98-$AI98-$AH98-$AG98-$AF98-$AE98*(1+GL$3))/$AJ98,'Технический лист'!$A:$B,2,1),(GK98-0.05)))</f>
        <v/>
      </c>
      <c r="GM98" s="172">
        <f>MIN(1,MAX(VLOOKUP(($AJ98-$AI98-$AH98-$AG98-$AF98-$AE98*(1+GM$3))/$AJ98,'Технический лист'!$A:$B,2,1),(GL98-0.05)))</f>
        <v/>
      </c>
      <c r="GN98" s="172">
        <f>MIN(1,MAX(VLOOKUP(($AJ98-$AI98-$AH98-$AG98-$AF98-$AE98*(1+GN$3))/$AJ98,'Технический лист'!$A:$B,2,1),(GM98-0.05)))</f>
        <v/>
      </c>
      <c r="GO98" s="172">
        <f>MIN(1,MAX(VLOOKUP(($AJ98-$AI98-$AH98-$AG98-$AF98-$AE98*(1+GO$3))/$AJ98,'Технический лист'!$A:$B,2,1),(GN98-0.05)))</f>
        <v/>
      </c>
      <c r="GP98" s="172">
        <f>MIN(1,MAX(VLOOKUP(($AJ98-$AI98-$AH98-$AG98-$AF98-$AE98*(1+GP$3))/$AJ98,'Технический лист'!$A:$B,2,1),(GO98-0.05)))</f>
        <v/>
      </c>
      <c r="GQ98" s="172">
        <f>MIN(1,MAX(VLOOKUP(($AJ98-$AI98-$AH98-$AG98-$AF98-$AE98*(1+GQ$3))/$AJ98,'Технический лист'!$A:$B,2,1),(GP98-0.05)))</f>
        <v/>
      </c>
      <c r="GR98" s="172">
        <f>MIN(1,MAX(VLOOKUP(($AJ98-$AI98-$AH98-$AG98-$AF98-$AE98*(1+GR$3))/$AJ98,'Технический лист'!$A:$B,2,1),(GQ98-0.05)))</f>
        <v/>
      </c>
      <c r="GS98" s="172">
        <f>MIN(1,MAX(VLOOKUP(($AJ98-$AI98-$AH98-$AG98-$AF98-$AE98*(1+GS$3))/$AJ98,'Технический лист'!$A:$B,2,1),(GR98-0.05)))</f>
        <v/>
      </c>
      <c r="GT98" s="172">
        <f>MIN(1,MAX(VLOOKUP(($AJ98-$AI98-$AH98-$AG98-$AF98-$AE98*(1+GT$3))/$AJ98,'Технический лист'!$A:$B,2,1),(GS98-0.05)))</f>
        <v/>
      </c>
      <c r="GU98" s="172">
        <f>MIN(1,MAX(VLOOKUP(($AJ98-$AI98-$AH98-$AG98-$AF98-$AE98*(1+GU$3))/$AJ98,'Технический лист'!$A:$B,2,1),(GT98-0.05)))</f>
        <v/>
      </c>
      <c r="GV98" s="172">
        <f>MIN(1,MAX(VLOOKUP(($AJ98-$AI98-$AH98-$AG98-$AF98-$AE98*(1+GV$3))/$AJ98,'Технический лист'!$A:$B,2,1),(GU98-0.05)))</f>
        <v/>
      </c>
      <c r="GW98" s="172">
        <f>MIN(1,MAX(VLOOKUP(($AJ98-$AI98-$AH98-$AG98-$AF98-$AE98*(1+GW$3))/$AJ98,'Технический лист'!$A:$B,2,1),(GV98-0.05)))</f>
        <v/>
      </c>
      <c r="GX98" s="172">
        <f>MIN(1,MAX(VLOOKUP(($AJ98-$AI98-$AH98-$AG98-$AF98-$AE98*(1+GX$3))/$AJ98,'Технический лист'!$A:$B,2,1),(GW98-0.05)))</f>
        <v/>
      </c>
      <c r="GY98" s="172">
        <f>MIN(1,MAX(VLOOKUP(($AJ98-$AI98-$AH98-$AG98-$AF98-$AE98*(1+GY$3))/$AJ98,'Технический лист'!$A:$B,2,1),(GX98-0.05)))</f>
        <v/>
      </c>
      <c r="GZ98" s="172">
        <f>MIN(1,MAX(VLOOKUP(($AJ98-$AI98-$AH98-$AG98-$AF98-$AE98*(1+GZ$3))/$AJ98,'Технический лист'!$A:$B,2,1),(GY98-0.05)))</f>
        <v/>
      </c>
      <c r="HA98" s="172">
        <f>MIN(1,MAX(VLOOKUP(($AJ98-$AI98-$AH98-$AG98-$AF98-$AE98*(1+HA$3))/$AJ98,'Технический лист'!$A:$B,2,1),(GZ98-0.05)))</f>
        <v/>
      </c>
      <c r="HB98" s="172">
        <f>MIN(1,MAX(VLOOKUP(($AJ98-$AI98-$AH98-$AG98-$AF98-$AE98*(1+HB$3))/$AJ98,'Технический лист'!$A:$B,2,1),(HA98-0.05)))</f>
        <v/>
      </c>
      <c r="HC98" s="172">
        <f>MIN(1,MAX(VLOOKUP(($AJ98-$AI98-$AH98-$AG98-$AF98-$AE98*(1+HC$3))/$AJ98,'Технический лист'!$A:$B,2,1),(HB98-0.05)))</f>
        <v/>
      </c>
      <c r="HD98" s="172">
        <f>MIN(1,MAX(VLOOKUP(($AJ98-$AI98-$AH98-$AG98-$AF98-$AE98*(1+HD$3))/$AJ98,'Технический лист'!$A:$B,2,1),(HC98-0.05)))</f>
        <v/>
      </c>
      <c r="HE98" s="172">
        <f>MIN(1,MAX(VLOOKUP(($AJ98-$AI98-$AH98-$AG98-$AF98-$AE98*(1+HE$3))/$AJ98,'Технический лист'!$A:$B,2,1),(HD98-0.05)))</f>
        <v/>
      </c>
      <c r="HF98" s="172">
        <f>MIN(1,MAX(VLOOKUP(($AJ98-$AI98-$AH98-$AG98-$AF98-$AE98*(1+HF$3))/$AJ98,'Технический лист'!$A:$B,2,1),(HE98-0.05)))</f>
        <v/>
      </c>
      <c r="HG98" s="172">
        <f>MIN(1,MAX(VLOOKUP(($AJ98-$AI98-$AH98-$AG98-$AF98-$AE98*(1+HG$3))/$AJ98,'Технический лист'!$A:$B,2,1),(HF98-0.05)))</f>
        <v/>
      </c>
      <c r="HH98" s="172">
        <f>MIN(1,MAX(VLOOKUP(($AJ98-$AI98-$AH98-$AG98-$AF98-$AE98*(1+HH$3))/$AJ98,'Технический лист'!$A:$B,2,1),(HG98-0.05)))</f>
        <v/>
      </c>
      <c r="HI98" s="172">
        <f>MIN(1,MAX(VLOOKUP(($AJ98-$AI98-$AH98-$AG98-$AF98-$AE98*(1+HI$3))/$AJ98,'Технический лист'!$A:$B,2,1),(HH98-0.05)))</f>
        <v/>
      </c>
      <c r="HJ98" s="172">
        <f>MIN(1,MAX(VLOOKUP(($AJ98-$AI98-$AH98-$AG98-$AF98-$AE98*(1+HJ$3))/$AJ98,'Технический лист'!$A:$B,2,1),(HI98-0.05)))</f>
        <v/>
      </c>
      <c r="HK98" s="172">
        <f>MIN(1,MAX(VLOOKUP(($AJ98-$AI98-$AH98-$AG98-$AF98-$AE98*(1+HK$3))/$AJ98,'Технический лист'!$A:$B,2,1),(HJ98-0.05)))</f>
        <v/>
      </c>
      <c r="HL98" s="172">
        <f>MIN(1,MAX(VLOOKUP(($AJ98-$AI98-$AH98-$AG98-$AF98-$AE98*(1+HL$3))/$AJ98,'Технический лист'!$A:$B,2,1),(HK98-0.05)))</f>
        <v/>
      </c>
      <c r="HM98" s="172">
        <f>MIN(1,MAX(VLOOKUP(($AJ98-$AI98-$AH98-$AG98-$AF98-$AE98*(1+HM$3))/$AJ98,'Технический лист'!$A:$B,2,1),(HL98-0.05)))</f>
        <v/>
      </c>
      <c r="HN98" s="172">
        <f>MIN(1,MAX(VLOOKUP(($AJ98-$AI98-$AH98-$AG98-$AF98-$AE98*(1+HN$3))/$AJ98,'Технический лист'!$A:$B,2,1),(HM98-0.05)))</f>
        <v/>
      </c>
      <c r="HO98" s="172">
        <f>MIN(1,MAX(VLOOKUP(($AJ98-$AI98-$AH98-$AG98-$AF98-$AE98*(1+HO$3))/$AJ98,'Технический лист'!$A:$B,2,1),(HN98-0.05)))</f>
        <v/>
      </c>
      <c r="HP98" s="172">
        <f>MIN(1,MAX(VLOOKUP(($AJ98-$AI98-$AH98-$AG98-$AF98-$AE98*(1+HP$3))/$AJ98,'Технический лист'!$A:$B,2,1),(HO98-0.05)))</f>
        <v/>
      </c>
      <c r="HQ98" s="172">
        <f>MIN(1,MAX(VLOOKUP(($AJ98-$AI98-$AH98-$AG98-$AF98-$AE98*(1+HQ$3))/$AJ98,'Технический лист'!$A:$B,2,1),(HP98-0.05)))</f>
        <v/>
      </c>
      <c r="HR98" s="172">
        <f>MIN(1,MAX(VLOOKUP(($AJ98-$AI98-$AH98-$AG98-$AF98-$AE98*(1+HR$3))/$AJ98,'Технический лист'!$A:$B,2,1),(HQ98-0.05)))</f>
        <v/>
      </c>
      <c r="HS98" s="172">
        <f>MIN(1,MAX(VLOOKUP(($AJ98-$AI98-$AH98-$AG98-$AF98-$AE98*(1+HS$3))/$AJ98,'Технический лист'!$A:$B,2,1),(HR98-0.05)))</f>
        <v/>
      </c>
      <c r="HT98" s="172">
        <f>MIN(1,MAX(VLOOKUP(($AJ98-$AI98-$AH98-$AG98-$AF98-$AE98*(1+HT$3))/$AJ98,'Технический лист'!$A:$B,2,1),(HS98-0.05)))</f>
        <v/>
      </c>
      <c r="HU98" s="172">
        <f>MIN(1,MAX(VLOOKUP(($AJ98-$AI98-$AH98-$AG98-$AF98-$AE98*(1+HU$3))/$AJ98,'Технический лист'!$A:$B,2,1),(HT98-0.05)))</f>
        <v/>
      </c>
      <c r="HV98" s="172">
        <f>MIN(1,MAX(VLOOKUP(($AJ98-$AI98-$AH98-$AG98-$AF98-$AE98*(1+HV$3))/$AJ98,'Технический лист'!$A:$B,2,1),(HU98-0.05)))</f>
        <v/>
      </c>
      <c r="HW98" s="172">
        <f>MIN(1,MAX(VLOOKUP(($AJ98-$AI98-$AH98-$AG98-$AF98-$AE98*(1+HW$3))/$AJ98,'Технический лист'!$A:$B,2,1),(HV98-0.05)))</f>
        <v/>
      </c>
      <c r="HX98" s="172">
        <f>MIN(1,MAX(VLOOKUP(($AJ98-$AI98-$AH98-$AG98-$AF98-$AE98*(1+HX$3))/$AJ98,'Технический лист'!$A:$B,2,1),(HW98-0.05)))</f>
        <v/>
      </c>
      <c r="HY98" s="172">
        <f>MIN(1,MAX(VLOOKUP(($AJ98-$AI98-$AH98-$AG98-$AF98-$AE98*(1+HY$3))/$AJ98,'Технический лист'!$A:$B,2,1),(HX98-0.05)))</f>
        <v/>
      </c>
      <c r="HZ98" s="172">
        <f>MIN(1,MAX(VLOOKUP(($AJ98-$AI98-$AH98-$AG98-$AF98-$AE98*(1+HZ$3))/$AJ98,'Технический лист'!$A:$B,2,1),(HY98-0.05)))</f>
        <v/>
      </c>
      <c r="IA98" s="172">
        <f>MIN(1,MAX(VLOOKUP(($AJ98-$AI98-$AH98-$AG98-$AF98-$AE98*(1+IA$3))/$AJ98,'Технический лист'!$A:$B,2,1),(HZ98-0.05)))</f>
        <v/>
      </c>
      <c r="IB98" s="172">
        <f>MIN(1,MAX(VLOOKUP(($AJ98-$AI98-$AH98-$AG98-$AF98-$AE98*(1+IB$3))/$AJ98,'Технический лист'!$A:$B,2,1),(IA98-0.05)))</f>
        <v/>
      </c>
      <c r="IC98" s="172">
        <f>MIN(1,MAX(VLOOKUP(($AJ98-$AI98-$AH98-$AG98-$AF98-$AE98*(1+IC$3))/$AJ98,'Технический лист'!$A:$B,2,1),(IB98-0.05)))</f>
        <v/>
      </c>
      <c r="ID98" s="172">
        <f>MIN(1,MAX(VLOOKUP(($AJ98-$AI98-$AH98-$AG98-$AF98-$AE98*(1+ID$3))/$AJ98,'Технический лист'!$A:$B,2,1),(IC98-0.05)))</f>
        <v/>
      </c>
      <c r="IE98" s="172">
        <f>MIN(1,MAX(VLOOKUP(($AJ98-$AI98-$AH98-$AG98-$AF98-$AE98*(1+IE$3))/$AJ98,'Технический лист'!$A:$B,2,1),(ID98-0.05)))</f>
        <v/>
      </c>
      <c r="IF98" s="172">
        <f>MIN(1,MAX(VLOOKUP(($AJ98-$AI98-$AH98-$AG98-$AF98-$AE98*(1+IF$3))/$AJ98,'Технический лист'!$A:$B,2,1),(IE98-0.05)))</f>
        <v/>
      </c>
      <c r="IG98" s="172">
        <f>MIN(1,MAX(VLOOKUP(($AJ98-$AI98-$AH98-$AG98-$AF98-$AE98*(1+IG$3))/$AJ98,'Технический лист'!$A:$B,2,1),(IF98-0.05)))</f>
        <v/>
      </c>
      <c r="IH98" s="172">
        <f>MIN(1,MAX(VLOOKUP(($AJ98-$AI98-$AH98-$AG98-$AF98-$AE98*(1+IH$3))/$AJ98,'Технический лист'!$A:$B,2,1),(IG98-0.05)))</f>
        <v/>
      </c>
      <c r="II98" s="172">
        <f>MIN(1,MAX(VLOOKUP(($AJ98-$AI98-$AH98-$AG98-$AF98-$AE98*(1+II$3))/$AJ98,'Технический лист'!$A:$B,2,1),(IH98-0.05)))</f>
        <v/>
      </c>
      <c r="IJ98" s="172">
        <f>MIN(1,MAX(VLOOKUP(($AJ98-$AI98-$AH98-$AG98-$AF98-$AE98*(1+IJ$3))/$AJ98,'Технический лист'!$A:$B,2,1),(II98-0.05)))</f>
        <v/>
      </c>
      <c r="IK98" s="172">
        <f>MIN(1,MAX(VLOOKUP(($AJ98-$AI98-$AH98-$AG98-$AF98-$AE98*(1+IK$3))/$AJ98,'Технический лист'!$A:$B,2,1),(IJ98-0.05)))</f>
        <v/>
      </c>
      <c r="IL98" s="172">
        <f>MIN(1,MAX(VLOOKUP(($AJ98-$AI98-$AH98-$AG98-$AF98-$AE98*(1+IL$3))/$AJ98,'Технический лист'!$A:$B,2,1),(IK98-0.05)))</f>
        <v/>
      </c>
      <c r="IM98" s="172">
        <f>MIN(1,MAX(VLOOKUP(($AJ98-$AI98-$AH98-$AG98-$AF98-$AE98*(1+IM$3))/$AJ98,'Технический лист'!$A:$B,2,1),(IL98-0.05)))</f>
        <v/>
      </c>
      <c r="IN98" s="172">
        <f>MIN(1,MAX(VLOOKUP(($AJ98-$AI98-$AH98-$AG98-$AF98-$AE98*(1+IN$3))/$AJ98,'Технический лист'!$A:$B,2,1),(IM98-0.05)))</f>
        <v/>
      </c>
      <c r="IO98" s="172">
        <f>MIN(1,MAX(VLOOKUP(($AJ98-$AI98-$AH98-$AG98-$AF98-$AE98*(1+IO$3))/$AJ98,'Технический лист'!$A:$B,2,1),(IN98-0.05)))</f>
        <v/>
      </c>
      <c r="IP98" s="172">
        <f>MIN(1,MAX(VLOOKUP(($AJ98-$AI98-$AH98-$AG98-$AF98-$AE98*(1+IP$3))/$AJ98,'Технический лист'!$A:$B,2,1),(IO98-0.05)))</f>
        <v/>
      </c>
      <c r="IQ98" s="172">
        <f>MIN(1,MAX(VLOOKUP(($AJ98-$AI98-$AH98-$AG98-$AF98-$AE98*(1+IQ$3))/$AJ98,'Технический лист'!$A:$B,2,1),(IP98-0.05)))</f>
        <v/>
      </c>
      <c r="IR98" s="172">
        <f>MIN(1,MAX(VLOOKUP(($AJ98-$AI98-$AH98-$AG98-$AF98-$AE98*(1+IR$3))/$AJ98,'Технический лист'!$A:$B,2,1),(IQ98-0.05)))</f>
        <v/>
      </c>
    </row>
    <row r="99" ht="58.3" customHeight="1" s="123">
      <c r="A99" s="89" t="inlineStr">
        <is>
          <t>ЧМ (продукция)</t>
        </is>
      </c>
      <c r="B99" s="90" t="n">
        <v>5</v>
      </c>
      <c r="C99" s="5" t="inlineStr">
        <is>
          <t>Черные металлы</t>
        </is>
      </c>
      <c r="D99" s="91" t="n">
        <v>32411</v>
      </c>
      <c r="E99" s="91" t="inlineStr">
        <is>
          <t xml:space="preserve">Прокат черных металлов, не поименованный в алфавите </t>
        </is>
      </c>
      <c r="F99" s="92" t="inlineStr">
        <is>
          <t>ПРОЧИЕ ВИДЫ ПРОКАТА ЧЕРНЫ</t>
        </is>
      </c>
      <c r="G99" s="91" t="inlineStr">
        <is>
          <t>СВР</t>
        </is>
      </c>
      <c r="H99" s="91" t="inlineStr">
        <is>
          <t>ДВС</t>
        </is>
      </c>
      <c r="I99" s="91" t="inlineStr">
        <is>
          <t>НИЖНЕСЕРГИНС</t>
        </is>
      </c>
      <c r="J99" s="91" t="inlineStr">
        <is>
          <t>УГОЛЬНАЯ</t>
        </is>
      </c>
      <c r="K99" s="91" t="n">
        <v>7569</v>
      </c>
      <c r="L99" s="91" t="inlineStr">
        <is>
          <t>Полувагоны</t>
        </is>
      </c>
      <c r="M99" s="91" t="inlineStr">
        <is>
          <t>Внутр. перевозки</t>
        </is>
      </c>
      <c r="N99" s="91" t="inlineStr">
        <is>
          <t>вагонная</t>
        </is>
      </c>
      <c r="O99" s="91" t="inlineStr">
        <is>
          <t xml:space="preserve">Восточное </t>
        </is>
      </c>
      <c r="P99" s="89" t="inlineStr">
        <is>
          <t>'000055791017</t>
        </is>
      </c>
      <c r="Q99" s="91" t="inlineStr">
        <is>
          <t>ООО "ПРОМСОРТ-УРАЛ"</t>
        </is>
      </c>
      <c r="R99" s="91" t="inlineStr">
        <is>
          <t>ООО "УК"ПМХ"</t>
        </is>
      </c>
      <c r="S99" s="87" t="n">
        <v>6210</v>
      </c>
      <c r="T99" s="87" t="n">
        <v>46999927</v>
      </c>
      <c r="U99" s="88" t="n">
        <v>90</v>
      </c>
      <c r="V99" s="88" t="n">
        <v>0</v>
      </c>
      <c r="W99" s="87" t="n">
        <v>27090672</v>
      </c>
      <c r="X99" s="112" t="n">
        <v>69</v>
      </c>
      <c r="Y99" s="112" t="inlineStr">
        <is>
          <t>групповая</t>
        </is>
      </c>
      <c r="Z99" s="113" t="n">
        <v>21</v>
      </c>
      <c r="AA99" s="113" t="n">
        <v>16</v>
      </c>
      <c r="AB99" s="113" t="n">
        <v>4</v>
      </c>
      <c r="AC99" s="161" t="n">
        <v>4758.45</v>
      </c>
      <c r="AD99" s="161">
        <f>AE99-AC99</f>
        <v/>
      </c>
      <c r="AE99" s="161" t="n">
        <v>5869.39</v>
      </c>
      <c r="AF99" s="162">
        <f>(Z99+AA99+AB99)*'Ставки аренды'!$B$3/X99</f>
        <v/>
      </c>
      <c r="AG99" s="163" t="n">
        <v>0</v>
      </c>
      <c r="AH99" s="164" t="n">
        <v>0</v>
      </c>
      <c r="AI99" s="165">
        <f>56808019/60637187*AVERAGE(AJ95,AJ98)</f>
        <v/>
      </c>
      <c r="AJ99" s="166">
        <f>Цены!D23</f>
        <v/>
      </c>
      <c r="AK99" s="164">
        <f>AJ99/Цены!$B$1</f>
        <v/>
      </c>
      <c r="AL99" s="164">
        <f>AE99+AF99+AG99</f>
        <v/>
      </c>
      <c r="AM99" s="164">
        <f>AJ99-AL99</f>
        <v/>
      </c>
      <c r="AN99" s="164">
        <f>AI99+AH99+AG99+AF99+AE99</f>
        <v/>
      </c>
      <c r="AO99" s="167">
        <f>(AJ99-AN99)/AJ99</f>
        <v/>
      </c>
      <c r="AP99" s="168">
        <f>AL99/AJ99</f>
        <v/>
      </c>
      <c r="AQ99" s="168">
        <f>AE99/AJ99</f>
        <v/>
      </c>
      <c r="AR99" s="168">
        <f>AE99/AL99</f>
        <v/>
      </c>
      <c r="AS99" s="169" t="n">
        <v>1</v>
      </c>
      <c r="AT99" s="121">
        <f>S99*AS99</f>
        <v/>
      </c>
      <c r="AU99" s="83" t="n">
        <v>0.8</v>
      </c>
      <c r="AV99" s="170">
        <f>(AJ99-(AE99*(1+$IS$2)+AF99+AG99+AH99+AI99))/AJ99</f>
        <v/>
      </c>
      <c r="AW99" s="171">
        <f>(AE99*(1+$IS$2)+AF99+AG99)/AJ99</f>
        <v/>
      </c>
      <c r="AX99" s="171">
        <f>(AE99*(1+$IS$2))/AJ99</f>
        <v/>
      </c>
      <c r="AY99" s="171">
        <f>(AE99*(1+$IS$2))/(AE99*(1+$IS$2)+AF99+AG99)</f>
        <v/>
      </c>
      <c r="AZ99" s="172">
        <f>MIN(IF($AU99=100%,1,1+VLOOKUP(($AJ99-$AI99-$AH99-$AG99-$AF99-$AE99*(1+AZ$3))/$AJ99,'Технический лист'!$I:$J,2,1)-VLOOKUP($AO99,'Технический лист'!$I:$J,2,1)),1+(1-$AU99))</f>
        <v/>
      </c>
      <c r="BA99" s="172">
        <f>MIN(IF($AU99=100%,1,1+VLOOKUP(($AJ99-$AI99-$AH99-$AG99-$AF99-$AE99*(1+BA$3))/$AJ99,'Технический лист'!$I:$J,2,1)-VLOOKUP($AO99,'Технический лист'!$I:$J,2,1)),1+(1-$AU99))</f>
        <v/>
      </c>
      <c r="BB99" s="172">
        <f>MIN(IF($AU99=100%,1,1+VLOOKUP(($AJ99-$AI99-$AH99-$AG99-$AF99-$AE99*(1+BB$3))/$AJ99,'Технический лист'!$I:$J,2,1)-VLOOKUP($AO99,'Технический лист'!$I:$J,2,1)),1+(1-$AU99))</f>
        <v/>
      </c>
      <c r="BC99" s="172">
        <f>MIN(IF($AU99=100%,1,1+VLOOKUP(($AJ99-$AI99-$AH99-$AG99-$AF99-$AE99*(1+BC$3))/$AJ99,'Технический лист'!$I:$J,2,1)-VLOOKUP($AO99,'Технический лист'!$I:$J,2,1)),1+(1-$AU99))</f>
        <v/>
      </c>
      <c r="BD99" s="172">
        <f>MIN(IF($AU99=100%,1,1+VLOOKUP(($AJ99-$AI99-$AH99-$AG99-$AF99-$AE99*(1+BD$3))/$AJ99,'Технический лист'!$I:$J,2,1)-VLOOKUP($AO99,'Технический лист'!$I:$J,2,1)),1+(1-$AU99))</f>
        <v/>
      </c>
      <c r="BE99" s="172">
        <f>MIN(IF($AU99=100%,1,1+VLOOKUP(($AJ99-$AI99-$AH99-$AG99-$AF99-$AE99*(1+BE$3))/$AJ99,'Технический лист'!$I:$J,2,1)-VLOOKUP($AO99,'Технический лист'!$I:$J,2,1)),1+(1-$AU99))</f>
        <v/>
      </c>
      <c r="BF99" s="172">
        <f>MIN(IF($AU99=100%,1,1+VLOOKUP(($AJ99-$AI99-$AH99-$AG99-$AF99-$AE99*(1+BF$3))/$AJ99,'Технический лист'!$I:$J,2,1)-VLOOKUP($AO99,'Технический лист'!$I:$J,2,1)),1+(1-$AU99))</f>
        <v/>
      </c>
      <c r="BG99" s="172">
        <f>MIN(IF($AU99=100%,1,1+VLOOKUP(($AJ99-$AI99-$AH99-$AG99-$AF99-$AE99*(1+BG$3))/$AJ99,'Технический лист'!$I:$J,2,1)-VLOOKUP($AO99,'Технический лист'!$I:$J,2,1)),1+(1-$AU99))</f>
        <v/>
      </c>
      <c r="BH99" s="172">
        <f>MIN(IF($AU99=100%,1,1+VLOOKUP(($AJ99-$AI99-$AH99-$AG99-$AF99-$AE99*(1+BH$3))/$AJ99,'Технический лист'!$I:$J,2,1)-VLOOKUP($AO99,'Технический лист'!$I:$J,2,1)),1+(1-$AU99))</f>
        <v/>
      </c>
      <c r="BI99" s="172">
        <f>MIN(IF($AU99=100%,1,1+VLOOKUP(($AJ99-$AI99-$AH99-$AG99-$AF99-$AE99*(1+BI$3))/$AJ99,'Технический лист'!$I:$J,2,1)-VLOOKUP($AO99,'Технический лист'!$I:$J,2,1)),1+(1-$AU99))</f>
        <v/>
      </c>
      <c r="BJ99" s="172">
        <f>MIN(IF($AU99=100%,1,1+VLOOKUP(($AJ99-$AI99-$AH99-$AG99-$AF99-$AE99*(1+BJ$3))/$AJ99,'Технический лист'!$I:$J,2,1)-VLOOKUP($AO99,'Технический лист'!$I:$J,2,1)),1+(1-$AU99))</f>
        <v/>
      </c>
      <c r="BK99" s="172">
        <f>MIN(IF($AU99=100%,1,1+VLOOKUP(($AJ99-$AI99-$AH99-$AG99-$AF99-$AE99*(1+BK$3))/$AJ99,'Технический лист'!$I:$J,2,1)-VLOOKUP($AO99,'Технический лист'!$I:$J,2,1)),1+(1-$AU99))</f>
        <v/>
      </c>
      <c r="BL99" s="172">
        <f>MIN(IF($AU99=100%,1,1+VLOOKUP(($AJ99-$AI99-$AH99-$AG99-$AF99-$AE99*(1+BL$3))/$AJ99,'Технический лист'!$I:$J,2,1)-VLOOKUP($AO99,'Технический лист'!$I:$J,2,1)),1+(1-$AU99))</f>
        <v/>
      </c>
      <c r="BM99" s="172">
        <f>MIN(IF($AU99=100%,1,1+VLOOKUP(($AJ99-$AI99-$AH99-$AG99-$AF99-$AE99*(1+BM$3))/$AJ99,'Технический лист'!$I:$J,2,1)-VLOOKUP($AO99,'Технический лист'!$I:$J,2,1)),1+(1-$AU99))</f>
        <v/>
      </c>
      <c r="BN99" s="172">
        <f>MIN(IF($AU99=100%,1,1+VLOOKUP(($AJ99-$AI99-$AH99-$AG99-$AF99-$AE99*(1+BN$3))/$AJ99,'Технический лист'!$I:$J,2,1)-VLOOKUP($AO99,'Технический лист'!$I:$J,2,1)),1+(1-$AU99))</f>
        <v/>
      </c>
      <c r="BO99" s="172">
        <f>MIN(IF($AU99=100%,1,1+VLOOKUP(($AJ99-$AI99-$AH99-$AG99-$AF99-$AE99*(1+BO$3))/$AJ99,'Технический лист'!$I:$J,2,1)-VLOOKUP($AO99,'Технический лист'!$I:$J,2,1)),1+(1-$AU99))</f>
        <v/>
      </c>
      <c r="BP99" s="172">
        <f>MIN(IF($AU99=100%,1,1+VLOOKUP(($AJ99-$AI99-$AH99-$AG99-$AF99-$AE99*(1+BP$3))/$AJ99,'Технический лист'!$I:$J,2,1)-VLOOKUP($AO99,'Технический лист'!$I:$J,2,1)),1+(1-$AU99))</f>
        <v/>
      </c>
      <c r="BQ99" s="172">
        <f>MIN(IF($AU99=100%,1,1+VLOOKUP(($AJ99-$AI99-$AH99-$AG99-$AF99-$AE99*(1+BQ$3))/$AJ99,'Технический лист'!$I:$J,2,1)-VLOOKUP($AO99,'Технический лист'!$I:$J,2,1)),1+(1-$AU99))</f>
        <v/>
      </c>
      <c r="BR99" s="172">
        <f>MIN(IF($AU99=100%,1,1+VLOOKUP(($AJ99-$AI99-$AH99-$AG99-$AF99-$AE99*(1+BR$3))/$AJ99,'Технический лист'!$I:$J,2,1)-VLOOKUP($AO99,'Технический лист'!$I:$J,2,1)),1+(1-$AU99))</f>
        <v/>
      </c>
      <c r="BS99" s="172">
        <f>MIN(IF($AU99=100%,1,1+VLOOKUP(($AJ99-$AI99-$AH99-$AG99-$AF99-$AE99*(1+BS$3))/$AJ99,'Технический лист'!$I:$J,2,1)-VLOOKUP($AO99,'Технический лист'!$I:$J,2,1)),1+(1-$AU99))</f>
        <v/>
      </c>
      <c r="BT99" s="172">
        <f>MIN(IF($AU99=100%,1,1+VLOOKUP(($AJ99-$AI99-$AH99-$AG99-$AF99-$AE99*(1+BT$3))/$AJ99,'Технический лист'!$I:$J,2,1)-VLOOKUP($AO99,'Технический лист'!$I:$J,2,1)),1+(1-$AU99))</f>
        <v/>
      </c>
      <c r="BU99" s="172">
        <f>MIN(IF($AU99=100%,1,1+VLOOKUP(($AJ99-$AI99-$AH99-$AG99-$AF99-$AE99*(1+BU$3))/$AJ99,'Технический лист'!$I:$J,2,1)-VLOOKUP($AO99,'Технический лист'!$I:$J,2,1)),1+(1-$AU99))</f>
        <v/>
      </c>
      <c r="BV99" s="172">
        <f>MIN(IF($AU99=100%,1,1+VLOOKUP(($AJ99-$AI99-$AH99-$AG99-$AF99-$AE99*(1+BV$3))/$AJ99,'Технический лист'!$I:$J,2,1)-VLOOKUP($AO99,'Технический лист'!$I:$J,2,1)),1+(1-$AU99))</f>
        <v/>
      </c>
      <c r="BW99" s="172">
        <f>MIN(IF($AU99=100%,1,1+VLOOKUP(($AJ99-$AI99-$AH99-$AG99-$AF99-$AE99*(1+BW$3))/$AJ99,'Технический лист'!$I:$J,2,1)-VLOOKUP($AO99,'Технический лист'!$I:$J,2,1)),1+(1-$AU99))</f>
        <v/>
      </c>
      <c r="BX99" s="172">
        <f>MIN(IF($AU99=100%,1,1+VLOOKUP(($AJ99-$AI99-$AH99-$AG99-$AF99-$AE99*(1+BX$3))/$AJ99,'Технический лист'!$I:$J,2,1)-VLOOKUP($AO99,'Технический лист'!$I:$J,2,1)),1+(1-$AU99))</f>
        <v/>
      </c>
      <c r="BY99" s="172">
        <f>MIN(IF($AU99=100%,1,1+VLOOKUP(($AJ99-$AI99-$AH99-$AG99-$AF99-$AE99*(1+BY$3))/$AJ99,'Технический лист'!$I:$J,2,1)-VLOOKUP($AO99,'Технический лист'!$I:$J,2,1)),1+(1-$AU99))</f>
        <v/>
      </c>
      <c r="BZ99" s="172">
        <f>MIN(IF($AU99=100%,1,1+VLOOKUP(($AJ99-$AI99-$AH99-$AG99-$AF99-$AE99*(1+BZ$3))/$AJ99,'Технический лист'!$I:$J,2,1)-VLOOKUP($AO99,'Технический лист'!$I:$J,2,1)),1+(1-$AU99))</f>
        <v/>
      </c>
      <c r="CA99" s="172">
        <f>MIN(IF($AU99=100%,1,1+VLOOKUP(($AJ99-$AI99-$AH99-$AG99-$AF99-$AE99*(1+CA$3))/$AJ99,'Технический лист'!$I:$J,2,1)-VLOOKUP($AO99,'Технический лист'!$I:$J,2,1)),1+(1-$AU99))</f>
        <v/>
      </c>
      <c r="CB99" s="172">
        <f>MIN(IF($AU99=100%,1,1+VLOOKUP(($AJ99-$AI99-$AH99-$AG99-$AF99-$AE99*(1+CB$3))/$AJ99,'Технический лист'!$I:$J,2,1)-VLOOKUP($AO99,'Технический лист'!$I:$J,2,1)),1+(1-$AU99))</f>
        <v/>
      </c>
      <c r="CC99" s="172">
        <f>MIN(IF($AU99=100%,1,1+VLOOKUP(($AJ99-$AI99-$AH99-$AG99-$AF99-$AE99*(1+CC$3))/$AJ99,'Технический лист'!$I:$J,2,1)-VLOOKUP($AO99,'Технический лист'!$I:$J,2,1)),1+(1-$AU99))</f>
        <v/>
      </c>
      <c r="CD99" s="172">
        <f>MIN(IF($AU99=100%,1,1+VLOOKUP(($AJ99-$AI99-$AH99-$AG99-$AF99-$AE99*(1+CD$3))/$AJ99,'Технический лист'!$I:$J,2,1)-VLOOKUP($AO99,'Технический лист'!$I:$J,2,1)),1+(1-$AU99))</f>
        <v/>
      </c>
      <c r="CE99" s="172">
        <f>MIN(IF($AU99=100%,1,1+VLOOKUP(($AJ99-$AI99-$AH99-$AG99-$AF99-$AE99*(1+CE$3))/$AJ99,'Технический лист'!$I:$J,2,1)-VLOOKUP($AO99,'Технический лист'!$I:$J,2,1)),1+(1-$AU99))</f>
        <v/>
      </c>
      <c r="CF99" s="172">
        <f>MIN(IF($AU99=100%,1,1+VLOOKUP(($AJ99-$AI99-$AH99-$AG99-$AF99-$AE99*(1+CF$3))/$AJ99,'Технический лист'!$I:$J,2,1)-VLOOKUP($AO99,'Технический лист'!$I:$J,2,1)),1+(1-$AU99))</f>
        <v/>
      </c>
      <c r="CG99" s="172">
        <f>MIN(IF($AU99=100%,1,1+VLOOKUP(($AJ99-$AI99-$AH99-$AG99-$AF99-$AE99*(1+CG$3))/$AJ99,'Технический лист'!$I:$J,2,1)-VLOOKUP($AO99,'Технический лист'!$I:$J,2,1)),1+(1-$AU99))</f>
        <v/>
      </c>
      <c r="CH99" s="172">
        <f>MIN(IF($AU99=100%,1,1+VLOOKUP(($AJ99-$AI99-$AH99-$AG99-$AF99-$AE99*(1+CH$3))/$AJ99,'Технический лист'!$I:$J,2,1)-VLOOKUP($AO99,'Технический лист'!$I:$J,2,1)),1+(1-$AU99))</f>
        <v/>
      </c>
      <c r="CI99" s="172">
        <f>MIN(IF($AU99=100%,1,1+VLOOKUP(($AJ99-$AI99-$AH99-$AG99-$AF99-$AE99*(1+CI$3))/$AJ99,'Технический лист'!$I:$J,2,1)-VLOOKUP($AO99,'Технический лист'!$I:$J,2,1)),1+(1-$AU99))</f>
        <v/>
      </c>
      <c r="CJ99" s="172">
        <f>MIN(IF($AU99=100%,1,1+VLOOKUP(($AJ99-$AI99-$AH99-$AG99-$AF99-$AE99*(1+CJ$3))/$AJ99,'Технический лист'!$I:$J,2,1)-VLOOKUP($AO99,'Технический лист'!$I:$J,2,1)),1+(1-$AU99))</f>
        <v/>
      </c>
      <c r="CK99" s="172">
        <f>MIN(IF($AU99=100%,1,1+VLOOKUP(($AJ99-$AI99-$AH99-$AG99-$AF99-$AE99*(1+CK$3))/$AJ99,'Технический лист'!$I:$J,2,1)-VLOOKUP($AO99,'Технический лист'!$I:$J,2,1)),1+(1-$AU99))</f>
        <v/>
      </c>
      <c r="CL99" s="172">
        <f>MIN(IF($AU99=100%,1,1+VLOOKUP(($AJ99-$AI99-$AH99-$AG99-$AF99-$AE99*(1+CL$3))/$AJ99,'Технический лист'!$I:$J,2,1)-VLOOKUP($AO99,'Технический лист'!$I:$J,2,1)),1+(1-$AU99))</f>
        <v/>
      </c>
      <c r="CM99" s="172">
        <f>MIN(IF($AU99=100%,1,1+VLOOKUP(($AJ99-$AI99-$AH99-$AG99-$AF99-$AE99*(1+CM$3))/$AJ99,'Технический лист'!$I:$J,2,1)-VLOOKUP($AO99,'Технический лист'!$I:$J,2,1)),1+(1-$AU99))</f>
        <v/>
      </c>
      <c r="CN99" s="172">
        <f>MIN(IF($AU99=100%,1,1+VLOOKUP(($AJ99-$AI99-$AH99-$AG99-$AF99-$AE99*(1+CN$3))/$AJ99,'Технический лист'!$I:$J,2,1)-VLOOKUP($AO99,'Технический лист'!$I:$J,2,1)),1+(1-$AU99))</f>
        <v/>
      </c>
      <c r="CO99" s="172">
        <f>MIN(IF($AU99=100%,1,1+VLOOKUP(($AJ99-$AI99-$AH99-$AG99-$AF99-$AE99*(1+CO$3))/$AJ99,'Технический лист'!$I:$J,2,1)-VLOOKUP($AO99,'Технический лист'!$I:$J,2,1)),1+(1-$AU99))</f>
        <v/>
      </c>
      <c r="CP99" s="172">
        <f>MIN(IF($AU99=100%,1,1+VLOOKUP(($AJ99-$AI99-$AH99-$AG99-$AF99-$AE99*(1+CP$3))/$AJ99,'Технический лист'!$I:$J,2,1)-VLOOKUP($AO99,'Технический лист'!$I:$J,2,1)),1+(1-$AU99))</f>
        <v/>
      </c>
      <c r="CQ99" s="172">
        <f>MIN(IF($AU99=100%,1,1+VLOOKUP(($AJ99-$AI99-$AH99-$AG99-$AF99-$AE99*(1+CQ$3))/$AJ99,'Технический лист'!$I:$J,2,1)-VLOOKUP($AO99,'Технический лист'!$I:$J,2,1)),1+(1-$AU99))</f>
        <v/>
      </c>
      <c r="CR99" s="172">
        <f>MIN(IF($AU99=100%,1,1+VLOOKUP(($AJ99-$AI99-$AH99-$AG99-$AF99-$AE99*(1+CR$3))/$AJ99,'Технический лист'!$I:$J,2,1)-VLOOKUP($AO99,'Технический лист'!$I:$J,2,1)),1+(1-$AU99))</f>
        <v/>
      </c>
      <c r="CS99" s="172">
        <f>MIN(IF($AU99=100%,1,1+VLOOKUP(($AJ99-$AI99-$AH99-$AG99-$AF99-$AE99*(1+CS$3))/$AJ99,'Технический лист'!$I:$J,2,1)-VLOOKUP($AO99,'Технический лист'!$I:$J,2,1)),1+(1-$AU99))</f>
        <v/>
      </c>
      <c r="CT99" s="172">
        <f>MIN(IF($AU99=100%,1,1+VLOOKUP(($AJ99-$AI99-$AH99-$AG99-$AF99-$AE99*(1+CT$3))/$AJ99,'Технический лист'!$I:$J,2,1)-VLOOKUP($AO99,'Технический лист'!$I:$J,2,1)),1+(1-$AU99))</f>
        <v/>
      </c>
      <c r="CU99" s="172">
        <f>MIN(IF($AU99=100%,1,1+VLOOKUP(($AJ99-$AI99-$AH99-$AG99-$AF99-$AE99*(1+CU$3))/$AJ99,'Технический лист'!$I:$J,2,1)-VLOOKUP($AO99,'Технический лист'!$I:$J,2,1)),1+(1-$AU99))</f>
        <v/>
      </c>
      <c r="CV99" s="172">
        <f>MIN(IF($AU99=100%,1,1+VLOOKUP(($AJ99-$AI99-$AH99-$AG99-$AF99-$AE99*(1+CV$3))/$AJ99,'Технический лист'!$I:$J,2,1)-VLOOKUP($AO99,'Технический лист'!$I:$J,2,1)),1+(1-$AU99))</f>
        <v/>
      </c>
      <c r="CW99" s="172">
        <f>MIN(IF($AU99=100%,1,1+VLOOKUP(($AJ99-$AI99-$AH99-$AG99-$AF99-$AE99*(1+CW$3))/$AJ99,'Технический лист'!$I:$J,2,1)-VLOOKUP($AO99,'Технический лист'!$I:$J,2,1)),1+(1-$AU99))</f>
        <v/>
      </c>
      <c r="CX99" s="172">
        <f>MIN(IF($AU99=100%,1,1+VLOOKUP(($AJ99-$AI99-$AH99-$AG99-$AF99-$AE99*(1+CX$3))/$AJ99,'Технический лист'!$I:$J,2,1)-VLOOKUP($AO99,'Технический лист'!$I:$J,2,1)),1+(1-$AU99))</f>
        <v/>
      </c>
      <c r="CY99" s="172">
        <f>MIN(IF($AU99=100%,1,1+VLOOKUP(($AJ99-$AI99-$AH99-$AG99-$AF99-$AE99*(1+CY$3))/$AJ99,'Технический лист'!$I:$J,2,1)-VLOOKUP($AO99,'Технический лист'!$I:$J,2,1)),1+(1-$AU99))</f>
        <v/>
      </c>
      <c r="CZ99" s="172">
        <f>MIN(IF($AU99=100%,1,1+VLOOKUP(($AJ99-$AI99-$AH99-$AG99-$AF99-$AE99*(1+CZ$3))/$AJ99,'Технический лист'!$I:$J,2,1)-VLOOKUP($AO99,'Технический лист'!$I:$J,2,1)),1+(1-$AU99))</f>
        <v/>
      </c>
      <c r="DA99" s="172">
        <f>MIN(IF($AU99=100%,1,1+VLOOKUP(($AJ99-$AI99-$AH99-$AG99-$AF99-$AE99*(1+DA$3))/$AJ99,'Технический лист'!$I:$J,2,1)-VLOOKUP($AO99,'Технический лист'!$I:$J,2,1)),1+(1-$AU99))</f>
        <v/>
      </c>
      <c r="DB99" s="172">
        <f>MIN(IF($AU99=100%,1,1+VLOOKUP(($AJ99-$AI99-$AH99-$AG99-$AF99-$AE99*(1+DB$3))/$AJ99,'Технический лист'!$I:$J,2,1)-VLOOKUP($AO99,'Технический лист'!$I:$J,2,1)),1+(1-$AU99))</f>
        <v/>
      </c>
      <c r="DC99" s="172">
        <f>MIN(IF($AU99=100%,1,1+VLOOKUP(($AJ99-$AI99-$AH99-$AG99-$AF99-$AE99*(1+DC$3))/$AJ99,'Технический лист'!$I:$J,2,1)-VLOOKUP($AO99,'Технический лист'!$I:$J,2,1)),1+(1-$AU99))</f>
        <v/>
      </c>
      <c r="DD99" s="172">
        <f>MIN(IF($AU99=100%,1,1+VLOOKUP(($AJ99-$AI99-$AH99-$AG99-$AF99-$AE99*(1+DD$3))/$AJ99,'Технический лист'!$I:$J,2,1)-VLOOKUP($AO99,'Технический лист'!$I:$J,2,1)),1+(1-$AU99))</f>
        <v/>
      </c>
      <c r="DE99" s="172">
        <f>MIN(IF($AU99=100%,1,1+VLOOKUP(($AJ99-$AI99-$AH99-$AG99-$AF99-$AE99*(1+DE$3))/$AJ99,'Технический лист'!$I:$J,2,1)-VLOOKUP($AO99,'Технический лист'!$I:$J,2,1)),1+(1-$AU99))</f>
        <v/>
      </c>
      <c r="DF99" s="172">
        <f>MIN(IF($AU99=100%,1,1+VLOOKUP(($AJ99-$AI99-$AH99-$AG99-$AF99-$AE99*(1+DF$3))/$AJ99,'Технический лист'!$I:$J,2,1)-VLOOKUP($AO99,'Технический лист'!$I:$J,2,1)),1+(1-$AU99))</f>
        <v/>
      </c>
      <c r="DG99" s="172">
        <f>MIN(IF($AU99=100%,1,1+VLOOKUP(($AJ99-$AI99-$AH99-$AG99-$AF99-$AE99*(1+DG$3))/$AJ99,'Технический лист'!$I:$J,2,1)-VLOOKUP($AO99,'Технический лист'!$I:$J,2,1)),1+(1-$AU99))</f>
        <v/>
      </c>
      <c r="DH99" s="172">
        <f>MIN(IF($AU99=100%,1,1+VLOOKUP(($AJ99-$AI99-$AH99-$AG99-$AF99-$AE99*(1+DH$3))/$AJ99,'Технический лист'!$I:$J,2,1)-VLOOKUP($AO99,'Технический лист'!$I:$J,2,1)),1+(1-$AU99))</f>
        <v/>
      </c>
      <c r="DI99" s="172">
        <f>MIN(IF($AU99=100%,1,1+VLOOKUP(($AJ99-$AI99-$AH99-$AG99-$AF99-$AE99*(1+DI$3))/$AJ99,'Технический лист'!$I:$J,2,1)-VLOOKUP($AO99,'Технический лист'!$I:$J,2,1)),1+(1-$AU99))</f>
        <v/>
      </c>
      <c r="DJ99" s="172">
        <f>MIN(IF($AU99=100%,1,1+VLOOKUP(($AJ99-$AI99-$AH99-$AG99-$AF99-$AE99*(1+DJ$3))/$AJ99,'Технический лист'!$I:$J,2,1)-VLOOKUP($AO99,'Технический лист'!$I:$J,2,1)),1+(1-$AU99))</f>
        <v/>
      </c>
      <c r="DK99" s="172">
        <f>MIN(IF($AU99=100%,1,1+VLOOKUP(($AJ99-$AI99-$AH99-$AG99-$AF99-$AE99*(1+DK$3))/$AJ99,'Технический лист'!$I:$J,2,1)-VLOOKUP($AO99,'Технический лист'!$I:$J,2,1)),1+(1-$AU99))</f>
        <v/>
      </c>
      <c r="DL99" s="172">
        <f>MIN(IF($AU99=100%,1,1+VLOOKUP(($AJ99-$AI99-$AH99-$AG99-$AF99-$AE99*(1+DL$3))/$AJ99,'Технический лист'!$I:$J,2,1)-VLOOKUP($AO99,'Технический лист'!$I:$J,2,1)),1+(1-$AU99))</f>
        <v/>
      </c>
      <c r="DM99" s="172">
        <f>MIN(IF($AU99=100%,1,1+VLOOKUP(($AJ99-$AI99-$AH99-$AG99-$AF99-$AE99*(1+DM$3))/$AJ99,'Технический лист'!$I:$J,2,1)-VLOOKUP($AO99,'Технический лист'!$I:$J,2,1)),1+(1-$AU99))</f>
        <v/>
      </c>
      <c r="DN99" s="172">
        <f>MIN(IF($AU99=100%,1,1+VLOOKUP(($AJ99-$AI99-$AH99-$AG99-$AF99-$AE99*(1+DN$3))/$AJ99,'Технический лист'!$I:$J,2,1)-VLOOKUP($AO99,'Технический лист'!$I:$J,2,1)),1+(1-$AU99))</f>
        <v/>
      </c>
      <c r="DO99" s="172">
        <f>MIN(IF($AU99=100%,1,1+VLOOKUP(($AJ99-$AI99-$AH99-$AG99-$AF99-$AE99*(1+DO$3))/$AJ99,'Технический лист'!$I:$J,2,1)-VLOOKUP($AO99,'Технический лист'!$I:$J,2,1)),1+(1-$AU99))</f>
        <v/>
      </c>
      <c r="DP99" s="172">
        <f>MIN(IF($AU99=100%,1,1+VLOOKUP(($AJ99-$AI99-$AH99-$AG99-$AF99-$AE99*(1+DP$3))/$AJ99,'Технический лист'!$I:$J,2,1)-VLOOKUP($AO99,'Технический лист'!$I:$J,2,1)),1+(1-$AU99))</f>
        <v/>
      </c>
      <c r="DQ99" s="172">
        <f>MIN(IF($AU99=100%,1,1+VLOOKUP(($AJ99-$AI99-$AH99-$AG99-$AF99-$AE99*(1+DQ$3))/$AJ99,'Технический лист'!$I:$J,2,1)-VLOOKUP($AO99,'Технический лист'!$I:$J,2,1)),1+(1-$AU99))</f>
        <v/>
      </c>
      <c r="DR99" s="172">
        <f>MIN(IF($AU99=100%,1,1+VLOOKUP(($AJ99-$AI99-$AH99-$AG99-$AF99-$AE99*(1+DR$3))/$AJ99,'Технический лист'!$I:$J,2,1)-VLOOKUP($AO99,'Технический лист'!$I:$J,2,1)),1+(1-$AU99))</f>
        <v/>
      </c>
      <c r="DS99" s="172">
        <f>MIN(IF($AU99=100%,1,1+VLOOKUP(($AJ99-$AI99-$AH99-$AG99-$AF99-$AE99*(1+DS$3))/$AJ99,'Технический лист'!$I:$J,2,1)-VLOOKUP($AO99,'Технический лист'!$I:$J,2,1)),1+(1-$AU99))</f>
        <v/>
      </c>
      <c r="DT99" s="172">
        <f>MIN(IF($AU99=100%,1,1+VLOOKUP(($AJ99-$AI99-$AH99-$AG99-$AF99-$AE99*(1+DT$3))/$AJ99,'Технический лист'!$I:$J,2,1)-VLOOKUP($AO99,'Технический лист'!$I:$J,2,1)),1+(1-$AU99))</f>
        <v/>
      </c>
      <c r="DU99" s="172">
        <f>MIN(IF($AU99=100%,1,1+VLOOKUP(($AJ99-$AI99-$AH99-$AG99-$AF99-$AE99*(1+DU$3))/$AJ99,'Технический лист'!$I:$J,2,1)-VLOOKUP($AO99,'Технический лист'!$I:$J,2,1)),1+(1-$AU99))</f>
        <v/>
      </c>
      <c r="DV99" s="172">
        <f>MIN(IF($AU99=100%,1,1+VLOOKUP(($AJ99-$AI99-$AH99-$AG99-$AF99-$AE99*(1+DV$3))/$AJ99,'Технический лист'!$I:$J,2,1)-VLOOKUP($AO99,'Технический лист'!$I:$J,2,1)),1+(1-$AU99))</f>
        <v/>
      </c>
      <c r="DW99" s="172">
        <f>MIN(IF($AU99=100%,1,1+VLOOKUP(($AJ99-$AI99-$AH99-$AG99-$AF99-$AE99*(1+DW$3))/$AJ99,'Технический лист'!$I:$J,2,1)-VLOOKUP($AO99,'Технический лист'!$I:$J,2,1)),1+(1-$AU99))</f>
        <v/>
      </c>
      <c r="DX99" s="172">
        <f>MIN(IF($AU99=100%,1,1+VLOOKUP(($AJ99-$AI99-$AH99-$AG99-$AF99-$AE99*(1+DX$3))/$AJ99,'Технический лист'!$I:$J,2,1)-VLOOKUP($AO99,'Технический лист'!$I:$J,2,1)),1+(1-$AU99))</f>
        <v/>
      </c>
      <c r="DY99" s="172">
        <f>MIN(IF($AU99=100%,1,1+VLOOKUP(($AJ99-$AI99-$AH99-$AG99-$AF99-$AE99*(1+DY$3))/$AJ99,'Технический лист'!$I:$J,2,1)-VLOOKUP($AO99,'Технический лист'!$I:$J,2,1)),1+(1-$AU99))</f>
        <v/>
      </c>
      <c r="DZ99" s="172">
        <f>MIN(IF($AU99=100%,1,1+VLOOKUP(($AJ99-$AI99-$AH99-$AG99-$AF99-$AE99*(1+DZ$3))/$AJ99,'Технический лист'!$I:$J,2,1)-VLOOKUP($AO99,'Технический лист'!$I:$J,2,1)),1+(1-$AU99))</f>
        <v/>
      </c>
      <c r="EA99" s="172">
        <f>MIN(IF($AU99=100%,1,1+VLOOKUP(($AJ99-$AI99-$AH99-$AG99-$AF99-$AE99*(1+EA$3))/$AJ99,'Технический лист'!$I:$J,2,1)-VLOOKUP($AO99,'Технический лист'!$I:$J,2,1)),1+(1-$AU99))</f>
        <v/>
      </c>
      <c r="EB99" s="172">
        <f>MIN(IF($AU99=100%,1,1+VLOOKUP(($AJ99-$AI99-$AH99-$AG99-$AF99-$AE99*(1+EB$3))/$AJ99,'Технический лист'!$I:$J,2,1)-VLOOKUP($AO99,'Технический лист'!$I:$J,2,1)),1+(1-$AU99))</f>
        <v/>
      </c>
      <c r="EC99" s="172">
        <f>MIN(IF($AU99=100%,1,1+VLOOKUP(($AJ99-$AI99-$AH99-$AG99-$AF99-$AE99*(1+EC$3))/$AJ99,'Технический лист'!$I:$J,2,1)-VLOOKUP($AO99,'Технический лист'!$I:$J,2,1)),1+(1-$AU99))</f>
        <v/>
      </c>
      <c r="ED99" s="172">
        <f>MIN(IF($AU99=100%,1,1+VLOOKUP(($AJ99-$AI99-$AH99-$AG99-$AF99-$AE99*(1+ED$3))/$AJ99,'Технический лист'!$I:$J,2,1)-VLOOKUP($AO99,'Технический лист'!$I:$J,2,1)),1+(1-$AU99))</f>
        <v/>
      </c>
      <c r="EE99" s="172">
        <f>MIN(IF($AU99=100%,1,1+VLOOKUP(($AJ99-$AI99-$AH99-$AG99-$AF99-$AE99*(1+EE$3))/$AJ99,'Технический лист'!$I:$J,2,1)-VLOOKUP($AO99,'Технический лист'!$I:$J,2,1)),1+(1-$AU99))</f>
        <v/>
      </c>
      <c r="EF99" s="172">
        <f>MIN(IF($AU99=100%,1,1+VLOOKUP(($AJ99-$AI99-$AH99-$AG99-$AF99-$AE99*(1+EF$3))/$AJ99,'Технический лист'!$I:$J,2,1)-VLOOKUP($AO99,'Технический лист'!$I:$J,2,1)),1+(1-$AU99))</f>
        <v/>
      </c>
      <c r="EG99" s="172">
        <f>MIN(IF($AU99=100%,1,1+VLOOKUP(($AJ99-$AI99-$AH99-$AG99-$AF99-$AE99*(1+EG$3))/$AJ99,'Технический лист'!$I:$J,2,1)-VLOOKUP($AO99,'Технический лист'!$I:$J,2,1)),1+(1-$AU99))</f>
        <v/>
      </c>
      <c r="EH99" s="172">
        <f>MIN(IF($AU99=100%,1,1+VLOOKUP(($AJ99-$AI99-$AH99-$AG99-$AF99-$AE99*(1+EH$3))/$AJ99,'Технический лист'!$I:$J,2,1)-VLOOKUP($AO99,'Технический лист'!$I:$J,2,1)),1+(1-$AU99))</f>
        <v/>
      </c>
      <c r="EI99" s="172">
        <f>MIN(IF($AU99=100%,1,1+VLOOKUP(($AJ99-$AI99-$AH99-$AG99-$AF99-$AE99*(1+EI$3))/$AJ99,'Технический лист'!$I:$J,2,1)-VLOOKUP($AO99,'Технический лист'!$I:$J,2,1)),1+(1-$AU99))</f>
        <v/>
      </c>
      <c r="EJ99" s="172">
        <f>MIN(IF($AU99=100%,1,1+VLOOKUP(($AJ99-$AI99-$AH99-$AG99-$AF99-$AE99*(1+EJ$3))/$AJ99,'Технический лист'!$I:$J,2,1)-VLOOKUP($AO99,'Технический лист'!$I:$J,2,1)),1+(1-$AU99))</f>
        <v/>
      </c>
      <c r="EK99" s="172">
        <f>MIN(IF($AU99=100%,1,1+VLOOKUP(($AJ99-$AI99-$AH99-$AG99-$AF99-$AE99*(1+EK$3))/$AJ99,'Технический лист'!$I:$J,2,1)-VLOOKUP($AO99,'Технический лист'!$I:$J,2,1)),1+(1-$AU99))</f>
        <v/>
      </c>
      <c r="EL99" s="172">
        <f>MIN(IF($AU99=100%,1,1+VLOOKUP(($AJ99-$AI99-$AH99-$AG99-$AF99-$AE99*(1+EL$3))/$AJ99,'Технический лист'!$I:$J,2,1)-VLOOKUP($AO99,'Технический лист'!$I:$J,2,1)),1+(1-$AU99))</f>
        <v/>
      </c>
      <c r="EM99" s="172">
        <f>MIN(IF($AU99=100%,1,1+VLOOKUP(($AJ99-$AI99-$AH99-$AG99-$AF99-$AE99*(1+EM$3))/$AJ99,'Технический лист'!$I:$J,2,1)-VLOOKUP($AO99,'Технический лист'!$I:$J,2,1)),1+(1-$AU99))</f>
        <v/>
      </c>
      <c r="EN99" s="172">
        <f>MIN(IF($AU99=100%,1,1+VLOOKUP(($AJ99-$AI99-$AH99-$AG99-$AF99-$AE99*(1+EN$3))/$AJ99,'Технический лист'!$I:$J,2,1)-VLOOKUP($AO99,'Технический лист'!$I:$J,2,1)),1+(1-$AU99))</f>
        <v/>
      </c>
      <c r="EO99" s="172">
        <f>MIN(IF($AU99=100%,1,1+VLOOKUP(($AJ99-$AI99-$AH99-$AG99-$AF99-$AE99*(1+EO$3))/$AJ99,'Технический лист'!$I:$J,2,1)-VLOOKUP($AO99,'Технический лист'!$I:$J,2,1)),1+(1-$AU99))</f>
        <v/>
      </c>
      <c r="EP99" s="172">
        <f>MIN(IF($AU99=100%,1,1+VLOOKUP(($AJ99-$AI99-$AH99-$AG99-$AF99-$AE99*(1+EP$3))/$AJ99,'Технический лист'!$I:$J,2,1)-VLOOKUP($AO99,'Технический лист'!$I:$J,2,1)),1+(1-$AU99))</f>
        <v/>
      </c>
      <c r="EQ99" s="172">
        <f>MIN(IF($AU99=100%,1,1+VLOOKUP(($AJ99-$AI99-$AH99-$AG99-$AF99-$AE99*(1+EQ$3))/$AJ99,'Технический лист'!$I:$J,2,1)-VLOOKUP($AO99,'Технический лист'!$I:$J,2,1)),1+(1-$AU99))</f>
        <v/>
      </c>
      <c r="ER99" s="172">
        <f>MIN(IF($AU99=100%,1,1+VLOOKUP(($AJ99-$AI99-$AH99-$AG99-$AF99-$AE99*(1+ER$3))/$AJ99,'Технический лист'!$I:$J,2,1)-VLOOKUP($AO99,'Технический лист'!$I:$J,2,1)),1+(1-$AU99))</f>
        <v/>
      </c>
      <c r="ES99" s="172">
        <f>MIN(IF($AU99=100%,1,1+VLOOKUP(($AJ99-$AI99-$AH99-$AG99-$AF99-$AE99*(1+ES$3))/$AJ99,'Технический лист'!$I:$J,2,1)-VLOOKUP($AO99,'Технический лист'!$I:$J,2,1)),1+(1-$AU99))</f>
        <v/>
      </c>
      <c r="ET99" s="172">
        <f>MIN(IF($AU99=100%,1,1+VLOOKUP(($AJ99-$AI99-$AH99-$AG99-$AF99-$AE99*(1+ET$3))/$AJ99,'Технический лист'!$I:$J,2,1)-VLOOKUP($AO99,'Технический лист'!$I:$J,2,1)),1+(1-$AU99))</f>
        <v/>
      </c>
      <c r="EU99" s="172">
        <f>MIN(IF($AU99=100%,1,1+VLOOKUP(($AJ99-$AI99-$AH99-$AG99-$AF99-$AE99*(1+EU$3))/$AJ99,'Технический лист'!$I:$J,2,1)-VLOOKUP($AO99,'Технический лист'!$I:$J,2,1)),1+(1-$AU99))</f>
        <v/>
      </c>
      <c r="EV99" s="173" t="n">
        <v>1</v>
      </c>
      <c r="EW99" s="172">
        <f>MIN(1,MAX(VLOOKUP(($AJ99-$AI99-$AH99-$AG99-$AF99-$AE99*(1+EW$3))/$AJ99,'Технический лист'!$A:$B,2,1),(EV99-0.05)))</f>
        <v/>
      </c>
      <c r="EX99" s="172">
        <f>MIN(1,MAX(VLOOKUP(($AJ99-$AI99-$AH99-$AG99-$AF99-$AE99*(1+EX$3))/$AJ99,'Технический лист'!$A:$B,2,1),(EW99-0.05)))</f>
        <v/>
      </c>
      <c r="EY99" s="172">
        <f>MIN(1,MAX(VLOOKUP(($AJ99-$AI99-$AH99-$AG99-$AF99-$AE99*(1+EY$3))/$AJ99,'Технический лист'!$A:$B,2,1),(EX99-0.05)))</f>
        <v/>
      </c>
      <c r="EZ99" s="172">
        <f>MIN(1,MAX(VLOOKUP(($AJ99-$AI99-$AH99-$AG99-$AF99-$AE99*(1+EZ$3))/$AJ99,'Технический лист'!$A:$B,2,1),(EY99-0.05)))</f>
        <v/>
      </c>
      <c r="FA99" s="172">
        <f>MIN(1,MAX(VLOOKUP(($AJ99-$AI99-$AH99-$AG99-$AF99-$AE99*(1+FA$3))/$AJ99,'Технический лист'!$A:$B,2,1),(EZ99-0.05)))</f>
        <v/>
      </c>
      <c r="FB99" s="172">
        <f>MIN(1,MAX(VLOOKUP(($AJ99-$AI99-$AH99-$AG99-$AF99-$AE99*(1+FB$3))/$AJ99,'Технический лист'!$A:$B,2,1),(FA99-0.05)))</f>
        <v/>
      </c>
      <c r="FC99" s="172">
        <f>MIN(1,MAX(VLOOKUP(($AJ99-$AI99-$AH99-$AG99-$AF99-$AE99*(1+FC$3))/$AJ99,'Технический лист'!$A:$B,2,1),(FB99-0.05)))</f>
        <v/>
      </c>
      <c r="FD99" s="172">
        <f>MIN(1,MAX(VLOOKUP(($AJ99-$AI99-$AH99-$AG99-$AF99-$AE99*(1+FD$3))/$AJ99,'Технический лист'!$A:$B,2,1),(FC99-0.05)))</f>
        <v/>
      </c>
      <c r="FE99" s="172">
        <f>MIN(1,MAX(VLOOKUP(($AJ99-$AI99-$AH99-$AG99-$AF99-$AE99*(1+FE$3))/$AJ99,'Технический лист'!$A:$B,2,1),(FD99-0.05)))</f>
        <v/>
      </c>
      <c r="FF99" s="172">
        <f>MIN(1,MAX(VLOOKUP(($AJ99-$AI99-$AH99-$AG99-$AF99-$AE99*(1+FF$3))/$AJ99,'Технический лист'!$A:$B,2,1),(FE99-0.05)))</f>
        <v/>
      </c>
      <c r="FG99" s="172">
        <f>MIN(1,MAX(VLOOKUP(($AJ99-$AI99-$AH99-$AG99-$AF99-$AE99*(1+FG$3))/$AJ99,'Технический лист'!$A:$B,2,1),(FF99-0.05)))</f>
        <v/>
      </c>
      <c r="FH99" s="172">
        <f>MIN(1,MAX(VLOOKUP(($AJ99-$AI99-$AH99-$AG99-$AF99-$AE99*(1+FH$3))/$AJ99,'Технический лист'!$A:$B,2,1),(FG99-0.05)))</f>
        <v/>
      </c>
      <c r="FI99" s="172">
        <f>MIN(1,MAX(VLOOKUP(($AJ99-$AI99-$AH99-$AG99-$AF99-$AE99*(1+FI$3))/$AJ99,'Технический лист'!$A:$B,2,1),(FH99-0.05)))</f>
        <v/>
      </c>
      <c r="FJ99" s="172">
        <f>MIN(1,MAX(VLOOKUP(($AJ99-$AI99-$AH99-$AG99-$AF99-$AE99*(1+FJ$3))/$AJ99,'Технический лист'!$A:$B,2,1),(FI99-0.05)))</f>
        <v/>
      </c>
      <c r="FK99" s="172">
        <f>MIN(1,MAX(VLOOKUP(($AJ99-$AI99-$AH99-$AG99-$AF99-$AE99*(1+FK$3))/$AJ99,'Технический лист'!$A:$B,2,1),(FJ99-0.05)))</f>
        <v/>
      </c>
      <c r="FL99" s="172">
        <f>MIN(1,MAX(VLOOKUP(($AJ99-$AI99-$AH99-$AG99-$AF99-$AE99*(1+FL$3))/$AJ99,'Технический лист'!$A:$B,2,1),(FK99-0.05)))</f>
        <v/>
      </c>
      <c r="FM99" s="172">
        <f>MIN(1,MAX(VLOOKUP(($AJ99-$AI99-$AH99-$AG99-$AF99-$AE99*(1+FM$3))/$AJ99,'Технический лист'!$A:$B,2,1),(FL99-0.05)))</f>
        <v/>
      </c>
      <c r="FN99" s="172">
        <f>MIN(1,MAX(VLOOKUP(($AJ99-$AI99-$AH99-$AG99-$AF99-$AE99*(1+FN$3))/$AJ99,'Технический лист'!$A:$B,2,1),(FM99-0.05)))</f>
        <v/>
      </c>
      <c r="FO99" s="172">
        <f>MIN(1,MAX(VLOOKUP(($AJ99-$AI99-$AH99-$AG99-$AF99-$AE99*(1+FO$3))/$AJ99,'Технический лист'!$A:$B,2,1),(FN99-0.05)))</f>
        <v/>
      </c>
      <c r="FP99" s="172">
        <f>MIN(1,MAX(VLOOKUP(($AJ99-$AI99-$AH99-$AG99-$AF99-$AE99*(1+FP$3))/$AJ99,'Технический лист'!$A:$B,2,1),(FO99-0.05)))</f>
        <v/>
      </c>
      <c r="FQ99" s="172">
        <f>MIN(1,MAX(VLOOKUP(($AJ99-$AI99-$AH99-$AG99-$AF99-$AE99*(1+FQ$3))/$AJ99,'Технический лист'!$A:$B,2,1),(FP99-0.05)))</f>
        <v/>
      </c>
      <c r="FR99" s="172">
        <f>MIN(1,MAX(VLOOKUP(($AJ99-$AI99-$AH99-$AG99-$AF99-$AE99*(1+FR$3))/$AJ99,'Технический лист'!$A:$B,2,1),(FQ99-0.05)))</f>
        <v/>
      </c>
      <c r="FS99" s="172">
        <f>MIN(1,MAX(VLOOKUP(($AJ99-$AI99-$AH99-$AG99-$AF99-$AE99*(1+FS$3))/$AJ99,'Технический лист'!$A:$B,2,1),(FR99-0.05)))</f>
        <v/>
      </c>
      <c r="FT99" s="172">
        <f>MIN(1,MAX(VLOOKUP(($AJ99-$AI99-$AH99-$AG99-$AF99-$AE99*(1+FT$3))/$AJ99,'Технический лист'!$A:$B,2,1),(FS99-0.05)))</f>
        <v/>
      </c>
      <c r="FU99" s="172">
        <f>MIN(1,MAX(VLOOKUP(($AJ99-$AI99-$AH99-$AG99-$AF99-$AE99*(1+FU$3))/$AJ99,'Технический лист'!$A:$B,2,1),(FT99-0.05)))</f>
        <v/>
      </c>
      <c r="FV99" s="172">
        <f>MIN(1,MAX(VLOOKUP(($AJ99-$AI99-$AH99-$AG99-$AF99-$AE99*(1+FV$3))/$AJ99,'Технический лист'!$A:$B,2,1),(FU99-0.05)))</f>
        <v/>
      </c>
      <c r="FW99" s="172">
        <f>MIN(1,MAX(VLOOKUP(($AJ99-$AI99-$AH99-$AG99-$AF99-$AE99*(1+FW$3))/$AJ99,'Технический лист'!$A:$B,2,1),(FV99-0.05)))</f>
        <v/>
      </c>
      <c r="FX99" s="172">
        <f>MIN(1,MAX(VLOOKUP(($AJ99-$AI99-$AH99-$AG99-$AF99-$AE99*(1+FX$3))/$AJ99,'Технический лист'!$A:$B,2,1),(FW99-0.05)))</f>
        <v/>
      </c>
      <c r="FY99" s="172">
        <f>MIN(1,MAX(VLOOKUP(($AJ99-$AI99-$AH99-$AG99-$AF99-$AE99*(1+FY$3))/$AJ99,'Технический лист'!$A:$B,2,1),(FX99-0.05)))</f>
        <v/>
      </c>
      <c r="FZ99" s="172">
        <f>MIN(1,MAX(VLOOKUP(($AJ99-$AI99-$AH99-$AG99-$AF99-$AE99*(1+FZ$3))/$AJ99,'Технический лист'!$A:$B,2,1),(FY99-0.05)))</f>
        <v/>
      </c>
      <c r="GA99" s="172">
        <f>MIN(1,MAX(VLOOKUP(($AJ99-$AI99-$AH99-$AG99-$AF99-$AE99*(1+GA$3))/$AJ99,'Технический лист'!$A:$B,2,1),(FZ99-0.05)))</f>
        <v/>
      </c>
      <c r="GB99" s="172">
        <f>MIN(1,MAX(VLOOKUP(($AJ99-$AI99-$AH99-$AG99-$AF99-$AE99*(1+GB$3))/$AJ99,'Технический лист'!$A:$B,2,1),(GA99-0.05)))</f>
        <v/>
      </c>
      <c r="GC99" s="172">
        <f>MIN(1,MAX(VLOOKUP(($AJ99-$AI99-$AH99-$AG99-$AF99-$AE99*(1+GC$3))/$AJ99,'Технический лист'!$A:$B,2,1),(GB99-0.05)))</f>
        <v/>
      </c>
      <c r="GD99" s="172">
        <f>MIN(1,MAX(VLOOKUP(($AJ99-$AI99-$AH99-$AG99-$AF99-$AE99*(1+GD$3))/$AJ99,'Технический лист'!$A:$B,2,1),(GC99-0.05)))</f>
        <v/>
      </c>
      <c r="GE99" s="172">
        <f>MIN(1,MAX(VLOOKUP(($AJ99-$AI99-$AH99-$AG99-$AF99-$AE99*(1+GE$3))/$AJ99,'Технический лист'!$A:$B,2,1),(GD99-0.05)))</f>
        <v/>
      </c>
      <c r="GF99" s="172">
        <f>MIN(1,MAX(VLOOKUP(($AJ99-$AI99-$AH99-$AG99-$AF99-$AE99*(1+GF$3))/$AJ99,'Технический лист'!$A:$B,2,1),(GE99-0.05)))</f>
        <v/>
      </c>
      <c r="GG99" s="172">
        <f>MIN(1,MAX(VLOOKUP(($AJ99-$AI99-$AH99-$AG99-$AF99-$AE99*(1+GG$3))/$AJ99,'Технический лист'!$A:$B,2,1),(GF99-0.05)))</f>
        <v/>
      </c>
      <c r="GH99" s="172">
        <f>MIN(1,MAX(VLOOKUP(($AJ99-$AI99-$AH99-$AG99-$AF99-$AE99*(1+GH$3))/$AJ99,'Технический лист'!$A:$B,2,1),(GG99-0.05)))</f>
        <v/>
      </c>
      <c r="GI99" s="172">
        <f>MIN(1,MAX(VLOOKUP(($AJ99-$AI99-$AH99-$AG99-$AF99-$AE99*(1+GI$3))/$AJ99,'Технический лист'!$A:$B,2,1),(GH99-0.05)))</f>
        <v/>
      </c>
      <c r="GJ99" s="172">
        <f>MIN(1,MAX(VLOOKUP(($AJ99-$AI99-$AH99-$AG99-$AF99-$AE99*(1+GJ$3))/$AJ99,'Технический лист'!$A:$B,2,1),(GI99-0.05)))</f>
        <v/>
      </c>
      <c r="GK99" s="172">
        <f>MIN(1,MAX(VLOOKUP(($AJ99-$AI99-$AH99-$AG99-$AF99-$AE99*(1+GK$3))/$AJ99,'Технический лист'!$A:$B,2,1),(GJ99-0.05)))</f>
        <v/>
      </c>
      <c r="GL99" s="172">
        <f>MIN(1,MAX(VLOOKUP(($AJ99-$AI99-$AH99-$AG99-$AF99-$AE99*(1+GL$3))/$AJ99,'Технический лист'!$A:$B,2,1),(GK99-0.05)))</f>
        <v/>
      </c>
      <c r="GM99" s="172">
        <f>MIN(1,MAX(VLOOKUP(($AJ99-$AI99-$AH99-$AG99-$AF99-$AE99*(1+GM$3))/$AJ99,'Технический лист'!$A:$B,2,1),(GL99-0.05)))</f>
        <v/>
      </c>
      <c r="GN99" s="172">
        <f>MIN(1,MAX(VLOOKUP(($AJ99-$AI99-$AH99-$AG99-$AF99-$AE99*(1+GN$3))/$AJ99,'Технический лист'!$A:$B,2,1),(GM99-0.05)))</f>
        <v/>
      </c>
      <c r="GO99" s="172">
        <f>MIN(1,MAX(VLOOKUP(($AJ99-$AI99-$AH99-$AG99-$AF99-$AE99*(1+GO$3))/$AJ99,'Технический лист'!$A:$B,2,1),(GN99-0.05)))</f>
        <v/>
      </c>
      <c r="GP99" s="172">
        <f>MIN(1,MAX(VLOOKUP(($AJ99-$AI99-$AH99-$AG99-$AF99-$AE99*(1+GP$3))/$AJ99,'Технический лист'!$A:$B,2,1),(GO99-0.05)))</f>
        <v/>
      </c>
      <c r="GQ99" s="172">
        <f>MIN(1,MAX(VLOOKUP(($AJ99-$AI99-$AH99-$AG99-$AF99-$AE99*(1+GQ$3))/$AJ99,'Технический лист'!$A:$B,2,1),(GP99-0.05)))</f>
        <v/>
      </c>
      <c r="GR99" s="172">
        <f>MIN(1,MAX(VLOOKUP(($AJ99-$AI99-$AH99-$AG99-$AF99-$AE99*(1+GR$3))/$AJ99,'Технический лист'!$A:$B,2,1),(GQ99-0.05)))</f>
        <v/>
      </c>
      <c r="GS99" s="172">
        <f>MIN(1,MAX(VLOOKUP(($AJ99-$AI99-$AH99-$AG99-$AF99-$AE99*(1+GS$3))/$AJ99,'Технический лист'!$A:$B,2,1),(GR99-0.05)))</f>
        <v/>
      </c>
      <c r="GT99" s="172">
        <f>MIN(1,MAX(VLOOKUP(($AJ99-$AI99-$AH99-$AG99-$AF99-$AE99*(1+GT$3))/$AJ99,'Технический лист'!$A:$B,2,1),(GS99-0.05)))</f>
        <v/>
      </c>
      <c r="GU99" s="172">
        <f>MIN(1,MAX(VLOOKUP(($AJ99-$AI99-$AH99-$AG99-$AF99-$AE99*(1+GU$3))/$AJ99,'Технический лист'!$A:$B,2,1),(GT99-0.05)))</f>
        <v/>
      </c>
      <c r="GV99" s="172">
        <f>MIN(1,MAX(VLOOKUP(($AJ99-$AI99-$AH99-$AG99-$AF99-$AE99*(1+GV$3))/$AJ99,'Технический лист'!$A:$B,2,1),(GU99-0.05)))</f>
        <v/>
      </c>
      <c r="GW99" s="172">
        <f>MIN(1,MAX(VLOOKUP(($AJ99-$AI99-$AH99-$AG99-$AF99-$AE99*(1+GW$3))/$AJ99,'Технический лист'!$A:$B,2,1),(GV99-0.05)))</f>
        <v/>
      </c>
      <c r="GX99" s="172">
        <f>MIN(1,MAX(VLOOKUP(($AJ99-$AI99-$AH99-$AG99-$AF99-$AE99*(1+GX$3))/$AJ99,'Технический лист'!$A:$B,2,1),(GW99-0.05)))</f>
        <v/>
      </c>
      <c r="GY99" s="172">
        <f>MIN(1,MAX(VLOOKUP(($AJ99-$AI99-$AH99-$AG99-$AF99-$AE99*(1+GY$3))/$AJ99,'Технический лист'!$A:$B,2,1),(GX99-0.05)))</f>
        <v/>
      </c>
      <c r="GZ99" s="172">
        <f>MIN(1,MAX(VLOOKUP(($AJ99-$AI99-$AH99-$AG99-$AF99-$AE99*(1+GZ$3))/$AJ99,'Технический лист'!$A:$B,2,1),(GY99-0.05)))</f>
        <v/>
      </c>
      <c r="HA99" s="172">
        <f>MIN(1,MAX(VLOOKUP(($AJ99-$AI99-$AH99-$AG99-$AF99-$AE99*(1+HA$3))/$AJ99,'Технический лист'!$A:$B,2,1),(GZ99-0.05)))</f>
        <v/>
      </c>
      <c r="HB99" s="172">
        <f>MIN(1,MAX(VLOOKUP(($AJ99-$AI99-$AH99-$AG99-$AF99-$AE99*(1+HB$3))/$AJ99,'Технический лист'!$A:$B,2,1),(HA99-0.05)))</f>
        <v/>
      </c>
      <c r="HC99" s="172">
        <f>MIN(1,MAX(VLOOKUP(($AJ99-$AI99-$AH99-$AG99-$AF99-$AE99*(1+HC$3))/$AJ99,'Технический лист'!$A:$B,2,1),(HB99-0.05)))</f>
        <v/>
      </c>
      <c r="HD99" s="172">
        <f>MIN(1,MAX(VLOOKUP(($AJ99-$AI99-$AH99-$AG99-$AF99-$AE99*(1+HD$3))/$AJ99,'Технический лист'!$A:$B,2,1),(HC99-0.05)))</f>
        <v/>
      </c>
      <c r="HE99" s="172">
        <f>MIN(1,MAX(VLOOKUP(($AJ99-$AI99-$AH99-$AG99-$AF99-$AE99*(1+HE$3))/$AJ99,'Технический лист'!$A:$B,2,1),(HD99-0.05)))</f>
        <v/>
      </c>
      <c r="HF99" s="172">
        <f>MIN(1,MAX(VLOOKUP(($AJ99-$AI99-$AH99-$AG99-$AF99-$AE99*(1+HF$3))/$AJ99,'Технический лист'!$A:$B,2,1),(HE99-0.05)))</f>
        <v/>
      </c>
      <c r="HG99" s="172">
        <f>MIN(1,MAX(VLOOKUP(($AJ99-$AI99-$AH99-$AG99-$AF99-$AE99*(1+HG$3))/$AJ99,'Технический лист'!$A:$B,2,1),(HF99-0.05)))</f>
        <v/>
      </c>
      <c r="HH99" s="172">
        <f>MIN(1,MAX(VLOOKUP(($AJ99-$AI99-$AH99-$AG99-$AF99-$AE99*(1+HH$3))/$AJ99,'Технический лист'!$A:$B,2,1),(HG99-0.05)))</f>
        <v/>
      </c>
      <c r="HI99" s="172">
        <f>MIN(1,MAX(VLOOKUP(($AJ99-$AI99-$AH99-$AG99-$AF99-$AE99*(1+HI$3))/$AJ99,'Технический лист'!$A:$B,2,1),(HH99-0.05)))</f>
        <v/>
      </c>
      <c r="HJ99" s="172">
        <f>MIN(1,MAX(VLOOKUP(($AJ99-$AI99-$AH99-$AG99-$AF99-$AE99*(1+HJ$3))/$AJ99,'Технический лист'!$A:$B,2,1),(HI99-0.05)))</f>
        <v/>
      </c>
      <c r="HK99" s="172">
        <f>MIN(1,MAX(VLOOKUP(($AJ99-$AI99-$AH99-$AG99-$AF99-$AE99*(1+HK$3))/$AJ99,'Технический лист'!$A:$B,2,1),(HJ99-0.05)))</f>
        <v/>
      </c>
      <c r="HL99" s="172">
        <f>MIN(1,MAX(VLOOKUP(($AJ99-$AI99-$AH99-$AG99-$AF99-$AE99*(1+HL$3))/$AJ99,'Технический лист'!$A:$B,2,1),(HK99-0.05)))</f>
        <v/>
      </c>
      <c r="HM99" s="172">
        <f>MIN(1,MAX(VLOOKUP(($AJ99-$AI99-$AH99-$AG99-$AF99-$AE99*(1+HM$3))/$AJ99,'Технический лист'!$A:$B,2,1),(HL99-0.05)))</f>
        <v/>
      </c>
      <c r="HN99" s="172">
        <f>MIN(1,MAX(VLOOKUP(($AJ99-$AI99-$AH99-$AG99-$AF99-$AE99*(1+HN$3))/$AJ99,'Технический лист'!$A:$B,2,1),(HM99-0.05)))</f>
        <v/>
      </c>
      <c r="HO99" s="172">
        <f>MIN(1,MAX(VLOOKUP(($AJ99-$AI99-$AH99-$AG99-$AF99-$AE99*(1+HO$3))/$AJ99,'Технический лист'!$A:$B,2,1),(HN99-0.05)))</f>
        <v/>
      </c>
      <c r="HP99" s="172">
        <f>MIN(1,MAX(VLOOKUP(($AJ99-$AI99-$AH99-$AG99-$AF99-$AE99*(1+HP$3))/$AJ99,'Технический лист'!$A:$B,2,1),(HO99-0.05)))</f>
        <v/>
      </c>
      <c r="HQ99" s="172">
        <f>MIN(1,MAX(VLOOKUP(($AJ99-$AI99-$AH99-$AG99-$AF99-$AE99*(1+HQ$3))/$AJ99,'Технический лист'!$A:$B,2,1),(HP99-0.05)))</f>
        <v/>
      </c>
      <c r="HR99" s="172">
        <f>MIN(1,MAX(VLOOKUP(($AJ99-$AI99-$AH99-$AG99-$AF99-$AE99*(1+HR$3))/$AJ99,'Технический лист'!$A:$B,2,1),(HQ99-0.05)))</f>
        <v/>
      </c>
      <c r="HS99" s="172">
        <f>MIN(1,MAX(VLOOKUP(($AJ99-$AI99-$AH99-$AG99-$AF99-$AE99*(1+HS$3))/$AJ99,'Технический лист'!$A:$B,2,1),(HR99-0.05)))</f>
        <v/>
      </c>
      <c r="HT99" s="172">
        <f>MIN(1,MAX(VLOOKUP(($AJ99-$AI99-$AH99-$AG99-$AF99-$AE99*(1+HT$3))/$AJ99,'Технический лист'!$A:$B,2,1),(HS99-0.05)))</f>
        <v/>
      </c>
      <c r="HU99" s="172">
        <f>MIN(1,MAX(VLOOKUP(($AJ99-$AI99-$AH99-$AG99-$AF99-$AE99*(1+HU$3))/$AJ99,'Технический лист'!$A:$B,2,1),(HT99-0.05)))</f>
        <v/>
      </c>
      <c r="HV99" s="172">
        <f>MIN(1,MAX(VLOOKUP(($AJ99-$AI99-$AH99-$AG99-$AF99-$AE99*(1+HV$3))/$AJ99,'Технический лист'!$A:$B,2,1),(HU99-0.05)))</f>
        <v/>
      </c>
      <c r="HW99" s="172">
        <f>MIN(1,MAX(VLOOKUP(($AJ99-$AI99-$AH99-$AG99-$AF99-$AE99*(1+HW$3))/$AJ99,'Технический лист'!$A:$B,2,1),(HV99-0.05)))</f>
        <v/>
      </c>
      <c r="HX99" s="172">
        <f>MIN(1,MAX(VLOOKUP(($AJ99-$AI99-$AH99-$AG99-$AF99-$AE99*(1+HX$3))/$AJ99,'Технический лист'!$A:$B,2,1),(HW99-0.05)))</f>
        <v/>
      </c>
      <c r="HY99" s="172">
        <f>MIN(1,MAX(VLOOKUP(($AJ99-$AI99-$AH99-$AG99-$AF99-$AE99*(1+HY$3))/$AJ99,'Технический лист'!$A:$B,2,1),(HX99-0.05)))</f>
        <v/>
      </c>
      <c r="HZ99" s="172">
        <f>MIN(1,MAX(VLOOKUP(($AJ99-$AI99-$AH99-$AG99-$AF99-$AE99*(1+HZ$3))/$AJ99,'Технический лист'!$A:$B,2,1),(HY99-0.05)))</f>
        <v/>
      </c>
      <c r="IA99" s="172">
        <f>MIN(1,MAX(VLOOKUP(($AJ99-$AI99-$AH99-$AG99-$AF99-$AE99*(1+IA$3))/$AJ99,'Технический лист'!$A:$B,2,1),(HZ99-0.05)))</f>
        <v/>
      </c>
      <c r="IB99" s="172">
        <f>MIN(1,MAX(VLOOKUP(($AJ99-$AI99-$AH99-$AG99-$AF99-$AE99*(1+IB$3))/$AJ99,'Технический лист'!$A:$B,2,1),(IA99-0.05)))</f>
        <v/>
      </c>
      <c r="IC99" s="172">
        <f>MIN(1,MAX(VLOOKUP(($AJ99-$AI99-$AH99-$AG99-$AF99-$AE99*(1+IC$3))/$AJ99,'Технический лист'!$A:$B,2,1),(IB99-0.05)))</f>
        <v/>
      </c>
      <c r="ID99" s="172">
        <f>MIN(1,MAX(VLOOKUP(($AJ99-$AI99-$AH99-$AG99-$AF99-$AE99*(1+ID$3))/$AJ99,'Технический лист'!$A:$B,2,1),(IC99-0.05)))</f>
        <v/>
      </c>
      <c r="IE99" s="172">
        <f>MIN(1,MAX(VLOOKUP(($AJ99-$AI99-$AH99-$AG99-$AF99-$AE99*(1+IE$3))/$AJ99,'Технический лист'!$A:$B,2,1),(ID99-0.05)))</f>
        <v/>
      </c>
      <c r="IF99" s="172">
        <f>MIN(1,MAX(VLOOKUP(($AJ99-$AI99-$AH99-$AG99-$AF99-$AE99*(1+IF$3))/$AJ99,'Технический лист'!$A:$B,2,1),(IE99-0.05)))</f>
        <v/>
      </c>
      <c r="IG99" s="172">
        <f>MIN(1,MAX(VLOOKUP(($AJ99-$AI99-$AH99-$AG99-$AF99-$AE99*(1+IG$3))/$AJ99,'Технический лист'!$A:$B,2,1),(IF99-0.05)))</f>
        <v/>
      </c>
      <c r="IH99" s="172">
        <f>MIN(1,MAX(VLOOKUP(($AJ99-$AI99-$AH99-$AG99-$AF99-$AE99*(1+IH$3))/$AJ99,'Технический лист'!$A:$B,2,1),(IG99-0.05)))</f>
        <v/>
      </c>
      <c r="II99" s="172">
        <f>MIN(1,MAX(VLOOKUP(($AJ99-$AI99-$AH99-$AG99-$AF99-$AE99*(1+II$3))/$AJ99,'Технический лист'!$A:$B,2,1),(IH99-0.05)))</f>
        <v/>
      </c>
      <c r="IJ99" s="172">
        <f>MIN(1,MAX(VLOOKUP(($AJ99-$AI99-$AH99-$AG99-$AF99-$AE99*(1+IJ$3))/$AJ99,'Технический лист'!$A:$B,2,1),(II99-0.05)))</f>
        <v/>
      </c>
      <c r="IK99" s="172">
        <f>MIN(1,MAX(VLOOKUP(($AJ99-$AI99-$AH99-$AG99-$AF99-$AE99*(1+IK$3))/$AJ99,'Технический лист'!$A:$B,2,1),(IJ99-0.05)))</f>
        <v/>
      </c>
      <c r="IL99" s="172">
        <f>MIN(1,MAX(VLOOKUP(($AJ99-$AI99-$AH99-$AG99-$AF99-$AE99*(1+IL$3))/$AJ99,'Технический лист'!$A:$B,2,1),(IK99-0.05)))</f>
        <v/>
      </c>
      <c r="IM99" s="172">
        <f>MIN(1,MAX(VLOOKUP(($AJ99-$AI99-$AH99-$AG99-$AF99-$AE99*(1+IM$3))/$AJ99,'Технический лист'!$A:$B,2,1),(IL99-0.05)))</f>
        <v/>
      </c>
      <c r="IN99" s="172">
        <f>MIN(1,MAX(VLOOKUP(($AJ99-$AI99-$AH99-$AG99-$AF99-$AE99*(1+IN$3))/$AJ99,'Технический лист'!$A:$B,2,1),(IM99-0.05)))</f>
        <v/>
      </c>
      <c r="IO99" s="172">
        <f>MIN(1,MAX(VLOOKUP(($AJ99-$AI99-$AH99-$AG99-$AF99-$AE99*(1+IO$3))/$AJ99,'Технический лист'!$A:$B,2,1),(IN99-0.05)))</f>
        <v/>
      </c>
      <c r="IP99" s="172">
        <f>MIN(1,MAX(VLOOKUP(($AJ99-$AI99-$AH99-$AG99-$AF99-$AE99*(1+IP$3))/$AJ99,'Технический лист'!$A:$B,2,1),(IO99-0.05)))</f>
        <v/>
      </c>
      <c r="IQ99" s="172">
        <f>MIN(1,MAX(VLOOKUP(($AJ99-$AI99-$AH99-$AG99-$AF99-$AE99*(1+IQ$3))/$AJ99,'Технический лист'!$A:$B,2,1),(IP99-0.05)))</f>
        <v/>
      </c>
      <c r="IR99" s="172">
        <f>MIN(1,MAX(VLOOKUP(($AJ99-$AI99-$AH99-$AG99-$AF99-$AE99*(1+IR$3))/$AJ99,'Технический лист'!$A:$B,2,1),(IQ99-0.05)))</f>
        <v/>
      </c>
    </row>
    <row r="100" ht="29.15" customHeight="1" s="123">
      <c r="A100" s="89" t="inlineStr">
        <is>
          <t>ЧМ (продукция)</t>
        </is>
      </c>
      <c r="B100" s="90" t="n">
        <v>5</v>
      </c>
      <c r="C100" s="5" t="inlineStr">
        <is>
          <t>Черные металлы</t>
        </is>
      </c>
      <c r="D100" s="91" t="n">
        <v>31106</v>
      </c>
      <c r="E100" s="91" t="inlineStr">
        <is>
          <t xml:space="preserve">Чугун передельный рядовой </t>
        </is>
      </c>
      <c r="F100" s="92" t="inlineStr">
        <is>
          <t>ЧУГУН</t>
        </is>
      </c>
      <c r="G100" s="91" t="inlineStr">
        <is>
          <t>ЮУР</t>
        </is>
      </c>
      <c r="H100" s="91" t="inlineStr">
        <is>
          <t>СКВ</t>
        </is>
      </c>
      <c r="I100" s="91" t="inlineStr">
        <is>
          <t>НОВОТРОИЦК</t>
        </is>
      </c>
      <c r="J100" s="91" t="inlineStr">
        <is>
          <t>НОВОРОСС-ЭКС</t>
        </is>
      </c>
      <c r="K100" s="91" t="n">
        <v>2560</v>
      </c>
      <c r="L100" s="91" t="inlineStr">
        <is>
          <t>Полувагоны</t>
        </is>
      </c>
      <c r="M100" s="91" t="inlineStr">
        <is>
          <t>Экспорт</t>
        </is>
      </c>
      <c r="N100" s="91" t="inlineStr">
        <is>
          <t>вагонная</t>
        </is>
      </c>
      <c r="O100" s="91" t="inlineStr">
        <is>
          <t xml:space="preserve">Южное </t>
        </is>
      </c>
      <c r="P100" s="89" t="inlineStr">
        <is>
          <t>'000013657842</t>
        </is>
      </c>
      <c r="Q100" s="91" t="inlineStr">
        <is>
          <t>'АО "Уральская сталь"</t>
        </is>
      </c>
      <c r="R100" s="91" t="inlineStr">
        <is>
          <t>ООО УК "Уральская сталь"</t>
        </is>
      </c>
      <c r="S100" s="87" t="n">
        <v>1275445</v>
      </c>
      <c r="T100" s="87" t="n">
        <v>3265071983</v>
      </c>
      <c r="U100" s="88" t="n">
        <v>18283</v>
      </c>
      <c r="V100" s="88" t="n">
        <v>0</v>
      </c>
      <c r="W100" s="87" t="n">
        <v>3330360616</v>
      </c>
      <c r="X100" s="112" t="n">
        <v>69</v>
      </c>
      <c r="Y100" s="112" t="inlineStr">
        <is>
          <t>маршрутная</t>
        </is>
      </c>
      <c r="Z100" s="113" t="n">
        <v>7</v>
      </c>
      <c r="AA100" s="113" t="n">
        <v>7</v>
      </c>
      <c r="AB100" s="113" t="n">
        <v>4</v>
      </c>
      <c r="AC100" s="161" t="n">
        <v>3191.91</v>
      </c>
      <c r="AD100" s="161">
        <f>AE100-AC100</f>
        <v/>
      </c>
      <c r="AE100" s="161" t="n">
        <v>3844.86</v>
      </c>
      <c r="AF100" s="162">
        <f>(Z100+AA100+AB100)*'Ставки аренды'!$B$3/X100</f>
        <v/>
      </c>
      <c r="AG100" s="163">
        <f>'Ставки перевалки'!$B$9*'Курсы валют'!$B$2</f>
        <v/>
      </c>
      <c r="AH100" s="164" t="n">
        <v>0</v>
      </c>
      <c r="AI100" s="165">
        <f>96788205/105454369*AJ100</f>
        <v/>
      </c>
      <c r="AJ100" s="166">
        <f>Цены!C37*'Курсы валют'!B2</f>
        <v/>
      </c>
      <c r="AK100" s="164">
        <f>AJ100/Цены!$B$1</f>
        <v/>
      </c>
      <c r="AL100" s="164">
        <f>AE100+AF100+AG100</f>
        <v/>
      </c>
      <c r="AM100" s="164">
        <f>AJ100-AL100</f>
        <v/>
      </c>
      <c r="AN100" s="164">
        <f>AI100+AH100+AG100+AF100+AE100</f>
        <v/>
      </c>
      <c r="AO100" s="167">
        <f>(AJ100-AN100)/AJ100</f>
        <v/>
      </c>
      <c r="AP100" s="168">
        <f>AL100/AJ100</f>
        <v/>
      </c>
      <c r="AQ100" s="168">
        <f>AE100/AJ100</f>
        <v/>
      </c>
      <c r="AR100" s="168">
        <f>AE100/AL100</f>
        <v/>
      </c>
      <c r="AS100" s="169" t="n">
        <v>1</v>
      </c>
      <c r="AT100" s="121">
        <f>S100*AS100</f>
        <v/>
      </c>
      <c r="AU100" s="83" t="n">
        <v>0.8</v>
      </c>
      <c r="AV100" s="170">
        <f>(AJ100-(AE100*(1+$IS$2)+AF100+AG100+AH100+AI100))/AJ100</f>
        <v/>
      </c>
      <c r="AW100" s="171">
        <f>(AE100*(1+$IS$2)+AF100+AG100)/AJ100</f>
        <v/>
      </c>
      <c r="AX100" s="171">
        <f>(AE100*(1+$IS$2))/AJ100</f>
        <v/>
      </c>
      <c r="AY100" s="171">
        <f>(AE100*(1+$IS$2))/(AE100*(1+$IS$2)+AF100+AG100)</f>
        <v/>
      </c>
      <c r="AZ100" s="172">
        <f>MIN(IF($AU100=100%,1,1+VLOOKUP(($AJ100-$AI100-$AH100-$AG100-$AF100-$AE100*(1+AZ$3))/$AJ100,'Технический лист'!$I:$J,2,1)-VLOOKUP($AO100,'Технический лист'!$I:$J,2,1)),1+(1-$AU100))</f>
        <v/>
      </c>
      <c r="BA100" s="172">
        <f>MIN(IF($AU100=100%,1,1+VLOOKUP(($AJ100-$AI100-$AH100-$AG100-$AF100-$AE100*(1+BA$3))/$AJ100,'Технический лист'!$I:$J,2,1)-VLOOKUP($AO100,'Технический лист'!$I:$J,2,1)),1+(1-$AU100))</f>
        <v/>
      </c>
      <c r="BB100" s="172">
        <f>MIN(IF($AU100=100%,1,1+VLOOKUP(($AJ100-$AI100-$AH100-$AG100-$AF100-$AE100*(1+BB$3))/$AJ100,'Технический лист'!$I:$J,2,1)-VLOOKUP($AO100,'Технический лист'!$I:$J,2,1)),1+(1-$AU100))</f>
        <v/>
      </c>
      <c r="BC100" s="172">
        <f>MIN(IF($AU100=100%,1,1+VLOOKUP(($AJ100-$AI100-$AH100-$AG100-$AF100-$AE100*(1+BC$3))/$AJ100,'Технический лист'!$I:$J,2,1)-VLOOKUP($AO100,'Технический лист'!$I:$J,2,1)),1+(1-$AU100))</f>
        <v/>
      </c>
      <c r="BD100" s="172">
        <f>MIN(IF($AU100=100%,1,1+VLOOKUP(($AJ100-$AI100-$AH100-$AG100-$AF100-$AE100*(1+BD$3))/$AJ100,'Технический лист'!$I:$J,2,1)-VLOOKUP($AO100,'Технический лист'!$I:$J,2,1)),1+(1-$AU100))</f>
        <v/>
      </c>
      <c r="BE100" s="172">
        <f>MIN(IF($AU100=100%,1,1+VLOOKUP(($AJ100-$AI100-$AH100-$AG100-$AF100-$AE100*(1+BE$3))/$AJ100,'Технический лист'!$I:$J,2,1)-VLOOKUP($AO100,'Технический лист'!$I:$J,2,1)),1+(1-$AU100))</f>
        <v/>
      </c>
      <c r="BF100" s="172">
        <f>MIN(IF($AU100=100%,1,1+VLOOKUP(($AJ100-$AI100-$AH100-$AG100-$AF100-$AE100*(1+BF$3))/$AJ100,'Технический лист'!$I:$J,2,1)-VLOOKUP($AO100,'Технический лист'!$I:$J,2,1)),1+(1-$AU100))</f>
        <v/>
      </c>
      <c r="BG100" s="172">
        <f>MIN(IF($AU100=100%,1,1+VLOOKUP(($AJ100-$AI100-$AH100-$AG100-$AF100-$AE100*(1+BG$3))/$AJ100,'Технический лист'!$I:$J,2,1)-VLOOKUP($AO100,'Технический лист'!$I:$J,2,1)),1+(1-$AU100))</f>
        <v/>
      </c>
      <c r="BH100" s="172">
        <f>MIN(IF($AU100=100%,1,1+VLOOKUP(($AJ100-$AI100-$AH100-$AG100-$AF100-$AE100*(1+BH$3))/$AJ100,'Технический лист'!$I:$J,2,1)-VLOOKUP($AO100,'Технический лист'!$I:$J,2,1)),1+(1-$AU100))</f>
        <v/>
      </c>
      <c r="BI100" s="172">
        <f>MIN(IF($AU100=100%,1,1+VLOOKUP(($AJ100-$AI100-$AH100-$AG100-$AF100-$AE100*(1+BI$3))/$AJ100,'Технический лист'!$I:$J,2,1)-VLOOKUP($AO100,'Технический лист'!$I:$J,2,1)),1+(1-$AU100))</f>
        <v/>
      </c>
      <c r="BJ100" s="172">
        <f>MIN(IF($AU100=100%,1,1+VLOOKUP(($AJ100-$AI100-$AH100-$AG100-$AF100-$AE100*(1+BJ$3))/$AJ100,'Технический лист'!$I:$J,2,1)-VLOOKUP($AO100,'Технический лист'!$I:$J,2,1)),1+(1-$AU100))</f>
        <v/>
      </c>
      <c r="BK100" s="172">
        <f>MIN(IF($AU100=100%,1,1+VLOOKUP(($AJ100-$AI100-$AH100-$AG100-$AF100-$AE100*(1+BK$3))/$AJ100,'Технический лист'!$I:$J,2,1)-VLOOKUP($AO100,'Технический лист'!$I:$J,2,1)),1+(1-$AU100))</f>
        <v/>
      </c>
      <c r="BL100" s="172">
        <f>MIN(IF($AU100=100%,1,1+VLOOKUP(($AJ100-$AI100-$AH100-$AG100-$AF100-$AE100*(1+BL$3))/$AJ100,'Технический лист'!$I:$J,2,1)-VLOOKUP($AO100,'Технический лист'!$I:$J,2,1)),1+(1-$AU100))</f>
        <v/>
      </c>
      <c r="BM100" s="172">
        <f>MIN(IF($AU100=100%,1,1+VLOOKUP(($AJ100-$AI100-$AH100-$AG100-$AF100-$AE100*(1+BM$3))/$AJ100,'Технический лист'!$I:$J,2,1)-VLOOKUP($AO100,'Технический лист'!$I:$J,2,1)),1+(1-$AU100))</f>
        <v/>
      </c>
      <c r="BN100" s="172">
        <f>MIN(IF($AU100=100%,1,1+VLOOKUP(($AJ100-$AI100-$AH100-$AG100-$AF100-$AE100*(1+BN$3))/$AJ100,'Технический лист'!$I:$J,2,1)-VLOOKUP($AO100,'Технический лист'!$I:$J,2,1)),1+(1-$AU100))</f>
        <v/>
      </c>
      <c r="BO100" s="172">
        <f>MIN(IF($AU100=100%,1,1+VLOOKUP(($AJ100-$AI100-$AH100-$AG100-$AF100-$AE100*(1+BO$3))/$AJ100,'Технический лист'!$I:$J,2,1)-VLOOKUP($AO100,'Технический лист'!$I:$J,2,1)),1+(1-$AU100))</f>
        <v/>
      </c>
      <c r="BP100" s="172">
        <f>MIN(IF($AU100=100%,1,1+VLOOKUP(($AJ100-$AI100-$AH100-$AG100-$AF100-$AE100*(1+BP$3))/$AJ100,'Технический лист'!$I:$J,2,1)-VLOOKUP($AO100,'Технический лист'!$I:$J,2,1)),1+(1-$AU100))</f>
        <v/>
      </c>
      <c r="BQ100" s="172">
        <f>MIN(IF($AU100=100%,1,1+VLOOKUP(($AJ100-$AI100-$AH100-$AG100-$AF100-$AE100*(1+BQ$3))/$AJ100,'Технический лист'!$I:$J,2,1)-VLOOKUP($AO100,'Технический лист'!$I:$J,2,1)),1+(1-$AU100))</f>
        <v/>
      </c>
      <c r="BR100" s="172">
        <f>MIN(IF($AU100=100%,1,1+VLOOKUP(($AJ100-$AI100-$AH100-$AG100-$AF100-$AE100*(1+BR$3))/$AJ100,'Технический лист'!$I:$J,2,1)-VLOOKUP($AO100,'Технический лист'!$I:$J,2,1)),1+(1-$AU100))</f>
        <v/>
      </c>
      <c r="BS100" s="172">
        <f>MIN(IF($AU100=100%,1,1+VLOOKUP(($AJ100-$AI100-$AH100-$AG100-$AF100-$AE100*(1+BS$3))/$AJ100,'Технический лист'!$I:$J,2,1)-VLOOKUP($AO100,'Технический лист'!$I:$J,2,1)),1+(1-$AU100))</f>
        <v/>
      </c>
      <c r="BT100" s="172">
        <f>MIN(IF($AU100=100%,1,1+VLOOKUP(($AJ100-$AI100-$AH100-$AG100-$AF100-$AE100*(1+BT$3))/$AJ100,'Технический лист'!$I:$J,2,1)-VLOOKUP($AO100,'Технический лист'!$I:$J,2,1)),1+(1-$AU100))</f>
        <v/>
      </c>
      <c r="BU100" s="172">
        <f>MIN(IF($AU100=100%,1,1+VLOOKUP(($AJ100-$AI100-$AH100-$AG100-$AF100-$AE100*(1+BU$3))/$AJ100,'Технический лист'!$I:$J,2,1)-VLOOKUP($AO100,'Технический лист'!$I:$J,2,1)),1+(1-$AU100))</f>
        <v/>
      </c>
      <c r="BV100" s="172">
        <f>MIN(IF($AU100=100%,1,1+VLOOKUP(($AJ100-$AI100-$AH100-$AG100-$AF100-$AE100*(1+BV$3))/$AJ100,'Технический лист'!$I:$J,2,1)-VLOOKUP($AO100,'Технический лист'!$I:$J,2,1)),1+(1-$AU100))</f>
        <v/>
      </c>
      <c r="BW100" s="172">
        <f>MIN(IF($AU100=100%,1,1+VLOOKUP(($AJ100-$AI100-$AH100-$AG100-$AF100-$AE100*(1+BW$3))/$AJ100,'Технический лист'!$I:$J,2,1)-VLOOKUP($AO100,'Технический лист'!$I:$J,2,1)),1+(1-$AU100))</f>
        <v/>
      </c>
      <c r="BX100" s="172">
        <f>MIN(IF($AU100=100%,1,1+VLOOKUP(($AJ100-$AI100-$AH100-$AG100-$AF100-$AE100*(1+BX$3))/$AJ100,'Технический лист'!$I:$J,2,1)-VLOOKUP($AO100,'Технический лист'!$I:$J,2,1)),1+(1-$AU100))</f>
        <v/>
      </c>
      <c r="BY100" s="172">
        <f>MIN(IF($AU100=100%,1,1+VLOOKUP(($AJ100-$AI100-$AH100-$AG100-$AF100-$AE100*(1+BY$3))/$AJ100,'Технический лист'!$I:$J,2,1)-VLOOKUP($AO100,'Технический лист'!$I:$J,2,1)),1+(1-$AU100))</f>
        <v/>
      </c>
      <c r="BZ100" s="172">
        <f>MIN(IF($AU100=100%,1,1+VLOOKUP(($AJ100-$AI100-$AH100-$AG100-$AF100-$AE100*(1+BZ$3))/$AJ100,'Технический лист'!$I:$J,2,1)-VLOOKUP($AO100,'Технический лист'!$I:$J,2,1)),1+(1-$AU100))</f>
        <v/>
      </c>
      <c r="CA100" s="172">
        <f>MIN(IF($AU100=100%,1,1+VLOOKUP(($AJ100-$AI100-$AH100-$AG100-$AF100-$AE100*(1+CA$3))/$AJ100,'Технический лист'!$I:$J,2,1)-VLOOKUP($AO100,'Технический лист'!$I:$J,2,1)),1+(1-$AU100))</f>
        <v/>
      </c>
      <c r="CB100" s="172">
        <f>MIN(IF($AU100=100%,1,1+VLOOKUP(($AJ100-$AI100-$AH100-$AG100-$AF100-$AE100*(1+CB$3))/$AJ100,'Технический лист'!$I:$J,2,1)-VLOOKUP($AO100,'Технический лист'!$I:$J,2,1)),1+(1-$AU100))</f>
        <v/>
      </c>
      <c r="CC100" s="172">
        <f>MIN(IF($AU100=100%,1,1+VLOOKUP(($AJ100-$AI100-$AH100-$AG100-$AF100-$AE100*(1+CC$3))/$AJ100,'Технический лист'!$I:$J,2,1)-VLOOKUP($AO100,'Технический лист'!$I:$J,2,1)),1+(1-$AU100))</f>
        <v/>
      </c>
      <c r="CD100" s="172">
        <f>MIN(IF($AU100=100%,1,1+VLOOKUP(($AJ100-$AI100-$AH100-$AG100-$AF100-$AE100*(1+CD$3))/$AJ100,'Технический лист'!$I:$J,2,1)-VLOOKUP($AO100,'Технический лист'!$I:$J,2,1)),1+(1-$AU100))</f>
        <v/>
      </c>
      <c r="CE100" s="172">
        <f>MIN(IF($AU100=100%,1,1+VLOOKUP(($AJ100-$AI100-$AH100-$AG100-$AF100-$AE100*(1+CE$3))/$AJ100,'Технический лист'!$I:$J,2,1)-VLOOKUP($AO100,'Технический лист'!$I:$J,2,1)),1+(1-$AU100))</f>
        <v/>
      </c>
      <c r="CF100" s="172">
        <f>MIN(IF($AU100=100%,1,1+VLOOKUP(($AJ100-$AI100-$AH100-$AG100-$AF100-$AE100*(1+CF$3))/$AJ100,'Технический лист'!$I:$J,2,1)-VLOOKUP($AO100,'Технический лист'!$I:$J,2,1)),1+(1-$AU100))</f>
        <v/>
      </c>
      <c r="CG100" s="172">
        <f>MIN(IF($AU100=100%,1,1+VLOOKUP(($AJ100-$AI100-$AH100-$AG100-$AF100-$AE100*(1+CG$3))/$AJ100,'Технический лист'!$I:$J,2,1)-VLOOKUP($AO100,'Технический лист'!$I:$J,2,1)),1+(1-$AU100))</f>
        <v/>
      </c>
      <c r="CH100" s="172">
        <f>MIN(IF($AU100=100%,1,1+VLOOKUP(($AJ100-$AI100-$AH100-$AG100-$AF100-$AE100*(1+CH$3))/$AJ100,'Технический лист'!$I:$J,2,1)-VLOOKUP($AO100,'Технический лист'!$I:$J,2,1)),1+(1-$AU100))</f>
        <v/>
      </c>
      <c r="CI100" s="172">
        <f>MIN(IF($AU100=100%,1,1+VLOOKUP(($AJ100-$AI100-$AH100-$AG100-$AF100-$AE100*(1+CI$3))/$AJ100,'Технический лист'!$I:$J,2,1)-VLOOKUP($AO100,'Технический лист'!$I:$J,2,1)),1+(1-$AU100))</f>
        <v/>
      </c>
      <c r="CJ100" s="172">
        <f>MIN(IF($AU100=100%,1,1+VLOOKUP(($AJ100-$AI100-$AH100-$AG100-$AF100-$AE100*(1+CJ$3))/$AJ100,'Технический лист'!$I:$J,2,1)-VLOOKUP($AO100,'Технический лист'!$I:$J,2,1)),1+(1-$AU100))</f>
        <v/>
      </c>
      <c r="CK100" s="172">
        <f>MIN(IF($AU100=100%,1,1+VLOOKUP(($AJ100-$AI100-$AH100-$AG100-$AF100-$AE100*(1+CK$3))/$AJ100,'Технический лист'!$I:$J,2,1)-VLOOKUP($AO100,'Технический лист'!$I:$J,2,1)),1+(1-$AU100))</f>
        <v/>
      </c>
      <c r="CL100" s="172">
        <f>MIN(IF($AU100=100%,1,1+VLOOKUP(($AJ100-$AI100-$AH100-$AG100-$AF100-$AE100*(1+CL$3))/$AJ100,'Технический лист'!$I:$J,2,1)-VLOOKUP($AO100,'Технический лист'!$I:$J,2,1)),1+(1-$AU100))</f>
        <v/>
      </c>
      <c r="CM100" s="172">
        <f>MIN(IF($AU100=100%,1,1+VLOOKUP(($AJ100-$AI100-$AH100-$AG100-$AF100-$AE100*(1+CM$3))/$AJ100,'Технический лист'!$I:$J,2,1)-VLOOKUP($AO100,'Технический лист'!$I:$J,2,1)),1+(1-$AU100))</f>
        <v/>
      </c>
      <c r="CN100" s="172">
        <f>MIN(IF($AU100=100%,1,1+VLOOKUP(($AJ100-$AI100-$AH100-$AG100-$AF100-$AE100*(1+CN$3))/$AJ100,'Технический лист'!$I:$J,2,1)-VLOOKUP($AO100,'Технический лист'!$I:$J,2,1)),1+(1-$AU100))</f>
        <v/>
      </c>
      <c r="CO100" s="172">
        <f>MIN(IF($AU100=100%,1,1+VLOOKUP(($AJ100-$AI100-$AH100-$AG100-$AF100-$AE100*(1+CO$3))/$AJ100,'Технический лист'!$I:$J,2,1)-VLOOKUP($AO100,'Технический лист'!$I:$J,2,1)),1+(1-$AU100))</f>
        <v/>
      </c>
      <c r="CP100" s="172">
        <f>MIN(IF($AU100=100%,1,1+VLOOKUP(($AJ100-$AI100-$AH100-$AG100-$AF100-$AE100*(1+CP$3))/$AJ100,'Технический лист'!$I:$J,2,1)-VLOOKUP($AO100,'Технический лист'!$I:$J,2,1)),1+(1-$AU100))</f>
        <v/>
      </c>
      <c r="CQ100" s="172">
        <f>MIN(IF($AU100=100%,1,1+VLOOKUP(($AJ100-$AI100-$AH100-$AG100-$AF100-$AE100*(1+CQ$3))/$AJ100,'Технический лист'!$I:$J,2,1)-VLOOKUP($AO100,'Технический лист'!$I:$J,2,1)),1+(1-$AU100))</f>
        <v/>
      </c>
      <c r="CR100" s="172">
        <f>MIN(IF($AU100=100%,1,1+VLOOKUP(($AJ100-$AI100-$AH100-$AG100-$AF100-$AE100*(1+CR$3))/$AJ100,'Технический лист'!$I:$J,2,1)-VLOOKUP($AO100,'Технический лист'!$I:$J,2,1)),1+(1-$AU100))</f>
        <v/>
      </c>
      <c r="CS100" s="172">
        <f>MIN(IF($AU100=100%,1,1+VLOOKUP(($AJ100-$AI100-$AH100-$AG100-$AF100-$AE100*(1+CS$3))/$AJ100,'Технический лист'!$I:$J,2,1)-VLOOKUP($AO100,'Технический лист'!$I:$J,2,1)),1+(1-$AU100))</f>
        <v/>
      </c>
      <c r="CT100" s="172">
        <f>MIN(IF($AU100=100%,1,1+VLOOKUP(($AJ100-$AI100-$AH100-$AG100-$AF100-$AE100*(1+CT$3))/$AJ100,'Технический лист'!$I:$J,2,1)-VLOOKUP($AO100,'Технический лист'!$I:$J,2,1)),1+(1-$AU100))</f>
        <v/>
      </c>
      <c r="CU100" s="172">
        <f>MIN(IF($AU100=100%,1,1+VLOOKUP(($AJ100-$AI100-$AH100-$AG100-$AF100-$AE100*(1+CU$3))/$AJ100,'Технический лист'!$I:$J,2,1)-VLOOKUP($AO100,'Технический лист'!$I:$J,2,1)),1+(1-$AU100))</f>
        <v/>
      </c>
      <c r="CV100" s="172">
        <f>MIN(IF($AU100=100%,1,1+VLOOKUP(($AJ100-$AI100-$AH100-$AG100-$AF100-$AE100*(1+CV$3))/$AJ100,'Технический лист'!$I:$J,2,1)-VLOOKUP($AO100,'Технический лист'!$I:$J,2,1)),1+(1-$AU100))</f>
        <v/>
      </c>
      <c r="CW100" s="172">
        <f>MIN(IF($AU100=100%,1,1+VLOOKUP(($AJ100-$AI100-$AH100-$AG100-$AF100-$AE100*(1+CW$3))/$AJ100,'Технический лист'!$I:$J,2,1)-VLOOKUP($AO100,'Технический лист'!$I:$J,2,1)),1+(1-$AU100))</f>
        <v/>
      </c>
      <c r="CX100" s="172">
        <f>MIN(IF($AU100=100%,1,1+VLOOKUP(($AJ100-$AI100-$AH100-$AG100-$AF100-$AE100*(1+CX$3))/$AJ100,'Технический лист'!$I:$J,2,1)-VLOOKUP($AO100,'Технический лист'!$I:$J,2,1)),1+(1-$AU100))</f>
        <v/>
      </c>
      <c r="CY100" s="172">
        <f>MIN(IF($AU100=100%,1,1+VLOOKUP(($AJ100-$AI100-$AH100-$AG100-$AF100-$AE100*(1+CY$3))/$AJ100,'Технический лист'!$I:$J,2,1)-VLOOKUP($AO100,'Технический лист'!$I:$J,2,1)),1+(1-$AU100))</f>
        <v/>
      </c>
      <c r="CZ100" s="172">
        <f>MIN(IF($AU100=100%,1,1+VLOOKUP(($AJ100-$AI100-$AH100-$AG100-$AF100-$AE100*(1+CZ$3))/$AJ100,'Технический лист'!$I:$J,2,1)-VLOOKUP($AO100,'Технический лист'!$I:$J,2,1)),1+(1-$AU100))</f>
        <v/>
      </c>
      <c r="DA100" s="172">
        <f>MIN(IF($AU100=100%,1,1+VLOOKUP(($AJ100-$AI100-$AH100-$AG100-$AF100-$AE100*(1+DA$3))/$AJ100,'Технический лист'!$I:$J,2,1)-VLOOKUP($AO100,'Технический лист'!$I:$J,2,1)),1+(1-$AU100))</f>
        <v/>
      </c>
      <c r="DB100" s="172">
        <f>MIN(IF($AU100=100%,1,1+VLOOKUP(($AJ100-$AI100-$AH100-$AG100-$AF100-$AE100*(1+DB$3))/$AJ100,'Технический лист'!$I:$J,2,1)-VLOOKUP($AO100,'Технический лист'!$I:$J,2,1)),1+(1-$AU100))</f>
        <v/>
      </c>
      <c r="DC100" s="172">
        <f>MIN(IF($AU100=100%,1,1+VLOOKUP(($AJ100-$AI100-$AH100-$AG100-$AF100-$AE100*(1+DC$3))/$AJ100,'Технический лист'!$I:$J,2,1)-VLOOKUP($AO100,'Технический лист'!$I:$J,2,1)),1+(1-$AU100))</f>
        <v/>
      </c>
      <c r="DD100" s="172">
        <f>MIN(IF($AU100=100%,1,1+VLOOKUP(($AJ100-$AI100-$AH100-$AG100-$AF100-$AE100*(1+DD$3))/$AJ100,'Технический лист'!$I:$J,2,1)-VLOOKUP($AO100,'Технический лист'!$I:$J,2,1)),1+(1-$AU100))</f>
        <v/>
      </c>
      <c r="DE100" s="172">
        <f>MIN(IF($AU100=100%,1,1+VLOOKUP(($AJ100-$AI100-$AH100-$AG100-$AF100-$AE100*(1+DE$3))/$AJ100,'Технический лист'!$I:$J,2,1)-VLOOKUP($AO100,'Технический лист'!$I:$J,2,1)),1+(1-$AU100))</f>
        <v/>
      </c>
      <c r="DF100" s="172">
        <f>MIN(IF($AU100=100%,1,1+VLOOKUP(($AJ100-$AI100-$AH100-$AG100-$AF100-$AE100*(1+DF$3))/$AJ100,'Технический лист'!$I:$J,2,1)-VLOOKUP($AO100,'Технический лист'!$I:$J,2,1)),1+(1-$AU100))</f>
        <v/>
      </c>
      <c r="DG100" s="172">
        <f>MIN(IF($AU100=100%,1,1+VLOOKUP(($AJ100-$AI100-$AH100-$AG100-$AF100-$AE100*(1+DG$3))/$AJ100,'Технический лист'!$I:$J,2,1)-VLOOKUP($AO100,'Технический лист'!$I:$J,2,1)),1+(1-$AU100))</f>
        <v/>
      </c>
      <c r="DH100" s="172">
        <f>MIN(IF($AU100=100%,1,1+VLOOKUP(($AJ100-$AI100-$AH100-$AG100-$AF100-$AE100*(1+DH$3))/$AJ100,'Технический лист'!$I:$J,2,1)-VLOOKUP($AO100,'Технический лист'!$I:$J,2,1)),1+(1-$AU100))</f>
        <v/>
      </c>
      <c r="DI100" s="172">
        <f>MIN(IF($AU100=100%,1,1+VLOOKUP(($AJ100-$AI100-$AH100-$AG100-$AF100-$AE100*(1+DI$3))/$AJ100,'Технический лист'!$I:$J,2,1)-VLOOKUP($AO100,'Технический лист'!$I:$J,2,1)),1+(1-$AU100))</f>
        <v/>
      </c>
      <c r="DJ100" s="172">
        <f>MIN(IF($AU100=100%,1,1+VLOOKUP(($AJ100-$AI100-$AH100-$AG100-$AF100-$AE100*(1+DJ$3))/$AJ100,'Технический лист'!$I:$J,2,1)-VLOOKUP($AO100,'Технический лист'!$I:$J,2,1)),1+(1-$AU100))</f>
        <v/>
      </c>
      <c r="DK100" s="172">
        <f>MIN(IF($AU100=100%,1,1+VLOOKUP(($AJ100-$AI100-$AH100-$AG100-$AF100-$AE100*(1+DK$3))/$AJ100,'Технический лист'!$I:$J,2,1)-VLOOKUP($AO100,'Технический лист'!$I:$J,2,1)),1+(1-$AU100))</f>
        <v/>
      </c>
      <c r="DL100" s="172">
        <f>MIN(IF($AU100=100%,1,1+VLOOKUP(($AJ100-$AI100-$AH100-$AG100-$AF100-$AE100*(1+DL$3))/$AJ100,'Технический лист'!$I:$J,2,1)-VLOOKUP($AO100,'Технический лист'!$I:$J,2,1)),1+(1-$AU100))</f>
        <v/>
      </c>
      <c r="DM100" s="172">
        <f>MIN(IF($AU100=100%,1,1+VLOOKUP(($AJ100-$AI100-$AH100-$AG100-$AF100-$AE100*(1+DM$3))/$AJ100,'Технический лист'!$I:$J,2,1)-VLOOKUP($AO100,'Технический лист'!$I:$J,2,1)),1+(1-$AU100))</f>
        <v/>
      </c>
      <c r="DN100" s="172">
        <f>MIN(IF($AU100=100%,1,1+VLOOKUP(($AJ100-$AI100-$AH100-$AG100-$AF100-$AE100*(1+DN$3))/$AJ100,'Технический лист'!$I:$J,2,1)-VLOOKUP($AO100,'Технический лист'!$I:$J,2,1)),1+(1-$AU100))</f>
        <v/>
      </c>
      <c r="DO100" s="172">
        <f>MIN(IF($AU100=100%,1,1+VLOOKUP(($AJ100-$AI100-$AH100-$AG100-$AF100-$AE100*(1+DO$3))/$AJ100,'Технический лист'!$I:$J,2,1)-VLOOKUP($AO100,'Технический лист'!$I:$J,2,1)),1+(1-$AU100))</f>
        <v/>
      </c>
      <c r="DP100" s="172">
        <f>MIN(IF($AU100=100%,1,1+VLOOKUP(($AJ100-$AI100-$AH100-$AG100-$AF100-$AE100*(1+DP$3))/$AJ100,'Технический лист'!$I:$J,2,1)-VLOOKUP($AO100,'Технический лист'!$I:$J,2,1)),1+(1-$AU100))</f>
        <v/>
      </c>
      <c r="DQ100" s="172">
        <f>MIN(IF($AU100=100%,1,1+VLOOKUP(($AJ100-$AI100-$AH100-$AG100-$AF100-$AE100*(1+DQ$3))/$AJ100,'Технический лист'!$I:$J,2,1)-VLOOKUP($AO100,'Технический лист'!$I:$J,2,1)),1+(1-$AU100))</f>
        <v/>
      </c>
      <c r="DR100" s="172">
        <f>MIN(IF($AU100=100%,1,1+VLOOKUP(($AJ100-$AI100-$AH100-$AG100-$AF100-$AE100*(1+DR$3))/$AJ100,'Технический лист'!$I:$J,2,1)-VLOOKUP($AO100,'Технический лист'!$I:$J,2,1)),1+(1-$AU100))</f>
        <v/>
      </c>
      <c r="DS100" s="172">
        <f>MIN(IF($AU100=100%,1,1+VLOOKUP(($AJ100-$AI100-$AH100-$AG100-$AF100-$AE100*(1+DS$3))/$AJ100,'Технический лист'!$I:$J,2,1)-VLOOKUP($AO100,'Технический лист'!$I:$J,2,1)),1+(1-$AU100))</f>
        <v/>
      </c>
      <c r="DT100" s="172">
        <f>MIN(IF($AU100=100%,1,1+VLOOKUP(($AJ100-$AI100-$AH100-$AG100-$AF100-$AE100*(1+DT$3))/$AJ100,'Технический лист'!$I:$J,2,1)-VLOOKUP($AO100,'Технический лист'!$I:$J,2,1)),1+(1-$AU100))</f>
        <v/>
      </c>
      <c r="DU100" s="172">
        <f>MIN(IF($AU100=100%,1,1+VLOOKUP(($AJ100-$AI100-$AH100-$AG100-$AF100-$AE100*(1+DU$3))/$AJ100,'Технический лист'!$I:$J,2,1)-VLOOKUP($AO100,'Технический лист'!$I:$J,2,1)),1+(1-$AU100))</f>
        <v/>
      </c>
      <c r="DV100" s="172">
        <f>MIN(IF($AU100=100%,1,1+VLOOKUP(($AJ100-$AI100-$AH100-$AG100-$AF100-$AE100*(1+DV$3))/$AJ100,'Технический лист'!$I:$J,2,1)-VLOOKUP($AO100,'Технический лист'!$I:$J,2,1)),1+(1-$AU100))</f>
        <v/>
      </c>
      <c r="DW100" s="172">
        <f>MIN(IF($AU100=100%,1,1+VLOOKUP(($AJ100-$AI100-$AH100-$AG100-$AF100-$AE100*(1+DW$3))/$AJ100,'Технический лист'!$I:$J,2,1)-VLOOKUP($AO100,'Технический лист'!$I:$J,2,1)),1+(1-$AU100))</f>
        <v/>
      </c>
      <c r="DX100" s="172">
        <f>MIN(IF($AU100=100%,1,1+VLOOKUP(($AJ100-$AI100-$AH100-$AG100-$AF100-$AE100*(1+DX$3))/$AJ100,'Технический лист'!$I:$J,2,1)-VLOOKUP($AO100,'Технический лист'!$I:$J,2,1)),1+(1-$AU100))</f>
        <v/>
      </c>
      <c r="DY100" s="172">
        <f>MIN(IF($AU100=100%,1,1+VLOOKUP(($AJ100-$AI100-$AH100-$AG100-$AF100-$AE100*(1+DY$3))/$AJ100,'Технический лист'!$I:$J,2,1)-VLOOKUP($AO100,'Технический лист'!$I:$J,2,1)),1+(1-$AU100))</f>
        <v/>
      </c>
      <c r="DZ100" s="172">
        <f>MIN(IF($AU100=100%,1,1+VLOOKUP(($AJ100-$AI100-$AH100-$AG100-$AF100-$AE100*(1+DZ$3))/$AJ100,'Технический лист'!$I:$J,2,1)-VLOOKUP($AO100,'Технический лист'!$I:$J,2,1)),1+(1-$AU100))</f>
        <v/>
      </c>
      <c r="EA100" s="172">
        <f>MIN(IF($AU100=100%,1,1+VLOOKUP(($AJ100-$AI100-$AH100-$AG100-$AF100-$AE100*(1+EA$3))/$AJ100,'Технический лист'!$I:$J,2,1)-VLOOKUP($AO100,'Технический лист'!$I:$J,2,1)),1+(1-$AU100))</f>
        <v/>
      </c>
      <c r="EB100" s="172">
        <f>MIN(IF($AU100=100%,1,1+VLOOKUP(($AJ100-$AI100-$AH100-$AG100-$AF100-$AE100*(1+EB$3))/$AJ100,'Технический лист'!$I:$J,2,1)-VLOOKUP($AO100,'Технический лист'!$I:$J,2,1)),1+(1-$AU100))</f>
        <v/>
      </c>
      <c r="EC100" s="172">
        <f>MIN(IF($AU100=100%,1,1+VLOOKUP(($AJ100-$AI100-$AH100-$AG100-$AF100-$AE100*(1+EC$3))/$AJ100,'Технический лист'!$I:$J,2,1)-VLOOKUP($AO100,'Технический лист'!$I:$J,2,1)),1+(1-$AU100))</f>
        <v/>
      </c>
      <c r="ED100" s="172">
        <f>MIN(IF($AU100=100%,1,1+VLOOKUP(($AJ100-$AI100-$AH100-$AG100-$AF100-$AE100*(1+ED$3))/$AJ100,'Технический лист'!$I:$J,2,1)-VLOOKUP($AO100,'Технический лист'!$I:$J,2,1)),1+(1-$AU100))</f>
        <v/>
      </c>
      <c r="EE100" s="172">
        <f>MIN(IF($AU100=100%,1,1+VLOOKUP(($AJ100-$AI100-$AH100-$AG100-$AF100-$AE100*(1+EE$3))/$AJ100,'Технический лист'!$I:$J,2,1)-VLOOKUP($AO100,'Технический лист'!$I:$J,2,1)),1+(1-$AU100))</f>
        <v/>
      </c>
      <c r="EF100" s="172">
        <f>MIN(IF($AU100=100%,1,1+VLOOKUP(($AJ100-$AI100-$AH100-$AG100-$AF100-$AE100*(1+EF$3))/$AJ100,'Технический лист'!$I:$J,2,1)-VLOOKUP($AO100,'Технический лист'!$I:$J,2,1)),1+(1-$AU100))</f>
        <v/>
      </c>
      <c r="EG100" s="172">
        <f>MIN(IF($AU100=100%,1,1+VLOOKUP(($AJ100-$AI100-$AH100-$AG100-$AF100-$AE100*(1+EG$3))/$AJ100,'Технический лист'!$I:$J,2,1)-VLOOKUP($AO100,'Технический лист'!$I:$J,2,1)),1+(1-$AU100))</f>
        <v/>
      </c>
      <c r="EH100" s="172">
        <f>MIN(IF($AU100=100%,1,1+VLOOKUP(($AJ100-$AI100-$AH100-$AG100-$AF100-$AE100*(1+EH$3))/$AJ100,'Технический лист'!$I:$J,2,1)-VLOOKUP($AO100,'Технический лист'!$I:$J,2,1)),1+(1-$AU100))</f>
        <v/>
      </c>
      <c r="EI100" s="172">
        <f>MIN(IF($AU100=100%,1,1+VLOOKUP(($AJ100-$AI100-$AH100-$AG100-$AF100-$AE100*(1+EI$3))/$AJ100,'Технический лист'!$I:$J,2,1)-VLOOKUP($AO100,'Технический лист'!$I:$J,2,1)),1+(1-$AU100))</f>
        <v/>
      </c>
      <c r="EJ100" s="172">
        <f>MIN(IF($AU100=100%,1,1+VLOOKUP(($AJ100-$AI100-$AH100-$AG100-$AF100-$AE100*(1+EJ$3))/$AJ100,'Технический лист'!$I:$J,2,1)-VLOOKUP($AO100,'Технический лист'!$I:$J,2,1)),1+(1-$AU100))</f>
        <v/>
      </c>
      <c r="EK100" s="172">
        <f>MIN(IF($AU100=100%,1,1+VLOOKUP(($AJ100-$AI100-$AH100-$AG100-$AF100-$AE100*(1+EK$3))/$AJ100,'Технический лист'!$I:$J,2,1)-VLOOKUP($AO100,'Технический лист'!$I:$J,2,1)),1+(1-$AU100))</f>
        <v/>
      </c>
      <c r="EL100" s="172">
        <f>MIN(IF($AU100=100%,1,1+VLOOKUP(($AJ100-$AI100-$AH100-$AG100-$AF100-$AE100*(1+EL$3))/$AJ100,'Технический лист'!$I:$J,2,1)-VLOOKUP($AO100,'Технический лист'!$I:$J,2,1)),1+(1-$AU100))</f>
        <v/>
      </c>
      <c r="EM100" s="172">
        <f>MIN(IF($AU100=100%,1,1+VLOOKUP(($AJ100-$AI100-$AH100-$AG100-$AF100-$AE100*(1+EM$3))/$AJ100,'Технический лист'!$I:$J,2,1)-VLOOKUP($AO100,'Технический лист'!$I:$J,2,1)),1+(1-$AU100))</f>
        <v/>
      </c>
      <c r="EN100" s="172">
        <f>MIN(IF($AU100=100%,1,1+VLOOKUP(($AJ100-$AI100-$AH100-$AG100-$AF100-$AE100*(1+EN$3))/$AJ100,'Технический лист'!$I:$J,2,1)-VLOOKUP($AO100,'Технический лист'!$I:$J,2,1)),1+(1-$AU100))</f>
        <v/>
      </c>
      <c r="EO100" s="172">
        <f>MIN(IF($AU100=100%,1,1+VLOOKUP(($AJ100-$AI100-$AH100-$AG100-$AF100-$AE100*(1+EO$3))/$AJ100,'Технический лист'!$I:$J,2,1)-VLOOKUP($AO100,'Технический лист'!$I:$J,2,1)),1+(1-$AU100))</f>
        <v/>
      </c>
      <c r="EP100" s="172">
        <f>MIN(IF($AU100=100%,1,1+VLOOKUP(($AJ100-$AI100-$AH100-$AG100-$AF100-$AE100*(1+EP$3))/$AJ100,'Технический лист'!$I:$J,2,1)-VLOOKUP($AO100,'Технический лист'!$I:$J,2,1)),1+(1-$AU100))</f>
        <v/>
      </c>
      <c r="EQ100" s="172">
        <f>MIN(IF($AU100=100%,1,1+VLOOKUP(($AJ100-$AI100-$AH100-$AG100-$AF100-$AE100*(1+EQ$3))/$AJ100,'Технический лист'!$I:$J,2,1)-VLOOKUP($AO100,'Технический лист'!$I:$J,2,1)),1+(1-$AU100))</f>
        <v/>
      </c>
      <c r="ER100" s="172">
        <f>MIN(IF($AU100=100%,1,1+VLOOKUP(($AJ100-$AI100-$AH100-$AG100-$AF100-$AE100*(1+ER$3))/$AJ100,'Технический лист'!$I:$J,2,1)-VLOOKUP($AO100,'Технический лист'!$I:$J,2,1)),1+(1-$AU100))</f>
        <v/>
      </c>
      <c r="ES100" s="172">
        <f>MIN(IF($AU100=100%,1,1+VLOOKUP(($AJ100-$AI100-$AH100-$AG100-$AF100-$AE100*(1+ES$3))/$AJ100,'Технический лист'!$I:$J,2,1)-VLOOKUP($AO100,'Технический лист'!$I:$J,2,1)),1+(1-$AU100))</f>
        <v/>
      </c>
      <c r="ET100" s="172">
        <f>MIN(IF($AU100=100%,1,1+VLOOKUP(($AJ100-$AI100-$AH100-$AG100-$AF100-$AE100*(1+ET$3))/$AJ100,'Технический лист'!$I:$J,2,1)-VLOOKUP($AO100,'Технический лист'!$I:$J,2,1)),1+(1-$AU100))</f>
        <v/>
      </c>
      <c r="EU100" s="172">
        <f>MIN(IF($AU100=100%,1,1+VLOOKUP(($AJ100-$AI100-$AH100-$AG100-$AF100-$AE100*(1+EU$3))/$AJ100,'Технический лист'!$I:$J,2,1)-VLOOKUP($AO100,'Технический лист'!$I:$J,2,1)),1+(1-$AU100))</f>
        <v/>
      </c>
      <c r="EV100" s="173" t="n">
        <v>1</v>
      </c>
      <c r="EW100" s="172">
        <f>MIN(1,MAX(VLOOKUP(($AJ100-$AI100-$AH100-$AG100-$AF100-$AE100*(1+EW$3))/$AJ100,'Технический лист'!$A:$B,2,1),(EV100-0.05)))</f>
        <v/>
      </c>
      <c r="EX100" s="172">
        <f>MIN(1,MAX(VLOOKUP(($AJ100-$AI100-$AH100-$AG100-$AF100-$AE100*(1+EX$3))/$AJ100,'Технический лист'!$A:$B,2,1),(EW100-0.05)))</f>
        <v/>
      </c>
      <c r="EY100" s="172">
        <f>MIN(1,MAX(VLOOKUP(($AJ100-$AI100-$AH100-$AG100-$AF100-$AE100*(1+EY$3))/$AJ100,'Технический лист'!$A:$B,2,1),(EX100-0.05)))</f>
        <v/>
      </c>
      <c r="EZ100" s="172">
        <f>MIN(1,MAX(VLOOKUP(($AJ100-$AI100-$AH100-$AG100-$AF100-$AE100*(1+EZ$3))/$AJ100,'Технический лист'!$A:$B,2,1),(EY100-0.05)))</f>
        <v/>
      </c>
      <c r="FA100" s="172">
        <f>MIN(1,MAX(VLOOKUP(($AJ100-$AI100-$AH100-$AG100-$AF100-$AE100*(1+FA$3))/$AJ100,'Технический лист'!$A:$B,2,1),(EZ100-0.05)))</f>
        <v/>
      </c>
      <c r="FB100" s="172">
        <f>MIN(1,MAX(VLOOKUP(($AJ100-$AI100-$AH100-$AG100-$AF100-$AE100*(1+FB$3))/$AJ100,'Технический лист'!$A:$B,2,1),(FA100-0.05)))</f>
        <v/>
      </c>
      <c r="FC100" s="172">
        <f>MIN(1,MAX(VLOOKUP(($AJ100-$AI100-$AH100-$AG100-$AF100-$AE100*(1+FC$3))/$AJ100,'Технический лист'!$A:$B,2,1),(FB100-0.05)))</f>
        <v/>
      </c>
      <c r="FD100" s="172">
        <f>MIN(1,MAX(VLOOKUP(($AJ100-$AI100-$AH100-$AG100-$AF100-$AE100*(1+FD$3))/$AJ100,'Технический лист'!$A:$B,2,1),(FC100-0.05)))</f>
        <v/>
      </c>
      <c r="FE100" s="172">
        <f>MIN(1,MAX(VLOOKUP(($AJ100-$AI100-$AH100-$AG100-$AF100-$AE100*(1+FE$3))/$AJ100,'Технический лист'!$A:$B,2,1),(FD100-0.05)))</f>
        <v/>
      </c>
      <c r="FF100" s="172">
        <f>MIN(1,MAX(VLOOKUP(($AJ100-$AI100-$AH100-$AG100-$AF100-$AE100*(1+FF$3))/$AJ100,'Технический лист'!$A:$B,2,1),(FE100-0.05)))</f>
        <v/>
      </c>
      <c r="FG100" s="172">
        <f>MIN(1,MAX(VLOOKUP(($AJ100-$AI100-$AH100-$AG100-$AF100-$AE100*(1+FG$3))/$AJ100,'Технический лист'!$A:$B,2,1),(FF100-0.05)))</f>
        <v/>
      </c>
      <c r="FH100" s="172">
        <f>MIN(1,MAX(VLOOKUP(($AJ100-$AI100-$AH100-$AG100-$AF100-$AE100*(1+FH$3))/$AJ100,'Технический лист'!$A:$B,2,1),(FG100-0.05)))</f>
        <v/>
      </c>
      <c r="FI100" s="172">
        <f>MIN(1,MAX(VLOOKUP(($AJ100-$AI100-$AH100-$AG100-$AF100-$AE100*(1+FI$3))/$AJ100,'Технический лист'!$A:$B,2,1),(FH100-0.05)))</f>
        <v/>
      </c>
      <c r="FJ100" s="172">
        <f>MIN(1,MAX(VLOOKUP(($AJ100-$AI100-$AH100-$AG100-$AF100-$AE100*(1+FJ$3))/$AJ100,'Технический лист'!$A:$B,2,1),(FI100-0.05)))</f>
        <v/>
      </c>
      <c r="FK100" s="172">
        <f>MIN(1,MAX(VLOOKUP(($AJ100-$AI100-$AH100-$AG100-$AF100-$AE100*(1+FK$3))/$AJ100,'Технический лист'!$A:$B,2,1),(FJ100-0.05)))</f>
        <v/>
      </c>
      <c r="FL100" s="172">
        <f>MIN(1,MAX(VLOOKUP(($AJ100-$AI100-$AH100-$AG100-$AF100-$AE100*(1+FL$3))/$AJ100,'Технический лист'!$A:$B,2,1),(FK100-0.05)))</f>
        <v/>
      </c>
      <c r="FM100" s="172">
        <f>MIN(1,MAX(VLOOKUP(($AJ100-$AI100-$AH100-$AG100-$AF100-$AE100*(1+FM$3))/$AJ100,'Технический лист'!$A:$B,2,1),(FL100-0.05)))</f>
        <v/>
      </c>
      <c r="FN100" s="172">
        <f>MIN(1,MAX(VLOOKUP(($AJ100-$AI100-$AH100-$AG100-$AF100-$AE100*(1+FN$3))/$AJ100,'Технический лист'!$A:$B,2,1),(FM100-0.05)))</f>
        <v/>
      </c>
      <c r="FO100" s="172">
        <f>MIN(1,MAX(VLOOKUP(($AJ100-$AI100-$AH100-$AG100-$AF100-$AE100*(1+FO$3))/$AJ100,'Технический лист'!$A:$B,2,1),(FN100-0.05)))</f>
        <v/>
      </c>
      <c r="FP100" s="172">
        <f>MIN(1,MAX(VLOOKUP(($AJ100-$AI100-$AH100-$AG100-$AF100-$AE100*(1+FP$3))/$AJ100,'Технический лист'!$A:$B,2,1),(FO100-0.05)))</f>
        <v/>
      </c>
      <c r="FQ100" s="172">
        <f>MIN(1,MAX(VLOOKUP(($AJ100-$AI100-$AH100-$AG100-$AF100-$AE100*(1+FQ$3))/$AJ100,'Технический лист'!$A:$B,2,1),(FP100-0.05)))</f>
        <v/>
      </c>
      <c r="FR100" s="172">
        <f>MIN(1,MAX(VLOOKUP(($AJ100-$AI100-$AH100-$AG100-$AF100-$AE100*(1+FR$3))/$AJ100,'Технический лист'!$A:$B,2,1),(FQ100-0.05)))</f>
        <v/>
      </c>
      <c r="FS100" s="172">
        <f>MIN(1,MAX(VLOOKUP(($AJ100-$AI100-$AH100-$AG100-$AF100-$AE100*(1+FS$3))/$AJ100,'Технический лист'!$A:$B,2,1),(FR100-0.05)))</f>
        <v/>
      </c>
      <c r="FT100" s="172">
        <f>MIN(1,MAX(VLOOKUP(($AJ100-$AI100-$AH100-$AG100-$AF100-$AE100*(1+FT$3))/$AJ100,'Технический лист'!$A:$B,2,1),(FS100-0.05)))</f>
        <v/>
      </c>
      <c r="FU100" s="172">
        <f>MIN(1,MAX(VLOOKUP(($AJ100-$AI100-$AH100-$AG100-$AF100-$AE100*(1+FU$3))/$AJ100,'Технический лист'!$A:$B,2,1),(FT100-0.05)))</f>
        <v/>
      </c>
      <c r="FV100" s="172">
        <f>MIN(1,MAX(VLOOKUP(($AJ100-$AI100-$AH100-$AG100-$AF100-$AE100*(1+FV$3))/$AJ100,'Технический лист'!$A:$B,2,1),(FU100-0.05)))</f>
        <v/>
      </c>
      <c r="FW100" s="172">
        <f>MIN(1,MAX(VLOOKUP(($AJ100-$AI100-$AH100-$AG100-$AF100-$AE100*(1+FW$3))/$AJ100,'Технический лист'!$A:$B,2,1),(FV100-0.05)))</f>
        <v/>
      </c>
      <c r="FX100" s="172">
        <f>MIN(1,MAX(VLOOKUP(($AJ100-$AI100-$AH100-$AG100-$AF100-$AE100*(1+FX$3))/$AJ100,'Технический лист'!$A:$B,2,1),(FW100-0.05)))</f>
        <v/>
      </c>
      <c r="FY100" s="172">
        <f>MIN(1,MAX(VLOOKUP(($AJ100-$AI100-$AH100-$AG100-$AF100-$AE100*(1+FY$3))/$AJ100,'Технический лист'!$A:$B,2,1),(FX100-0.05)))</f>
        <v/>
      </c>
      <c r="FZ100" s="172">
        <f>MIN(1,MAX(VLOOKUP(($AJ100-$AI100-$AH100-$AG100-$AF100-$AE100*(1+FZ$3))/$AJ100,'Технический лист'!$A:$B,2,1),(FY100-0.05)))</f>
        <v/>
      </c>
      <c r="GA100" s="172">
        <f>MIN(1,MAX(VLOOKUP(($AJ100-$AI100-$AH100-$AG100-$AF100-$AE100*(1+GA$3))/$AJ100,'Технический лист'!$A:$B,2,1),(FZ100-0.05)))</f>
        <v/>
      </c>
      <c r="GB100" s="172">
        <f>MIN(1,MAX(VLOOKUP(($AJ100-$AI100-$AH100-$AG100-$AF100-$AE100*(1+GB$3))/$AJ100,'Технический лист'!$A:$B,2,1),(GA100-0.05)))</f>
        <v/>
      </c>
      <c r="GC100" s="172">
        <f>MIN(1,MAX(VLOOKUP(($AJ100-$AI100-$AH100-$AG100-$AF100-$AE100*(1+GC$3))/$AJ100,'Технический лист'!$A:$B,2,1),(GB100-0.05)))</f>
        <v/>
      </c>
      <c r="GD100" s="172">
        <f>MIN(1,MAX(VLOOKUP(($AJ100-$AI100-$AH100-$AG100-$AF100-$AE100*(1+GD$3))/$AJ100,'Технический лист'!$A:$B,2,1),(GC100-0.05)))</f>
        <v/>
      </c>
      <c r="GE100" s="172">
        <f>MIN(1,MAX(VLOOKUP(($AJ100-$AI100-$AH100-$AG100-$AF100-$AE100*(1+GE$3))/$AJ100,'Технический лист'!$A:$B,2,1),(GD100-0.05)))</f>
        <v/>
      </c>
      <c r="GF100" s="172">
        <f>MIN(1,MAX(VLOOKUP(($AJ100-$AI100-$AH100-$AG100-$AF100-$AE100*(1+GF$3))/$AJ100,'Технический лист'!$A:$B,2,1),(GE100-0.05)))</f>
        <v/>
      </c>
      <c r="GG100" s="172">
        <f>MIN(1,MAX(VLOOKUP(($AJ100-$AI100-$AH100-$AG100-$AF100-$AE100*(1+GG$3))/$AJ100,'Технический лист'!$A:$B,2,1),(GF100-0.05)))</f>
        <v/>
      </c>
      <c r="GH100" s="172">
        <f>MIN(1,MAX(VLOOKUP(($AJ100-$AI100-$AH100-$AG100-$AF100-$AE100*(1+GH$3))/$AJ100,'Технический лист'!$A:$B,2,1),(GG100-0.05)))</f>
        <v/>
      </c>
      <c r="GI100" s="172">
        <f>MIN(1,MAX(VLOOKUP(($AJ100-$AI100-$AH100-$AG100-$AF100-$AE100*(1+GI$3))/$AJ100,'Технический лист'!$A:$B,2,1),(GH100-0.05)))</f>
        <v/>
      </c>
      <c r="GJ100" s="172">
        <f>MIN(1,MAX(VLOOKUP(($AJ100-$AI100-$AH100-$AG100-$AF100-$AE100*(1+GJ$3))/$AJ100,'Технический лист'!$A:$B,2,1),(GI100-0.05)))</f>
        <v/>
      </c>
      <c r="GK100" s="172">
        <f>MIN(1,MAX(VLOOKUP(($AJ100-$AI100-$AH100-$AG100-$AF100-$AE100*(1+GK$3))/$AJ100,'Технический лист'!$A:$B,2,1),(GJ100-0.05)))</f>
        <v/>
      </c>
      <c r="GL100" s="172">
        <f>MIN(1,MAX(VLOOKUP(($AJ100-$AI100-$AH100-$AG100-$AF100-$AE100*(1+GL$3))/$AJ100,'Технический лист'!$A:$B,2,1),(GK100-0.05)))</f>
        <v/>
      </c>
      <c r="GM100" s="172">
        <f>MIN(1,MAX(VLOOKUP(($AJ100-$AI100-$AH100-$AG100-$AF100-$AE100*(1+GM$3))/$AJ100,'Технический лист'!$A:$B,2,1),(GL100-0.05)))</f>
        <v/>
      </c>
      <c r="GN100" s="172">
        <f>MIN(1,MAX(VLOOKUP(($AJ100-$AI100-$AH100-$AG100-$AF100-$AE100*(1+GN$3))/$AJ100,'Технический лист'!$A:$B,2,1),(GM100-0.05)))</f>
        <v/>
      </c>
      <c r="GO100" s="172">
        <f>MIN(1,MAX(VLOOKUP(($AJ100-$AI100-$AH100-$AG100-$AF100-$AE100*(1+GO$3))/$AJ100,'Технический лист'!$A:$B,2,1),(GN100-0.05)))</f>
        <v/>
      </c>
      <c r="GP100" s="172">
        <f>MIN(1,MAX(VLOOKUP(($AJ100-$AI100-$AH100-$AG100-$AF100-$AE100*(1+GP$3))/$AJ100,'Технический лист'!$A:$B,2,1),(GO100-0.05)))</f>
        <v/>
      </c>
      <c r="GQ100" s="172">
        <f>MIN(1,MAX(VLOOKUP(($AJ100-$AI100-$AH100-$AG100-$AF100-$AE100*(1+GQ$3))/$AJ100,'Технический лист'!$A:$B,2,1),(GP100-0.05)))</f>
        <v/>
      </c>
      <c r="GR100" s="172">
        <f>MIN(1,MAX(VLOOKUP(($AJ100-$AI100-$AH100-$AG100-$AF100-$AE100*(1+GR$3))/$AJ100,'Технический лист'!$A:$B,2,1),(GQ100-0.05)))</f>
        <v/>
      </c>
      <c r="GS100" s="172">
        <f>MIN(1,MAX(VLOOKUP(($AJ100-$AI100-$AH100-$AG100-$AF100-$AE100*(1+GS$3))/$AJ100,'Технический лист'!$A:$B,2,1),(GR100-0.05)))</f>
        <v/>
      </c>
      <c r="GT100" s="172">
        <f>MIN(1,MAX(VLOOKUP(($AJ100-$AI100-$AH100-$AG100-$AF100-$AE100*(1+GT$3))/$AJ100,'Технический лист'!$A:$B,2,1),(GS100-0.05)))</f>
        <v/>
      </c>
      <c r="GU100" s="172">
        <f>MIN(1,MAX(VLOOKUP(($AJ100-$AI100-$AH100-$AG100-$AF100-$AE100*(1+GU$3))/$AJ100,'Технический лист'!$A:$B,2,1),(GT100-0.05)))</f>
        <v/>
      </c>
      <c r="GV100" s="172">
        <f>MIN(1,MAX(VLOOKUP(($AJ100-$AI100-$AH100-$AG100-$AF100-$AE100*(1+GV$3))/$AJ100,'Технический лист'!$A:$B,2,1),(GU100-0.05)))</f>
        <v/>
      </c>
      <c r="GW100" s="172">
        <f>MIN(1,MAX(VLOOKUP(($AJ100-$AI100-$AH100-$AG100-$AF100-$AE100*(1+GW$3))/$AJ100,'Технический лист'!$A:$B,2,1),(GV100-0.05)))</f>
        <v/>
      </c>
      <c r="GX100" s="172">
        <f>MIN(1,MAX(VLOOKUP(($AJ100-$AI100-$AH100-$AG100-$AF100-$AE100*(1+GX$3))/$AJ100,'Технический лист'!$A:$B,2,1),(GW100-0.05)))</f>
        <v/>
      </c>
      <c r="GY100" s="172">
        <f>MIN(1,MAX(VLOOKUP(($AJ100-$AI100-$AH100-$AG100-$AF100-$AE100*(1+GY$3))/$AJ100,'Технический лист'!$A:$B,2,1),(GX100-0.05)))</f>
        <v/>
      </c>
      <c r="GZ100" s="172">
        <f>MIN(1,MAX(VLOOKUP(($AJ100-$AI100-$AH100-$AG100-$AF100-$AE100*(1+GZ$3))/$AJ100,'Технический лист'!$A:$B,2,1),(GY100-0.05)))</f>
        <v/>
      </c>
      <c r="HA100" s="172">
        <f>MIN(1,MAX(VLOOKUP(($AJ100-$AI100-$AH100-$AG100-$AF100-$AE100*(1+HA$3))/$AJ100,'Технический лист'!$A:$B,2,1),(GZ100-0.05)))</f>
        <v/>
      </c>
      <c r="HB100" s="172">
        <f>MIN(1,MAX(VLOOKUP(($AJ100-$AI100-$AH100-$AG100-$AF100-$AE100*(1+HB$3))/$AJ100,'Технический лист'!$A:$B,2,1),(HA100-0.05)))</f>
        <v/>
      </c>
      <c r="HC100" s="172">
        <f>MIN(1,MAX(VLOOKUP(($AJ100-$AI100-$AH100-$AG100-$AF100-$AE100*(1+HC$3))/$AJ100,'Технический лист'!$A:$B,2,1),(HB100-0.05)))</f>
        <v/>
      </c>
      <c r="HD100" s="172">
        <f>MIN(1,MAX(VLOOKUP(($AJ100-$AI100-$AH100-$AG100-$AF100-$AE100*(1+HD$3))/$AJ100,'Технический лист'!$A:$B,2,1),(HC100-0.05)))</f>
        <v/>
      </c>
      <c r="HE100" s="172">
        <f>MIN(1,MAX(VLOOKUP(($AJ100-$AI100-$AH100-$AG100-$AF100-$AE100*(1+HE$3))/$AJ100,'Технический лист'!$A:$B,2,1),(HD100-0.05)))</f>
        <v/>
      </c>
      <c r="HF100" s="172">
        <f>MIN(1,MAX(VLOOKUP(($AJ100-$AI100-$AH100-$AG100-$AF100-$AE100*(1+HF$3))/$AJ100,'Технический лист'!$A:$B,2,1),(HE100-0.05)))</f>
        <v/>
      </c>
      <c r="HG100" s="172">
        <f>MIN(1,MAX(VLOOKUP(($AJ100-$AI100-$AH100-$AG100-$AF100-$AE100*(1+HG$3))/$AJ100,'Технический лист'!$A:$B,2,1),(HF100-0.05)))</f>
        <v/>
      </c>
      <c r="HH100" s="172">
        <f>MIN(1,MAX(VLOOKUP(($AJ100-$AI100-$AH100-$AG100-$AF100-$AE100*(1+HH$3))/$AJ100,'Технический лист'!$A:$B,2,1),(HG100-0.05)))</f>
        <v/>
      </c>
      <c r="HI100" s="172">
        <f>MIN(1,MAX(VLOOKUP(($AJ100-$AI100-$AH100-$AG100-$AF100-$AE100*(1+HI$3))/$AJ100,'Технический лист'!$A:$B,2,1),(HH100-0.05)))</f>
        <v/>
      </c>
      <c r="HJ100" s="172">
        <f>MIN(1,MAX(VLOOKUP(($AJ100-$AI100-$AH100-$AG100-$AF100-$AE100*(1+HJ$3))/$AJ100,'Технический лист'!$A:$B,2,1),(HI100-0.05)))</f>
        <v/>
      </c>
      <c r="HK100" s="172">
        <f>MIN(1,MAX(VLOOKUP(($AJ100-$AI100-$AH100-$AG100-$AF100-$AE100*(1+HK$3))/$AJ100,'Технический лист'!$A:$B,2,1),(HJ100-0.05)))</f>
        <v/>
      </c>
      <c r="HL100" s="172">
        <f>MIN(1,MAX(VLOOKUP(($AJ100-$AI100-$AH100-$AG100-$AF100-$AE100*(1+HL$3))/$AJ100,'Технический лист'!$A:$B,2,1),(HK100-0.05)))</f>
        <v/>
      </c>
      <c r="HM100" s="172">
        <f>MIN(1,MAX(VLOOKUP(($AJ100-$AI100-$AH100-$AG100-$AF100-$AE100*(1+HM$3))/$AJ100,'Технический лист'!$A:$B,2,1),(HL100-0.05)))</f>
        <v/>
      </c>
      <c r="HN100" s="172">
        <f>MIN(1,MAX(VLOOKUP(($AJ100-$AI100-$AH100-$AG100-$AF100-$AE100*(1+HN$3))/$AJ100,'Технический лист'!$A:$B,2,1),(HM100-0.05)))</f>
        <v/>
      </c>
      <c r="HO100" s="172">
        <f>MIN(1,MAX(VLOOKUP(($AJ100-$AI100-$AH100-$AG100-$AF100-$AE100*(1+HO$3))/$AJ100,'Технический лист'!$A:$B,2,1),(HN100-0.05)))</f>
        <v/>
      </c>
      <c r="HP100" s="172">
        <f>MIN(1,MAX(VLOOKUP(($AJ100-$AI100-$AH100-$AG100-$AF100-$AE100*(1+HP$3))/$AJ100,'Технический лист'!$A:$B,2,1),(HO100-0.05)))</f>
        <v/>
      </c>
      <c r="HQ100" s="172">
        <f>MIN(1,MAX(VLOOKUP(($AJ100-$AI100-$AH100-$AG100-$AF100-$AE100*(1+HQ$3))/$AJ100,'Технический лист'!$A:$B,2,1),(HP100-0.05)))</f>
        <v/>
      </c>
      <c r="HR100" s="172">
        <f>MIN(1,MAX(VLOOKUP(($AJ100-$AI100-$AH100-$AG100-$AF100-$AE100*(1+HR$3))/$AJ100,'Технический лист'!$A:$B,2,1),(HQ100-0.05)))</f>
        <v/>
      </c>
      <c r="HS100" s="172">
        <f>MIN(1,MAX(VLOOKUP(($AJ100-$AI100-$AH100-$AG100-$AF100-$AE100*(1+HS$3))/$AJ100,'Технический лист'!$A:$B,2,1),(HR100-0.05)))</f>
        <v/>
      </c>
      <c r="HT100" s="172">
        <f>MIN(1,MAX(VLOOKUP(($AJ100-$AI100-$AH100-$AG100-$AF100-$AE100*(1+HT$3))/$AJ100,'Технический лист'!$A:$B,2,1),(HS100-0.05)))</f>
        <v/>
      </c>
      <c r="HU100" s="172">
        <f>MIN(1,MAX(VLOOKUP(($AJ100-$AI100-$AH100-$AG100-$AF100-$AE100*(1+HU$3))/$AJ100,'Технический лист'!$A:$B,2,1),(HT100-0.05)))</f>
        <v/>
      </c>
      <c r="HV100" s="172">
        <f>MIN(1,MAX(VLOOKUP(($AJ100-$AI100-$AH100-$AG100-$AF100-$AE100*(1+HV$3))/$AJ100,'Технический лист'!$A:$B,2,1),(HU100-0.05)))</f>
        <v/>
      </c>
      <c r="HW100" s="172">
        <f>MIN(1,MAX(VLOOKUP(($AJ100-$AI100-$AH100-$AG100-$AF100-$AE100*(1+HW$3))/$AJ100,'Технический лист'!$A:$B,2,1),(HV100-0.05)))</f>
        <v/>
      </c>
      <c r="HX100" s="172">
        <f>MIN(1,MAX(VLOOKUP(($AJ100-$AI100-$AH100-$AG100-$AF100-$AE100*(1+HX$3))/$AJ100,'Технический лист'!$A:$B,2,1),(HW100-0.05)))</f>
        <v/>
      </c>
      <c r="HY100" s="172">
        <f>MIN(1,MAX(VLOOKUP(($AJ100-$AI100-$AH100-$AG100-$AF100-$AE100*(1+HY$3))/$AJ100,'Технический лист'!$A:$B,2,1),(HX100-0.05)))</f>
        <v/>
      </c>
      <c r="HZ100" s="172">
        <f>MIN(1,MAX(VLOOKUP(($AJ100-$AI100-$AH100-$AG100-$AF100-$AE100*(1+HZ$3))/$AJ100,'Технический лист'!$A:$B,2,1),(HY100-0.05)))</f>
        <v/>
      </c>
      <c r="IA100" s="172">
        <f>MIN(1,MAX(VLOOKUP(($AJ100-$AI100-$AH100-$AG100-$AF100-$AE100*(1+IA$3))/$AJ100,'Технический лист'!$A:$B,2,1),(HZ100-0.05)))</f>
        <v/>
      </c>
      <c r="IB100" s="172">
        <f>MIN(1,MAX(VLOOKUP(($AJ100-$AI100-$AH100-$AG100-$AF100-$AE100*(1+IB$3))/$AJ100,'Технический лист'!$A:$B,2,1),(IA100-0.05)))</f>
        <v/>
      </c>
      <c r="IC100" s="172">
        <f>MIN(1,MAX(VLOOKUP(($AJ100-$AI100-$AH100-$AG100-$AF100-$AE100*(1+IC$3))/$AJ100,'Технический лист'!$A:$B,2,1),(IB100-0.05)))</f>
        <v/>
      </c>
      <c r="ID100" s="172">
        <f>MIN(1,MAX(VLOOKUP(($AJ100-$AI100-$AH100-$AG100-$AF100-$AE100*(1+ID$3))/$AJ100,'Технический лист'!$A:$B,2,1),(IC100-0.05)))</f>
        <v/>
      </c>
      <c r="IE100" s="172">
        <f>MIN(1,MAX(VLOOKUP(($AJ100-$AI100-$AH100-$AG100-$AF100-$AE100*(1+IE$3))/$AJ100,'Технический лист'!$A:$B,2,1),(ID100-0.05)))</f>
        <v/>
      </c>
      <c r="IF100" s="172">
        <f>MIN(1,MAX(VLOOKUP(($AJ100-$AI100-$AH100-$AG100-$AF100-$AE100*(1+IF$3))/$AJ100,'Технический лист'!$A:$B,2,1),(IE100-0.05)))</f>
        <v/>
      </c>
      <c r="IG100" s="172">
        <f>MIN(1,MAX(VLOOKUP(($AJ100-$AI100-$AH100-$AG100-$AF100-$AE100*(1+IG$3))/$AJ100,'Технический лист'!$A:$B,2,1),(IF100-0.05)))</f>
        <v/>
      </c>
      <c r="IH100" s="172">
        <f>MIN(1,MAX(VLOOKUP(($AJ100-$AI100-$AH100-$AG100-$AF100-$AE100*(1+IH$3))/$AJ100,'Технический лист'!$A:$B,2,1),(IG100-0.05)))</f>
        <v/>
      </c>
      <c r="II100" s="172">
        <f>MIN(1,MAX(VLOOKUP(($AJ100-$AI100-$AH100-$AG100-$AF100-$AE100*(1+II$3))/$AJ100,'Технический лист'!$A:$B,2,1),(IH100-0.05)))</f>
        <v/>
      </c>
      <c r="IJ100" s="172">
        <f>MIN(1,MAX(VLOOKUP(($AJ100-$AI100-$AH100-$AG100-$AF100-$AE100*(1+IJ$3))/$AJ100,'Технический лист'!$A:$B,2,1),(II100-0.05)))</f>
        <v/>
      </c>
      <c r="IK100" s="172">
        <f>MIN(1,MAX(VLOOKUP(($AJ100-$AI100-$AH100-$AG100-$AF100-$AE100*(1+IK$3))/$AJ100,'Технический лист'!$A:$B,2,1),(IJ100-0.05)))</f>
        <v/>
      </c>
      <c r="IL100" s="172">
        <f>MIN(1,MAX(VLOOKUP(($AJ100-$AI100-$AH100-$AG100-$AF100-$AE100*(1+IL$3))/$AJ100,'Технический лист'!$A:$B,2,1),(IK100-0.05)))</f>
        <v/>
      </c>
      <c r="IM100" s="172">
        <f>MIN(1,MAX(VLOOKUP(($AJ100-$AI100-$AH100-$AG100-$AF100-$AE100*(1+IM$3))/$AJ100,'Технический лист'!$A:$B,2,1),(IL100-0.05)))</f>
        <v/>
      </c>
      <c r="IN100" s="172">
        <f>MIN(1,MAX(VLOOKUP(($AJ100-$AI100-$AH100-$AG100-$AF100-$AE100*(1+IN$3))/$AJ100,'Технический лист'!$A:$B,2,1),(IM100-0.05)))</f>
        <v/>
      </c>
      <c r="IO100" s="172">
        <f>MIN(1,MAX(VLOOKUP(($AJ100-$AI100-$AH100-$AG100-$AF100-$AE100*(1+IO$3))/$AJ100,'Технический лист'!$A:$B,2,1),(IN100-0.05)))</f>
        <v/>
      </c>
      <c r="IP100" s="172">
        <f>MIN(1,MAX(VLOOKUP(($AJ100-$AI100-$AH100-$AG100-$AF100-$AE100*(1+IP$3))/$AJ100,'Технический лист'!$A:$B,2,1),(IO100-0.05)))</f>
        <v/>
      </c>
      <c r="IQ100" s="172">
        <f>MIN(1,MAX(VLOOKUP(($AJ100-$AI100-$AH100-$AG100-$AF100-$AE100*(1+IQ$3))/$AJ100,'Технический лист'!$A:$B,2,1),(IP100-0.05)))</f>
        <v/>
      </c>
      <c r="IR100" s="172">
        <f>MIN(1,MAX(VLOOKUP(($AJ100-$AI100-$AH100-$AG100-$AF100-$AE100*(1+IR$3))/$AJ100,'Технический лист'!$A:$B,2,1),(IQ100-0.05)))</f>
        <v/>
      </c>
    </row>
    <row r="101" ht="43.75" customHeight="1" s="123">
      <c r="A101" s="89" t="inlineStr">
        <is>
          <t>ЧМ (продукция)</t>
        </is>
      </c>
      <c r="B101" s="90" t="n">
        <v>5</v>
      </c>
      <c r="C101" s="5" t="inlineStr">
        <is>
          <t>Черные металлы</t>
        </is>
      </c>
      <c r="D101" s="91" t="n">
        <v>31405</v>
      </c>
      <c r="E101" s="91" t="inlineStr">
        <is>
          <t xml:space="preserve">Заготовка стальная, не поименованная в алфавите </t>
        </is>
      </c>
      <c r="F101" s="92" t="inlineStr">
        <is>
          <t>ЗАГОТОВКИ СТАЛЬНЫЕ</t>
        </is>
      </c>
      <c r="G101" s="91" t="inlineStr">
        <is>
          <t>ЮУР</t>
        </is>
      </c>
      <c r="H101" s="91" t="inlineStr">
        <is>
          <t>ГОР</t>
        </is>
      </c>
      <c r="I101" s="91" t="inlineStr">
        <is>
          <t>НОВОТРОИЦК</t>
        </is>
      </c>
      <c r="J101" s="91" t="inlineStr">
        <is>
          <t>НАВАШИНО</t>
        </is>
      </c>
      <c r="K101" s="91" t="n">
        <v>2153</v>
      </c>
      <c r="L101" s="91" t="inlineStr">
        <is>
          <t>Полувагоны</t>
        </is>
      </c>
      <c r="M101" s="91" t="inlineStr">
        <is>
          <t>Внутр. перевозки</t>
        </is>
      </c>
      <c r="N101" s="91" t="inlineStr">
        <is>
          <t>вагонная</t>
        </is>
      </c>
      <c r="O101" s="91" t="inlineStr">
        <is>
          <t xml:space="preserve">Южное </t>
        </is>
      </c>
      <c r="P101" s="89" t="inlineStr">
        <is>
          <t>'000013657842</t>
        </is>
      </c>
      <c r="Q101" s="91" t="inlineStr">
        <is>
          <t>'АО "Уральская сталь"</t>
        </is>
      </c>
      <c r="R101" s="91" t="inlineStr">
        <is>
          <t>ООО УК "Уральская сталь"</t>
        </is>
      </c>
      <c r="S101" s="87" t="n">
        <v>263293</v>
      </c>
      <c r="T101" s="87" t="n">
        <v>566983126</v>
      </c>
      <c r="U101" s="88" t="n">
        <v>4281</v>
      </c>
      <c r="V101" s="88" t="n">
        <v>0</v>
      </c>
      <c r="W101" s="87" t="n">
        <v>806462444</v>
      </c>
      <c r="X101" s="112" t="n">
        <v>60</v>
      </c>
      <c r="Y101" s="112" t="inlineStr">
        <is>
          <t>групповая</t>
        </is>
      </c>
      <c r="Z101" s="113" t="n">
        <v>7</v>
      </c>
      <c r="AA101" s="113" t="n">
        <v>6</v>
      </c>
      <c r="AB101" s="113" t="n">
        <v>4</v>
      </c>
      <c r="AC101" s="161" t="n">
        <v>3499.57</v>
      </c>
      <c r="AD101" s="161">
        <f>AE101-AC101</f>
        <v/>
      </c>
      <c r="AE101" s="161" t="n">
        <v>4020.5</v>
      </c>
      <c r="AF101" s="162">
        <f>(Z101+AA101+AB101)*'Ставки аренды'!$B$3/X101</f>
        <v/>
      </c>
      <c r="AG101" s="163" t="n">
        <v>0</v>
      </c>
      <c r="AH101" s="164" t="n">
        <v>0</v>
      </c>
      <c r="AI101" s="165">
        <f>96788205/105454369*AJ101</f>
        <v/>
      </c>
      <c r="AJ101" s="166">
        <f>Цены!$D$11</f>
        <v/>
      </c>
      <c r="AK101" s="164">
        <f>AJ101/Цены!$B$1</f>
        <v/>
      </c>
      <c r="AL101" s="164">
        <f>AE101+AF101+AG101</f>
        <v/>
      </c>
      <c r="AM101" s="164">
        <f>AJ101-AL101</f>
        <v/>
      </c>
      <c r="AN101" s="164">
        <f>AI101+AH101+AG101+AF101+AE101</f>
        <v/>
      </c>
      <c r="AO101" s="167">
        <f>(AJ101-AN101)/AJ101</f>
        <v/>
      </c>
      <c r="AP101" s="168">
        <f>AL101/AJ101</f>
        <v/>
      </c>
      <c r="AQ101" s="168">
        <f>AE101/AJ101</f>
        <v/>
      </c>
      <c r="AR101" s="168">
        <f>AE101/AL101</f>
        <v/>
      </c>
      <c r="AS101" s="169" t="n">
        <v>1</v>
      </c>
      <c r="AT101" s="121">
        <f>S101*AS101</f>
        <v/>
      </c>
      <c r="AU101" s="83" t="n">
        <v>0.8</v>
      </c>
      <c r="AV101" s="170">
        <f>(AJ101-(AE101*(1+$IS$2)+AF101+AG101+AH101+AI101))/AJ101</f>
        <v/>
      </c>
      <c r="AW101" s="171">
        <f>(AE101*(1+$IS$2)+AF101+AG101)/AJ101</f>
        <v/>
      </c>
      <c r="AX101" s="171">
        <f>(AE101*(1+$IS$2))/AJ101</f>
        <v/>
      </c>
      <c r="AY101" s="171">
        <f>(AE101*(1+$IS$2))/(AE101*(1+$IS$2)+AF101+AG101)</f>
        <v/>
      </c>
      <c r="AZ101" s="172">
        <f>MIN(IF($AU101=100%,1,1+VLOOKUP(($AJ101-$AI101-$AH101-$AG101-$AF101-$AE101*(1+AZ$3))/$AJ101,'Технический лист'!$I:$J,2,1)-VLOOKUP($AO101,'Технический лист'!$I:$J,2,1)),1+(1-$AU101))</f>
        <v/>
      </c>
      <c r="BA101" s="172">
        <f>MIN(IF($AU101=100%,1,1+VLOOKUP(($AJ101-$AI101-$AH101-$AG101-$AF101-$AE101*(1+BA$3))/$AJ101,'Технический лист'!$I:$J,2,1)-VLOOKUP($AO101,'Технический лист'!$I:$J,2,1)),1+(1-$AU101))</f>
        <v/>
      </c>
      <c r="BB101" s="172">
        <f>MIN(IF($AU101=100%,1,1+VLOOKUP(($AJ101-$AI101-$AH101-$AG101-$AF101-$AE101*(1+BB$3))/$AJ101,'Технический лист'!$I:$J,2,1)-VLOOKUP($AO101,'Технический лист'!$I:$J,2,1)),1+(1-$AU101))</f>
        <v/>
      </c>
      <c r="BC101" s="172">
        <f>MIN(IF($AU101=100%,1,1+VLOOKUP(($AJ101-$AI101-$AH101-$AG101-$AF101-$AE101*(1+BC$3))/$AJ101,'Технический лист'!$I:$J,2,1)-VLOOKUP($AO101,'Технический лист'!$I:$J,2,1)),1+(1-$AU101))</f>
        <v/>
      </c>
      <c r="BD101" s="172">
        <f>MIN(IF($AU101=100%,1,1+VLOOKUP(($AJ101-$AI101-$AH101-$AG101-$AF101-$AE101*(1+BD$3))/$AJ101,'Технический лист'!$I:$J,2,1)-VLOOKUP($AO101,'Технический лист'!$I:$J,2,1)),1+(1-$AU101))</f>
        <v/>
      </c>
      <c r="BE101" s="172">
        <f>MIN(IF($AU101=100%,1,1+VLOOKUP(($AJ101-$AI101-$AH101-$AG101-$AF101-$AE101*(1+BE$3))/$AJ101,'Технический лист'!$I:$J,2,1)-VLOOKUP($AO101,'Технический лист'!$I:$J,2,1)),1+(1-$AU101))</f>
        <v/>
      </c>
      <c r="BF101" s="172">
        <f>MIN(IF($AU101=100%,1,1+VLOOKUP(($AJ101-$AI101-$AH101-$AG101-$AF101-$AE101*(1+BF$3))/$AJ101,'Технический лист'!$I:$J,2,1)-VLOOKUP($AO101,'Технический лист'!$I:$J,2,1)),1+(1-$AU101))</f>
        <v/>
      </c>
      <c r="BG101" s="172">
        <f>MIN(IF($AU101=100%,1,1+VLOOKUP(($AJ101-$AI101-$AH101-$AG101-$AF101-$AE101*(1+BG$3))/$AJ101,'Технический лист'!$I:$J,2,1)-VLOOKUP($AO101,'Технический лист'!$I:$J,2,1)),1+(1-$AU101))</f>
        <v/>
      </c>
      <c r="BH101" s="172">
        <f>MIN(IF($AU101=100%,1,1+VLOOKUP(($AJ101-$AI101-$AH101-$AG101-$AF101-$AE101*(1+BH$3))/$AJ101,'Технический лист'!$I:$J,2,1)-VLOOKUP($AO101,'Технический лист'!$I:$J,2,1)),1+(1-$AU101))</f>
        <v/>
      </c>
      <c r="BI101" s="172">
        <f>MIN(IF($AU101=100%,1,1+VLOOKUP(($AJ101-$AI101-$AH101-$AG101-$AF101-$AE101*(1+BI$3))/$AJ101,'Технический лист'!$I:$J,2,1)-VLOOKUP($AO101,'Технический лист'!$I:$J,2,1)),1+(1-$AU101))</f>
        <v/>
      </c>
      <c r="BJ101" s="172">
        <f>MIN(IF($AU101=100%,1,1+VLOOKUP(($AJ101-$AI101-$AH101-$AG101-$AF101-$AE101*(1+BJ$3))/$AJ101,'Технический лист'!$I:$J,2,1)-VLOOKUP($AO101,'Технический лист'!$I:$J,2,1)),1+(1-$AU101))</f>
        <v/>
      </c>
      <c r="BK101" s="172">
        <f>MIN(IF($AU101=100%,1,1+VLOOKUP(($AJ101-$AI101-$AH101-$AG101-$AF101-$AE101*(1+BK$3))/$AJ101,'Технический лист'!$I:$J,2,1)-VLOOKUP($AO101,'Технический лист'!$I:$J,2,1)),1+(1-$AU101))</f>
        <v/>
      </c>
      <c r="BL101" s="172">
        <f>MIN(IF($AU101=100%,1,1+VLOOKUP(($AJ101-$AI101-$AH101-$AG101-$AF101-$AE101*(1+BL$3))/$AJ101,'Технический лист'!$I:$J,2,1)-VLOOKUP($AO101,'Технический лист'!$I:$J,2,1)),1+(1-$AU101))</f>
        <v/>
      </c>
      <c r="BM101" s="172">
        <f>MIN(IF($AU101=100%,1,1+VLOOKUP(($AJ101-$AI101-$AH101-$AG101-$AF101-$AE101*(1+BM$3))/$AJ101,'Технический лист'!$I:$J,2,1)-VLOOKUP($AO101,'Технический лист'!$I:$J,2,1)),1+(1-$AU101))</f>
        <v/>
      </c>
      <c r="BN101" s="172">
        <f>MIN(IF($AU101=100%,1,1+VLOOKUP(($AJ101-$AI101-$AH101-$AG101-$AF101-$AE101*(1+BN$3))/$AJ101,'Технический лист'!$I:$J,2,1)-VLOOKUP($AO101,'Технический лист'!$I:$J,2,1)),1+(1-$AU101))</f>
        <v/>
      </c>
      <c r="BO101" s="172">
        <f>MIN(IF($AU101=100%,1,1+VLOOKUP(($AJ101-$AI101-$AH101-$AG101-$AF101-$AE101*(1+BO$3))/$AJ101,'Технический лист'!$I:$J,2,1)-VLOOKUP($AO101,'Технический лист'!$I:$J,2,1)),1+(1-$AU101))</f>
        <v/>
      </c>
      <c r="BP101" s="172">
        <f>MIN(IF($AU101=100%,1,1+VLOOKUP(($AJ101-$AI101-$AH101-$AG101-$AF101-$AE101*(1+BP$3))/$AJ101,'Технический лист'!$I:$J,2,1)-VLOOKUP($AO101,'Технический лист'!$I:$J,2,1)),1+(1-$AU101))</f>
        <v/>
      </c>
      <c r="BQ101" s="172">
        <f>MIN(IF($AU101=100%,1,1+VLOOKUP(($AJ101-$AI101-$AH101-$AG101-$AF101-$AE101*(1+BQ$3))/$AJ101,'Технический лист'!$I:$J,2,1)-VLOOKUP($AO101,'Технический лист'!$I:$J,2,1)),1+(1-$AU101))</f>
        <v/>
      </c>
      <c r="BR101" s="172">
        <f>MIN(IF($AU101=100%,1,1+VLOOKUP(($AJ101-$AI101-$AH101-$AG101-$AF101-$AE101*(1+BR$3))/$AJ101,'Технический лист'!$I:$J,2,1)-VLOOKUP($AO101,'Технический лист'!$I:$J,2,1)),1+(1-$AU101))</f>
        <v/>
      </c>
      <c r="BS101" s="172">
        <f>MIN(IF($AU101=100%,1,1+VLOOKUP(($AJ101-$AI101-$AH101-$AG101-$AF101-$AE101*(1+BS$3))/$AJ101,'Технический лист'!$I:$J,2,1)-VLOOKUP($AO101,'Технический лист'!$I:$J,2,1)),1+(1-$AU101))</f>
        <v/>
      </c>
      <c r="BT101" s="172">
        <f>MIN(IF($AU101=100%,1,1+VLOOKUP(($AJ101-$AI101-$AH101-$AG101-$AF101-$AE101*(1+BT$3))/$AJ101,'Технический лист'!$I:$J,2,1)-VLOOKUP($AO101,'Технический лист'!$I:$J,2,1)),1+(1-$AU101))</f>
        <v/>
      </c>
      <c r="BU101" s="172">
        <f>MIN(IF($AU101=100%,1,1+VLOOKUP(($AJ101-$AI101-$AH101-$AG101-$AF101-$AE101*(1+BU$3))/$AJ101,'Технический лист'!$I:$J,2,1)-VLOOKUP($AO101,'Технический лист'!$I:$J,2,1)),1+(1-$AU101))</f>
        <v/>
      </c>
      <c r="BV101" s="172">
        <f>MIN(IF($AU101=100%,1,1+VLOOKUP(($AJ101-$AI101-$AH101-$AG101-$AF101-$AE101*(1+BV$3))/$AJ101,'Технический лист'!$I:$J,2,1)-VLOOKUP($AO101,'Технический лист'!$I:$J,2,1)),1+(1-$AU101))</f>
        <v/>
      </c>
      <c r="BW101" s="172">
        <f>MIN(IF($AU101=100%,1,1+VLOOKUP(($AJ101-$AI101-$AH101-$AG101-$AF101-$AE101*(1+BW$3))/$AJ101,'Технический лист'!$I:$J,2,1)-VLOOKUP($AO101,'Технический лист'!$I:$J,2,1)),1+(1-$AU101))</f>
        <v/>
      </c>
      <c r="BX101" s="172">
        <f>MIN(IF($AU101=100%,1,1+VLOOKUP(($AJ101-$AI101-$AH101-$AG101-$AF101-$AE101*(1+BX$3))/$AJ101,'Технический лист'!$I:$J,2,1)-VLOOKUP($AO101,'Технический лист'!$I:$J,2,1)),1+(1-$AU101))</f>
        <v/>
      </c>
      <c r="BY101" s="172">
        <f>MIN(IF($AU101=100%,1,1+VLOOKUP(($AJ101-$AI101-$AH101-$AG101-$AF101-$AE101*(1+BY$3))/$AJ101,'Технический лист'!$I:$J,2,1)-VLOOKUP($AO101,'Технический лист'!$I:$J,2,1)),1+(1-$AU101))</f>
        <v/>
      </c>
      <c r="BZ101" s="172">
        <f>MIN(IF($AU101=100%,1,1+VLOOKUP(($AJ101-$AI101-$AH101-$AG101-$AF101-$AE101*(1+BZ$3))/$AJ101,'Технический лист'!$I:$J,2,1)-VLOOKUP($AO101,'Технический лист'!$I:$J,2,1)),1+(1-$AU101))</f>
        <v/>
      </c>
      <c r="CA101" s="172">
        <f>MIN(IF($AU101=100%,1,1+VLOOKUP(($AJ101-$AI101-$AH101-$AG101-$AF101-$AE101*(1+CA$3))/$AJ101,'Технический лист'!$I:$J,2,1)-VLOOKUP($AO101,'Технический лист'!$I:$J,2,1)),1+(1-$AU101))</f>
        <v/>
      </c>
      <c r="CB101" s="172">
        <f>MIN(IF($AU101=100%,1,1+VLOOKUP(($AJ101-$AI101-$AH101-$AG101-$AF101-$AE101*(1+CB$3))/$AJ101,'Технический лист'!$I:$J,2,1)-VLOOKUP($AO101,'Технический лист'!$I:$J,2,1)),1+(1-$AU101))</f>
        <v/>
      </c>
      <c r="CC101" s="172">
        <f>MIN(IF($AU101=100%,1,1+VLOOKUP(($AJ101-$AI101-$AH101-$AG101-$AF101-$AE101*(1+CC$3))/$AJ101,'Технический лист'!$I:$J,2,1)-VLOOKUP($AO101,'Технический лист'!$I:$J,2,1)),1+(1-$AU101))</f>
        <v/>
      </c>
      <c r="CD101" s="172">
        <f>MIN(IF($AU101=100%,1,1+VLOOKUP(($AJ101-$AI101-$AH101-$AG101-$AF101-$AE101*(1+CD$3))/$AJ101,'Технический лист'!$I:$J,2,1)-VLOOKUP($AO101,'Технический лист'!$I:$J,2,1)),1+(1-$AU101))</f>
        <v/>
      </c>
      <c r="CE101" s="172">
        <f>MIN(IF($AU101=100%,1,1+VLOOKUP(($AJ101-$AI101-$AH101-$AG101-$AF101-$AE101*(1+CE$3))/$AJ101,'Технический лист'!$I:$J,2,1)-VLOOKUP($AO101,'Технический лист'!$I:$J,2,1)),1+(1-$AU101))</f>
        <v/>
      </c>
      <c r="CF101" s="172">
        <f>MIN(IF($AU101=100%,1,1+VLOOKUP(($AJ101-$AI101-$AH101-$AG101-$AF101-$AE101*(1+CF$3))/$AJ101,'Технический лист'!$I:$J,2,1)-VLOOKUP($AO101,'Технический лист'!$I:$J,2,1)),1+(1-$AU101))</f>
        <v/>
      </c>
      <c r="CG101" s="172">
        <f>MIN(IF($AU101=100%,1,1+VLOOKUP(($AJ101-$AI101-$AH101-$AG101-$AF101-$AE101*(1+CG$3))/$AJ101,'Технический лист'!$I:$J,2,1)-VLOOKUP($AO101,'Технический лист'!$I:$J,2,1)),1+(1-$AU101))</f>
        <v/>
      </c>
      <c r="CH101" s="172">
        <f>MIN(IF($AU101=100%,1,1+VLOOKUP(($AJ101-$AI101-$AH101-$AG101-$AF101-$AE101*(1+CH$3))/$AJ101,'Технический лист'!$I:$J,2,1)-VLOOKUP($AO101,'Технический лист'!$I:$J,2,1)),1+(1-$AU101))</f>
        <v/>
      </c>
      <c r="CI101" s="172">
        <f>MIN(IF($AU101=100%,1,1+VLOOKUP(($AJ101-$AI101-$AH101-$AG101-$AF101-$AE101*(1+CI$3))/$AJ101,'Технический лист'!$I:$J,2,1)-VLOOKUP($AO101,'Технический лист'!$I:$J,2,1)),1+(1-$AU101))</f>
        <v/>
      </c>
      <c r="CJ101" s="172">
        <f>MIN(IF($AU101=100%,1,1+VLOOKUP(($AJ101-$AI101-$AH101-$AG101-$AF101-$AE101*(1+CJ$3))/$AJ101,'Технический лист'!$I:$J,2,1)-VLOOKUP($AO101,'Технический лист'!$I:$J,2,1)),1+(1-$AU101))</f>
        <v/>
      </c>
      <c r="CK101" s="172">
        <f>MIN(IF($AU101=100%,1,1+VLOOKUP(($AJ101-$AI101-$AH101-$AG101-$AF101-$AE101*(1+CK$3))/$AJ101,'Технический лист'!$I:$J,2,1)-VLOOKUP($AO101,'Технический лист'!$I:$J,2,1)),1+(1-$AU101))</f>
        <v/>
      </c>
      <c r="CL101" s="172">
        <f>MIN(IF($AU101=100%,1,1+VLOOKUP(($AJ101-$AI101-$AH101-$AG101-$AF101-$AE101*(1+CL$3))/$AJ101,'Технический лист'!$I:$J,2,1)-VLOOKUP($AO101,'Технический лист'!$I:$J,2,1)),1+(1-$AU101))</f>
        <v/>
      </c>
      <c r="CM101" s="172">
        <f>MIN(IF($AU101=100%,1,1+VLOOKUP(($AJ101-$AI101-$AH101-$AG101-$AF101-$AE101*(1+CM$3))/$AJ101,'Технический лист'!$I:$J,2,1)-VLOOKUP($AO101,'Технический лист'!$I:$J,2,1)),1+(1-$AU101))</f>
        <v/>
      </c>
      <c r="CN101" s="172">
        <f>MIN(IF($AU101=100%,1,1+VLOOKUP(($AJ101-$AI101-$AH101-$AG101-$AF101-$AE101*(1+CN$3))/$AJ101,'Технический лист'!$I:$J,2,1)-VLOOKUP($AO101,'Технический лист'!$I:$J,2,1)),1+(1-$AU101))</f>
        <v/>
      </c>
      <c r="CO101" s="172">
        <f>MIN(IF($AU101=100%,1,1+VLOOKUP(($AJ101-$AI101-$AH101-$AG101-$AF101-$AE101*(1+CO$3))/$AJ101,'Технический лист'!$I:$J,2,1)-VLOOKUP($AO101,'Технический лист'!$I:$J,2,1)),1+(1-$AU101))</f>
        <v/>
      </c>
      <c r="CP101" s="172">
        <f>MIN(IF($AU101=100%,1,1+VLOOKUP(($AJ101-$AI101-$AH101-$AG101-$AF101-$AE101*(1+CP$3))/$AJ101,'Технический лист'!$I:$J,2,1)-VLOOKUP($AO101,'Технический лист'!$I:$J,2,1)),1+(1-$AU101))</f>
        <v/>
      </c>
      <c r="CQ101" s="172">
        <f>MIN(IF($AU101=100%,1,1+VLOOKUP(($AJ101-$AI101-$AH101-$AG101-$AF101-$AE101*(1+CQ$3))/$AJ101,'Технический лист'!$I:$J,2,1)-VLOOKUP($AO101,'Технический лист'!$I:$J,2,1)),1+(1-$AU101))</f>
        <v/>
      </c>
      <c r="CR101" s="172">
        <f>MIN(IF($AU101=100%,1,1+VLOOKUP(($AJ101-$AI101-$AH101-$AG101-$AF101-$AE101*(1+CR$3))/$AJ101,'Технический лист'!$I:$J,2,1)-VLOOKUP($AO101,'Технический лист'!$I:$J,2,1)),1+(1-$AU101))</f>
        <v/>
      </c>
      <c r="CS101" s="172">
        <f>MIN(IF($AU101=100%,1,1+VLOOKUP(($AJ101-$AI101-$AH101-$AG101-$AF101-$AE101*(1+CS$3))/$AJ101,'Технический лист'!$I:$J,2,1)-VLOOKUP($AO101,'Технический лист'!$I:$J,2,1)),1+(1-$AU101))</f>
        <v/>
      </c>
      <c r="CT101" s="172">
        <f>MIN(IF($AU101=100%,1,1+VLOOKUP(($AJ101-$AI101-$AH101-$AG101-$AF101-$AE101*(1+CT$3))/$AJ101,'Технический лист'!$I:$J,2,1)-VLOOKUP($AO101,'Технический лист'!$I:$J,2,1)),1+(1-$AU101))</f>
        <v/>
      </c>
      <c r="CU101" s="172">
        <f>MIN(IF($AU101=100%,1,1+VLOOKUP(($AJ101-$AI101-$AH101-$AG101-$AF101-$AE101*(1+CU$3))/$AJ101,'Технический лист'!$I:$J,2,1)-VLOOKUP($AO101,'Технический лист'!$I:$J,2,1)),1+(1-$AU101))</f>
        <v/>
      </c>
      <c r="CV101" s="172">
        <f>MIN(IF($AU101=100%,1,1+VLOOKUP(($AJ101-$AI101-$AH101-$AG101-$AF101-$AE101*(1+CV$3))/$AJ101,'Технический лист'!$I:$J,2,1)-VLOOKUP($AO101,'Технический лист'!$I:$J,2,1)),1+(1-$AU101))</f>
        <v/>
      </c>
      <c r="CW101" s="172">
        <f>MIN(IF($AU101=100%,1,1+VLOOKUP(($AJ101-$AI101-$AH101-$AG101-$AF101-$AE101*(1+CW$3))/$AJ101,'Технический лист'!$I:$J,2,1)-VLOOKUP($AO101,'Технический лист'!$I:$J,2,1)),1+(1-$AU101))</f>
        <v/>
      </c>
      <c r="CX101" s="172">
        <f>MIN(IF($AU101=100%,1,1+VLOOKUP(($AJ101-$AI101-$AH101-$AG101-$AF101-$AE101*(1+CX$3))/$AJ101,'Технический лист'!$I:$J,2,1)-VLOOKUP($AO101,'Технический лист'!$I:$J,2,1)),1+(1-$AU101))</f>
        <v/>
      </c>
      <c r="CY101" s="172">
        <f>MIN(IF($AU101=100%,1,1+VLOOKUP(($AJ101-$AI101-$AH101-$AG101-$AF101-$AE101*(1+CY$3))/$AJ101,'Технический лист'!$I:$J,2,1)-VLOOKUP($AO101,'Технический лист'!$I:$J,2,1)),1+(1-$AU101))</f>
        <v/>
      </c>
      <c r="CZ101" s="172">
        <f>MIN(IF($AU101=100%,1,1+VLOOKUP(($AJ101-$AI101-$AH101-$AG101-$AF101-$AE101*(1+CZ$3))/$AJ101,'Технический лист'!$I:$J,2,1)-VLOOKUP($AO101,'Технический лист'!$I:$J,2,1)),1+(1-$AU101))</f>
        <v/>
      </c>
      <c r="DA101" s="172">
        <f>MIN(IF($AU101=100%,1,1+VLOOKUP(($AJ101-$AI101-$AH101-$AG101-$AF101-$AE101*(1+DA$3))/$AJ101,'Технический лист'!$I:$J,2,1)-VLOOKUP($AO101,'Технический лист'!$I:$J,2,1)),1+(1-$AU101))</f>
        <v/>
      </c>
      <c r="DB101" s="172">
        <f>MIN(IF($AU101=100%,1,1+VLOOKUP(($AJ101-$AI101-$AH101-$AG101-$AF101-$AE101*(1+DB$3))/$AJ101,'Технический лист'!$I:$J,2,1)-VLOOKUP($AO101,'Технический лист'!$I:$J,2,1)),1+(1-$AU101))</f>
        <v/>
      </c>
      <c r="DC101" s="172">
        <f>MIN(IF($AU101=100%,1,1+VLOOKUP(($AJ101-$AI101-$AH101-$AG101-$AF101-$AE101*(1+DC$3))/$AJ101,'Технический лист'!$I:$J,2,1)-VLOOKUP($AO101,'Технический лист'!$I:$J,2,1)),1+(1-$AU101))</f>
        <v/>
      </c>
      <c r="DD101" s="172">
        <f>MIN(IF($AU101=100%,1,1+VLOOKUP(($AJ101-$AI101-$AH101-$AG101-$AF101-$AE101*(1+DD$3))/$AJ101,'Технический лист'!$I:$J,2,1)-VLOOKUP($AO101,'Технический лист'!$I:$J,2,1)),1+(1-$AU101))</f>
        <v/>
      </c>
      <c r="DE101" s="172">
        <f>MIN(IF($AU101=100%,1,1+VLOOKUP(($AJ101-$AI101-$AH101-$AG101-$AF101-$AE101*(1+DE$3))/$AJ101,'Технический лист'!$I:$J,2,1)-VLOOKUP($AO101,'Технический лист'!$I:$J,2,1)),1+(1-$AU101))</f>
        <v/>
      </c>
      <c r="DF101" s="172">
        <f>MIN(IF($AU101=100%,1,1+VLOOKUP(($AJ101-$AI101-$AH101-$AG101-$AF101-$AE101*(1+DF$3))/$AJ101,'Технический лист'!$I:$J,2,1)-VLOOKUP($AO101,'Технический лист'!$I:$J,2,1)),1+(1-$AU101))</f>
        <v/>
      </c>
      <c r="DG101" s="172">
        <f>MIN(IF($AU101=100%,1,1+VLOOKUP(($AJ101-$AI101-$AH101-$AG101-$AF101-$AE101*(1+DG$3))/$AJ101,'Технический лист'!$I:$J,2,1)-VLOOKUP($AO101,'Технический лист'!$I:$J,2,1)),1+(1-$AU101))</f>
        <v/>
      </c>
      <c r="DH101" s="172">
        <f>MIN(IF($AU101=100%,1,1+VLOOKUP(($AJ101-$AI101-$AH101-$AG101-$AF101-$AE101*(1+DH$3))/$AJ101,'Технический лист'!$I:$J,2,1)-VLOOKUP($AO101,'Технический лист'!$I:$J,2,1)),1+(1-$AU101))</f>
        <v/>
      </c>
      <c r="DI101" s="172">
        <f>MIN(IF($AU101=100%,1,1+VLOOKUP(($AJ101-$AI101-$AH101-$AG101-$AF101-$AE101*(1+DI$3))/$AJ101,'Технический лист'!$I:$J,2,1)-VLOOKUP($AO101,'Технический лист'!$I:$J,2,1)),1+(1-$AU101))</f>
        <v/>
      </c>
      <c r="DJ101" s="172">
        <f>MIN(IF($AU101=100%,1,1+VLOOKUP(($AJ101-$AI101-$AH101-$AG101-$AF101-$AE101*(1+DJ$3))/$AJ101,'Технический лист'!$I:$J,2,1)-VLOOKUP($AO101,'Технический лист'!$I:$J,2,1)),1+(1-$AU101))</f>
        <v/>
      </c>
      <c r="DK101" s="172">
        <f>MIN(IF($AU101=100%,1,1+VLOOKUP(($AJ101-$AI101-$AH101-$AG101-$AF101-$AE101*(1+DK$3))/$AJ101,'Технический лист'!$I:$J,2,1)-VLOOKUP($AO101,'Технический лист'!$I:$J,2,1)),1+(1-$AU101))</f>
        <v/>
      </c>
      <c r="DL101" s="172">
        <f>MIN(IF($AU101=100%,1,1+VLOOKUP(($AJ101-$AI101-$AH101-$AG101-$AF101-$AE101*(1+DL$3))/$AJ101,'Технический лист'!$I:$J,2,1)-VLOOKUP($AO101,'Технический лист'!$I:$J,2,1)),1+(1-$AU101))</f>
        <v/>
      </c>
      <c r="DM101" s="172">
        <f>MIN(IF($AU101=100%,1,1+VLOOKUP(($AJ101-$AI101-$AH101-$AG101-$AF101-$AE101*(1+DM$3))/$AJ101,'Технический лист'!$I:$J,2,1)-VLOOKUP($AO101,'Технический лист'!$I:$J,2,1)),1+(1-$AU101))</f>
        <v/>
      </c>
      <c r="DN101" s="172">
        <f>MIN(IF($AU101=100%,1,1+VLOOKUP(($AJ101-$AI101-$AH101-$AG101-$AF101-$AE101*(1+DN$3))/$AJ101,'Технический лист'!$I:$J,2,1)-VLOOKUP($AO101,'Технический лист'!$I:$J,2,1)),1+(1-$AU101))</f>
        <v/>
      </c>
      <c r="DO101" s="172">
        <f>MIN(IF($AU101=100%,1,1+VLOOKUP(($AJ101-$AI101-$AH101-$AG101-$AF101-$AE101*(1+DO$3))/$AJ101,'Технический лист'!$I:$J,2,1)-VLOOKUP($AO101,'Технический лист'!$I:$J,2,1)),1+(1-$AU101))</f>
        <v/>
      </c>
      <c r="DP101" s="172">
        <f>MIN(IF($AU101=100%,1,1+VLOOKUP(($AJ101-$AI101-$AH101-$AG101-$AF101-$AE101*(1+DP$3))/$AJ101,'Технический лист'!$I:$J,2,1)-VLOOKUP($AO101,'Технический лист'!$I:$J,2,1)),1+(1-$AU101))</f>
        <v/>
      </c>
      <c r="DQ101" s="172">
        <f>MIN(IF($AU101=100%,1,1+VLOOKUP(($AJ101-$AI101-$AH101-$AG101-$AF101-$AE101*(1+DQ$3))/$AJ101,'Технический лист'!$I:$J,2,1)-VLOOKUP($AO101,'Технический лист'!$I:$J,2,1)),1+(1-$AU101))</f>
        <v/>
      </c>
      <c r="DR101" s="172">
        <f>MIN(IF($AU101=100%,1,1+VLOOKUP(($AJ101-$AI101-$AH101-$AG101-$AF101-$AE101*(1+DR$3))/$AJ101,'Технический лист'!$I:$J,2,1)-VLOOKUP($AO101,'Технический лист'!$I:$J,2,1)),1+(1-$AU101))</f>
        <v/>
      </c>
      <c r="DS101" s="172">
        <f>MIN(IF($AU101=100%,1,1+VLOOKUP(($AJ101-$AI101-$AH101-$AG101-$AF101-$AE101*(1+DS$3))/$AJ101,'Технический лист'!$I:$J,2,1)-VLOOKUP($AO101,'Технический лист'!$I:$J,2,1)),1+(1-$AU101))</f>
        <v/>
      </c>
      <c r="DT101" s="172">
        <f>MIN(IF($AU101=100%,1,1+VLOOKUP(($AJ101-$AI101-$AH101-$AG101-$AF101-$AE101*(1+DT$3))/$AJ101,'Технический лист'!$I:$J,2,1)-VLOOKUP($AO101,'Технический лист'!$I:$J,2,1)),1+(1-$AU101))</f>
        <v/>
      </c>
      <c r="DU101" s="172">
        <f>MIN(IF($AU101=100%,1,1+VLOOKUP(($AJ101-$AI101-$AH101-$AG101-$AF101-$AE101*(1+DU$3))/$AJ101,'Технический лист'!$I:$J,2,1)-VLOOKUP($AO101,'Технический лист'!$I:$J,2,1)),1+(1-$AU101))</f>
        <v/>
      </c>
      <c r="DV101" s="172">
        <f>MIN(IF($AU101=100%,1,1+VLOOKUP(($AJ101-$AI101-$AH101-$AG101-$AF101-$AE101*(1+DV$3))/$AJ101,'Технический лист'!$I:$J,2,1)-VLOOKUP($AO101,'Технический лист'!$I:$J,2,1)),1+(1-$AU101))</f>
        <v/>
      </c>
      <c r="DW101" s="172">
        <f>MIN(IF($AU101=100%,1,1+VLOOKUP(($AJ101-$AI101-$AH101-$AG101-$AF101-$AE101*(1+DW$3))/$AJ101,'Технический лист'!$I:$J,2,1)-VLOOKUP($AO101,'Технический лист'!$I:$J,2,1)),1+(1-$AU101))</f>
        <v/>
      </c>
      <c r="DX101" s="172">
        <f>MIN(IF($AU101=100%,1,1+VLOOKUP(($AJ101-$AI101-$AH101-$AG101-$AF101-$AE101*(1+DX$3))/$AJ101,'Технический лист'!$I:$J,2,1)-VLOOKUP($AO101,'Технический лист'!$I:$J,2,1)),1+(1-$AU101))</f>
        <v/>
      </c>
      <c r="DY101" s="172">
        <f>MIN(IF($AU101=100%,1,1+VLOOKUP(($AJ101-$AI101-$AH101-$AG101-$AF101-$AE101*(1+DY$3))/$AJ101,'Технический лист'!$I:$J,2,1)-VLOOKUP($AO101,'Технический лист'!$I:$J,2,1)),1+(1-$AU101))</f>
        <v/>
      </c>
      <c r="DZ101" s="172">
        <f>MIN(IF($AU101=100%,1,1+VLOOKUP(($AJ101-$AI101-$AH101-$AG101-$AF101-$AE101*(1+DZ$3))/$AJ101,'Технический лист'!$I:$J,2,1)-VLOOKUP($AO101,'Технический лист'!$I:$J,2,1)),1+(1-$AU101))</f>
        <v/>
      </c>
      <c r="EA101" s="172">
        <f>MIN(IF($AU101=100%,1,1+VLOOKUP(($AJ101-$AI101-$AH101-$AG101-$AF101-$AE101*(1+EA$3))/$AJ101,'Технический лист'!$I:$J,2,1)-VLOOKUP($AO101,'Технический лист'!$I:$J,2,1)),1+(1-$AU101))</f>
        <v/>
      </c>
      <c r="EB101" s="172">
        <f>MIN(IF($AU101=100%,1,1+VLOOKUP(($AJ101-$AI101-$AH101-$AG101-$AF101-$AE101*(1+EB$3))/$AJ101,'Технический лист'!$I:$J,2,1)-VLOOKUP($AO101,'Технический лист'!$I:$J,2,1)),1+(1-$AU101))</f>
        <v/>
      </c>
      <c r="EC101" s="172">
        <f>MIN(IF($AU101=100%,1,1+VLOOKUP(($AJ101-$AI101-$AH101-$AG101-$AF101-$AE101*(1+EC$3))/$AJ101,'Технический лист'!$I:$J,2,1)-VLOOKUP($AO101,'Технический лист'!$I:$J,2,1)),1+(1-$AU101))</f>
        <v/>
      </c>
      <c r="ED101" s="172">
        <f>MIN(IF($AU101=100%,1,1+VLOOKUP(($AJ101-$AI101-$AH101-$AG101-$AF101-$AE101*(1+ED$3))/$AJ101,'Технический лист'!$I:$J,2,1)-VLOOKUP($AO101,'Технический лист'!$I:$J,2,1)),1+(1-$AU101))</f>
        <v/>
      </c>
      <c r="EE101" s="172">
        <f>MIN(IF($AU101=100%,1,1+VLOOKUP(($AJ101-$AI101-$AH101-$AG101-$AF101-$AE101*(1+EE$3))/$AJ101,'Технический лист'!$I:$J,2,1)-VLOOKUP($AO101,'Технический лист'!$I:$J,2,1)),1+(1-$AU101))</f>
        <v/>
      </c>
      <c r="EF101" s="172">
        <f>MIN(IF($AU101=100%,1,1+VLOOKUP(($AJ101-$AI101-$AH101-$AG101-$AF101-$AE101*(1+EF$3))/$AJ101,'Технический лист'!$I:$J,2,1)-VLOOKUP($AO101,'Технический лист'!$I:$J,2,1)),1+(1-$AU101))</f>
        <v/>
      </c>
      <c r="EG101" s="172">
        <f>MIN(IF($AU101=100%,1,1+VLOOKUP(($AJ101-$AI101-$AH101-$AG101-$AF101-$AE101*(1+EG$3))/$AJ101,'Технический лист'!$I:$J,2,1)-VLOOKUP($AO101,'Технический лист'!$I:$J,2,1)),1+(1-$AU101))</f>
        <v/>
      </c>
      <c r="EH101" s="172">
        <f>MIN(IF($AU101=100%,1,1+VLOOKUP(($AJ101-$AI101-$AH101-$AG101-$AF101-$AE101*(1+EH$3))/$AJ101,'Технический лист'!$I:$J,2,1)-VLOOKUP($AO101,'Технический лист'!$I:$J,2,1)),1+(1-$AU101))</f>
        <v/>
      </c>
      <c r="EI101" s="172">
        <f>MIN(IF($AU101=100%,1,1+VLOOKUP(($AJ101-$AI101-$AH101-$AG101-$AF101-$AE101*(1+EI$3))/$AJ101,'Технический лист'!$I:$J,2,1)-VLOOKUP($AO101,'Технический лист'!$I:$J,2,1)),1+(1-$AU101))</f>
        <v/>
      </c>
      <c r="EJ101" s="172">
        <f>MIN(IF($AU101=100%,1,1+VLOOKUP(($AJ101-$AI101-$AH101-$AG101-$AF101-$AE101*(1+EJ$3))/$AJ101,'Технический лист'!$I:$J,2,1)-VLOOKUP($AO101,'Технический лист'!$I:$J,2,1)),1+(1-$AU101))</f>
        <v/>
      </c>
      <c r="EK101" s="172">
        <f>MIN(IF($AU101=100%,1,1+VLOOKUP(($AJ101-$AI101-$AH101-$AG101-$AF101-$AE101*(1+EK$3))/$AJ101,'Технический лист'!$I:$J,2,1)-VLOOKUP($AO101,'Технический лист'!$I:$J,2,1)),1+(1-$AU101))</f>
        <v/>
      </c>
      <c r="EL101" s="172">
        <f>MIN(IF($AU101=100%,1,1+VLOOKUP(($AJ101-$AI101-$AH101-$AG101-$AF101-$AE101*(1+EL$3))/$AJ101,'Технический лист'!$I:$J,2,1)-VLOOKUP($AO101,'Технический лист'!$I:$J,2,1)),1+(1-$AU101))</f>
        <v/>
      </c>
      <c r="EM101" s="172">
        <f>MIN(IF($AU101=100%,1,1+VLOOKUP(($AJ101-$AI101-$AH101-$AG101-$AF101-$AE101*(1+EM$3))/$AJ101,'Технический лист'!$I:$J,2,1)-VLOOKUP($AO101,'Технический лист'!$I:$J,2,1)),1+(1-$AU101))</f>
        <v/>
      </c>
      <c r="EN101" s="172">
        <f>MIN(IF($AU101=100%,1,1+VLOOKUP(($AJ101-$AI101-$AH101-$AG101-$AF101-$AE101*(1+EN$3))/$AJ101,'Технический лист'!$I:$J,2,1)-VLOOKUP($AO101,'Технический лист'!$I:$J,2,1)),1+(1-$AU101))</f>
        <v/>
      </c>
      <c r="EO101" s="172">
        <f>MIN(IF($AU101=100%,1,1+VLOOKUP(($AJ101-$AI101-$AH101-$AG101-$AF101-$AE101*(1+EO$3))/$AJ101,'Технический лист'!$I:$J,2,1)-VLOOKUP($AO101,'Технический лист'!$I:$J,2,1)),1+(1-$AU101))</f>
        <v/>
      </c>
      <c r="EP101" s="172">
        <f>MIN(IF($AU101=100%,1,1+VLOOKUP(($AJ101-$AI101-$AH101-$AG101-$AF101-$AE101*(1+EP$3))/$AJ101,'Технический лист'!$I:$J,2,1)-VLOOKUP($AO101,'Технический лист'!$I:$J,2,1)),1+(1-$AU101))</f>
        <v/>
      </c>
      <c r="EQ101" s="172">
        <f>MIN(IF($AU101=100%,1,1+VLOOKUP(($AJ101-$AI101-$AH101-$AG101-$AF101-$AE101*(1+EQ$3))/$AJ101,'Технический лист'!$I:$J,2,1)-VLOOKUP($AO101,'Технический лист'!$I:$J,2,1)),1+(1-$AU101))</f>
        <v/>
      </c>
      <c r="ER101" s="172">
        <f>MIN(IF($AU101=100%,1,1+VLOOKUP(($AJ101-$AI101-$AH101-$AG101-$AF101-$AE101*(1+ER$3))/$AJ101,'Технический лист'!$I:$J,2,1)-VLOOKUP($AO101,'Технический лист'!$I:$J,2,1)),1+(1-$AU101))</f>
        <v/>
      </c>
      <c r="ES101" s="172">
        <f>MIN(IF($AU101=100%,1,1+VLOOKUP(($AJ101-$AI101-$AH101-$AG101-$AF101-$AE101*(1+ES$3))/$AJ101,'Технический лист'!$I:$J,2,1)-VLOOKUP($AO101,'Технический лист'!$I:$J,2,1)),1+(1-$AU101))</f>
        <v/>
      </c>
      <c r="ET101" s="172">
        <f>MIN(IF($AU101=100%,1,1+VLOOKUP(($AJ101-$AI101-$AH101-$AG101-$AF101-$AE101*(1+ET$3))/$AJ101,'Технический лист'!$I:$J,2,1)-VLOOKUP($AO101,'Технический лист'!$I:$J,2,1)),1+(1-$AU101))</f>
        <v/>
      </c>
      <c r="EU101" s="172">
        <f>MIN(IF($AU101=100%,1,1+VLOOKUP(($AJ101-$AI101-$AH101-$AG101-$AF101-$AE101*(1+EU$3))/$AJ101,'Технический лист'!$I:$J,2,1)-VLOOKUP($AO101,'Технический лист'!$I:$J,2,1)),1+(1-$AU101))</f>
        <v/>
      </c>
      <c r="EV101" s="173" t="n">
        <v>1</v>
      </c>
      <c r="EW101" s="172">
        <f>MIN(1,MAX(VLOOKUP(($AJ101-$AI101-$AH101-$AG101-$AF101-$AE101*(1+EW$3))/$AJ101,'Технический лист'!$A:$B,2,1),(EV101-0.05)))</f>
        <v/>
      </c>
      <c r="EX101" s="172">
        <f>MIN(1,MAX(VLOOKUP(($AJ101-$AI101-$AH101-$AG101-$AF101-$AE101*(1+EX$3))/$AJ101,'Технический лист'!$A:$B,2,1),(EW101-0.05)))</f>
        <v/>
      </c>
      <c r="EY101" s="172">
        <f>MIN(1,MAX(VLOOKUP(($AJ101-$AI101-$AH101-$AG101-$AF101-$AE101*(1+EY$3))/$AJ101,'Технический лист'!$A:$B,2,1),(EX101-0.05)))</f>
        <v/>
      </c>
      <c r="EZ101" s="172">
        <f>MIN(1,MAX(VLOOKUP(($AJ101-$AI101-$AH101-$AG101-$AF101-$AE101*(1+EZ$3))/$AJ101,'Технический лист'!$A:$B,2,1),(EY101-0.05)))</f>
        <v/>
      </c>
      <c r="FA101" s="172">
        <f>MIN(1,MAX(VLOOKUP(($AJ101-$AI101-$AH101-$AG101-$AF101-$AE101*(1+FA$3))/$AJ101,'Технический лист'!$A:$B,2,1),(EZ101-0.05)))</f>
        <v/>
      </c>
      <c r="FB101" s="172">
        <f>MIN(1,MAX(VLOOKUP(($AJ101-$AI101-$AH101-$AG101-$AF101-$AE101*(1+FB$3))/$AJ101,'Технический лист'!$A:$B,2,1),(FA101-0.05)))</f>
        <v/>
      </c>
      <c r="FC101" s="172">
        <f>MIN(1,MAX(VLOOKUP(($AJ101-$AI101-$AH101-$AG101-$AF101-$AE101*(1+FC$3))/$AJ101,'Технический лист'!$A:$B,2,1),(FB101-0.05)))</f>
        <v/>
      </c>
      <c r="FD101" s="172">
        <f>MIN(1,MAX(VLOOKUP(($AJ101-$AI101-$AH101-$AG101-$AF101-$AE101*(1+FD$3))/$AJ101,'Технический лист'!$A:$B,2,1),(FC101-0.05)))</f>
        <v/>
      </c>
      <c r="FE101" s="172">
        <f>MIN(1,MAX(VLOOKUP(($AJ101-$AI101-$AH101-$AG101-$AF101-$AE101*(1+FE$3))/$AJ101,'Технический лист'!$A:$B,2,1),(FD101-0.05)))</f>
        <v/>
      </c>
      <c r="FF101" s="172">
        <f>MIN(1,MAX(VLOOKUP(($AJ101-$AI101-$AH101-$AG101-$AF101-$AE101*(1+FF$3))/$AJ101,'Технический лист'!$A:$B,2,1),(FE101-0.05)))</f>
        <v/>
      </c>
      <c r="FG101" s="172">
        <f>MIN(1,MAX(VLOOKUP(($AJ101-$AI101-$AH101-$AG101-$AF101-$AE101*(1+FG$3))/$AJ101,'Технический лист'!$A:$B,2,1),(FF101-0.05)))</f>
        <v/>
      </c>
      <c r="FH101" s="172">
        <f>MIN(1,MAX(VLOOKUP(($AJ101-$AI101-$AH101-$AG101-$AF101-$AE101*(1+FH$3))/$AJ101,'Технический лист'!$A:$B,2,1),(FG101-0.05)))</f>
        <v/>
      </c>
      <c r="FI101" s="172">
        <f>MIN(1,MAX(VLOOKUP(($AJ101-$AI101-$AH101-$AG101-$AF101-$AE101*(1+FI$3))/$AJ101,'Технический лист'!$A:$B,2,1),(FH101-0.05)))</f>
        <v/>
      </c>
      <c r="FJ101" s="172">
        <f>MIN(1,MAX(VLOOKUP(($AJ101-$AI101-$AH101-$AG101-$AF101-$AE101*(1+FJ$3))/$AJ101,'Технический лист'!$A:$B,2,1),(FI101-0.05)))</f>
        <v/>
      </c>
      <c r="FK101" s="172">
        <f>MIN(1,MAX(VLOOKUP(($AJ101-$AI101-$AH101-$AG101-$AF101-$AE101*(1+FK$3))/$AJ101,'Технический лист'!$A:$B,2,1),(FJ101-0.05)))</f>
        <v/>
      </c>
      <c r="FL101" s="172">
        <f>MIN(1,MAX(VLOOKUP(($AJ101-$AI101-$AH101-$AG101-$AF101-$AE101*(1+FL$3))/$AJ101,'Технический лист'!$A:$B,2,1),(FK101-0.05)))</f>
        <v/>
      </c>
      <c r="FM101" s="172">
        <f>MIN(1,MAX(VLOOKUP(($AJ101-$AI101-$AH101-$AG101-$AF101-$AE101*(1+FM$3))/$AJ101,'Технический лист'!$A:$B,2,1),(FL101-0.05)))</f>
        <v/>
      </c>
      <c r="FN101" s="172">
        <f>MIN(1,MAX(VLOOKUP(($AJ101-$AI101-$AH101-$AG101-$AF101-$AE101*(1+FN$3))/$AJ101,'Технический лист'!$A:$B,2,1),(FM101-0.05)))</f>
        <v/>
      </c>
      <c r="FO101" s="172">
        <f>MIN(1,MAX(VLOOKUP(($AJ101-$AI101-$AH101-$AG101-$AF101-$AE101*(1+FO$3))/$AJ101,'Технический лист'!$A:$B,2,1),(FN101-0.05)))</f>
        <v/>
      </c>
      <c r="FP101" s="172">
        <f>MIN(1,MAX(VLOOKUP(($AJ101-$AI101-$AH101-$AG101-$AF101-$AE101*(1+FP$3))/$AJ101,'Технический лист'!$A:$B,2,1),(FO101-0.05)))</f>
        <v/>
      </c>
      <c r="FQ101" s="172">
        <f>MIN(1,MAX(VLOOKUP(($AJ101-$AI101-$AH101-$AG101-$AF101-$AE101*(1+FQ$3))/$AJ101,'Технический лист'!$A:$B,2,1),(FP101-0.05)))</f>
        <v/>
      </c>
      <c r="FR101" s="172">
        <f>MIN(1,MAX(VLOOKUP(($AJ101-$AI101-$AH101-$AG101-$AF101-$AE101*(1+FR$3))/$AJ101,'Технический лист'!$A:$B,2,1),(FQ101-0.05)))</f>
        <v/>
      </c>
      <c r="FS101" s="172">
        <f>MIN(1,MAX(VLOOKUP(($AJ101-$AI101-$AH101-$AG101-$AF101-$AE101*(1+FS$3))/$AJ101,'Технический лист'!$A:$B,2,1),(FR101-0.05)))</f>
        <v/>
      </c>
      <c r="FT101" s="172">
        <f>MIN(1,MAX(VLOOKUP(($AJ101-$AI101-$AH101-$AG101-$AF101-$AE101*(1+FT$3))/$AJ101,'Технический лист'!$A:$B,2,1),(FS101-0.05)))</f>
        <v/>
      </c>
      <c r="FU101" s="172">
        <f>MIN(1,MAX(VLOOKUP(($AJ101-$AI101-$AH101-$AG101-$AF101-$AE101*(1+FU$3))/$AJ101,'Технический лист'!$A:$B,2,1),(FT101-0.05)))</f>
        <v/>
      </c>
      <c r="FV101" s="172">
        <f>MIN(1,MAX(VLOOKUP(($AJ101-$AI101-$AH101-$AG101-$AF101-$AE101*(1+FV$3))/$AJ101,'Технический лист'!$A:$B,2,1),(FU101-0.05)))</f>
        <v/>
      </c>
      <c r="FW101" s="172">
        <f>MIN(1,MAX(VLOOKUP(($AJ101-$AI101-$AH101-$AG101-$AF101-$AE101*(1+FW$3))/$AJ101,'Технический лист'!$A:$B,2,1),(FV101-0.05)))</f>
        <v/>
      </c>
      <c r="FX101" s="172">
        <f>MIN(1,MAX(VLOOKUP(($AJ101-$AI101-$AH101-$AG101-$AF101-$AE101*(1+FX$3))/$AJ101,'Технический лист'!$A:$B,2,1),(FW101-0.05)))</f>
        <v/>
      </c>
      <c r="FY101" s="172">
        <f>MIN(1,MAX(VLOOKUP(($AJ101-$AI101-$AH101-$AG101-$AF101-$AE101*(1+FY$3))/$AJ101,'Технический лист'!$A:$B,2,1),(FX101-0.05)))</f>
        <v/>
      </c>
      <c r="FZ101" s="172">
        <f>MIN(1,MAX(VLOOKUP(($AJ101-$AI101-$AH101-$AG101-$AF101-$AE101*(1+FZ$3))/$AJ101,'Технический лист'!$A:$B,2,1),(FY101-0.05)))</f>
        <v/>
      </c>
      <c r="GA101" s="172">
        <f>MIN(1,MAX(VLOOKUP(($AJ101-$AI101-$AH101-$AG101-$AF101-$AE101*(1+GA$3))/$AJ101,'Технический лист'!$A:$B,2,1),(FZ101-0.05)))</f>
        <v/>
      </c>
      <c r="GB101" s="172">
        <f>MIN(1,MAX(VLOOKUP(($AJ101-$AI101-$AH101-$AG101-$AF101-$AE101*(1+GB$3))/$AJ101,'Технический лист'!$A:$B,2,1),(GA101-0.05)))</f>
        <v/>
      </c>
      <c r="GC101" s="172">
        <f>MIN(1,MAX(VLOOKUP(($AJ101-$AI101-$AH101-$AG101-$AF101-$AE101*(1+GC$3))/$AJ101,'Технический лист'!$A:$B,2,1),(GB101-0.05)))</f>
        <v/>
      </c>
      <c r="GD101" s="172">
        <f>MIN(1,MAX(VLOOKUP(($AJ101-$AI101-$AH101-$AG101-$AF101-$AE101*(1+GD$3))/$AJ101,'Технический лист'!$A:$B,2,1),(GC101-0.05)))</f>
        <v/>
      </c>
      <c r="GE101" s="172">
        <f>MIN(1,MAX(VLOOKUP(($AJ101-$AI101-$AH101-$AG101-$AF101-$AE101*(1+GE$3))/$AJ101,'Технический лист'!$A:$B,2,1),(GD101-0.05)))</f>
        <v/>
      </c>
      <c r="GF101" s="172">
        <f>MIN(1,MAX(VLOOKUP(($AJ101-$AI101-$AH101-$AG101-$AF101-$AE101*(1+GF$3))/$AJ101,'Технический лист'!$A:$B,2,1),(GE101-0.05)))</f>
        <v/>
      </c>
      <c r="GG101" s="172">
        <f>MIN(1,MAX(VLOOKUP(($AJ101-$AI101-$AH101-$AG101-$AF101-$AE101*(1+GG$3))/$AJ101,'Технический лист'!$A:$B,2,1),(GF101-0.05)))</f>
        <v/>
      </c>
      <c r="GH101" s="172">
        <f>MIN(1,MAX(VLOOKUP(($AJ101-$AI101-$AH101-$AG101-$AF101-$AE101*(1+GH$3))/$AJ101,'Технический лист'!$A:$B,2,1),(GG101-0.05)))</f>
        <v/>
      </c>
      <c r="GI101" s="172">
        <f>MIN(1,MAX(VLOOKUP(($AJ101-$AI101-$AH101-$AG101-$AF101-$AE101*(1+GI$3))/$AJ101,'Технический лист'!$A:$B,2,1),(GH101-0.05)))</f>
        <v/>
      </c>
      <c r="GJ101" s="172">
        <f>MIN(1,MAX(VLOOKUP(($AJ101-$AI101-$AH101-$AG101-$AF101-$AE101*(1+GJ$3))/$AJ101,'Технический лист'!$A:$B,2,1),(GI101-0.05)))</f>
        <v/>
      </c>
      <c r="GK101" s="172">
        <f>MIN(1,MAX(VLOOKUP(($AJ101-$AI101-$AH101-$AG101-$AF101-$AE101*(1+GK$3))/$AJ101,'Технический лист'!$A:$B,2,1),(GJ101-0.05)))</f>
        <v/>
      </c>
      <c r="GL101" s="172">
        <f>MIN(1,MAX(VLOOKUP(($AJ101-$AI101-$AH101-$AG101-$AF101-$AE101*(1+GL$3))/$AJ101,'Технический лист'!$A:$B,2,1),(GK101-0.05)))</f>
        <v/>
      </c>
      <c r="GM101" s="172">
        <f>MIN(1,MAX(VLOOKUP(($AJ101-$AI101-$AH101-$AG101-$AF101-$AE101*(1+GM$3))/$AJ101,'Технический лист'!$A:$B,2,1),(GL101-0.05)))</f>
        <v/>
      </c>
      <c r="GN101" s="172">
        <f>MIN(1,MAX(VLOOKUP(($AJ101-$AI101-$AH101-$AG101-$AF101-$AE101*(1+GN$3))/$AJ101,'Технический лист'!$A:$B,2,1),(GM101-0.05)))</f>
        <v/>
      </c>
      <c r="GO101" s="172">
        <f>MIN(1,MAX(VLOOKUP(($AJ101-$AI101-$AH101-$AG101-$AF101-$AE101*(1+GO$3))/$AJ101,'Технический лист'!$A:$B,2,1),(GN101-0.05)))</f>
        <v/>
      </c>
      <c r="GP101" s="172">
        <f>MIN(1,MAX(VLOOKUP(($AJ101-$AI101-$AH101-$AG101-$AF101-$AE101*(1+GP$3))/$AJ101,'Технический лист'!$A:$B,2,1),(GO101-0.05)))</f>
        <v/>
      </c>
      <c r="GQ101" s="172">
        <f>MIN(1,MAX(VLOOKUP(($AJ101-$AI101-$AH101-$AG101-$AF101-$AE101*(1+GQ$3))/$AJ101,'Технический лист'!$A:$B,2,1),(GP101-0.05)))</f>
        <v/>
      </c>
      <c r="GR101" s="172">
        <f>MIN(1,MAX(VLOOKUP(($AJ101-$AI101-$AH101-$AG101-$AF101-$AE101*(1+GR$3))/$AJ101,'Технический лист'!$A:$B,2,1),(GQ101-0.05)))</f>
        <v/>
      </c>
      <c r="GS101" s="172">
        <f>MIN(1,MAX(VLOOKUP(($AJ101-$AI101-$AH101-$AG101-$AF101-$AE101*(1+GS$3))/$AJ101,'Технический лист'!$A:$B,2,1),(GR101-0.05)))</f>
        <v/>
      </c>
      <c r="GT101" s="172">
        <f>MIN(1,MAX(VLOOKUP(($AJ101-$AI101-$AH101-$AG101-$AF101-$AE101*(1+GT$3))/$AJ101,'Технический лист'!$A:$B,2,1),(GS101-0.05)))</f>
        <v/>
      </c>
      <c r="GU101" s="172">
        <f>MIN(1,MAX(VLOOKUP(($AJ101-$AI101-$AH101-$AG101-$AF101-$AE101*(1+GU$3))/$AJ101,'Технический лист'!$A:$B,2,1),(GT101-0.05)))</f>
        <v/>
      </c>
      <c r="GV101" s="172">
        <f>MIN(1,MAX(VLOOKUP(($AJ101-$AI101-$AH101-$AG101-$AF101-$AE101*(1+GV$3))/$AJ101,'Технический лист'!$A:$B,2,1),(GU101-0.05)))</f>
        <v/>
      </c>
      <c r="GW101" s="172">
        <f>MIN(1,MAX(VLOOKUP(($AJ101-$AI101-$AH101-$AG101-$AF101-$AE101*(1+GW$3))/$AJ101,'Технический лист'!$A:$B,2,1),(GV101-0.05)))</f>
        <v/>
      </c>
      <c r="GX101" s="172">
        <f>MIN(1,MAX(VLOOKUP(($AJ101-$AI101-$AH101-$AG101-$AF101-$AE101*(1+GX$3))/$AJ101,'Технический лист'!$A:$B,2,1),(GW101-0.05)))</f>
        <v/>
      </c>
      <c r="GY101" s="172">
        <f>MIN(1,MAX(VLOOKUP(($AJ101-$AI101-$AH101-$AG101-$AF101-$AE101*(1+GY$3))/$AJ101,'Технический лист'!$A:$B,2,1),(GX101-0.05)))</f>
        <v/>
      </c>
      <c r="GZ101" s="172">
        <f>MIN(1,MAX(VLOOKUP(($AJ101-$AI101-$AH101-$AG101-$AF101-$AE101*(1+GZ$3))/$AJ101,'Технический лист'!$A:$B,2,1),(GY101-0.05)))</f>
        <v/>
      </c>
      <c r="HA101" s="172">
        <f>MIN(1,MAX(VLOOKUP(($AJ101-$AI101-$AH101-$AG101-$AF101-$AE101*(1+HA$3))/$AJ101,'Технический лист'!$A:$B,2,1),(GZ101-0.05)))</f>
        <v/>
      </c>
      <c r="HB101" s="172">
        <f>MIN(1,MAX(VLOOKUP(($AJ101-$AI101-$AH101-$AG101-$AF101-$AE101*(1+HB$3))/$AJ101,'Технический лист'!$A:$B,2,1),(HA101-0.05)))</f>
        <v/>
      </c>
      <c r="HC101" s="172">
        <f>MIN(1,MAX(VLOOKUP(($AJ101-$AI101-$AH101-$AG101-$AF101-$AE101*(1+HC$3))/$AJ101,'Технический лист'!$A:$B,2,1),(HB101-0.05)))</f>
        <v/>
      </c>
      <c r="HD101" s="172">
        <f>MIN(1,MAX(VLOOKUP(($AJ101-$AI101-$AH101-$AG101-$AF101-$AE101*(1+HD$3))/$AJ101,'Технический лист'!$A:$B,2,1),(HC101-0.05)))</f>
        <v/>
      </c>
      <c r="HE101" s="172">
        <f>MIN(1,MAX(VLOOKUP(($AJ101-$AI101-$AH101-$AG101-$AF101-$AE101*(1+HE$3))/$AJ101,'Технический лист'!$A:$B,2,1),(HD101-0.05)))</f>
        <v/>
      </c>
      <c r="HF101" s="172">
        <f>MIN(1,MAX(VLOOKUP(($AJ101-$AI101-$AH101-$AG101-$AF101-$AE101*(1+HF$3))/$AJ101,'Технический лист'!$A:$B,2,1),(HE101-0.05)))</f>
        <v/>
      </c>
      <c r="HG101" s="172">
        <f>MIN(1,MAX(VLOOKUP(($AJ101-$AI101-$AH101-$AG101-$AF101-$AE101*(1+HG$3))/$AJ101,'Технический лист'!$A:$B,2,1),(HF101-0.05)))</f>
        <v/>
      </c>
      <c r="HH101" s="172">
        <f>MIN(1,MAX(VLOOKUP(($AJ101-$AI101-$AH101-$AG101-$AF101-$AE101*(1+HH$3))/$AJ101,'Технический лист'!$A:$B,2,1),(HG101-0.05)))</f>
        <v/>
      </c>
      <c r="HI101" s="172">
        <f>MIN(1,MAX(VLOOKUP(($AJ101-$AI101-$AH101-$AG101-$AF101-$AE101*(1+HI$3))/$AJ101,'Технический лист'!$A:$B,2,1),(HH101-0.05)))</f>
        <v/>
      </c>
      <c r="HJ101" s="172">
        <f>MIN(1,MAX(VLOOKUP(($AJ101-$AI101-$AH101-$AG101-$AF101-$AE101*(1+HJ$3))/$AJ101,'Технический лист'!$A:$B,2,1),(HI101-0.05)))</f>
        <v/>
      </c>
      <c r="HK101" s="172">
        <f>MIN(1,MAX(VLOOKUP(($AJ101-$AI101-$AH101-$AG101-$AF101-$AE101*(1+HK$3))/$AJ101,'Технический лист'!$A:$B,2,1),(HJ101-0.05)))</f>
        <v/>
      </c>
      <c r="HL101" s="172">
        <f>MIN(1,MAX(VLOOKUP(($AJ101-$AI101-$AH101-$AG101-$AF101-$AE101*(1+HL$3))/$AJ101,'Технический лист'!$A:$B,2,1),(HK101-0.05)))</f>
        <v/>
      </c>
      <c r="HM101" s="172">
        <f>MIN(1,MAX(VLOOKUP(($AJ101-$AI101-$AH101-$AG101-$AF101-$AE101*(1+HM$3))/$AJ101,'Технический лист'!$A:$B,2,1),(HL101-0.05)))</f>
        <v/>
      </c>
      <c r="HN101" s="172">
        <f>MIN(1,MAX(VLOOKUP(($AJ101-$AI101-$AH101-$AG101-$AF101-$AE101*(1+HN$3))/$AJ101,'Технический лист'!$A:$B,2,1),(HM101-0.05)))</f>
        <v/>
      </c>
      <c r="HO101" s="172">
        <f>MIN(1,MAX(VLOOKUP(($AJ101-$AI101-$AH101-$AG101-$AF101-$AE101*(1+HO$3))/$AJ101,'Технический лист'!$A:$B,2,1),(HN101-0.05)))</f>
        <v/>
      </c>
      <c r="HP101" s="172">
        <f>MIN(1,MAX(VLOOKUP(($AJ101-$AI101-$AH101-$AG101-$AF101-$AE101*(1+HP$3))/$AJ101,'Технический лист'!$A:$B,2,1),(HO101-0.05)))</f>
        <v/>
      </c>
      <c r="HQ101" s="172">
        <f>MIN(1,MAX(VLOOKUP(($AJ101-$AI101-$AH101-$AG101-$AF101-$AE101*(1+HQ$3))/$AJ101,'Технический лист'!$A:$B,2,1),(HP101-0.05)))</f>
        <v/>
      </c>
      <c r="HR101" s="172">
        <f>MIN(1,MAX(VLOOKUP(($AJ101-$AI101-$AH101-$AG101-$AF101-$AE101*(1+HR$3))/$AJ101,'Технический лист'!$A:$B,2,1),(HQ101-0.05)))</f>
        <v/>
      </c>
      <c r="HS101" s="172">
        <f>MIN(1,MAX(VLOOKUP(($AJ101-$AI101-$AH101-$AG101-$AF101-$AE101*(1+HS$3))/$AJ101,'Технический лист'!$A:$B,2,1),(HR101-0.05)))</f>
        <v/>
      </c>
      <c r="HT101" s="172">
        <f>MIN(1,MAX(VLOOKUP(($AJ101-$AI101-$AH101-$AG101-$AF101-$AE101*(1+HT$3))/$AJ101,'Технический лист'!$A:$B,2,1),(HS101-0.05)))</f>
        <v/>
      </c>
      <c r="HU101" s="172">
        <f>MIN(1,MAX(VLOOKUP(($AJ101-$AI101-$AH101-$AG101-$AF101-$AE101*(1+HU$3))/$AJ101,'Технический лист'!$A:$B,2,1),(HT101-0.05)))</f>
        <v/>
      </c>
      <c r="HV101" s="172">
        <f>MIN(1,MAX(VLOOKUP(($AJ101-$AI101-$AH101-$AG101-$AF101-$AE101*(1+HV$3))/$AJ101,'Технический лист'!$A:$B,2,1),(HU101-0.05)))</f>
        <v/>
      </c>
      <c r="HW101" s="172">
        <f>MIN(1,MAX(VLOOKUP(($AJ101-$AI101-$AH101-$AG101-$AF101-$AE101*(1+HW$3))/$AJ101,'Технический лист'!$A:$B,2,1),(HV101-0.05)))</f>
        <v/>
      </c>
      <c r="HX101" s="172">
        <f>MIN(1,MAX(VLOOKUP(($AJ101-$AI101-$AH101-$AG101-$AF101-$AE101*(1+HX$3))/$AJ101,'Технический лист'!$A:$B,2,1),(HW101-0.05)))</f>
        <v/>
      </c>
      <c r="HY101" s="172">
        <f>MIN(1,MAX(VLOOKUP(($AJ101-$AI101-$AH101-$AG101-$AF101-$AE101*(1+HY$3))/$AJ101,'Технический лист'!$A:$B,2,1),(HX101-0.05)))</f>
        <v/>
      </c>
      <c r="HZ101" s="172">
        <f>MIN(1,MAX(VLOOKUP(($AJ101-$AI101-$AH101-$AG101-$AF101-$AE101*(1+HZ$3))/$AJ101,'Технический лист'!$A:$B,2,1),(HY101-0.05)))</f>
        <v/>
      </c>
      <c r="IA101" s="172">
        <f>MIN(1,MAX(VLOOKUP(($AJ101-$AI101-$AH101-$AG101-$AF101-$AE101*(1+IA$3))/$AJ101,'Технический лист'!$A:$B,2,1),(HZ101-0.05)))</f>
        <v/>
      </c>
      <c r="IB101" s="172">
        <f>MIN(1,MAX(VLOOKUP(($AJ101-$AI101-$AH101-$AG101-$AF101-$AE101*(1+IB$3))/$AJ101,'Технический лист'!$A:$B,2,1),(IA101-0.05)))</f>
        <v/>
      </c>
      <c r="IC101" s="172">
        <f>MIN(1,MAX(VLOOKUP(($AJ101-$AI101-$AH101-$AG101-$AF101-$AE101*(1+IC$3))/$AJ101,'Технический лист'!$A:$B,2,1),(IB101-0.05)))</f>
        <v/>
      </c>
      <c r="ID101" s="172">
        <f>MIN(1,MAX(VLOOKUP(($AJ101-$AI101-$AH101-$AG101-$AF101-$AE101*(1+ID$3))/$AJ101,'Технический лист'!$A:$B,2,1),(IC101-0.05)))</f>
        <v/>
      </c>
      <c r="IE101" s="172">
        <f>MIN(1,MAX(VLOOKUP(($AJ101-$AI101-$AH101-$AG101-$AF101-$AE101*(1+IE$3))/$AJ101,'Технический лист'!$A:$B,2,1),(ID101-0.05)))</f>
        <v/>
      </c>
      <c r="IF101" s="172">
        <f>MIN(1,MAX(VLOOKUP(($AJ101-$AI101-$AH101-$AG101-$AF101-$AE101*(1+IF$3))/$AJ101,'Технический лист'!$A:$B,2,1),(IE101-0.05)))</f>
        <v/>
      </c>
      <c r="IG101" s="172">
        <f>MIN(1,MAX(VLOOKUP(($AJ101-$AI101-$AH101-$AG101-$AF101-$AE101*(1+IG$3))/$AJ101,'Технический лист'!$A:$B,2,1),(IF101-0.05)))</f>
        <v/>
      </c>
      <c r="IH101" s="172">
        <f>MIN(1,MAX(VLOOKUP(($AJ101-$AI101-$AH101-$AG101-$AF101-$AE101*(1+IH$3))/$AJ101,'Технический лист'!$A:$B,2,1),(IG101-0.05)))</f>
        <v/>
      </c>
      <c r="II101" s="172">
        <f>MIN(1,MAX(VLOOKUP(($AJ101-$AI101-$AH101-$AG101-$AF101-$AE101*(1+II$3))/$AJ101,'Технический лист'!$A:$B,2,1),(IH101-0.05)))</f>
        <v/>
      </c>
      <c r="IJ101" s="172">
        <f>MIN(1,MAX(VLOOKUP(($AJ101-$AI101-$AH101-$AG101-$AF101-$AE101*(1+IJ$3))/$AJ101,'Технический лист'!$A:$B,2,1),(II101-0.05)))</f>
        <v/>
      </c>
      <c r="IK101" s="172">
        <f>MIN(1,MAX(VLOOKUP(($AJ101-$AI101-$AH101-$AG101-$AF101-$AE101*(1+IK$3))/$AJ101,'Технический лист'!$A:$B,2,1),(IJ101-0.05)))</f>
        <v/>
      </c>
      <c r="IL101" s="172">
        <f>MIN(1,MAX(VLOOKUP(($AJ101-$AI101-$AH101-$AG101-$AF101-$AE101*(1+IL$3))/$AJ101,'Технический лист'!$A:$B,2,1),(IK101-0.05)))</f>
        <v/>
      </c>
      <c r="IM101" s="172">
        <f>MIN(1,MAX(VLOOKUP(($AJ101-$AI101-$AH101-$AG101-$AF101-$AE101*(1+IM$3))/$AJ101,'Технический лист'!$A:$B,2,1),(IL101-0.05)))</f>
        <v/>
      </c>
      <c r="IN101" s="172">
        <f>MIN(1,MAX(VLOOKUP(($AJ101-$AI101-$AH101-$AG101-$AF101-$AE101*(1+IN$3))/$AJ101,'Технический лист'!$A:$B,2,1),(IM101-0.05)))</f>
        <v/>
      </c>
      <c r="IO101" s="172">
        <f>MIN(1,MAX(VLOOKUP(($AJ101-$AI101-$AH101-$AG101-$AF101-$AE101*(1+IO$3))/$AJ101,'Технический лист'!$A:$B,2,1),(IN101-0.05)))</f>
        <v/>
      </c>
      <c r="IP101" s="172">
        <f>MIN(1,MAX(VLOOKUP(($AJ101-$AI101-$AH101-$AG101-$AF101-$AE101*(1+IP$3))/$AJ101,'Технический лист'!$A:$B,2,1),(IO101-0.05)))</f>
        <v/>
      </c>
      <c r="IQ101" s="172">
        <f>MIN(1,MAX(VLOOKUP(($AJ101-$AI101-$AH101-$AG101-$AF101-$AE101*(1+IQ$3))/$AJ101,'Технический лист'!$A:$B,2,1),(IP101-0.05)))</f>
        <v/>
      </c>
      <c r="IR101" s="172">
        <f>MIN(1,MAX(VLOOKUP(($AJ101-$AI101-$AH101-$AG101-$AF101-$AE101*(1+IR$3))/$AJ101,'Технический лист'!$A:$B,2,1),(IQ101-0.05)))</f>
        <v/>
      </c>
    </row>
    <row r="102" ht="58.3" customHeight="1" s="123">
      <c r="A102" s="89" t="inlineStr">
        <is>
          <t>ЧМ (продукция)</t>
        </is>
      </c>
      <c r="B102" s="90" t="n">
        <v>5</v>
      </c>
      <c r="C102" s="5" t="inlineStr">
        <is>
          <t>Черные металлы</t>
        </is>
      </c>
      <c r="D102" s="91" t="n">
        <v>32411</v>
      </c>
      <c r="E102" s="91" t="inlineStr">
        <is>
          <t xml:space="preserve">Прокат черных металлов, не поименованный в алфавите </t>
        </is>
      </c>
      <c r="F102" s="92" t="inlineStr">
        <is>
          <t>ПРОЧИЕ ВИДЫ ПРОКАТА ЧЕРНЫ</t>
        </is>
      </c>
      <c r="G102" s="91" t="inlineStr">
        <is>
          <t>ЮУР</t>
        </is>
      </c>
      <c r="H102" s="91" t="inlineStr">
        <is>
          <t>ЮУР</t>
        </is>
      </c>
      <c r="I102" s="91" t="inlineStr">
        <is>
          <t>МЕТАЛЛУРГИЧ.</t>
        </is>
      </c>
      <c r="J102" s="91" t="inlineStr">
        <is>
          <t>КАРТ1-ЭК-РОС</t>
        </is>
      </c>
      <c r="K102" s="91" t="n">
        <v>324</v>
      </c>
      <c r="L102" s="91" t="inlineStr">
        <is>
          <t>Полувагоны</t>
        </is>
      </c>
      <c r="M102" s="91" t="inlineStr">
        <is>
          <t>Экспорт</t>
        </is>
      </c>
      <c r="N102" s="91" t="inlineStr">
        <is>
          <t>вагонная</t>
        </is>
      </c>
      <c r="O102" s="91" t="inlineStr">
        <is>
          <t xml:space="preserve">Южное </t>
        </is>
      </c>
      <c r="P102" s="89" t="inlineStr">
        <is>
          <t>'000079597952</t>
        </is>
      </c>
      <c r="Q102" s="91" t="inlineStr">
        <is>
          <t>ПАО "Мечел"</t>
        </is>
      </c>
      <c r="R102" s="91" t="inlineStr">
        <is>
          <t>ПАО "Мечел"</t>
        </is>
      </c>
      <c r="S102" s="87" t="n">
        <v>304607</v>
      </c>
      <c r="T102" s="87" t="n">
        <v>98692850</v>
      </c>
      <c r="U102" s="88" t="n">
        <v>4446</v>
      </c>
      <c r="V102" s="88" t="n">
        <v>0</v>
      </c>
      <c r="W102" s="87" t="n">
        <v>359808597</v>
      </c>
      <c r="X102" s="112" t="n">
        <v>68</v>
      </c>
      <c r="Y102" s="112" t="inlineStr">
        <is>
          <t>повагонная</t>
        </is>
      </c>
      <c r="Z102" s="113" t="n">
        <v>3</v>
      </c>
      <c r="AA102" s="113" t="n">
        <v>2</v>
      </c>
      <c r="AB102" s="113" t="n">
        <v>4</v>
      </c>
      <c r="AC102" s="161" t="n">
        <v>1304.75</v>
      </c>
      <c r="AD102" s="161">
        <f>AE102-AC102</f>
        <v/>
      </c>
      <c r="AE102" s="161" t="n">
        <v>1425.88</v>
      </c>
      <c r="AF102" s="162">
        <f>(Z102+AA102+AB102)*'Ставки аренды'!$B$3/X102</f>
        <v/>
      </c>
      <c r="AG102" s="163" t="n">
        <v>0</v>
      </c>
      <c r="AH102" s="164" t="n">
        <v>0</v>
      </c>
      <c r="AI102" s="165">
        <f>131496272/143742760*AJ107</f>
        <v/>
      </c>
      <c r="AJ102" s="166">
        <f>Цены!C24*'Курсы валют'!B2</f>
        <v/>
      </c>
      <c r="AK102" s="164">
        <f>AJ102/Цены!$B$1</f>
        <v/>
      </c>
      <c r="AL102" s="164">
        <f>AE102+AF102+AG102</f>
        <v/>
      </c>
      <c r="AM102" s="164">
        <f>AJ102-AL102</f>
        <v/>
      </c>
      <c r="AN102" s="164">
        <f>AI102+AH102+AG102+AF102+AE102</f>
        <v/>
      </c>
      <c r="AO102" s="167">
        <f>(AJ102-AN102)/AJ102</f>
        <v/>
      </c>
      <c r="AP102" s="168">
        <f>AL102/AJ102</f>
        <v/>
      </c>
      <c r="AQ102" s="168">
        <f>AE102/AJ102</f>
        <v/>
      </c>
      <c r="AR102" s="168">
        <f>AE102/AL102</f>
        <v/>
      </c>
      <c r="AS102" s="169" t="n">
        <v>1</v>
      </c>
      <c r="AT102" s="121">
        <f>S102*AS102</f>
        <v/>
      </c>
      <c r="AU102" s="83" t="n">
        <v>0.7</v>
      </c>
      <c r="AV102" s="170">
        <f>(AJ102-(AE102*(1+$IS$2)+AF102+AG102+AH102+AI102))/AJ102</f>
        <v/>
      </c>
      <c r="AW102" s="171">
        <f>(AE102*(1+$IS$2)+AF102+AG102)/AJ102</f>
        <v/>
      </c>
      <c r="AX102" s="171">
        <f>(AE102*(1+$IS$2))/AJ102</f>
        <v/>
      </c>
      <c r="AY102" s="171">
        <f>(AE102*(1+$IS$2))/(AE102*(1+$IS$2)+AF102+AG102)</f>
        <v/>
      </c>
      <c r="AZ102" s="172">
        <f>MIN(IF($AU102=100%,1,1+VLOOKUP(($AJ102-$AI102-$AH102-$AG102-$AF102-$AE102*(1+AZ$3))/$AJ102,'Технический лист'!$I:$J,2,1)-VLOOKUP($AO102,'Технический лист'!$I:$J,2,1)),1+(1-$AU102))</f>
        <v/>
      </c>
      <c r="BA102" s="172">
        <f>MIN(IF($AU102=100%,1,1+VLOOKUP(($AJ102-$AI102-$AH102-$AG102-$AF102-$AE102*(1+BA$3))/$AJ102,'Технический лист'!$I:$J,2,1)-VLOOKUP($AO102,'Технический лист'!$I:$J,2,1)),1+(1-$AU102))</f>
        <v/>
      </c>
      <c r="BB102" s="172">
        <f>MIN(IF($AU102=100%,1,1+VLOOKUP(($AJ102-$AI102-$AH102-$AG102-$AF102-$AE102*(1+BB$3))/$AJ102,'Технический лист'!$I:$J,2,1)-VLOOKUP($AO102,'Технический лист'!$I:$J,2,1)),1+(1-$AU102))</f>
        <v/>
      </c>
      <c r="BC102" s="172">
        <f>MIN(IF($AU102=100%,1,1+VLOOKUP(($AJ102-$AI102-$AH102-$AG102-$AF102-$AE102*(1+BC$3))/$AJ102,'Технический лист'!$I:$J,2,1)-VLOOKUP($AO102,'Технический лист'!$I:$J,2,1)),1+(1-$AU102))</f>
        <v/>
      </c>
      <c r="BD102" s="172">
        <f>MIN(IF($AU102=100%,1,1+VLOOKUP(($AJ102-$AI102-$AH102-$AG102-$AF102-$AE102*(1+BD$3))/$AJ102,'Технический лист'!$I:$J,2,1)-VLOOKUP($AO102,'Технический лист'!$I:$J,2,1)),1+(1-$AU102))</f>
        <v/>
      </c>
      <c r="BE102" s="172">
        <f>MIN(IF($AU102=100%,1,1+VLOOKUP(($AJ102-$AI102-$AH102-$AG102-$AF102-$AE102*(1+BE$3))/$AJ102,'Технический лист'!$I:$J,2,1)-VLOOKUP($AO102,'Технический лист'!$I:$J,2,1)),1+(1-$AU102))</f>
        <v/>
      </c>
      <c r="BF102" s="172">
        <f>MIN(IF($AU102=100%,1,1+VLOOKUP(($AJ102-$AI102-$AH102-$AG102-$AF102-$AE102*(1+BF$3))/$AJ102,'Технический лист'!$I:$J,2,1)-VLOOKUP($AO102,'Технический лист'!$I:$J,2,1)),1+(1-$AU102))</f>
        <v/>
      </c>
      <c r="BG102" s="172">
        <f>MIN(IF($AU102=100%,1,1+VLOOKUP(($AJ102-$AI102-$AH102-$AG102-$AF102-$AE102*(1+BG$3))/$AJ102,'Технический лист'!$I:$J,2,1)-VLOOKUP($AO102,'Технический лист'!$I:$J,2,1)),1+(1-$AU102))</f>
        <v/>
      </c>
      <c r="BH102" s="172">
        <f>MIN(IF($AU102=100%,1,1+VLOOKUP(($AJ102-$AI102-$AH102-$AG102-$AF102-$AE102*(1+BH$3))/$AJ102,'Технический лист'!$I:$J,2,1)-VLOOKUP($AO102,'Технический лист'!$I:$J,2,1)),1+(1-$AU102))</f>
        <v/>
      </c>
      <c r="BI102" s="172">
        <f>MIN(IF($AU102=100%,1,1+VLOOKUP(($AJ102-$AI102-$AH102-$AG102-$AF102-$AE102*(1+BI$3))/$AJ102,'Технический лист'!$I:$J,2,1)-VLOOKUP($AO102,'Технический лист'!$I:$J,2,1)),1+(1-$AU102))</f>
        <v/>
      </c>
      <c r="BJ102" s="172">
        <f>MIN(IF($AU102=100%,1,1+VLOOKUP(($AJ102-$AI102-$AH102-$AG102-$AF102-$AE102*(1+BJ$3))/$AJ102,'Технический лист'!$I:$J,2,1)-VLOOKUP($AO102,'Технический лист'!$I:$J,2,1)),1+(1-$AU102))</f>
        <v/>
      </c>
      <c r="BK102" s="172">
        <f>MIN(IF($AU102=100%,1,1+VLOOKUP(($AJ102-$AI102-$AH102-$AG102-$AF102-$AE102*(1+BK$3))/$AJ102,'Технический лист'!$I:$J,2,1)-VLOOKUP($AO102,'Технический лист'!$I:$J,2,1)),1+(1-$AU102))</f>
        <v/>
      </c>
      <c r="BL102" s="172">
        <f>MIN(IF($AU102=100%,1,1+VLOOKUP(($AJ102-$AI102-$AH102-$AG102-$AF102-$AE102*(1+BL$3))/$AJ102,'Технический лист'!$I:$J,2,1)-VLOOKUP($AO102,'Технический лист'!$I:$J,2,1)),1+(1-$AU102))</f>
        <v/>
      </c>
      <c r="BM102" s="172">
        <f>MIN(IF($AU102=100%,1,1+VLOOKUP(($AJ102-$AI102-$AH102-$AG102-$AF102-$AE102*(1+BM$3))/$AJ102,'Технический лист'!$I:$J,2,1)-VLOOKUP($AO102,'Технический лист'!$I:$J,2,1)),1+(1-$AU102))</f>
        <v/>
      </c>
      <c r="BN102" s="172">
        <f>MIN(IF($AU102=100%,1,1+VLOOKUP(($AJ102-$AI102-$AH102-$AG102-$AF102-$AE102*(1+BN$3))/$AJ102,'Технический лист'!$I:$J,2,1)-VLOOKUP($AO102,'Технический лист'!$I:$J,2,1)),1+(1-$AU102))</f>
        <v/>
      </c>
      <c r="BO102" s="172">
        <f>MIN(IF($AU102=100%,1,1+VLOOKUP(($AJ102-$AI102-$AH102-$AG102-$AF102-$AE102*(1+BO$3))/$AJ102,'Технический лист'!$I:$J,2,1)-VLOOKUP($AO102,'Технический лист'!$I:$J,2,1)),1+(1-$AU102))</f>
        <v/>
      </c>
      <c r="BP102" s="172">
        <f>MIN(IF($AU102=100%,1,1+VLOOKUP(($AJ102-$AI102-$AH102-$AG102-$AF102-$AE102*(1+BP$3))/$AJ102,'Технический лист'!$I:$J,2,1)-VLOOKUP($AO102,'Технический лист'!$I:$J,2,1)),1+(1-$AU102))</f>
        <v/>
      </c>
      <c r="BQ102" s="172">
        <f>MIN(IF($AU102=100%,1,1+VLOOKUP(($AJ102-$AI102-$AH102-$AG102-$AF102-$AE102*(1+BQ$3))/$AJ102,'Технический лист'!$I:$J,2,1)-VLOOKUP($AO102,'Технический лист'!$I:$J,2,1)),1+(1-$AU102))</f>
        <v/>
      </c>
      <c r="BR102" s="172">
        <f>MIN(IF($AU102=100%,1,1+VLOOKUP(($AJ102-$AI102-$AH102-$AG102-$AF102-$AE102*(1+BR$3))/$AJ102,'Технический лист'!$I:$J,2,1)-VLOOKUP($AO102,'Технический лист'!$I:$J,2,1)),1+(1-$AU102))</f>
        <v/>
      </c>
      <c r="BS102" s="172">
        <f>MIN(IF($AU102=100%,1,1+VLOOKUP(($AJ102-$AI102-$AH102-$AG102-$AF102-$AE102*(1+BS$3))/$AJ102,'Технический лист'!$I:$J,2,1)-VLOOKUP($AO102,'Технический лист'!$I:$J,2,1)),1+(1-$AU102))</f>
        <v/>
      </c>
      <c r="BT102" s="172">
        <f>MIN(IF($AU102=100%,1,1+VLOOKUP(($AJ102-$AI102-$AH102-$AG102-$AF102-$AE102*(1+BT$3))/$AJ102,'Технический лист'!$I:$J,2,1)-VLOOKUP($AO102,'Технический лист'!$I:$J,2,1)),1+(1-$AU102))</f>
        <v/>
      </c>
      <c r="BU102" s="172">
        <f>MIN(IF($AU102=100%,1,1+VLOOKUP(($AJ102-$AI102-$AH102-$AG102-$AF102-$AE102*(1+BU$3))/$AJ102,'Технический лист'!$I:$J,2,1)-VLOOKUP($AO102,'Технический лист'!$I:$J,2,1)),1+(1-$AU102))</f>
        <v/>
      </c>
      <c r="BV102" s="172">
        <f>MIN(IF($AU102=100%,1,1+VLOOKUP(($AJ102-$AI102-$AH102-$AG102-$AF102-$AE102*(1+BV$3))/$AJ102,'Технический лист'!$I:$J,2,1)-VLOOKUP($AO102,'Технический лист'!$I:$J,2,1)),1+(1-$AU102))</f>
        <v/>
      </c>
      <c r="BW102" s="172">
        <f>MIN(IF($AU102=100%,1,1+VLOOKUP(($AJ102-$AI102-$AH102-$AG102-$AF102-$AE102*(1+BW$3))/$AJ102,'Технический лист'!$I:$J,2,1)-VLOOKUP($AO102,'Технический лист'!$I:$J,2,1)),1+(1-$AU102))</f>
        <v/>
      </c>
      <c r="BX102" s="172">
        <f>MIN(IF($AU102=100%,1,1+VLOOKUP(($AJ102-$AI102-$AH102-$AG102-$AF102-$AE102*(1+BX$3))/$AJ102,'Технический лист'!$I:$J,2,1)-VLOOKUP($AO102,'Технический лист'!$I:$J,2,1)),1+(1-$AU102))</f>
        <v/>
      </c>
      <c r="BY102" s="172">
        <f>MIN(IF($AU102=100%,1,1+VLOOKUP(($AJ102-$AI102-$AH102-$AG102-$AF102-$AE102*(1+BY$3))/$AJ102,'Технический лист'!$I:$J,2,1)-VLOOKUP($AO102,'Технический лист'!$I:$J,2,1)),1+(1-$AU102))</f>
        <v/>
      </c>
      <c r="BZ102" s="172">
        <f>MIN(IF($AU102=100%,1,1+VLOOKUP(($AJ102-$AI102-$AH102-$AG102-$AF102-$AE102*(1+BZ$3))/$AJ102,'Технический лист'!$I:$J,2,1)-VLOOKUP($AO102,'Технический лист'!$I:$J,2,1)),1+(1-$AU102))</f>
        <v/>
      </c>
      <c r="CA102" s="172">
        <f>MIN(IF($AU102=100%,1,1+VLOOKUP(($AJ102-$AI102-$AH102-$AG102-$AF102-$AE102*(1+CA$3))/$AJ102,'Технический лист'!$I:$J,2,1)-VLOOKUP($AO102,'Технический лист'!$I:$J,2,1)),1+(1-$AU102))</f>
        <v/>
      </c>
      <c r="CB102" s="172">
        <f>MIN(IF($AU102=100%,1,1+VLOOKUP(($AJ102-$AI102-$AH102-$AG102-$AF102-$AE102*(1+CB$3))/$AJ102,'Технический лист'!$I:$J,2,1)-VLOOKUP($AO102,'Технический лист'!$I:$J,2,1)),1+(1-$AU102))</f>
        <v/>
      </c>
      <c r="CC102" s="172">
        <f>MIN(IF($AU102=100%,1,1+VLOOKUP(($AJ102-$AI102-$AH102-$AG102-$AF102-$AE102*(1+CC$3))/$AJ102,'Технический лист'!$I:$J,2,1)-VLOOKUP($AO102,'Технический лист'!$I:$J,2,1)),1+(1-$AU102))</f>
        <v/>
      </c>
      <c r="CD102" s="172">
        <f>MIN(IF($AU102=100%,1,1+VLOOKUP(($AJ102-$AI102-$AH102-$AG102-$AF102-$AE102*(1+CD$3))/$AJ102,'Технический лист'!$I:$J,2,1)-VLOOKUP($AO102,'Технический лист'!$I:$J,2,1)),1+(1-$AU102))</f>
        <v/>
      </c>
      <c r="CE102" s="172">
        <f>MIN(IF($AU102=100%,1,1+VLOOKUP(($AJ102-$AI102-$AH102-$AG102-$AF102-$AE102*(1+CE$3))/$AJ102,'Технический лист'!$I:$J,2,1)-VLOOKUP($AO102,'Технический лист'!$I:$J,2,1)),1+(1-$AU102))</f>
        <v/>
      </c>
      <c r="CF102" s="172">
        <f>MIN(IF($AU102=100%,1,1+VLOOKUP(($AJ102-$AI102-$AH102-$AG102-$AF102-$AE102*(1+CF$3))/$AJ102,'Технический лист'!$I:$J,2,1)-VLOOKUP($AO102,'Технический лист'!$I:$J,2,1)),1+(1-$AU102))</f>
        <v/>
      </c>
      <c r="CG102" s="172">
        <f>MIN(IF($AU102=100%,1,1+VLOOKUP(($AJ102-$AI102-$AH102-$AG102-$AF102-$AE102*(1+CG$3))/$AJ102,'Технический лист'!$I:$J,2,1)-VLOOKUP($AO102,'Технический лист'!$I:$J,2,1)),1+(1-$AU102))</f>
        <v/>
      </c>
      <c r="CH102" s="172">
        <f>MIN(IF($AU102=100%,1,1+VLOOKUP(($AJ102-$AI102-$AH102-$AG102-$AF102-$AE102*(1+CH$3))/$AJ102,'Технический лист'!$I:$J,2,1)-VLOOKUP($AO102,'Технический лист'!$I:$J,2,1)),1+(1-$AU102))</f>
        <v/>
      </c>
      <c r="CI102" s="172">
        <f>MIN(IF($AU102=100%,1,1+VLOOKUP(($AJ102-$AI102-$AH102-$AG102-$AF102-$AE102*(1+CI$3))/$AJ102,'Технический лист'!$I:$J,2,1)-VLOOKUP($AO102,'Технический лист'!$I:$J,2,1)),1+(1-$AU102))</f>
        <v/>
      </c>
      <c r="CJ102" s="172">
        <f>MIN(IF($AU102=100%,1,1+VLOOKUP(($AJ102-$AI102-$AH102-$AG102-$AF102-$AE102*(1+CJ$3))/$AJ102,'Технический лист'!$I:$J,2,1)-VLOOKUP($AO102,'Технический лист'!$I:$J,2,1)),1+(1-$AU102))</f>
        <v/>
      </c>
      <c r="CK102" s="172">
        <f>MIN(IF($AU102=100%,1,1+VLOOKUP(($AJ102-$AI102-$AH102-$AG102-$AF102-$AE102*(1+CK$3))/$AJ102,'Технический лист'!$I:$J,2,1)-VLOOKUP($AO102,'Технический лист'!$I:$J,2,1)),1+(1-$AU102))</f>
        <v/>
      </c>
      <c r="CL102" s="172">
        <f>MIN(IF($AU102=100%,1,1+VLOOKUP(($AJ102-$AI102-$AH102-$AG102-$AF102-$AE102*(1+CL$3))/$AJ102,'Технический лист'!$I:$J,2,1)-VLOOKUP($AO102,'Технический лист'!$I:$J,2,1)),1+(1-$AU102))</f>
        <v/>
      </c>
      <c r="CM102" s="172">
        <f>MIN(IF($AU102=100%,1,1+VLOOKUP(($AJ102-$AI102-$AH102-$AG102-$AF102-$AE102*(1+CM$3))/$AJ102,'Технический лист'!$I:$J,2,1)-VLOOKUP($AO102,'Технический лист'!$I:$J,2,1)),1+(1-$AU102))</f>
        <v/>
      </c>
      <c r="CN102" s="172">
        <f>MIN(IF($AU102=100%,1,1+VLOOKUP(($AJ102-$AI102-$AH102-$AG102-$AF102-$AE102*(1+CN$3))/$AJ102,'Технический лист'!$I:$J,2,1)-VLOOKUP($AO102,'Технический лист'!$I:$J,2,1)),1+(1-$AU102))</f>
        <v/>
      </c>
      <c r="CO102" s="172">
        <f>MIN(IF($AU102=100%,1,1+VLOOKUP(($AJ102-$AI102-$AH102-$AG102-$AF102-$AE102*(1+CO$3))/$AJ102,'Технический лист'!$I:$J,2,1)-VLOOKUP($AO102,'Технический лист'!$I:$J,2,1)),1+(1-$AU102))</f>
        <v/>
      </c>
      <c r="CP102" s="172">
        <f>MIN(IF($AU102=100%,1,1+VLOOKUP(($AJ102-$AI102-$AH102-$AG102-$AF102-$AE102*(1+CP$3))/$AJ102,'Технический лист'!$I:$J,2,1)-VLOOKUP($AO102,'Технический лист'!$I:$J,2,1)),1+(1-$AU102))</f>
        <v/>
      </c>
      <c r="CQ102" s="172">
        <f>MIN(IF($AU102=100%,1,1+VLOOKUP(($AJ102-$AI102-$AH102-$AG102-$AF102-$AE102*(1+CQ$3))/$AJ102,'Технический лист'!$I:$J,2,1)-VLOOKUP($AO102,'Технический лист'!$I:$J,2,1)),1+(1-$AU102))</f>
        <v/>
      </c>
      <c r="CR102" s="172">
        <f>MIN(IF($AU102=100%,1,1+VLOOKUP(($AJ102-$AI102-$AH102-$AG102-$AF102-$AE102*(1+CR$3))/$AJ102,'Технический лист'!$I:$J,2,1)-VLOOKUP($AO102,'Технический лист'!$I:$J,2,1)),1+(1-$AU102))</f>
        <v/>
      </c>
      <c r="CS102" s="172">
        <f>MIN(IF($AU102=100%,1,1+VLOOKUP(($AJ102-$AI102-$AH102-$AG102-$AF102-$AE102*(1+CS$3))/$AJ102,'Технический лист'!$I:$J,2,1)-VLOOKUP($AO102,'Технический лист'!$I:$J,2,1)),1+(1-$AU102))</f>
        <v/>
      </c>
      <c r="CT102" s="172">
        <f>MIN(IF($AU102=100%,1,1+VLOOKUP(($AJ102-$AI102-$AH102-$AG102-$AF102-$AE102*(1+CT$3))/$AJ102,'Технический лист'!$I:$J,2,1)-VLOOKUP($AO102,'Технический лист'!$I:$J,2,1)),1+(1-$AU102))</f>
        <v/>
      </c>
      <c r="CU102" s="172">
        <f>MIN(IF($AU102=100%,1,1+VLOOKUP(($AJ102-$AI102-$AH102-$AG102-$AF102-$AE102*(1+CU$3))/$AJ102,'Технический лист'!$I:$J,2,1)-VLOOKUP($AO102,'Технический лист'!$I:$J,2,1)),1+(1-$AU102))</f>
        <v/>
      </c>
      <c r="CV102" s="172">
        <f>MIN(IF($AU102=100%,1,1+VLOOKUP(($AJ102-$AI102-$AH102-$AG102-$AF102-$AE102*(1+CV$3))/$AJ102,'Технический лист'!$I:$J,2,1)-VLOOKUP($AO102,'Технический лист'!$I:$J,2,1)),1+(1-$AU102))</f>
        <v/>
      </c>
      <c r="CW102" s="172">
        <f>MIN(IF($AU102=100%,1,1+VLOOKUP(($AJ102-$AI102-$AH102-$AG102-$AF102-$AE102*(1+CW$3))/$AJ102,'Технический лист'!$I:$J,2,1)-VLOOKUP($AO102,'Технический лист'!$I:$J,2,1)),1+(1-$AU102))</f>
        <v/>
      </c>
      <c r="CX102" s="172">
        <f>MIN(IF($AU102=100%,1,1+VLOOKUP(($AJ102-$AI102-$AH102-$AG102-$AF102-$AE102*(1+CX$3))/$AJ102,'Технический лист'!$I:$J,2,1)-VLOOKUP($AO102,'Технический лист'!$I:$J,2,1)),1+(1-$AU102))</f>
        <v/>
      </c>
      <c r="CY102" s="172">
        <f>MIN(IF($AU102=100%,1,1+VLOOKUP(($AJ102-$AI102-$AH102-$AG102-$AF102-$AE102*(1+CY$3))/$AJ102,'Технический лист'!$I:$J,2,1)-VLOOKUP($AO102,'Технический лист'!$I:$J,2,1)),1+(1-$AU102))</f>
        <v/>
      </c>
      <c r="CZ102" s="172">
        <f>MIN(IF($AU102=100%,1,1+VLOOKUP(($AJ102-$AI102-$AH102-$AG102-$AF102-$AE102*(1+CZ$3))/$AJ102,'Технический лист'!$I:$J,2,1)-VLOOKUP($AO102,'Технический лист'!$I:$J,2,1)),1+(1-$AU102))</f>
        <v/>
      </c>
      <c r="DA102" s="172">
        <f>MIN(IF($AU102=100%,1,1+VLOOKUP(($AJ102-$AI102-$AH102-$AG102-$AF102-$AE102*(1+DA$3))/$AJ102,'Технический лист'!$I:$J,2,1)-VLOOKUP($AO102,'Технический лист'!$I:$J,2,1)),1+(1-$AU102))</f>
        <v/>
      </c>
      <c r="DB102" s="172">
        <f>MIN(IF($AU102=100%,1,1+VLOOKUP(($AJ102-$AI102-$AH102-$AG102-$AF102-$AE102*(1+DB$3))/$AJ102,'Технический лист'!$I:$J,2,1)-VLOOKUP($AO102,'Технический лист'!$I:$J,2,1)),1+(1-$AU102))</f>
        <v/>
      </c>
      <c r="DC102" s="172">
        <f>MIN(IF($AU102=100%,1,1+VLOOKUP(($AJ102-$AI102-$AH102-$AG102-$AF102-$AE102*(1+DC$3))/$AJ102,'Технический лист'!$I:$J,2,1)-VLOOKUP($AO102,'Технический лист'!$I:$J,2,1)),1+(1-$AU102))</f>
        <v/>
      </c>
      <c r="DD102" s="172">
        <f>MIN(IF($AU102=100%,1,1+VLOOKUP(($AJ102-$AI102-$AH102-$AG102-$AF102-$AE102*(1+DD$3))/$AJ102,'Технический лист'!$I:$J,2,1)-VLOOKUP($AO102,'Технический лист'!$I:$J,2,1)),1+(1-$AU102))</f>
        <v/>
      </c>
      <c r="DE102" s="172">
        <f>MIN(IF($AU102=100%,1,1+VLOOKUP(($AJ102-$AI102-$AH102-$AG102-$AF102-$AE102*(1+DE$3))/$AJ102,'Технический лист'!$I:$J,2,1)-VLOOKUP($AO102,'Технический лист'!$I:$J,2,1)),1+(1-$AU102))</f>
        <v/>
      </c>
      <c r="DF102" s="172">
        <f>MIN(IF($AU102=100%,1,1+VLOOKUP(($AJ102-$AI102-$AH102-$AG102-$AF102-$AE102*(1+DF$3))/$AJ102,'Технический лист'!$I:$J,2,1)-VLOOKUP($AO102,'Технический лист'!$I:$J,2,1)),1+(1-$AU102))</f>
        <v/>
      </c>
      <c r="DG102" s="172">
        <f>MIN(IF($AU102=100%,1,1+VLOOKUP(($AJ102-$AI102-$AH102-$AG102-$AF102-$AE102*(1+DG$3))/$AJ102,'Технический лист'!$I:$J,2,1)-VLOOKUP($AO102,'Технический лист'!$I:$J,2,1)),1+(1-$AU102))</f>
        <v/>
      </c>
      <c r="DH102" s="172">
        <f>MIN(IF($AU102=100%,1,1+VLOOKUP(($AJ102-$AI102-$AH102-$AG102-$AF102-$AE102*(1+DH$3))/$AJ102,'Технический лист'!$I:$J,2,1)-VLOOKUP($AO102,'Технический лист'!$I:$J,2,1)),1+(1-$AU102))</f>
        <v/>
      </c>
      <c r="DI102" s="172">
        <f>MIN(IF($AU102=100%,1,1+VLOOKUP(($AJ102-$AI102-$AH102-$AG102-$AF102-$AE102*(1+DI$3))/$AJ102,'Технический лист'!$I:$J,2,1)-VLOOKUP($AO102,'Технический лист'!$I:$J,2,1)),1+(1-$AU102))</f>
        <v/>
      </c>
      <c r="DJ102" s="172">
        <f>MIN(IF($AU102=100%,1,1+VLOOKUP(($AJ102-$AI102-$AH102-$AG102-$AF102-$AE102*(1+DJ$3))/$AJ102,'Технический лист'!$I:$J,2,1)-VLOOKUP($AO102,'Технический лист'!$I:$J,2,1)),1+(1-$AU102))</f>
        <v/>
      </c>
      <c r="DK102" s="172">
        <f>MIN(IF($AU102=100%,1,1+VLOOKUP(($AJ102-$AI102-$AH102-$AG102-$AF102-$AE102*(1+DK$3))/$AJ102,'Технический лист'!$I:$J,2,1)-VLOOKUP($AO102,'Технический лист'!$I:$J,2,1)),1+(1-$AU102))</f>
        <v/>
      </c>
      <c r="DL102" s="172">
        <f>MIN(IF($AU102=100%,1,1+VLOOKUP(($AJ102-$AI102-$AH102-$AG102-$AF102-$AE102*(1+DL$3))/$AJ102,'Технический лист'!$I:$J,2,1)-VLOOKUP($AO102,'Технический лист'!$I:$J,2,1)),1+(1-$AU102))</f>
        <v/>
      </c>
      <c r="DM102" s="172">
        <f>MIN(IF($AU102=100%,1,1+VLOOKUP(($AJ102-$AI102-$AH102-$AG102-$AF102-$AE102*(1+DM$3))/$AJ102,'Технический лист'!$I:$J,2,1)-VLOOKUP($AO102,'Технический лист'!$I:$J,2,1)),1+(1-$AU102))</f>
        <v/>
      </c>
      <c r="DN102" s="172">
        <f>MIN(IF($AU102=100%,1,1+VLOOKUP(($AJ102-$AI102-$AH102-$AG102-$AF102-$AE102*(1+DN$3))/$AJ102,'Технический лист'!$I:$J,2,1)-VLOOKUP($AO102,'Технический лист'!$I:$J,2,1)),1+(1-$AU102))</f>
        <v/>
      </c>
      <c r="DO102" s="172">
        <f>MIN(IF($AU102=100%,1,1+VLOOKUP(($AJ102-$AI102-$AH102-$AG102-$AF102-$AE102*(1+DO$3))/$AJ102,'Технический лист'!$I:$J,2,1)-VLOOKUP($AO102,'Технический лист'!$I:$J,2,1)),1+(1-$AU102))</f>
        <v/>
      </c>
      <c r="DP102" s="172">
        <f>MIN(IF($AU102=100%,1,1+VLOOKUP(($AJ102-$AI102-$AH102-$AG102-$AF102-$AE102*(1+DP$3))/$AJ102,'Технический лист'!$I:$J,2,1)-VLOOKUP($AO102,'Технический лист'!$I:$J,2,1)),1+(1-$AU102))</f>
        <v/>
      </c>
      <c r="DQ102" s="172">
        <f>MIN(IF($AU102=100%,1,1+VLOOKUP(($AJ102-$AI102-$AH102-$AG102-$AF102-$AE102*(1+DQ$3))/$AJ102,'Технический лист'!$I:$J,2,1)-VLOOKUP($AO102,'Технический лист'!$I:$J,2,1)),1+(1-$AU102))</f>
        <v/>
      </c>
      <c r="DR102" s="172">
        <f>MIN(IF($AU102=100%,1,1+VLOOKUP(($AJ102-$AI102-$AH102-$AG102-$AF102-$AE102*(1+DR$3))/$AJ102,'Технический лист'!$I:$J,2,1)-VLOOKUP($AO102,'Технический лист'!$I:$J,2,1)),1+(1-$AU102))</f>
        <v/>
      </c>
      <c r="DS102" s="172">
        <f>MIN(IF($AU102=100%,1,1+VLOOKUP(($AJ102-$AI102-$AH102-$AG102-$AF102-$AE102*(1+DS$3))/$AJ102,'Технический лист'!$I:$J,2,1)-VLOOKUP($AO102,'Технический лист'!$I:$J,2,1)),1+(1-$AU102))</f>
        <v/>
      </c>
      <c r="DT102" s="172">
        <f>MIN(IF($AU102=100%,1,1+VLOOKUP(($AJ102-$AI102-$AH102-$AG102-$AF102-$AE102*(1+DT$3))/$AJ102,'Технический лист'!$I:$J,2,1)-VLOOKUP($AO102,'Технический лист'!$I:$J,2,1)),1+(1-$AU102))</f>
        <v/>
      </c>
      <c r="DU102" s="172">
        <f>MIN(IF($AU102=100%,1,1+VLOOKUP(($AJ102-$AI102-$AH102-$AG102-$AF102-$AE102*(1+DU$3))/$AJ102,'Технический лист'!$I:$J,2,1)-VLOOKUP($AO102,'Технический лист'!$I:$J,2,1)),1+(1-$AU102))</f>
        <v/>
      </c>
      <c r="DV102" s="172">
        <f>MIN(IF($AU102=100%,1,1+VLOOKUP(($AJ102-$AI102-$AH102-$AG102-$AF102-$AE102*(1+DV$3))/$AJ102,'Технический лист'!$I:$J,2,1)-VLOOKUP($AO102,'Технический лист'!$I:$J,2,1)),1+(1-$AU102))</f>
        <v/>
      </c>
      <c r="DW102" s="172">
        <f>MIN(IF($AU102=100%,1,1+VLOOKUP(($AJ102-$AI102-$AH102-$AG102-$AF102-$AE102*(1+DW$3))/$AJ102,'Технический лист'!$I:$J,2,1)-VLOOKUP($AO102,'Технический лист'!$I:$J,2,1)),1+(1-$AU102))</f>
        <v/>
      </c>
      <c r="DX102" s="172">
        <f>MIN(IF($AU102=100%,1,1+VLOOKUP(($AJ102-$AI102-$AH102-$AG102-$AF102-$AE102*(1+DX$3))/$AJ102,'Технический лист'!$I:$J,2,1)-VLOOKUP($AO102,'Технический лист'!$I:$J,2,1)),1+(1-$AU102))</f>
        <v/>
      </c>
      <c r="DY102" s="172">
        <f>MIN(IF($AU102=100%,1,1+VLOOKUP(($AJ102-$AI102-$AH102-$AG102-$AF102-$AE102*(1+DY$3))/$AJ102,'Технический лист'!$I:$J,2,1)-VLOOKUP($AO102,'Технический лист'!$I:$J,2,1)),1+(1-$AU102))</f>
        <v/>
      </c>
      <c r="DZ102" s="172">
        <f>MIN(IF($AU102=100%,1,1+VLOOKUP(($AJ102-$AI102-$AH102-$AG102-$AF102-$AE102*(1+DZ$3))/$AJ102,'Технический лист'!$I:$J,2,1)-VLOOKUP($AO102,'Технический лист'!$I:$J,2,1)),1+(1-$AU102))</f>
        <v/>
      </c>
      <c r="EA102" s="172">
        <f>MIN(IF($AU102=100%,1,1+VLOOKUP(($AJ102-$AI102-$AH102-$AG102-$AF102-$AE102*(1+EA$3))/$AJ102,'Технический лист'!$I:$J,2,1)-VLOOKUP($AO102,'Технический лист'!$I:$J,2,1)),1+(1-$AU102))</f>
        <v/>
      </c>
      <c r="EB102" s="172">
        <f>MIN(IF($AU102=100%,1,1+VLOOKUP(($AJ102-$AI102-$AH102-$AG102-$AF102-$AE102*(1+EB$3))/$AJ102,'Технический лист'!$I:$J,2,1)-VLOOKUP($AO102,'Технический лист'!$I:$J,2,1)),1+(1-$AU102))</f>
        <v/>
      </c>
      <c r="EC102" s="172">
        <f>MIN(IF($AU102=100%,1,1+VLOOKUP(($AJ102-$AI102-$AH102-$AG102-$AF102-$AE102*(1+EC$3))/$AJ102,'Технический лист'!$I:$J,2,1)-VLOOKUP($AO102,'Технический лист'!$I:$J,2,1)),1+(1-$AU102))</f>
        <v/>
      </c>
      <c r="ED102" s="172">
        <f>MIN(IF($AU102=100%,1,1+VLOOKUP(($AJ102-$AI102-$AH102-$AG102-$AF102-$AE102*(1+ED$3))/$AJ102,'Технический лист'!$I:$J,2,1)-VLOOKUP($AO102,'Технический лист'!$I:$J,2,1)),1+(1-$AU102))</f>
        <v/>
      </c>
      <c r="EE102" s="172">
        <f>MIN(IF($AU102=100%,1,1+VLOOKUP(($AJ102-$AI102-$AH102-$AG102-$AF102-$AE102*(1+EE$3))/$AJ102,'Технический лист'!$I:$J,2,1)-VLOOKUP($AO102,'Технический лист'!$I:$J,2,1)),1+(1-$AU102))</f>
        <v/>
      </c>
      <c r="EF102" s="172">
        <f>MIN(IF($AU102=100%,1,1+VLOOKUP(($AJ102-$AI102-$AH102-$AG102-$AF102-$AE102*(1+EF$3))/$AJ102,'Технический лист'!$I:$J,2,1)-VLOOKUP($AO102,'Технический лист'!$I:$J,2,1)),1+(1-$AU102))</f>
        <v/>
      </c>
      <c r="EG102" s="172">
        <f>MIN(IF($AU102=100%,1,1+VLOOKUP(($AJ102-$AI102-$AH102-$AG102-$AF102-$AE102*(1+EG$3))/$AJ102,'Технический лист'!$I:$J,2,1)-VLOOKUP($AO102,'Технический лист'!$I:$J,2,1)),1+(1-$AU102))</f>
        <v/>
      </c>
      <c r="EH102" s="172">
        <f>MIN(IF($AU102=100%,1,1+VLOOKUP(($AJ102-$AI102-$AH102-$AG102-$AF102-$AE102*(1+EH$3))/$AJ102,'Технический лист'!$I:$J,2,1)-VLOOKUP($AO102,'Технический лист'!$I:$J,2,1)),1+(1-$AU102))</f>
        <v/>
      </c>
      <c r="EI102" s="172">
        <f>MIN(IF($AU102=100%,1,1+VLOOKUP(($AJ102-$AI102-$AH102-$AG102-$AF102-$AE102*(1+EI$3))/$AJ102,'Технический лист'!$I:$J,2,1)-VLOOKUP($AO102,'Технический лист'!$I:$J,2,1)),1+(1-$AU102))</f>
        <v/>
      </c>
      <c r="EJ102" s="172">
        <f>MIN(IF($AU102=100%,1,1+VLOOKUP(($AJ102-$AI102-$AH102-$AG102-$AF102-$AE102*(1+EJ$3))/$AJ102,'Технический лист'!$I:$J,2,1)-VLOOKUP($AO102,'Технический лист'!$I:$J,2,1)),1+(1-$AU102))</f>
        <v/>
      </c>
      <c r="EK102" s="172">
        <f>MIN(IF($AU102=100%,1,1+VLOOKUP(($AJ102-$AI102-$AH102-$AG102-$AF102-$AE102*(1+EK$3))/$AJ102,'Технический лист'!$I:$J,2,1)-VLOOKUP($AO102,'Технический лист'!$I:$J,2,1)),1+(1-$AU102))</f>
        <v/>
      </c>
      <c r="EL102" s="172">
        <f>MIN(IF($AU102=100%,1,1+VLOOKUP(($AJ102-$AI102-$AH102-$AG102-$AF102-$AE102*(1+EL$3))/$AJ102,'Технический лист'!$I:$J,2,1)-VLOOKUP($AO102,'Технический лист'!$I:$J,2,1)),1+(1-$AU102))</f>
        <v/>
      </c>
      <c r="EM102" s="172">
        <f>MIN(IF($AU102=100%,1,1+VLOOKUP(($AJ102-$AI102-$AH102-$AG102-$AF102-$AE102*(1+EM$3))/$AJ102,'Технический лист'!$I:$J,2,1)-VLOOKUP($AO102,'Технический лист'!$I:$J,2,1)),1+(1-$AU102))</f>
        <v/>
      </c>
      <c r="EN102" s="172">
        <f>MIN(IF($AU102=100%,1,1+VLOOKUP(($AJ102-$AI102-$AH102-$AG102-$AF102-$AE102*(1+EN$3))/$AJ102,'Технический лист'!$I:$J,2,1)-VLOOKUP($AO102,'Технический лист'!$I:$J,2,1)),1+(1-$AU102))</f>
        <v/>
      </c>
      <c r="EO102" s="172">
        <f>MIN(IF($AU102=100%,1,1+VLOOKUP(($AJ102-$AI102-$AH102-$AG102-$AF102-$AE102*(1+EO$3))/$AJ102,'Технический лист'!$I:$J,2,1)-VLOOKUP($AO102,'Технический лист'!$I:$J,2,1)),1+(1-$AU102))</f>
        <v/>
      </c>
      <c r="EP102" s="172">
        <f>MIN(IF($AU102=100%,1,1+VLOOKUP(($AJ102-$AI102-$AH102-$AG102-$AF102-$AE102*(1+EP$3))/$AJ102,'Технический лист'!$I:$J,2,1)-VLOOKUP($AO102,'Технический лист'!$I:$J,2,1)),1+(1-$AU102))</f>
        <v/>
      </c>
      <c r="EQ102" s="172">
        <f>MIN(IF($AU102=100%,1,1+VLOOKUP(($AJ102-$AI102-$AH102-$AG102-$AF102-$AE102*(1+EQ$3))/$AJ102,'Технический лист'!$I:$J,2,1)-VLOOKUP($AO102,'Технический лист'!$I:$J,2,1)),1+(1-$AU102))</f>
        <v/>
      </c>
      <c r="ER102" s="172">
        <f>MIN(IF($AU102=100%,1,1+VLOOKUP(($AJ102-$AI102-$AH102-$AG102-$AF102-$AE102*(1+ER$3))/$AJ102,'Технический лист'!$I:$J,2,1)-VLOOKUP($AO102,'Технический лист'!$I:$J,2,1)),1+(1-$AU102))</f>
        <v/>
      </c>
      <c r="ES102" s="172">
        <f>MIN(IF($AU102=100%,1,1+VLOOKUP(($AJ102-$AI102-$AH102-$AG102-$AF102-$AE102*(1+ES$3))/$AJ102,'Технический лист'!$I:$J,2,1)-VLOOKUP($AO102,'Технический лист'!$I:$J,2,1)),1+(1-$AU102))</f>
        <v/>
      </c>
      <c r="ET102" s="172">
        <f>MIN(IF($AU102=100%,1,1+VLOOKUP(($AJ102-$AI102-$AH102-$AG102-$AF102-$AE102*(1+ET$3))/$AJ102,'Технический лист'!$I:$J,2,1)-VLOOKUP($AO102,'Технический лист'!$I:$J,2,1)),1+(1-$AU102))</f>
        <v/>
      </c>
      <c r="EU102" s="172">
        <f>MIN(IF($AU102=100%,1,1+VLOOKUP(($AJ102-$AI102-$AH102-$AG102-$AF102-$AE102*(1+EU$3))/$AJ102,'Технический лист'!$I:$J,2,1)-VLOOKUP($AO102,'Технический лист'!$I:$J,2,1)),1+(1-$AU102))</f>
        <v/>
      </c>
      <c r="EV102" s="173" t="n">
        <v>1</v>
      </c>
      <c r="EW102" s="172">
        <f>MIN(1,MAX(VLOOKUP(($AJ102-$AI102-$AH102-$AG102-$AF102-$AE102*(1+EW$3))/$AJ102,'Технический лист'!$A:$B,2,1),(EV102-0.05)))</f>
        <v/>
      </c>
      <c r="EX102" s="172">
        <f>MIN(1,MAX(VLOOKUP(($AJ102-$AI102-$AH102-$AG102-$AF102-$AE102*(1+EX$3))/$AJ102,'Технический лист'!$A:$B,2,1),(EW102-0.05)))</f>
        <v/>
      </c>
      <c r="EY102" s="172">
        <f>MIN(1,MAX(VLOOKUP(($AJ102-$AI102-$AH102-$AG102-$AF102-$AE102*(1+EY$3))/$AJ102,'Технический лист'!$A:$B,2,1),(EX102-0.05)))</f>
        <v/>
      </c>
      <c r="EZ102" s="172">
        <f>MIN(1,MAX(VLOOKUP(($AJ102-$AI102-$AH102-$AG102-$AF102-$AE102*(1+EZ$3))/$AJ102,'Технический лист'!$A:$B,2,1),(EY102-0.05)))</f>
        <v/>
      </c>
      <c r="FA102" s="172">
        <f>MIN(1,MAX(VLOOKUP(($AJ102-$AI102-$AH102-$AG102-$AF102-$AE102*(1+FA$3))/$AJ102,'Технический лист'!$A:$B,2,1),(EZ102-0.05)))</f>
        <v/>
      </c>
      <c r="FB102" s="172">
        <f>MIN(1,MAX(VLOOKUP(($AJ102-$AI102-$AH102-$AG102-$AF102-$AE102*(1+FB$3))/$AJ102,'Технический лист'!$A:$B,2,1),(FA102-0.05)))</f>
        <v/>
      </c>
      <c r="FC102" s="172">
        <f>MIN(1,MAX(VLOOKUP(($AJ102-$AI102-$AH102-$AG102-$AF102-$AE102*(1+FC$3))/$AJ102,'Технический лист'!$A:$B,2,1),(FB102-0.05)))</f>
        <v/>
      </c>
      <c r="FD102" s="172">
        <f>MIN(1,MAX(VLOOKUP(($AJ102-$AI102-$AH102-$AG102-$AF102-$AE102*(1+FD$3))/$AJ102,'Технический лист'!$A:$B,2,1),(FC102-0.05)))</f>
        <v/>
      </c>
      <c r="FE102" s="172">
        <f>MIN(1,MAX(VLOOKUP(($AJ102-$AI102-$AH102-$AG102-$AF102-$AE102*(1+FE$3))/$AJ102,'Технический лист'!$A:$B,2,1),(FD102-0.05)))</f>
        <v/>
      </c>
      <c r="FF102" s="172">
        <f>MIN(1,MAX(VLOOKUP(($AJ102-$AI102-$AH102-$AG102-$AF102-$AE102*(1+FF$3))/$AJ102,'Технический лист'!$A:$B,2,1),(FE102-0.05)))</f>
        <v/>
      </c>
      <c r="FG102" s="172">
        <f>MIN(1,MAX(VLOOKUP(($AJ102-$AI102-$AH102-$AG102-$AF102-$AE102*(1+FG$3))/$AJ102,'Технический лист'!$A:$B,2,1),(FF102-0.05)))</f>
        <v/>
      </c>
      <c r="FH102" s="172">
        <f>MIN(1,MAX(VLOOKUP(($AJ102-$AI102-$AH102-$AG102-$AF102-$AE102*(1+FH$3))/$AJ102,'Технический лист'!$A:$B,2,1),(FG102-0.05)))</f>
        <v/>
      </c>
      <c r="FI102" s="172">
        <f>MIN(1,MAX(VLOOKUP(($AJ102-$AI102-$AH102-$AG102-$AF102-$AE102*(1+FI$3))/$AJ102,'Технический лист'!$A:$B,2,1),(FH102-0.05)))</f>
        <v/>
      </c>
      <c r="FJ102" s="172">
        <f>MIN(1,MAX(VLOOKUP(($AJ102-$AI102-$AH102-$AG102-$AF102-$AE102*(1+FJ$3))/$AJ102,'Технический лист'!$A:$B,2,1),(FI102-0.05)))</f>
        <v/>
      </c>
      <c r="FK102" s="172">
        <f>MIN(1,MAX(VLOOKUP(($AJ102-$AI102-$AH102-$AG102-$AF102-$AE102*(1+FK$3))/$AJ102,'Технический лист'!$A:$B,2,1),(FJ102-0.05)))</f>
        <v/>
      </c>
      <c r="FL102" s="172">
        <f>MIN(1,MAX(VLOOKUP(($AJ102-$AI102-$AH102-$AG102-$AF102-$AE102*(1+FL$3))/$AJ102,'Технический лист'!$A:$B,2,1),(FK102-0.05)))</f>
        <v/>
      </c>
      <c r="FM102" s="172">
        <f>MIN(1,MAX(VLOOKUP(($AJ102-$AI102-$AH102-$AG102-$AF102-$AE102*(1+FM$3))/$AJ102,'Технический лист'!$A:$B,2,1),(FL102-0.05)))</f>
        <v/>
      </c>
      <c r="FN102" s="172">
        <f>MIN(1,MAX(VLOOKUP(($AJ102-$AI102-$AH102-$AG102-$AF102-$AE102*(1+FN$3))/$AJ102,'Технический лист'!$A:$B,2,1),(FM102-0.05)))</f>
        <v/>
      </c>
      <c r="FO102" s="172">
        <f>MIN(1,MAX(VLOOKUP(($AJ102-$AI102-$AH102-$AG102-$AF102-$AE102*(1+FO$3))/$AJ102,'Технический лист'!$A:$B,2,1),(FN102-0.05)))</f>
        <v/>
      </c>
      <c r="FP102" s="172">
        <f>MIN(1,MAX(VLOOKUP(($AJ102-$AI102-$AH102-$AG102-$AF102-$AE102*(1+FP$3))/$AJ102,'Технический лист'!$A:$B,2,1),(FO102-0.05)))</f>
        <v/>
      </c>
      <c r="FQ102" s="172">
        <f>MIN(1,MAX(VLOOKUP(($AJ102-$AI102-$AH102-$AG102-$AF102-$AE102*(1+FQ$3))/$AJ102,'Технический лист'!$A:$B,2,1),(FP102-0.05)))</f>
        <v/>
      </c>
      <c r="FR102" s="172">
        <f>MIN(1,MAX(VLOOKUP(($AJ102-$AI102-$AH102-$AG102-$AF102-$AE102*(1+FR$3))/$AJ102,'Технический лист'!$A:$B,2,1),(FQ102-0.05)))</f>
        <v/>
      </c>
      <c r="FS102" s="172">
        <f>MIN(1,MAX(VLOOKUP(($AJ102-$AI102-$AH102-$AG102-$AF102-$AE102*(1+FS$3))/$AJ102,'Технический лист'!$A:$B,2,1),(FR102-0.05)))</f>
        <v/>
      </c>
      <c r="FT102" s="172">
        <f>MIN(1,MAX(VLOOKUP(($AJ102-$AI102-$AH102-$AG102-$AF102-$AE102*(1+FT$3))/$AJ102,'Технический лист'!$A:$B,2,1),(FS102-0.05)))</f>
        <v/>
      </c>
      <c r="FU102" s="172">
        <f>MIN(1,MAX(VLOOKUP(($AJ102-$AI102-$AH102-$AG102-$AF102-$AE102*(1+FU$3))/$AJ102,'Технический лист'!$A:$B,2,1),(FT102-0.05)))</f>
        <v/>
      </c>
      <c r="FV102" s="172">
        <f>MIN(1,MAX(VLOOKUP(($AJ102-$AI102-$AH102-$AG102-$AF102-$AE102*(1+FV$3))/$AJ102,'Технический лист'!$A:$B,2,1),(FU102-0.05)))</f>
        <v/>
      </c>
      <c r="FW102" s="172">
        <f>MIN(1,MAX(VLOOKUP(($AJ102-$AI102-$AH102-$AG102-$AF102-$AE102*(1+FW$3))/$AJ102,'Технический лист'!$A:$B,2,1),(FV102-0.05)))</f>
        <v/>
      </c>
      <c r="FX102" s="172">
        <f>MIN(1,MAX(VLOOKUP(($AJ102-$AI102-$AH102-$AG102-$AF102-$AE102*(1+FX$3))/$AJ102,'Технический лист'!$A:$B,2,1),(FW102-0.05)))</f>
        <v/>
      </c>
      <c r="FY102" s="172">
        <f>MIN(1,MAX(VLOOKUP(($AJ102-$AI102-$AH102-$AG102-$AF102-$AE102*(1+FY$3))/$AJ102,'Технический лист'!$A:$B,2,1),(FX102-0.05)))</f>
        <v/>
      </c>
      <c r="FZ102" s="172">
        <f>MIN(1,MAX(VLOOKUP(($AJ102-$AI102-$AH102-$AG102-$AF102-$AE102*(1+FZ$3))/$AJ102,'Технический лист'!$A:$B,2,1),(FY102-0.05)))</f>
        <v/>
      </c>
      <c r="GA102" s="172">
        <f>MIN(1,MAX(VLOOKUP(($AJ102-$AI102-$AH102-$AG102-$AF102-$AE102*(1+GA$3))/$AJ102,'Технический лист'!$A:$B,2,1),(FZ102-0.05)))</f>
        <v/>
      </c>
      <c r="GB102" s="172">
        <f>MIN(1,MAX(VLOOKUP(($AJ102-$AI102-$AH102-$AG102-$AF102-$AE102*(1+GB$3))/$AJ102,'Технический лист'!$A:$B,2,1),(GA102-0.05)))</f>
        <v/>
      </c>
      <c r="GC102" s="172">
        <f>MIN(1,MAX(VLOOKUP(($AJ102-$AI102-$AH102-$AG102-$AF102-$AE102*(1+GC$3))/$AJ102,'Технический лист'!$A:$B,2,1),(GB102-0.05)))</f>
        <v/>
      </c>
      <c r="GD102" s="172">
        <f>MIN(1,MAX(VLOOKUP(($AJ102-$AI102-$AH102-$AG102-$AF102-$AE102*(1+GD$3))/$AJ102,'Технический лист'!$A:$B,2,1),(GC102-0.05)))</f>
        <v/>
      </c>
      <c r="GE102" s="172">
        <f>MIN(1,MAX(VLOOKUP(($AJ102-$AI102-$AH102-$AG102-$AF102-$AE102*(1+GE$3))/$AJ102,'Технический лист'!$A:$B,2,1),(GD102-0.05)))</f>
        <v/>
      </c>
      <c r="GF102" s="172">
        <f>MIN(1,MAX(VLOOKUP(($AJ102-$AI102-$AH102-$AG102-$AF102-$AE102*(1+GF$3))/$AJ102,'Технический лист'!$A:$B,2,1),(GE102-0.05)))</f>
        <v/>
      </c>
      <c r="GG102" s="172">
        <f>MIN(1,MAX(VLOOKUP(($AJ102-$AI102-$AH102-$AG102-$AF102-$AE102*(1+GG$3))/$AJ102,'Технический лист'!$A:$B,2,1),(GF102-0.05)))</f>
        <v/>
      </c>
      <c r="GH102" s="172">
        <f>MIN(1,MAX(VLOOKUP(($AJ102-$AI102-$AH102-$AG102-$AF102-$AE102*(1+GH$3))/$AJ102,'Технический лист'!$A:$B,2,1),(GG102-0.05)))</f>
        <v/>
      </c>
      <c r="GI102" s="172">
        <f>MIN(1,MAX(VLOOKUP(($AJ102-$AI102-$AH102-$AG102-$AF102-$AE102*(1+GI$3))/$AJ102,'Технический лист'!$A:$B,2,1),(GH102-0.05)))</f>
        <v/>
      </c>
      <c r="GJ102" s="172">
        <f>MIN(1,MAX(VLOOKUP(($AJ102-$AI102-$AH102-$AG102-$AF102-$AE102*(1+GJ$3))/$AJ102,'Технический лист'!$A:$B,2,1),(GI102-0.05)))</f>
        <v/>
      </c>
      <c r="GK102" s="172">
        <f>MIN(1,MAX(VLOOKUP(($AJ102-$AI102-$AH102-$AG102-$AF102-$AE102*(1+GK$3))/$AJ102,'Технический лист'!$A:$B,2,1),(GJ102-0.05)))</f>
        <v/>
      </c>
      <c r="GL102" s="172">
        <f>MIN(1,MAX(VLOOKUP(($AJ102-$AI102-$AH102-$AG102-$AF102-$AE102*(1+GL$3))/$AJ102,'Технический лист'!$A:$B,2,1),(GK102-0.05)))</f>
        <v/>
      </c>
      <c r="GM102" s="172">
        <f>MIN(1,MAX(VLOOKUP(($AJ102-$AI102-$AH102-$AG102-$AF102-$AE102*(1+GM$3))/$AJ102,'Технический лист'!$A:$B,2,1),(GL102-0.05)))</f>
        <v/>
      </c>
      <c r="GN102" s="172">
        <f>MIN(1,MAX(VLOOKUP(($AJ102-$AI102-$AH102-$AG102-$AF102-$AE102*(1+GN$3))/$AJ102,'Технический лист'!$A:$B,2,1),(GM102-0.05)))</f>
        <v/>
      </c>
      <c r="GO102" s="172">
        <f>MIN(1,MAX(VLOOKUP(($AJ102-$AI102-$AH102-$AG102-$AF102-$AE102*(1+GO$3))/$AJ102,'Технический лист'!$A:$B,2,1),(GN102-0.05)))</f>
        <v/>
      </c>
      <c r="GP102" s="172">
        <f>MIN(1,MAX(VLOOKUP(($AJ102-$AI102-$AH102-$AG102-$AF102-$AE102*(1+GP$3))/$AJ102,'Технический лист'!$A:$B,2,1),(GO102-0.05)))</f>
        <v/>
      </c>
      <c r="GQ102" s="172">
        <f>MIN(1,MAX(VLOOKUP(($AJ102-$AI102-$AH102-$AG102-$AF102-$AE102*(1+GQ$3))/$AJ102,'Технический лист'!$A:$B,2,1),(GP102-0.05)))</f>
        <v/>
      </c>
      <c r="GR102" s="172">
        <f>MIN(1,MAX(VLOOKUP(($AJ102-$AI102-$AH102-$AG102-$AF102-$AE102*(1+GR$3))/$AJ102,'Технический лист'!$A:$B,2,1),(GQ102-0.05)))</f>
        <v/>
      </c>
      <c r="GS102" s="172">
        <f>MIN(1,MAX(VLOOKUP(($AJ102-$AI102-$AH102-$AG102-$AF102-$AE102*(1+GS$3))/$AJ102,'Технический лист'!$A:$B,2,1),(GR102-0.05)))</f>
        <v/>
      </c>
      <c r="GT102" s="172">
        <f>MIN(1,MAX(VLOOKUP(($AJ102-$AI102-$AH102-$AG102-$AF102-$AE102*(1+GT$3))/$AJ102,'Технический лист'!$A:$B,2,1),(GS102-0.05)))</f>
        <v/>
      </c>
      <c r="GU102" s="172">
        <f>MIN(1,MAX(VLOOKUP(($AJ102-$AI102-$AH102-$AG102-$AF102-$AE102*(1+GU$3))/$AJ102,'Технический лист'!$A:$B,2,1),(GT102-0.05)))</f>
        <v/>
      </c>
      <c r="GV102" s="172">
        <f>MIN(1,MAX(VLOOKUP(($AJ102-$AI102-$AH102-$AG102-$AF102-$AE102*(1+GV$3))/$AJ102,'Технический лист'!$A:$B,2,1),(GU102-0.05)))</f>
        <v/>
      </c>
      <c r="GW102" s="172">
        <f>MIN(1,MAX(VLOOKUP(($AJ102-$AI102-$AH102-$AG102-$AF102-$AE102*(1+GW$3))/$AJ102,'Технический лист'!$A:$B,2,1),(GV102-0.05)))</f>
        <v/>
      </c>
      <c r="GX102" s="172">
        <f>MIN(1,MAX(VLOOKUP(($AJ102-$AI102-$AH102-$AG102-$AF102-$AE102*(1+GX$3))/$AJ102,'Технический лист'!$A:$B,2,1),(GW102-0.05)))</f>
        <v/>
      </c>
      <c r="GY102" s="172">
        <f>MIN(1,MAX(VLOOKUP(($AJ102-$AI102-$AH102-$AG102-$AF102-$AE102*(1+GY$3))/$AJ102,'Технический лист'!$A:$B,2,1),(GX102-0.05)))</f>
        <v/>
      </c>
      <c r="GZ102" s="172">
        <f>MIN(1,MAX(VLOOKUP(($AJ102-$AI102-$AH102-$AG102-$AF102-$AE102*(1+GZ$3))/$AJ102,'Технический лист'!$A:$B,2,1),(GY102-0.05)))</f>
        <v/>
      </c>
      <c r="HA102" s="172">
        <f>MIN(1,MAX(VLOOKUP(($AJ102-$AI102-$AH102-$AG102-$AF102-$AE102*(1+HA$3))/$AJ102,'Технический лист'!$A:$B,2,1),(GZ102-0.05)))</f>
        <v/>
      </c>
      <c r="HB102" s="172">
        <f>MIN(1,MAX(VLOOKUP(($AJ102-$AI102-$AH102-$AG102-$AF102-$AE102*(1+HB$3))/$AJ102,'Технический лист'!$A:$B,2,1),(HA102-0.05)))</f>
        <v/>
      </c>
      <c r="HC102" s="172">
        <f>MIN(1,MAX(VLOOKUP(($AJ102-$AI102-$AH102-$AG102-$AF102-$AE102*(1+HC$3))/$AJ102,'Технический лист'!$A:$B,2,1),(HB102-0.05)))</f>
        <v/>
      </c>
      <c r="HD102" s="172">
        <f>MIN(1,MAX(VLOOKUP(($AJ102-$AI102-$AH102-$AG102-$AF102-$AE102*(1+HD$3))/$AJ102,'Технический лист'!$A:$B,2,1),(HC102-0.05)))</f>
        <v/>
      </c>
      <c r="HE102" s="172">
        <f>MIN(1,MAX(VLOOKUP(($AJ102-$AI102-$AH102-$AG102-$AF102-$AE102*(1+HE$3))/$AJ102,'Технический лист'!$A:$B,2,1),(HD102-0.05)))</f>
        <v/>
      </c>
      <c r="HF102" s="172">
        <f>MIN(1,MAX(VLOOKUP(($AJ102-$AI102-$AH102-$AG102-$AF102-$AE102*(1+HF$3))/$AJ102,'Технический лист'!$A:$B,2,1),(HE102-0.05)))</f>
        <v/>
      </c>
      <c r="HG102" s="172">
        <f>MIN(1,MAX(VLOOKUP(($AJ102-$AI102-$AH102-$AG102-$AF102-$AE102*(1+HG$3))/$AJ102,'Технический лист'!$A:$B,2,1),(HF102-0.05)))</f>
        <v/>
      </c>
      <c r="HH102" s="172">
        <f>MIN(1,MAX(VLOOKUP(($AJ102-$AI102-$AH102-$AG102-$AF102-$AE102*(1+HH$3))/$AJ102,'Технический лист'!$A:$B,2,1),(HG102-0.05)))</f>
        <v/>
      </c>
      <c r="HI102" s="172">
        <f>MIN(1,MAX(VLOOKUP(($AJ102-$AI102-$AH102-$AG102-$AF102-$AE102*(1+HI$3))/$AJ102,'Технический лист'!$A:$B,2,1),(HH102-0.05)))</f>
        <v/>
      </c>
      <c r="HJ102" s="172">
        <f>MIN(1,MAX(VLOOKUP(($AJ102-$AI102-$AH102-$AG102-$AF102-$AE102*(1+HJ$3))/$AJ102,'Технический лист'!$A:$B,2,1),(HI102-0.05)))</f>
        <v/>
      </c>
      <c r="HK102" s="172">
        <f>MIN(1,MAX(VLOOKUP(($AJ102-$AI102-$AH102-$AG102-$AF102-$AE102*(1+HK$3))/$AJ102,'Технический лист'!$A:$B,2,1),(HJ102-0.05)))</f>
        <v/>
      </c>
      <c r="HL102" s="172">
        <f>MIN(1,MAX(VLOOKUP(($AJ102-$AI102-$AH102-$AG102-$AF102-$AE102*(1+HL$3))/$AJ102,'Технический лист'!$A:$B,2,1),(HK102-0.05)))</f>
        <v/>
      </c>
      <c r="HM102" s="172">
        <f>MIN(1,MAX(VLOOKUP(($AJ102-$AI102-$AH102-$AG102-$AF102-$AE102*(1+HM$3))/$AJ102,'Технический лист'!$A:$B,2,1),(HL102-0.05)))</f>
        <v/>
      </c>
      <c r="HN102" s="172">
        <f>MIN(1,MAX(VLOOKUP(($AJ102-$AI102-$AH102-$AG102-$AF102-$AE102*(1+HN$3))/$AJ102,'Технический лист'!$A:$B,2,1),(HM102-0.05)))</f>
        <v/>
      </c>
      <c r="HO102" s="172">
        <f>MIN(1,MAX(VLOOKUP(($AJ102-$AI102-$AH102-$AG102-$AF102-$AE102*(1+HO$3))/$AJ102,'Технический лист'!$A:$B,2,1),(HN102-0.05)))</f>
        <v/>
      </c>
      <c r="HP102" s="172">
        <f>MIN(1,MAX(VLOOKUP(($AJ102-$AI102-$AH102-$AG102-$AF102-$AE102*(1+HP$3))/$AJ102,'Технический лист'!$A:$B,2,1),(HO102-0.05)))</f>
        <v/>
      </c>
      <c r="HQ102" s="172">
        <f>MIN(1,MAX(VLOOKUP(($AJ102-$AI102-$AH102-$AG102-$AF102-$AE102*(1+HQ$3))/$AJ102,'Технический лист'!$A:$B,2,1),(HP102-0.05)))</f>
        <v/>
      </c>
      <c r="HR102" s="172">
        <f>MIN(1,MAX(VLOOKUP(($AJ102-$AI102-$AH102-$AG102-$AF102-$AE102*(1+HR$3))/$AJ102,'Технический лист'!$A:$B,2,1),(HQ102-0.05)))</f>
        <v/>
      </c>
      <c r="HS102" s="172">
        <f>MIN(1,MAX(VLOOKUP(($AJ102-$AI102-$AH102-$AG102-$AF102-$AE102*(1+HS$3))/$AJ102,'Технический лист'!$A:$B,2,1),(HR102-0.05)))</f>
        <v/>
      </c>
      <c r="HT102" s="172">
        <f>MIN(1,MAX(VLOOKUP(($AJ102-$AI102-$AH102-$AG102-$AF102-$AE102*(1+HT$3))/$AJ102,'Технический лист'!$A:$B,2,1),(HS102-0.05)))</f>
        <v/>
      </c>
      <c r="HU102" s="172">
        <f>MIN(1,MAX(VLOOKUP(($AJ102-$AI102-$AH102-$AG102-$AF102-$AE102*(1+HU$3))/$AJ102,'Технический лист'!$A:$B,2,1),(HT102-0.05)))</f>
        <v/>
      </c>
      <c r="HV102" s="172">
        <f>MIN(1,MAX(VLOOKUP(($AJ102-$AI102-$AH102-$AG102-$AF102-$AE102*(1+HV$3))/$AJ102,'Технический лист'!$A:$B,2,1),(HU102-0.05)))</f>
        <v/>
      </c>
      <c r="HW102" s="172">
        <f>MIN(1,MAX(VLOOKUP(($AJ102-$AI102-$AH102-$AG102-$AF102-$AE102*(1+HW$3))/$AJ102,'Технический лист'!$A:$B,2,1),(HV102-0.05)))</f>
        <v/>
      </c>
      <c r="HX102" s="172">
        <f>MIN(1,MAX(VLOOKUP(($AJ102-$AI102-$AH102-$AG102-$AF102-$AE102*(1+HX$3))/$AJ102,'Технический лист'!$A:$B,2,1),(HW102-0.05)))</f>
        <v/>
      </c>
      <c r="HY102" s="172">
        <f>MIN(1,MAX(VLOOKUP(($AJ102-$AI102-$AH102-$AG102-$AF102-$AE102*(1+HY$3))/$AJ102,'Технический лист'!$A:$B,2,1),(HX102-0.05)))</f>
        <v/>
      </c>
      <c r="HZ102" s="172">
        <f>MIN(1,MAX(VLOOKUP(($AJ102-$AI102-$AH102-$AG102-$AF102-$AE102*(1+HZ$3))/$AJ102,'Технический лист'!$A:$B,2,1),(HY102-0.05)))</f>
        <v/>
      </c>
      <c r="IA102" s="172">
        <f>MIN(1,MAX(VLOOKUP(($AJ102-$AI102-$AH102-$AG102-$AF102-$AE102*(1+IA$3))/$AJ102,'Технический лист'!$A:$B,2,1),(HZ102-0.05)))</f>
        <v/>
      </c>
      <c r="IB102" s="172">
        <f>MIN(1,MAX(VLOOKUP(($AJ102-$AI102-$AH102-$AG102-$AF102-$AE102*(1+IB$3))/$AJ102,'Технический лист'!$A:$B,2,1),(IA102-0.05)))</f>
        <v/>
      </c>
      <c r="IC102" s="172">
        <f>MIN(1,MAX(VLOOKUP(($AJ102-$AI102-$AH102-$AG102-$AF102-$AE102*(1+IC$3))/$AJ102,'Технический лист'!$A:$B,2,1),(IB102-0.05)))</f>
        <v/>
      </c>
      <c r="ID102" s="172">
        <f>MIN(1,MAX(VLOOKUP(($AJ102-$AI102-$AH102-$AG102-$AF102-$AE102*(1+ID$3))/$AJ102,'Технический лист'!$A:$B,2,1),(IC102-0.05)))</f>
        <v/>
      </c>
      <c r="IE102" s="172">
        <f>MIN(1,MAX(VLOOKUP(($AJ102-$AI102-$AH102-$AG102-$AF102-$AE102*(1+IE$3))/$AJ102,'Технический лист'!$A:$B,2,1),(ID102-0.05)))</f>
        <v/>
      </c>
      <c r="IF102" s="172">
        <f>MIN(1,MAX(VLOOKUP(($AJ102-$AI102-$AH102-$AG102-$AF102-$AE102*(1+IF$3))/$AJ102,'Технический лист'!$A:$B,2,1),(IE102-0.05)))</f>
        <v/>
      </c>
      <c r="IG102" s="172">
        <f>MIN(1,MAX(VLOOKUP(($AJ102-$AI102-$AH102-$AG102-$AF102-$AE102*(1+IG$3))/$AJ102,'Технический лист'!$A:$B,2,1),(IF102-0.05)))</f>
        <v/>
      </c>
      <c r="IH102" s="172">
        <f>MIN(1,MAX(VLOOKUP(($AJ102-$AI102-$AH102-$AG102-$AF102-$AE102*(1+IH$3))/$AJ102,'Технический лист'!$A:$B,2,1),(IG102-0.05)))</f>
        <v/>
      </c>
      <c r="II102" s="172">
        <f>MIN(1,MAX(VLOOKUP(($AJ102-$AI102-$AH102-$AG102-$AF102-$AE102*(1+II$3))/$AJ102,'Технический лист'!$A:$B,2,1),(IH102-0.05)))</f>
        <v/>
      </c>
      <c r="IJ102" s="172">
        <f>MIN(1,MAX(VLOOKUP(($AJ102-$AI102-$AH102-$AG102-$AF102-$AE102*(1+IJ$3))/$AJ102,'Технический лист'!$A:$B,2,1),(II102-0.05)))</f>
        <v/>
      </c>
      <c r="IK102" s="172">
        <f>MIN(1,MAX(VLOOKUP(($AJ102-$AI102-$AH102-$AG102-$AF102-$AE102*(1+IK$3))/$AJ102,'Технический лист'!$A:$B,2,1),(IJ102-0.05)))</f>
        <v/>
      </c>
      <c r="IL102" s="172">
        <f>MIN(1,MAX(VLOOKUP(($AJ102-$AI102-$AH102-$AG102-$AF102-$AE102*(1+IL$3))/$AJ102,'Технический лист'!$A:$B,2,1),(IK102-0.05)))</f>
        <v/>
      </c>
      <c r="IM102" s="172">
        <f>MIN(1,MAX(VLOOKUP(($AJ102-$AI102-$AH102-$AG102-$AF102-$AE102*(1+IM$3))/$AJ102,'Технический лист'!$A:$B,2,1),(IL102-0.05)))</f>
        <v/>
      </c>
      <c r="IN102" s="172">
        <f>MIN(1,MAX(VLOOKUP(($AJ102-$AI102-$AH102-$AG102-$AF102-$AE102*(1+IN$3))/$AJ102,'Технический лист'!$A:$B,2,1),(IM102-0.05)))</f>
        <v/>
      </c>
      <c r="IO102" s="172">
        <f>MIN(1,MAX(VLOOKUP(($AJ102-$AI102-$AH102-$AG102-$AF102-$AE102*(1+IO$3))/$AJ102,'Технический лист'!$A:$B,2,1),(IN102-0.05)))</f>
        <v/>
      </c>
      <c r="IP102" s="172">
        <f>MIN(1,MAX(VLOOKUP(($AJ102-$AI102-$AH102-$AG102-$AF102-$AE102*(1+IP$3))/$AJ102,'Технический лист'!$A:$B,2,1),(IO102-0.05)))</f>
        <v/>
      </c>
      <c r="IQ102" s="172">
        <f>MIN(1,MAX(VLOOKUP(($AJ102-$AI102-$AH102-$AG102-$AF102-$AE102*(1+IQ$3))/$AJ102,'Технический лист'!$A:$B,2,1),(IP102-0.05)))</f>
        <v/>
      </c>
      <c r="IR102" s="172">
        <f>MIN(1,MAX(VLOOKUP(($AJ102-$AI102-$AH102-$AG102-$AF102-$AE102*(1+IR$3))/$AJ102,'Технический лист'!$A:$B,2,1),(IQ102-0.05)))</f>
        <v/>
      </c>
    </row>
    <row r="103" ht="29.15" customHeight="1" s="123">
      <c r="A103" s="89" t="inlineStr">
        <is>
          <t>ЧМ (продукция)</t>
        </is>
      </c>
      <c r="B103" s="90" t="n">
        <v>5</v>
      </c>
      <c r="C103" s="5" t="inlineStr">
        <is>
          <t>Черные металлы</t>
        </is>
      </c>
      <c r="D103" s="91" t="n">
        <v>31402</v>
      </c>
      <c r="E103" s="91" t="inlineStr">
        <is>
          <t xml:space="preserve">Заготовка для переката качественная </t>
        </is>
      </c>
      <c r="F103" s="92" t="inlineStr">
        <is>
          <t>ЗАГОТОВКИ СТАЛЬНЫЕ</t>
        </is>
      </c>
      <c r="G103" s="91" t="inlineStr">
        <is>
          <t>ЮУР</t>
        </is>
      </c>
      <c r="H103" s="91" t="inlineStr">
        <is>
          <t>КБШ</t>
        </is>
      </c>
      <c r="I103" s="91" t="inlineStr">
        <is>
          <t>МЕТАЛЛУРГИЧ.</t>
        </is>
      </c>
      <c r="J103" s="91" t="inlineStr">
        <is>
          <t>БЕЛОРЕЦК</t>
        </is>
      </c>
      <c r="K103" s="91" t="n">
        <v>549</v>
      </c>
      <c r="L103" s="91" t="inlineStr">
        <is>
          <t>Полувагоны</t>
        </is>
      </c>
      <c r="M103" s="91" t="inlineStr">
        <is>
          <t>Внутр. перевозки</t>
        </is>
      </c>
      <c r="N103" s="91" t="inlineStr">
        <is>
          <t>вагонная</t>
        </is>
      </c>
      <c r="O103" s="91" t="inlineStr">
        <is>
          <t xml:space="preserve">Южное </t>
        </is>
      </c>
      <c r="P103" s="89" t="inlineStr">
        <is>
          <t>'000000186465</t>
        </is>
      </c>
      <c r="Q103" s="91" t="inlineStr">
        <is>
          <t>ПАО "Челябинский металлургический комбинат"</t>
        </is>
      </c>
      <c r="R103" s="91" t="inlineStr">
        <is>
          <t>ПАО "Мечел"</t>
        </is>
      </c>
      <c r="S103" s="87" t="n">
        <v>300841</v>
      </c>
      <c r="T103" s="87" t="n">
        <v>165037576</v>
      </c>
      <c r="U103" s="88" t="n">
        <v>4502</v>
      </c>
      <c r="V103" s="88" t="n">
        <v>0</v>
      </c>
      <c r="W103" s="87" t="n">
        <v>402774109</v>
      </c>
      <c r="X103" s="112" t="n">
        <v>67</v>
      </c>
      <c r="Y103" s="112" t="inlineStr">
        <is>
          <t>маршрутная</t>
        </is>
      </c>
      <c r="Z103" s="113" t="n">
        <v>3</v>
      </c>
      <c r="AA103" s="113" t="n">
        <v>3</v>
      </c>
      <c r="AB103" s="113" t="n">
        <v>4</v>
      </c>
      <c r="AC103" s="161" t="n">
        <v>1289.06</v>
      </c>
      <c r="AD103" s="161">
        <f>AE103-AC103</f>
        <v/>
      </c>
      <c r="AE103" s="161" t="n">
        <v>1510.66</v>
      </c>
      <c r="AF103" s="162">
        <f>(Z103+AA103+AB103)*'Ставки аренды'!$B$3/X103</f>
        <v/>
      </c>
      <c r="AG103" s="163" t="n">
        <v>0</v>
      </c>
      <c r="AH103" s="164" t="n">
        <v>0</v>
      </c>
      <c r="AI103" s="174">
        <f>131496272/143742760*AJ103</f>
        <v/>
      </c>
      <c r="AJ103" s="166">
        <f>Цены!$D$11</f>
        <v/>
      </c>
      <c r="AK103" s="164">
        <f>AJ103/Цены!$B$1</f>
        <v/>
      </c>
      <c r="AL103" s="164">
        <f>AE103+AF103+AG103</f>
        <v/>
      </c>
      <c r="AM103" s="164">
        <f>AJ103-AL103</f>
        <v/>
      </c>
      <c r="AN103" s="164">
        <f>AI103+AH103+AG103+AF103+AE103</f>
        <v/>
      </c>
      <c r="AO103" s="167">
        <f>(AJ103-AN103)/AJ103</f>
        <v/>
      </c>
      <c r="AP103" s="168">
        <f>AL103/AJ103</f>
        <v/>
      </c>
      <c r="AQ103" s="168">
        <f>AE103/AJ103</f>
        <v/>
      </c>
      <c r="AR103" s="168">
        <f>AE103/AL103</f>
        <v/>
      </c>
      <c r="AS103" s="169" t="n">
        <v>1</v>
      </c>
      <c r="AT103" s="121">
        <f>S103*AS103</f>
        <v/>
      </c>
      <c r="AU103" s="7" t="inlineStr">
        <is>
          <t>Внутренняя логистика</t>
        </is>
      </c>
      <c r="AV103" s="170">
        <f>(AJ103-(AE103*(1+$IS$2)+AF103+AG103+AH103+AI103))/AJ103</f>
        <v/>
      </c>
      <c r="AW103" s="171">
        <f>(AE103*(1+$IS$2)+AF103+AG103)/AJ103</f>
        <v/>
      </c>
      <c r="AX103" s="171">
        <f>(AE103*(1+$IS$2))/AJ103</f>
        <v/>
      </c>
      <c r="AY103" s="171">
        <f>(AE103*(1+$IS$2))/(AE103*(1+$IS$2)+AF103+AG103)</f>
        <v/>
      </c>
      <c r="AZ103" s="172" t="n">
        <v>1</v>
      </c>
      <c r="BA103" s="172" t="n">
        <v>1</v>
      </c>
      <c r="BB103" s="172" t="n">
        <v>1</v>
      </c>
      <c r="BC103" s="172" t="n">
        <v>1</v>
      </c>
      <c r="BD103" s="172" t="n">
        <v>1</v>
      </c>
      <c r="BE103" s="172" t="n">
        <v>1</v>
      </c>
      <c r="BF103" s="172" t="n">
        <v>1</v>
      </c>
      <c r="BG103" s="172" t="n">
        <v>1</v>
      </c>
      <c r="BH103" s="172" t="n">
        <v>1</v>
      </c>
      <c r="BI103" s="172" t="n">
        <v>1</v>
      </c>
      <c r="BJ103" s="172" t="n">
        <v>1</v>
      </c>
      <c r="BK103" s="172" t="n">
        <v>1</v>
      </c>
      <c r="BL103" s="172" t="n">
        <v>1</v>
      </c>
      <c r="BM103" s="172" t="n">
        <v>1</v>
      </c>
      <c r="BN103" s="172" t="n">
        <v>1</v>
      </c>
      <c r="BO103" s="172" t="n">
        <v>1</v>
      </c>
      <c r="BP103" s="172" t="n">
        <v>1</v>
      </c>
      <c r="BQ103" s="172" t="n">
        <v>1</v>
      </c>
      <c r="BR103" s="172" t="n">
        <v>1</v>
      </c>
      <c r="BS103" s="172" t="n">
        <v>1</v>
      </c>
      <c r="BT103" s="172" t="n">
        <v>1</v>
      </c>
      <c r="BU103" s="172" t="n">
        <v>1</v>
      </c>
      <c r="BV103" s="172" t="n">
        <v>1</v>
      </c>
      <c r="BW103" s="172" t="n">
        <v>1</v>
      </c>
      <c r="BX103" s="172" t="n">
        <v>1</v>
      </c>
      <c r="BY103" s="172" t="n">
        <v>1</v>
      </c>
      <c r="BZ103" s="172" t="n">
        <v>1</v>
      </c>
      <c r="CA103" s="172" t="n">
        <v>1</v>
      </c>
      <c r="CB103" s="172" t="n">
        <v>1</v>
      </c>
      <c r="CC103" s="172" t="n">
        <v>1</v>
      </c>
      <c r="CD103" s="172" t="n">
        <v>1</v>
      </c>
      <c r="CE103" s="172" t="n">
        <v>1</v>
      </c>
      <c r="CF103" s="172" t="n">
        <v>1</v>
      </c>
      <c r="CG103" s="172" t="n">
        <v>1</v>
      </c>
      <c r="CH103" s="172" t="n">
        <v>1</v>
      </c>
      <c r="CI103" s="172" t="n">
        <v>1</v>
      </c>
      <c r="CJ103" s="172" t="n">
        <v>1</v>
      </c>
      <c r="CK103" s="172" t="n">
        <v>1</v>
      </c>
      <c r="CL103" s="172" t="n">
        <v>1</v>
      </c>
      <c r="CM103" s="172" t="n">
        <v>1</v>
      </c>
      <c r="CN103" s="172" t="n">
        <v>1</v>
      </c>
      <c r="CO103" s="172" t="n">
        <v>1</v>
      </c>
      <c r="CP103" s="172" t="n">
        <v>1</v>
      </c>
      <c r="CQ103" s="172" t="n">
        <v>1</v>
      </c>
      <c r="CR103" s="172" t="n">
        <v>1</v>
      </c>
      <c r="CS103" s="172" t="n">
        <v>1</v>
      </c>
      <c r="CT103" s="172" t="n">
        <v>1</v>
      </c>
      <c r="CU103" s="172" t="n">
        <v>1</v>
      </c>
      <c r="CV103" s="172" t="n">
        <v>1</v>
      </c>
      <c r="CW103" s="172" t="n">
        <v>1</v>
      </c>
      <c r="CX103" s="172" t="n">
        <v>1</v>
      </c>
      <c r="CY103" s="172" t="n">
        <v>1</v>
      </c>
      <c r="CZ103" s="172" t="n">
        <v>1</v>
      </c>
      <c r="DA103" s="172" t="n">
        <v>1</v>
      </c>
      <c r="DB103" s="172" t="n">
        <v>1</v>
      </c>
      <c r="DC103" s="172" t="n">
        <v>1</v>
      </c>
      <c r="DD103" s="172" t="n">
        <v>1</v>
      </c>
      <c r="DE103" s="172" t="n">
        <v>1</v>
      </c>
      <c r="DF103" s="172" t="n">
        <v>1</v>
      </c>
      <c r="DG103" s="172" t="n">
        <v>1</v>
      </c>
      <c r="DH103" s="172" t="n">
        <v>1</v>
      </c>
      <c r="DI103" s="172" t="n">
        <v>1</v>
      </c>
      <c r="DJ103" s="172" t="n">
        <v>1</v>
      </c>
      <c r="DK103" s="172" t="n">
        <v>1</v>
      </c>
      <c r="DL103" s="172" t="n">
        <v>1</v>
      </c>
      <c r="DM103" s="172" t="n">
        <v>1</v>
      </c>
      <c r="DN103" s="172" t="n">
        <v>1</v>
      </c>
      <c r="DO103" s="172" t="n">
        <v>1</v>
      </c>
      <c r="DP103" s="172" t="n">
        <v>1</v>
      </c>
      <c r="DQ103" s="172" t="n">
        <v>1</v>
      </c>
      <c r="DR103" s="172" t="n">
        <v>1</v>
      </c>
      <c r="DS103" s="172" t="n">
        <v>1</v>
      </c>
      <c r="DT103" s="172" t="n">
        <v>1</v>
      </c>
      <c r="DU103" s="172" t="n">
        <v>1</v>
      </c>
      <c r="DV103" s="172" t="n">
        <v>1</v>
      </c>
      <c r="DW103" s="172" t="n">
        <v>1</v>
      </c>
      <c r="DX103" s="172" t="n">
        <v>1</v>
      </c>
      <c r="DY103" s="172" t="n">
        <v>1</v>
      </c>
      <c r="DZ103" s="172" t="n">
        <v>1</v>
      </c>
      <c r="EA103" s="172" t="n">
        <v>1</v>
      </c>
      <c r="EB103" s="172" t="n">
        <v>1</v>
      </c>
      <c r="EC103" s="172" t="n">
        <v>1</v>
      </c>
      <c r="ED103" s="172" t="n">
        <v>1</v>
      </c>
      <c r="EE103" s="172" t="n">
        <v>1</v>
      </c>
      <c r="EF103" s="172" t="n">
        <v>1</v>
      </c>
      <c r="EG103" s="172" t="n">
        <v>1</v>
      </c>
      <c r="EH103" s="172" t="n">
        <v>1</v>
      </c>
      <c r="EI103" s="172" t="n">
        <v>1</v>
      </c>
      <c r="EJ103" s="172" t="n">
        <v>1</v>
      </c>
      <c r="EK103" s="172" t="n">
        <v>1</v>
      </c>
      <c r="EL103" s="172" t="n">
        <v>1</v>
      </c>
      <c r="EM103" s="172" t="n">
        <v>1</v>
      </c>
      <c r="EN103" s="172" t="n">
        <v>1</v>
      </c>
      <c r="EO103" s="172" t="n">
        <v>1</v>
      </c>
      <c r="EP103" s="172" t="n">
        <v>1</v>
      </c>
      <c r="EQ103" s="172" t="n">
        <v>1</v>
      </c>
      <c r="ER103" s="172" t="n">
        <v>1</v>
      </c>
      <c r="ES103" s="172" t="n">
        <v>1</v>
      </c>
      <c r="ET103" s="172" t="n">
        <v>1</v>
      </c>
      <c r="EU103" s="172" t="n">
        <v>1</v>
      </c>
      <c r="EV103" s="173" t="n">
        <v>1</v>
      </c>
      <c r="EW103" s="172" t="n">
        <v>1</v>
      </c>
      <c r="EX103" s="172" t="n">
        <v>1</v>
      </c>
      <c r="EY103" s="172" t="n">
        <v>1</v>
      </c>
      <c r="EZ103" s="172" t="n">
        <v>1</v>
      </c>
      <c r="FA103" s="172" t="n">
        <v>1</v>
      </c>
      <c r="FB103" s="172" t="n">
        <v>1</v>
      </c>
      <c r="FC103" s="172" t="n">
        <v>1</v>
      </c>
      <c r="FD103" s="172" t="n">
        <v>1</v>
      </c>
      <c r="FE103" s="172" t="n">
        <v>1</v>
      </c>
      <c r="FF103" s="172" t="n">
        <v>1</v>
      </c>
      <c r="FG103" s="172" t="n">
        <v>1</v>
      </c>
      <c r="FH103" s="172" t="n">
        <v>1</v>
      </c>
      <c r="FI103" s="172" t="n">
        <v>1</v>
      </c>
      <c r="FJ103" s="172" t="n">
        <v>1</v>
      </c>
      <c r="FK103" s="172" t="n">
        <v>1</v>
      </c>
      <c r="FL103" s="172" t="n">
        <v>1</v>
      </c>
      <c r="FM103" s="172" t="n">
        <v>1</v>
      </c>
      <c r="FN103" s="172" t="n">
        <v>1</v>
      </c>
      <c r="FO103" s="172" t="n">
        <v>1</v>
      </c>
      <c r="FP103" s="172" t="n">
        <v>1</v>
      </c>
      <c r="FQ103" s="172" t="n">
        <v>1</v>
      </c>
      <c r="FR103" s="172" t="n">
        <v>1</v>
      </c>
      <c r="FS103" s="172" t="n">
        <v>1</v>
      </c>
      <c r="FT103" s="172" t="n">
        <v>1</v>
      </c>
      <c r="FU103" s="172" t="n">
        <v>1</v>
      </c>
      <c r="FV103" s="172" t="n">
        <v>1</v>
      </c>
      <c r="FW103" s="172" t="n">
        <v>1</v>
      </c>
      <c r="FX103" s="172" t="n">
        <v>1</v>
      </c>
      <c r="FY103" s="172" t="n">
        <v>1</v>
      </c>
      <c r="FZ103" s="172" t="n">
        <v>1</v>
      </c>
      <c r="GA103" s="172" t="n">
        <v>1</v>
      </c>
      <c r="GB103" s="172" t="n">
        <v>1</v>
      </c>
      <c r="GC103" s="172" t="n">
        <v>1</v>
      </c>
      <c r="GD103" s="172" t="n">
        <v>1</v>
      </c>
      <c r="GE103" s="172" t="n">
        <v>1</v>
      </c>
      <c r="GF103" s="172" t="n">
        <v>1</v>
      </c>
      <c r="GG103" s="172" t="n">
        <v>1</v>
      </c>
      <c r="GH103" s="172" t="n">
        <v>1</v>
      </c>
      <c r="GI103" s="172" t="n">
        <v>1</v>
      </c>
      <c r="GJ103" s="172" t="n">
        <v>1</v>
      </c>
      <c r="GK103" s="172" t="n">
        <v>1</v>
      </c>
      <c r="GL103" s="172" t="n">
        <v>1</v>
      </c>
      <c r="GM103" s="172" t="n">
        <v>1</v>
      </c>
      <c r="GN103" s="172" t="n">
        <v>1</v>
      </c>
      <c r="GO103" s="172" t="n">
        <v>1</v>
      </c>
      <c r="GP103" s="172" t="n">
        <v>1</v>
      </c>
      <c r="GQ103" s="172" t="n">
        <v>1</v>
      </c>
      <c r="GR103" s="172" t="n">
        <v>1</v>
      </c>
      <c r="GS103" s="172" t="n">
        <v>1</v>
      </c>
      <c r="GT103" s="172" t="n">
        <v>1</v>
      </c>
      <c r="GU103" s="172" t="n">
        <v>1</v>
      </c>
      <c r="GV103" s="172" t="n">
        <v>1</v>
      </c>
      <c r="GW103" s="172" t="n">
        <v>1</v>
      </c>
      <c r="GX103" s="172" t="n">
        <v>1</v>
      </c>
      <c r="GY103" s="172" t="n">
        <v>1</v>
      </c>
      <c r="GZ103" s="172" t="n">
        <v>1</v>
      </c>
      <c r="HA103" s="172" t="n">
        <v>1</v>
      </c>
      <c r="HB103" s="172" t="n">
        <v>1</v>
      </c>
      <c r="HC103" s="172" t="n">
        <v>1</v>
      </c>
      <c r="HD103" s="172" t="n">
        <v>1</v>
      </c>
      <c r="HE103" s="172" t="n">
        <v>1</v>
      </c>
      <c r="HF103" s="172" t="n">
        <v>1</v>
      </c>
      <c r="HG103" s="172" t="n">
        <v>1</v>
      </c>
      <c r="HH103" s="172" t="n">
        <v>1</v>
      </c>
      <c r="HI103" s="172" t="n">
        <v>1</v>
      </c>
      <c r="HJ103" s="172" t="n">
        <v>1</v>
      </c>
      <c r="HK103" s="172" t="n">
        <v>1</v>
      </c>
      <c r="HL103" s="172" t="n">
        <v>1</v>
      </c>
      <c r="HM103" s="172" t="n">
        <v>1</v>
      </c>
      <c r="HN103" s="172" t="n">
        <v>1</v>
      </c>
      <c r="HO103" s="172" t="n">
        <v>1</v>
      </c>
      <c r="HP103" s="172" t="n">
        <v>1</v>
      </c>
      <c r="HQ103" s="172" t="n">
        <v>1</v>
      </c>
      <c r="HR103" s="172" t="n">
        <v>1</v>
      </c>
      <c r="HS103" s="172" t="n">
        <v>1</v>
      </c>
      <c r="HT103" s="172" t="n">
        <v>1</v>
      </c>
      <c r="HU103" s="172" t="n">
        <v>1</v>
      </c>
      <c r="HV103" s="172" t="n">
        <v>1</v>
      </c>
      <c r="HW103" s="172" t="n">
        <v>1</v>
      </c>
      <c r="HX103" s="172" t="n">
        <v>1</v>
      </c>
      <c r="HY103" s="172" t="n">
        <v>1</v>
      </c>
      <c r="HZ103" s="172" t="n">
        <v>1</v>
      </c>
      <c r="IA103" s="172" t="n">
        <v>1</v>
      </c>
      <c r="IB103" s="172" t="n">
        <v>1</v>
      </c>
      <c r="IC103" s="172" t="n">
        <v>1</v>
      </c>
      <c r="ID103" s="172" t="n">
        <v>1</v>
      </c>
      <c r="IE103" s="172" t="n">
        <v>1</v>
      </c>
      <c r="IF103" s="172" t="n">
        <v>1</v>
      </c>
      <c r="IG103" s="172" t="n">
        <v>1</v>
      </c>
      <c r="IH103" s="172" t="n">
        <v>1</v>
      </c>
      <c r="II103" s="172" t="n">
        <v>1</v>
      </c>
      <c r="IJ103" s="172" t="n">
        <v>1</v>
      </c>
      <c r="IK103" s="172" t="n">
        <v>1</v>
      </c>
      <c r="IL103" s="172" t="n">
        <v>1</v>
      </c>
      <c r="IM103" s="172" t="n">
        <v>1</v>
      </c>
      <c r="IN103" s="172" t="n">
        <v>1</v>
      </c>
      <c r="IO103" s="172" t="n">
        <v>1</v>
      </c>
      <c r="IP103" s="172" t="n">
        <v>1</v>
      </c>
      <c r="IQ103" s="172" t="n">
        <v>1</v>
      </c>
      <c r="IR103" s="172" t="n">
        <v>1</v>
      </c>
    </row>
    <row r="104" ht="29.15" customHeight="1" s="123">
      <c r="A104" s="89" t="inlineStr">
        <is>
          <t>ЧМ (продукция)</t>
        </is>
      </c>
      <c r="B104" s="90" t="n">
        <v>5</v>
      </c>
      <c r="C104" s="5" t="inlineStr">
        <is>
          <t>Черные металлы</t>
        </is>
      </c>
      <c r="D104" s="91" t="n">
        <v>32418</v>
      </c>
      <c r="E104" s="91" t="inlineStr">
        <is>
          <t xml:space="preserve">Сталь сортовая </t>
        </is>
      </c>
      <c r="F104" s="92" t="inlineStr">
        <is>
          <t>ПРОЧИЕ ВИДЫ ПРОКАТА ЧЕРНЫ</t>
        </is>
      </c>
      <c r="G104" s="91" t="inlineStr">
        <is>
          <t>ЮУР</t>
        </is>
      </c>
      <c r="H104" s="91" t="inlineStr">
        <is>
          <t>МСК</t>
        </is>
      </c>
      <c r="I104" s="91" t="inlineStr">
        <is>
          <t>МЕТАЛЛУРГИЧ.</t>
        </is>
      </c>
      <c r="J104" s="91" t="inlineStr">
        <is>
          <t>БИРЮЛЕВО-ТОВ</t>
        </is>
      </c>
      <c r="K104" s="91" t="n">
        <v>2003</v>
      </c>
      <c r="L104" s="91" t="inlineStr">
        <is>
          <t>Полувагоны</t>
        </is>
      </c>
      <c r="M104" s="91" t="inlineStr">
        <is>
          <t>Внутр. перевозки</t>
        </is>
      </c>
      <c r="N104" s="91" t="inlineStr">
        <is>
          <t>вагонная</t>
        </is>
      </c>
      <c r="O104" s="91" t="inlineStr">
        <is>
          <t xml:space="preserve">Северо-Западное </t>
        </is>
      </c>
      <c r="P104" s="89" t="inlineStr">
        <is>
          <t>'000000186465</t>
        </is>
      </c>
      <c r="Q104" s="91" t="inlineStr">
        <is>
          <t>ПАО "Челябинский металлургический комбинат"</t>
        </is>
      </c>
      <c r="R104" s="91" t="inlineStr">
        <is>
          <t>ПАО "Мечел"</t>
        </is>
      </c>
      <c r="S104" s="87" t="n">
        <v>54007</v>
      </c>
      <c r="T104" s="87" t="n">
        <v>108179430</v>
      </c>
      <c r="U104" s="88" t="n">
        <v>815</v>
      </c>
      <c r="V104" s="88" t="n">
        <v>0</v>
      </c>
      <c r="W104" s="87" t="n">
        <v>192010820</v>
      </c>
      <c r="X104" s="112" t="n">
        <v>62</v>
      </c>
      <c r="Y104" s="112" t="inlineStr">
        <is>
          <t>повагонная</t>
        </is>
      </c>
      <c r="Z104" s="113" t="n">
        <v>10</v>
      </c>
      <c r="AA104" s="113" t="n">
        <v>8</v>
      </c>
      <c r="AB104" s="113" t="n">
        <v>4</v>
      </c>
      <c r="AC104" s="161" t="n">
        <v>4190.19</v>
      </c>
      <c r="AD104" s="161">
        <f>AE104-AC104</f>
        <v/>
      </c>
      <c r="AE104" s="161" t="n">
        <v>4818.98</v>
      </c>
      <c r="AF104" s="162">
        <f>(Z104+AA104+AB104)*'Ставки аренды'!$B$3/X104</f>
        <v/>
      </c>
      <c r="AG104" s="163" t="n">
        <v>0</v>
      </c>
      <c r="AH104" s="164" t="n">
        <v>0</v>
      </c>
      <c r="AI104" s="165">
        <f>131496272/143742760*AJ104</f>
        <v/>
      </c>
      <c r="AJ104" s="166">
        <f>Цены!$D$16</f>
        <v/>
      </c>
      <c r="AK104" s="164">
        <f>AJ104/Цены!$B$1</f>
        <v/>
      </c>
      <c r="AL104" s="164">
        <f>AE104+AF104+AG104</f>
        <v/>
      </c>
      <c r="AM104" s="164">
        <f>AJ104-AL104</f>
        <v/>
      </c>
      <c r="AN104" s="164">
        <f>AI104+AH104+AG104+AF104+AE104</f>
        <v/>
      </c>
      <c r="AO104" s="167">
        <f>(AJ104-AN104)/AJ104</f>
        <v/>
      </c>
      <c r="AP104" s="168">
        <f>AL104/AJ104</f>
        <v/>
      </c>
      <c r="AQ104" s="168">
        <f>AE104/AJ104</f>
        <v/>
      </c>
      <c r="AR104" s="168">
        <f>AE104/AL104</f>
        <v/>
      </c>
      <c r="AS104" s="169" t="n">
        <v>1</v>
      </c>
      <c r="AT104" s="121">
        <f>S104*AS104</f>
        <v/>
      </c>
      <c r="AU104" s="83" t="n">
        <v>0.7</v>
      </c>
      <c r="AV104" s="170">
        <f>(AJ104-(AE104*(1+$IS$2)+AF104+AG104+AH104+AI104))/AJ104</f>
        <v/>
      </c>
      <c r="AW104" s="171">
        <f>(AE104*(1+$IS$2)+AF104+AG104)/AJ104</f>
        <v/>
      </c>
      <c r="AX104" s="171">
        <f>(AE104*(1+$IS$2))/AJ104</f>
        <v/>
      </c>
      <c r="AY104" s="171">
        <f>(AE104*(1+$IS$2))/(AE104*(1+$IS$2)+AF104+AG104)</f>
        <v/>
      </c>
      <c r="AZ104" s="172">
        <f>MIN(IF($AU104=100%,1,1+VLOOKUP(($AJ104-$AI104-$AH104-$AG104-$AF104-$AE104*(1+AZ$3))/$AJ104,'Технический лист'!$I:$J,2,1)-VLOOKUP($AO104,'Технический лист'!$I:$J,2,1)),1+(1-$AU104))</f>
        <v/>
      </c>
      <c r="BA104" s="172">
        <f>MIN(IF($AU104=100%,1,1+VLOOKUP(($AJ104-$AI104-$AH104-$AG104-$AF104-$AE104*(1+BA$3))/$AJ104,'Технический лист'!$I:$J,2,1)-VLOOKUP($AO104,'Технический лист'!$I:$J,2,1)),1+(1-$AU104))</f>
        <v/>
      </c>
      <c r="BB104" s="172">
        <f>MIN(IF($AU104=100%,1,1+VLOOKUP(($AJ104-$AI104-$AH104-$AG104-$AF104-$AE104*(1+BB$3))/$AJ104,'Технический лист'!$I:$J,2,1)-VLOOKUP($AO104,'Технический лист'!$I:$J,2,1)),1+(1-$AU104))</f>
        <v/>
      </c>
      <c r="BC104" s="172">
        <f>MIN(IF($AU104=100%,1,1+VLOOKUP(($AJ104-$AI104-$AH104-$AG104-$AF104-$AE104*(1+BC$3))/$AJ104,'Технический лист'!$I:$J,2,1)-VLOOKUP($AO104,'Технический лист'!$I:$J,2,1)),1+(1-$AU104))</f>
        <v/>
      </c>
      <c r="BD104" s="172">
        <f>MIN(IF($AU104=100%,1,1+VLOOKUP(($AJ104-$AI104-$AH104-$AG104-$AF104-$AE104*(1+BD$3))/$AJ104,'Технический лист'!$I:$J,2,1)-VLOOKUP($AO104,'Технический лист'!$I:$J,2,1)),1+(1-$AU104))</f>
        <v/>
      </c>
      <c r="BE104" s="172">
        <f>MIN(IF($AU104=100%,1,1+VLOOKUP(($AJ104-$AI104-$AH104-$AG104-$AF104-$AE104*(1+BE$3))/$AJ104,'Технический лист'!$I:$J,2,1)-VLOOKUP($AO104,'Технический лист'!$I:$J,2,1)),1+(1-$AU104))</f>
        <v/>
      </c>
      <c r="BF104" s="172">
        <f>MIN(IF($AU104=100%,1,1+VLOOKUP(($AJ104-$AI104-$AH104-$AG104-$AF104-$AE104*(1+BF$3))/$AJ104,'Технический лист'!$I:$J,2,1)-VLOOKUP($AO104,'Технический лист'!$I:$J,2,1)),1+(1-$AU104))</f>
        <v/>
      </c>
      <c r="BG104" s="172">
        <f>MIN(IF($AU104=100%,1,1+VLOOKUP(($AJ104-$AI104-$AH104-$AG104-$AF104-$AE104*(1+BG$3))/$AJ104,'Технический лист'!$I:$J,2,1)-VLOOKUP($AO104,'Технический лист'!$I:$J,2,1)),1+(1-$AU104))</f>
        <v/>
      </c>
      <c r="BH104" s="172">
        <f>MIN(IF($AU104=100%,1,1+VLOOKUP(($AJ104-$AI104-$AH104-$AG104-$AF104-$AE104*(1+BH$3))/$AJ104,'Технический лист'!$I:$J,2,1)-VLOOKUP($AO104,'Технический лист'!$I:$J,2,1)),1+(1-$AU104))</f>
        <v/>
      </c>
      <c r="BI104" s="172">
        <f>MIN(IF($AU104=100%,1,1+VLOOKUP(($AJ104-$AI104-$AH104-$AG104-$AF104-$AE104*(1+BI$3))/$AJ104,'Технический лист'!$I:$J,2,1)-VLOOKUP($AO104,'Технический лист'!$I:$J,2,1)),1+(1-$AU104))</f>
        <v/>
      </c>
      <c r="BJ104" s="172">
        <f>MIN(IF($AU104=100%,1,1+VLOOKUP(($AJ104-$AI104-$AH104-$AG104-$AF104-$AE104*(1+BJ$3))/$AJ104,'Технический лист'!$I:$J,2,1)-VLOOKUP($AO104,'Технический лист'!$I:$J,2,1)),1+(1-$AU104))</f>
        <v/>
      </c>
      <c r="BK104" s="172">
        <f>MIN(IF($AU104=100%,1,1+VLOOKUP(($AJ104-$AI104-$AH104-$AG104-$AF104-$AE104*(1+BK$3))/$AJ104,'Технический лист'!$I:$J,2,1)-VLOOKUP($AO104,'Технический лист'!$I:$J,2,1)),1+(1-$AU104))</f>
        <v/>
      </c>
      <c r="BL104" s="172">
        <f>MIN(IF($AU104=100%,1,1+VLOOKUP(($AJ104-$AI104-$AH104-$AG104-$AF104-$AE104*(1+BL$3))/$AJ104,'Технический лист'!$I:$J,2,1)-VLOOKUP($AO104,'Технический лист'!$I:$J,2,1)),1+(1-$AU104))</f>
        <v/>
      </c>
      <c r="BM104" s="172">
        <f>MIN(IF($AU104=100%,1,1+VLOOKUP(($AJ104-$AI104-$AH104-$AG104-$AF104-$AE104*(1+BM$3))/$AJ104,'Технический лист'!$I:$J,2,1)-VLOOKUP($AO104,'Технический лист'!$I:$J,2,1)),1+(1-$AU104))</f>
        <v/>
      </c>
      <c r="BN104" s="172">
        <f>MIN(IF($AU104=100%,1,1+VLOOKUP(($AJ104-$AI104-$AH104-$AG104-$AF104-$AE104*(1+BN$3))/$AJ104,'Технический лист'!$I:$J,2,1)-VLOOKUP($AO104,'Технический лист'!$I:$J,2,1)),1+(1-$AU104))</f>
        <v/>
      </c>
      <c r="BO104" s="172">
        <f>MIN(IF($AU104=100%,1,1+VLOOKUP(($AJ104-$AI104-$AH104-$AG104-$AF104-$AE104*(1+BO$3))/$AJ104,'Технический лист'!$I:$J,2,1)-VLOOKUP($AO104,'Технический лист'!$I:$J,2,1)),1+(1-$AU104))</f>
        <v/>
      </c>
      <c r="BP104" s="172">
        <f>MIN(IF($AU104=100%,1,1+VLOOKUP(($AJ104-$AI104-$AH104-$AG104-$AF104-$AE104*(1+BP$3))/$AJ104,'Технический лист'!$I:$J,2,1)-VLOOKUP($AO104,'Технический лист'!$I:$J,2,1)),1+(1-$AU104))</f>
        <v/>
      </c>
      <c r="BQ104" s="172">
        <f>MIN(IF($AU104=100%,1,1+VLOOKUP(($AJ104-$AI104-$AH104-$AG104-$AF104-$AE104*(1+BQ$3))/$AJ104,'Технический лист'!$I:$J,2,1)-VLOOKUP($AO104,'Технический лист'!$I:$J,2,1)),1+(1-$AU104))</f>
        <v/>
      </c>
      <c r="BR104" s="172">
        <f>MIN(IF($AU104=100%,1,1+VLOOKUP(($AJ104-$AI104-$AH104-$AG104-$AF104-$AE104*(1+BR$3))/$AJ104,'Технический лист'!$I:$J,2,1)-VLOOKUP($AO104,'Технический лист'!$I:$J,2,1)),1+(1-$AU104))</f>
        <v/>
      </c>
      <c r="BS104" s="172">
        <f>MIN(IF($AU104=100%,1,1+VLOOKUP(($AJ104-$AI104-$AH104-$AG104-$AF104-$AE104*(1+BS$3))/$AJ104,'Технический лист'!$I:$J,2,1)-VLOOKUP($AO104,'Технический лист'!$I:$J,2,1)),1+(1-$AU104))</f>
        <v/>
      </c>
      <c r="BT104" s="172">
        <f>MIN(IF($AU104=100%,1,1+VLOOKUP(($AJ104-$AI104-$AH104-$AG104-$AF104-$AE104*(1+BT$3))/$AJ104,'Технический лист'!$I:$J,2,1)-VLOOKUP($AO104,'Технический лист'!$I:$J,2,1)),1+(1-$AU104))</f>
        <v/>
      </c>
      <c r="BU104" s="172">
        <f>MIN(IF($AU104=100%,1,1+VLOOKUP(($AJ104-$AI104-$AH104-$AG104-$AF104-$AE104*(1+BU$3))/$AJ104,'Технический лист'!$I:$J,2,1)-VLOOKUP($AO104,'Технический лист'!$I:$J,2,1)),1+(1-$AU104))</f>
        <v/>
      </c>
      <c r="BV104" s="172">
        <f>MIN(IF($AU104=100%,1,1+VLOOKUP(($AJ104-$AI104-$AH104-$AG104-$AF104-$AE104*(1+BV$3))/$AJ104,'Технический лист'!$I:$J,2,1)-VLOOKUP($AO104,'Технический лист'!$I:$J,2,1)),1+(1-$AU104))</f>
        <v/>
      </c>
      <c r="BW104" s="172">
        <f>MIN(IF($AU104=100%,1,1+VLOOKUP(($AJ104-$AI104-$AH104-$AG104-$AF104-$AE104*(1+BW$3))/$AJ104,'Технический лист'!$I:$J,2,1)-VLOOKUP($AO104,'Технический лист'!$I:$J,2,1)),1+(1-$AU104))</f>
        <v/>
      </c>
      <c r="BX104" s="172">
        <f>MIN(IF($AU104=100%,1,1+VLOOKUP(($AJ104-$AI104-$AH104-$AG104-$AF104-$AE104*(1+BX$3))/$AJ104,'Технический лист'!$I:$J,2,1)-VLOOKUP($AO104,'Технический лист'!$I:$J,2,1)),1+(1-$AU104))</f>
        <v/>
      </c>
      <c r="BY104" s="172">
        <f>MIN(IF($AU104=100%,1,1+VLOOKUP(($AJ104-$AI104-$AH104-$AG104-$AF104-$AE104*(1+BY$3))/$AJ104,'Технический лист'!$I:$J,2,1)-VLOOKUP($AO104,'Технический лист'!$I:$J,2,1)),1+(1-$AU104))</f>
        <v/>
      </c>
      <c r="BZ104" s="172">
        <f>MIN(IF($AU104=100%,1,1+VLOOKUP(($AJ104-$AI104-$AH104-$AG104-$AF104-$AE104*(1+BZ$3))/$AJ104,'Технический лист'!$I:$J,2,1)-VLOOKUP($AO104,'Технический лист'!$I:$J,2,1)),1+(1-$AU104))</f>
        <v/>
      </c>
      <c r="CA104" s="172">
        <f>MIN(IF($AU104=100%,1,1+VLOOKUP(($AJ104-$AI104-$AH104-$AG104-$AF104-$AE104*(1+CA$3))/$AJ104,'Технический лист'!$I:$J,2,1)-VLOOKUP($AO104,'Технический лист'!$I:$J,2,1)),1+(1-$AU104))</f>
        <v/>
      </c>
      <c r="CB104" s="172">
        <f>MIN(IF($AU104=100%,1,1+VLOOKUP(($AJ104-$AI104-$AH104-$AG104-$AF104-$AE104*(1+CB$3))/$AJ104,'Технический лист'!$I:$J,2,1)-VLOOKUP($AO104,'Технический лист'!$I:$J,2,1)),1+(1-$AU104))</f>
        <v/>
      </c>
      <c r="CC104" s="172">
        <f>MIN(IF($AU104=100%,1,1+VLOOKUP(($AJ104-$AI104-$AH104-$AG104-$AF104-$AE104*(1+CC$3))/$AJ104,'Технический лист'!$I:$J,2,1)-VLOOKUP($AO104,'Технический лист'!$I:$J,2,1)),1+(1-$AU104))</f>
        <v/>
      </c>
      <c r="CD104" s="172">
        <f>MIN(IF($AU104=100%,1,1+VLOOKUP(($AJ104-$AI104-$AH104-$AG104-$AF104-$AE104*(1+CD$3))/$AJ104,'Технический лист'!$I:$J,2,1)-VLOOKUP($AO104,'Технический лист'!$I:$J,2,1)),1+(1-$AU104))</f>
        <v/>
      </c>
      <c r="CE104" s="172">
        <f>MIN(IF($AU104=100%,1,1+VLOOKUP(($AJ104-$AI104-$AH104-$AG104-$AF104-$AE104*(1+CE$3))/$AJ104,'Технический лист'!$I:$J,2,1)-VLOOKUP($AO104,'Технический лист'!$I:$J,2,1)),1+(1-$AU104))</f>
        <v/>
      </c>
      <c r="CF104" s="172">
        <f>MIN(IF($AU104=100%,1,1+VLOOKUP(($AJ104-$AI104-$AH104-$AG104-$AF104-$AE104*(1+CF$3))/$AJ104,'Технический лист'!$I:$J,2,1)-VLOOKUP($AO104,'Технический лист'!$I:$J,2,1)),1+(1-$AU104))</f>
        <v/>
      </c>
      <c r="CG104" s="172">
        <f>MIN(IF($AU104=100%,1,1+VLOOKUP(($AJ104-$AI104-$AH104-$AG104-$AF104-$AE104*(1+CG$3))/$AJ104,'Технический лист'!$I:$J,2,1)-VLOOKUP($AO104,'Технический лист'!$I:$J,2,1)),1+(1-$AU104))</f>
        <v/>
      </c>
      <c r="CH104" s="172">
        <f>MIN(IF($AU104=100%,1,1+VLOOKUP(($AJ104-$AI104-$AH104-$AG104-$AF104-$AE104*(1+CH$3))/$AJ104,'Технический лист'!$I:$J,2,1)-VLOOKUP($AO104,'Технический лист'!$I:$J,2,1)),1+(1-$AU104))</f>
        <v/>
      </c>
      <c r="CI104" s="172">
        <f>MIN(IF($AU104=100%,1,1+VLOOKUP(($AJ104-$AI104-$AH104-$AG104-$AF104-$AE104*(1+CI$3))/$AJ104,'Технический лист'!$I:$J,2,1)-VLOOKUP($AO104,'Технический лист'!$I:$J,2,1)),1+(1-$AU104))</f>
        <v/>
      </c>
      <c r="CJ104" s="172">
        <f>MIN(IF($AU104=100%,1,1+VLOOKUP(($AJ104-$AI104-$AH104-$AG104-$AF104-$AE104*(1+CJ$3))/$AJ104,'Технический лист'!$I:$J,2,1)-VLOOKUP($AO104,'Технический лист'!$I:$J,2,1)),1+(1-$AU104))</f>
        <v/>
      </c>
      <c r="CK104" s="172">
        <f>MIN(IF($AU104=100%,1,1+VLOOKUP(($AJ104-$AI104-$AH104-$AG104-$AF104-$AE104*(1+CK$3))/$AJ104,'Технический лист'!$I:$J,2,1)-VLOOKUP($AO104,'Технический лист'!$I:$J,2,1)),1+(1-$AU104))</f>
        <v/>
      </c>
      <c r="CL104" s="172">
        <f>MIN(IF($AU104=100%,1,1+VLOOKUP(($AJ104-$AI104-$AH104-$AG104-$AF104-$AE104*(1+CL$3))/$AJ104,'Технический лист'!$I:$J,2,1)-VLOOKUP($AO104,'Технический лист'!$I:$J,2,1)),1+(1-$AU104))</f>
        <v/>
      </c>
      <c r="CM104" s="172">
        <f>MIN(IF($AU104=100%,1,1+VLOOKUP(($AJ104-$AI104-$AH104-$AG104-$AF104-$AE104*(1+CM$3))/$AJ104,'Технический лист'!$I:$J,2,1)-VLOOKUP($AO104,'Технический лист'!$I:$J,2,1)),1+(1-$AU104))</f>
        <v/>
      </c>
      <c r="CN104" s="172">
        <f>MIN(IF($AU104=100%,1,1+VLOOKUP(($AJ104-$AI104-$AH104-$AG104-$AF104-$AE104*(1+CN$3))/$AJ104,'Технический лист'!$I:$J,2,1)-VLOOKUP($AO104,'Технический лист'!$I:$J,2,1)),1+(1-$AU104))</f>
        <v/>
      </c>
      <c r="CO104" s="172">
        <f>MIN(IF($AU104=100%,1,1+VLOOKUP(($AJ104-$AI104-$AH104-$AG104-$AF104-$AE104*(1+CO$3))/$AJ104,'Технический лист'!$I:$J,2,1)-VLOOKUP($AO104,'Технический лист'!$I:$J,2,1)),1+(1-$AU104))</f>
        <v/>
      </c>
      <c r="CP104" s="172">
        <f>MIN(IF($AU104=100%,1,1+VLOOKUP(($AJ104-$AI104-$AH104-$AG104-$AF104-$AE104*(1+CP$3))/$AJ104,'Технический лист'!$I:$J,2,1)-VLOOKUP($AO104,'Технический лист'!$I:$J,2,1)),1+(1-$AU104))</f>
        <v/>
      </c>
      <c r="CQ104" s="172">
        <f>MIN(IF($AU104=100%,1,1+VLOOKUP(($AJ104-$AI104-$AH104-$AG104-$AF104-$AE104*(1+CQ$3))/$AJ104,'Технический лист'!$I:$J,2,1)-VLOOKUP($AO104,'Технический лист'!$I:$J,2,1)),1+(1-$AU104))</f>
        <v/>
      </c>
      <c r="CR104" s="172">
        <f>MIN(IF($AU104=100%,1,1+VLOOKUP(($AJ104-$AI104-$AH104-$AG104-$AF104-$AE104*(1+CR$3))/$AJ104,'Технический лист'!$I:$J,2,1)-VLOOKUP($AO104,'Технический лист'!$I:$J,2,1)),1+(1-$AU104))</f>
        <v/>
      </c>
      <c r="CS104" s="172">
        <f>MIN(IF($AU104=100%,1,1+VLOOKUP(($AJ104-$AI104-$AH104-$AG104-$AF104-$AE104*(1+CS$3))/$AJ104,'Технический лист'!$I:$J,2,1)-VLOOKUP($AO104,'Технический лист'!$I:$J,2,1)),1+(1-$AU104))</f>
        <v/>
      </c>
      <c r="CT104" s="172">
        <f>MIN(IF($AU104=100%,1,1+VLOOKUP(($AJ104-$AI104-$AH104-$AG104-$AF104-$AE104*(1+CT$3))/$AJ104,'Технический лист'!$I:$J,2,1)-VLOOKUP($AO104,'Технический лист'!$I:$J,2,1)),1+(1-$AU104))</f>
        <v/>
      </c>
      <c r="CU104" s="172">
        <f>MIN(IF($AU104=100%,1,1+VLOOKUP(($AJ104-$AI104-$AH104-$AG104-$AF104-$AE104*(1+CU$3))/$AJ104,'Технический лист'!$I:$J,2,1)-VLOOKUP($AO104,'Технический лист'!$I:$J,2,1)),1+(1-$AU104))</f>
        <v/>
      </c>
      <c r="CV104" s="172">
        <f>MIN(IF($AU104=100%,1,1+VLOOKUP(($AJ104-$AI104-$AH104-$AG104-$AF104-$AE104*(1+CV$3))/$AJ104,'Технический лист'!$I:$J,2,1)-VLOOKUP($AO104,'Технический лист'!$I:$J,2,1)),1+(1-$AU104))</f>
        <v/>
      </c>
      <c r="CW104" s="172">
        <f>MIN(IF($AU104=100%,1,1+VLOOKUP(($AJ104-$AI104-$AH104-$AG104-$AF104-$AE104*(1+CW$3))/$AJ104,'Технический лист'!$I:$J,2,1)-VLOOKUP($AO104,'Технический лист'!$I:$J,2,1)),1+(1-$AU104))</f>
        <v/>
      </c>
      <c r="CX104" s="172">
        <f>MIN(IF($AU104=100%,1,1+VLOOKUP(($AJ104-$AI104-$AH104-$AG104-$AF104-$AE104*(1+CX$3))/$AJ104,'Технический лист'!$I:$J,2,1)-VLOOKUP($AO104,'Технический лист'!$I:$J,2,1)),1+(1-$AU104))</f>
        <v/>
      </c>
      <c r="CY104" s="172">
        <f>MIN(IF($AU104=100%,1,1+VLOOKUP(($AJ104-$AI104-$AH104-$AG104-$AF104-$AE104*(1+CY$3))/$AJ104,'Технический лист'!$I:$J,2,1)-VLOOKUP($AO104,'Технический лист'!$I:$J,2,1)),1+(1-$AU104))</f>
        <v/>
      </c>
      <c r="CZ104" s="172">
        <f>MIN(IF($AU104=100%,1,1+VLOOKUP(($AJ104-$AI104-$AH104-$AG104-$AF104-$AE104*(1+CZ$3))/$AJ104,'Технический лист'!$I:$J,2,1)-VLOOKUP($AO104,'Технический лист'!$I:$J,2,1)),1+(1-$AU104))</f>
        <v/>
      </c>
      <c r="DA104" s="172">
        <f>MIN(IF($AU104=100%,1,1+VLOOKUP(($AJ104-$AI104-$AH104-$AG104-$AF104-$AE104*(1+DA$3))/$AJ104,'Технический лист'!$I:$J,2,1)-VLOOKUP($AO104,'Технический лист'!$I:$J,2,1)),1+(1-$AU104))</f>
        <v/>
      </c>
      <c r="DB104" s="172">
        <f>MIN(IF($AU104=100%,1,1+VLOOKUP(($AJ104-$AI104-$AH104-$AG104-$AF104-$AE104*(1+DB$3))/$AJ104,'Технический лист'!$I:$J,2,1)-VLOOKUP($AO104,'Технический лист'!$I:$J,2,1)),1+(1-$AU104))</f>
        <v/>
      </c>
      <c r="DC104" s="172">
        <f>MIN(IF($AU104=100%,1,1+VLOOKUP(($AJ104-$AI104-$AH104-$AG104-$AF104-$AE104*(1+DC$3))/$AJ104,'Технический лист'!$I:$J,2,1)-VLOOKUP($AO104,'Технический лист'!$I:$J,2,1)),1+(1-$AU104))</f>
        <v/>
      </c>
      <c r="DD104" s="172">
        <f>MIN(IF($AU104=100%,1,1+VLOOKUP(($AJ104-$AI104-$AH104-$AG104-$AF104-$AE104*(1+DD$3))/$AJ104,'Технический лист'!$I:$J,2,1)-VLOOKUP($AO104,'Технический лист'!$I:$J,2,1)),1+(1-$AU104))</f>
        <v/>
      </c>
      <c r="DE104" s="172">
        <f>MIN(IF($AU104=100%,1,1+VLOOKUP(($AJ104-$AI104-$AH104-$AG104-$AF104-$AE104*(1+DE$3))/$AJ104,'Технический лист'!$I:$J,2,1)-VLOOKUP($AO104,'Технический лист'!$I:$J,2,1)),1+(1-$AU104))</f>
        <v/>
      </c>
      <c r="DF104" s="172">
        <f>MIN(IF($AU104=100%,1,1+VLOOKUP(($AJ104-$AI104-$AH104-$AG104-$AF104-$AE104*(1+DF$3))/$AJ104,'Технический лист'!$I:$J,2,1)-VLOOKUP($AO104,'Технический лист'!$I:$J,2,1)),1+(1-$AU104))</f>
        <v/>
      </c>
      <c r="DG104" s="172">
        <f>MIN(IF($AU104=100%,1,1+VLOOKUP(($AJ104-$AI104-$AH104-$AG104-$AF104-$AE104*(1+DG$3))/$AJ104,'Технический лист'!$I:$J,2,1)-VLOOKUP($AO104,'Технический лист'!$I:$J,2,1)),1+(1-$AU104))</f>
        <v/>
      </c>
      <c r="DH104" s="172">
        <f>MIN(IF($AU104=100%,1,1+VLOOKUP(($AJ104-$AI104-$AH104-$AG104-$AF104-$AE104*(1+DH$3))/$AJ104,'Технический лист'!$I:$J,2,1)-VLOOKUP($AO104,'Технический лист'!$I:$J,2,1)),1+(1-$AU104))</f>
        <v/>
      </c>
      <c r="DI104" s="172">
        <f>MIN(IF($AU104=100%,1,1+VLOOKUP(($AJ104-$AI104-$AH104-$AG104-$AF104-$AE104*(1+DI$3))/$AJ104,'Технический лист'!$I:$J,2,1)-VLOOKUP($AO104,'Технический лист'!$I:$J,2,1)),1+(1-$AU104))</f>
        <v/>
      </c>
      <c r="DJ104" s="172">
        <f>MIN(IF($AU104=100%,1,1+VLOOKUP(($AJ104-$AI104-$AH104-$AG104-$AF104-$AE104*(1+DJ$3))/$AJ104,'Технический лист'!$I:$J,2,1)-VLOOKUP($AO104,'Технический лист'!$I:$J,2,1)),1+(1-$AU104))</f>
        <v/>
      </c>
      <c r="DK104" s="172">
        <f>MIN(IF($AU104=100%,1,1+VLOOKUP(($AJ104-$AI104-$AH104-$AG104-$AF104-$AE104*(1+DK$3))/$AJ104,'Технический лист'!$I:$J,2,1)-VLOOKUP($AO104,'Технический лист'!$I:$J,2,1)),1+(1-$AU104))</f>
        <v/>
      </c>
      <c r="DL104" s="172">
        <f>MIN(IF($AU104=100%,1,1+VLOOKUP(($AJ104-$AI104-$AH104-$AG104-$AF104-$AE104*(1+DL$3))/$AJ104,'Технический лист'!$I:$J,2,1)-VLOOKUP($AO104,'Технический лист'!$I:$J,2,1)),1+(1-$AU104))</f>
        <v/>
      </c>
      <c r="DM104" s="172">
        <f>MIN(IF($AU104=100%,1,1+VLOOKUP(($AJ104-$AI104-$AH104-$AG104-$AF104-$AE104*(1+DM$3))/$AJ104,'Технический лист'!$I:$J,2,1)-VLOOKUP($AO104,'Технический лист'!$I:$J,2,1)),1+(1-$AU104))</f>
        <v/>
      </c>
      <c r="DN104" s="172">
        <f>MIN(IF($AU104=100%,1,1+VLOOKUP(($AJ104-$AI104-$AH104-$AG104-$AF104-$AE104*(1+DN$3))/$AJ104,'Технический лист'!$I:$J,2,1)-VLOOKUP($AO104,'Технический лист'!$I:$J,2,1)),1+(1-$AU104))</f>
        <v/>
      </c>
      <c r="DO104" s="172">
        <f>MIN(IF($AU104=100%,1,1+VLOOKUP(($AJ104-$AI104-$AH104-$AG104-$AF104-$AE104*(1+DO$3))/$AJ104,'Технический лист'!$I:$J,2,1)-VLOOKUP($AO104,'Технический лист'!$I:$J,2,1)),1+(1-$AU104))</f>
        <v/>
      </c>
      <c r="DP104" s="172">
        <f>MIN(IF($AU104=100%,1,1+VLOOKUP(($AJ104-$AI104-$AH104-$AG104-$AF104-$AE104*(1+DP$3))/$AJ104,'Технический лист'!$I:$J,2,1)-VLOOKUP($AO104,'Технический лист'!$I:$J,2,1)),1+(1-$AU104))</f>
        <v/>
      </c>
      <c r="DQ104" s="172">
        <f>MIN(IF($AU104=100%,1,1+VLOOKUP(($AJ104-$AI104-$AH104-$AG104-$AF104-$AE104*(1+DQ$3))/$AJ104,'Технический лист'!$I:$J,2,1)-VLOOKUP($AO104,'Технический лист'!$I:$J,2,1)),1+(1-$AU104))</f>
        <v/>
      </c>
      <c r="DR104" s="172">
        <f>MIN(IF($AU104=100%,1,1+VLOOKUP(($AJ104-$AI104-$AH104-$AG104-$AF104-$AE104*(1+DR$3))/$AJ104,'Технический лист'!$I:$J,2,1)-VLOOKUP($AO104,'Технический лист'!$I:$J,2,1)),1+(1-$AU104))</f>
        <v/>
      </c>
      <c r="DS104" s="172">
        <f>MIN(IF($AU104=100%,1,1+VLOOKUP(($AJ104-$AI104-$AH104-$AG104-$AF104-$AE104*(1+DS$3))/$AJ104,'Технический лист'!$I:$J,2,1)-VLOOKUP($AO104,'Технический лист'!$I:$J,2,1)),1+(1-$AU104))</f>
        <v/>
      </c>
      <c r="DT104" s="172">
        <f>MIN(IF($AU104=100%,1,1+VLOOKUP(($AJ104-$AI104-$AH104-$AG104-$AF104-$AE104*(1+DT$3))/$AJ104,'Технический лист'!$I:$J,2,1)-VLOOKUP($AO104,'Технический лист'!$I:$J,2,1)),1+(1-$AU104))</f>
        <v/>
      </c>
      <c r="DU104" s="172">
        <f>MIN(IF($AU104=100%,1,1+VLOOKUP(($AJ104-$AI104-$AH104-$AG104-$AF104-$AE104*(1+DU$3))/$AJ104,'Технический лист'!$I:$J,2,1)-VLOOKUP($AO104,'Технический лист'!$I:$J,2,1)),1+(1-$AU104))</f>
        <v/>
      </c>
      <c r="DV104" s="172">
        <f>MIN(IF($AU104=100%,1,1+VLOOKUP(($AJ104-$AI104-$AH104-$AG104-$AF104-$AE104*(1+DV$3))/$AJ104,'Технический лист'!$I:$J,2,1)-VLOOKUP($AO104,'Технический лист'!$I:$J,2,1)),1+(1-$AU104))</f>
        <v/>
      </c>
      <c r="DW104" s="172">
        <f>MIN(IF($AU104=100%,1,1+VLOOKUP(($AJ104-$AI104-$AH104-$AG104-$AF104-$AE104*(1+DW$3))/$AJ104,'Технический лист'!$I:$J,2,1)-VLOOKUP($AO104,'Технический лист'!$I:$J,2,1)),1+(1-$AU104))</f>
        <v/>
      </c>
      <c r="DX104" s="172">
        <f>MIN(IF($AU104=100%,1,1+VLOOKUP(($AJ104-$AI104-$AH104-$AG104-$AF104-$AE104*(1+DX$3))/$AJ104,'Технический лист'!$I:$J,2,1)-VLOOKUP($AO104,'Технический лист'!$I:$J,2,1)),1+(1-$AU104))</f>
        <v/>
      </c>
      <c r="DY104" s="172">
        <f>MIN(IF($AU104=100%,1,1+VLOOKUP(($AJ104-$AI104-$AH104-$AG104-$AF104-$AE104*(1+DY$3))/$AJ104,'Технический лист'!$I:$J,2,1)-VLOOKUP($AO104,'Технический лист'!$I:$J,2,1)),1+(1-$AU104))</f>
        <v/>
      </c>
      <c r="DZ104" s="172">
        <f>MIN(IF($AU104=100%,1,1+VLOOKUP(($AJ104-$AI104-$AH104-$AG104-$AF104-$AE104*(1+DZ$3))/$AJ104,'Технический лист'!$I:$J,2,1)-VLOOKUP($AO104,'Технический лист'!$I:$J,2,1)),1+(1-$AU104))</f>
        <v/>
      </c>
      <c r="EA104" s="172">
        <f>MIN(IF($AU104=100%,1,1+VLOOKUP(($AJ104-$AI104-$AH104-$AG104-$AF104-$AE104*(1+EA$3))/$AJ104,'Технический лист'!$I:$J,2,1)-VLOOKUP($AO104,'Технический лист'!$I:$J,2,1)),1+(1-$AU104))</f>
        <v/>
      </c>
      <c r="EB104" s="172">
        <f>MIN(IF($AU104=100%,1,1+VLOOKUP(($AJ104-$AI104-$AH104-$AG104-$AF104-$AE104*(1+EB$3))/$AJ104,'Технический лист'!$I:$J,2,1)-VLOOKUP($AO104,'Технический лист'!$I:$J,2,1)),1+(1-$AU104))</f>
        <v/>
      </c>
      <c r="EC104" s="172">
        <f>MIN(IF($AU104=100%,1,1+VLOOKUP(($AJ104-$AI104-$AH104-$AG104-$AF104-$AE104*(1+EC$3))/$AJ104,'Технический лист'!$I:$J,2,1)-VLOOKUP($AO104,'Технический лист'!$I:$J,2,1)),1+(1-$AU104))</f>
        <v/>
      </c>
      <c r="ED104" s="172">
        <f>MIN(IF($AU104=100%,1,1+VLOOKUP(($AJ104-$AI104-$AH104-$AG104-$AF104-$AE104*(1+ED$3))/$AJ104,'Технический лист'!$I:$J,2,1)-VLOOKUP($AO104,'Технический лист'!$I:$J,2,1)),1+(1-$AU104))</f>
        <v/>
      </c>
      <c r="EE104" s="172">
        <f>MIN(IF($AU104=100%,1,1+VLOOKUP(($AJ104-$AI104-$AH104-$AG104-$AF104-$AE104*(1+EE$3))/$AJ104,'Технический лист'!$I:$J,2,1)-VLOOKUP($AO104,'Технический лист'!$I:$J,2,1)),1+(1-$AU104))</f>
        <v/>
      </c>
      <c r="EF104" s="172">
        <f>MIN(IF($AU104=100%,1,1+VLOOKUP(($AJ104-$AI104-$AH104-$AG104-$AF104-$AE104*(1+EF$3))/$AJ104,'Технический лист'!$I:$J,2,1)-VLOOKUP($AO104,'Технический лист'!$I:$J,2,1)),1+(1-$AU104))</f>
        <v/>
      </c>
      <c r="EG104" s="172">
        <f>MIN(IF($AU104=100%,1,1+VLOOKUP(($AJ104-$AI104-$AH104-$AG104-$AF104-$AE104*(1+EG$3))/$AJ104,'Технический лист'!$I:$J,2,1)-VLOOKUP($AO104,'Технический лист'!$I:$J,2,1)),1+(1-$AU104))</f>
        <v/>
      </c>
      <c r="EH104" s="172">
        <f>MIN(IF($AU104=100%,1,1+VLOOKUP(($AJ104-$AI104-$AH104-$AG104-$AF104-$AE104*(1+EH$3))/$AJ104,'Технический лист'!$I:$J,2,1)-VLOOKUP($AO104,'Технический лист'!$I:$J,2,1)),1+(1-$AU104))</f>
        <v/>
      </c>
      <c r="EI104" s="172">
        <f>MIN(IF($AU104=100%,1,1+VLOOKUP(($AJ104-$AI104-$AH104-$AG104-$AF104-$AE104*(1+EI$3))/$AJ104,'Технический лист'!$I:$J,2,1)-VLOOKUP($AO104,'Технический лист'!$I:$J,2,1)),1+(1-$AU104))</f>
        <v/>
      </c>
      <c r="EJ104" s="172">
        <f>MIN(IF($AU104=100%,1,1+VLOOKUP(($AJ104-$AI104-$AH104-$AG104-$AF104-$AE104*(1+EJ$3))/$AJ104,'Технический лист'!$I:$J,2,1)-VLOOKUP($AO104,'Технический лист'!$I:$J,2,1)),1+(1-$AU104))</f>
        <v/>
      </c>
      <c r="EK104" s="172">
        <f>MIN(IF($AU104=100%,1,1+VLOOKUP(($AJ104-$AI104-$AH104-$AG104-$AF104-$AE104*(1+EK$3))/$AJ104,'Технический лист'!$I:$J,2,1)-VLOOKUP($AO104,'Технический лист'!$I:$J,2,1)),1+(1-$AU104))</f>
        <v/>
      </c>
      <c r="EL104" s="172">
        <f>MIN(IF($AU104=100%,1,1+VLOOKUP(($AJ104-$AI104-$AH104-$AG104-$AF104-$AE104*(1+EL$3))/$AJ104,'Технический лист'!$I:$J,2,1)-VLOOKUP($AO104,'Технический лист'!$I:$J,2,1)),1+(1-$AU104))</f>
        <v/>
      </c>
      <c r="EM104" s="172">
        <f>MIN(IF($AU104=100%,1,1+VLOOKUP(($AJ104-$AI104-$AH104-$AG104-$AF104-$AE104*(1+EM$3))/$AJ104,'Технический лист'!$I:$J,2,1)-VLOOKUP($AO104,'Технический лист'!$I:$J,2,1)),1+(1-$AU104))</f>
        <v/>
      </c>
      <c r="EN104" s="172">
        <f>MIN(IF($AU104=100%,1,1+VLOOKUP(($AJ104-$AI104-$AH104-$AG104-$AF104-$AE104*(1+EN$3))/$AJ104,'Технический лист'!$I:$J,2,1)-VLOOKUP($AO104,'Технический лист'!$I:$J,2,1)),1+(1-$AU104))</f>
        <v/>
      </c>
      <c r="EO104" s="172">
        <f>MIN(IF($AU104=100%,1,1+VLOOKUP(($AJ104-$AI104-$AH104-$AG104-$AF104-$AE104*(1+EO$3))/$AJ104,'Технический лист'!$I:$J,2,1)-VLOOKUP($AO104,'Технический лист'!$I:$J,2,1)),1+(1-$AU104))</f>
        <v/>
      </c>
      <c r="EP104" s="172">
        <f>MIN(IF($AU104=100%,1,1+VLOOKUP(($AJ104-$AI104-$AH104-$AG104-$AF104-$AE104*(1+EP$3))/$AJ104,'Технический лист'!$I:$J,2,1)-VLOOKUP($AO104,'Технический лист'!$I:$J,2,1)),1+(1-$AU104))</f>
        <v/>
      </c>
      <c r="EQ104" s="172">
        <f>MIN(IF($AU104=100%,1,1+VLOOKUP(($AJ104-$AI104-$AH104-$AG104-$AF104-$AE104*(1+EQ$3))/$AJ104,'Технический лист'!$I:$J,2,1)-VLOOKUP($AO104,'Технический лист'!$I:$J,2,1)),1+(1-$AU104))</f>
        <v/>
      </c>
      <c r="ER104" s="172">
        <f>MIN(IF($AU104=100%,1,1+VLOOKUP(($AJ104-$AI104-$AH104-$AG104-$AF104-$AE104*(1+ER$3))/$AJ104,'Технический лист'!$I:$J,2,1)-VLOOKUP($AO104,'Технический лист'!$I:$J,2,1)),1+(1-$AU104))</f>
        <v/>
      </c>
      <c r="ES104" s="172">
        <f>MIN(IF($AU104=100%,1,1+VLOOKUP(($AJ104-$AI104-$AH104-$AG104-$AF104-$AE104*(1+ES$3))/$AJ104,'Технический лист'!$I:$J,2,1)-VLOOKUP($AO104,'Технический лист'!$I:$J,2,1)),1+(1-$AU104))</f>
        <v/>
      </c>
      <c r="ET104" s="172">
        <f>MIN(IF($AU104=100%,1,1+VLOOKUP(($AJ104-$AI104-$AH104-$AG104-$AF104-$AE104*(1+ET$3))/$AJ104,'Технический лист'!$I:$J,2,1)-VLOOKUP($AO104,'Технический лист'!$I:$J,2,1)),1+(1-$AU104))</f>
        <v/>
      </c>
      <c r="EU104" s="172">
        <f>MIN(IF($AU104=100%,1,1+VLOOKUP(($AJ104-$AI104-$AH104-$AG104-$AF104-$AE104*(1+EU$3))/$AJ104,'Технический лист'!$I:$J,2,1)-VLOOKUP($AO104,'Технический лист'!$I:$J,2,1)),1+(1-$AU104))</f>
        <v/>
      </c>
      <c r="EV104" s="173" t="n">
        <v>1</v>
      </c>
      <c r="EW104" s="172">
        <f>MIN(1,MAX(VLOOKUP(($AJ104-$AI104-$AH104-$AG104-$AF104-$AE104*(1+EW$3))/$AJ104,'Технический лист'!$A:$B,2,1),(EV104-0.05)))</f>
        <v/>
      </c>
      <c r="EX104" s="172">
        <f>MIN(1,MAX(VLOOKUP(($AJ104-$AI104-$AH104-$AG104-$AF104-$AE104*(1+EX$3))/$AJ104,'Технический лист'!$A:$B,2,1),(EW104-0.05)))</f>
        <v/>
      </c>
      <c r="EY104" s="172">
        <f>MIN(1,MAX(VLOOKUP(($AJ104-$AI104-$AH104-$AG104-$AF104-$AE104*(1+EY$3))/$AJ104,'Технический лист'!$A:$B,2,1),(EX104-0.05)))</f>
        <v/>
      </c>
      <c r="EZ104" s="172">
        <f>MIN(1,MAX(VLOOKUP(($AJ104-$AI104-$AH104-$AG104-$AF104-$AE104*(1+EZ$3))/$AJ104,'Технический лист'!$A:$B,2,1),(EY104-0.05)))</f>
        <v/>
      </c>
      <c r="FA104" s="172">
        <f>MIN(1,MAX(VLOOKUP(($AJ104-$AI104-$AH104-$AG104-$AF104-$AE104*(1+FA$3))/$AJ104,'Технический лист'!$A:$B,2,1),(EZ104-0.05)))</f>
        <v/>
      </c>
      <c r="FB104" s="172">
        <f>MIN(1,MAX(VLOOKUP(($AJ104-$AI104-$AH104-$AG104-$AF104-$AE104*(1+FB$3))/$AJ104,'Технический лист'!$A:$B,2,1),(FA104-0.05)))</f>
        <v/>
      </c>
      <c r="FC104" s="172">
        <f>MIN(1,MAX(VLOOKUP(($AJ104-$AI104-$AH104-$AG104-$AF104-$AE104*(1+FC$3))/$AJ104,'Технический лист'!$A:$B,2,1),(FB104-0.05)))</f>
        <v/>
      </c>
      <c r="FD104" s="172">
        <f>MIN(1,MAX(VLOOKUP(($AJ104-$AI104-$AH104-$AG104-$AF104-$AE104*(1+FD$3))/$AJ104,'Технический лист'!$A:$B,2,1),(FC104-0.05)))</f>
        <v/>
      </c>
      <c r="FE104" s="172">
        <f>MIN(1,MAX(VLOOKUP(($AJ104-$AI104-$AH104-$AG104-$AF104-$AE104*(1+FE$3))/$AJ104,'Технический лист'!$A:$B,2,1),(FD104-0.05)))</f>
        <v/>
      </c>
      <c r="FF104" s="172">
        <f>MIN(1,MAX(VLOOKUP(($AJ104-$AI104-$AH104-$AG104-$AF104-$AE104*(1+FF$3))/$AJ104,'Технический лист'!$A:$B,2,1),(FE104-0.05)))</f>
        <v/>
      </c>
      <c r="FG104" s="172">
        <f>MIN(1,MAX(VLOOKUP(($AJ104-$AI104-$AH104-$AG104-$AF104-$AE104*(1+FG$3))/$AJ104,'Технический лист'!$A:$B,2,1),(FF104-0.05)))</f>
        <v/>
      </c>
      <c r="FH104" s="172">
        <f>MIN(1,MAX(VLOOKUP(($AJ104-$AI104-$AH104-$AG104-$AF104-$AE104*(1+FH$3))/$AJ104,'Технический лист'!$A:$B,2,1),(FG104-0.05)))</f>
        <v/>
      </c>
      <c r="FI104" s="172">
        <f>MIN(1,MAX(VLOOKUP(($AJ104-$AI104-$AH104-$AG104-$AF104-$AE104*(1+FI$3))/$AJ104,'Технический лист'!$A:$B,2,1),(FH104-0.05)))</f>
        <v/>
      </c>
      <c r="FJ104" s="172">
        <f>MIN(1,MAX(VLOOKUP(($AJ104-$AI104-$AH104-$AG104-$AF104-$AE104*(1+FJ$3))/$AJ104,'Технический лист'!$A:$B,2,1),(FI104-0.05)))</f>
        <v/>
      </c>
      <c r="FK104" s="172">
        <f>MIN(1,MAX(VLOOKUP(($AJ104-$AI104-$AH104-$AG104-$AF104-$AE104*(1+FK$3))/$AJ104,'Технический лист'!$A:$B,2,1),(FJ104-0.05)))</f>
        <v/>
      </c>
      <c r="FL104" s="172">
        <f>MIN(1,MAX(VLOOKUP(($AJ104-$AI104-$AH104-$AG104-$AF104-$AE104*(1+FL$3))/$AJ104,'Технический лист'!$A:$B,2,1),(FK104-0.05)))</f>
        <v/>
      </c>
      <c r="FM104" s="172">
        <f>MIN(1,MAX(VLOOKUP(($AJ104-$AI104-$AH104-$AG104-$AF104-$AE104*(1+FM$3))/$AJ104,'Технический лист'!$A:$B,2,1),(FL104-0.05)))</f>
        <v/>
      </c>
      <c r="FN104" s="172">
        <f>MIN(1,MAX(VLOOKUP(($AJ104-$AI104-$AH104-$AG104-$AF104-$AE104*(1+FN$3))/$AJ104,'Технический лист'!$A:$B,2,1),(FM104-0.05)))</f>
        <v/>
      </c>
      <c r="FO104" s="172">
        <f>MIN(1,MAX(VLOOKUP(($AJ104-$AI104-$AH104-$AG104-$AF104-$AE104*(1+FO$3))/$AJ104,'Технический лист'!$A:$B,2,1),(FN104-0.05)))</f>
        <v/>
      </c>
      <c r="FP104" s="172">
        <f>MIN(1,MAX(VLOOKUP(($AJ104-$AI104-$AH104-$AG104-$AF104-$AE104*(1+FP$3))/$AJ104,'Технический лист'!$A:$B,2,1),(FO104-0.05)))</f>
        <v/>
      </c>
      <c r="FQ104" s="172">
        <f>MIN(1,MAX(VLOOKUP(($AJ104-$AI104-$AH104-$AG104-$AF104-$AE104*(1+FQ$3))/$AJ104,'Технический лист'!$A:$B,2,1),(FP104-0.05)))</f>
        <v/>
      </c>
      <c r="FR104" s="172">
        <f>MIN(1,MAX(VLOOKUP(($AJ104-$AI104-$AH104-$AG104-$AF104-$AE104*(1+FR$3))/$AJ104,'Технический лист'!$A:$B,2,1),(FQ104-0.05)))</f>
        <v/>
      </c>
      <c r="FS104" s="172">
        <f>MIN(1,MAX(VLOOKUP(($AJ104-$AI104-$AH104-$AG104-$AF104-$AE104*(1+FS$3))/$AJ104,'Технический лист'!$A:$B,2,1),(FR104-0.05)))</f>
        <v/>
      </c>
      <c r="FT104" s="172">
        <f>MIN(1,MAX(VLOOKUP(($AJ104-$AI104-$AH104-$AG104-$AF104-$AE104*(1+FT$3))/$AJ104,'Технический лист'!$A:$B,2,1),(FS104-0.05)))</f>
        <v/>
      </c>
      <c r="FU104" s="172">
        <f>MIN(1,MAX(VLOOKUP(($AJ104-$AI104-$AH104-$AG104-$AF104-$AE104*(1+FU$3))/$AJ104,'Технический лист'!$A:$B,2,1),(FT104-0.05)))</f>
        <v/>
      </c>
      <c r="FV104" s="172">
        <f>MIN(1,MAX(VLOOKUP(($AJ104-$AI104-$AH104-$AG104-$AF104-$AE104*(1+FV$3))/$AJ104,'Технический лист'!$A:$B,2,1),(FU104-0.05)))</f>
        <v/>
      </c>
      <c r="FW104" s="172">
        <f>MIN(1,MAX(VLOOKUP(($AJ104-$AI104-$AH104-$AG104-$AF104-$AE104*(1+FW$3))/$AJ104,'Технический лист'!$A:$B,2,1),(FV104-0.05)))</f>
        <v/>
      </c>
      <c r="FX104" s="172">
        <f>MIN(1,MAX(VLOOKUP(($AJ104-$AI104-$AH104-$AG104-$AF104-$AE104*(1+FX$3))/$AJ104,'Технический лист'!$A:$B,2,1),(FW104-0.05)))</f>
        <v/>
      </c>
      <c r="FY104" s="172">
        <f>MIN(1,MAX(VLOOKUP(($AJ104-$AI104-$AH104-$AG104-$AF104-$AE104*(1+FY$3))/$AJ104,'Технический лист'!$A:$B,2,1),(FX104-0.05)))</f>
        <v/>
      </c>
      <c r="FZ104" s="172">
        <f>MIN(1,MAX(VLOOKUP(($AJ104-$AI104-$AH104-$AG104-$AF104-$AE104*(1+FZ$3))/$AJ104,'Технический лист'!$A:$B,2,1),(FY104-0.05)))</f>
        <v/>
      </c>
      <c r="GA104" s="172">
        <f>MIN(1,MAX(VLOOKUP(($AJ104-$AI104-$AH104-$AG104-$AF104-$AE104*(1+GA$3))/$AJ104,'Технический лист'!$A:$B,2,1),(FZ104-0.05)))</f>
        <v/>
      </c>
      <c r="GB104" s="172">
        <f>MIN(1,MAX(VLOOKUP(($AJ104-$AI104-$AH104-$AG104-$AF104-$AE104*(1+GB$3))/$AJ104,'Технический лист'!$A:$B,2,1),(GA104-0.05)))</f>
        <v/>
      </c>
      <c r="GC104" s="172">
        <f>MIN(1,MAX(VLOOKUP(($AJ104-$AI104-$AH104-$AG104-$AF104-$AE104*(1+GC$3))/$AJ104,'Технический лист'!$A:$B,2,1),(GB104-0.05)))</f>
        <v/>
      </c>
      <c r="GD104" s="172">
        <f>MIN(1,MAX(VLOOKUP(($AJ104-$AI104-$AH104-$AG104-$AF104-$AE104*(1+GD$3))/$AJ104,'Технический лист'!$A:$B,2,1),(GC104-0.05)))</f>
        <v/>
      </c>
      <c r="GE104" s="172">
        <f>MIN(1,MAX(VLOOKUP(($AJ104-$AI104-$AH104-$AG104-$AF104-$AE104*(1+GE$3))/$AJ104,'Технический лист'!$A:$B,2,1),(GD104-0.05)))</f>
        <v/>
      </c>
      <c r="GF104" s="172">
        <f>MIN(1,MAX(VLOOKUP(($AJ104-$AI104-$AH104-$AG104-$AF104-$AE104*(1+GF$3))/$AJ104,'Технический лист'!$A:$B,2,1),(GE104-0.05)))</f>
        <v/>
      </c>
      <c r="GG104" s="172">
        <f>MIN(1,MAX(VLOOKUP(($AJ104-$AI104-$AH104-$AG104-$AF104-$AE104*(1+GG$3))/$AJ104,'Технический лист'!$A:$B,2,1),(GF104-0.05)))</f>
        <v/>
      </c>
      <c r="GH104" s="172">
        <f>MIN(1,MAX(VLOOKUP(($AJ104-$AI104-$AH104-$AG104-$AF104-$AE104*(1+GH$3))/$AJ104,'Технический лист'!$A:$B,2,1),(GG104-0.05)))</f>
        <v/>
      </c>
      <c r="GI104" s="172">
        <f>MIN(1,MAX(VLOOKUP(($AJ104-$AI104-$AH104-$AG104-$AF104-$AE104*(1+GI$3))/$AJ104,'Технический лист'!$A:$B,2,1),(GH104-0.05)))</f>
        <v/>
      </c>
      <c r="GJ104" s="172">
        <f>MIN(1,MAX(VLOOKUP(($AJ104-$AI104-$AH104-$AG104-$AF104-$AE104*(1+GJ$3))/$AJ104,'Технический лист'!$A:$B,2,1),(GI104-0.05)))</f>
        <v/>
      </c>
      <c r="GK104" s="172">
        <f>MIN(1,MAX(VLOOKUP(($AJ104-$AI104-$AH104-$AG104-$AF104-$AE104*(1+GK$3))/$AJ104,'Технический лист'!$A:$B,2,1),(GJ104-0.05)))</f>
        <v/>
      </c>
      <c r="GL104" s="172">
        <f>MIN(1,MAX(VLOOKUP(($AJ104-$AI104-$AH104-$AG104-$AF104-$AE104*(1+GL$3))/$AJ104,'Технический лист'!$A:$B,2,1),(GK104-0.05)))</f>
        <v/>
      </c>
      <c r="GM104" s="172">
        <f>MIN(1,MAX(VLOOKUP(($AJ104-$AI104-$AH104-$AG104-$AF104-$AE104*(1+GM$3))/$AJ104,'Технический лист'!$A:$B,2,1),(GL104-0.05)))</f>
        <v/>
      </c>
      <c r="GN104" s="172">
        <f>MIN(1,MAX(VLOOKUP(($AJ104-$AI104-$AH104-$AG104-$AF104-$AE104*(1+GN$3))/$AJ104,'Технический лист'!$A:$B,2,1),(GM104-0.05)))</f>
        <v/>
      </c>
      <c r="GO104" s="172">
        <f>MIN(1,MAX(VLOOKUP(($AJ104-$AI104-$AH104-$AG104-$AF104-$AE104*(1+GO$3))/$AJ104,'Технический лист'!$A:$B,2,1),(GN104-0.05)))</f>
        <v/>
      </c>
      <c r="GP104" s="172">
        <f>MIN(1,MAX(VLOOKUP(($AJ104-$AI104-$AH104-$AG104-$AF104-$AE104*(1+GP$3))/$AJ104,'Технический лист'!$A:$B,2,1),(GO104-0.05)))</f>
        <v/>
      </c>
      <c r="GQ104" s="172">
        <f>MIN(1,MAX(VLOOKUP(($AJ104-$AI104-$AH104-$AG104-$AF104-$AE104*(1+GQ$3))/$AJ104,'Технический лист'!$A:$B,2,1),(GP104-0.05)))</f>
        <v/>
      </c>
      <c r="GR104" s="172">
        <f>MIN(1,MAX(VLOOKUP(($AJ104-$AI104-$AH104-$AG104-$AF104-$AE104*(1+GR$3))/$AJ104,'Технический лист'!$A:$B,2,1),(GQ104-0.05)))</f>
        <v/>
      </c>
      <c r="GS104" s="172">
        <f>MIN(1,MAX(VLOOKUP(($AJ104-$AI104-$AH104-$AG104-$AF104-$AE104*(1+GS$3))/$AJ104,'Технический лист'!$A:$B,2,1),(GR104-0.05)))</f>
        <v/>
      </c>
      <c r="GT104" s="172">
        <f>MIN(1,MAX(VLOOKUP(($AJ104-$AI104-$AH104-$AG104-$AF104-$AE104*(1+GT$3))/$AJ104,'Технический лист'!$A:$B,2,1),(GS104-0.05)))</f>
        <v/>
      </c>
      <c r="GU104" s="172">
        <f>MIN(1,MAX(VLOOKUP(($AJ104-$AI104-$AH104-$AG104-$AF104-$AE104*(1+GU$3))/$AJ104,'Технический лист'!$A:$B,2,1),(GT104-0.05)))</f>
        <v/>
      </c>
      <c r="GV104" s="172">
        <f>MIN(1,MAX(VLOOKUP(($AJ104-$AI104-$AH104-$AG104-$AF104-$AE104*(1+GV$3))/$AJ104,'Технический лист'!$A:$B,2,1),(GU104-0.05)))</f>
        <v/>
      </c>
      <c r="GW104" s="172">
        <f>MIN(1,MAX(VLOOKUP(($AJ104-$AI104-$AH104-$AG104-$AF104-$AE104*(1+GW$3))/$AJ104,'Технический лист'!$A:$B,2,1),(GV104-0.05)))</f>
        <v/>
      </c>
      <c r="GX104" s="172">
        <f>MIN(1,MAX(VLOOKUP(($AJ104-$AI104-$AH104-$AG104-$AF104-$AE104*(1+GX$3))/$AJ104,'Технический лист'!$A:$B,2,1),(GW104-0.05)))</f>
        <v/>
      </c>
      <c r="GY104" s="172">
        <f>MIN(1,MAX(VLOOKUP(($AJ104-$AI104-$AH104-$AG104-$AF104-$AE104*(1+GY$3))/$AJ104,'Технический лист'!$A:$B,2,1),(GX104-0.05)))</f>
        <v/>
      </c>
      <c r="GZ104" s="172">
        <f>MIN(1,MAX(VLOOKUP(($AJ104-$AI104-$AH104-$AG104-$AF104-$AE104*(1+GZ$3))/$AJ104,'Технический лист'!$A:$B,2,1),(GY104-0.05)))</f>
        <v/>
      </c>
      <c r="HA104" s="172">
        <f>MIN(1,MAX(VLOOKUP(($AJ104-$AI104-$AH104-$AG104-$AF104-$AE104*(1+HA$3))/$AJ104,'Технический лист'!$A:$B,2,1),(GZ104-0.05)))</f>
        <v/>
      </c>
      <c r="HB104" s="172">
        <f>MIN(1,MAX(VLOOKUP(($AJ104-$AI104-$AH104-$AG104-$AF104-$AE104*(1+HB$3))/$AJ104,'Технический лист'!$A:$B,2,1),(HA104-0.05)))</f>
        <v/>
      </c>
      <c r="HC104" s="172">
        <f>MIN(1,MAX(VLOOKUP(($AJ104-$AI104-$AH104-$AG104-$AF104-$AE104*(1+HC$3))/$AJ104,'Технический лист'!$A:$B,2,1),(HB104-0.05)))</f>
        <v/>
      </c>
      <c r="HD104" s="172">
        <f>MIN(1,MAX(VLOOKUP(($AJ104-$AI104-$AH104-$AG104-$AF104-$AE104*(1+HD$3))/$AJ104,'Технический лист'!$A:$B,2,1),(HC104-0.05)))</f>
        <v/>
      </c>
      <c r="HE104" s="172">
        <f>MIN(1,MAX(VLOOKUP(($AJ104-$AI104-$AH104-$AG104-$AF104-$AE104*(1+HE$3))/$AJ104,'Технический лист'!$A:$B,2,1),(HD104-0.05)))</f>
        <v/>
      </c>
      <c r="HF104" s="172">
        <f>MIN(1,MAX(VLOOKUP(($AJ104-$AI104-$AH104-$AG104-$AF104-$AE104*(1+HF$3))/$AJ104,'Технический лист'!$A:$B,2,1),(HE104-0.05)))</f>
        <v/>
      </c>
      <c r="HG104" s="172">
        <f>MIN(1,MAX(VLOOKUP(($AJ104-$AI104-$AH104-$AG104-$AF104-$AE104*(1+HG$3))/$AJ104,'Технический лист'!$A:$B,2,1),(HF104-0.05)))</f>
        <v/>
      </c>
      <c r="HH104" s="172">
        <f>MIN(1,MAX(VLOOKUP(($AJ104-$AI104-$AH104-$AG104-$AF104-$AE104*(1+HH$3))/$AJ104,'Технический лист'!$A:$B,2,1),(HG104-0.05)))</f>
        <v/>
      </c>
      <c r="HI104" s="172">
        <f>MIN(1,MAX(VLOOKUP(($AJ104-$AI104-$AH104-$AG104-$AF104-$AE104*(1+HI$3))/$AJ104,'Технический лист'!$A:$B,2,1),(HH104-0.05)))</f>
        <v/>
      </c>
      <c r="HJ104" s="172">
        <f>MIN(1,MAX(VLOOKUP(($AJ104-$AI104-$AH104-$AG104-$AF104-$AE104*(1+HJ$3))/$AJ104,'Технический лист'!$A:$B,2,1),(HI104-0.05)))</f>
        <v/>
      </c>
      <c r="HK104" s="172">
        <f>MIN(1,MAX(VLOOKUP(($AJ104-$AI104-$AH104-$AG104-$AF104-$AE104*(1+HK$3))/$AJ104,'Технический лист'!$A:$B,2,1),(HJ104-0.05)))</f>
        <v/>
      </c>
      <c r="HL104" s="172">
        <f>MIN(1,MAX(VLOOKUP(($AJ104-$AI104-$AH104-$AG104-$AF104-$AE104*(1+HL$3))/$AJ104,'Технический лист'!$A:$B,2,1),(HK104-0.05)))</f>
        <v/>
      </c>
      <c r="HM104" s="172">
        <f>MIN(1,MAX(VLOOKUP(($AJ104-$AI104-$AH104-$AG104-$AF104-$AE104*(1+HM$3))/$AJ104,'Технический лист'!$A:$B,2,1),(HL104-0.05)))</f>
        <v/>
      </c>
      <c r="HN104" s="172">
        <f>MIN(1,MAX(VLOOKUP(($AJ104-$AI104-$AH104-$AG104-$AF104-$AE104*(1+HN$3))/$AJ104,'Технический лист'!$A:$B,2,1),(HM104-0.05)))</f>
        <v/>
      </c>
      <c r="HO104" s="172">
        <f>MIN(1,MAX(VLOOKUP(($AJ104-$AI104-$AH104-$AG104-$AF104-$AE104*(1+HO$3))/$AJ104,'Технический лист'!$A:$B,2,1),(HN104-0.05)))</f>
        <v/>
      </c>
      <c r="HP104" s="172">
        <f>MIN(1,MAX(VLOOKUP(($AJ104-$AI104-$AH104-$AG104-$AF104-$AE104*(1+HP$3))/$AJ104,'Технический лист'!$A:$B,2,1),(HO104-0.05)))</f>
        <v/>
      </c>
      <c r="HQ104" s="172">
        <f>MIN(1,MAX(VLOOKUP(($AJ104-$AI104-$AH104-$AG104-$AF104-$AE104*(1+HQ$3))/$AJ104,'Технический лист'!$A:$B,2,1),(HP104-0.05)))</f>
        <v/>
      </c>
      <c r="HR104" s="172">
        <f>MIN(1,MAX(VLOOKUP(($AJ104-$AI104-$AH104-$AG104-$AF104-$AE104*(1+HR$3))/$AJ104,'Технический лист'!$A:$B,2,1),(HQ104-0.05)))</f>
        <v/>
      </c>
      <c r="HS104" s="172">
        <f>MIN(1,MAX(VLOOKUP(($AJ104-$AI104-$AH104-$AG104-$AF104-$AE104*(1+HS$3))/$AJ104,'Технический лист'!$A:$B,2,1),(HR104-0.05)))</f>
        <v/>
      </c>
      <c r="HT104" s="172">
        <f>MIN(1,MAX(VLOOKUP(($AJ104-$AI104-$AH104-$AG104-$AF104-$AE104*(1+HT$3))/$AJ104,'Технический лист'!$A:$B,2,1),(HS104-0.05)))</f>
        <v/>
      </c>
      <c r="HU104" s="172">
        <f>MIN(1,MAX(VLOOKUP(($AJ104-$AI104-$AH104-$AG104-$AF104-$AE104*(1+HU$3))/$AJ104,'Технический лист'!$A:$B,2,1),(HT104-0.05)))</f>
        <v/>
      </c>
      <c r="HV104" s="172">
        <f>MIN(1,MAX(VLOOKUP(($AJ104-$AI104-$AH104-$AG104-$AF104-$AE104*(1+HV$3))/$AJ104,'Технический лист'!$A:$B,2,1),(HU104-0.05)))</f>
        <v/>
      </c>
      <c r="HW104" s="172">
        <f>MIN(1,MAX(VLOOKUP(($AJ104-$AI104-$AH104-$AG104-$AF104-$AE104*(1+HW$3))/$AJ104,'Технический лист'!$A:$B,2,1),(HV104-0.05)))</f>
        <v/>
      </c>
      <c r="HX104" s="172">
        <f>MIN(1,MAX(VLOOKUP(($AJ104-$AI104-$AH104-$AG104-$AF104-$AE104*(1+HX$3))/$AJ104,'Технический лист'!$A:$B,2,1),(HW104-0.05)))</f>
        <v/>
      </c>
      <c r="HY104" s="172">
        <f>MIN(1,MAX(VLOOKUP(($AJ104-$AI104-$AH104-$AG104-$AF104-$AE104*(1+HY$3))/$AJ104,'Технический лист'!$A:$B,2,1),(HX104-0.05)))</f>
        <v/>
      </c>
      <c r="HZ104" s="172">
        <f>MIN(1,MAX(VLOOKUP(($AJ104-$AI104-$AH104-$AG104-$AF104-$AE104*(1+HZ$3))/$AJ104,'Технический лист'!$A:$B,2,1),(HY104-0.05)))</f>
        <v/>
      </c>
      <c r="IA104" s="172">
        <f>MIN(1,MAX(VLOOKUP(($AJ104-$AI104-$AH104-$AG104-$AF104-$AE104*(1+IA$3))/$AJ104,'Технический лист'!$A:$B,2,1),(HZ104-0.05)))</f>
        <v/>
      </c>
      <c r="IB104" s="172">
        <f>MIN(1,MAX(VLOOKUP(($AJ104-$AI104-$AH104-$AG104-$AF104-$AE104*(1+IB$3))/$AJ104,'Технический лист'!$A:$B,2,1),(IA104-0.05)))</f>
        <v/>
      </c>
      <c r="IC104" s="172">
        <f>MIN(1,MAX(VLOOKUP(($AJ104-$AI104-$AH104-$AG104-$AF104-$AE104*(1+IC$3))/$AJ104,'Технический лист'!$A:$B,2,1),(IB104-0.05)))</f>
        <v/>
      </c>
      <c r="ID104" s="172">
        <f>MIN(1,MAX(VLOOKUP(($AJ104-$AI104-$AH104-$AG104-$AF104-$AE104*(1+ID$3))/$AJ104,'Технический лист'!$A:$B,2,1),(IC104-0.05)))</f>
        <v/>
      </c>
      <c r="IE104" s="172">
        <f>MIN(1,MAX(VLOOKUP(($AJ104-$AI104-$AH104-$AG104-$AF104-$AE104*(1+IE$3))/$AJ104,'Технический лист'!$A:$B,2,1),(ID104-0.05)))</f>
        <v/>
      </c>
      <c r="IF104" s="172">
        <f>MIN(1,MAX(VLOOKUP(($AJ104-$AI104-$AH104-$AG104-$AF104-$AE104*(1+IF$3))/$AJ104,'Технический лист'!$A:$B,2,1),(IE104-0.05)))</f>
        <v/>
      </c>
      <c r="IG104" s="172">
        <f>MIN(1,MAX(VLOOKUP(($AJ104-$AI104-$AH104-$AG104-$AF104-$AE104*(1+IG$3))/$AJ104,'Технический лист'!$A:$B,2,1),(IF104-0.05)))</f>
        <v/>
      </c>
      <c r="IH104" s="172">
        <f>MIN(1,MAX(VLOOKUP(($AJ104-$AI104-$AH104-$AG104-$AF104-$AE104*(1+IH$3))/$AJ104,'Технический лист'!$A:$B,2,1),(IG104-0.05)))</f>
        <v/>
      </c>
      <c r="II104" s="172">
        <f>MIN(1,MAX(VLOOKUP(($AJ104-$AI104-$AH104-$AG104-$AF104-$AE104*(1+II$3))/$AJ104,'Технический лист'!$A:$B,2,1),(IH104-0.05)))</f>
        <v/>
      </c>
      <c r="IJ104" s="172">
        <f>MIN(1,MAX(VLOOKUP(($AJ104-$AI104-$AH104-$AG104-$AF104-$AE104*(1+IJ$3))/$AJ104,'Технический лист'!$A:$B,2,1),(II104-0.05)))</f>
        <v/>
      </c>
      <c r="IK104" s="172">
        <f>MIN(1,MAX(VLOOKUP(($AJ104-$AI104-$AH104-$AG104-$AF104-$AE104*(1+IK$3))/$AJ104,'Технический лист'!$A:$B,2,1),(IJ104-0.05)))</f>
        <v/>
      </c>
      <c r="IL104" s="172">
        <f>MIN(1,MAX(VLOOKUP(($AJ104-$AI104-$AH104-$AG104-$AF104-$AE104*(1+IL$3))/$AJ104,'Технический лист'!$A:$B,2,1),(IK104-0.05)))</f>
        <v/>
      </c>
      <c r="IM104" s="172">
        <f>MIN(1,MAX(VLOOKUP(($AJ104-$AI104-$AH104-$AG104-$AF104-$AE104*(1+IM$3))/$AJ104,'Технический лист'!$A:$B,2,1),(IL104-0.05)))</f>
        <v/>
      </c>
      <c r="IN104" s="172">
        <f>MIN(1,MAX(VLOOKUP(($AJ104-$AI104-$AH104-$AG104-$AF104-$AE104*(1+IN$3))/$AJ104,'Технический лист'!$A:$B,2,1),(IM104-0.05)))</f>
        <v/>
      </c>
      <c r="IO104" s="172">
        <f>MIN(1,MAX(VLOOKUP(($AJ104-$AI104-$AH104-$AG104-$AF104-$AE104*(1+IO$3))/$AJ104,'Технический лист'!$A:$B,2,1),(IN104-0.05)))</f>
        <v/>
      </c>
      <c r="IP104" s="172">
        <f>MIN(1,MAX(VLOOKUP(($AJ104-$AI104-$AH104-$AG104-$AF104-$AE104*(1+IP$3))/$AJ104,'Технический лист'!$A:$B,2,1),(IO104-0.05)))</f>
        <v/>
      </c>
      <c r="IQ104" s="172">
        <f>MIN(1,MAX(VLOOKUP(($AJ104-$AI104-$AH104-$AG104-$AF104-$AE104*(1+IQ$3))/$AJ104,'Технический лист'!$A:$B,2,1),(IP104-0.05)))</f>
        <v/>
      </c>
      <c r="IR104" s="172">
        <f>MIN(1,MAX(VLOOKUP(($AJ104-$AI104-$AH104-$AG104-$AF104-$AE104*(1+IR$3))/$AJ104,'Технический лист'!$A:$B,2,1),(IQ104-0.05)))</f>
        <v/>
      </c>
    </row>
    <row r="105" ht="43.75" customHeight="1" s="123">
      <c r="A105" s="89" t="inlineStr">
        <is>
          <t>ЧМ (сырье)</t>
        </is>
      </c>
      <c r="B105" s="90" t="n">
        <v>5</v>
      </c>
      <c r="C105" s="5" t="inlineStr">
        <is>
          <t>Черные металлы</t>
        </is>
      </c>
      <c r="D105" s="91" t="n">
        <v>31307</v>
      </c>
      <c r="E105" s="91" t="inlineStr">
        <is>
          <t>Ферросилиций с массовой долей кремния от 30 до 90 %</t>
        </is>
      </c>
      <c r="F105" s="92" t="inlineStr">
        <is>
          <t>ФЕРРОСПЛАВЫ</t>
        </is>
      </c>
      <c r="G105" s="91" t="inlineStr">
        <is>
          <t>ВСБ</t>
        </is>
      </c>
      <c r="H105" s="91" t="inlineStr">
        <is>
          <t>ДВС</t>
        </is>
      </c>
      <c r="I105" s="91" t="inlineStr">
        <is>
          <t>БАГУЛЬНАЯ</t>
        </is>
      </c>
      <c r="J105" s="91" t="inlineStr">
        <is>
          <t>ВЛАДИВОСТ-ЭК</t>
        </is>
      </c>
      <c r="K105" s="91" t="n">
        <v>4606</v>
      </c>
      <c r="L105" s="77" t="inlineStr">
        <is>
          <t>Платформы</t>
        </is>
      </c>
      <c r="M105" s="91" t="inlineStr">
        <is>
          <t>Экспорт</t>
        </is>
      </c>
      <c r="N105" s="91" t="inlineStr">
        <is>
          <t>контейнерная</t>
        </is>
      </c>
      <c r="O105" s="91" t="inlineStr">
        <is>
          <t xml:space="preserve">Восточное </t>
        </is>
      </c>
      <c r="P105" s="89" t="inlineStr">
        <is>
          <t>'000079597952</t>
        </is>
      </c>
      <c r="Q105" s="91" t="inlineStr">
        <is>
          <t>ПАО "Мечел"</t>
        </is>
      </c>
      <c r="R105" s="91" t="inlineStr">
        <is>
          <t>ПАО "Мечел"</t>
        </is>
      </c>
      <c r="S105" s="87" t="n">
        <v>38249</v>
      </c>
      <c r="T105" s="87" t="n">
        <v>176159250</v>
      </c>
      <c r="U105" s="88" t="n">
        <v>689</v>
      </c>
      <c r="V105" s="88" t="n">
        <v>1473</v>
      </c>
      <c r="W105" s="87" t="n">
        <v>103817912</v>
      </c>
      <c r="X105" s="112" t="n">
        <v>56</v>
      </c>
      <c r="Y105" s="112" t="inlineStr">
        <is>
          <t>контейнерная</t>
        </is>
      </c>
      <c r="Z105" s="113" t="n">
        <v>15</v>
      </c>
      <c r="AA105" s="113" t="n">
        <v>0</v>
      </c>
      <c r="AB105" s="113" t="n">
        <v>4</v>
      </c>
      <c r="AC105" s="161">
        <f>175952/X105</f>
        <v/>
      </c>
      <c r="AD105" s="161" t="n">
        <v>0</v>
      </c>
      <c r="AE105" s="161">
        <f>AC105</f>
        <v/>
      </c>
      <c r="AF105" s="162">
        <f>(AB105+AA105+Z105)*'Ставки аренды'!$B$6/X105</f>
        <v/>
      </c>
      <c r="AG105" s="163">
        <f>'Ставки перевалки'!$B$16*2/X105</f>
        <v/>
      </c>
      <c r="AH105" s="164" t="n">
        <v>0</v>
      </c>
      <c r="AI105" s="165">
        <f>242262/286977*AJ105</f>
        <v/>
      </c>
      <c r="AJ105" s="166">
        <f>Цены!D39</f>
        <v/>
      </c>
      <c r="AK105" s="164">
        <f>AJ105/Цены!$B$1</f>
        <v/>
      </c>
      <c r="AL105" s="164">
        <f>AE105+AF105+AG105</f>
        <v/>
      </c>
      <c r="AM105" s="164">
        <f>AJ105-AL105</f>
        <v/>
      </c>
      <c r="AN105" s="164">
        <f>AI105+AH105+AG105+AF105+AE105</f>
        <v/>
      </c>
      <c r="AO105" s="167">
        <f>(AJ105-AN105)/AJ105</f>
        <v/>
      </c>
      <c r="AP105" s="168">
        <f>AL105/AJ105</f>
        <v/>
      </c>
      <c r="AQ105" s="168">
        <f>AE105/AJ105</f>
        <v/>
      </c>
      <c r="AR105" s="168">
        <f>AE105/AL105</f>
        <v/>
      </c>
      <c r="AS105" s="169" t="n">
        <v>1</v>
      </c>
      <c r="AT105" s="121">
        <f>S105*AS105</f>
        <v/>
      </c>
      <c r="AU105" s="7" t="n"/>
      <c r="AV105" s="170">
        <f>(AJ105-(AE105*(1+$IS$2)+AF105+AG105+AH105+AI105))/AJ105</f>
        <v/>
      </c>
      <c r="AW105" s="171">
        <f>(AE105*(1+$IS$2)+AF105+AG105)/AJ105</f>
        <v/>
      </c>
      <c r="AX105" s="171">
        <f>(AE105*(1+$IS$2))/AJ105</f>
        <v/>
      </c>
      <c r="AY105" s="171">
        <f>(AE105*(1+$IS$2))/(AE105*(1+$IS$2)+AF105+AG105)</f>
        <v/>
      </c>
      <c r="AZ105" s="172">
        <f>MIN(IF($AU105=100%,1,1+VLOOKUP(($AJ105-$AI105-$AH105-$AG105-$AF105-$AE105*(1+AZ$3))/$AJ105,'Технический лист'!$I:$J,2,1)-VLOOKUP($AO105,'Технический лист'!$I:$J,2,1)),1+(1-$AU105))</f>
        <v/>
      </c>
      <c r="BA105" s="172">
        <f>MIN(IF($AU105=100%,1,1+VLOOKUP(($AJ105-$AI105-$AH105-$AG105-$AF105-$AE105*(1+BA$3))/$AJ105,'Технический лист'!$I:$J,2,1)-VLOOKUP($AO105,'Технический лист'!$I:$J,2,1)),1+(1-$AU105))</f>
        <v/>
      </c>
      <c r="BB105" s="172">
        <f>MIN(IF($AU105=100%,1,1+VLOOKUP(($AJ105-$AI105-$AH105-$AG105-$AF105-$AE105*(1+BB$3))/$AJ105,'Технический лист'!$I:$J,2,1)-VLOOKUP($AO105,'Технический лист'!$I:$J,2,1)),1+(1-$AU105))</f>
        <v/>
      </c>
      <c r="BC105" s="172">
        <f>MIN(IF($AU105=100%,1,1+VLOOKUP(($AJ105-$AI105-$AH105-$AG105-$AF105-$AE105*(1+BC$3))/$AJ105,'Технический лист'!$I:$J,2,1)-VLOOKUP($AO105,'Технический лист'!$I:$J,2,1)),1+(1-$AU105))</f>
        <v/>
      </c>
      <c r="BD105" s="172">
        <f>MIN(IF($AU105=100%,1,1+VLOOKUP(($AJ105-$AI105-$AH105-$AG105-$AF105-$AE105*(1+BD$3))/$AJ105,'Технический лист'!$I:$J,2,1)-VLOOKUP($AO105,'Технический лист'!$I:$J,2,1)),1+(1-$AU105))</f>
        <v/>
      </c>
      <c r="BE105" s="172">
        <f>MIN(IF($AU105=100%,1,1+VLOOKUP(($AJ105-$AI105-$AH105-$AG105-$AF105-$AE105*(1+BE$3))/$AJ105,'Технический лист'!$I:$J,2,1)-VLOOKUP($AO105,'Технический лист'!$I:$J,2,1)),1+(1-$AU105))</f>
        <v/>
      </c>
      <c r="BF105" s="172">
        <f>MIN(IF($AU105=100%,1,1+VLOOKUP(($AJ105-$AI105-$AH105-$AG105-$AF105-$AE105*(1+BF$3))/$AJ105,'Технический лист'!$I:$J,2,1)-VLOOKUP($AO105,'Технический лист'!$I:$J,2,1)),1+(1-$AU105))</f>
        <v/>
      </c>
      <c r="BG105" s="172">
        <f>MIN(IF($AU105=100%,1,1+VLOOKUP(($AJ105-$AI105-$AH105-$AG105-$AF105-$AE105*(1+BG$3))/$AJ105,'Технический лист'!$I:$J,2,1)-VLOOKUP($AO105,'Технический лист'!$I:$J,2,1)),1+(1-$AU105))</f>
        <v/>
      </c>
      <c r="BH105" s="172">
        <f>MIN(IF($AU105=100%,1,1+VLOOKUP(($AJ105-$AI105-$AH105-$AG105-$AF105-$AE105*(1+BH$3))/$AJ105,'Технический лист'!$I:$J,2,1)-VLOOKUP($AO105,'Технический лист'!$I:$J,2,1)),1+(1-$AU105))</f>
        <v/>
      </c>
      <c r="BI105" s="172">
        <f>MIN(IF($AU105=100%,1,1+VLOOKUP(($AJ105-$AI105-$AH105-$AG105-$AF105-$AE105*(1+BI$3))/$AJ105,'Технический лист'!$I:$J,2,1)-VLOOKUP($AO105,'Технический лист'!$I:$J,2,1)),1+(1-$AU105))</f>
        <v/>
      </c>
      <c r="BJ105" s="172">
        <f>MIN(IF($AU105=100%,1,1+VLOOKUP(($AJ105-$AI105-$AH105-$AG105-$AF105-$AE105*(1+BJ$3))/$AJ105,'Технический лист'!$I:$J,2,1)-VLOOKUP($AO105,'Технический лист'!$I:$J,2,1)),1+(1-$AU105))</f>
        <v/>
      </c>
      <c r="BK105" s="172">
        <f>MIN(IF($AU105=100%,1,1+VLOOKUP(($AJ105-$AI105-$AH105-$AG105-$AF105-$AE105*(1+BK$3))/$AJ105,'Технический лист'!$I:$J,2,1)-VLOOKUP($AO105,'Технический лист'!$I:$J,2,1)),1+(1-$AU105))</f>
        <v/>
      </c>
      <c r="BL105" s="172">
        <f>MIN(IF($AU105=100%,1,1+VLOOKUP(($AJ105-$AI105-$AH105-$AG105-$AF105-$AE105*(1+BL$3))/$AJ105,'Технический лист'!$I:$J,2,1)-VLOOKUP($AO105,'Технический лист'!$I:$J,2,1)),1+(1-$AU105))</f>
        <v/>
      </c>
      <c r="BM105" s="172">
        <f>MIN(IF($AU105=100%,1,1+VLOOKUP(($AJ105-$AI105-$AH105-$AG105-$AF105-$AE105*(1+BM$3))/$AJ105,'Технический лист'!$I:$J,2,1)-VLOOKUP($AO105,'Технический лист'!$I:$J,2,1)),1+(1-$AU105))</f>
        <v/>
      </c>
      <c r="BN105" s="172">
        <f>MIN(IF($AU105=100%,1,1+VLOOKUP(($AJ105-$AI105-$AH105-$AG105-$AF105-$AE105*(1+BN$3))/$AJ105,'Технический лист'!$I:$J,2,1)-VLOOKUP($AO105,'Технический лист'!$I:$J,2,1)),1+(1-$AU105))</f>
        <v/>
      </c>
      <c r="BO105" s="172">
        <f>MIN(IF($AU105=100%,1,1+VLOOKUP(($AJ105-$AI105-$AH105-$AG105-$AF105-$AE105*(1+BO$3))/$AJ105,'Технический лист'!$I:$J,2,1)-VLOOKUP($AO105,'Технический лист'!$I:$J,2,1)),1+(1-$AU105))</f>
        <v/>
      </c>
      <c r="BP105" s="172">
        <f>MIN(IF($AU105=100%,1,1+VLOOKUP(($AJ105-$AI105-$AH105-$AG105-$AF105-$AE105*(1+BP$3))/$AJ105,'Технический лист'!$I:$J,2,1)-VLOOKUP($AO105,'Технический лист'!$I:$J,2,1)),1+(1-$AU105))</f>
        <v/>
      </c>
      <c r="BQ105" s="172">
        <f>MIN(IF($AU105=100%,1,1+VLOOKUP(($AJ105-$AI105-$AH105-$AG105-$AF105-$AE105*(1+BQ$3))/$AJ105,'Технический лист'!$I:$J,2,1)-VLOOKUP($AO105,'Технический лист'!$I:$J,2,1)),1+(1-$AU105))</f>
        <v/>
      </c>
      <c r="BR105" s="172">
        <f>MIN(IF($AU105=100%,1,1+VLOOKUP(($AJ105-$AI105-$AH105-$AG105-$AF105-$AE105*(1+BR$3))/$AJ105,'Технический лист'!$I:$J,2,1)-VLOOKUP($AO105,'Технический лист'!$I:$J,2,1)),1+(1-$AU105))</f>
        <v/>
      </c>
      <c r="BS105" s="172">
        <f>MIN(IF($AU105=100%,1,1+VLOOKUP(($AJ105-$AI105-$AH105-$AG105-$AF105-$AE105*(1+BS$3))/$AJ105,'Технический лист'!$I:$J,2,1)-VLOOKUP($AO105,'Технический лист'!$I:$J,2,1)),1+(1-$AU105))</f>
        <v/>
      </c>
      <c r="BT105" s="172">
        <f>MIN(IF($AU105=100%,1,1+VLOOKUP(($AJ105-$AI105-$AH105-$AG105-$AF105-$AE105*(1+BT$3))/$AJ105,'Технический лист'!$I:$J,2,1)-VLOOKUP($AO105,'Технический лист'!$I:$J,2,1)),1+(1-$AU105))</f>
        <v/>
      </c>
      <c r="BU105" s="172">
        <f>MIN(IF($AU105=100%,1,1+VLOOKUP(($AJ105-$AI105-$AH105-$AG105-$AF105-$AE105*(1+BU$3))/$AJ105,'Технический лист'!$I:$J,2,1)-VLOOKUP($AO105,'Технический лист'!$I:$J,2,1)),1+(1-$AU105))</f>
        <v/>
      </c>
      <c r="BV105" s="172">
        <f>MIN(IF($AU105=100%,1,1+VLOOKUP(($AJ105-$AI105-$AH105-$AG105-$AF105-$AE105*(1+BV$3))/$AJ105,'Технический лист'!$I:$J,2,1)-VLOOKUP($AO105,'Технический лист'!$I:$J,2,1)),1+(1-$AU105))</f>
        <v/>
      </c>
      <c r="BW105" s="172">
        <f>MIN(IF($AU105=100%,1,1+VLOOKUP(($AJ105-$AI105-$AH105-$AG105-$AF105-$AE105*(1+BW$3))/$AJ105,'Технический лист'!$I:$J,2,1)-VLOOKUP($AO105,'Технический лист'!$I:$J,2,1)),1+(1-$AU105))</f>
        <v/>
      </c>
      <c r="BX105" s="172">
        <f>MIN(IF($AU105=100%,1,1+VLOOKUP(($AJ105-$AI105-$AH105-$AG105-$AF105-$AE105*(1+BX$3))/$AJ105,'Технический лист'!$I:$J,2,1)-VLOOKUP($AO105,'Технический лист'!$I:$J,2,1)),1+(1-$AU105))</f>
        <v/>
      </c>
      <c r="BY105" s="172">
        <f>MIN(IF($AU105=100%,1,1+VLOOKUP(($AJ105-$AI105-$AH105-$AG105-$AF105-$AE105*(1+BY$3))/$AJ105,'Технический лист'!$I:$J,2,1)-VLOOKUP($AO105,'Технический лист'!$I:$J,2,1)),1+(1-$AU105))</f>
        <v/>
      </c>
      <c r="BZ105" s="172">
        <f>MIN(IF($AU105=100%,1,1+VLOOKUP(($AJ105-$AI105-$AH105-$AG105-$AF105-$AE105*(1+BZ$3))/$AJ105,'Технический лист'!$I:$J,2,1)-VLOOKUP($AO105,'Технический лист'!$I:$J,2,1)),1+(1-$AU105))</f>
        <v/>
      </c>
      <c r="CA105" s="172">
        <f>MIN(IF($AU105=100%,1,1+VLOOKUP(($AJ105-$AI105-$AH105-$AG105-$AF105-$AE105*(1+CA$3))/$AJ105,'Технический лист'!$I:$J,2,1)-VLOOKUP($AO105,'Технический лист'!$I:$J,2,1)),1+(1-$AU105))</f>
        <v/>
      </c>
      <c r="CB105" s="172">
        <f>MIN(IF($AU105=100%,1,1+VLOOKUP(($AJ105-$AI105-$AH105-$AG105-$AF105-$AE105*(1+CB$3))/$AJ105,'Технический лист'!$I:$J,2,1)-VLOOKUP($AO105,'Технический лист'!$I:$J,2,1)),1+(1-$AU105))</f>
        <v/>
      </c>
      <c r="CC105" s="172">
        <f>MIN(IF($AU105=100%,1,1+VLOOKUP(($AJ105-$AI105-$AH105-$AG105-$AF105-$AE105*(1+CC$3))/$AJ105,'Технический лист'!$I:$J,2,1)-VLOOKUP($AO105,'Технический лист'!$I:$J,2,1)),1+(1-$AU105))</f>
        <v/>
      </c>
      <c r="CD105" s="172">
        <f>MIN(IF($AU105=100%,1,1+VLOOKUP(($AJ105-$AI105-$AH105-$AG105-$AF105-$AE105*(1+CD$3))/$AJ105,'Технический лист'!$I:$J,2,1)-VLOOKUP($AO105,'Технический лист'!$I:$J,2,1)),1+(1-$AU105))</f>
        <v/>
      </c>
      <c r="CE105" s="172">
        <f>MIN(IF($AU105=100%,1,1+VLOOKUP(($AJ105-$AI105-$AH105-$AG105-$AF105-$AE105*(1+CE$3))/$AJ105,'Технический лист'!$I:$J,2,1)-VLOOKUP($AO105,'Технический лист'!$I:$J,2,1)),1+(1-$AU105))</f>
        <v/>
      </c>
      <c r="CF105" s="172">
        <f>MIN(IF($AU105=100%,1,1+VLOOKUP(($AJ105-$AI105-$AH105-$AG105-$AF105-$AE105*(1+CF$3))/$AJ105,'Технический лист'!$I:$J,2,1)-VLOOKUP($AO105,'Технический лист'!$I:$J,2,1)),1+(1-$AU105))</f>
        <v/>
      </c>
      <c r="CG105" s="172">
        <f>MIN(IF($AU105=100%,1,1+VLOOKUP(($AJ105-$AI105-$AH105-$AG105-$AF105-$AE105*(1+CG$3))/$AJ105,'Технический лист'!$I:$J,2,1)-VLOOKUP($AO105,'Технический лист'!$I:$J,2,1)),1+(1-$AU105))</f>
        <v/>
      </c>
      <c r="CH105" s="172">
        <f>MIN(IF($AU105=100%,1,1+VLOOKUP(($AJ105-$AI105-$AH105-$AG105-$AF105-$AE105*(1+CH$3))/$AJ105,'Технический лист'!$I:$J,2,1)-VLOOKUP($AO105,'Технический лист'!$I:$J,2,1)),1+(1-$AU105))</f>
        <v/>
      </c>
      <c r="CI105" s="172">
        <f>MIN(IF($AU105=100%,1,1+VLOOKUP(($AJ105-$AI105-$AH105-$AG105-$AF105-$AE105*(1+CI$3))/$AJ105,'Технический лист'!$I:$J,2,1)-VLOOKUP($AO105,'Технический лист'!$I:$J,2,1)),1+(1-$AU105))</f>
        <v/>
      </c>
      <c r="CJ105" s="172">
        <f>MIN(IF($AU105=100%,1,1+VLOOKUP(($AJ105-$AI105-$AH105-$AG105-$AF105-$AE105*(1+CJ$3))/$AJ105,'Технический лист'!$I:$J,2,1)-VLOOKUP($AO105,'Технический лист'!$I:$J,2,1)),1+(1-$AU105))</f>
        <v/>
      </c>
      <c r="CK105" s="172">
        <f>MIN(IF($AU105=100%,1,1+VLOOKUP(($AJ105-$AI105-$AH105-$AG105-$AF105-$AE105*(1+CK$3))/$AJ105,'Технический лист'!$I:$J,2,1)-VLOOKUP($AO105,'Технический лист'!$I:$J,2,1)),1+(1-$AU105))</f>
        <v/>
      </c>
      <c r="CL105" s="172">
        <f>MIN(IF($AU105=100%,1,1+VLOOKUP(($AJ105-$AI105-$AH105-$AG105-$AF105-$AE105*(1+CL$3))/$AJ105,'Технический лист'!$I:$J,2,1)-VLOOKUP($AO105,'Технический лист'!$I:$J,2,1)),1+(1-$AU105))</f>
        <v/>
      </c>
      <c r="CM105" s="172">
        <f>MIN(IF($AU105=100%,1,1+VLOOKUP(($AJ105-$AI105-$AH105-$AG105-$AF105-$AE105*(1+CM$3))/$AJ105,'Технический лист'!$I:$J,2,1)-VLOOKUP($AO105,'Технический лист'!$I:$J,2,1)),1+(1-$AU105))</f>
        <v/>
      </c>
      <c r="CN105" s="172">
        <f>MIN(IF($AU105=100%,1,1+VLOOKUP(($AJ105-$AI105-$AH105-$AG105-$AF105-$AE105*(1+CN$3))/$AJ105,'Технический лист'!$I:$J,2,1)-VLOOKUP($AO105,'Технический лист'!$I:$J,2,1)),1+(1-$AU105))</f>
        <v/>
      </c>
      <c r="CO105" s="172">
        <f>MIN(IF($AU105=100%,1,1+VLOOKUP(($AJ105-$AI105-$AH105-$AG105-$AF105-$AE105*(1+CO$3))/$AJ105,'Технический лист'!$I:$J,2,1)-VLOOKUP($AO105,'Технический лист'!$I:$J,2,1)),1+(1-$AU105))</f>
        <v/>
      </c>
      <c r="CP105" s="172">
        <f>MIN(IF($AU105=100%,1,1+VLOOKUP(($AJ105-$AI105-$AH105-$AG105-$AF105-$AE105*(1+CP$3))/$AJ105,'Технический лист'!$I:$J,2,1)-VLOOKUP($AO105,'Технический лист'!$I:$J,2,1)),1+(1-$AU105))</f>
        <v/>
      </c>
      <c r="CQ105" s="172">
        <f>MIN(IF($AU105=100%,1,1+VLOOKUP(($AJ105-$AI105-$AH105-$AG105-$AF105-$AE105*(1+CQ$3))/$AJ105,'Технический лист'!$I:$J,2,1)-VLOOKUP($AO105,'Технический лист'!$I:$J,2,1)),1+(1-$AU105))</f>
        <v/>
      </c>
      <c r="CR105" s="172">
        <f>MIN(IF($AU105=100%,1,1+VLOOKUP(($AJ105-$AI105-$AH105-$AG105-$AF105-$AE105*(1+CR$3))/$AJ105,'Технический лист'!$I:$J,2,1)-VLOOKUP($AO105,'Технический лист'!$I:$J,2,1)),1+(1-$AU105))</f>
        <v/>
      </c>
      <c r="CS105" s="172">
        <f>MIN(IF($AU105=100%,1,1+VLOOKUP(($AJ105-$AI105-$AH105-$AG105-$AF105-$AE105*(1+CS$3))/$AJ105,'Технический лист'!$I:$J,2,1)-VLOOKUP($AO105,'Технический лист'!$I:$J,2,1)),1+(1-$AU105))</f>
        <v/>
      </c>
      <c r="CT105" s="172">
        <f>MIN(IF($AU105=100%,1,1+VLOOKUP(($AJ105-$AI105-$AH105-$AG105-$AF105-$AE105*(1+CT$3))/$AJ105,'Технический лист'!$I:$J,2,1)-VLOOKUP($AO105,'Технический лист'!$I:$J,2,1)),1+(1-$AU105))</f>
        <v/>
      </c>
      <c r="CU105" s="172">
        <f>MIN(IF($AU105=100%,1,1+VLOOKUP(($AJ105-$AI105-$AH105-$AG105-$AF105-$AE105*(1+CU$3))/$AJ105,'Технический лист'!$I:$J,2,1)-VLOOKUP($AO105,'Технический лист'!$I:$J,2,1)),1+(1-$AU105))</f>
        <v/>
      </c>
      <c r="CV105" s="172">
        <f>MIN(IF($AU105=100%,1,1+VLOOKUP(($AJ105-$AI105-$AH105-$AG105-$AF105-$AE105*(1+CV$3))/$AJ105,'Технический лист'!$I:$J,2,1)-VLOOKUP($AO105,'Технический лист'!$I:$J,2,1)),1+(1-$AU105))</f>
        <v/>
      </c>
      <c r="CW105" s="172">
        <f>MIN(IF($AU105=100%,1,1+VLOOKUP(($AJ105-$AI105-$AH105-$AG105-$AF105-$AE105*(1+CW$3))/$AJ105,'Технический лист'!$I:$J,2,1)-VLOOKUP($AO105,'Технический лист'!$I:$J,2,1)),1+(1-$AU105))</f>
        <v/>
      </c>
      <c r="CX105" s="172">
        <f>MIN(IF($AU105=100%,1,1+VLOOKUP(($AJ105-$AI105-$AH105-$AG105-$AF105-$AE105*(1+CX$3))/$AJ105,'Технический лист'!$I:$J,2,1)-VLOOKUP($AO105,'Технический лист'!$I:$J,2,1)),1+(1-$AU105))</f>
        <v/>
      </c>
      <c r="CY105" s="172">
        <f>MIN(IF($AU105=100%,1,1+VLOOKUP(($AJ105-$AI105-$AH105-$AG105-$AF105-$AE105*(1+CY$3))/$AJ105,'Технический лист'!$I:$J,2,1)-VLOOKUP($AO105,'Технический лист'!$I:$J,2,1)),1+(1-$AU105))</f>
        <v/>
      </c>
      <c r="CZ105" s="172">
        <f>MIN(IF($AU105=100%,1,1+VLOOKUP(($AJ105-$AI105-$AH105-$AG105-$AF105-$AE105*(1+CZ$3))/$AJ105,'Технический лист'!$I:$J,2,1)-VLOOKUP($AO105,'Технический лист'!$I:$J,2,1)),1+(1-$AU105))</f>
        <v/>
      </c>
      <c r="DA105" s="172">
        <f>MIN(IF($AU105=100%,1,1+VLOOKUP(($AJ105-$AI105-$AH105-$AG105-$AF105-$AE105*(1+DA$3))/$AJ105,'Технический лист'!$I:$J,2,1)-VLOOKUP($AO105,'Технический лист'!$I:$J,2,1)),1+(1-$AU105))</f>
        <v/>
      </c>
      <c r="DB105" s="172">
        <f>MIN(IF($AU105=100%,1,1+VLOOKUP(($AJ105-$AI105-$AH105-$AG105-$AF105-$AE105*(1+DB$3))/$AJ105,'Технический лист'!$I:$J,2,1)-VLOOKUP($AO105,'Технический лист'!$I:$J,2,1)),1+(1-$AU105))</f>
        <v/>
      </c>
      <c r="DC105" s="172">
        <f>MIN(IF($AU105=100%,1,1+VLOOKUP(($AJ105-$AI105-$AH105-$AG105-$AF105-$AE105*(1+DC$3))/$AJ105,'Технический лист'!$I:$J,2,1)-VLOOKUP($AO105,'Технический лист'!$I:$J,2,1)),1+(1-$AU105))</f>
        <v/>
      </c>
      <c r="DD105" s="172">
        <f>MIN(IF($AU105=100%,1,1+VLOOKUP(($AJ105-$AI105-$AH105-$AG105-$AF105-$AE105*(1+DD$3))/$AJ105,'Технический лист'!$I:$J,2,1)-VLOOKUP($AO105,'Технический лист'!$I:$J,2,1)),1+(1-$AU105))</f>
        <v/>
      </c>
      <c r="DE105" s="172">
        <f>MIN(IF($AU105=100%,1,1+VLOOKUP(($AJ105-$AI105-$AH105-$AG105-$AF105-$AE105*(1+DE$3))/$AJ105,'Технический лист'!$I:$J,2,1)-VLOOKUP($AO105,'Технический лист'!$I:$J,2,1)),1+(1-$AU105))</f>
        <v/>
      </c>
      <c r="DF105" s="172">
        <f>MIN(IF($AU105=100%,1,1+VLOOKUP(($AJ105-$AI105-$AH105-$AG105-$AF105-$AE105*(1+DF$3))/$AJ105,'Технический лист'!$I:$J,2,1)-VLOOKUP($AO105,'Технический лист'!$I:$J,2,1)),1+(1-$AU105))</f>
        <v/>
      </c>
      <c r="DG105" s="172">
        <f>MIN(IF($AU105=100%,1,1+VLOOKUP(($AJ105-$AI105-$AH105-$AG105-$AF105-$AE105*(1+DG$3))/$AJ105,'Технический лист'!$I:$J,2,1)-VLOOKUP($AO105,'Технический лист'!$I:$J,2,1)),1+(1-$AU105))</f>
        <v/>
      </c>
      <c r="DH105" s="172">
        <f>MIN(IF($AU105=100%,1,1+VLOOKUP(($AJ105-$AI105-$AH105-$AG105-$AF105-$AE105*(1+DH$3))/$AJ105,'Технический лист'!$I:$J,2,1)-VLOOKUP($AO105,'Технический лист'!$I:$J,2,1)),1+(1-$AU105))</f>
        <v/>
      </c>
      <c r="DI105" s="172">
        <f>MIN(IF($AU105=100%,1,1+VLOOKUP(($AJ105-$AI105-$AH105-$AG105-$AF105-$AE105*(1+DI$3))/$AJ105,'Технический лист'!$I:$J,2,1)-VLOOKUP($AO105,'Технический лист'!$I:$J,2,1)),1+(1-$AU105))</f>
        <v/>
      </c>
      <c r="DJ105" s="172">
        <f>MIN(IF($AU105=100%,1,1+VLOOKUP(($AJ105-$AI105-$AH105-$AG105-$AF105-$AE105*(1+DJ$3))/$AJ105,'Технический лист'!$I:$J,2,1)-VLOOKUP($AO105,'Технический лист'!$I:$J,2,1)),1+(1-$AU105))</f>
        <v/>
      </c>
      <c r="DK105" s="172">
        <f>MIN(IF($AU105=100%,1,1+VLOOKUP(($AJ105-$AI105-$AH105-$AG105-$AF105-$AE105*(1+DK$3))/$AJ105,'Технический лист'!$I:$J,2,1)-VLOOKUP($AO105,'Технический лист'!$I:$J,2,1)),1+(1-$AU105))</f>
        <v/>
      </c>
      <c r="DL105" s="172">
        <f>MIN(IF($AU105=100%,1,1+VLOOKUP(($AJ105-$AI105-$AH105-$AG105-$AF105-$AE105*(1+DL$3))/$AJ105,'Технический лист'!$I:$J,2,1)-VLOOKUP($AO105,'Технический лист'!$I:$J,2,1)),1+(1-$AU105))</f>
        <v/>
      </c>
      <c r="DM105" s="172">
        <f>MIN(IF($AU105=100%,1,1+VLOOKUP(($AJ105-$AI105-$AH105-$AG105-$AF105-$AE105*(1+DM$3))/$AJ105,'Технический лист'!$I:$J,2,1)-VLOOKUP($AO105,'Технический лист'!$I:$J,2,1)),1+(1-$AU105))</f>
        <v/>
      </c>
      <c r="DN105" s="172">
        <f>MIN(IF($AU105=100%,1,1+VLOOKUP(($AJ105-$AI105-$AH105-$AG105-$AF105-$AE105*(1+DN$3))/$AJ105,'Технический лист'!$I:$J,2,1)-VLOOKUP($AO105,'Технический лист'!$I:$J,2,1)),1+(1-$AU105))</f>
        <v/>
      </c>
      <c r="DO105" s="172">
        <f>MIN(IF($AU105=100%,1,1+VLOOKUP(($AJ105-$AI105-$AH105-$AG105-$AF105-$AE105*(1+DO$3))/$AJ105,'Технический лист'!$I:$J,2,1)-VLOOKUP($AO105,'Технический лист'!$I:$J,2,1)),1+(1-$AU105))</f>
        <v/>
      </c>
      <c r="DP105" s="172">
        <f>MIN(IF($AU105=100%,1,1+VLOOKUP(($AJ105-$AI105-$AH105-$AG105-$AF105-$AE105*(1+DP$3))/$AJ105,'Технический лист'!$I:$J,2,1)-VLOOKUP($AO105,'Технический лист'!$I:$J,2,1)),1+(1-$AU105))</f>
        <v/>
      </c>
      <c r="DQ105" s="172">
        <f>MIN(IF($AU105=100%,1,1+VLOOKUP(($AJ105-$AI105-$AH105-$AG105-$AF105-$AE105*(1+DQ$3))/$AJ105,'Технический лист'!$I:$J,2,1)-VLOOKUP($AO105,'Технический лист'!$I:$J,2,1)),1+(1-$AU105))</f>
        <v/>
      </c>
      <c r="DR105" s="172">
        <f>MIN(IF($AU105=100%,1,1+VLOOKUP(($AJ105-$AI105-$AH105-$AG105-$AF105-$AE105*(1+DR$3))/$AJ105,'Технический лист'!$I:$J,2,1)-VLOOKUP($AO105,'Технический лист'!$I:$J,2,1)),1+(1-$AU105))</f>
        <v/>
      </c>
      <c r="DS105" s="172">
        <f>MIN(IF($AU105=100%,1,1+VLOOKUP(($AJ105-$AI105-$AH105-$AG105-$AF105-$AE105*(1+DS$3))/$AJ105,'Технический лист'!$I:$J,2,1)-VLOOKUP($AO105,'Технический лист'!$I:$J,2,1)),1+(1-$AU105))</f>
        <v/>
      </c>
      <c r="DT105" s="172">
        <f>MIN(IF($AU105=100%,1,1+VLOOKUP(($AJ105-$AI105-$AH105-$AG105-$AF105-$AE105*(1+DT$3))/$AJ105,'Технический лист'!$I:$J,2,1)-VLOOKUP($AO105,'Технический лист'!$I:$J,2,1)),1+(1-$AU105))</f>
        <v/>
      </c>
      <c r="DU105" s="172">
        <f>MIN(IF($AU105=100%,1,1+VLOOKUP(($AJ105-$AI105-$AH105-$AG105-$AF105-$AE105*(1+DU$3))/$AJ105,'Технический лист'!$I:$J,2,1)-VLOOKUP($AO105,'Технический лист'!$I:$J,2,1)),1+(1-$AU105))</f>
        <v/>
      </c>
      <c r="DV105" s="172">
        <f>MIN(IF($AU105=100%,1,1+VLOOKUP(($AJ105-$AI105-$AH105-$AG105-$AF105-$AE105*(1+DV$3))/$AJ105,'Технический лист'!$I:$J,2,1)-VLOOKUP($AO105,'Технический лист'!$I:$J,2,1)),1+(1-$AU105))</f>
        <v/>
      </c>
      <c r="DW105" s="172">
        <f>MIN(IF($AU105=100%,1,1+VLOOKUP(($AJ105-$AI105-$AH105-$AG105-$AF105-$AE105*(1+DW$3))/$AJ105,'Технический лист'!$I:$J,2,1)-VLOOKUP($AO105,'Технический лист'!$I:$J,2,1)),1+(1-$AU105))</f>
        <v/>
      </c>
      <c r="DX105" s="172">
        <f>MIN(IF($AU105=100%,1,1+VLOOKUP(($AJ105-$AI105-$AH105-$AG105-$AF105-$AE105*(1+DX$3))/$AJ105,'Технический лист'!$I:$J,2,1)-VLOOKUP($AO105,'Технический лист'!$I:$J,2,1)),1+(1-$AU105))</f>
        <v/>
      </c>
      <c r="DY105" s="172">
        <f>MIN(IF($AU105=100%,1,1+VLOOKUP(($AJ105-$AI105-$AH105-$AG105-$AF105-$AE105*(1+DY$3))/$AJ105,'Технический лист'!$I:$J,2,1)-VLOOKUP($AO105,'Технический лист'!$I:$J,2,1)),1+(1-$AU105))</f>
        <v/>
      </c>
      <c r="DZ105" s="172">
        <f>MIN(IF($AU105=100%,1,1+VLOOKUP(($AJ105-$AI105-$AH105-$AG105-$AF105-$AE105*(1+DZ$3))/$AJ105,'Технический лист'!$I:$J,2,1)-VLOOKUP($AO105,'Технический лист'!$I:$J,2,1)),1+(1-$AU105))</f>
        <v/>
      </c>
      <c r="EA105" s="172">
        <f>MIN(IF($AU105=100%,1,1+VLOOKUP(($AJ105-$AI105-$AH105-$AG105-$AF105-$AE105*(1+EA$3))/$AJ105,'Технический лист'!$I:$J,2,1)-VLOOKUP($AO105,'Технический лист'!$I:$J,2,1)),1+(1-$AU105))</f>
        <v/>
      </c>
      <c r="EB105" s="172">
        <f>MIN(IF($AU105=100%,1,1+VLOOKUP(($AJ105-$AI105-$AH105-$AG105-$AF105-$AE105*(1+EB$3))/$AJ105,'Технический лист'!$I:$J,2,1)-VLOOKUP($AO105,'Технический лист'!$I:$J,2,1)),1+(1-$AU105))</f>
        <v/>
      </c>
      <c r="EC105" s="172">
        <f>MIN(IF($AU105=100%,1,1+VLOOKUP(($AJ105-$AI105-$AH105-$AG105-$AF105-$AE105*(1+EC$3))/$AJ105,'Технический лист'!$I:$J,2,1)-VLOOKUP($AO105,'Технический лист'!$I:$J,2,1)),1+(1-$AU105))</f>
        <v/>
      </c>
      <c r="ED105" s="172">
        <f>MIN(IF($AU105=100%,1,1+VLOOKUP(($AJ105-$AI105-$AH105-$AG105-$AF105-$AE105*(1+ED$3))/$AJ105,'Технический лист'!$I:$J,2,1)-VLOOKUP($AO105,'Технический лист'!$I:$J,2,1)),1+(1-$AU105))</f>
        <v/>
      </c>
      <c r="EE105" s="172">
        <f>MIN(IF($AU105=100%,1,1+VLOOKUP(($AJ105-$AI105-$AH105-$AG105-$AF105-$AE105*(1+EE$3))/$AJ105,'Технический лист'!$I:$J,2,1)-VLOOKUP($AO105,'Технический лист'!$I:$J,2,1)),1+(1-$AU105))</f>
        <v/>
      </c>
      <c r="EF105" s="172">
        <f>MIN(IF($AU105=100%,1,1+VLOOKUP(($AJ105-$AI105-$AH105-$AG105-$AF105-$AE105*(1+EF$3))/$AJ105,'Технический лист'!$I:$J,2,1)-VLOOKUP($AO105,'Технический лист'!$I:$J,2,1)),1+(1-$AU105))</f>
        <v/>
      </c>
      <c r="EG105" s="172">
        <f>MIN(IF($AU105=100%,1,1+VLOOKUP(($AJ105-$AI105-$AH105-$AG105-$AF105-$AE105*(1+EG$3))/$AJ105,'Технический лист'!$I:$J,2,1)-VLOOKUP($AO105,'Технический лист'!$I:$J,2,1)),1+(1-$AU105))</f>
        <v/>
      </c>
      <c r="EH105" s="172">
        <f>MIN(IF($AU105=100%,1,1+VLOOKUP(($AJ105-$AI105-$AH105-$AG105-$AF105-$AE105*(1+EH$3))/$AJ105,'Технический лист'!$I:$J,2,1)-VLOOKUP($AO105,'Технический лист'!$I:$J,2,1)),1+(1-$AU105))</f>
        <v/>
      </c>
      <c r="EI105" s="172">
        <f>MIN(IF($AU105=100%,1,1+VLOOKUP(($AJ105-$AI105-$AH105-$AG105-$AF105-$AE105*(1+EI$3))/$AJ105,'Технический лист'!$I:$J,2,1)-VLOOKUP($AO105,'Технический лист'!$I:$J,2,1)),1+(1-$AU105))</f>
        <v/>
      </c>
      <c r="EJ105" s="172">
        <f>MIN(IF($AU105=100%,1,1+VLOOKUP(($AJ105-$AI105-$AH105-$AG105-$AF105-$AE105*(1+EJ$3))/$AJ105,'Технический лист'!$I:$J,2,1)-VLOOKUP($AO105,'Технический лист'!$I:$J,2,1)),1+(1-$AU105))</f>
        <v/>
      </c>
      <c r="EK105" s="172">
        <f>MIN(IF($AU105=100%,1,1+VLOOKUP(($AJ105-$AI105-$AH105-$AG105-$AF105-$AE105*(1+EK$3))/$AJ105,'Технический лист'!$I:$J,2,1)-VLOOKUP($AO105,'Технический лист'!$I:$J,2,1)),1+(1-$AU105))</f>
        <v/>
      </c>
      <c r="EL105" s="172">
        <f>MIN(IF($AU105=100%,1,1+VLOOKUP(($AJ105-$AI105-$AH105-$AG105-$AF105-$AE105*(1+EL$3))/$AJ105,'Технический лист'!$I:$J,2,1)-VLOOKUP($AO105,'Технический лист'!$I:$J,2,1)),1+(1-$AU105))</f>
        <v/>
      </c>
      <c r="EM105" s="172">
        <f>MIN(IF($AU105=100%,1,1+VLOOKUP(($AJ105-$AI105-$AH105-$AG105-$AF105-$AE105*(1+EM$3))/$AJ105,'Технический лист'!$I:$J,2,1)-VLOOKUP($AO105,'Технический лист'!$I:$J,2,1)),1+(1-$AU105))</f>
        <v/>
      </c>
      <c r="EN105" s="172">
        <f>MIN(IF($AU105=100%,1,1+VLOOKUP(($AJ105-$AI105-$AH105-$AG105-$AF105-$AE105*(1+EN$3))/$AJ105,'Технический лист'!$I:$J,2,1)-VLOOKUP($AO105,'Технический лист'!$I:$J,2,1)),1+(1-$AU105))</f>
        <v/>
      </c>
      <c r="EO105" s="172">
        <f>MIN(IF($AU105=100%,1,1+VLOOKUP(($AJ105-$AI105-$AH105-$AG105-$AF105-$AE105*(1+EO$3))/$AJ105,'Технический лист'!$I:$J,2,1)-VLOOKUP($AO105,'Технический лист'!$I:$J,2,1)),1+(1-$AU105))</f>
        <v/>
      </c>
      <c r="EP105" s="172">
        <f>MIN(IF($AU105=100%,1,1+VLOOKUP(($AJ105-$AI105-$AH105-$AG105-$AF105-$AE105*(1+EP$3))/$AJ105,'Технический лист'!$I:$J,2,1)-VLOOKUP($AO105,'Технический лист'!$I:$J,2,1)),1+(1-$AU105))</f>
        <v/>
      </c>
      <c r="EQ105" s="172">
        <f>MIN(IF($AU105=100%,1,1+VLOOKUP(($AJ105-$AI105-$AH105-$AG105-$AF105-$AE105*(1+EQ$3))/$AJ105,'Технический лист'!$I:$J,2,1)-VLOOKUP($AO105,'Технический лист'!$I:$J,2,1)),1+(1-$AU105))</f>
        <v/>
      </c>
      <c r="ER105" s="172">
        <f>MIN(IF($AU105=100%,1,1+VLOOKUP(($AJ105-$AI105-$AH105-$AG105-$AF105-$AE105*(1+ER$3))/$AJ105,'Технический лист'!$I:$J,2,1)-VLOOKUP($AO105,'Технический лист'!$I:$J,2,1)),1+(1-$AU105))</f>
        <v/>
      </c>
      <c r="ES105" s="172">
        <f>MIN(IF($AU105=100%,1,1+VLOOKUP(($AJ105-$AI105-$AH105-$AG105-$AF105-$AE105*(1+ES$3))/$AJ105,'Технический лист'!$I:$J,2,1)-VLOOKUP($AO105,'Технический лист'!$I:$J,2,1)),1+(1-$AU105))</f>
        <v/>
      </c>
      <c r="ET105" s="172">
        <f>MIN(IF($AU105=100%,1,1+VLOOKUP(($AJ105-$AI105-$AH105-$AG105-$AF105-$AE105*(1+ET$3))/$AJ105,'Технический лист'!$I:$J,2,1)-VLOOKUP($AO105,'Технический лист'!$I:$J,2,1)),1+(1-$AU105))</f>
        <v/>
      </c>
      <c r="EU105" s="172">
        <f>MIN(IF($AU105=100%,1,1+VLOOKUP(($AJ105-$AI105-$AH105-$AG105-$AF105-$AE105*(1+EU$3))/$AJ105,'Технический лист'!$I:$J,2,1)-VLOOKUP($AO105,'Технический лист'!$I:$J,2,1)),1+(1-$AU105))</f>
        <v/>
      </c>
      <c r="EV105" s="173" t="n">
        <v>1</v>
      </c>
      <c r="EW105" s="172">
        <f>MIN(1,MAX(VLOOKUP(($AJ105-$AI105-$AH105-$AG105-$AF105-$AE105*(1+EW$3))/$AJ105,'Технический лист'!$A:$B,2,1),(EV105-0.05)))</f>
        <v/>
      </c>
      <c r="EX105" s="172">
        <f>MIN(1,MAX(VLOOKUP(($AJ105-$AI105-$AH105-$AG105-$AF105-$AE105*(1+EX$3))/$AJ105,'Технический лист'!$A:$B,2,1),(EW105-0.05)))</f>
        <v/>
      </c>
      <c r="EY105" s="172">
        <f>MIN(1,MAX(VLOOKUP(($AJ105-$AI105-$AH105-$AG105-$AF105-$AE105*(1+EY$3))/$AJ105,'Технический лист'!$A:$B,2,1),(EX105-0.05)))</f>
        <v/>
      </c>
      <c r="EZ105" s="172">
        <f>MIN(1,MAX(VLOOKUP(($AJ105-$AI105-$AH105-$AG105-$AF105-$AE105*(1+EZ$3))/$AJ105,'Технический лист'!$A:$B,2,1),(EY105-0.05)))</f>
        <v/>
      </c>
      <c r="FA105" s="172">
        <f>MIN(1,MAX(VLOOKUP(($AJ105-$AI105-$AH105-$AG105-$AF105-$AE105*(1+FA$3))/$AJ105,'Технический лист'!$A:$B,2,1),(EZ105-0.05)))</f>
        <v/>
      </c>
      <c r="FB105" s="172">
        <f>MIN(1,MAX(VLOOKUP(($AJ105-$AI105-$AH105-$AG105-$AF105-$AE105*(1+FB$3))/$AJ105,'Технический лист'!$A:$B,2,1),(FA105-0.05)))</f>
        <v/>
      </c>
      <c r="FC105" s="172">
        <f>MIN(1,MAX(VLOOKUP(($AJ105-$AI105-$AH105-$AG105-$AF105-$AE105*(1+FC$3))/$AJ105,'Технический лист'!$A:$B,2,1),(FB105-0.05)))</f>
        <v/>
      </c>
      <c r="FD105" s="172">
        <f>MIN(1,MAX(VLOOKUP(($AJ105-$AI105-$AH105-$AG105-$AF105-$AE105*(1+FD$3))/$AJ105,'Технический лист'!$A:$B,2,1),(FC105-0.05)))</f>
        <v/>
      </c>
      <c r="FE105" s="172">
        <f>MIN(1,MAX(VLOOKUP(($AJ105-$AI105-$AH105-$AG105-$AF105-$AE105*(1+FE$3))/$AJ105,'Технический лист'!$A:$B,2,1),(FD105-0.05)))</f>
        <v/>
      </c>
      <c r="FF105" s="172">
        <f>MIN(1,MAX(VLOOKUP(($AJ105-$AI105-$AH105-$AG105-$AF105-$AE105*(1+FF$3))/$AJ105,'Технический лист'!$A:$B,2,1),(FE105-0.05)))</f>
        <v/>
      </c>
      <c r="FG105" s="172">
        <f>MIN(1,MAX(VLOOKUP(($AJ105-$AI105-$AH105-$AG105-$AF105-$AE105*(1+FG$3))/$AJ105,'Технический лист'!$A:$B,2,1),(FF105-0.05)))</f>
        <v/>
      </c>
      <c r="FH105" s="172">
        <f>MIN(1,MAX(VLOOKUP(($AJ105-$AI105-$AH105-$AG105-$AF105-$AE105*(1+FH$3))/$AJ105,'Технический лист'!$A:$B,2,1),(FG105-0.05)))</f>
        <v/>
      </c>
      <c r="FI105" s="172">
        <f>MIN(1,MAX(VLOOKUP(($AJ105-$AI105-$AH105-$AG105-$AF105-$AE105*(1+FI$3))/$AJ105,'Технический лист'!$A:$B,2,1),(FH105-0.05)))</f>
        <v/>
      </c>
      <c r="FJ105" s="172">
        <f>MIN(1,MAX(VLOOKUP(($AJ105-$AI105-$AH105-$AG105-$AF105-$AE105*(1+FJ$3))/$AJ105,'Технический лист'!$A:$B,2,1),(FI105-0.05)))</f>
        <v/>
      </c>
      <c r="FK105" s="172">
        <f>MIN(1,MAX(VLOOKUP(($AJ105-$AI105-$AH105-$AG105-$AF105-$AE105*(1+FK$3))/$AJ105,'Технический лист'!$A:$B,2,1),(FJ105-0.05)))</f>
        <v/>
      </c>
      <c r="FL105" s="172">
        <f>MIN(1,MAX(VLOOKUP(($AJ105-$AI105-$AH105-$AG105-$AF105-$AE105*(1+FL$3))/$AJ105,'Технический лист'!$A:$B,2,1),(FK105-0.05)))</f>
        <v/>
      </c>
      <c r="FM105" s="172">
        <f>MIN(1,MAX(VLOOKUP(($AJ105-$AI105-$AH105-$AG105-$AF105-$AE105*(1+FM$3))/$AJ105,'Технический лист'!$A:$B,2,1),(FL105-0.05)))</f>
        <v/>
      </c>
      <c r="FN105" s="172">
        <f>MIN(1,MAX(VLOOKUP(($AJ105-$AI105-$AH105-$AG105-$AF105-$AE105*(1+FN$3))/$AJ105,'Технический лист'!$A:$B,2,1),(FM105-0.05)))</f>
        <v/>
      </c>
      <c r="FO105" s="172">
        <f>MIN(1,MAX(VLOOKUP(($AJ105-$AI105-$AH105-$AG105-$AF105-$AE105*(1+FO$3))/$AJ105,'Технический лист'!$A:$B,2,1),(FN105-0.05)))</f>
        <v/>
      </c>
      <c r="FP105" s="172">
        <f>MIN(1,MAX(VLOOKUP(($AJ105-$AI105-$AH105-$AG105-$AF105-$AE105*(1+FP$3))/$AJ105,'Технический лист'!$A:$B,2,1),(FO105-0.05)))</f>
        <v/>
      </c>
      <c r="FQ105" s="172">
        <f>MIN(1,MAX(VLOOKUP(($AJ105-$AI105-$AH105-$AG105-$AF105-$AE105*(1+FQ$3))/$AJ105,'Технический лист'!$A:$B,2,1),(FP105-0.05)))</f>
        <v/>
      </c>
      <c r="FR105" s="172">
        <f>MIN(1,MAX(VLOOKUP(($AJ105-$AI105-$AH105-$AG105-$AF105-$AE105*(1+FR$3))/$AJ105,'Технический лист'!$A:$B,2,1),(FQ105-0.05)))</f>
        <v/>
      </c>
      <c r="FS105" s="172">
        <f>MIN(1,MAX(VLOOKUP(($AJ105-$AI105-$AH105-$AG105-$AF105-$AE105*(1+FS$3))/$AJ105,'Технический лист'!$A:$B,2,1),(FR105-0.05)))</f>
        <v/>
      </c>
      <c r="FT105" s="172">
        <f>MIN(1,MAX(VLOOKUP(($AJ105-$AI105-$AH105-$AG105-$AF105-$AE105*(1+FT$3))/$AJ105,'Технический лист'!$A:$B,2,1),(FS105-0.05)))</f>
        <v/>
      </c>
      <c r="FU105" s="172">
        <f>MIN(1,MAX(VLOOKUP(($AJ105-$AI105-$AH105-$AG105-$AF105-$AE105*(1+FU$3))/$AJ105,'Технический лист'!$A:$B,2,1),(FT105-0.05)))</f>
        <v/>
      </c>
      <c r="FV105" s="172">
        <f>MIN(1,MAX(VLOOKUP(($AJ105-$AI105-$AH105-$AG105-$AF105-$AE105*(1+FV$3))/$AJ105,'Технический лист'!$A:$B,2,1),(FU105-0.05)))</f>
        <v/>
      </c>
      <c r="FW105" s="172">
        <f>MIN(1,MAX(VLOOKUP(($AJ105-$AI105-$AH105-$AG105-$AF105-$AE105*(1+FW$3))/$AJ105,'Технический лист'!$A:$B,2,1),(FV105-0.05)))</f>
        <v/>
      </c>
      <c r="FX105" s="172">
        <f>MIN(1,MAX(VLOOKUP(($AJ105-$AI105-$AH105-$AG105-$AF105-$AE105*(1+FX$3))/$AJ105,'Технический лист'!$A:$B,2,1),(FW105-0.05)))</f>
        <v/>
      </c>
      <c r="FY105" s="172">
        <f>MIN(1,MAX(VLOOKUP(($AJ105-$AI105-$AH105-$AG105-$AF105-$AE105*(1+FY$3))/$AJ105,'Технический лист'!$A:$B,2,1),(FX105-0.05)))</f>
        <v/>
      </c>
      <c r="FZ105" s="172">
        <f>MIN(1,MAX(VLOOKUP(($AJ105-$AI105-$AH105-$AG105-$AF105-$AE105*(1+FZ$3))/$AJ105,'Технический лист'!$A:$B,2,1),(FY105-0.05)))</f>
        <v/>
      </c>
      <c r="GA105" s="172">
        <f>MIN(1,MAX(VLOOKUP(($AJ105-$AI105-$AH105-$AG105-$AF105-$AE105*(1+GA$3))/$AJ105,'Технический лист'!$A:$B,2,1),(FZ105-0.05)))</f>
        <v/>
      </c>
      <c r="GB105" s="172">
        <f>MIN(1,MAX(VLOOKUP(($AJ105-$AI105-$AH105-$AG105-$AF105-$AE105*(1+GB$3))/$AJ105,'Технический лист'!$A:$B,2,1),(GA105-0.05)))</f>
        <v/>
      </c>
      <c r="GC105" s="172">
        <f>MIN(1,MAX(VLOOKUP(($AJ105-$AI105-$AH105-$AG105-$AF105-$AE105*(1+GC$3))/$AJ105,'Технический лист'!$A:$B,2,1),(GB105-0.05)))</f>
        <v/>
      </c>
      <c r="GD105" s="172">
        <f>MIN(1,MAX(VLOOKUP(($AJ105-$AI105-$AH105-$AG105-$AF105-$AE105*(1+GD$3))/$AJ105,'Технический лист'!$A:$B,2,1),(GC105-0.05)))</f>
        <v/>
      </c>
      <c r="GE105" s="172">
        <f>MIN(1,MAX(VLOOKUP(($AJ105-$AI105-$AH105-$AG105-$AF105-$AE105*(1+GE$3))/$AJ105,'Технический лист'!$A:$B,2,1),(GD105-0.05)))</f>
        <v/>
      </c>
      <c r="GF105" s="172">
        <f>MIN(1,MAX(VLOOKUP(($AJ105-$AI105-$AH105-$AG105-$AF105-$AE105*(1+GF$3))/$AJ105,'Технический лист'!$A:$B,2,1),(GE105-0.05)))</f>
        <v/>
      </c>
      <c r="GG105" s="172">
        <f>MIN(1,MAX(VLOOKUP(($AJ105-$AI105-$AH105-$AG105-$AF105-$AE105*(1+GG$3))/$AJ105,'Технический лист'!$A:$B,2,1),(GF105-0.05)))</f>
        <v/>
      </c>
      <c r="GH105" s="172">
        <f>MIN(1,MAX(VLOOKUP(($AJ105-$AI105-$AH105-$AG105-$AF105-$AE105*(1+GH$3))/$AJ105,'Технический лист'!$A:$B,2,1),(GG105-0.05)))</f>
        <v/>
      </c>
      <c r="GI105" s="172">
        <f>MIN(1,MAX(VLOOKUP(($AJ105-$AI105-$AH105-$AG105-$AF105-$AE105*(1+GI$3))/$AJ105,'Технический лист'!$A:$B,2,1),(GH105-0.05)))</f>
        <v/>
      </c>
      <c r="GJ105" s="172">
        <f>MIN(1,MAX(VLOOKUP(($AJ105-$AI105-$AH105-$AG105-$AF105-$AE105*(1+GJ$3))/$AJ105,'Технический лист'!$A:$B,2,1),(GI105-0.05)))</f>
        <v/>
      </c>
      <c r="GK105" s="172">
        <f>MIN(1,MAX(VLOOKUP(($AJ105-$AI105-$AH105-$AG105-$AF105-$AE105*(1+GK$3))/$AJ105,'Технический лист'!$A:$B,2,1),(GJ105-0.05)))</f>
        <v/>
      </c>
      <c r="GL105" s="172">
        <f>MIN(1,MAX(VLOOKUP(($AJ105-$AI105-$AH105-$AG105-$AF105-$AE105*(1+GL$3))/$AJ105,'Технический лист'!$A:$B,2,1),(GK105-0.05)))</f>
        <v/>
      </c>
      <c r="GM105" s="172">
        <f>MIN(1,MAX(VLOOKUP(($AJ105-$AI105-$AH105-$AG105-$AF105-$AE105*(1+GM$3))/$AJ105,'Технический лист'!$A:$B,2,1),(GL105-0.05)))</f>
        <v/>
      </c>
      <c r="GN105" s="172">
        <f>MIN(1,MAX(VLOOKUP(($AJ105-$AI105-$AH105-$AG105-$AF105-$AE105*(1+GN$3))/$AJ105,'Технический лист'!$A:$B,2,1),(GM105-0.05)))</f>
        <v/>
      </c>
      <c r="GO105" s="172">
        <f>MIN(1,MAX(VLOOKUP(($AJ105-$AI105-$AH105-$AG105-$AF105-$AE105*(1+GO$3))/$AJ105,'Технический лист'!$A:$B,2,1),(GN105-0.05)))</f>
        <v/>
      </c>
      <c r="GP105" s="172">
        <f>MIN(1,MAX(VLOOKUP(($AJ105-$AI105-$AH105-$AG105-$AF105-$AE105*(1+GP$3))/$AJ105,'Технический лист'!$A:$B,2,1),(GO105-0.05)))</f>
        <v/>
      </c>
      <c r="GQ105" s="172">
        <f>MIN(1,MAX(VLOOKUP(($AJ105-$AI105-$AH105-$AG105-$AF105-$AE105*(1+GQ$3))/$AJ105,'Технический лист'!$A:$B,2,1),(GP105-0.05)))</f>
        <v/>
      </c>
      <c r="GR105" s="172">
        <f>MIN(1,MAX(VLOOKUP(($AJ105-$AI105-$AH105-$AG105-$AF105-$AE105*(1+GR$3))/$AJ105,'Технический лист'!$A:$B,2,1),(GQ105-0.05)))</f>
        <v/>
      </c>
      <c r="GS105" s="172">
        <f>MIN(1,MAX(VLOOKUP(($AJ105-$AI105-$AH105-$AG105-$AF105-$AE105*(1+GS$3))/$AJ105,'Технический лист'!$A:$B,2,1),(GR105-0.05)))</f>
        <v/>
      </c>
      <c r="GT105" s="172">
        <f>MIN(1,MAX(VLOOKUP(($AJ105-$AI105-$AH105-$AG105-$AF105-$AE105*(1+GT$3))/$AJ105,'Технический лист'!$A:$B,2,1),(GS105-0.05)))</f>
        <v/>
      </c>
      <c r="GU105" s="172">
        <f>MIN(1,MAX(VLOOKUP(($AJ105-$AI105-$AH105-$AG105-$AF105-$AE105*(1+GU$3))/$AJ105,'Технический лист'!$A:$B,2,1),(GT105-0.05)))</f>
        <v/>
      </c>
      <c r="GV105" s="172">
        <f>MIN(1,MAX(VLOOKUP(($AJ105-$AI105-$AH105-$AG105-$AF105-$AE105*(1+GV$3))/$AJ105,'Технический лист'!$A:$B,2,1),(GU105-0.05)))</f>
        <v/>
      </c>
      <c r="GW105" s="172">
        <f>MIN(1,MAX(VLOOKUP(($AJ105-$AI105-$AH105-$AG105-$AF105-$AE105*(1+GW$3))/$AJ105,'Технический лист'!$A:$B,2,1),(GV105-0.05)))</f>
        <v/>
      </c>
      <c r="GX105" s="172">
        <f>MIN(1,MAX(VLOOKUP(($AJ105-$AI105-$AH105-$AG105-$AF105-$AE105*(1+GX$3))/$AJ105,'Технический лист'!$A:$B,2,1),(GW105-0.05)))</f>
        <v/>
      </c>
      <c r="GY105" s="172">
        <f>MIN(1,MAX(VLOOKUP(($AJ105-$AI105-$AH105-$AG105-$AF105-$AE105*(1+GY$3))/$AJ105,'Технический лист'!$A:$B,2,1),(GX105-0.05)))</f>
        <v/>
      </c>
      <c r="GZ105" s="172">
        <f>MIN(1,MAX(VLOOKUP(($AJ105-$AI105-$AH105-$AG105-$AF105-$AE105*(1+GZ$3))/$AJ105,'Технический лист'!$A:$B,2,1),(GY105-0.05)))</f>
        <v/>
      </c>
      <c r="HA105" s="172">
        <f>MIN(1,MAX(VLOOKUP(($AJ105-$AI105-$AH105-$AG105-$AF105-$AE105*(1+HA$3))/$AJ105,'Технический лист'!$A:$B,2,1),(GZ105-0.05)))</f>
        <v/>
      </c>
      <c r="HB105" s="172">
        <f>MIN(1,MAX(VLOOKUP(($AJ105-$AI105-$AH105-$AG105-$AF105-$AE105*(1+HB$3))/$AJ105,'Технический лист'!$A:$B,2,1),(HA105-0.05)))</f>
        <v/>
      </c>
      <c r="HC105" s="172">
        <f>MIN(1,MAX(VLOOKUP(($AJ105-$AI105-$AH105-$AG105-$AF105-$AE105*(1+HC$3))/$AJ105,'Технический лист'!$A:$B,2,1),(HB105-0.05)))</f>
        <v/>
      </c>
      <c r="HD105" s="172">
        <f>MIN(1,MAX(VLOOKUP(($AJ105-$AI105-$AH105-$AG105-$AF105-$AE105*(1+HD$3))/$AJ105,'Технический лист'!$A:$B,2,1),(HC105-0.05)))</f>
        <v/>
      </c>
      <c r="HE105" s="172">
        <f>MIN(1,MAX(VLOOKUP(($AJ105-$AI105-$AH105-$AG105-$AF105-$AE105*(1+HE$3))/$AJ105,'Технический лист'!$A:$B,2,1),(HD105-0.05)))</f>
        <v/>
      </c>
      <c r="HF105" s="172">
        <f>MIN(1,MAX(VLOOKUP(($AJ105-$AI105-$AH105-$AG105-$AF105-$AE105*(1+HF$3))/$AJ105,'Технический лист'!$A:$B,2,1),(HE105-0.05)))</f>
        <v/>
      </c>
      <c r="HG105" s="172">
        <f>MIN(1,MAX(VLOOKUP(($AJ105-$AI105-$AH105-$AG105-$AF105-$AE105*(1+HG$3))/$AJ105,'Технический лист'!$A:$B,2,1),(HF105-0.05)))</f>
        <v/>
      </c>
      <c r="HH105" s="172">
        <f>MIN(1,MAX(VLOOKUP(($AJ105-$AI105-$AH105-$AG105-$AF105-$AE105*(1+HH$3))/$AJ105,'Технический лист'!$A:$B,2,1),(HG105-0.05)))</f>
        <v/>
      </c>
      <c r="HI105" s="172">
        <f>MIN(1,MAX(VLOOKUP(($AJ105-$AI105-$AH105-$AG105-$AF105-$AE105*(1+HI$3))/$AJ105,'Технический лист'!$A:$B,2,1),(HH105-0.05)))</f>
        <v/>
      </c>
      <c r="HJ105" s="172">
        <f>MIN(1,MAX(VLOOKUP(($AJ105-$AI105-$AH105-$AG105-$AF105-$AE105*(1+HJ$3))/$AJ105,'Технический лист'!$A:$B,2,1),(HI105-0.05)))</f>
        <v/>
      </c>
      <c r="HK105" s="172">
        <f>MIN(1,MAX(VLOOKUP(($AJ105-$AI105-$AH105-$AG105-$AF105-$AE105*(1+HK$3))/$AJ105,'Технический лист'!$A:$B,2,1),(HJ105-0.05)))</f>
        <v/>
      </c>
      <c r="HL105" s="172">
        <f>MIN(1,MAX(VLOOKUP(($AJ105-$AI105-$AH105-$AG105-$AF105-$AE105*(1+HL$3))/$AJ105,'Технический лист'!$A:$B,2,1),(HK105-0.05)))</f>
        <v/>
      </c>
      <c r="HM105" s="172">
        <f>MIN(1,MAX(VLOOKUP(($AJ105-$AI105-$AH105-$AG105-$AF105-$AE105*(1+HM$3))/$AJ105,'Технический лист'!$A:$B,2,1),(HL105-0.05)))</f>
        <v/>
      </c>
      <c r="HN105" s="172">
        <f>MIN(1,MAX(VLOOKUP(($AJ105-$AI105-$AH105-$AG105-$AF105-$AE105*(1+HN$3))/$AJ105,'Технический лист'!$A:$B,2,1),(HM105-0.05)))</f>
        <v/>
      </c>
      <c r="HO105" s="172">
        <f>MIN(1,MAX(VLOOKUP(($AJ105-$AI105-$AH105-$AG105-$AF105-$AE105*(1+HO$3))/$AJ105,'Технический лист'!$A:$B,2,1),(HN105-0.05)))</f>
        <v/>
      </c>
      <c r="HP105" s="172">
        <f>MIN(1,MAX(VLOOKUP(($AJ105-$AI105-$AH105-$AG105-$AF105-$AE105*(1+HP$3))/$AJ105,'Технический лист'!$A:$B,2,1),(HO105-0.05)))</f>
        <v/>
      </c>
      <c r="HQ105" s="172">
        <f>MIN(1,MAX(VLOOKUP(($AJ105-$AI105-$AH105-$AG105-$AF105-$AE105*(1+HQ$3))/$AJ105,'Технический лист'!$A:$B,2,1),(HP105-0.05)))</f>
        <v/>
      </c>
      <c r="HR105" s="172">
        <f>MIN(1,MAX(VLOOKUP(($AJ105-$AI105-$AH105-$AG105-$AF105-$AE105*(1+HR$3))/$AJ105,'Технический лист'!$A:$B,2,1),(HQ105-0.05)))</f>
        <v/>
      </c>
      <c r="HS105" s="172">
        <f>MIN(1,MAX(VLOOKUP(($AJ105-$AI105-$AH105-$AG105-$AF105-$AE105*(1+HS$3))/$AJ105,'Технический лист'!$A:$B,2,1),(HR105-0.05)))</f>
        <v/>
      </c>
      <c r="HT105" s="172">
        <f>MIN(1,MAX(VLOOKUP(($AJ105-$AI105-$AH105-$AG105-$AF105-$AE105*(1+HT$3))/$AJ105,'Технический лист'!$A:$B,2,1),(HS105-0.05)))</f>
        <v/>
      </c>
      <c r="HU105" s="172">
        <f>MIN(1,MAX(VLOOKUP(($AJ105-$AI105-$AH105-$AG105-$AF105-$AE105*(1+HU$3))/$AJ105,'Технический лист'!$A:$B,2,1),(HT105-0.05)))</f>
        <v/>
      </c>
      <c r="HV105" s="172">
        <f>MIN(1,MAX(VLOOKUP(($AJ105-$AI105-$AH105-$AG105-$AF105-$AE105*(1+HV$3))/$AJ105,'Технический лист'!$A:$B,2,1),(HU105-0.05)))</f>
        <v/>
      </c>
      <c r="HW105" s="172">
        <f>MIN(1,MAX(VLOOKUP(($AJ105-$AI105-$AH105-$AG105-$AF105-$AE105*(1+HW$3))/$AJ105,'Технический лист'!$A:$B,2,1),(HV105-0.05)))</f>
        <v/>
      </c>
      <c r="HX105" s="172">
        <f>MIN(1,MAX(VLOOKUP(($AJ105-$AI105-$AH105-$AG105-$AF105-$AE105*(1+HX$3))/$AJ105,'Технический лист'!$A:$B,2,1),(HW105-0.05)))</f>
        <v/>
      </c>
      <c r="HY105" s="172">
        <f>MIN(1,MAX(VLOOKUP(($AJ105-$AI105-$AH105-$AG105-$AF105-$AE105*(1+HY$3))/$AJ105,'Технический лист'!$A:$B,2,1),(HX105-0.05)))</f>
        <v/>
      </c>
      <c r="HZ105" s="172">
        <f>MIN(1,MAX(VLOOKUP(($AJ105-$AI105-$AH105-$AG105-$AF105-$AE105*(1+HZ$3))/$AJ105,'Технический лист'!$A:$B,2,1),(HY105-0.05)))</f>
        <v/>
      </c>
      <c r="IA105" s="172">
        <f>MIN(1,MAX(VLOOKUP(($AJ105-$AI105-$AH105-$AG105-$AF105-$AE105*(1+IA$3))/$AJ105,'Технический лист'!$A:$B,2,1),(HZ105-0.05)))</f>
        <v/>
      </c>
      <c r="IB105" s="172">
        <f>MIN(1,MAX(VLOOKUP(($AJ105-$AI105-$AH105-$AG105-$AF105-$AE105*(1+IB$3))/$AJ105,'Технический лист'!$A:$B,2,1),(IA105-0.05)))</f>
        <v/>
      </c>
      <c r="IC105" s="172">
        <f>MIN(1,MAX(VLOOKUP(($AJ105-$AI105-$AH105-$AG105-$AF105-$AE105*(1+IC$3))/$AJ105,'Технический лист'!$A:$B,2,1),(IB105-0.05)))</f>
        <v/>
      </c>
      <c r="ID105" s="172">
        <f>MIN(1,MAX(VLOOKUP(($AJ105-$AI105-$AH105-$AG105-$AF105-$AE105*(1+ID$3))/$AJ105,'Технический лист'!$A:$B,2,1),(IC105-0.05)))</f>
        <v/>
      </c>
      <c r="IE105" s="172">
        <f>MIN(1,MAX(VLOOKUP(($AJ105-$AI105-$AH105-$AG105-$AF105-$AE105*(1+IE$3))/$AJ105,'Технический лист'!$A:$B,2,1),(ID105-0.05)))</f>
        <v/>
      </c>
      <c r="IF105" s="172">
        <f>MIN(1,MAX(VLOOKUP(($AJ105-$AI105-$AH105-$AG105-$AF105-$AE105*(1+IF$3))/$AJ105,'Технический лист'!$A:$B,2,1),(IE105-0.05)))</f>
        <v/>
      </c>
      <c r="IG105" s="172">
        <f>MIN(1,MAX(VLOOKUP(($AJ105-$AI105-$AH105-$AG105-$AF105-$AE105*(1+IG$3))/$AJ105,'Технический лист'!$A:$B,2,1),(IF105-0.05)))</f>
        <v/>
      </c>
      <c r="IH105" s="172">
        <f>MIN(1,MAX(VLOOKUP(($AJ105-$AI105-$AH105-$AG105-$AF105-$AE105*(1+IH$3))/$AJ105,'Технический лист'!$A:$B,2,1),(IG105-0.05)))</f>
        <v/>
      </c>
      <c r="II105" s="172">
        <f>MIN(1,MAX(VLOOKUP(($AJ105-$AI105-$AH105-$AG105-$AF105-$AE105*(1+II$3))/$AJ105,'Технический лист'!$A:$B,2,1),(IH105-0.05)))</f>
        <v/>
      </c>
      <c r="IJ105" s="172">
        <f>MIN(1,MAX(VLOOKUP(($AJ105-$AI105-$AH105-$AG105-$AF105-$AE105*(1+IJ$3))/$AJ105,'Технический лист'!$A:$B,2,1),(II105-0.05)))</f>
        <v/>
      </c>
      <c r="IK105" s="172">
        <f>MIN(1,MAX(VLOOKUP(($AJ105-$AI105-$AH105-$AG105-$AF105-$AE105*(1+IK$3))/$AJ105,'Технический лист'!$A:$B,2,1),(IJ105-0.05)))</f>
        <v/>
      </c>
      <c r="IL105" s="172">
        <f>MIN(1,MAX(VLOOKUP(($AJ105-$AI105-$AH105-$AG105-$AF105-$AE105*(1+IL$3))/$AJ105,'Технический лист'!$A:$B,2,1),(IK105-0.05)))</f>
        <v/>
      </c>
      <c r="IM105" s="172">
        <f>MIN(1,MAX(VLOOKUP(($AJ105-$AI105-$AH105-$AG105-$AF105-$AE105*(1+IM$3))/$AJ105,'Технический лист'!$A:$B,2,1),(IL105-0.05)))</f>
        <v/>
      </c>
      <c r="IN105" s="172">
        <f>MIN(1,MAX(VLOOKUP(($AJ105-$AI105-$AH105-$AG105-$AF105-$AE105*(1+IN$3))/$AJ105,'Технический лист'!$A:$B,2,1),(IM105-0.05)))</f>
        <v/>
      </c>
      <c r="IO105" s="172">
        <f>MIN(1,MAX(VLOOKUP(($AJ105-$AI105-$AH105-$AG105-$AF105-$AE105*(1+IO$3))/$AJ105,'Технический лист'!$A:$B,2,1),(IN105-0.05)))</f>
        <v/>
      </c>
      <c r="IP105" s="172">
        <f>MIN(1,MAX(VLOOKUP(($AJ105-$AI105-$AH105-$AG105-$AF105-$AE105*(1+IP$3))/$AJ105,'Технический лист'!$A:$B,2,1),(IO105-0.05)))</f>
        <v/>
      </c>
      <c r="IQ105" s="172">
        <f>MIN(1,MAX(VLOOKUP(($AJ105-$AI105-$AH105-$AG105-$AF105-$AE105*(1+IQ$3))/$AJ105,'Технический лист'!$A:$B,2,1),(IP105-0.05)))</f>
        <v/>
      </c>
      <c r="IR105" s="172">
        <f>MIN(1,MAX(VLOOKUP(($AJ105-$AI105-$AH105-$AG105-$AF105-$AE105*(1+IR$3))/$AJ105,'Технический лист'!$A:$B,2,1),(IQ105-0.05)))</f>
        <v/>
      </c>
    </row>
    <row r="106" ht="29.15" customHeight="1" s="123">
      <c r="A106" s="89" t="inlineStr">
        <is>
          <t>ЧМ (продукция)</t>
        </is>
      </c>
      <c r="B106" s="90" t="n">
        <v>5</v>
      </c>
      <c r="C106" s="5" t="inlineStr">
        <is>
          <t>Черные металлы</t>
        </is>
      </c>
      <c r="D106" s="91" t="n">
        <v>32421</v>
      </c>
      <c r="E106" s="91" t="inlineStr">
        <is>
          <t xml:space="preserve">Шары стальные помольные </t>
        </is>
      </c>
      <c r="F106" s="92" t="inlineStr">
        <is>
          <t>ПРОЧИЕ ВИДЫ ПРОКАТА ЧЕРНЫ</t>
        </is>
      </c>
      <c r="G106" s="91" t="inlineStr">
        <is>
          <t>ЗСБ</t>
        </is>
      </c>
      <c r="H106" s="91" t="inlineStr">
        <is>
          <t>ВСБ</t>
        </is>
      </c>
      <c r="I106" s="91" t="inlineStr">
        <is>
          <t>ГУРЬЕВСК</t>
        </is>
      </c>
      <c r="J106" s="91" t="inlineStr">
        <is>
          <t>ТАКСИМО</t>
        </is>
      </c>
      <c r="K106" s="91" t="n">
        <v>2697</v>
      </c>
      <c r="L106" s="91" t="inlineStr">
        <is>
          <t>Полувагоны</t>
        </is>
      </c>
      <c r="M106" s="91" t="inlineStr">
        <is>
          <t>Внутр. перевозки</t>
        </is>
      </c>
      <c r="N106" s="91" t="inlineStr">
        <is>
          <t>вагонная</t>
        </is>
      </c>
      <c r="O106" s="91" t="inlineStr">
        <is>
          <t xml:space="preserve">Восточное </t>
        </is>
      </c>
      <c r="P106" s="89" t="inlineStr">
        <is>
          <t>'000000186465</t>
        </is>
      </c>
      <c r="Q106" s="91" t="inlineStr">
        <is>
          <t>ПАО "Челябинский металлургический комбинат"</t>
        </is>
      </c>
      <c r="R106" s="91" t="inlineStr">
        <is>
          <t>ПАО "Мечел"</t>
        </is>
      </c>
      <c r="S106" s="87" t="n">
        <v>11935</v>
      </c>
      <c r="T106" s="87" t="n">
        <v>32189990</v>
      </c>
      <c r="U106" s="88" t="n">
        <v>176</v>
      </c>
      <c r="V106" s="88" t="n">
        <v>0</v>
      </c>
      <c r="W106" s="87" t="n">
        <v>51604893</v>
      </c>
      <c r="X106" s="112" t="n">
        <v>68</v>
      </c>
      <c r="Y106" s="112" t="inlineStr">
        <is>
          <t>повагонная</t>
        </is>
      </c>
      <c r="Z106" s="113" t="n">
        <v>11</v>
      </c>
      <c r="AA106" s="113" t="n">
        <v>9</v>
      </c>
      <c r="AB106" s="113" t="n">
        <v>4</v>
      </c>
      <c r="AC106" s="161" t="n">
        <v>4740.16</v>
      </c>
      <c r="AD106" s="161">
        <f>AE106-AC106</f>
        <v/>
      </c>
      <c r="AE106" s="161" t="n">
        <v>5383.5</v>
      </c>
      <c r="AF106" s="162">
        <f>(Z106+AA106+AB106)*'Ставки аренды'!$B$3/X106</f>
        <v/>
      </c>
      <c r="AG106" s="163" t="n">
        <v>0</v>
      </c>
      <c r="AH106" s="164" t="n">
        <v>0</v>
      </c>
      <c r="AI106" s="165">
        <f>131496272/143742760*AJ106</f>
        <v/>
      </c>
      <c r="AJ106" s="166">
        <f>Цены!D23</f>
        <v/>
      </c>
      <c r="AK106" s="164">
        <f>AJ106/Цены!$B$1</f>
        <v/>
      </c>
      <c r="AL106" s="164">
        <f>AE106+AF106+AG106</f>
        <v/>
      </c>
      <c r="AM106" s="164">
        <f>AJ106-AL106</f>
        <v/>
      </c>
      <c r="AN106" s="164">
        <f>AI106+AH106+AG106+AF106+AE106</f>
        <v/>
      </c>
      <c r="AO106" s="167">
        <f>(AJ106-AN106)/AJ106</f>
        <v/>
      </c>
      <c r="AP106" s="168">
        <f>AL106/AJ106</f>
        <v/>
      </c>
      <c r="AQ106" s="168">
        <f>AE106/AJ106</f>
        <v/>
      </c>
      <c r="AR106" s="168">
        <f>AE106/AL106</f>
        <v/>
      </c>
      <c r="AS106" s="169" t="n">
        <v>1</v>
      </c>
      <c r="AT106" s="121">
        <f>S106*AS106</f>
        <v/>
      </c>
      <c r="AU106" s="83" t="n">
        <v>0.7</v>
      </c>
      <c r="AV106" s="170">
        <f>(AJ106-(AE106*(1+$IS$2)+AF106+AG106+AH106+AI106))/AJ106</f>
        <v/>
      </c>
      <c r="AW106" s="171">
        <f>(AE106*(1+$IS$2)+AF106+AG106)/AJ106</f>
        <v/>
      </c>
      <c r="AX106" s="171">
        <f>(AE106*(1+$IS$2))/AJ106</f>
        <v/>
      </c>
      <c r="AY106" s="171">
        <f>(AE106*(1+$IS$2))/(AE106*(1+$IS$2)+AF106+AG106)</f>
        <v/>
      </c>
      <c r="AZ106" s="172">
        <f>MIN(IF($AU106=100%,1,1+VLOOKUP(($AJ106-$AI106-$AH106-$AG106-$AF106-$AE106*(1+AZ$3))/$AJ106,'Технический лист'!$I:$J,2,1)-VLOOKUP($AO106,'Технический лист'!$I:$J,2,1)),1+(1-$AU106))</f>
        <v/>
      </c>
      <c r="BA106" s="172">
        <f>MIN(IF($AU106=100%,1,1+VLOOKUP(($AJ106-$AI106-$AH106-$AG106-$AF106-$AE106*(1+BA$3))/$AJ106,'Технический лист'!$I:$J,2,1)-VLOOKUP($AO106,'Технический лист'!$I:$J,2,1)),1+(1-$AU106))</f>
        <v/>
      </c>
      <c r="BB106" s="172">
        <f>MIN(IF($AU106=100%,1,1+VLOOKUP(($AJ106-$AI106-$AH106-$AG106-$AF106-$AE106*(1+BB$3))/$AJ106,'Технический лист'!$I:$J,2,1)-VLOOKUP($AO106,'Технический лист'!$I:$J,2,1)),1+(1-$AU106))</f>
        <v/>
      </c>
      <c r="BC106" s="172">
        <f>MIN(IF($AU106=100%,1,1+VLOOKUP(($AJ106-$AI106-$AH106-$AG106-$AF106-$AE106*(1+BC$3))/$AJ106,'Технический лист'!$I:$J,2,1)-VLOOKUP($AO106,'Технический лист'!$I:$J,2,1)),1+(1-$AU106))</f>
        <v/>
      </c>
      <c r="BD106" s="172">
        <f>MIN(IF($AU106=100%,1,1+VLOOKUP(($AJ106-$AI106-$AH106-$AG106-$AF106-$AE106*(1+BD$3))/$AJ106,'Технический лист'!$I:$J,2,1)-VLOOKUP($AO106,'Технический лист'!$I:$J,2,1)),1+(1-$AU106))</f>
        <v/>
      </c>
      <c r="BE106" s="172">
        <f>MIN(IF($AU106=100%,1,1+VLOOKUP(($AJ106-$AI106-$AH106-$AG106-$AF106-$AE106*(1+BE$3))/$AJ106,'Технический лист'!$I:$J,2,1)-VLOOKUP($AO106,'Технический лист'!$I:$J,2,1)),1+(1-$AU106))</f>
        <v/>
      </c>
      <c r="BF106" s="172">
        <f>MIN(IF($AU106=100%,1,1+VLOOKUP(($AJ106-$AI106-$AH106-$AG106-$AF106-$AE106*(1+BF$3))/$AJ106,'Технический лист'!$I:$J,2,1)-VLOOKUP($AO106,'Технический лист'!$I:$J,2,1)),1+(1-$AU106))</f>
        <v/>
      </c>
      <c r="BG106" s="172">
        <f>MIN(IF($AU106=100%,1,1+VLOOKUP(($AJ106-$AI106-$AH106-$AG106-$AF106-$AE106*(1+BG$3))/$AJ106,'Технический лист'!$I:$J,2,1)-VLOOKUP($AO106,'Технический лист'!$I:$J,2,1)),1+(1-$AU106))</f>
        <v/>
      </c>
      <c r="BH106" s="172">
        <f>MIN(IF($AU106=100%,1,1+VLOOKUP(($AJ106-$AI106-$AH106-$AG106-$AF106-$AE106*(1+BH$3))/$AJ106,'Технический лист'!$I:$J,2,1)-VLOOKUP($AO106,'Технический лист'!$I:$J,2,1)),1+(1-$AU106))</f>
        <v/>
      </c>
      <c r="BI106" s="172">
        <f>MIN(IF($AU106=100%,1,1+VLOOKUP(($AJ106-$AI106-$AH106-$AG106-$AF106-$AE106*(1+BI$3))/$AJ106,'Технический лист'!$I:$J,2,1)-VLOOKUP($AO106,'Технический лист'!$I:$J,2,1)),1+(1-$AU106))</f>
        <v/>
      </c>
      <c r="BJ106" s="172">
        <f>MIN(IF($AU106=100%,1,1+VLOOKUP(($AJ106-$AI106-$AH106-$AG106-$AF106-$AE106*(1+BJ$3))/$AJ106,'Технический лист'!$I:$J,2,1)-VLOOKUP($AO106,'Технический лист'!$I:$J,2,1)),1+(1-$AU106))</f>
        <v/>
      </c>
      <c r="BK106" s="172">
        <f>MIN(IF($AU106=100%,1,1+VLOOKUP(($AJ106-$AI106-$AH106-$AG106-$AF106-$AE106*(1+BK$3))/$AJ106,'Технический лист'!$I:$J,2,1)-VLOOKUP($AO106,'Технический лист'!$I:$J,2,1)),1+(1-$AU106))</f>
        <v/>
      </c>
      <c r="BL106" s="172">
        <f>MIN(IF($AU106=100%,1,1+VLOOKUP(($AJ106-$AI106-$AH106-$AG106-$AF106-$AE106*(1+BL$3))/$AJ106,'Технический лист'!$I:$J,2,1)-VLOOKUP($AO106,'Технический лист'!$I:$J,2,1)),1+(1-$AU106))</f>
        <v/>
      </c>
      <c r="BM106" s="172">
        <f>MIN(IF($AU106=100%,1,1+VLOOKUP(($AJ106-$AI106-$AH106-$AG106-$AF106-$AE106*(1+BM$3))/$AJ106,'Технический лист'!$I:$J,2,1)-VLOOKUP($AO106,'Технический лист'!$I:$J,2,1)),1+(1-$AU106))</f>
        <v/>
      </c>
      <c r="BN106" s="172">
        <f>MIN(IF($AU106=100%,1,1+VLOOKUP(($AJ106-$AI106-$AH106-$AG106-$AF106-$AE106*(1+BN$3))/$AJ106,'Технический лист'!$I:$J,2,1)-VLOOKUP($AO106,'Технический лист'!$I:$J,2,1)),1+(1-$AU106))</f>
        <v/>
      </c>
      <c r="BO106" s="172">
        <f>MIN(IF($AU106=100%,1,1+VLOOKUP(($AJ106-$AI106-$AH106-$AG106-$AF106-$AE106*(1+BO$3))/$AJ106,'Технический лист'!$I:$J,2,1)-VLOOKUP($AO106,'Технический лист'!$I:$J,2,1)),1+(1-$AU106))</f>
        <v/>
      </c>
      <c r="BP106" s="172">
        <f>MIN(IF($AU106=100%,1,1+VLOOKUP(($AJ106-$AI106-$AH106-$AG106-$AF106-$AE106*(1+BP$3))/$AJ106,'Технический лист'!$I:$J,2,1)-VLOOKUP($AO106,'Технический лист'!$I:$J,2,1)),1+(1-$AU106))</f>
        <v/>
      </c>
      <c r="BQ106" s="172">
        <f>MIN(IF($AU106=100%,1,1+VLOOKUP(($AJ106-$AI106-$AH106-$AG106-$AF106-$AE106*(1+BQ$3))/$AJ106,'Технический лист'!$I:$J,2,1)-VLOOKUP($AO106,'Технический лист'!$I:$J,2,1)),1+(1-$AU106))</f>
        <v/>
      </c>
      <c r="BR106" s="172">
        <f>MIN(IF($AU106=100%,1,1+VLOOKUP(($AJ106-$AI106-$AH106-$AG106-$AF106-$AE106*(1+BR$3))/$AJ106,'Технический лист'!$I:$J,2,1)-VLOOKUP($AO106,'Технический лист'!$I:$J,2,1)),1+(1-$AU106))</f>
        <v/>
      </c>
      <c r="BS106" s="172">
        <f>MIN(IF($AU106=100%,1,1+VLOOKUP(($AJ106-$AI106-$AH106-$AG106-$AF106-$AE106*(1+BS$3))/$AJ106,'Технический лист'!$I:$J,2,1)-VLOOKUP($AO106,'Технический лист'!$I:$J,2,1)),1+(1-$AU106))</f>
        <v/>
      </c>
      <c r="BT106" s="172">
        <f>MIN(IF($AU106=100%,1,1+VLOOKUP(($AJ106-$AI106-$AH106-$AG106-$AF106-$AE106*(1+BT$3))/$AJ106,'Технический лист'!$I:$J,2,1)-VLOOKUP($AO106,'Технический лист'!$I:$J,2,1)),1+(1-$AU106))</f>
        <v/>
      </c>
      <c r="BU106" s="172">
        <f>MIN(IF($AU106=100%,1,1+VLOOKUP(($AJ106-$AI106-$AH106-$AG106-$AF106-$AE106*(1+BU$3))/$AJ106,'Технический лист'!$I:$J,2,1)-VLOOKUP($AO106,'Технический лист'!$I:$J,2,1)),1+(1-$AU106))</f>
        <v/>
      </c>
      <c r="BV106" s="172">
        <f>MIN(IF($AU106=100%,1,1+VLOOKUP(($AJ106-$AI106-$AH106-$AG106-$AF106-$AE106*(1+BV$3))/$AJ106,'Технический лист'!$I:$J,2,1)-VLOOKUP($AO106,'Технический лист'!$I:$J,2,1)),1+(1-$AU106))</f>
        <v/>
      </c>
      <c r="BW106" s="172">
        <f>MIN(IF($AU106=100%,1,1+VLOOKUP(($AJ106-$AI106-$AH106-$AG106-$AF106-$AE106*(1+BW$3))/$AJ106,'Технический лист'!$I:$J,2,1)-VLOOKUP($AO106,'Технический лист'!$I:$J,2,1)),1+(1-$AU106))</f>
        <v/>
      </c>
      <c r="BX106" s="172">
        <f>MIN(IF($AU106=100%,1,1+VLOOKUP(($AJ106-$AI106-$AH106-$AG106-$AF106-$AE106*(1+BX$3))/$AJ106,'Технический лист'!$I:$J,2,1)-VLOOKUP($AO106,'Технический лист'!$I:$J,2,1)),1+(1-$AU106))</f>
        <v/>
      </c>
      <c r="BY106" s="172">
        <f>MIN(IF($AU106=100%,1,1+VLOOKUP(($AJ106-$AI106-$AH106-$AG106-$AF106-$AE106*(1+BY$3))/$AJ106,'Технический лист'!$I:$J,2,1)-VLOOKUP($AO106,'Технический лист'!$I:$J,2,1)),1+(1-$AU106))</f>
        <v/>
      </c>
      <c r="BZ106" s="172">
        <f>MIN(IF($AU106=100%,1,1+VLOOKUP(($AJ106-$AI106-$AH106-$AG106-$AF106-$AE106*(1+BZ$3))/$AJ106,'Технический лист'!$I:$J,2,1)-VLOOKUP($AO106,'Технический лист'!$I:$J,2,1)),1+(1-$AU106))</f>
        <v/>
      </c>
      <c r="CA106" s="172">
        <f>MIN(IF($AU106=100%,1,1+VLOOKUP(($AJ106-$AI106-$AH106-$AG106-$AF106-$AE106*(1+CA$3))/$AJ106,'Технический лист'!$I:$J,2,1)-VLOOKUP($AO106,'Технический лист'!$I:$J,2,1)),1+(1-$AU106))</f>
        <v/>
      </c>
      <c r="CB106" s="172">
        <f>MIN(IF($AU106=100%,1,1+VLOOKUP(($AJ106-$AI106-$AH106-$AG106-$AF106-$AE106*(1+CB$3))/$AJ106,'Технический лист'!$I:$J,2,1)-VLOOKUP($AO106,'Технический лист'!$I:$J,2,1)),1+(1-$AU106))</f>
        <v/>
      </c>
      <c r="CC106" s="172">
        <f>MIN(IF($AU106=100%,1,1+VLOOKUP(($AJ106-$AI106-$AH106-$AG106-$AF106-$AE106*(1+CC$3))/$AJ106,'Технический лист'!$I:$J,2,1)-VLOOKUP($AO106,'Технический лист'!$I:$J,2,1)),1+(1-$AU106))</f>
        <v/>
      </c>
      <c r="CD106" s="172">
        <f>MIN(IF($AU106=100%,1,1+VLOOKUP(($AJ106-$AI106-$AH106-$AG106-$AF106-$AE106*(1+CD$3))/$AJ106,'Технический лист'!$I:$J,2,1)-VLOOKUP($AO106,'Технический лист'!$I:$J,2,1)),1+(1-$AU106))</f>
        <v/>
      </c>
      <c r="CE106" s="172">
        <f>MIN(IF($AU106=100%,1,1+VLOOKUP(($AJ106-$AI106-$AH106-$AG106-$AF106-$AE106*(1+CE$3))/$AJ106,'Технический лист'!$I:$J,2,1)-VLOOKUP($AO106,'Технический лист'!$I:$J,2,1)),1+(1-$AU106))</f>
        <v/>
      </c>
      <c r="CF106" s="172">
        <f>MIN(IF($AU106=100%,1,1+VLOOKUP(($AJ106-$AI106-$AH106-$AG106-$AF106-$AE106*(1+CF$3))/$AJ106,'Технический лист'!$I:$J,2,1)-VLOOKUP($AO106,'Технический лист'!$I:$J,2,1)),1+(1-$AU106))</f>
        <v/>
      </c>
      <c r="CG106" s="172">
        <f>MIN(IF($AU106=100%,1,1+VLOOKUP(($AJ106-$AI106-$AH106-$AG106-$AF106-$AE106*(1+CG$3))/$AJ106,'Технический лист'!$I:$J,2,1)-VLOOKUP($AO106,'Технический лист'!$I:$J,2,1)),1+(1-$AU106))</f>
        <v/>
      </c>
      <c r="CH106" s="172">
        <f>MIN(IF($AU106=100%,1,1+VLOOKUP(($AJ106-$AI106-$AH106-$AG106-$AF106-$AE106*(1+CH$3))/$AJ106,'Технический лист'!$I:$J,2,1)-VLOOKUP($AO106,'Технический лист'!$I:$J,2,1)),1+(1-$AU106))</f>
        <v/>
      </c>
      <c r="CI106" s="172">
        <f>MIN(IF($AU106=100%,1,1+VLOOKUP(($AJ106-$AI106-$AH106-$AG106-$AF106-$AE106*(1+CI$3))/$AJ106,'Технический лист'!$I:$J,2,1)-VLOOKUP($AO106,'Технический лист'!$I:$J,2,1)),1+(1-$AU106))</f>
        <v/>
      </c>
      <c r="CJ106" s="172">
        <f>MIN(IF($AU106=100%,1,1+VLOOKUP(($AJ106-$AI106-$AH106-$AG106-$AF106-$AE106*(1+CJ$3))/$AJ106,'Технический лист'!$I:$J,2,1)-VLOOKUP($AO106,'Технический лист'!$I:$J,2,1)),1+(1-$AU106))</f>
        <v/>
      </c>
      <c r="CK106" s="172">
        <f>MIN(IF($AU106=100%,1,1+VLOOKUP(($AJ106-$AI106-$AH106-$AG106-$AF106-$AE106*(1+CK$3))/$AJ106,'Технический лист'!$I:$J,2,1)-VLOOKUP($AO106,'Технический лист'!$I:$J,2,1)),1+(1-$AU106))</f>
        <v/>
      </c>
      <c r="CL106" s="172">
        <f>MIN(IF($AU106=100%,1,1+VLOOKUP(($AJ106-$AI106-$AH106-$AG106-$AF106-$AE106*(1+CL$3))/$AJ106,'Технический лист'!$I:$J,2,1)-VLOOKUP($AO106,'Технический лист'!$I:$J,2,1)),1+(1-$AU106))</f>
        <v/>
      </c>
      <c r="CM106" s="172">
        <f>MIN(IF($AU106=100%,1,1+VLOOKUP(($AJ106-$AI106-$AH106-$AG106-$AF106-$AE106*(1+CM$3))/$AJ106,'Технический лист'!$I:$J,2,1)-VLOOKUP($AO106,'Технический лист'!$I:$J,2,1)),1+(1-$AU106))</f>
        <v/>
      </c>
      <c r="CN106" s="172">
        <f>MIN(IF($AU106=100%,1,1+VLOOKUP(($AJ106-$AI106-$AH106-$AG106-$AF106-$AE106*(1+CN$3))/$AJ106,'Технический лист'!$I:$J,2,1)-VLOOKUP($AO106,'Технический лист'!$I:$J,2,1)),1+(1-$AU106))</f>
        <v/>
      </c>
      <c r="CO106" s="172">
        <f>MIN(IF($AU106=100%,1,1+VLOOKUP(($AJ106-$AI106-$AH106-$AG106-$AF106-$AE106*(1+CO$3))/$AJ106,'Технический лист'!$I:$J,2,1)-VLOOKUP($AO106,'Технический лист'!$I:$J,2,1)),1+(1-$AU106))</f>
        <v/>
      </c>
      <c r="CP106" s="172">
        <f>MIN(IF($AU106=100%,1,1+VLOOKUP(($AJ106-$AI106-$AH106-$AG106-$AF106-$AE106*(1+CP$3))/$AJ106,'Технический лист'!$I:$J,2,1)-VLOOKUP($AO106,'Технический лист'!$I:$J,2,1)),1+(1-$AU106))</f>
        <v/>
      </c>
      <c r="CQ106" s="172">
        <f>MIN(IF($AU106=100%,1,1+VLOOKUP(($AJ106-$AI106-$AH106-$AG106-$AF106-$AE106*(1+CQ$3))/$AJ106,'Технический лист'!$I:$J,2,1)-VLOOKUP($AO106,'Технический лист'!$I:$J,2,1)),1+(1-$AU106))</f>
        <v/>
      </c>
      <c r="CR106" s="172">
        <f>MIN(IF($AU106=100%,1,1+VLOOKUP(($AJ106-$AI106-$AH106-$AG106-$AF106-$AE106*(1+CR$3))/$AJ106,'Технический лист'!$I:$J,2,1)-VLOOKUP($AO106,'Технический лист'!$I:$J,2,1)),1+(1-$AU106))</f>
        <v/>
      </c>
      <c r="CS106" s="172">
        <f>MIN(IF($AU106=100%,1,1+VLOOKUP(($AJ106-$AI106-$AH106-$AG106-$AF106-$AE106*(1+CS$3))/$AJ106,'Технический лист'!$I:$J,2,1)-VLOOKUP($AO106,'Технический лист'!$I:$J,2,1)),1+(1-$AU106))</f>
        <v/>
      </c>
      <c r="CT106" s="172">
        <f>MIN(IF($AU106=100%,1,1+VLOOKUP(($AJ106-$AI106-$AH106-$AG106-$AF106-$AE106*(1+CT$3))/$AJ106,'Технический лист'!$I:$J,2,1)-VLOOKUP($AO106,'Технический лист'!$I:$J,2,1)),1+(1-$AU106))</f>
        <v/>
      </c>
      <c r="CU106" s="172">
        <f>MIN(IF($AU106=100%,1,1+VLOOKUP(($AJ106-$AI106-$AH106-$AG106-$AF106-$AE106*(1+CU$3))/$AJ106,'Технический лист'!$I:$J,2,1)-VLOOKUP($AO106,'Технический лист'!$I:$J,2,1)),1+(1-$AU106))</f>
        <v/>
      </c>
      <c r="CV106" s="172">
        <f>MIN(IF($AU106=100%,1,1+VLOOKUP(($AJ106-$AI106-$AH106-$AG106-$AF106-$AE106*(1+CV$3))/$AJ106,'Технический лист'!$I:$J,2,1)-VLOOKUP($AO106,'Технический лист'!$I:$J,2,1)),1+(1-$AU106))</f>
        <v/>
      </c>
      <c r="CW106" s="172">
        <f>MIN(IF($AU106=100%,1,1+VLOOKUP(($AJ106-$AI106-$AH106-$AG106-$AF106-$AE106*(1+CW$3))/$AJ106,'Технический лист'!$I:$J,2,1)-VLOOKUP($AO106,'Технический лист'!$I:$J,2,1)),1+(1-$AU106))</f>
        <v/>
      </c>
      <c r="CX106" s="172">
        <f>MIN(IF($AU106=100%,1,1+VLOOKUP(($AJ106-$AI106-$AH106-$AG106-$AF106-$AE106*(1+CX$3))/$AJ106,'Технический лист'!$I:$J,2,1)-VLOOKUP($AO106,'Технический лист'!$I:$J,2,1)),1+(1-$AU106))</f>
        <v/>
      </c>
      <c r="CY106" s="172">
        <f>MIN(IF($AU106=100%,1,1+VLOOKUP(($AJ106-$AI106-$AH106-$AG106-$AF106-$AE106*(1+CY$3))/$AJ106,'Технический лист'!$I:$J,2,1)-VLOOKUP($AO106,'Технический лист'!$I:$J,2,1)),1+(1-$AU106))</f>
        <v/>
      </c>
      <c r="CZ106" s="172">
        <f>MIN(IF($AU106=100%,1,1+VLOOKUP(($AJ106-$AI106-$AH106-$AG106-$AF106-$AE106*(1+CZ$3))/$AJ106,'Технический лист'!$I:$J,2,1)-VLOOKUP($AO106,'Технический лист'!$I:$J,2,1)),1+(1-$AU106))</f>
        <v/>
      </c>
      <c r="DA106" s="172">
        <f>MIN(IF($AU106=100%,1,1+VLOOKUP(($AJ106-$AI106-$AH106-$AG106-$AF106-$AE106*(1+DA$3))/$AJ106,'Технический лист'!$I:$J,2,1)-VLOOKUP($AO106,'Технический лист'!$I:$J,2,1)),1+(1-$AU106))</f>
        <v/>
      </c>
      <c r="DB106" s="172">
        <f>MIN(IF($AU106=100%,1,1+VLOOKUP(($AJ106-$AI106-$AH106-$AG106-$AF106-$AE106*(1+DB$3))/$AJ106,'Технический лист'!$I:$J,2,1)-VLOOKUP($AO106,'Технический лист'!$I:$J,2,1)),1+(1-$AU106))</f>
        <v/>
      </c>
      <c r="DC106" s="172">
        <f>MIN(IF($AU106=100%,1,1+VLOOKUP(($AJ106-$AI106-$AH106-$AG106-$AF106-$AE106*(1+DC$3))/$AJ106,'Технический лист'!$I:$J,2,1)-VLOOKUP($AO106,'Технический лист'!$I:$J,2,1)),1+(1-$AU106))</f>
        <v/>
      </c>
      <c r="DD106" s="172">
        <f>MIN(IF($AU106=100%,1,1+VLOOKUP(($AJ106-$AI106-$AH106-$AG106-$AF106-$AE106*(1+DD$3))/$AJ106,'Технический лист'!$I:$J,2,1)-VLOOKUP($AO106,'Технический лист'!$I:$J,2,1)),1+(1-$AU106))</f>
        <v/>
      </c>
      <c r="DE106" s="172">
        <f>MIN(IF($AU106=100%,1,1+VLOOKUP(($AJ106-$AI106-$AH106-$AG106-$AF106-$AE106*(1+DE$3))/$AJ106,'Технический лист'!$I:$J,2,1)-VLOOKUP($AO106,'Технический лист'!$I:$J,2,1)),1+(1-$AU106))</f>
        <v/>
      </c>
      <c r="DF106" s="172">
        <f>MIN(IF($AU106=100%,1,1+VLOOKUP(($AJ106-$AI106-$AH106-$AG106-$AF106-$AE106*(1+DF$3))/$AJ106,'Технический лист'!$I:$J,2,1)-VLOOKUP($AO106,'Технический лист'!$I:$J,2,1)),1+(1-$AU106))</f>
        <v/>
      </c>
      <c r="DG106" s="172">
        <f>MIN(IF($AU106=100%,1,1+VLOOKUP(($AJ106-$AI106-$AH106-$AG106-$AF106-$AE106*(1+DG$3))/$AJ106,'Технический лист'!$I:$J,2,1)-VLOOKUP($AO106,'Технический лист'!$I:$J,2,1)),1+(1-$AU106))</f>
        <v/>
      </c>
      <c r="DH106" s="172">
        <f>MIN(IF($AU106=100%,1,1+VLOOKUP(($AJ106-$AI106-$AH106-$AG106-$AF106-$AE106*(1+DH$3))/$AJ106,'Технический лист'!$I:$J,2,1)-VLOOKUP($AO106,'Технический лист'!$I:$J,2,1)),1+(1-$AU106))</f>
        <v/>
      </c>
      <c r="DI106" s="172">
        <f>MIN(IF($AU106=100%,1,1+VLOOKUP(($AJ106-$AI106-$AH106-$AG106-$AF106-$AE106*(1+DI$3))/$AJ106,'Технический лист'!$I:$J,2,1)-VLOOKUP($AO106,'Технический лист'!$I:$J,2,1)),1+(1-$AU106))</f>
        <v/>
      </c>
      <c r="DJ106" s="172">
        <f>MIN(IF($AU106=100%,1,1+VLOOKUP(($AJ106-$AI106-$AH106-$AG106-$AF106-$AE106*(1+DJ$3))/$AJ106,'Технический лист'!$I:$J,2,1)-VLOOKUP($AO106,'Технический лист'!$I:$J,2,1)),1+(1-$AU106))</f>
        <v/>
      </c>
      <c r="DK106" s="172">
        <f>MIN(IF($AU106=100%,1,1+VLOOKUP(($AJ106-$AI106-$AH106-$AG106-$AF106-$AE106*(1+DK$3))/$AJ106,'Технический лист'!$I:$J,2,1)-VLOOKUP($AO106,'Технический лист'!$I:$J,2,1)),1+(1-$AU106))</f>
        <v/>
      </c>
      <c r="DL106" s="172">
        <f>MIN(IF($AU106=100%,1,1+VLOOKUP(($AJ106-$AI106-$AH106-$AG106-$AF106-$AE106*(1+DL$3))/$AJ106,'Технический лист'!$I:$J,2,1)-VLOOKUP($AO106,'Технический лист'!$I:$J,2,1)),1+(1-$AU106))</f>
        <v/>
      </c>
      <c r="DM106" s="172">
        <f>MIN(IF($AU106=100%,1,1+VLOOKUP(($AJ106-$AI106-$AH106-$AG106-$AF106-$AE106*(1+DM$3))/$AJ106,'Технический лист'!$I:$J,2,1)-VLOOKUP($AO106,'Технический лист'!$I:$J,2,1)),1+(1-$AU106))</f>
        <v/>
      </c>
      <c r="DN106" s="172">
        <f>MIN(IF($AU106=100%,1,1+VLOOKUP(($AJ106-$AI106-$AH106-$AG106-$AF106-$AE106*(1+DN$3))/$AJ106,'Технический лист'!$I:$J,2,1)-VLOOKUP($AO106,'Технический лист'!$I:$J,2,1)),1+(1-$AU106))</f>
        <v/>
      </c>
      <c r="DO106" s="172">
        <f>MIN(IF($AU106=100%,1,1+VLOOKUP(($AJ106-$AI106-$AH106-$AG106-$AF106-$AE106*(1+DO$3))/$AJ106,'Технический лист'!$I:$J,2,1)-VLOOKUP($AO106,'Технический лист'!$I:$J,2,1)),1+(1-$AU106))</f>
        <v/>
      </c>
      <c r="DP106" s="172">
        <f>MIN(IF($AU106=100%,1,1+VLOOKUP(($AJ106-$AI106-$AH106-$AG106-$AF106-$AE106*(1+DP$3))/$AJ106,'Технический лист'!$I:$J,2,1)-VLOOKUP($AO106,'Технический лист'!$I:$J,2,1)),1+(1-$AU106))</f>
        <v/>
      </c>
      <c r="DQ106" s="172">
        <f>MIN(IF($AU106=100%,1,1+VLOOKUP(($AJ106-$AI106-$AH106-$AG106-$AF106-$AE106*(1+DQ$3))/$AJ106,'Технический лист'!$I:$J,2,1)-VLOOKUP($AO106,'Технический лист'!$I:$J,2,1)),1+(1-$AU106))</f>
        <v/>
      </c>
      <c r="DR106" s="172">
        <f>MIN(IF($AU106=100%,1,1+VLOOKUP(($AJ106-$AI106-$AH106-$AG106-$AF106-$AE106*(1+DR$3))/$AJ106,'Технический лист'!$I:$J,2,1)-VLOOKUP($AO106,'Технический лист'!$I:$J,2,1)),1+(1-$AU106))</f>
        <v/>
      </c>
      <c r="DS106" s="172">
        <f>MIN(IF($AU106=100%,1,1+VLOOKUP(($AJ106-$AI106-$AH106-$AG106-$AF106-$AE106*(1+DS$3))/$AJ106,'Технический лист'!$I:$J,2,1)-VLOOKUP($AO106,'Технический лист'!$I:$J,2,1)),1+(1-$AU106))</f>
        <v/>
      </c>
      <c r="DT106" s="172">
        <f>MIN(IF($AU106=100%,1,1+VLOOKUP(($AJ106-$AI106-$AH106-$AG106-$AF106-$AE106*(1+DT$3))/$AJ106,'Технический лист'!$I:$J,2,1)-VLOOKUP($AO106,'Технический лист'!$I:$J,2,1)),1+(1-$AU106))</f>
        <v/>
      </c>
      <c r="DU106" s="172">
        <f>MIN(IF($AU106=100%,1,1+VLOOKUP(($AJ106-$AI106-$AH106-$AG106-$AF106-$AE106*(1+DU$3))/$AJ106,'Технический лист'!$I:$J,2,1)-VLOOKUP($AO106,'Технический лист'!$I:$J,2,1)),1+(1-$AU106))</f>
        <v/>
      </c>
      <c r="DV106" s="172">
        <f>MIN(IF($AU106=100%,1,1+VLOOKUP(($AJ106-$AI106-$AH106-$AG106-$AF106-$AE106*(1+DV$3))/$AJ106,'Технический лист'!$I:$J,2,1)-VLOOKUP($AO106,'Технический лист'!$I:$J,2,1)),1+(1-$AU106))</f>
        <v/>
      </c>
      <c r="DW106" s="172">
        <f>MIN(IF($AU106=100%,1,1+VLOOKUP(($AJ106-$AI106-$AH106-$AG106-$AF106-$AE106*(1+DW$3))/$AJ106,'Технический лист'!$I:$J,2,1)-VLOOKUP($AO106,'Технический лист'!$I:$J,2,1)),1+(1-$AU106))</f>
        <v/>
      </c>
      <c r="DX106" s="172">
        <f>MIN(IF($AU106=100%,1,1+VLOOKUP(($AJ106-$AI106-$AH106-$AG106-$AF106-$AE106*(1+DX$3))/$AJ106,'Технический лист'!$I:$J,2,1)-VLOOKUP($AO106,'Технический лист'!$I:$J,2,1)),1+(1-$AU106))</f>
        <v/>
      </c>
      <c r="DY106" s="172">
        <f>MIN(IF($AU106=100%,1,1+VLOOKUP(($AJ106-$AI106-$AH106-$AG106-$AF106-$AE106*(1+DY$3))/$AJ106,'Технический лист'!$I:$J,2,1)-VLOOKUP($AO106,'Технический лист'!$I:$J,2,1)),1+(1-$AU106))</f>
        <v/>
      </c>
      <c r="DZ106" s="172">
        <f>MIN(IF($AU106=100%,1,1+VLOOKUP(($AJ106-$AI106-$AH106-$AG106-$AF106-$AE106*(1+DZ$3))/$AJ106,'Технический лист'!$I:$J,2,1)-VLOOKUP($AO106,'Технический лист'!$I:$J,2,1)),1+(1-$AU106))</f>
        <v/>
      </c>
      <c r="EA106" s="172">
        <f>MIN(IF($AU106=100%,1,1+VLOOKUP(($AJ106-$AI106-$AH106-$AG106-$AF106-$AE106*(1+EA$3))/$AJ106,'Технический лист'!$I:$J,2,1)-VLOOKUP($AO106,'Технический лист'!$I:$J,2,1)),1+(1-$AU106))</f>
        <v/>
      </c>
      <c r="EB106" s="172">
        <f>MIN(IF($AU106=100%,1,1+VLOOKUP(($AJ106-$AI106-$AH106-$AG106-$AF106-$AE106*(1+EB$3))/$AJ106,'Технический лист'!$I:$J,2,1)-VLOOKUP($AO106,'Технический лист'!$I:$J,2,1)),1+(1-$AU106))</f>
        <v/>
      </c>
      <c r="EC106" s="172">
        <f>MIN(IF($AU106=100%,1,1+VLOOKUP(($AJ106-$AI106-$AH106-$AG106-$AF106-$AE106*(1+EC$3))/$AJ106,'Технический лист'!$I:$J,2,1)-VLOOKUP($AO106,'Технический лист'!$I:$J,2,1)),1+(1-$AU106))</f>
        <v/>
      </c>
      <c r="ED106" s="172">
        <f>MIN(IF($AU106=100%,1,1+VLOOKUP(($AJ106-$AI106-$AH106-$AG106-$AF106-$AE106*(1+ED$3))/$AJ106,'Технический лист'!$I:$J,2,1)-VLOOKUP($AO106,'Технический лист'!$I:$J,2,1)),1+(1-$AU106))</f>
        <v/>
      </c>
      <c r="EE106" s="172">
        <f>MIN(IF($AU106=100%,1,1+VLOOKUP(($AJ106-$AI106-$AH106-$AG106-$AF106-$AE106*(1+EE$3))/$AJ106,'Технический лист'!$I:$J,2,1)-VLOOKUP($AO106,'Технический лист'!$I:$J,2,1)),1+(1-$AU106))</f>
        <v/>
      </c>
      <c r="EF106" s="172">
        <f>MIN(IF($AU106=100%,1,1+VLOOKUP(($AJ106-$AI106-$AH106-$AG106-$AF106-$AE106*(1+EF$3))/$AJ106,'Технический лист'!$I:$J,2,1)-VLOOKUP($AO106,'Технический лист'!$I:$J,2,1)),1+(1-$AU106))</f>
        <v/>
      </c>
      <c r="EG106" s="172">
        <f>MIN(IF($AU106=100%,1,1+VLOOKUP(($AJ106-$AI106-$AH106-$AG106-$AF106-$AE106*(1+EG$3))/$AJ106,'Технический лист'!$I:$J,2,1)-VLOOKUP($AO106,'Технический лист'!$I:$J,2,1)),1+(1-$AU106))</f>
        <v/>
      </c>
      <c r="EH106" s="172">
        <f>MIN(IF($AU106=100%,1,1+VLOOKUP(($AJ106-$AI106-$AH106-$AG106-$AF106-$AE106*(1+EH$3))/$AJ106,'Технический лист'!$I:$J,2,1)-VLOOKUP($AO106,'Технический лист'!$I:$J,2,1)),1+(1-$AU106))</f>
        <v/>
      </c>
      <c r="EI106" s="172">
        <f>MIN(IF($AU106=100%,1,1+VLOOKUP(($AJ106-$AI106-$AH106-$AG106-$AF106-$AE106*(1+EI$3))/$AJ106,'Технический лист'!$I:$J,2,1)-VLOOKUP($AO106,'Технический лист'!$I:$J,2,1)),1+(1-$AU106))</f>
        <v/>
      </c>
      <c r="EJ106" s="172">
        <f>MIN(IF($AU106=100%,1,1+VLOOKUP(($AJ106-$AI106-$AH106-$AG106-$AF106-$AE106*(1+EJ$3))/$AJ106,'Технический лист'!$I:$J,2,1)-VLOOKUP($AO106,'Технический лист'!$I:$J,2,1)),1+(1-$AU106))</f>
        <v/>
      </c>
      <c r="EK106" s="172">
        <f>MIN(IF($AU106=100%,1,1+VLOOKUP(($AJ106-$AI106-$AH106-$AG106-$AF106-$AE106*(1+EK$3))/$AJ106,'Технический лист'!$I:$J,2,1)-VLOOKUP($AO106,'Технический лист'!$I:$J,2,1)),1+(1-$AU106))</f>
        <v/>
      </c>
      <c r="EL106" s="172">
        <f>MIN(IF($AU106=100%,1,1+VLOOKUP(($AJ106-$AI106-$AH106-$AG106-$AF106-$AE106*(1+EL$3))/$AJ106,'Технический лист'!$I:$J,2,1)-VLOOKUP($AO106,'Технический лист'!$I:$J,2,1)),1+(1-$AU106))</f>
        <v/>
      </c>
      <c r="EM106" s="172">
        <f>MIN(IF($AU106=100%,1,1+VLOOKUP(($AJ106-$AI106-$AH106-$AG106-$AF106-$AE106*(1+EM$3))/$AJ106,'Технический лист'!$I:$J,2,1)-VLOOKUP($AO106,'Технический лист'!$I:$J,2,1)),1+(1-$AU106))</f>
        <v/>
      </c>
      <c r="EN106" s="172">
        <f>MIN(IF($AU106=100%,1,1+VLOOKUP(($AJ106-$AI106-$AH106-$AG106-$AF106-$AE106*(1+EN$3))/$AJ106,'Технический лист'!$I:$J,2,1)-VLOOKUP($AO106,'Технический лист'!$I:$J,2,1)),1+(1-$AU106))</f>
        <v/>
      </c>
      <c r="EO106" s="172">
        <f>MIN(IF($AU106=100%,1,1+VLOOKUP(($AJ106-$AI106-$AH106-$AG106-$AF106-$AE106*(1+EO$3))/$AJ106,'Технический лист'!$I:$J,2,1)-VLOOKUP($AO106,'Технический лист'!$I:$J,2,1)),1+(1-$AU106))</f>
        <v/>
      </c>
      <c r="EP106" s="172">
        <f>MIN(IF($AU106=100%,1,1+VLOOKUP(($AJ106-$AI106-$AH106-$AG106-$AF106-$AE106*(1+EP$3))/$AJ106,'Технический лист'!$I:$J,2,1)-VLOOKUP($AO106,'Технический лист'!$I:$J,2,1)),1+(1-$AU106))</f>
        <v/>
      </c>
      <c r="EQ106" s="172">
        <f>MIN(IF($AU106=100%,1,1+VLOOKUP(($AJ106-$AI106-$AH106-$AG106-$AF106-$AE106*(1+EQ$3))/$AJ106,'Технический лист'!$I:$J,2,1)-VLOOKUP($AO106,'Технический лист'!$I:$J,2,1)),1+(1-$AU106))</f>
        <v/>
      </c>
      <c r="ER106" s="172">
        <f>MIN(IF($AU106=100%,1,1+VLOOKUP(($AJ106-$AI106-$AH106-$AG106-$AF106-$AE106*(1+ER$3))/$AJ106,'Технический лист'!$I:$J,2,1)-VLOOKUP($AO106,'Технический лист'!$I:$J,2,1)),1+(1-$AU106))</f>
        <v/>
      </c>
      <c r="ES106" s="172">
        <f>MIN(IF($AU106=100%,1,1+VLOOKUP(($AJ106-$AI106-$AH106-$AG106-$AF106-$AE106*(1+ES$3))/$AJ106,'Технический лист'!$I:$J,2,1)-VLOOKUP($AO106,'Технический лист'!$I:$J,2,1)),1+(1-$AU106))</f>
        <v/>
      </c>
      <c r="ET106" s="172">
        <f>MIN(IF($AU106=100%,1,1+VLOOKUP(($AJ106-$AI106-$AH106-$AG106-$AF106-$AE106*(1+ET$3))/$AJ106,'Технический лист'!$I:$J,2,1)-VLOOKUP($AO106,'Технический лист'!$I:$J,2,1)),1+(1-$AU106))</f>
        <v/>
      </c>
      <c r="EU106" s="172">
        <f>MIN(IF($AU106=100%,1,1+VLOOKUP(($AJ106-$AI106-$AH106-$AG106-$AF106-$AE106*(1+EU$3))/$AJ106,'Технический лист'!$I:$J,2,1)-VLOOKUP($AO106,'Технический лист'!$I:$J,2,1)),1+(1-$AU106))</f>
        <v/>
      </c>
      <c r="EV106" s="173" t="n">
        <v>1</v>
      </c>
      <c r="EW106" s="172">
        <f>MIN(1,MAX(VLOOKUP(($AJ106-$AI106-$AH106-$AG106-$AF106-$AE106*(1+EW$3))/$AJ106,'Технический лист'!$A:$B,2,1),(EV106-0.05)))</f>
        <v/>
      </c>
      <c r="EX106" s="172">
        <f>MIN(1,MAX(VLOOKUP(($AJ106-$AI106-$AH106-$AG106-$AF106-$AE106*(1+EX$3))/$AJ106,'Технический лист'!$A:$B,2,1),(EW106-0.05)))</f>
        <v/>
      </c>
      <c r="EY106" s="172">
        <f>MIN(1,MAX(VLOOKUP(($AJ106-$AI106-$AH106-$AG106-$AF106-$AE106*(1+EY$3))/$AJ106,'Технический лист'!$A:$B,2,1),(EX106-0.05)))</f>
        <v/>
      </c>
      <c r="EZ106" s="172">
        <f>MIN(1,MAX(VLOOKUP(($AJ106-$AI106-$AH106-$AG106-$AF106-$AE106*(1+EZ$3))/$AJ106,'Технический лист'!$A:$B,2,1),(EY106-0.05)))</f>
        <v/>
      </c>
      <c r="FA106" s="172">
        <f>MIN(1,MAX(VLOOKUP(($AJ106-$AI106-$AH106-$AG106-$AF106-$AE106*(1+FA$3))/$AJ106,'Технический лист'!$A:$B,2,1),(EZ106-0.05)))</f>
        <v/>
      </c>
      <c r="FB106" s="172">
        <f>MIN(1,MAX(VLOOKUP(($AJ106-$AI106-$AH106-$AG106-$AF106-$AE106*(1+FB$3))/$AJ106,'Технический лист'!$A:$B,2,1),(FA106-0.05)))</f>
        <v/>
      </c>
      <c r="FC106" s="172">
        <f>MIN(1,MAX(VLOOKUP(($AJ106-$AI106-$AH106-$AG106-$AF106-$AE106*(1+FC$3))/$AJ106,'Технический лист'!$A:$B,2,1),(FB106-0.05)))</f>
        <v/>
      </c>
      <c r="FD106" s="172">
        <f>MIN(1,MAX(VLOOKUP(($AJ106-$AI106-$AH106-$AG106-$AF106-$AE106*(1+FD$3))/$AJ106,'Технический лист'!$A:$B,2,1),(FC106-0.05)))</f>
        <v/>
      </c>
      <c r="FE106" s="172">
        <f>MIN(1,MAX(VLOOKUP(($AJ106-$AI106-$AH106-$AG106-$AF106-$AE106*(1+FE$3))/$AJ106,'Технический лист'!$A:$B,2,1),(FD106-0.05)))</f>
        <v/>
      </c>
      <c r="FF106" s="172">
        <f>MIN(1,MAX(VLOOKUP(($AJ106-$AI106-$AH106-$AG106-$AF106-$AE106*(1+FF$3))/$AJ106,'Технический лист'!$A:$B,2,1),(FE106-0.05)))</f>
        <v/>
      </c>
      <c r="FG106" s="172">
        <f>MIN(1,MAX(VLOOKUP(($AJ106-$AI106-$AH106-$AG106-$AF106-$AE106*(1+FG$3))/$AJ106,'Технический лист'!$A:$B,2,1),(FF106-0.05)))</f>
        <v/>
      </c>
      <c r="FH106" s="172">
        <f>MIN(1,MAX(VLOOKUP(($AJ106-$AI106-$AH106-$AG106-$AF106-$AE106*(1+FH$3))/$AJ106,'Технический лист'!$A:$B,2,1),(FG106-0.05)))</f>
        <v/>
      </c>
      <c r="FI106" s="172">
        <f>MIN(1,MAX(VLOOKUP(($AJ106-$AI106-$AH106-$AG106-$AF106-$AE106*(1+FI$3))/$AJ106,'Технический лист'!$A:$B,2,1),(FH106-0.05)))</f>
        <v/>
      </c>
      <c r="FJ106" s="172">
        <f>MIN(1,MAX(VLOOKUP(($AJ106-$AI106-$AH106-$AG106-$AF106-$AE106*(1+FJ$3))/$AJ106,'Технический лист'!$A:$B,2,1),(FI106-0.05)))</f>
        <v/>
      </c>
      <c r="FK106" s="172">
        <f>MIN(1,MAX(VLOOKUP(($AJ106-$AI106-$AH106-$AG106-$AF106-$AE106*(1+FK$3))/$AJ106,'Технический лист'!$A:$B,2,1),(FJ106-0.05)))</f>
        <v/>
      </c>
      <c r="FL106" s="172">
        <f>MIN(1,MAX(VLOOKUP(($AJ106-$AI106-$AH106-$AG106-$AF106-$AE106*(1+FL$3))/$AJ106,'Технический лист'!$A:$B,2,1),(FK106-0.05)))</f>
        <v/>
      </c>
      <c r="FM106" s="172">
        <f>MIN(1,MAX(VLOOKUP(($AJ106-$AI106-$AH106-$AG106-$AF106-$AE106*(1+FM$3))/$AJ106,'Технический лист'!$A:$B,2,1),(FL106-0.05)))</f>
        <v/>
      </c>
      <c r="FN106" s="172">
        <f>MIN(1,MAX(VLOOKUP(($AJ106-$AI106-$AH106-$AG106-$AF106-$AE106*(1+FN$3))/$AJ106,'Технический лист'!$A:$B,2,1),(FM106-0.05)))</f>
        <v/>
      </c>
      <c r="FO106" s="172">
        <f>MIN(1,MAX(VLOOKUP(($AJ106-$AI106-$AH106-$AG106-$AF106-$AE106*(1+FO$3))/$AJ106,'Технический лист'!$A:$B,2,1),(FN106-0.05)))</f>
        <v/>
      </c>
      <c r="FP106" s="172">
        <f>MIN(1,MAX(VLOOKUP(($AJ106-$AI106-$AH106-$AG106-$AF106-$AE106*(1+FP$3))/$AJ106,'Технический лист'!$A:$B,2,1),(FO106-0.05)))</f>
        <v/>
      </c>
      <c r="FQ106" s="172">
        <f>MIN(1,MAX(VLOOKUP(($AJ106-$AI106-$AH106-$AG106-$AF106-$AE106*(1+FQ$3))/$AJ106,'Технический лист'!$A:$B,2,1),(FP106-0.05)))</f>
        <v/>
      </c>
      <c r="FR106" s="172">
        <f>MIN(1,MAX(VLOOKUP(($AJ106-$AI106-$AH106-$AG106-$AF106-$AE106*(1+FR$3))/$AJ106,'Технический лист'!$A:$B,2,1),(FQ106-0.05)))</f>
        <v/>
      </c>
      <c r="FS106" s="172">
        <f>MIN(1,MAX(VLOOKUP(($AJ106-$AI106-$AH106-$AG106-$AF106-$AE106*(1+FS$3))/$AJ106,'Технический лист'!$A:$B,2,1),(FR106-0.05)))</f>
        <v/>
      </c>
      <c r="FT106" s="172">
        <f>MIN(1,MAX(VLOOKUP(($AJ106-$AI106-$AH106-$AG106-$AF106-$AE106*(1+FT$3))/$AJ106,'Технический лист'!$A:$B,2,1),(FS106-0.05)))</f>
        <v/>
      </c>
      <c r="FU106" s="172">
        <f>MIN(1,MAX(VLOOKUP(($AJ106-$AI106-$AH106-$AG106-$AF106-$AE106*(1+FU$3))/$AJ106,'Технический лист'!$A:$B,2,1),(FT106-0.05)))</f>
        <v/>
      </c>
      <c r="FV106" s="172">
        <f>MIN(1,MAX(VLOOKUP(($AJ106-$AI106-$AH106-$AG106-$AF106-$AE106*(1+FV$3))/$AJ106,'Технический лист'!$A:$B,2,1),(FU106-0.05)))</f>
        <v/>
      </c>
      <c r="FW106" s="172">
        <f>MIN(1,MAX(VLOOKUP(($AJ106-$AI106-$AH106-$AG106-$AF106-$AE106*(1+FW$3))/$AJ106,'Технический лист'!$A:$B,2,1),(FV106-0.05)))</f>
        <v/>
      </c>
      <c r="FX106" s="172">
        <f>MIN(1,MAX(VLOOKUP(($AJ106-$AI106-$AH106-$AG106-$AF106-$AE106*(1+FX$3))/$AJ106,'Технический лист'!$A:$B,2,1),(FW106-0.05)))</f>
        <v/>
      </c>
      <c r="FY106" s="172">
        <f>MIN(1,MAX(VLOOKUP(($AJ106-$AI106-$AH106-$AG106-$AF106-$AE106*(1+FY$3))/$AJ106,'Технический лист'!$A:$B,2,1),(FX106-0.05)))</f>
        <v/>
      </c>
      <c r="FZ106" s="172">
        <f>MIN(1,MAX(VLOOKUP(($AJ106-$AI106-$AH106-$AG106-$AF106-$AE106*(1+FZ$3))/$AJ106,'Технический лист'!$A:$B,2,1),(FY106-0.05)))</f>
        <v/>
      </c>
      <c r="GA106" s="172">
        <f>MIN(1,MAX(VLOOKUP(($AJ106-$AI106-$AH106-$AG106-$AF106-$AE106*(1+GA$3))/$AJ106,'Технический лист'!$A:$B,2,1),(FZ106-0.05)))</f>
        <v/>
      </c>
      <c r="GB106" s="172">
        <f>MIN(1,MAX(VLOOKUP(($AJ106-$AI106-$AH106-$AG106-$AF106-$AE106*(1+GB$3))/$AJ106,'Технический лист'!$A:$B,2,1),(GA106-0.05)))</f>
        <v/>
      </c>
      <c r="GC106" s="172">
        <f>MIN(1,MAX(VLOOKUP(($AJ106-$AI106-$AH106-$AG106-$AF106-$AE106*(1+GC$3))/$AJ106,'Технический лист'!$A:$B,2,1),(GB106-0.05)))</f>
        <v/>
      </c>
      <c r="GD106" s="172">
        <f>MIN(1,MAX(VLOOKUP(($AJ106-$AI106-$AH106-$AG106-$AF106-$AE106*(1+GD$3))/$AJ106,'Технический лист'!$A:$B,2,1),(GC106-0.05)))</f>
        <v/>
      </c>
      <c r="GE106" s="172">
        <f>MIN(1,MAX(VLOOKUP(($AJ106-$AI106-$AH106-$AG106-$AF106-$AE106*(1+GE$3))/$AJ106,'Технический лист'!$A:$B,2,1),(GD106-0.05)))</f>
        <v/>
      </c>
      <c r="GF106" s="172">
        <f>MIN(1,MAX(VLOOKUP(($AJ106-$AI106-$AH106-$AG106-$AF106-$AE106*(1+GF$3))/$AJ106,'Технический лист'!$A:$B,2,1),(GE106-0.05)))</f>
        <v/>
      </c>
      <c r="GG106" s="172">
        <f>MIN(1,MAX(VLOOKUP(($AJ106-$AI106-$AH106-$AG106-$AF106-$AE106*(1+GG$3))/$AJ106,'Технический лист'!$A:$B,2,1),(GF106-0.05)))</f>
        <v/>
      </c>
      <c r="GH106" s="172">
        <f>MIN(1,MAX(VLOOKUP(($AJ106-$AI106-$AH106-$AG106-$AF106-$AE106*(1+GH$3))/$AJ106,'Технический лист'!$A:$B,2,1),(GG106-0.05)))</f>
        <v/>
      </c>
      <c r="GI106" s="172">
        <f>MIN(1,MAX(VLOOKUP(($AJ106-$AI106-$AH106-$AG106-$AF106-$AE106*(1+GI$3))/$AJ106,'Технический лист'!$A:$B,2,1),(GH106-0.05)))</f>
        <v/>
      </c>
      <c r="GJ106" s="172">
        <f>MIN(1,MAX(VLOOKUP(($AJ106-$AI106-$AH106-$AG106-$AF106-$AE106*(1+GJ$3))/$AJ106,'Технический лист'!$A:$B,2,1),(GI106-0.05)))</f>
        <v/>
      </c>
      <c r="GK106" s="172">
        <f>MIN(1,MAX(VLOOKUP(($AJ106-$AI106-$AH106-$AG106-$AF106-$AE106*(1+GK$3))/$AJ106,'Технический лист'!$A:$B,2,1),(GJ106-0.05)))</f>
        <v/>
      </c>
      <c r="GL106" s="172">
        <f>MIN(1,MAX(VLOOKUP(($AJ106-$AI106-$AH106-$AG106-$AF106-$AE106*(1+GL$3))/$AJ106,'Технический лист'!$A:$B,2,1),(GK106-0.05)))</f>
        <v/>
      </c>
      <c r="GM106" s="172">
        <f>MIN(1,MAX(VLOOKUP(($AJ106-$AI106-$AH106-$AG106-$AF106-$AE106*(1+GM$3))/$AJ106,'Технический лист'!$A:$B,2,1),(GL106-0.05)))</f>
        <v/>
      </c>
      <c r="GN106" s="172">
        <f>MIN(1,MAX(VLOOKUP(($AJ106-$AI106-$AH106-$AG106-$AF106-$AE106*(1+GN$3))/$AJ106,'Технический лист'!$A:$B,2,1),(GM106-0.05)))</f>
        <v/>
      </c>
      <c r="GO106" s="172">
        <f>MIN(1,MAX(VLOOKUP(($AJ106-$AI106-$AH106-$AG106-$AF106-$AE106*(1+GO$3))/$AJ106,'Технический лист'!$A:$B,2,1),(GN106-0.05)))</f>
        <v/>
      </c>
      <c r="GP106" s="172">
        <f>MIN(1,MAX(VLOOKUP(($AJ106-$AI106-$AH106-$AG106-$AF106-$AE106*(1+GP$3))/$AJ106,'Технический лист'!$A:$B,2,1),(GO106-0.05)))</f>
        <v/>
      </c>
      <c r="GQ106" s="172">
        <f>MIN(1,MAX(VLOOKUP(($AJ106-$AI106-$AH106-$AG106-$AF106-$AE106*(1+GQ$3))/$AJ106,'Технический лист'!$A:$B,2,1),(GP106-0.05)))</f>
        <v/>
      </c>
      <c r="GR106" s="172">
        <f>MIN(1,MAX(VLOOKUP(($AJ106-$AI106-$AH106-$AG106-$AF106-$AE106*(1+GR$3))/$AJ106,'Технический лист'!$A:$B,2,1),(GQ106-0.05)))</f>
        <v/>
      </c>
      <c r="GS106" s="172">
        <f>MIN(1,MAX(VLOOKUP(($AJ106-$AI106-$AH106-$AG106-$AF106-$AE106*(1+GS$3))/$AJ106,'Технический лист'!$A:$B,2,1),(GR106-0.05)))</f>
        <v/>
      </c>
      <c r="GT106" s="172">
        <f>MIN(1,MAX(VLOOKUP(($AJ106-$AI106-$AH106-$AG106-$AF106-$AE106*(1+GT$3))/$AJ106,'Технический лист'!$A:$B,2,1),(GS106-0.05)))</f>
        <v/>
      </c>
      <c r="GU106" s="172">
        <f>MIN(1,MAX(VLOOKUP(($AJ106-$AI106-$AH106-$AG106-$AF106-$AE106*(1+GU$3))/$AJ106,'Технический лист'!$A:$B,2,1),(GT106-0.05)))</f>
        <v/>
      </c>
      <c r="GV106" s="172">
        <f>MIN(1,MAX(VLOOKUP(($AJ106-$AI106-$AH106-$AG106-$AF106-$AE106*(1+GV$3))/$AJ106,'Технический лист'!$A:$B,2,1),(GU106-0.05)))</f>
        <v/>
      </c>
      <c r="GW106" s="172">
        <f>MIN(1,MAX(VLOOKUP(($AJ106-$AI106-$AH106-$AG106-$AF106-$AE106*(1+GW$3))/$AJ106,'Технический лист'!$A:$B,2,1),(GV106-0.05)))</f>
        <v/>
      </c>
      <c r="GX106" s="172">
        <f>MIN(1,MAX(VLOOKUP(($AJ106-$AI106-$AH106-$AG106-$AF106-$AE106*(1+GX$3))/$AJ106,'Технический лист'!$A:$B,2,1),(GW106-0.05)))</f>
        <v/>
      </c>
      <c r="GY106" s="172">
        <f>MIN(1,MAX(VLOOKUP(($AJ106-$AI106-$AH106-$AG106-$AF106-$AE106*(1+GY$3))/$AJ106,'Технический лист'!$A:$B,2,1),(GX106-0.05)))</f>
        <v/>
      </c>
      <c r="GZ106" s="172">
        <f>MIN(1,MAX(VLOOKUP(($AJ106-$AI106-$AH106-$AG106-$AF106-$AE106*(1+GZ$3))/$AJ106,'Технический лист'!$A:$B,2,1),(GY106-0.05)))</f>
        <v/>
      </c>
      <c r="HA106" s="172">
        <f>MIN(1,MAX(VLOOKUP(($AJ106-$AI106-$AH106-$AG106-$AF106-$AE106*(1+HA$3))/$AJ106,'Технический лист'!$A:$B,2,1),(GZ106-0.05)))</f>
        <v/>
      </c>
      <c r="HB106" s="172">
        <f>MIN(1,MAX(VLOOKUP(($AJ106-$AI106-$AH106-$AG106-$AF106-$AE106*(1+HB$3))/$AJ106,'Технический лист'!$A:$B,2,1),(HA106-0.05)))</f>
        <v/>
      </c>
      <c r="HC106" s="172">
        <f>MIN(1,MAX(VLOOKUP(($AJ106-$AI106-$AH106-$AG106-$AF106-$AE106*(1+HC$3))/$AJ106,'Технический лист'!$A:$B,2,1),(HB106-0.05)))</f>
        <v/>
      </c>
      <c r="HD106" s="172">
        <f>MIN(1,MAX(VLOOKUP(($AJ106-$AI106-$AH106-$AG106-$AF106-$AE106*(1+HD$3))/$AJ106,'Технический лист'!$A:$B,2,1),(HC106-0.05)))</f>
        <v/>
      </c>
      <c r="HE106" s="172">
        <f>MIN(1,MAX(VLOOKUP(($AJ106-$AI106-$AH106-$AG106-$AF106-$AE106*(1+HE$3))/$AJ106,'Технический лист'!$A:$B,2,1),(HD106-0.05)))</f>
        <v/>
      </c>
      <c r="HF106" s="172">
        <f>MIN(1,MAX(VLOOKUP(($AJ106-$AI106-$AH106-$AG106-$AF106-$AE106*(1+HF$3))/$AJ106,'Технический лист'!$A:$B,2,1),(HE106-0.05)))</f>
        <v/>
      </c>
      <c r="HG106" s="172">
        <f>MIN(1,MAX(VLOOKUP(($AJ106-$AI106-$AH106-$AG106-$AF106-$AE106*(1+HG$3))/$AJ106,'Технический лист'!$A:$B,2,1),(HF106-0.05)))</f>
        <v/>
      </c>
      <c r="HH106" s="172">
        <f>MIN(1,MAX(VLOOKUP(($AJ106-$AI106-$AH106-$AG106-$AF106-$AE106*(1+HH$3))/$AJ106,'Технический лист'!$A:$B,2,1),(HG106-0.05)))</f>
        <v/>
      </c>
      <c r="HI106" s="172">
        <f>MIN(1,MAX(VLOOKUP(($AJ106-$AI106-$AH106-$AG106-$AF106-$AE106*(1+HI$3))/$AJ106,'Технический лист'!$A:$B,2,1),(HH106-0.05)))</f>
        <v/>
      </c>
      <c r="HJ106" s="172">
        <f>MIN(1,MAX(VLOOKUP(($AJ106-$AI106-$AH106-$AG106-$AF106-$AE106*(1+HJ$3))/$AJ106,'Технический лист'!$A:$B,2,1),(HI106-0.05)))</f>
        <v/>
      </c>
      <c r="HK106" s="172">
        <f>MIN(1,MAX(VLOOKUP(($AJ106-$AI106-$AH106-$AG106-$AF106-$AE106*(1+HK$3))/$AJ106,'Технический лист'!$A:$B,2,1),(HJ106-0.05)))</f>
        <v/>
      </c>
      <c r="HL106" s="172">
        <f>MIN(1,MAX(VLOOKUP(($AJ106-$AI106-$AH106-$AG106-$AF106-$AE106*(1+HL$3))/$AJ106,'Технический лист'!$A:$B,2,1),(HK106-0.05)))</f>
        <v/>
      </c>
      <c r="HM106" s="172">
        <f>MIN(1,MAX(VLOOKUP(($AJ106-$AI106-$AH106-$AG106-$AF106-$AE106*(1+HM$3))/$AJ106,'Технический лист'!$A:$B,2,1),(HL106-0.05)))</f>
        <v/>
      </c>
      <c r="HN106" s="172">
        <f>MIN(1,MAX(VLOOKUP(($AJ106-$AI106-$AH106-$AG106-$AF106-$AE106*(1+HN$3))/$AJ106,'Технический лист'!$A:$B,2,1),(HM106-0.05)))</f>
        <v/>
      </c>
      <c r="HO106" s="172">
        <f>MIN(1,MAX(VLOOKUP(($AJ106-$AI106-$AH106-$AG106-$AF106-$AE106*(1+HO$3))/$AJ106,'Технический лист'!$A:$B,2,1),(HN106-0.05)))</f>
        <v/>
      </c>
      <c r="HP106" s="172">
        <f>MIN(1,MAX(VLOOKUP(($AJ106-$AI106-$AH106-$AG106-$AF106-$AE106*(1+HP$3))/$AJ106,'Технический лист'!$A:$B,2,1),(HO106-0.05)))</f>
        <v/>
      </c>
      <c r="HQ106" s="172">
        <f>MIN(1,MAX(VLOOKUP(($AJ106-$AI106-$AH106-$AG106-$AF106-$AE106*(1+HQ$3))/$AJ106,'Технический лист'!$A:$B,2,1),(HP106-0.05)))</f>
        <v/>
      </c>
      <c r="HR106" s="172">
        <f>MIN(1,MAX(VLOOKUP(($AJ106-$AI106-$AH106-$AG106-$AF106-$AE106*(1+HR$3))/$AJ106,'Технический лист'!$A:$B,2,1),(HQ106-0.05)))</f>
        <v/>
      </c>
      <c r="HS106" s="172">
        <f>MIN(1,MAX(VLOOKUP(($AJ106-$AI106-$AH106-$AG106-$AF106-$AE106*(1+HS$3))/$AJ106,'Технический лист'!$A:$B,2,1),(HR106-0.05)))</f>
        <v/>
      </c>
      <c r="HT106" s="172">
        <f>MIN(1,MAX(VLOOKUP(($AJ106-$AI106-$AH106-$AG106-$AF106-$AE106*(1+HT$3))/$AJ106,'Технический лист'!$A:$B,2,1),(HS106-0.05)))</f>
        <v/>
      </c>
      <c r="HU106" s="172">
        <f>MIN(1,MAX(VLOOKUP(($AJ106-$AI106-$AH106-$AG106-$AF106-$AE106*(1+HU$3))/$AJ106,'Технический лист'!$A:$B,2,1),(HT106-0.05)))</f>
        <v/>
      </c>
      <c r="HV106" s="172">
        <f>MIN(1,MAX(VLOOKUP(($AJ106-$AI106-$AH106-$AG106-$AF106-$AE106*(1+HV$3))/$AJ106,'Технический лист'!$A:$B,2,1),(HU106-0.05)))</f>
        <v/>
      </c>
      <c r="HW106" s="172">
        <f>MIN(1,MAX(VLOOKUP(($AJ106-$AI106-$AH106-$AG106-$AF106-$AE106*(1+HW$3))/$AJ106,'Технический лист'!$A:$B,2,1),(HV106-0.05)))</f>
        <v/>
      </c>
      <c r="HX106" s="172">
        <f>MIN(1,MAX(VLOOKUP(($AJ106-$AI106-$AH106-$AG106-$AF106-$AE106*(1+HX$3))/$AJ106,'Технический лист'!$A:$B,2,1),(HW106-0.05)))</f>
        <v/>
      </c>
      <c r="HY106" s="172">
        <f>MIN(1,MAX(VLOOKUP(($AJ106-$AI106-$AH106-$AG106-$AF106-$AE106*(1+HY$3))/$AJ106,'Технический лист'!$A:$B,2,1),(HX106-0.05)))</f>
        <v/>
      </c>
      <c r="HZ106" s="172">
        <f>MIN(1,MAX(VLOOKUP(($AJ106-$AI106-$AH106-$AG106-$AF106-$AE106*(1+HZ$3))/$AJ106,'Технический лист'!$A:$B,2,1),(HY106-0.05)))</f>
        <v/>
      </c>
      <c r="IA106" s="172">
        <f>MIN(1,MAX(VLOOKUP(($AJ106-$AI106-$AH106-$AG106-$AF106-$AE106*(1+IA$3))/$AJ106,'Технический лист'!$A:$B,2,1),(HZ106-0.05)))</f>
        <v/>
      </c>
      <c r="IB106" s="172">
        <f>MIN(1,MAX(VLOOKUP(($AJ106-$AI106-$AH106-$AG106-$AF106-$AE106*(1+IB$3))/$AJ106,'Технический лист'!$A:$B,2,1),(IA106-0.05)))</f>
        <v/>
      </c>
      <c r="IC106" s="172">
        <f>MIN(1,MAX(VLOOKUP(($AJ106-$AI106-$AH106-$AG106-$AF106-$AE106*(1+IC$3))/$AJ106,'Технический лист'!$A:$B,2,1),(IB106-0.05)))</f>
        <v/>
      </c>
      <c r="ID106" s="172">
        <f>MIN(1,MAX(VLOOKUP(($AJ106-$AI106-$AH106-$AG106-$AF106-$AE106*(1+ID$3))/$AJ106,'Технический лист'!$A:$B,2,1),(IC106-0.05)))</f>
        <v/>
      </c>
      <c r="IE106" s="172">
        <f>MIN(1,MAX(VLOOKUP(($AJ106-$AI106-$AH106-$AG106-$AF106-$AE106*(1+IE$3))/$AJ106,'Технический лист'!$A:$B,2,1),(ID106-0.05)))</f>
        <v/>
      </c>
      <c r="IF106" s="172">
        <f>MIN(1,MAX(VLOOKUP(($AJ106-$AI106-$AH106-$AG106-$AF106-$AE106*(1+IF$3))/$AJ106,'Технический лист'!$A:$B,2,1),(IE106-0.05)))</f>
        <v/>
      </c>
      <c r="IG106" s="172">
        <f>MIN(1,MAX(VLOOKUP(($AJ106-$AI106-$AH106-$AG106-$AF106-$AE106*(1+IG$3))/$AJ106,'Технический лист'!$A:$B,2,1),(IF106-0.05)))</f>
        <v/>
      </c>
      <c r="IH106" s="172">
        <f>MIN(1,MAX(VLOOKUP(($AJ106-$AI106-$AH106-$AG106-$AF106-$AE106*(1+IH$3))/$AJ106,'Технический лист'!$A:$B,2,1),(IG106-0.05)))</f>
        <v/>
      </c>
      <c r="II106" s="172">
        <f>MIN(1,MAX(VLOOKUP(($AJ106-$AI106-$AH106-$AG106-$AF106-$AE106*(1+II$3))/$AJ106,'Технический лист'!$A:$B,2,1),(IH106-0.05)))</f>
        <v/>
      </c>
      <c r="IJ106" s="172">
        <f>MIN(1,MAX(VLOOKUP(($AJ106-$AI106-$AH106-$AG106-$AF106-$AE106*(1+IJ$3))/$AJ106,'Технический лист'!$A:$B,2,1),(II106-0.05)))</f>
        <v/>
      </c>
      <c r="IK106" s="172">
        <f>MIN(1,MAX(VLOOKUP(($AJ106-$AI106-$AH106-$AG106-$AF106-$AE106*(1+IK$3))/$AJ106,'Технический лист'!$A:$B,2,1),(IJ106-0.05)))</f>
        <v/>
      </c>
      <c r="IL106" s="172">
        <f>MIN(1,MAX(VLOOKUP(($AJ106-$AI106-$AH106-$AG106-$AF106-$AE106*(1+IL$3))/$AJ106,'Технический лист'!$A:$B,2,1),(IK106-0.05)))</f>
        <v/>
      </c>
      <c r="IM106" s="172">
        <f>MIN(1,MAX(VLOOKUP(($AJ106-$AI106-$AH106-$AG106-$AF106-$AE106*(1+IM$3))/$AJ106,'Технический лист'!$A:$B,2,1),(IL106-0.05)))</f>
        <v/>
      </c>
      <c r="IN106" s="172">
        <f>MIN(1,MAX(VLOOKUP(($AJ106-$AI106-$AH106-$AG106-$AF106-$AE106*(1+IN$3))/$AJ106,'Технический лист'!$A:$B,2,1),(IM106-0.05)))</f>
        <v/>
      </c>
      <c r="IO106" s="172">
        <f>MIN(1,MAX(VLOOKUP(($AJ106-$AI106-$AH106-$AG106-$AF106-$AE106*(1+IO$3))/$AJ106,'Технический лист'!$A:$B,2,1),(IN106-0.05)))</f>
        <v/>
      </c>
      <c r="IP106" s="172">
        <f>MIN(1,MAX(VLOOKUP(($AJ106-$AI106-$AH106-$AG106-$AF106-$AE106*(1+IP$3))/$AJ106,'Технический лист'!$A:$B,2,1),(IO106-0.05)))</f>
        <v/>
      </c>
      <c r="IQ106" s="172">
        <f>MIN(1,MAX(VLOOKUP(($AJ106-$AI106-$AH106-$AG106-$AF106-$AE106*(1+IQ$3))/$AJ106,'Технический лист'!$A:$B,2,1),(IP106-0.05)))</f>
        <v/>
      </c>
      <c r="IR106" s="172">
        <f>MIN(1,MAX(VLOOKUP(($AJ106-$AI106-$AH106-$AG106-$AF106-$AE106*(1+IR$3))/$AJ106,'Технический лист'!$A:$B,2,1),(IQ106-0.05)))</f>
        <v/>
      </c>
    </row>
    <row r="107" ht="58.3" customHeight="1" s="123">
      <c r="A107" s="89" t="inlineStr">
        <is>
          <t>ЧМ (продукция)</t>
        </is>
      </c>
      <c r="B107" s="90" t="n">
        <v>5</v>
      </c>
      <c r="C107" s="5" t="inlineStr">
        <is>
          <t>Черные металлы</t>
        </is>
      </c>
      <c r="D107" s="91" t="n">
        <v>32411</v>
      </c>
      <c r="E107" s="91" t="inlineStr">
        <is>
          <t xml:space="preserve">Прокат черных металлов, не поименованный в алфавите </t>
        </is>
      </c>
      <c r="F107" s="92" t="inlineStr">
        <is>
          <t>ПРОЧИЕ ВИДЫ ПРОКАТА ЧЕРНЫ</t>
        </is>
      </c>
      <c r="G107" s="91" t="inlineStr">
        <is>
          <t>ЮУР</t>
        </is>
      </c>
      <c r="H107" s="91" t="inlineStr">
        <is>
          <t>МСК</t>
        </is>
      </c>
      <c r="I107" s="91" t="inlineStr">
        <is>
          <t>МЕТАЛЛУРГИЧ.</t>
        </is>
      </c>
      <c r="J107" s="91" t="inlineStr">
        <is>
          <t>КРАСНОЕ-ЭКСП</t>
        </is>
      </c>
      <c r="K107" s="91" t="n">
        <v>2529</v>
      </c>
      <c r="L107" s="91" t="inlineStr">
        <is>
          <t>Полувагоны</t>
        </is>
      </c>
      <c r="M107" s="91" t="inlineStr">
        <is>
          <t>Экспорт</t>
        </is>
      </c>
      <c r="N107" s="91" t="inlineStr">
        <is>
          <t>вагонная</t>
        </is>
      </c>
      <c r="O107" s="91" t="inlineStr">
        <is>
          <t xml:space="preserve">Северо-Западное </t>
        </is>
      </c>
      <c r="P107" s="89" t="inlineStr">
        <is>
          <t>'000000186465</t>
        </is>
      </c>
      <c r="Q107" s="91" t="inlineStr">
        <is>
          <t>ПАО "Челябинский металлургический комбинат"</t>
        </is>
      </c>
      <c r="R107" s="91" t="inlineStr">
        <is>
          <t>ПАО "Мечел"</t>
        </is>
      </c>
      <c r="S107" s="87" t="n">
        <v>9082</v>
      </c>
      <c r="T107" s="87" t="n">
        <v>22968100</v>
      </c>
      <c r="U107" s="88" t="n">
        <v>133</v>
      </c>
      <c r="V107" s="88" t="n">
        <v>0</v>
      </c>
      <c r="W107" s="87" t="n">
        <v>39910546</v>
      </c>
      <c r="X107" s="112" t="n">
        <v>68</v>
      </c>
      <c r="Y107" s="112" t="inlineStr">
        <is>
          <t>повагонная</t>
        </is>
      </c>
      <c r="Z107" s="113" t="n">
        <v>14</v>
      </c>
      <c r="AA107" s="113" t="n">
        <v>9</v>
      </c>
      <c r="AB107" s="113" t="n">
        <v>4</v>
      </c>
      <c r="AC107" s="161" t="n">
        <v>4875.57</v>
      </c>
      <c r="AD107" s="161">
        <f>AE107-AC107</f>
        <v/>
      </c>
      <c r="AE107" s="161" t="n">
        <v>5503.54</v>
      </c>
      <c r="AF107" s="162">
        <f>(Z107+AA107+AB107)*'Ставки аренды'!$B$3/X107</f>
        <v/>
      </c>
      <c r="AG107" s="163" t="n">
        <v>0</v>
      </c>
      <c r="AH107" s="164" t="n">
        <v>0</v>
      </c>
      <c r="AI107" s="165">
        <f>131496272/143742760*AJ107</f>
        <v/>
      </c>
      <c r="AJ107" s="166">
        <f>Цены!C24*'Курсы валют'!B2</f>
        <v/>
      </c>
      <c r="AK107" s="164">
        <f>AJ107/Цены!$B$1</f>
        <v/>
      </c>
      <c r="AL107" s="164">
        <f>AE107+AF107+AG107</f>
        <v/>
      </c>
      <c r="AM107" s="164">
        <f>AJ107-AL107</f>
        <v/>
      </c>
      <c r="AN107" s="164">
        <f>AI107+AH107+AG107+AF107+AE107</f>
        <v/>
      </c>
      <c r="AO107" s="167">
        <f>(AJ107-AN107)/AJ107</f>
        <v/>
      </c>
      <c r="AP107" s="168">
        <f>AL107/AJ107</f>
        <v/>
      </c>
      <c r="AQ107" s="168">
        <f>AE107/AJ107</f>
        <v/>
      </c>
      <c r="AR107" s="168">
        <f>AE107/AL107</f>
        <v/>
      </c>
      <c r="AS107" s="169" t="n">
        <v>1</v>
      </c>
      <c r="AT107" s="121">
        <f>S107*AS107</f>
        <v/>
      </c>
      <c r="AU107" s="83" t="n">
        <v>0.7</v>
      </c>
      <c r="AV107" s="170">
        <f>(AJ107-(AE107*(1+$IS$2)+AF107+AG107+AH107+AI107))/AJ107</f>
        <v/>
      </c>
      <c r="AW107" s="171">
        <f>(AE107*(1+$IS$2)+AF107+AG107)/AJ107</f>
        <v/>
      </c>
      <c r="AX107" s="171">
        <f>(AE107*(1+$IS$2))/AJ107</f>
        <v/>
      </c>
      <c r="AY107" s="171">
        <f>(AE107*(1+$IS$2))/(AE107*(1+$IS$2)+AF107+AG107)</f>
        <v/>
      </c>
      <c r="AZ107" s="172">
        <f>MIN(IF($AU107=100%,1,1+VLOOKUP(($AJ107-$AI107-$AH107-$AG107-$AF107-$AE107*(1+AZ$3))/$AJ107,'Технический лист'!$I:$J,2,1)-VLOOKUP($AO107,'Технический лист'!$I:$J,2,1)),1+(1-$AU107))</f>
        <v/>
      </c>
      <c r="BA107" s="172">
        <f>MIN(IF($AU107=100%,1,1+VLOOKUP(($AJ107-$AI107-$AH107-$AG107-$AF107-$AE107*(1+BA$3))/$AJ107,'Технический лист'!$I:$J,2,1)-VLOOKUP($AO107,'Технический лист'!$I:$J,2,1)),1+(1-$AU107))</f>
        <v/>
      </c>
      <c r="BB107" s="172">
        <f>MIN(IF($AU107=100%,1,1+VLOOKUP(($AJ107-$AI107-$AH107-$AG107-$AF107-$AE107*(1+BB$3))/$AJ107,'Технический лист'!$I:$J,2,1)-VLOOKUP($AO107,'Технический лист'!$I:$J,2,1)),1+(1-$AU107))</f>
        <v/>
      </c>
      <c r="BC107" s="172">
        <f>MIN(IF($AU107=100%,1,1+VLOOKUP(($AJ107-$AI107-$AH107-$AG107-$AF107-$AE107*(1+BC$3))/$AJ107,'Технический лист'!$I:$J,2,1)-VLOOKUP($AO107,'Технический лист'!$I:$J,2,1)),1+(1-$AU107))</f>
        <v/>
      </c>
      <c r="BD107" s="172">
        <f>MIN(IF($AU107=100%,1,1+VLOOKUP(($AJ107-$AI107-$AH107-$AG107-$AF107-$AE107*(1+BD$3))/$AJ107,'Технический лист'!$I:$J,2,1)-VLOOKUP($AO107,'Технический лист'!$I:$J,2,1)),1+(1-$AU107))</f>
        <v/>
      </c>
      <c r="BE107" s="172">
        <f>MIN(IF($AU107=100%,1,1+VLOOKUP(($AJ107-$AI107-$AH107-$AG107-$AF107-$AE107*(1+BE$3))/$AJ107,'Технический лист'!$I:$J,2,1)-VLOOKUP($AO107,'Технический лист'!$I:$J,2,1)),1+(1-$AU107))</f>
        <v/>
      </c>
      <c r="BF107" s="172">
        <f>MIN(IF($AU107=100%,1,1+VLOOKUP(($AJ107-$AI107-$AH107-$AG107-$AF107-$AE107*(1+BF$3))/$AJ107,'Технический лист'!$I:$J,2,1)-VLOOKUP($AO107,'Технический лист'!$I:$J,2,1)),1+(1-$AU107))</f>
        <v/>
      </c>
      <c r="BG107" s="172">
        <f>MIN(IF($AU107=100%,1,1+VLOOKUP(($AJ107-$AI107-$AH107-$AG107-$AF107-$AE107*(1+BG$3))/$AJ107,'Технический лист'!$I:$J,2,1)-VLOOKUP($AO107,'Технический лист'!$I:$J,2,1)),1+(1-$AU107))</f>
        <v/>
      </c>
      <c r="BH107" s="172">
        <f>MIN(IF($AU107=100%,1,1+VLOOKUP(($AJ107-$AI107-$AH107-$AG107-$AF107-$AE107*(1+BH$3))/$AJ107,'Технический лист'!$I:$J,2,1)-VLOOKUP($AO107,'Технический лист'!$I:$J,2,1)),1+(1-$AU107))</f>
        <v/>
      </c>
      <c r="BI107" s="172">
        <f>MIN(IF($AU107=100%,1,1+VLOOKUP(($AJ107-$AI107-$AH107-$AG107-$AF107-$AE107*(1+BI$3))/$AJ107,'Технический лист'!$I:$J,2,1)-VLOOKUP($AO107,'Технический лист'!$I:$J,2,1)),1+(1-$AU107))</f>
        <v/>
      </c>
      <c r="BJ107" s="172">
        <f>MIN(IF($AU107=100%,1,1+VLOOKUP(($AJ107-$AI107-$AH107-$AG107-$AF107-$AE107*(1+BJ$3))/$AJ107,'Технический лист'!$I:$J,2,1)-VLOOKUP($AO107,'Технический лист'!$I:$J,2,1)),1+(1-$AU107))</f>
        <v/>
      </c>
      <c r="BK107" s="172">
        <f>MIN(IF($AU107=100%,1,1+VLOOKUP(($AJ107-$AI107-$AH107-$AG107-$AF107-$AE107*(1+BK$3))/$AJ107,'Технический лист'!$I:$J,2,1)-VLOOKUP($AO107,'Технический лист'!$I:$J,2,1)),1+(1-$AU107))</f>
        <v/>
      </c>
      <c r="BL107" s="172">
        <f>MIN(IF($AU107=100%,1,1+VLOOKUP(($AJ107-$AI107-$AH107-$AG107-$AF107-$AE107*(1+BL$3))/$AJ107,'Технический лист'!$I:$J,2,1)-VLOOKUP($AO107,'Технический лист'!$I:$J,2,1)),1+(1-$AU107))</f>
        <v/>
      </c>
      <c r="BM107" s="172">
        <f>MIN(IF($AU107=100%,1,1+VLOOKUP(($AJ107-$AI107-$AH107-$AG107-$AF107-$AE107*(1+BM$3))/$AJ107,'Технический лист'!$I:$J,2,1)-VLOOKUP($AO107,'Технический лист'!$I:$J,2,1)),1+(1-$AU107))</f>
        <v/>
      </c>
      <c r="BN107" s="172">
        <f>MIN(IF($AU107=100%,1,1+VLOOKUP(($AJ107-$AI107-$AH107-$AG107-$AF107-$AE107*(1+BN$3))/$AJ107,'Технический лист'!$I:$J,2,1)-VLOOKUP($AO107,'Технический лист'!$I:$J,2,1)),1+(1-$AU107))</f>
        <v/>
      </c>
      <c r="BO107" s="172">
        <f>MIN(IF($AU107=100%,1,1+VLOOKUP(($AJ107-$AI107-$AH107-$AG107-$AF107-$AE107*(1+BO$3))/$AJ107,'Технический лист'!$I:$J,2,1)-VLOOKUP($AO107,'Технический лист'!$I:$J,2,1)),1+(1-$AU107))</f>
        <v/>
      </c>
      <c r="BP107" s="172">
        <f>MIN(IF($AU107=100%,1,1+VLOOKUP(($AJ107-$AI107-$AH107-$AG107-$AF107-$AE107*(1+BP$3))/$AJ107,'Технический лист'!$I:$J,2,1)-VLOOKUP($AO107,'Технический лист'!$I:$J,2,1)),1+(1-$AU107))</f>
        <v/>
      </c>
      <c r="BQ107" s="172">
        <f>MIN(IF($AU107=100%,1,1+VLOOKUP(($AJ107-$AI107-$AH107-$AG107-$AF107-$AE107*(1+BQ$3))/$AJ107,'Технический лист'!$I:$J,2,1)-VLOOKUP($AO107,'Технический лист'!$I:$J,2,1)),1+(1-$AU107))</f>
        <v/>
      </c>
      <c r="BR107" s="172">
        <f>MIN(IF($AU107=100%,1,1+VLOOKUP(($AJ107-$AI107-$AH107-$AG107-$AF107-$AE107*(1+BR$3))/$AJ107,'Технический лист'!$I:$J,2,1)-VLOOKUP($AO107,'Технический лист'!$I:$J,2,1)),1+(1-$AU107))</f>
        <v/>
      </c>
      <c r="BS107" s="172">
        <f>MIN(IF($AU107=100%,1,1+VLOOKUP(($AJ107-$AI107-$AH107-$AG107-$AF107-$AE107*(1+BS$3))/$AJ107,'Технический лист'!$I:$J,2,1)-VLOOKUP($AO107,'Технический лист'!$I:$J,2,1)),1+(1-$AU107))</f>
        <v/>
      </c>
      <c r="BT107" s="172">
        <f>MIN(IF($AU107=100%,1,1+VLOOKUP(($AJ107-$AI107-$AH107-$AG107-$AF107-$AE107*(1+BT$3))/$AJ107,'Технический лист'!$I:$J,2,1)-VLOOKUP($AO107,'Технический лист'!$I:$J,2,1)),1+(1-$AU107))</f>
        <v/>
      </c>
      <c r="BU107" s="172">
        <f>MIN(IF($AU107=100%,1,1+VLOOKUP(($AJ107-$AI107-$AH107-$AG107-$AF107-$AE107*(1+BU$3))/$AJ107,'Технический лист'!$I:$J,2,1)-VLOOKUP($AO107,'Технический лист'!$I:$J,2,1)),1+(1-$AU107))</f>
        <v/>
      </c>
      <c r="BV107" s="172">
        <f>MIN(IF($AU107=100%,1,1+VLOOKUP(($AJ107-$AI107-$AH107-$AG107-$AF107-$AE107*(1+BV$3))/$AJ107,'Технический лист'!$I:$J,2,1)-VLOOKUP($AO107,'Технический лист'!$I:$J,2,1)),1+(1-$AU107))</f>
        <v/>
      </c>
      <c r="BW107" s="172">
        <f>MIN(IF($AU107=100%,1,1+VLOOKUP(($AJ107-$AI107-$AH107-$AG107-$AF107-$AE107*(1+BW$3))/$AJ107,'Технический лист'!$I:$J,2,1)-VLOOKUP($AO107,'Технический лист'!$I:$J,2,1)),1+(1-$AU107))</f>
        <v/>
      </c>
      <c r="BX107" s="172">
        <f>MIN(IF($AU107=100%,1,1+VLOOKUP(($AJ107-$AI107-$AH107-$AG107-$AF107-$AE107*(1+BX$3))/$AJ107,'Технический лист'!$I:$J,2,1)-VLOOKUP($AO107,'Технический лист'!$I:$J,2,1)),1+(1-$AU107))</f>
        <v/>
      </c>
      <c r="BY107" s="172">
        <f>MIN(IF($AU107=100%,1,1+VLOOKUP(($AJ107-$AI107-$AH107-$AG107-$AF107-$AE107*(1+BY$3))/$AJ107,'Технический лист'!$I:$J,2,1)-VLOOKUP($AO107,'Технический лист'!$I:$J,2,1)),1+(1-$AU107))</f>
        <v/>
      </c>
      <c r="BZ107" s="172">
        <f>MIN(IF($AU107=100%,1,1+VLOOKUP(($AJ107-$AI107-$AH107-$AG107-$AF107-$AE107*(1+BZ$3))/$AJ107,'Технический лист'!$I:$J,2,1)-VLOOKUP($AO107,'Технический лист'!$I:$J,2,1)),1+(1-$AU107))</f>
        <v/>
      </c>
      <c r="CA107" s="172">
        <f>MIN(IF($AU107=100%,1,1+VLOOKUP(($AJ107-$AI107-$AH107-$AG107-$AF107-$AE107*(1+CA$3))/$AJ107,'Технический лист'!$I:$J,2,1)-VLOOKUP($AO107,'Технический лист'!$I:$J,2,1)),1+(1-$AU107))</f>
        <v/>
      </c>
      <c r="CB107" s="172">
        <f>MIN(IF($AU107=100%,1,1+VLOOKUP(($AJ107-$AI107-$AH107-$AG107-$AF107-$AE107*(1+CB$3))/$AJ107,'Технический лист'!$I:$J,2,1)-VLOOKUP($AO107,'Технический лист'!$I:$J,2,1)),1+(1-$AU107))</f>
        <v/>
      </c>
      <c r="CC107" s="172">
        <f>MIN(IF($AU107=100%,1,1+VLOOKUP(($AJ107-$AI107-$AH107-$AG107-$AF107-$AE107*(1+CC$3))/$AJ107,'Технический лист'!$I:$J,2,1)-VLOOKUP($AO107,'Технический лист'!$I:$J,2,1)),1+(1-$AU107))</f>
        <v/>
      </c>
      <c r="CD107" s="172">
        <f>MIN(IF($AU107=100%,1,1+VLOOKUP(($AJ107-$AI107-$AH107-$AG107-$AF107-$AE107*(1+CD$3))/$AJ107,'Технический лист'!$I:$J,2,1)-VLOOKUP($AO107,'Технический лист'!$I:$J,2,1)),1+(1-$AU107))</f>
        <v/>
      </c>
      <c r="CE107" s="172">
        <f>MIN(IF($AU107=100%,1,1+VLOOKUP(($AJ107-$AI107-$AH107-$AG107-$AF107-$AE107*(1+CE$3))/$AJ107,'Технический лист'!$I:$J,2,1)-VLOOKUP($AO107,'Технический лист'!$I:$J,2,1)),1+(1-$AU107))</f>
        <v/>
      </c>
      <c r="CF107" s="172">
        <f>MIN(IF($AU107=100%,1,1+VLOOKUP(($AJ107-$AI107-$AH107-$AG107-$AF107-$AE107*(1+CF$3))/$AJ107,'Технический лист'!$I:$J,2,1)-VLOOKUP($AO107,'Технический лист'!$I:$J,2,1)),1+(1-$AU107))</f>
        <v/>
      </c>
      <c r="CG107" s="172">
        <f>MIN(IF($AU107=100%,1,1+VLOOKUP(($AJ107-$AI107-$AH107-$AG107-$AF107-$AE107*(1+CG$3))/$AJ107,'Технический лист'!$I:$J,2,1)-VLOOKUP($AO107,'Технический лист'!$I:$J,2,1)),1+(1-$AU107))</f>
        <v/>
      </c>
      <c r="CH107" s="172">
        <f>MIN(IF($AU107=100%,1,1+VLOOKUP(($AJ107-$AI107-$AH107-$AG107-$AF107-$AE107*(1+CH$3))/$AJ107,'Технический лист'!$I:$J,2,1)-VLOOKUP($AO107,'Технический лист'!$I:$J,2,1)),1+(1-$AU107))</f>
        <v/>
      </c>
      <c r="CI107" s="172">
        <f>MIN(IF($AU107=100%,1,1+VLOOKUP(($AJ107-$AI107-$AH107-$AG107-$AF107-$AE107*(1+CI$3))/$AJ107,'Технический лист'!$I:$J,2,1)-VLOOKUP($AO107,'Технический лист'!$I:$J,2,1)),1+(1-$AU107))</f>
        <v/>
      </c>
      <c r="CJ107" s="172">
        <f>MIN(IF($AU107=100%,1,1+VLOOKUP(($AJ107-$AI107-$AH107-$AG107-$AF107-$AE107*(1+CJ$3))/$AJ107,'Технический лист'!$I:$J,2,1)-VLOOKUP($AO107,'Технический лист'!$I:$J,2,1)),1+(1-$AU107))</f>
        <v/>
      </c>
      <c r="CK107" s="172">
        <f>MIN(IF($AU107=100%,1,1+VLOOKUP(($AJ107-$AI107-$AH107-$AG107-$AF107-$AE107*(1+CK$3))/$AJ107,'Технический лист'!$I:$J,2,1)-VLOOKUP($AO107,'Технический лист'!$I:$J,2,1)),1+(1-$AU107))</f>
        <v/>
      </c>
      <c r="CL107" s="172">
        <f>MIN(IF($AU107=100%,1,1+VLOOKUP(($AJ107-$AI107-$AH107-$AG107-$AF107-$AE107*(1+CL$3))/$AJ107,'Технический лист'!$I:$J,2,1)-VLOOKUP($AO107,'Технический лист'!$I:$J,2,1)),1+(1-$AU107))</f>
        <v/>
      </c>
      <c r="CM107" s="172">
        <f>MIN(IF($AU107=100%,1,1+VLOOKUP(($AJ107-$AI107-$AH107-$AG107-$AF107-$AE107*(1+CM$3))/$AJ107,'Технический лист'!$I:$J,2,1)-VLOOKUP($AO107,'Технический лист'!$I:$J,2,1)),1+(1-$AU107))</f>
        <v/>
      </c>
      <c r="CN107" s="172">
        <f>MIN(IF($AU107=100%,1,1+VLOOKUP(($AJ107-$AI107-$AH107-$AG107-$AF107-$AE107*(1+CN$3))/$AJ107,'Технический лист'!$I:$J,2,1)-VLOOKUP($AO107,'Технический лист'!$I:$J,2,1)),1+(1-$AU107))</f>
        <v/>
      </c>
      <c r="CO107" s="172">
        <f>MIN(IF($AU107=100%,1,1+VLOOKUP(($AJ107-$AI107-$AH107-$AG107-$AF107-$AE107*(1+CO$3))/$AJ107,'Технический лист'!$I:$J,2,1)-VLOOKUP($AO107,'Технический лист'!$I:$J,2,1)),1+(1-$AU107))</f>
        <v/>
      </c>
      <c r="CP107" s="172">
        <f>MIN(IF($AU107=100%,1,1+VLOOKUP(($AJ107-$AI107-$AH107-$AG107-$AF107-$AE107*(1+CP$3))/$AJ107,'Технический лист'!$I:$J,2,1)-VLOOKUP($AO107,'Технический лист'!$I:$J,2,1)),1+(1-$AU107))</f>
        <v/>
      </c>
      <c r="CQ107" s="172">
        <f>MIN(IF($AU107=100%,1,1+VLOOKUP(($AJ107-$AI107-$AH107-$AG107-$AF107-$AE107*(1+CQ$3))/$AJ107,'Технический лист'!$I:$J,2,1)-VLOOKUP($AO107,'Технический лист'!$I:$J,2,1)),1+(1-$AU107))</f>
        <v/>
      </c>
      <c r="CR107" s="172">
        <f>MIN(IF($AU107=100%,1,1+VLOOKUP(($AJ107-$AI107-$AH107-$AG107-$AF107-$AE107*(1+CR$3))/$AJ107,'Технический лист'!$I:$J,2,1)-VLOOKUP($AO107,'Технический лист'!$I:$J,2,1)),1+(1-$AU107))</f>
        <v/>
      </c>
      <c r="CS107" s="172">
        <f>MIN(IF($AU107=100%,1,1+VLOOKUP(($AJ107-$AI107-$AH107-$AG107-$AF107-$AE107*(1+CS$3))/$AJ107,'Технический лист'!$I:$J,2,1)-VLOOKUP($AO107,'Технический лист'!$I:$J,2,1)),1+(1-$AU107))</f>
        <v/>
      </c>
      <c r="CT107" s="172">
        <f>MIN(IF($AU107=100%,1,1+VLOOKUP(($AJ107-$AI107-$AH107-$AG107-$AF107-$AE107*(1+CT$3))/$AJ107,'Технический лист'!$I:$J,2,1)-VLOOKUP($AO107,'Технический лист'!$I:$J,2,1)),1+(1-$AU107))</f>
        <v/>
      </c>
      <c r="CU107" s="172">
        <f>MIN(IF($AU107=100%,1,1+VLOOKUP(($AJ107-$AI107-$AH107-$AG107-$AF107-$AE107*(1+CU$3))/$AJ107,'Технический лист'!$I:$J,2,1)-VLOOKUP($AO107,'Технический лист'!$I:$J,2,1)),1+(1-$AU107))</f>
        <v/>
      </c>
      <c r="CV107" s="172">
        <f>MIN(IF($AU107=100%,1,1+VLOOKUP(($AJ107-$AI107-$AH107-$AG107-$AF107-$AE107*(1+CV$3))/$AJ107,'Технический лист'!$I:$J,2,1)-VLOOKUP($AO107,'Технический лист'!$I:$J,2,1)),1+(1-$AU107))</f>
        <v/>
      </c>
      <c r="CW107" s="172">
        <f>MIN(IF($AU107=100%,1,1+VLOOKUP(($AJ107-$AI107-$AH107-$AG107-$AF107-$AE107*(1+CW$3))/$AJ107,'Технический лист'!$I:$J,2,1)-VLOOKUP($AO107,'Технический лист'!$I:$J,2,1)),1+(1-$AU107))</f>
        <v/>
      </c>
      <c r="CX107" s="172">
        <f>MIN(IF($AU107=100%,1,1+VLOOKUP(($AJ107-$AI107-$AH107-$AG107-$AF107-$AE107*(1+CX$3))/$AJ107,'Технический лист'!$I:$J,2,1)-VLOOKUP($AO107,'Технический лист'!$I:$J,2,1)),1+(1-$AU107))</f>
        <v/>
      </c>
      <c r="CY107" s="172">
        <f>MIN(IF($AU107=100%,1,1+VLOOKUP(($AJ107-$AI107-$AH107-$AG107-$AF107-$AE107*(1+CY$3))/$AJ107,'Технический лист'!$I:$J,2,1)-VLOOKUP($AO107,'Технический лист'!$I:$J,2,1)),1+(1-$AU107))</f>
        <v/>
      </c>
      <c r="CZ107" s="172">
        <f>MIN(IF($AU107=100%,1,1+VLOOKUP(($AJ107-$AI107-$AH107-$AG107-$AF107-$AE107*(1+CZ$3))/$AJ107,'Технический лист'!$I:$J,2,1)-VLOOKUP($AO107,'Технический лист'!$I:$J,2,1)),1+(1-$AU107))</f>
        <v/>
      </c>
      <c r="DA107" s="172">
        <f>MIN(IF($AU107=100%,1,1+VLOOKUP(($AJ107-$AI107-$AH107-$AG107-$AF107-$AE107*(1+DA$3))/$AJ107,'Технический лист'!$I:$J,2,1)-VLOOKUP($AO107,'Технический лист'!$I:$J,2,1)),1+(1-$AU107))</f>
        <v/>
      </c>
      <c r="DB107" s="172">
        <f>MIN(IF($AU107=100%,1,1+VLOOKUP(($AJ107-$AI107-$AH107-$AG107-$AF107-$AE107*(1+DB$3))/$AJ107,'Технический лист'!$I:$J,2,1)-VLOOKUP($AO107,'Технический лист'!$I:$J,2,1)),1+(1-$AU107))</f>
        <v/>
      </c>
      <c r="DC107" s="172">
        <f>MIN(IF($AU107=100%,1,1+VLOOKUP(($AJ107-$AI107-$AH107-$AG107-$AF107-$AE107*(1+DC$3))/$AJ107,'Технический лист'!$I:$J,2,1)-VLOOKUP($AO107,'Технический лист'!$I:$J,2,1)),1+(1-$AU107))</f>
        <v/>
      </c>
      <c r="DD107" s="172">
        <f>MIN(IF($AU107=100%,1,1+VLOOKUP(($AJ107-$AI107-$AH107-$AG107-$AF107-$AE107*(1+DD$3))/$AJ107,'Технический лист'!$I:$J,2,1)-VLOOKUP($AO107,'Технический лист'!$I:$J,2,1)),1+(1-$AU107))</f>
        <v/>
      </c>
      <c r="DE107" s="172">
        <f>MIN(IF($AU107=100%,1,1+VLOOKUP(($AJ107-$AI107-$AH107-$AG107-$AF107-$AE107*(1+DE$3))/$AJ107,'Технический лист'!$I:$J,2,1)-VLOOKUP($AO107,'Технический лист'!$I:$J,2,1)),1+(1-$AU107))</f>
        <v/>
      </c>
      <c r="DF107" s="172">
        <f>MIN(IF($AU107=100%,1,1+VLOOKUP(($AJ107-$AI107-$AH107-$AG107-$AF107-$AE107*(1+DF$3))/$AJ107,'Технический лист'!$I:$J,2,1)-VLOOKUP($AO107,'Технический лист'!$I:$J,2,1)),1+(1-$AU107))</f>
        <v/>
      </c>
      <c r="DG107" s="172">
        <f>MIN(IF($AU107=100%,1,1+VLOOKUP(($AJ107-$AI107-$AH107-$AG107-$AF107-$AE107*(1+DG$3))/$AJ107,'Технический лист'!$I:$J,2,1)-VLOOKUP($AO107,'Технический лист'!$I:$J,2,1)),1+(1-$AU107))</f>
        <v/>
      </c>
      <c r="DH107" s="172">
        <f>MIN(IF($AU107=100%,1,1+VLOOKUP(($AJ107-$AI107-$AH107-$AG107-$AF107-$AE107*(1+DH$3))/$AJ107,'Технический лист'!$I:$J,2,1)-VLOOKUP($AO107,'Технический лист'!$I:$J,2,1)),1+(1-$AU107))</f>
        <v/>
      </c>
      <c r="DI107" s="172">
        <f>MIN(IF($AU107=100%,1,1+VLOOKUP(($AJ107-$AI107-$AH107-$AG107-$AF107-$AE107*(1+DI$3))/$AJ107,'Технический лист'!$I:$J,2,1)-VLOOKUP($AO107,'Технический лист'!$I:$J,2,1)),1+(1-$AU107))</f>
        <v/>
      </c>
      <c r="DJ107" s="172">
        <f>MIN(IF($AU107=100%,1,1+VLOOKUP(($AJ107-$AI107-$AH107-$AG107-$AF107-$AE107*(1+DJ$3))/$AJ107,'Технический лист'!$I:$J,2,1)-VLOOKUP($AO107,'Технический лист'!$I:$J,2,1)),1+(1-$AU107))</f>
        <v/>
      </c>
      <c r="DK107" s="172">
        <f>MIN(IF($AU107=100%,1,1+VLOOKUP(($AJ107-$AI107-$AH107-$AG107-$AF107-$AE107*(1+DK$3))/$AJ107,'Технический лист'!$I:$J,2,1)-VLOOKUP($AO107,'Технический лист'!$I:$J,2,1)),1+(1-$AU107))</f>
        <v/>
      </c>
      <c r="DL107" s="172">
        <f>MIN(IF($AU107=100%,1,1+VLOOKUP(($AJ107-$AI107-$AH107-$AG107-$AF107-$AE107*(1+DL$3))/$AJ107,'Технический лист'!$I:$J,2,1)-VLOOKUP($AO107,'Технический лист'!$I:$J,2,1)),1+(1-$AU107))</f>
        <v/>
      </c>
      <c r="DM107" s="172">
        <f>MIN(IF($AU107=100%,1,1+VLOOKUP(($AJ107-$AI107-$AH107-$AG107-$AF107-$AE107*(1+DM$3))/$AJ107,'Технический лист'!$I:$J,2,1)-VLOOKUP($AO107,'Технический лист'!$I:$J,2,1)),1+(1-$AU107))</f>
        <v/>
      </c>
      <c r="DN107" s="172">
        <f>MIN(IF($AU107=100%,1,1+VLOOKUP(($AJ107-$AI107-$AH107-$AG107-$AF107-$AE107*(1+DN$3))/$AJ107,'Технический лист'!$I:$J,2,1)-VLOOKUP($AO107,'Технический лист'!$I:$J,2,1)),1+(1-$AU107))</f>
        <v/>
      </c>
      <c r="DO107" s="172">
        <f>MIN(IF($AU107=100%,1,1+VLOOKUP(($AJ107-$AI107-$AH107-$AG107-$AF107-$AE107*(1+DO$3))/$AJ107,'Технический лист'!$I:$J,2,1)-VLOOKUP($AO107,'Технический лист'!$I:$J,2,1)),1+(1-$AU107))</f>
        <v/>
      </c>
      <c r="DP107" s="172">
        <f>MIN(IF($AU107=100%,1,1+VLOOKUP(($AJ107-$AI107-$AH107-$AG107-$AF107-$AE107*(1+DP$3))/$AJ107,'Технический лист'!$I:$J,2,1)-VLOOKUP($AO107,'Технический лист'!$I:$J,2,1)),1+(1-$AU107))</f>
        <v/>
      </c>
      <c r="DQ107" s="172">
        <f>MIN(IF($AU107=100%,1,1+VLOOKUP(($AJ107-$AI107-$AH107-$AG107-$AF107-$AE107*(1+DQ$3))/$AJ107,'Технический лист'!$I:$J,2,1)-VLOOKUP($AO107,'Технический лист'!$I:$J,2,1)),1+(1-$AU107))</f>
        <v/>
      </c>
      <c r="DR107" s="172">
        <f>MIN(IF($AU107=100%,1,1+VLOOKUP(($AJ107-$AI107-$AH107-$AG107-$AF107-$AE107*(1+DR$3))/$AJ107,'Технический лист'!$I:$J,2,1)-VLOOKUP($AO107,'Технический лист'!$I:$J,2,1)),1+(1-$AU107))</f>
        <v/>
      </c>
      <c r="DS107" s="172">
        <f>MIN(IF($AU107=100%,1,1+VLOOKUP(($AJ107-$AI107-$AH107-$AG107-$AF107-$AE107*(1+DS$3))/$AJ107,'Технический лист'!$I:$J,2,1)-VLOOKUP($AO107,'Технический лист'!$I:$J,2,1)),1+(1-$AU107))</f>
        <v/>
      </c>
      <c r="DT107" s="172">
        <f>MIN(IF($AU107=100%,1,1+VLOOKUP(($AJ107-$AI107-$AH107-$AG107-$AF107-$AE107*(1+DT$3))/$AJ107,'Технический лист'!$I:$J,2,1)-VLOOKUP($AO107,'Технический лист'!$I:$J,2,1)),1+(1-$AU107))</f>
        <v/>
      </c>
      <c r="DU107" s="172">
        <f>MIN(IF($AU107=100%,1,1+VLOOKUP(($AJ107-$AI107-$AH107-$AG107-$AF107-$AE107*(1+DU$3))/$AJ107,'Технический лист'!$I:$J,2,1)-VLOOKUP($AO107,'Технический лист'!$I:$J,2,1)),1+(1-$AU107))</f>
        <v/>
      </c>
      <c r="DV107" s="172">
        <f>MIN(IF($AU107=100%,1,1+VLOOKUP(($AJ107-$AI107-$AH107-$AG107-$AF107-$AE107*(1+DV$3))/$AJ107,'Технический лист'!$I:$J,2,1)-VLOOKUP($AO107,'Технический лист'!$I:$J,2,1)),1+(1-$AU107))</f>
        <v/>
      </c>
      <c r="DW107" s="172">
        <f>MIN(IF($AU107=100%,1,1+VLOOKUP(($AJ107-$AI107-$AH107-$AG107-$AF107-$AE107*(1+DW$3))/$AJ107,'Технический лист'!$I:$J,2,1)-VLOOKUP($AO107,'Технический лист'!$I:$J,2,1)),1+(1-$AU107))</f>
        <v/>
      </c>
      <c r="DX107" s="172">
        <f>MIN(IF($AU107=100%,1,1+VLOOKUP(($AJ107-$AI107-$AH107-$AG107-$AF107-$AE107*(1+DX$3))/$AJ107,'Технический лист'!$I:$J,2,1)-VLOOKUP($AO107,'Технический лист'!$I:$J,2,1)),1+(1-$AU107))</f>
        <v/>
      </c>
      <c r="DY107" s="172">
        <f>MIN(IF($AU107=100%,1,1+VLOOKUP(($AJ107-$AI107-$AH107-$AG107-$AF107-$AE107*(1+DY$3))/$AJ107,'Технический лист'!$I:$J,2,1)-VLOOKUP($AO107,'Технический лист'!$I:$J,2,1)),1+(1-$AU107))</f>
        <v/>
      </c>
      <c r="DZ107" s="172">
        <f>MIN(IF($AU107=100%,1,1+VLOOKUP(($AJ107-$AI107-$AH107-$AG107-$AF107-$AE107*(1+DZ$3))/$AJ107,'Технический лист'!$I:$J,2,1)-VLOOKUP($AO107,'Технический лист'!$I:$J,2,1)),1+(1-$AU107))</f>
        <v/>
      </c>
      <c r="EA107" s="172">
        <f>MIN(IF($AU107=100%,1,1+VLOOKUP(($AJ107-$AI107-$AH107-$AG107-$AF107-$AE107*(1+EA$3))/$AJ107,'Технический лист'!$I:$J,2,1)-VLOOKUP($AO107,'Технический лист'!$I:$J,2,1)),1+(1-$AU107))</f>
        <v/>
      </c>
      <c r="EB107" s="172">
        <f>MIN(IF($AU107=100%,1,1+VLOOKUP(($AJ107-$AI107-$AH107-$AG107-$AF107-$AE107*(1+EB$3))/$AJ107,'Технический лист'!$I:$J,2,1)-VLOOKUP($AO107,'Технический лист'!$I:$J,2,1)),1+(1-$AU107))</f>
        <v/>
      </c>
      <c r="EC107" s="172">
        <f>MIN(IF($AU107=100%,1,1+VLOOKUP(($AJ107-$AI107-$AH107-$AG107-$AF107-$AE107*(1+EC$3))/$AJ107,'Технический лист'!$I:$J,2,1)-VLOOKUP($AO107,'Технический лист'!$I:$J,2,1)),1+(1-$AU107))</f>
        <v/>
      </c>
      <c r="ED107" s="172">
        <f>MIN(IF($AU107=100%,1,1+VLOOKUP(($AJ107-$AI107-$AH107-$AG107-$AF107-$AE107*(1+ED$3))/$AJ107,'Технический лист'!$I:$J,2,1)-VLOOKUP($AO107,'Технический лист'!$I:$J,2,1)),1+(1-$AU107))</f>
        <v/>
      </c>
      <c r="EE107" s="172">
        <f>MIN(IF($AU107=100%,1,1+VLOOKUP(($AJ107-$AI107-$AH107-$AG107-$AF107-$AE107*(1+EE$3))/$AJ107,'Технический лист'!$I:$J,2,1)-VLOOKUP($AO107,'Технический лист'!$I:$J,2,1)),1+(1-$AU107))</f>
        <v/>
      </c>
      <c r="EF107" s="172">
        <f>MIN(IF($AU107=100%,1,1+VLOOKUP(($AJ107-$AI107-$AH107-$AG107-$AF107-$AE107*(1+EF$3))/$AJ107,'Технический лист'!$I:$J,2,1)-VLOOKUP($AO107,'Технический лист'!$I:$J,2,1)),1+(1-$AU107))</f>
        <v/>
      </c>
      <c r="EG107" s="172">
        <f>MIN(IF($AU107=100%,1,1+VLOOKUP(($AJ107-$AI107-$AH107-$AG107-$AF107-$AE107*(1+EG$3))/$AJ107,'Технический лист'!$I:$J,2,1)-VLOOKUP($AO107,'Технический лист'!$I:$J,2,1)),1+(1-$AU107))</f>
        <v/>
      </c>
      <c r="EH107" s="172">
        <f>MIN(IF($AU107=100%,1,1+VLOOKUP(($AJ107-$AI107-$AH107-$AG107-$AF107-$AE107*(1+EH$3))/$AJ107,'Технический лист'!$I:$J,2,1)-VLOOKUP($AO107,'Технический лист'!$I:$J,2,1)),1+(1-$AU107))</f>
        <v/>
      </c>
      <c r="EI107" s="172">
        <f>MIN(IF($AU107=100%,1,1+VLOOKUP(($AJ107-$AI107-$AH107-$AG107-$AF107-$AE107*(1+EI$3))/$AJ107,'Технический лист'!$I:$J,2,1)-VLOOKUP($AO107,'Технический лист'!$I:$J,2,1)),1+(1-$AU107))</f>
        <v/>
      </c>
      <c r="EJ107" s="172">
        <f>MIN(IF($AU107=100%,1,1+VLOOKUP(($AJ107-$AI107-$AH107-$AG107-$AF107-$AE107*(1+EJ$3))/$AJ107,'Технический лист'!$I:$J,2,1)-VLOOKUP($AO107,'Технический лист'!$I:$J,2,1)),1+(1-$AU107))</f>
        <v/>
      </c>
      <c r="EK107" s="172">
        <f>MIN(IF($AU107=100%,1,1+VLOOKUP(($AJ107-$AI107-$AH107-$AG107-$AF107-$AE107*(1+EK$3))/$AJ107,'Технический лист'!$I:$J,2,1)-VLOOKUP($AO107,'Технический лист'!$I:$J,2,1)),1+(1-$AU107))</f>
        <v/>
      </c>
      <c r="EL107" s="172">
        <f>MIN(IF($AU107=100%,1,1+VLOOKUP(($AJ107-$AI107-$AH107-$AG107-$AF107-$AE107*(1+EL$3))/$AJ107,'Технический лист'!$I:$J,2,1)-VLOOKUP($AO107,'Технический лист'!$I:$J,2,1)),1+(1-$AU107))</f>
        <v/>
      </c>
      <c r="EM107" s="172">
        <f>MIN(IF($AU107=100%,1,1+VLOOKUP(($AJ107-$AI107-$AH107-$AG107-$AF107-$AE107*(1+EM$3))/$AJ107,'Технический лист'!$I:$J,2,1)-VLOOKUP($AO107,'Технический лист'!$I:$J,2,1)),1+(1-$AU107))</f>
        <v/>
      </c>
      <c r="EN107" s="172">
        <f>MIN(IF($AU107=100%,1,1+VLOOKUP(($AJ107-$AI107-$AH107-$AG107-$AF107-$AE107*(1+EN$3))/$AJ107,'Технический лист'!$I:$J,2,1)-VLOOKUP($AO107,'Технический лист'!$I:$J,2,1)),1+(1-$AU107))</f>
        <v/>
      </c>
      <c r="EO107" s="172">
        <f>MIN(IF($AU107=100%,1,1+VLOOKUP(($AJ107-$AI107-$AH107-$AG107-$AF107-$AE107*(1+EO$3))/$AJ107,'Технический лист'!$I:$J,2,1)-VLOOKUP($AO107,'Технический лист'!$I:$J,2,1)),1+(1-$AU107))</f>
        <v/>
      </c>
      <c r="EP107" s="172">
        <f>MIN(IF($AU107=100%,1,1+VLOOKUP(($AJ107-$AI107-$AH107-$AG107-$AF107-$AE107*(1+EP$3))/$AJ107,'Технический лист'!$I:$J,2,1)-VLOOKUP($AO107,'Технический лист'!$I:$J,2,1)),1+(1-$AU107))</f>
        <v/>
      </c>
      <c r="EQ107" s="172">
        <f>MIN(IF($AU107=100%,1,1+VLOOKUP(($AJ107-$AI107-$AH107-$AG107-$AF107-$AE107*(1+EQ$3))/$AJ107,'Технический лист'!$I:$J,2,1)-VLOOKUP($AO107,'Технический лист'!$I:$J,2,1)),1+(1-$AU107))</f>
        <v/>
      </c>
      <c r="ER107" s="172">
        <f>MIN(IF($AU107=100%,1,1+VLOOKUP(($AJ107-$AI107-$AH107-$AG107-$AF107-$AE107*(1+ER$3))/$AJ107,'Технический лист'!$I:$J,2,1)-VLOOKUP($AO107,'Технический лист'!$I:$J,2,1)),1+(1-$AU107))</f>
        <v/>
      </c>
      <c r="ES107" s="172">
        <f>MIN(IF($AU107=100%,1,1+VLOOKUP(($AJ107-$AI107-$AH107-$AG107-$AF107-$AE107*(1+ES$3))/$AJ107,'Технический лист'!$I:$J,2,1)-VLOOKUP($AO107,'Технический лист'!$I:$J,2,1)),1+(1-$AU107))</f>
        <v/>
      </c>
      <c r="ET107" s="172">
        <f>MIN(IF($AU107=100%,1,1+VLOOKUP(($AJ107-$AI107-$AH107-$AG107-$AF107-$AE107*(1+ET$3))/$AJ107,'Технический лист'!$I:$J,2,1)-VLOOKUP($AO107,'Технический лист'!$I:$J,2,1)),1+(1-$AU107))</f>
        <v/>
      </c>
      <c r="EU107" s="172">
        <f>MIN(IF($AU107=100%,1,1+VLOOKUP(($AJ107-$AI107-$AH107-$AG107-$AF107-$AE107*(1+EU$3))/$AJ107,'Технический лист'!$I:$J,2,1)-VLOOKUP($AO107,'Технический лист'!$I:$J,2,1)),1+(1-$AU107))</f>
        <v/>
      </c>
      <c r="EV107" s="173" t="n">
        <v>1</v>
      </c>
      <c r="EW107" s="172">
        <f>MIN(1,MAX(VLOOKUP(($AJ107-$AI107-$AH107-$AG107-$AF107-$AE107*(1+EW$3))/$AJ107,'Технический лист'!$A:$B,2,1),(EV107-0.05)))</f>
        <v/>
      </c>
      <c r="EX107" s="172">
        <f>MIN(1,MAX(VLOOKUP(($AJ107-$AI107-$AH107-$AG107-$AF107-$AE107*(1+EX$3))/$AJ107,'Технический лист'!$A:$B,2,1),(EW107-0.05)))</f>
        <v/>
      </c>
      <c r="EY107" s="172">
        <f>MIN(1,MAX(VLOOKUP(($AJ107-$AI107-$AH107-$AG107-$AF107-$AE107*(1+EY$3))/$AJ107,'Технический лист'!$A:$B,2,1),(EX107-0.05)))</f>
        <v/>
      </c>
      <c r="EZ107" s="172">
        <f>MIN(1,MAX(VLOOKUP(($AJ107-$AI107-$AH107-$AG107-$AF107-$AE107*(1+EZ$3))/$AJ107,'Технический лист'!$A:$B,2,1),(EY107-0.05)))</f>
        <v/>
      </c>
      <c r="FA107" s="172">
        <f>MIN(1,MAX(VLOOKUP(($AJ107-$AI107-$AH107-$AG107-$AF107-$AE107*(1+FA$3))/$AJ107,'Технический лист'!$A:$B,2,1),(EZ107-0.05)))</f>
        <v/>
      </c>
      <c r="FB107" s="172">
        <f>MIN(1,MAX(VLOOKUP(($AJ107-$AI107-$AH107-$AG107-$AF107-$AE107*(1+FB$3))/$AJ107,'Технический лист'!$A:$B,2,1),(FA107-0.05)))</f>
        <v/>
      </c>
      <c r="FC107" s="172">
        <f>MIN(1,MAX(VLOOKUP(($AJ107-$AI107-$AH107-$AG107-$AF107-$AE107*(1+FC$3))/$AJ107,'Технический лист'!$A:$B,2,1),(FB107-0.05)))</f>
        <v/>
      </c>
      <c r="FD107" s="172">
        <f>MIN(1,MAX(VLOOKUP(($AJ107-$AI107-$AH107-$AG107-$AF107-$AE107*(1+FD$3))/$AJ107,'Технический лист'!$A:$B,2,1),(FC107-0.05)))</f>
        <v/>
      </c>
      <c r="FE107" s="172">
        <f>MIN(1,MAX(VLOOKUP(($AJ107-$AI107-$AH107-$AG107-$AF107-$AE107*(1+FE$3))/$AJ107,'Технический лист'!$A:$B,2,1),(FD107-0.05)))</f>
        <v/>
      </c>
      <c r="FF107" s="172">
        <f>MIN(1,MAX(VLOOKUP(($AJ107-$AI107-$AH107-$AG107-$AF107-$AE107*(1+FF$3))/$AJ107,'Технический лист'!$A:$B,2,1),(FE107-0.05)))</f>
        <v/>
      </c>
      <c r="FG107" s="172">
        <f>MIN(1,MAX(VLOOKUP(($AJ107-$AI107-$AH107-$AG107-$AF107-$AE107*(1+FG$3))/$AJ107,'Технический лист'!$A:$B,2,1),(FF107-0.05)))</f>
        <v/>
      </c>
      <c r="FH107" s="172">
        <f>MIN(1,MAX(VLOOKUP(($AJ107-$AI107-$AH107-$AG107-$AF107-$AE107*(1+FH$3))/$AJ107,'Технический лист'!$A:$B,2,1),(FG107-0.05)))</f>
        <v/>
      </c>
      <c r="FI107" s="172">
        <f>MIN(1,MAX(VLOOKUP(($AJ107-$AI107-$AH107-$AG107-$AF107-$AE107*(1+FI$3))/$AJ107,'Технический лист'!$A:$B,2,1),(FH107-0.05)))</f>
        <v/>
      </c>
      <c r="FJ107" s="172">
        <f>MIN(1,MAX(VLOOKUP(($AJ107-$AI107-$AH107-$AG107-$AF107-$AE107*(1+FJ$3))/$AJ107,'Технический лист'!$A:$B,2,1),(FI107-0.05)))</f>
        <v/>
      </c>
      <c r="FK107" s="172">
        <f>MIN(1,MAX(VLOOKUP(($AJ107-$AI107-$AH107-$AG107-$AF107-$AE107*(1+FK$3))/$AJ107,'Технический лист'!$A:$B,2,1),(FJ107-0.05)))</f>
        <v/>
      </c>
      <c r="FL107" s="172">
        <f>MIN(1,MAX(VLOOKUP(($AJ107-$AI107-$AH107-$AG107-$AF107-$AE107*(1+FL$3))/$AJ107,'Технический лист'!$A:$B,2,1),(FK107-0.05)))</f>
        <v/>
      </c>
      <c r="FM107" s="172">
        <f>MIN(1,MAX(VLOOKUP(($AJ107-$AI107-$AH107-$AG107-$AF107-$AE107*(1+FM$3))/$AJ107,'Технический лист'!$A:$B,2,1),(FL107-0.05)))</f>
        <v/>
      </c>
      <c r="FN107" s="172">
        <f>MIN(1,MAX(VLOOKUP(($AJ107-$AI107-$AH107-$AG107-$AF107-$AE107*(1+FN$3))/$AJ107,'Технический лист'!$A:$B,2,1),(FM107-0.05)))</f>
        <v/>
      </c>
      <c r="FO107" s="172">
        <f>MIN(1,MAX(VLOOKUP(($AJ107-$AI107-$AH107-$AG107-$AF107-$AE107*(1+FO$3))/$AJ107,'Технический лист'!$A:$B,2,1),(FN107-0.05)))</f>
        <v/>
      </c>
      <c r="FP107" s="172">
        <f>MIN(1,MAX(VLOOKUP(($AJ107-$AI107-$AH107-$AG107-$AF107-$AE107*(1+FP$3))/$AJ107,'Технический лист'!$A:$B,2,1),(FO107-0.05)))</f>
        <v/>
      </c>
      <c r="FQ107" s="172">
        <f>MIN(1,MAX(VLOOKUP(($AJ107-$AI107-$AH107-$AG107-$AF107-$AE107*(1+FQ$3))/$AJ107,'Технический лист'!$A:$B,2,1),(FP107-0.05)))</f>
        <v/>
      </c>
      <c r="FR107" s="172">
        <f>MIN(1,MAX(VLOOKUP(($AJ107-$AI107-$AH107-$AG107-$AF107-$AE107*(1+FR$3))/$AJ107,'Технический лист'!$A:$B,2,1),(FQ107-0.05)))</f>
        <v/>
      </c>
      <c r="FS107" s="172">
        <f>MIN(1,MAX(VLOOKUP(($AJ107-$AI107-$AH107-$AG107-$AF107-$AE107*(1+FS$3))/$AJ107,'Технический лист'!$A:$B,2,1),(FR107-0.05)))</f>
        <v/>
      </c>
      <c r="FT107" s="172">
        <f>MIN(1,MAX(VLOOKUP(($AJ107-$AI107-$AH107-$AG107-$AF107-$AE107*(1+FT$3))/$AJ107,'Технический лист'!$A:$B,2,1),(FS107-0.05)))</f>
        <v/>
      </c>
      <c r="FU107" s="172">
        <f>MIN(1,MAX(VLOOKUP(($AJ107-$AI107-$AH107-$AG107-$AF107-$AE107*(1+FU$3))/$AJ107,'Технический лист'!$A:$B,2,1),(FT107-0.05)))</f>
        <v/>
      </c>
      <c r="FV107" s="172">
        <f>MIN(1,MAX(VLOOKUP(($AJ107-$AI107-$AH107-$AG107-$AF107-$AE107*(1+FV$3))/$AJ107,'Технический лист'!$A:$B,2,1),(FU107-0.05)))</f>
        <v/>
      </c>
      <c r="FW107" s="172">
        <f>MIN(1,MAX(VLOOKUP(($AJ107-$AI107-$AH107-$AG107-$AF107-$AE107*(1+FW$3))/$AJ107,'Технический лист'!$A:$B,2,1),(FV107-0.05)))</f>
        <v/>
      </c>
      <c r="FX107" s="172">
        <f>MIN(1,MAX(VLOOKUP(($AJ107-$AI107-$AH107-$AG107-$AF107-$AE107*(1+FX$3))/$AJ107,'Технический лист'!$A:$B,2,1),(FW107-0.05)))</f>
        <v/>
      </c>
      <c r="FY107" s="172">
        <f>MIN(1,MAX(VLOOKUP(($AJ107-$AI107-$AH107-$AG107-$AF107-$AE107*(1+FY$3))/$AJ107,'Технический лист'!$A:$B,2,1),(FX107-0.05)))</f>
        <v/>
      </c>
      <c r="FZ107" s="172">
        <f>MIN(1,MAX(VLOOKUP(($AJ107-$AI107-$AH107-$AG107-$AF107-$AE107*(1+FZ$3))/$AJ107,'Технический лист'!$A:$B,2,1),(FY107-0.05)))</f>
        <v/>
      </c>
      <c r="GA107" s="172">
        <f>MIN(1,MAX(VLOOKUP(($AJ107-$AI107-$AH107-$AG107-$AF107-$AE107*(1+GA$3))/$AJ107,'Технический лист'!$A:$B,2,1),(FZ107-0.05)))</f>
        <v/>
      </c>
      <c r="GB107" s="172">
        <f>MIN(1,MAX(VLOOKUP(($AJ107-$AI107-$AH107-$AG107-$AF107-$AE107*(1+GB$3))/$AJ107,'Технический лист'!$A:$B,2,1),(GA107-0.05)))</f>
        <v/>
      </c>
      <c r="GC107" s="172">
        <f>MIN(1,MAX(VLOOKUP(($AJ107-$AI107-$AH107-$AG107-$AF107-$AE107*(1+GC$3))/$AJ107,'Технический лист'!$A:$B,2,1),(GB107-0.05)))</f>
        <v/>
      </c>
      <c r="GD107" s="172">
        <f>MIN(1,MAX(VLOOKUP(($AJ107-$AI107-$AH107-$AG107-$AF107-$AE107*(1+GD$3))/$AJ107,'Технический лист'!$A:$B,2,1),(GC107-0.05)))</f>
        <v/>
      </c>
      <c r="GE107" s="172">
        <f>MIN(1,MAX(VLOOKUP(($AJ107-$AI107-$AH107-$AG107-$AF107-$AE107*(1+GE$3))/$AJ107,'Технический лист'!$A:$B,2,1),(GD107-0.05)))</f>
        <v/>
      </c>
      <c r="GF107" s="172">
        <f>MIN(1,MAX(VLOOKUP(($AJ107-$AI107-$AH107-$AG107-$AF107-$AE107*(1+GF$3))/$AJ107,'Технический лист'!$A:$B,2,1),(GE107-0.05)))</f>
        <v/>
      </c>
      <c r="GG107" s="172">
        <f>MIN(1,MAX(VLOOKUP(($AJ107-$AI107-$AH107-$AG107-$AF107-$AE107*(1+GG$3))/$AJ107,'Технический лист'!$A:$B,2,1),(GF107-0.05)))</f>
        <v/>
      </c>
      <c r="GH107" s="172">
        <f>MIN(1,MAX(VLOOKUP(($AJ107-$AI107-$AH107-$AG107-$AF107-$AE107*(1+GH$3))/$AJ107,'Технический лист'!$A:$B,2,1),(GG107-0.05)))</f>
        <v/>
      </c>
      <c r="GI107" s="172">
        <f>MIN(1,MAX(VLOOKUP(($AJ107-$AI107-$AH107-$AG107-$AF107-$AE107*(1+GI$3))/$AJ107,'Технический лист'!$A:$B,2,1),(GH107-0.05)))</f>
        <v/>
      </c>
      <c r="GJ107" s="172">
        <f>MIN(1,MAX(VLOOKUP(($AJ107-$AI107-$AH107-$AG107-$AF107-$AE107*(1+GJ$3))/$AJ107,'Технический лист'!$A:$B,2,1),(GI107-0.05)))</f>
        <v/>
      </c>
      <c r="GK107" s="172">
        <f>MIN(1,MAX(VLOOKUP(($AJ107-$AI107-$AH107-$AG107-$AF107-$AE107*(1+GK$3))/$AJ107,'Технический лист'!$A:$B,2,1),(GJ107-0.05)))</f>
        <v/>
      </c>
      <c r="GL107" s="172">
        <f>MIN(1,MAX(VLOOKUP(($AJ107-$AI107-$AH107-$AG107-$AF107-$AE107*(1+GL$3))/$AJ107,'Технический лист'!$A:$B,2,1),(GK107-0.05)))</f>
        <v/>
      </c>
      <c r="GM107" s="172">
        <f>MIN(1,MAX(VLOOKUP(($AJ107-$AI107-$AH107-$AG107-$AF107-$AE107*(1+GM$3))/$AJ107,'Технический лист'!$A:$B,2,1),(GL107-0.05)))</f>
        <v/>
      </c>
      <c r="GN107" s="172">
        <f>MIN(1,MAX(VLOOKUP(($AJ107-$AI107-$AH107-$AG107-$AF107-$AE107*(1+GN$3))/$AJ107,'Технический лист'!$A:$B,2,1),(GM107-0.05)))</f>
        <v/>
      </c>
      <c r="GO107" s="172">
        <f>MIN(1,MAX(VLOOKUP(($AJ107-$AI107-$AH107-$AG107-$AF107-$AE107*(1+GO$3))/$AJ107,'Технический лист'!$A:$B,2,1),(GN107-0.05)))</f>
        <v/>
      </c>
      <c r="GP107" s="172">
        <f>MIN(1,MAX(VLOOKUP(($AJ107-$AI107-$AH107-$AG107-$AF107-$AE107*(1+GP$3))/$AJ107,'Технический лист'!$A:$B,2,1),(GO107-0.05)))</f>
        <v/>
      </c>
      <c r="GQ107" s="172">
        <f>MIN(1,MAX(VLOOKUP(($AJ107-$AI107-$AH107-$AG107-$AF107-$AE107*(1+GQ$3))/$AJ107,'Технический лист'!$A:$B,2,1),(GP107-0.05)))</f>
        <v/>
      </c>
      <c r="GR107" s="172">
        <f>MIN(1,MAX(VLOOKUP(($AJ107-$AI107-$AH107-$AG107-$AF107-$AE107*(1+GR$3))/$AJ107,'Технический лист'!$A:$B,2,1),(GQ107-0.05)))</f>
        <v/>
      </c>
      <c r="GS107" s="172">
        <f>MIN(1,MAX(VLOOKUP(($AJ107-$AI107-$AH107-$AG107-$AF107-$AE107*(1+GS$3))/$AJ107,'Технический лист'!$A:$B,2,1),(GR107-0.05)))</f>
        <v/>
      </c>
      <c r="GT107" s="172">
        <f>MIN(1,MAX(VLOOKUP(($AJ107-$AI107-$AH107-$AG107-$AF107-$AE107*(1+GT$3))/$AJ107,'Технический лист'!$A:$B,2,1),(GS107-0.05)))</f>
        <v/>
      </c>
      <c r="GU107" s="172">
        <f>MIN(1,MAX(VLOOKUP(($AJ107-$AI107-$AH107-$AG107-$AF107-$AE107*(1+GU$3))/$AJ107,'Технический лист'!$A:$B,2,1),(GT107-0.05)))</f>
        <v/>
      </c>
      <c r="GV107" s="172">
        <f>MIN(1,MAX(VLOOKUP(($AJ107-$AI107-$AH107-$AG107-$AF107-$AE107*(1+GV$3))/$AJ107,'Технический лист'!$A:$B,2,1),(GU107-0.05)))</f>
        <v/>
      </c>
      <c r="GW107" s="172">
        <f>MIN(1,MAX(VLOOKUP(($AJ107-$AI107-$AH107-$AG107-$AF107-$AE107*(1+GW$3))/$AJ107,'Технический лист'!$A:$B,2,1),(GV107-0.05)))</f>
        <v/>
      </c>
      <c r="GX107" s="172">
        <f>MIN(1,MAX(VLOOKUP(($AJ107-$AI107-$AH107-$AG107-$AF107-$AE107*(1+GX$3))/$AJ107,'Технический лист'!$A:$B,2,1),(GW107-0.05)))</f>
        <v/>
      </c>
      <c r="GY107" s="172">
        <f>MIN(1,MAX(VLOOKUP(($AJ107-$AI107-$AH107-$AG107-$AF107-$AE107*(1+GY$3))/$AJ107,'Технический лист'!$A:$B,2,1),(GX107-0.05)))</f>
        <v/>
      </c>
      <c r="GZ107" s="172">
        <f>MIN(1,MAX(VLOOKUP(($AJ107-$AI107-$AH107-$AG107-$AF107-$AE107*(1+GZ$3))/$AJ107,'Технический лист'!$A:$B,2,1),(GY107-0.05)))</f>
        <v/>
      </c>
      <c r="HA107" s="172">
        <f>MIN(1,MAX(VLOOKUP(($AJ107-$AI107-$AH107-$AG107-$AF107-$AE107*(1+HA$3))/$AJ107,'Технический лист'!$A:$B,2,1),(GZ107-0.05)))</f>
        <v/>
      </c>
      <c r="HB107" s="172">
        <f>MIN(1,MAX(VLOOKUP(($AJ107-$AI107-$AH107-$AG107-$AF107-$AE107*(1+HB$3))/$AJ107,'Технический лист'!$A:$B,2,1),(HA107-0.05)))</f>
        <v/>
      </c>
      <c r="HC107" s="172">
        <f>MIN(1,MAX(VLOOKUP(($AJ107-$AI107-$AH107-$AG107-$AF107-$AE107*(1+HC$3))/$AJ107,'Технический лист'!$A:$B,2,1),(HB107-0.05)))</f>
        <v/>
      </c>
      <c r="HD107" s="172">
        <f>MIN(1,MAX(VLOOKUP(($AJ107-$AI107-$AH107-$AG107-$AF107-$AE107*(1+HD$3))/$AJ107,'Технический лист'!$A:$B,2,1),(HC107-0.05)))</f>
        <v/>
      </c>
      <c r="HE107" s="172">
        <f>MIN(1,MAX(VLOOKUP(($AJ107-$AI107-$AH107-$AG107-$AF107-$AE107*(1+HE$3))/$AJ107,'Технический лист'!$A:$B,2,1),(HD107-0.05)))</f>
        <v/>
      </c>
      <c r="HF107" s="172">
        <f>MIN(1,MAX(VLOOKUP(($AJ107-$AI107-$AH107-$AG107-$AF107-$AE107*(1+HF$3))/$AJ107,'Технический лист'!$A:$B,2,1),(HE107-0.05)))</f>
        <v/>
      </c>
      <c r="HG107" s="172">
        <f>MIN(1,MAX(VLOOKUP(($AJ107-$AI107-$AH107-$AG107-$AF107-$AE107*(1+HG$3))/$AJ107,'Технический лист'!$A:$B,2,1),(HF107-0.05)))</f>
        <v/>
      </c>
      <c r="HH107" s="172">
        <f>MIN(1,MAX(VLOOKUP(($AJ107-$AI107-$AH107-$AG107-$AF107-$AE107*(1+HH$3))/$AJ107,'Технический лист'!$A:$B,2,1),(HG107-0.05)))</f>
        <v/>
      </c>
      <c r="HI107" s="172">
        <f>MIN(1,MAX(VLOOKUP(($AJ107-$AI107-$AH107-$AG107-$AF107-$AE107*(1+HI$3))/$AJ107,'Технический лист'!$A:$B,2,1),(HH107-0.05)))</f>
        <v/>
      </c>
      <c r="HJ107" s="172">
        <f>MIN(1,MAX(VLOOKUP(($AJ107-$AI107-$AH107-$AG107-$AF107-$AE107*(1+HJ$3))/$AJ107,'Технический лист'!$A:$B,2,1),(HI107-0.05)))</f>
        <v/>
      </c>
      <c r="HK107" s="172">
        <f>MIN(1,MAX(VLOOKUP(($AJ107-$AI107-$AH107-$AG107-$AF107-$AE107*(1+HK$3))/$AJ107,'Технический лист'!$A:$B,2,1),(HJ107-0.05)))</f>
        <v/>
      </c>
      <c r="HL107" s="172">
        <f>MIN(1,MAX(VLOOKUP(($AJ107-$AI107-$AH107-$AG107-$AF107-$AE107*(1+HL$3))/$AJ107,'Технический лист'!$A:$B,2,1),(HK107-0.05)))</f>
        <v/>
      </c>
      <c r="HM107" s="172">
        <f>MIN(1,MAX(VLOOKUP(($AJ107-$AI107-$AH107-$AG107-$AF107-$AE107*(1+HM$3))/$AJ107,'Технический лист'!$A:$B,2,1),(HL107-0.05)))</f>
        <v/>
      </c>
      <c r="HN107" s="172">
        <f>MIN(1,MAX(VLOOKUP(($AJ107-$AI107-$AH107-$AG107-$AF107-$AE107*(1+HN$3))/$AJ107,'Технический лист'!$A:$B,2,1),(HM107-0.05)))</f>
        <v/>
      </c>
      <c r="HO107" s="172">
        <f>MIN(1,MAX(VLOOKUP(($AJ107-$AI107-$AH107-$AG107-$AF107-$AE107*(1+HO$3))/$AJ107,'Технический лист'!$A:$B,2,1),(HN107-0.05)))</f>
        <v/>
      </c>
      <c r="HP107" s="172">
        <f>MIN(1,MAX(VLOOKUP(($AJ107-$AI107-$AH107-$AG107-$AF107-$AE107*(1+HP$3))/$AJ107,'Технический лист'!$A:$B,2,1),(HO107-0.05)))</f>
        <v/>
      </c>
      <c r="HQ107" s="172">
        <f>MIN(1,MAX(VLOOKUP(($AJ107-$AI107-$AH107-$AG107-$AF107-$AE107*(1+HQ$3))/$AJ107,'Технический лист'!$A:$B,2,1),(HP107-0.05)))</f>
        <v/>
      </c>
      <c r="HR107" s="172">
        <f>MIN(1,MAX(VLOOKUP(($AJ107-$AI107-$AH107-$AG107-$AF107-$AE107*(1+HR$3))/$AJ107,'Технический лист'!$A:$B,2,1),(HQ107-0.05)))</f>
        <v/>
      </c>
      <c r="HS107" s="172">
        <f>MIN(1,MAX(VLOOKUP(($AJ107-$AI107-$AH107-$AG107-$AF107-$AE107*(1+HS$3))/$AJ107,'Технический лист'!$A:$B,2,1),(HR107-0.05)))</f>
        <v/>
      </c>
      <c r="HT107" s="172">
        <f>MIN(1,MAX(VLOOKUP(($AJ107-$AI107-$AH107-$AG107-$AF107-$AE107*(1+HT$3))/$AJ107,'Технический лист'!$A:$B,2,1),(HS107-0.05)))</f>
        <v/>
      </c>
      <c r="HU107" s="172">
        <f>MIN(1,MAX(VLOOKUP(($AJ107-$AI107-$AH107-$AG107-$AF107-$AE107*(1+HU$3))/$AJ107,'Технический лист'!$A:$B,2,1),(HT107-0.05)))</f>
        <v/>
      </c>
      <c r="HV107" s="172">
        <f>MIN(1,MAX(VLOOKUP(($AJ107-$AI107-$AH107-$AG107-$AF107-$AE107*(1+HV$3))/$AJ107,'Технический лист'!$A:$B,2,1),(HU107-0.05)))</f>
        <v/>
      </c>
      <c r="HW107" s="172">
        <f>MIN(1,MAX(VLOOKUP(($AJ107-$AI107-$AH107-$AG107-$AF107-$AE107*(1+HW$3))/$AJ107,'Технический лист'!$A:$B,2,1),(HV107-0.05)))</f>
        <v/>
      </c>
      <c r="HX107" s="172">
        <f>MIN(1,MAX(VLOOKUP(($AJ107-$AI107-$AH107-$AG107-$AF107-$AE107*(1+HX$3))/$AJ107,'Технический лист'!$A:$B,2,1),(HW107-0.05)))</f>
        <v/>
      </c>
      <c r="HY107" s="172">
        <f>MIN(1,MAX(VLOOKUP(($AJ107-$AI107-$AH107-$AG107-$AF107-$AE107*(1+HY$3))/$AJ107,'Технический лист'!$A:$B,2,1),(HX107-0.05)))</f>
        <v/>
      </c>
      <c r="HZ107" s="172">
        <f>MIN(1,MAX(VLOOKUP(($AJ107-$AI107-$AH107-$AG107-$AF107-$AE107*(1+HZ$3))/$AJ107,'Технический лист'!$A:$B,2,1),(HY107-0.05)))</f>
        <v/>
      </c>
      <c r="IA107" s="172">
        <f>MIN(1,MAX(VLOOKUP(($AJ107-$AI107-$AH107-$AG107-$AF107-$AE107*(1+IA$3))/$AJ107,'Технический лист'!$A:$B,2,1),(HZ107-0.05)))</f>
        <v/>
      </c>
      <c r="IB107" s="172">
        <f>MIN(1,MAX(VLOOKUP(($AJ107-$AI107-$AH107-$AG107-$AF107-$AE107*(1+IB$3))/$AJ107,'Технический лист'!$A:$B,2,1),(IA107-0.05)))</f>
        <v/>
      </c>
      <c r="IC107" s="172">
        <f>MIN(1,MAX(VLOOKUP(($AJ107-$AI107-$AH107-$AG107-$AF107-$AE107*(1+IC$3))/$AJ107,'Технический лист'!$A:$B,2,1),(IB107-0.05)))</f>
        <v/>
      </c>
      <c r="ID107" s="172">
        <f>MIN(1,MAX(VLOOKUP(($AJ107-$AI107-$AH107-$AG107-$AF107-$AE107*(1+ID$3))/$AJ107,'Технический лист'!$A:$B,2,1),(IC107-0.05)))</f>
        <v/>
      </c>
      <c r="IE107" s="172">
        <f>MIN(1,MAX(VLOOKUP(($AJ107-$AI107-$AH107-$AG107-$AF107-$AE107*(1+IE$3))/$AJ107,'Технический лист'!$A:$B,2,1),(ID107-0.05)))</f>
        <v/>
      </c>
      <c r="IF107" s="172">
        <f>MIN(1,MAX(VLOOKUP(($AJ107-$AI107-$AH107-$AG107-$AF107-$AE107*(1+IF$3))/$AJ107,'Технический лист'!$A:$B,2,1),(IE107-0.05)))</f>
        <v/>
      </c>
      <c r="IG107" s="172">
        <f>MIN(1,MAX(VLOOKUP(($AJ107-$AI107-$AH107-$AG107-$AF107-$AE107*(1+IG$3))/$AJ107,'Технический лист'!$A:$B,2,1),(IF107-0.05)))</f>
        <v/>
      </c>
      <c r="IH107" s="172">
        <f>MIN(1,MAX(VLOOKUP(($AJ107-$AI107-$AH107-$AG107-$AF107-$AE107*(1+IH$3))/$AJ107,'Технический лист'!$A:$B,2,1),(IG107-0.05)))</f>
        <v/>
      </c>
      <c r="II107" s="172">
        <f>MIN(1,MAX(VLOOKUP(($AJ107-$AI107-$AH107-$AG107-$AF107-$AE107*(1+II$3))/$AJ107,'Технический лист'!$A:$B,2,1),(IH107-0.05)))</f>
        <v/>
      </c>
      <c r="IJ107" s="172">
        <f>MIN(1,MAX(VLOOKUP(($AJ107-$AI107-$AH107-$AG107-$AF107-$AE107*(1+IJ$3))/$AJ107,'Технический лист'!$A:$B,2,1),(II107-0.05)))</f>
        <v/>
      </c>
      <c r="IK107" s="172">
        <f>MIN(1,MAX(VLOOKUP(($AJ107-$AI107-$AH107-$AG107-$AF107-$AE107*(1+IK$3))/$AJ107,'Технический лист'!$A:$B,2,1),(IJ107-0.05)))</f>
        <v/>
      </c>
      <c r="IL107" s="172">
        <f>MIN(1,MAX(VLOOKUP(($AJ107-$AI107-$AH107-$AG107-$AF107-$AE107*(1+IL$3))/$AJ107,'Технический лист'!$A:$B,2,1),(IK107-0.05)))</f>
        <v/>
      </c>
      <c r="IM107" s="172">
        <f>MIN(1,MAX(VLOOKUP(($AJ107-$AI107-$AH107-$AG107-$AF107-$AE107*(1+IM$3))/$AJ107,'Технический лист'!$A:$B,2,1),(IL107-0.05)))</f>
        <v/>
      </c>
      <c r="IN107" s="172">
        <f>MIN(1,MAX(VLOOKUP(($AJ107-$AI107-$AH107-$AG107-$AF107-$AE107*(1+IN$3))/$AJ107,'Технический лист'!$A:$B,2,1),(IM107-0.05)))</f>
        <v/>
      </c>
      <c r="IO107" s="172">
        <f>MIN(1,MAX(VLOOKUP(($AJ107-$AI107-$AH107-$AG107-$AF107-$AE107*(1+IO$3))/$AJ107,'Технический лист'!$A:$B,2,1),(IN107-0.05)))</f>
        <v/>
      </c>
      <c r="IP107" s="172">
        <f>MIN(1,MAX(VLOOKUP(($AJ107-$AI107-$AH107-$AG107-$AF107-$AE107*(1+IP$3))/$AJ107,'Технический лист'!$A:$B,2,1),(IO107-0.05)))</f>
        <v/>
      </c>
      <c r="IQ107" s="172">
        <f>MIN(1,MAX(VLOOKUP(($AJ107-$AI107-$AH107-$AG107-$AF107-$AE107*(1+IQ$3))/$AJ107,'Технический лист'!$A:$B,2,1),(IP107-0.05)))</f>
        <v/>
      </c>
      <c r="IR107" s="172">
        <f>MIN(1,MAX(VLOOKUP(($AJ107-$AI107-$AH107-$AG107-$AF107-$AE107*(1+IR$3))/$AJ107,'Технический лист'!$A:$B,2,1),(IQ107-0.05)))</f>
        <v/>
      </c>
    </row>
    <row r="108" ht="43.75" customHeight="1" s="123">
      <c r="A108" s="89" t="inlineStr">
        <is>
          <t>ЧМ (продукция)</t>
        </is>
      </c>
      <c r="B108" s="90" t="n">
        <v>5</v>
      </c>
      <c r="C108" s="5" t="inlineStr">
        <is>
          <t>Черные металлы</t>
        </is>
      </c>
      <c r="D108" s="91" t="n">
        <v>32416</v>
      </c>
      <c r="E108" s="91" t="inlineStr">
        <is>
          <t xml:space="preserve">Сталь листовая, не поименованная в алфавите </t>
        </is>
      </c>
      <c r="F108" s="92" t="inlineStr">
        <is>
          <t>ПРОЧИЕ ВИДЫ ПРОКАТА ЧЕРНЫ</t>
        </is>
      </c>
      <c r="G108" s="91" t="inlineStr">
        <is>
          <t>ЮУР</t>
        </is>
      </c>
      <c r="H108" s="91" t="inlineStr">
        <is>
          <t>ЮУР</t>
        </is>
      </c>
      <c r="I108" s="91" t="inlineStr">
        <is>
          <t>МАГНИТОГ-ГР</t>
        </is>
      </c>
      <c r="J108" s="91" t="inlineStr">
        <is>
          <t>ОРСК-НВГР-ЭК</t>
        </is>
      </c>
      <c r="K108" s="91" t="n">
        <v>446</v>
      </c>
      <c r="L108" s="77" t="inlineStr">
        <is>
          <t>Платформы</t>
        </is>
      </c>
      <c r="M108" s="91" t="inlineStr">
        <is>
          <t>Экспорт</t>
        </is>
      </c>
      <c r="N108" s="91" t="inlineStr">
        <is>
          <t>контейнерная</t>
        </is>
      </c>
      <c r="O108" s="91" t="inlineStr">
        <is>
          <t xml:space="preserve">Южное </t>
        </is>
      </c>
      <c r="P108" s="89" t="inlineStr">
        <is>
          <t>'000057535123</t>
        </is>
      </c>
      <c r="Q108" s="91" t="inlineStr">
        <is>
          <t>ПАО "ММК"</t>
        </is>
      </c>
      <c r="R108" s="91" t="inlineStr">
        <is>
          <t>ПАО "ММК"</t>
        </is>
      </c>
      <c r="S108" s="87" t="n">
        <v>429724</v>
      </c>
      <c r="T108" s="87" t="n">
        <v>191657388</v>
      </c>
      <c r="U108" s="88" t="n">
        <v>6572</v>
      </c>
      <c r="V108" s="88" t="n">
        <v>13144</v>
      </c>
      <c r="W108" s="87" t="n">
        <v>539204603</v>
      </c>
      <c r="X108" s="112" t="n">
        <v>66</v>
      </c>
      <c r="Y108" s="112" t="inlineStr">
        <is>
          <t>контейнерная</t>
        </is>
      </c>
      <c r="Z108" s="113" t="n">
        <v>4</v>
      </c>
      <c r="AA108" s="113" t="n">
        <v>0</v>
      </c>
      <c r="AB108" s="113" t="n">
        <v>4</v>
      </c>
      <c r="AC108" s="161">
        <f>44678/X108</f>
        <v/>
      </c>
      <c r="AD108" s="161" t="n">
        <v>0</v>
      </c>
      <c r="AE108" s="161">
        <f>AC108</f>
        <v/>
      </c>
      <c r="AF108" s="162">
        <f>(AB108+AA108+Z108)*'Ставки аренды'!$B$6/X108</f>
        <v/>
      </c>
      <c r="AG108" s="163" t="n">
        <v>0</v>
      </c>
      <c r="AH108" s="164" t="n">
        <v>0</v>
      </c>
      <c r="AI108" s="174">
        <f>429559973/511416159*AVERAGE(AJ108,AJ109)</f>
        <v/>
      </c>
      <c r="AJ108" s="166">
        <f>Цены!C17*'Курсы валют'!B2</f>
        <v/>
      </c>
      <c r="AK108" s="164">
        <f>AJ108/Цены!$B$1</f>
        <v/>
      </c>
      <c r="AL108" s="164">
        <f>AE108+AF108+AG108</f>
        <v/>
      </c>
      <c r="AM108" s="164">
        <f>AJ108-AL108</f>
        <v/>
      </c>
      <c r="AN108" s="164">
        <f>AI108+AH108+AG108+AF108+AE108</f>
        <v/>
      </c>
      <c r="AO108" s="167">
        <f>(AJ108-AN108)/AJ108</f>
        <v/>
      </c>
      <c r="AP108" s="168">
        <f>AL108/AJ108</f>
        <v/>
      </c>
      <c r="AQ108" s="168">
        <f>AE108/AJ108</f>
        <v/>
      </c>
      <c r="AR108" s="168">
        <f>AE108/AL108</f>
        <v/>
      </c>
      <c r="AS108" s="169" t="n">
        <v>1</v>
      </c>
      <c r="AT108" s="121">
        <f>S108*AS108</f>
        <v/>
      </c>
      <c r="AU108" s="83" t="n">
        <v>0.6</v>
      </c>
      <c r="AV108" s="170">
        <f>(AJ108-(AE108*(1+$IS$2)+AF108+AG108+AH108+AI108))/AJ108</f>
        <v/>
      </c>
      <c r="AW108" s="171">
        <f>(AE108*(1+$IS$2)+AF108+AG108)/AJ108</f>
        <v/>
      </c>
      <c r="AX108" s="171">
        <f>(AE108*(1+$IS$2))/AJ108</f>
        <v/>
      </c>
      <c r="AY108" s="171">
        <f>(AE108*(1+$IS$2))/(AE108*(1+$IS$2)+AF108+AG108)</f>
        <v/>
      </c>
      <c r="AZ108" s="172">
        <f>MIN(IF($AU108=100%,1,1+VLOOKUP(($AJ108-$AI108-$AH108-$AG108-$AF108-$AE108*(1+AZ$3))/$AJ108,'Технический лист'!$I:$J,2,1)-VLOOKUP($AO108,'Технический лист'!$I:$J,2,1)),1+(1-$AU108))</f>
        <v/>
      </c>
      <c r="BA108" s="172">
        <f>MIN(IF($AU108=100%,1,1+VLOOKUP(($AJ108-$AI108-$AH108-$AG108-$AF108-$AE108*(1+BA$3))/$AJ108,'Технический лист'!$I:$J,2,1)-VLOOKUP($AO108,'Технический лист'!$I:$J,2,1)),1+(1-$AU108))</f>
        <v/>
      </c>
      <c r="BB108" s="172">
        <f>MIN(IF($AU108=100%,1,1+VLOOKUP(($AJ108-$AI108-$AH108-$AG108-$AF108-$AE108*(1+BB$3))/$AJ108,'Технический лист'!$I:$J,2,1)-VLOOKUP($AO108,'Технический лист'!$I:$J,2,1)),1+(1-$AU108))</f>
        <v/>
      </c>
      <c r="BC108" s="172">
        <f>MIN(IF($AU108=100%,1,1+VLOOKUP(($AJ108-$AI108-$AH108-$AG108-$AF108-$AE108*(1+BC$3))/$AJ108,'Технический лист'!$I:$J,2,1)-VLOOKUP($AO108,'Технический лист'!$I:$J,2,1)),1+(1-$AU108))</f>
        <v/>
      </c>
      <c r="BD108" s="172">
        <f>MIN(IF($AU108=100%,1,1+VLOOKUP(($AJ108-$AI108-$AH108-$AG108-$AF108-$AE108*(1+BD$3))/$AJ108,'Технический лист'!$I:$J,2,1)-VLOOKUP($AO108,'Технический лист'!$I:$J,2,1)),1+(1-$AU108))</f>
        <v/>
      </c>
      <c r="BE108" s="172">
        <f>MIN(IF($AU108=100%,1,1+VLOOKUP(($AJ108-$AI108-$AH108-$AG108-$AF108-$AE108*(1+BE$3))/$AJ108,'Технический лист'!$I:$J,2,1)-VLOOKUP($AO108,'Технический лист'!$I:$J,2,1)),1+(1-$AU108))</f>
        <v/>
      </c>
      <c r="BF108" s="172">
        <f>MIN(IF($AU108=100%,1,1+VLOOKUP(($AJ108-$AI108-$AH108-$AG108-$AF108-$AE108*(1+BF$3))/$AJ108,'Технический лист'!$I:$J,2,1)-VLOOKUP($AO108,'Технический лист'!$I:$J,2,1)),1+(1-$AU108))</f>
        <v/>
      </c>
      <c r="BG108" s="172">
        <f>MIN(IF($AU108=100%,1,1+VLOOKUP(($AJ108-$AI108-$AH108-$AG108-$AF108-$AE108*(1+BG$3))/$AJ108,'Технический лист'!$I:$J,2,1)-VLOOKUP($AO108,'Технический лист'!$I:$J,2,1)),1+(1-$AU108))</f>
        <v/>
      </c>
      <c r="BH108" s="172">
        <f>MIN(IF($AU108=100%,1,1+VLOOKUP(($AJ108-$AI108-$AH108-$AG108-$AF108-$AE108*(1+BH$3))/$AJ108,'Технический лист'!$I:$J,2,1)-VLOOKUP($AO108,'Технический лист'!$I:$J,2,1)),1+(1-$AU108))</f>
        <v/>
      </c>
      <c r="BI108" s="172">
        <f>MIN(IF($AU108=100%,1,1+VLOOKUP(($AJ108-$AI108-$AH108-$AG108-$AF108-$AE108*(1+BI$3))/$AJ108,'Технический лист'!$I:$J,2,1)-VLOOKUP($AO108,'Технический лист'!$I:$J,2,1)),1+(1-$AU108))</f>
        <v/>
      </c>
      <c r="BJ108" s="172">
        <f>MIN(IF($AU108=100%,1,1+VLOOKUP(($AJ108-$AI108-$AH108-$AG108-$AF108-$AE108*(1+BJ$3))/$AJ108,'Технический лист'!$I:$J,2,1)-VLOOKUP($AO108,'Технический лист'!$I:$J,2,1)),1+(1-$AU108))</f>
        <v/>
      </c>
      <c r="BK108" s="172">
        <f>MIN(IF($AU108=100%,1,1+VLOOKUP(($AJ108-$AI108-$AH108-$AG108-$AF108-$AE108*(1+BK$3))/$AJ108,'Технический лист'!$I:$J,2,1)-VLOOKUP($AO108,'Технический лист'!$I:$J,2,1)),1+(1-$AU108))</f>
        <v/>
      </c>
      <c r="BL108" s="172">
        <f>MIN(IF($AU108=100%,1,1+VLOOKUP(($AJ108-$AI108-$AH108-$AG108-$AF108-$AE108*(1+BL$3))/$AJ108,'Технический лист'!$I:$J,2,1)-VLOOKUP($AO108,'Технический лист'!$I:$J,2,1)),1+(1-$AU108))</f>
        <v/>
      </c>
      <c r="BM108" s="172">
        <f>MIN(IF($AU108=100%,1,1+VLOOKUP(($AJ108-$AI108-$AH108-$AG108-$AF108-$AE108*(1+BM$3))/$AJ108,'Технический лист'!$I:$J,2,1)-VLOOKUP($AO108,'Технический лист'!$I:$J,2,1)),1+(1-$AU108))</f>
        <v/>
      </c>
      <c r="BN108" s="172">
        <f>MIN(IF($AU108=100%,1,1+VLOOKUP(($AJ108-$AI108-$AH108-$AG108-$AF108-$AE108*(1+BN$3))/$AJ108,'Технический лист'!$I:$J,2,1)-VLOOKUP($AO108,'Технический лист'!$I:$J,2,1)),1+(1-$AU108))</f>
        <v/>
      </c>
      <c r="BO108" s="172">
        <f>MIN(IF($AU108=100%,1,1+VLOOKUP(($AJ108-$AI108-$AH108-$AG108-$AF108-$AE108*(1+BO$3))/$AJ108,'Технический лист'!$I:$J,2,1)-VLOOKUP($AO108,'Технический лист'!$I:$J,2,1)),1+(1-$AU108))</f>
        <v/>
      </c>
      <c r="BP108" s="172">
        <f>MIN(IF($AU108=100%,1,1+VLOOKUP(($AJ108-$AI108-$AH108-$AG108-$AF108-$AE108*(1+BP$3))/$AJ108,'Технический лист'!$I:$J,2,1)-VLOOKUP($AO108,'Технический лист'!$I:$J,2,1)),1+(1-$AU108))</f>
        <v/>
      </c>
      <c r="BQ108" s="172">
        <f>MIN(IF($AU108=100%,1,1+VLOOKUP(($AJ108-$AI108-$AH108-$AG108-$AF108-$AE108*(1+BQ$3))/$AJ108,'Технический лист'!$I:$J,2,1)-VLOOKUP($AO108,'Технический лист'!$I:$J,2,1)),1+(1-$AU108))</f>
        <v/>
      </c>
      <c r="BR108" s="172">
        <f>MIN(IF($AU108=100%,1,1+VLOOKUP(($AJ108-$AI108-$AH108-$AG108-$AF108-$AE108*(1+BR$3))/$AJ108,'Технический лист'!$I:$J,2,1)-VLOOKUP($AO108,'Технический лист'!$I:$J,2,1)),1+(1-$AU108))</f>
        <v/>
      </c>
      <c r="BS108" s="172">
        <f>MIN(IF($AU108=100%,1,1+VLOOKUP(($AJ108-$AI108-$AH108-$AG108-$AF108-$AE108*(1+BS$3))/$AJ108,'Технический лист'!$I:$J,2,1)-VLOOKUP($AO108,'Технический лист'!$I:$J,2,1)),1+(1-$AU108))</f>
        <v/>
      </c>
      <c r="BT108" s="172">
        <f>MIN(IF($AU108=100%,1,1+VLOOKUP(($AJ108-$AI108-$AH108-$AG108-$AF108-$AE108*(1+BT$3))/$AJ108,'Технический лист'!$I:$J,2,1)-VLOOKUP($AO108,'Технический лист'!$I:$J,2,1)),1+(1-$AU108))</f>
        <v/>
      </c>
      <c r="BU108" s="172">
        <f>MIN(IF($AU108=100%,1,1+VLOOKUP(($AJ108-$AI108-$AH108-$AG108-$AF108-$AE108*(1+BU$3))/$AJ108,'Технический лист'!$I:$J,2,1)-VLOOKUP($AO108,'Технический лист'!$I:$J,2,1)),1+(1-$AU108))</f>
        <v/>
      </c>
      <c r="BV108" s="172">
        <f>MIN(IF($AU108=100%,1,1+VLOOKUP(($AJ108-$AI108-$AH108-$AG108-$AF108-$AE108*(1+BV$3))/$AJ108,'Технический лист'!$I:$J,2,1)-VLOOKUP($AO108,'Технический лист'!$I:$J,2,1)),1+(1-$AU108))</f>
        <v/>
      </c>
      <c r="BW108" s="172">
        <f>MIN(IF($AU108=100%,1,1+VLOOKUP(($AJ108-$AI108-$AH108-$AG108-$AF108-$AE108*(1+BW$3))/$AJ108,'Технический лист'!$I:$J,2,1)-VLOOKUP($AO108,'Технический лист'!$I:$J,2,1)),1+(1-$AU108))</f>
        <v/>
      </c>
      <c r="BX108" s="172">
        <f>MIN(IF($AU108=100%,1,1+VLOOKUP(($AJ108-$AI108-$AH108-$AG108-$AF108-$AE108*(1+BX$3))/$AJ108,'Технический лист'!$I:$J,2,1)-VLOOKUP($AO108,'Технический лист'!$I:$J,2,1)),1+(1-$AU108))</f>
        <v/>
      </c>
      <c r="BY108" s="172">
        <f>MIN(IF($AU108=100%,1,1+VLOOKUP(($AJ108-$AI108-$AH108-$AG108-$AF108-$AE108*(1+BY$3))/$AJ108,'Технический лист'!$I:$J,2,1)-VLOOKUP($AO108,'Технический лист'!$I:$J,2,1)),1+(1-$AU108))</f>
        <v/>
      </c>
      <c r="BZ108" s="172">
        <f>MIN(IF($AU108=100%,1,1+VLOOKUP(($AJ108-$AI108-$AH108-$AG108-$AF108-$AE108*(1+BZ$3))/$AJ108,'Технический лист'!$I:$J,2,1)-VLOOKUP($AO108,'Технический лист'!$I:$J,2,1)),1+(1-$AU108))</f>
        <v/>
      </c>
      <c r="CA108" s="172">
        <f>MIN(IF($AU108=100%,1,1+VLOOKUP(($AJ108-$AI108-$AH108-$AG108-$AF108-$AE108*(1+CA$3))/$AJ108,'Технический лист'!$I:$J,2,1)-VLOOKUP($AO108,'Технический лист'!$I:$J,2,1)),1+(1-$AU108))</f>
        <v/>
      </c>
      <c r="CB108" s="172">
        <f>MIN(IF($AU108=100%,1,1+VLOOKUP(($AJ108-$AI108-$AH108-$AG108-$AF108-$AE108*(1+CB$3))/$AJ108,'Технический лист'!$I:$J,2,1)-VLOOKUP($AO108,'Технический лист'!$I:$J,2,1)),1+(1-$AU108))</f>
        <v/>
      </c>
      <c r="CC108" s="172">
        <f>MIN(IF($AU108=100%,1,1+VLOOKUP(($AJ108-$AI108-$AH108-$AG108-$AF108-$AE108*(1+CC$3))/$AJ108,'Технический лист'!$I:$J,2,1)-VLOOKUP($AO108,'Технический лист'!$I:$J,2,1)),1+(1-$AU108))</f>
        <v/>
      </c>
      <c r="CD108" s="172">
        <f>MIN(IF($AU108=100%,1,1+VLOOKUP(($AJ108-$AI108-$AH108-$AG108-$AF108-$AE108*(1+CD$3))/$AJ108,'Технический лист'!$I:$J,2,1)-VLOOKUP($AO108,'Технический лист'!$I:$J,2,1)),1+(1-$AU108))</f>
        <v/>
      </c>
      <c r="CE108" s="172">
        <f>MIN(IF($AU108=100%,1,1+VLOOKUP(($AJ108-$AI108-$AH108-$AG108-$AF108-$AE108*(1+CE$3))/$AJ108,'Технический лист'!$I:$J,2,1)-VLOOKUP($AO108,'Технический лист'!$I:$J,2,1)),1+(1-$AU108))</f>
        <v/>
      </c>
      <c r="CF108" s="172">
        <f>MIN(IF($AU108=100%,1,1+VLOOKUP(($AJ108-$AI108-$AH108-$AG108-$AF108-$AE108*(1+CF$3))/$AJ108,'Технический лист'!$I:$J,2,1)-VLOOKUP($AO108,'Технический лист'!$I:$J,2,1)),1+(1-$AU108))</f>
        <v/>
      </c>
      <c r="CG108" s="172">
        <f>MIN(IF($AU108=100%,1,1+VLOOKUP(($AJ108-$AI108-$AH108-$AG108-$AF108-$AE108*(1+CG$3))/$AJ108,'Технический лист'!$I:$J,2,1)-VLOOKUP($AO108,'Технический лист'!$I:$J,2,1)),1+(1-$AU108))</f>
        <v/>
      </c>
      <c r="CH108" s="172">
        <f>MIN(IF($AU108=100%,1,1+VLOOKUP(($AJ108-$AI108-$AH108-$AG108-$AF108-$AE108*(1+CH$3))/$AJ108,'Технический лист'!$I:$J,2,1)-VLOOKUP($AO108,'Технический лист'!$I:$J,2,1)),1+(1-$AU108))</f>
        <v/>
      </c>
      <c r="CI108" s="172">
        <f>MIN(IF($AU108=100%,1,1+VLOOKUP(($AJ108-$AI108-$AH108-$AG108-$AF108-$AE108*(1+CI$3))/$AJ108,'Технический лист'!$I:$J,2,1)-VLOOKUP($AO108,'Технический лист'!$I:$J,2,1)),1+(1-$AU108))</f>
        <v/>
      </c>
      <c r="CJ108" s="172">
        <f>MIN(IF($AU108=100%,1,1+VLOOKUP(($AJ108-$AI108-$AH108-$AG108-$AF108-$AE108*(1+CJ$3))/$AJ108,'Технический лист'!$I:$J,2,1)-VLOOKUP($AO108,'Технический лист'!$I:$J,2,1)),1+(1-$AU108))</f>
        <v/>
      </c>
      <c r="CK108" s="172">
        <f>MIN(IF($AU108=100%,1,1+VLOOKUP(($AJ108-$AI108-$AH108-$AG108-$AF108-$AE108*(1+CK$3))/$AJ108,'Технический лист'!$I:$J,2,1)-VLOOKUP($AO108,'Технический лист'!$I:$J,2,1)),1+(1-$AU108))</f>
        <v/>
      </c>
      <c r="CL108" s="172">
        <f>MIN(IF($AU108=100%,1,1+VLOOKUP(($AJ108-$AI108-$AH108-$AG108-$AF108-$AE108*(1+CL$3))/$AJ108,'Технический лист'!$I:$J,2,1)-VLOOKUP($AO108,'Технический лист'!$I:$J,2,1)),1+(1-$AU108))</f>
        <v/>
      </c>
      <c r="CM108" s="172">
        <f>MIN(IF($AU108=100%,1,1+VLOOKUP(($AJ108-$AI108-$AH108-$AG108-$AF108-$AE108*(1+CM$3))/$AJ108,'Технический лист'!$I:$J,2,1)-VLOOKUP($AO108,'Технический лист'!$I:$J,2,1)),1+(1-$AU108))</f>
        <v/>
      </c>
      <c r="CN108" s="172">
        <f>MIN(IF($AU108=100%,1,1+VLOOKUP(($AJ108-$AI108-$AH108-$AG108-$AF108-$AE108*(1+CN$3))/$AJ108,'Технический лист'!$I:$J,2,1)-VLOOKUP($AO108,'Технический лист'!$I:$J,2,1)),1+(1-$AU108))</f>
        <v/>
      </c>
      <c r="CO108" s="172">
        <f>MIN(IF($AU108=100%,1,1+VLOOKUP(($AJ108-$AI108-$AH108-$AG108-$AF108-$AE108*(1+CO$3))/$AJ108,'Технический лист'!$I:$J,2,1)-VLOOKUP($AO108,'Технический лист'!$I:$J,2,1)),1+(1-$AU108))</f>
        <v/>
      </c>
      <c r="CP108" s="172">
        <f>MIN(IF($AU108=100%,1,1+VLOOKUP(($AJ108-$AI108-$AH108-$AG108-$AF108-$AE108*(1+CP$3))/$AJ108,'Технический лист'!$I:$J,2,1)-VLOOKUP($AO108,'Технический лист'!$I:$J,2,1)),1+(1-$AU108))</f>
        <v/>
      </c>
      <c r="CQ108" s="172">
        <f>MIN(IF($AU108=100%,1,1+VLOOKUP(($AJ108-$AI108-$AH108-$AG108-$AF108-$AE108*(1+CQ$3))/$AJ108,'Технический лист'!$I:$J,2,1)-VLOOKUP($AO108,'Технический лист'!$I:$J,2,1)),1+(1-$AU108))</f>
        <v/>
      </c>
      <c r="CR108" s="172">
        <f>MIN(IF($AU108=100%,1,1+VLOOKUP(($AJ108-$AI108-$AH108-$AG108-$AF108-$AE108*(1+CR$3))/$AJ108,'Технический лист'!$I:$J,2,1)-VLOOKUP($AO108,'Технический лист'!$I:$J,2,1)),1+(1-$AU108))</f>
        <v/>
      </c>
      <c r="CS108" s="172">
        <f>MIN(IF($AU108=100%,1,1+VLOOKUP(($AJ108-$AI108-$AH108-$AG108-$AF108-$AE108*(1+CS$3))/$AJ108,'Технический лист'!$I:$J,2,1)-VLOOKUP($AO108,'Технический лист'!$I:$J,2,1)),1+(1-$AU108))</f>
        <v/>
      </c>
      <c r="CT108" s="172">
        <f>MIN(IF($AU108=100%,1,1+VLOOKUP(($AJ108-$AI108-$AH108-$AG108-$AF108-$AE108*(1+CT$3))/$AJ108,'Технический лист'!$I:$J,2,1)-VLOOKUP($AO108,'Технический лист'!$I:$J,2,1)),1+(1-$AU108))</f>
        <v/>
      </c>
      <c r="CU108" s="172">
        <f>MIN(IF($AU108=100%,1,1+VLOOKUP(($AJ108-$AI108-$AH108-$AG108-$AF108-$AE108*(1+CU$3))/$AJ108,'Технический лист'!$I:$J,2,1)-VLOOKUP($AO108,'Технический лист'!$I:$J,2,1)),1+(1-$AU108))</f>
        <v/>
      </c>
      <c r="CV108" s="172">
        <f>MIN(IF($AU108=100%,1,1+VLOOKUP(($AJ108-$AI108-$AH108-$AG108-$AF108-$AE108*(1+CV$3))/$AJ108,'Технический лист'!$I:$J,2,1)-VLOOKUP($AO108,'Технический лист'!$I:$J,2,1)),1+(1-$AU108))</f>
        <v/>
      </c>
      <c r="CW108" s="172">
        <f>MIN(IF($AU108=100%,1,1+VLOOKUP(($AJ108-$AI108-$AH108-$AG108-$AF108-$AE108*(1+CW$3))/$AJ108,'Технический лист'!$I:$J,2,1)-VLOOKUP($AO108,'Технический лист'!$I:$J,2,1)),1+(1-$AU108))</f>
        <v/>
      </c>
      <c r="CX108" s="172">
        <f>MIN(IF($AU108=100%,1,1+VLOOKUP(($AJ108-$AI108-$AH108-$AG108-$AF108-$AE108*(1+CX$3))/$AJ108,'Технический лист'!$I:$J,2,1)-VLOOKUP($AO108,'Технический лист'!$I:$J,2,1)),1+(1-$AU108))</f>
        <v/>
      </c>
      <c r="CY108" s="172">
        <f>MIN(IF($AU108=100%,1,1+VLOOKUP(($AJ108-$AI108-$AH108-$AG108-$AF108-$AE108*(1+CY$3))/$AJ108,'Технический лист'!$I:$J,2,1)-VLOOKUP($AO108,'Технический лист'!$I:$J,2,1)),1+(1-$AU108))</f>
        <v/>
      </c>
      <c r="CZ108" s="172">
        <f>MIN(IF($AU108=100%,1,1+VLOOKUP(($AJ108-$AI108-$AH108-$AG108-$AF108-$AE108*(1+CZ$3))/$AJ108,'Технический лист'!$I:$J,2,1)-VLOOKUP($AO108,'Технический лист'!$I:$J,2,1)),1+(1-$AU108))</f>
        <v/>
      </c>
      <c r="DA108" s="172">
        <f>MIN(IF($AU108=100%,1,1+VLOOKUP(($AJ108-$AI108-$AH108-$AG108-$AF108-$AE108*(1+DA$3))/$AJ108,'Технический лист'!$I:$J,2,1)-VLOOKUP($AO108,'Технический лист'!$I:$J,2,1)),1+(1-$AU108))</f>
        <v/>
      </c>
      <c r="DB108" s="172">
        <f>MIN(IF($AU108=100%,1,1+VLOOKUP(($AJ108-$AI108-$AH108-$AG108-$AF108-$AE108*(1+DB$3))/$AJ108,'Технический лист'!$I:$J,2,1)-VLOOKUP($AO108,'Технический лист'!$I:$J,2,1)),1+(1-$AU108))</f>
        <v/>
      </c>
      <c r="DC108" s="172">
        <f>MIN(IF($AU108=100%,1,1+VLOOKUP(($AJ108-$AI108-$AH108-$AG108-$AF108-$AE108*(1+DC$3))/$AJ108,'Технический лист'!$I:$J,2,1)-VLOOKUP($AO108,'Технический лист'!$I:$J,2,1)),1+(1-$AU108))</f>
        <v/>
      </c>
      <c r="DD108" s="172">
        <f>MIN(IF($AU108=100%,1,1+VLOOKUP(($AJ108-$AI108-$AH108-$AG108-$AF108-$AE108*(1+DD$3))/$AJ108,'Технический лист'!$I:$J,2,1)-VLOOKUP($AO108,'Технический лист'!$I:$J,2,1)),1+(1-$AU108))</f>
        <v/>
      </c>
      <c r="DE108" s="172">
        <f>MIN(IF($AU108=100%,1,1+VLOOKUP(($AJ108-$AI108-$AH108-$AG108-$AF108-$AE108*(1+DE$3))/$AJ108,'Технический лист'!$I:$J,2,1)-VLOOKUP($AO108,'Технический лист'!$I:$J,2,1)),1+(1-$AU108))</f>
        <v/>
      </c>
      <c r="DF108" s="172">
        <f>MIN(IF($AU108=100%,1,1+VLOOKUP(($AJ108-$AI108-$AH108-$AG108-$AF108-$AE108*(1+DF$3))/$AJ108,'Технический лист'!$I:$J,2,1)-VLOOKUP($AO108,'Технический лист'!$I:$J,2,1)),1+(1-$AU108))</f>
        <v/>
      </c>
      <c r="DG108" s="172">
        <f>MIN(IF($AU108=100%,1,1+VLOOKUP(($AJ108-$AI108-$AH108-$AG108-$AF108-$AE108*(1+DG$3))/$AJ108,'Технический лист'!$I:$J,2,1)-VLOOKUP($AO108,'Технический лист'!$I:$J,2,1)),1+(1-$AU108))</f>
        <v/>
      </c>
      <c r="DH108" s="172">
        <f>MIN(IF($AU108=100%,1,1+VLOOKUP(($AJ108-$AI108-$AH108-$AG108-$AF108-$AE108*(1+DH$3))/$AJ108,'Технический лист'!$I:$J,2,1)-VLOOKUP($AO108,'Технический лист'!$I:$J,2,1)),1+(1-$AU108))</f>
        <v/>
      </c>
      <c r="DI108" s="172">
        <f>MIN(IF($AU108=100%,1,1+VLOOKUP(($AJ108-$AI108-$AH108-$AG108-$AF108-$AE108*(1+DI$3))/$AJ108,'Технический лист'!$I:$J,2,1)-VLOOKUP($AO108,'Технический лист'!$I:$J,2,1)),1+(1-$AU108))</f>
        <v/>
      </c>
      <c r="DJ108" s="172">
        <f>MIN(IF($AU108=100%,1,1+VLOOKUP(($AJ108-$AI108-$AH108-$AG108-$AF108-$AE108*(1+DJ$3))/$AJ108,'Технический лист'!$I:$J,2,1)-VLOOKUP($AO108,'Технический лист'!$I:$J,2,1)),1+(1-$AU108))</f>
        <v/>
      </c>
      <c r="DK108" s="172">
        <f>MIN(IF($AU108=100%,1,1+VLOOKUP(($AJ108-$AI108-$AH108-$AG108-$AF108-$AE108*(1+DK$3))/$AJ108,'Технический лист'!$I:$J,2,1)-VLOOKUP($AO108,'Технический лист'!$I:$J,2,1)),1+(1-$AU108))</f>
        <v/>
      </c>
      <c r="DL108" s="172">
        <f>MIN(IF($AU108=100%,1,1+VLOOKUP(($AJ108-$AI108-$AH108-$AG108-$AF108-$AE108*(1+DL$3))/$AJ108,'Технический лист'!$I:$J,2,1)-VLOOKUP($AO108,'Технический лист'!$I:$J,2,1)),1+(1-$AU108))</f>
        <v/>
      </c>
      <c r="DM108" s="172">
        <f>MIN(IF($AU108=100%,1,1+VLOOKUP(($AJ108-$AI108-$AH108-$AG108-$AF108-$AE108*(1+DM$3))/$AJ108,'Технический лист'!$I:$J,2,1)-VLOOKUP($AO108,'Технический лист'!$I:$J,2,1)),1+(1-$AU108))</f>
        <v/>
      </c>
      <c r="DN108" s="172">
        <f>MIN(IF($AU108=100%,1,1+VLOOKUP(($AJ108-$AI108-$AH108-$AG108-$AF108-$AE108*(1+DN$3))/$AJ108,'Технический лист'!$I:$J,2,1)-VLOOKUP($AO108,'Технический лист'!$I:$J,2,1)),1+(1-$AU108))</f>
        <v/>
      </c>
      <c r="DO108" s="172">
        <f>MIN(IF($AU108=100%,1,1+VLOOKUP(($AJ108-$AI108-$AH108-$AG108-$AF108-$AE108*(1+DO$3))/$AJ108,'Технический лист'!$I:$J,2,1)-VLOOKUP($AO108,'Технический лист'!$I:$J,2,1)),1+(1-$AU108))</f>
        <v/>
      </c>
      <c r="DP108" s="172">
        <f>MIN(IF($AU108=100%,1,1+VLOOKUP(($AJ108-$AI108-$AH108-$AG108-$AF108-$AE108*(1+DP$3))/$AJ108,'Технический лист'!$I:$J,2,1)-VLOOKUP($AO108,'Технический лист'!$I:$J,2,1)),1+(1-$AU108))</f>
        <v/>
      </c>
      <c r="DQ108" s="172">
        <f>MIN(IF($AU108=100%,1,1+VLOOKUP(($AJ108-$AI108-$AH108-$AG108-$AF108-$AE108*(1+DQ$3))/$AJ108,'Технический лист'!$I:$J,2,1)-VLOOKUP($AO108,'Технический лист'!$I:$J,2,1)),1+(1-$AU108))</f>
        <v/>
      </c>
      <c r="DR108" s="172">
        <f>MIN(IF($AU108=100%,1,1+VLOOKUP(($AJ108-$AI108-$AH108-$AG108-$AF108-$AE108*(1+DR$3))/$AJ108,'Технический лист'!$I:$J,2,1)-VLOOKUP($AO108,'Технический лист'!$I:$J,2,1)),1+(1-$AU108))</f>
        <v/>
      </c>
      <c r="DS108" s="172">
        <f>MIN(IF($AU108=100%,1,1+VLOOKUP(($AJ108-$AI108-$AH108-$AG108-$AF108-$AE108*(1+DS$3))/$AJ108,'Технический лист'!$I:$J,2,1)-VLOOKUP($AO108,'Технический лист'!$I:$J,2,1)),1+(1-$AU108))</f>
        <v/>
      </c>
      <c r="DT108" s="172">
        <f>MIN(IF($AU108=100%,1,1+VLOOKUP(($AJ108-$AI108-$AH108-$AG108-$AF108-$AE108*(1+DT$3))/$AJ108,'Технический лист'!$I:$J,2,1)-VLOOKUP($AO108,'Технический лист'!$I:$J,2,1)),1+(1-$AU108))</f>
        <v/>
      </c>
      <c r="DU108" s="172">
        <f>MIN(IF($AU108=100%,1,1+VLOOKUP(($AJ108-$AI108-$AH108-$AG108-$AF108-$AE108*(1+DU$3))/$AJ108,'Технический лист'!$I:$J,2,1)-VLOOKUP($AO108,'Технический лист'!$I:$J,2,1)),1+(1-$AU108))</f>
        <v/>
      </c>
      <c r="DV108" s="172">
        <f>MIN(IF($AU108=100%,1,1+VLOOKUP(($AJ108-$AI108-$AH108-$AG108-$AF108-$AE108*(1+DV$3))/$AJ108,'Технический лист'!$I:$J,2,1)-VLOOKUP($AO108,'Технический лист'!$I:$J,2,1)),1+(1-$AU108))</f>
        <v/>
      </c>
      <c r="DW108" s="172">
        <f>MIN(IF($AU108=100%,1,1+VLOOKUP(($AJ108-$AI108-$AH108-$AG108-$AF108-$AE108*(1+DW$3))/$AJ108,'Технический лист'!$I:$J,2,1)-VLOOKUP($AO108,'Технический лист'!$I:$J,2,1)),1+(1-$AU108))</f>
        <v/>
      </c>
      <c r="DX108" s="172">
        <f>MIN(IF($AU108=100%,1,1+VLOOKUP(($AJ108-$AI108-$AH108-$AG108-$AF108-$AE108*(1+DX$3))/$AJ108,'Технический лист'!$I:$J,2,1)-VLOOKUP($AO108,'Технический лист'!$I:$J,2,1)),1+(1-$AU108))</f>
        <v/>
      </c>
      <c r="DY108" s="172">
        <f>MIN(IF($AU108=100%,1,1+VLOOKUP(($AJ108-$AI108-$AH108-$AG108-$AF108-$AE108*(1+DY$3))/$AJ108,'Технический лист'!$I:$J,2,1)-VLOOKUP($AO108,'Технический лист'!$I:$J,2,1)),1+(1-$AU108))</f>
        <v/>
      </c>
      <c r="DZ108" s="172">
        <f>MIN(IF($AU108=100%,1,1+VLOOKUP(($AJ108-$AI108-$AH108-$AG108-$AF108-$AE108*(1+DZ$3))/$AJ108,'Технический лист'!$I:$J,2,1)-VLOOKUP($AO108,'Технический лист'!$I:$J,2,1)),1+(1-$AU108))</f>
        <v/>
      </c>
      <c r="EA108" s="172">
        <f>MIN(IF($AU108=100%,1,1+VLOOKUP(($AJ108-$AI108-$AH108-$AG108-$AF108-$AE108*(1+EA$3))/$AJ108,'Технический лист'!$I:$J,2,1)-VLOOKUP($AO108,'Технический лист'!$I:$J,2,1)),1+(1-$AU108))</f>
        <v/>
      </c>
      <c r="EB108" s="172">
        <f>MIN(IF($AU108=100%,1,1+VLOOKUP(($AJ108-$AI108-$AH108-$AG108-$AF108-$AE108*(1+EB$3))/$AJ108,'Технический лист'!$I:$J,2,1)-VLOOKUP($AO108,'Технический лист'!$I:$J,2,1)),1+(1-$AU108))</f>
        <v/>
      </c>
      <c r="EC108" s="172">
        <f>MIN(IF($AU108=100%,1,1+VLOOKUP(($AJ108-$AI108-$AH108-$AG108-$AF108-$AE108*(1+EC$3))/$AJ108,'Технический лист'!$I:$J,2,1)-VLOOKUP($AO108,'Технический лист'!$I:$J,2,1)),1+(1-$AU108))</f>
        <v/>
      </c>
      <c r="ED108" s="172">
        <f>MIN(IF($AU108=100%,1,1+VLOOKUP(($AJ108-$AI108-$AH108-$AG108-$AF108-$AE108*(1+ED$3))/$AJ108,'Технический лист'!$I:$J,2,1)-VLOOKUP($AO108,'Технический лист'!$I:$J,2,1)),1+(1-$AU108))</f>
        <v/>
      </c>
      <c r="EE108" s="172">
        <f>MIN(IF($AU108=100%,1,1+VLOOKUP(($AJ108-$AI108-$AH108-$AG108-$AF108-$AE108*(1+EE$3))/$AJ108,'Технический лист'!$I:$J,2,1)-VLOOKUP($AO108,'Технический лист'!$I:$J,2,1)),1+(1-$AU108))</f>
        <v/>
      </c>
      <c r="EF108" s="172">
        <f>MIN(IF($AU108=100%,1,1+VLOOKUP(($AJ108-$AI108-$AH108-$AG108-$AF108-$AE108*(1+EF$3))/$AJ108,'Технический лист'!$I:$J,2,1)-VLOOKUP($AO108,'Технический лист'!$I:$J,2,1)),1+(1-$AU108))</f>
        <v/>
      </c>
      <c r="EG108" s="172">
        <f>MIN(IF($AU108=100%,1,1+VLOOKUP(($AJ108-$AI108-$AH108-$AG108-$AF108-$AE108*(1+EG$3))/$AJ108,'Технический лист'!$I:$J,2,1)-VLOOKUP($AO108,'Технический лист'!$I:$J,2,1)),1+(1-$AU108))</f>
        <v/>
      </c>
      <c r="EH108" s="172">
        <f>MIN(IF($AU108=100%,1,1+VLOOKUP(($AJ108-$AI108-$AH108-$AG108-$AF108-$AE108*(1+EH$3))/$AJ108,'Технический лист'!$I:$J,2,1)-VLOOKUP($AO108,'Технический лист'!$I:$J,2,1)),1+(1-$AU108))</f>
        <v/>
      </c>
      <c r="EI108" s="172">
        <f>MIN(IF($AU108=100%,1,1+VLOOKUP(($AJ108-$AI108-$AH108-$AG108-$AF108-$AE108*(1+EI$3))/$AJ108,'Технический лист'!$I:$J,2,1)-VLOOKUP($AO108,'Технический лист'!$I:$J,2,1)),1+(1-$AU108))</f>
        <v/>
      </c>
      <c r="EJ108" s="172">
        <f>MIN(IF($AU108=100%,1,1+VLOOKUP(($AJ108-$AI108-$AH108-$AG108-$AF108-$AE108*(1+EJ$3))/$AJ108,'Технический лист'!$I:$J,2,1)-VLOOKUP($AO108,'Технический лист'!$I:$J,2,1)),1+(1-$AU108))</f>
        <v/>
      </c>
      <c r="EK108" s="172">
        <f>MIN(IF($AU108=100%,1,1+VLOOKUP(($AJ108-$AI108-$AH108-$AG108-$AF108-$AE108*(1+EK$3))/$AJ108,'Технический лист'!$I:$J,2,1)-VLOOKUP($AO108,'Технический лист'!$I:$J,2,1)),1+(1-$AU108))</f>
        <v/>
      </c>
      <c r="EL108" s="172">
        <f>MIN(IF($AU108=100%,1,1+VLOOKUP(($AJ108-$AI108-$AH108-$AG108-$AF108-$AE108*(1+EL$3))/$AJ108,'Технический лист'!$I:$J,2,1)-VLOOKUP($AO108,'Технический лист'!$I:$J,2,1)),1+(1-$AU108))</f>
        <v/>
      </c>
      <c r="EM108" s="172">
        <f>MIN(IF($AU108=100%,1,1+VLOOKUP(($AJ108-$AI108-$AH108-$AG108-$AF108-$AE108*(1+EM$3))/$AJ108,'Технический лист'!$I:$J,2,1)-VLOOKUP($AO108,'Технический лист'!$I:$J,2,1)),1+(1-$AU108))</f>
        <v/>
      </c>
      <c r="EN108" s="172">
        <f>MIN(IF($AU108=100%,1,1+VLOOKUP(($AJ108-$AI108-$AH108-$AG108-$AF108-$AE108*(1+EN$3))/$AJ108,'Технический лист'!$I:$J,2,1)-VLOOKUP($AO108,'Технический лист'!$I:$J,2,1)),1+(1-$AU108))</f>
        <v/>
      </c>
      <c r="EO108" s="172">
        <f>MIN(IF($AU108=100%,1,1+VLOOKUP(($AJ108-$AI108-$AH108-$AG108-$AF108-$AE108*(1+EO$3))/$AJ108,'Технический лист'!$I:$J,2,1)-VLOOKUP($AO108,'Технический лист'!$I:$J,2,1)),1+(1-$AU108))</f>
        <v/>
      </c>
      <c r="EP108" s="172">
        <f>MIN(IF($AU108=100%,1,1+VLOOKUP(($AJ108-$AI108-$AH108-$AG108-$AF108-$AE108*(1+EP$3))/$AJ108,'Технический лист'!$I:$J,2,1)-VLOOKUP($AO108,'Технический лист'!$I:$J,2,1)),1+(1-$AU108))</f>
        <v/>
      </c>
      <c r="EQ108" s="172">
        <f>MIN(IF($AU108=100%,1,1+VLOOKUP(($AJ108-$AI108-$AH108-$AG108-$AF108-$AE108*(1+EQ$3))/$AJ108,'Технический лист'!$I:$J,2,1)-VLOOKUP($AO108,'Технический лист'!$I:$J,2,1)),1+(1-$AU108))</f>
        <v/>
      </c>
      <c r="ER108" s="172">
        <f>MIN(IF($AU108=100%,1,1+VLOOKUP(($AJ108-$AI108-$AH108-$AG108-$AF108-$AE108*(1+ER$3))/$AJ108,'Технический лист'!$I:$J,2,1)-VLOOKUP($AO108,'Технический лист'!$I:$J,2,1)),1+(1-$AU108))</f>
        <v/>
      </c>
      <c r="ES108" s="172">
        <f>MIN(IF($AU108=100%,1,1+VLOOKUP(($AJ108-$AI108-$AH108-$AG108-$AF108-$AE108*(1+ES$3))/$AJ108,'Технический лист'!$I:$J,2,1)-VLOOKUP($AO108,'Технический лист'!$I:$J,2,1)),1+(1-$AU108))</f>
        <v/>
      </c>
      <c r="ET108" s="172">
        <f>MIN(IF($AU108=100%,1,1+VLOOKUP(($AJ108-$AI108-$AH108-$AG108-$AF108-$AE108*(1+ET$3))/$AJ108,'Технический лист'!$I:$J,2,1)-VLOOKUP($AO108,'Технический лист'!$I:$J,2,1)),1+(1-$AU108))</f>
        <v/>
      </c>
      <c r="EU108" s="172">
        <f>MIN(IF($AU108=100%,1,1+VLOOKUP(($AJ108-$AI108-$AH108-$AG108-$AF108-$AE108*(1+EU$3))/$AJ108,'Технический лист'!$I:$J,2,1)-VLOOKUP($AO108,'Технический лист'!$I:$J,2,1)),1+(1-$AU108))</f>
        <v/>
      </c>
      <c r="EV108" s="173" t="n">
        <v>1</v>
      </c>
      <c r="EW108" s="172">
        <f>MIN(1,MAX(VLOOKUP(($AJ108-$AI108-$AH108-$AG108-$AF108-$AE108*(1+EW$3))/$AJ108,'Технический лист'!$A:$B,2,1),(EV108-0.05)))</f>
        <v/>
      </c>
      <c r="EX108" s="172">
        <f>MIN(1,MAX(VLOOKUP(($AJ108-$AI108-$AH108-$AG108-$AF108-$AE108*(1+EX$3))/$AJ108,'Технический лист'!$A:$B,2,1),(EW108-0.05)))</f>
        <v/>
      </c>
      <c r="EY108" s="172">
        <f>MIN(1,MAX(VLOOKUP(($AJ108-$AI108-$AH108-$AG108-$AF108-$AE108*(1+EY$3))/$AJ108,'Технический лист'!$A:$B,2,1),(EX108-0.05)))</f>
        <v/>
      </c>
      <c r="EZ108" s="172">
        <f>MIN(1,MAX(VLOOKUP(($AJ108-$AI108-$AH108-$AG108-$AF108-$AE108*(1+EZ$3))/$AJ108,'Технический лист'!$A:$B,2,1),(EY108-0.05)))</f>
        <v/>
      </c>
      <c r="FA108" s="172">
        <f>MIN(1,MAX(VLOOKUP(($AJ108-$AI108-$AH108-$AG108-$AF108-$AE108*(1+FA$3))/$AJ108,'Технический лист'!$A:$B,2,1),(EZ108-0.05)))</f>
        <v/>
      </c>
      <c r="FB108" s="172">
        <f>MIN(1,MAX(VLOOKUP(($AJ108-$AI108-$AH108-$AG108-$AF108-$AE108*(1+FB$3))/$AJ108,'Технический лист'!$A:$B,2,1),(FA108-0.05)))</f>
        <v/>
      </c>
      <c r="FC108" s="172">
        <f>MIN(1,MAX(VLOOKUP(($AJ108-$AI108-$AH108-$AG108-$AF108-$AE108*(1+FC$3))/$AJ108,'Технический лист'!$A:$B,2,1),(FB108-0.05)))</f>
        <v/>
      </c>
      <c r="FD108" s="172">
        <f>MIN(1,MAX(VLOOKUP(($AJ108-$AI108-$AH108-$AG108-$AF108-$AE108*(1+FD$3))/$AJ108,'Технический лист'!$A:$B,2,1),(FC108-0.05)))</f>
        <v/>
      </c>
      <c r="FE108" s="172">
        <f>MIN(1,MAX(VLOOKUP(($AJ108-$AI108-$AH108-$AG108-$AF108-$AE108*(1+FE$3))/$AJ108,'Технический лист'!$A:$B,2,1),(FD108-0.05)))</f>
        <v/>
      </c>
      <c r="FF108" s="172">
        <f>MIN(1,MAX(VLOOKUP(($AJ108-$AI108-$AH108-$AG108-$AF108-$AE108*(1+FF$3))/$AJ108,'Технический лист'!$A:$B,2,1),(FE108-0.05)))</f>
        <v/>
      </c>
      <c r="FG108" s="172">
        <f>MIN(1,MAX(VLOOKUP(($AJ108-$AI108-$AH108-$AG108-$AF108-$AE108*(1+FG$3))/$AJ108,'Технический лист'!$A:$B,2,1),(FF108-0.05)))</f>
        <v/>
      </c>
      <c r="FH108" s="172">
        <f>MIN(1,MAX(VLOOKUP(($AJ108-$AI108-$AH108-$AG108-$AF108-$AE108*(1+FH$3))/$AJ108,'Технический лист'!$A:$B,2,1),(FG108-0.05)))</f>
        <v/>
      </c>
      <c r="FI108" s="172">
        <f>MIN(1,MAX(VLOOKUP(($AJ108-$AI108-$AH108-$AG108-$AF108-$AE108*(1+FI$3))/$AJ108,'Технический лист'!$A:$B,2,1),(FH108-0.05)))</f>
        <v/>
      </c>
      <c r="FJ108" s="172">
        <f>MIN(1,MAX(VLOOKUP(($AJ108-$AI108-$AH108-$AG108-$AF108-$AE108*(1+FJ$3))/$AJ108,'Технический лист'!$A:$B,2,1),(FI108-0.05)))</f>
        <v/>
      </c>
      <c r="FK108" s="172">
        <f>MIN(1,MAX(VLOOKUP(($AJ108-$AI108-$AH108-$AG108-$AF108-$AE108*(1+FK$3))/$AJ108,'Технический лист'!$A:$B,2,1),(FJ108-0.05)))</f>
        <v/>
      </c>
      <c r="FL108" s="172">
        <f>MIN(1,MAX(VLOOKUP(($AJ108-$AI108-$AH108-$AG108-$AF108-$AE108*(1+FL$3))/$AJ108,'Технический лист'!$A:$B,2,1),(FK108-0.05)))</f>
        <v/>
      </c>
      <c r="FM108" s="172">
        <f>MIN(1,MAX(VLOOKUP(($AJ108-$AI108-$AH108-$AG108-$AF108-$AE108*(1+FM$3))/$AJ108,'Технический лист'!$A:$B,2,1),(FL108-0.05)))</f>
        <v/>
      </c>
      <c r="FN108" s="172">
        <f>MIN(1,MAX(VLOOKUP(($AJ108-$AI108-$AH108-$AG108-$AF108-$AE108*(1+FN$3))/$AJ108,'Технический лист'!$A:$B,2,1),(FM108-0.05)))</f>
        <v/>
      </c>
      <c r="FO108" s="172">
        <f>MIN(1,MAX(VLOOKUP(($AJ108-$AI108-$AH108-$AG108-$AF108-$AE108*(1+FO$3))/$AJ108,'Технический лист'!$A:$B,2,1),(FN108-0.05)))</f>
        <v/>
      </c>
      <c r="FP108" s="172">
        <f>MIN(1,MAX(VLOOKUP(($AJ108-$AI108-$AH108-$AG108-$AF108-$AE108*(1+FP$3))/$AJ108,'Технический лист'!$A:$B,2,1),(FO108-0.05)))</f>
        <v/>
      </c>
      <c r="FQ108" s="172">
        <f>MIN(1,MAX(VLOOKUP(($AJ108-$AI108-$AH108-$AG108-$AF108-$AE108*(1+FQ$3))/$AJ108,'Технический лист'!$A:$B,2,1),(FP108-0.05)))</f>
        <v/>
      </c>
      <c r="FR108" s="172">
        <f>MIN(1,MAX(VLOOKUP(($AJ108-$AI108-$AH108-$AG108-$AF108-$AE108*(1+FR$3))/$AJ108,'Технический лист'!$A:$B,2,1),(FQ108-0.05)))</f>
        <v/>
      </c>
      <c r="FS108" s="172">
        <f>MIN(1,MAX(VLOOKUP(($AJ108-$AI108-$AH108-$AG108-$AF108-$AE108*(1+FS$3))/$AJ108,'Технический лист'!$A:$B,2,1),(FR108-0.05)))</f>
        <v/>
      </c>
      <c r="FT108" s="172">
        <f>MIN(1,MAX(VLOOKUP(($AJ108-$AI108-$AH108-$AG108-$AF108-$AE108*(1+FT$3))/$AJ108,'Технический лист'!$A:$B,2,1),(FS108-0.05)))</f>
        <v/>
      </c>
      <c r="FU108" s="172">
        <f>MIN(1,MAX(VLOOKUP(($AJ108-$AI108-$AH108-$AG108-$AF108-$AE108*(1+FU$3))/$AJ108,'Технический лист'!$A:$B,2,1),(FT108-0.05)))</f>
        <v/>
      </c>
      <c r="FV108" s="172">
        <f>MIN(1,MAX(VLOOKUP(($AJ108-$AI108-$AH108-$AG108-$AF108-$AE108*(1+FV$3))/$AJ108,'Технический лист'!$A:$B,2,1),(FU108-0.05)))</f>
        <v/>
      </c>
      <c r="FW108" s="172">
        <f>MIN(1,MAX(VLOOKUP(($AJ108-$AI108-$AH108-$AG108-$AF108-$AE108*(1+FW$3))/$AJ108,'Технический лист'!$A:$B,2,1),(FV108-0.05)))</f>
        <v/>
      </c>
      <c r="FX108" s="172">
        <f>MIN(1,MAX(VLOOKUP(($AJ108-$AI108-$AH108-$AG108-$AF108-$AE108*(1+FX$3))/$AJ108,'Технический лист'!$A:$B,2,1),(FW108-0.05)))</f>
        <v/>
      </c>
      <c r="FY108" s="172">
        <f>MIN(1,MAX(VLOOKUP(($AJ108-$AI108-$AH108-$AG108-$AF108-$AE108*(1+FY$3))/$AJ108,'Технический лист'!$A:$B,2,1),(FX108-0.05)))</f>
        <v/>
      </c>
      <c r="FZ108" s="172">
        <f>MIN(1,MAX(VLOOKUP(($AJ108-$AI108-$AH108-$AG108-$AF108-$AE108*(1+FZ$3))/$AJ108,'Технический лист'!$A:$B,2,1),(FY108-0.05)))</f>
        <v/>
      </c>
      <c r="GA108" s="172">
        <f>MIN(1,MAX(VLOOKUP(($AJ108-$AI108-$AH108-$AG108-$AF108-$AE108*(1+GA$3))/$AJ108,'Технический лист'!$A:$B,2,1),(FZ108-0.05)))</f>
        <v/>
      </c>
      <c r="GB108" s="172">
        <f>MIN(1,MAX(VLOOKUP(($AJ108-$AI108-$AH108-$AG108-$AF108-$AE108*(1+GB$3))/$AJ108,'Технический лист'!$A:$B,2,1),(GA108-0.05)))</f>
        <v/>
      </c>
      <c r="GC108" s="172">
        <f>MIN(1,MAX(VLOOKUP(($AJ108-$AI108-$AH108-$AG108-$AF108-$AE108*(1+GC$3))/$AJ108,'Технический лист'!$A:$B,2,1),(GB108-0.05)))</f>
        <v/>
      </c>
      <c r="GD108" s="172">
        <f>MIN(1,MAX(VLOOKUP(($AJ108-$AI108-$AH108-$AG108-$AF108-$AE108*(1+GD$3))/$AJ108,'Технический лист'!$A:$B,2,1),(GC108-0.05)))</f>
        <v/>
      </c>
      <c r="GE108" s="172">
        <f>MIN(1,MAX(VLOOKUP(($AJ108-$AI108-$AH108-$AG108-$AF108-$AE108*(1+GE$3))/$AJ108,'Технический лист'!$A:$B,2,1),(GD108-0.05)))</f>
        <v/>
      </c>
      <c r="GF108" s="172">
        <f>MIN(1,MAX(VLOOKUP(($AJ108-$AI108-$AH108-$AG108-$AF108-$AE108*(1+GF$3))/$AJ108,'Технический лист'!$A:$B,2,1),(GE108-0.05)))</f>
        <v/>
      </c>
      <c r="GG108" s="172">
        <f>MIN(1,MAX(VLOOKUP(($AJ108-$AI108-$AH108-$AG108-$AF108-$AE108*(1+GG$3))/$AJ108,'Технический лист'!$A:$B,2,1),(GF108-0.05)))</f>
        <v/>
      </c>
      <c r="GH108" s="172">
        <f>MIN(1,MAX(VLOOKUP(($AJ108-$AI108-$AH108-$AG108-$AF108-$AE108*(1+GH$3))/$AJ108,'Технический лист'!$A:$B,2,1),(GG108-0.05)))</f>
        <v/>
      </c>
      <c r="GI108" s="172">
        <f>MIN(1,MAX(VLOOKUP(($AJ108-$AI108-$AH108-$AG108-$AF108-$AE108*(1+GI$3))/$AJ108,'Технический лист'!$A:$B,2,1),(GH108-0.05)))</f>
        <v/>
      </c>
      <c r="GJ108" s="172">
        <f>MIN(1,MAX(VLOOKUP(($AJ108-$AI108-$AH108-$AG108-$AF108-$AE108*(1+GJ$3))/$AJ108,'Технический лист'!$A:$B,2,1),(GI108-0.05)))</f>
        <v/>
      </c>
      <c r="GK108" s="172">
        <f>MIN(1,MAX(VLOOKUP(($AJ108-$AI108-$AH108-$AG108-$AF108-$AE108*(1+GK$3))/$AJ108,'Технический лист'!$A:$B,2,1),(GJ108-0.05)))</f>
        <v/>
      </c>
      <c r="GL108" s="172">
        <f>MIN(1,MAX(VLOOKUP(($AJ108-$AI108-$AH108-$AG108-$AF108-$AE108*(1+GL$3))/$AJ108,'Технический лист'!$A:$B,2,1),(GK108-0.05)))</f>
        <v/>
      </c>
      <c r="GM108" s="172">
        <f>MIN(1,MAX(VLOOKUP(($AJ108-$AI108-$AH108-$AG108-$AF108-$AE108*(1+GM$3))/$AJ108,'Технический лист'!$A:$B,2,1),(GL108-0.05)))</f>
        <v/>
      </c>
      <c r="GN108" s="172">
        <f>MIN(1,MAX(VLOOKUP(($AJ108-$AI108-$AH108-$AG108-$AF108-$AE108*(1+GN$3))/$AJ108,'Технический лист'!$A:$B,2,1),(GM108-0.05)))</f>
        <v/>
      </c>
      <c r="GO108" s="172">
        <f>MIN(1,MAX(VLOOKUP(($AJ108-$AI108-$AH108-$AG108-$AF108-$AE108*(1+GO$3))/$AJ108,'Технический лист'!$A:$B,2,1),(GN108-0.05)))</f>
        <v/>
      </c>
      <c r="GP108" s="172">
        <f>MIN(1,MAX(VLOOKUP(($AJ108-$AI108-$AH108-$AG108-$AF108-$AE108*(1+GP$3))/$AJ108,'Технический лист'!$A:$B,2,1),(GO108-0.05)))</f>
        <v/>
      </c>
      <c r="GQ108" s="172">
        <f>MIN(1,MAX(VLOOKUP(($AJ108-$AI108-$AH108-$AG108-$AF108-$AE108*(1+GQ$3))/$AJ108,'Технический лист'!$A:$B,2,1),(GP108-0.05)))</f>
        <v/>
      </c>
      <c r="GR108" s="172">
        <f>MIN(1,MAX(VLOOKUP(($AJ108-$AI108-$AH108-$AG108-$AF108-$AE108*(1+GR$3))/$AJ108,'Технический лист'!$A:$B,2,1),(GQ108-0.05)))</f>
        <v/>
      </c>
      <c r="GS108" s="172">
        <f>MIN(1,MAX(VLOOKUP(($AJ108-$AI108-$AH108-$AG108-$AF108-$AE108*(1+GS$3))/$AJ108,'Технический лист'!$A:$B,2,1),(GR108-0.05)))</f>
        <v/>
      </c>
      <c r="GT108" s="172">
        <f>MIN(1,MAX(VLOOKUP(($AJ108-$AI108-$AH108-$AG108-$AF108-$AE108*(1+GT$3))/$AJ108,'Технический лист'!$A:$B,2,1),(GS108-0.05)))</f>
        <v/>
      </c>
      <c r="GU108" s="172">
        <f>MIN(1,MAX(VLOOKUP(($AJ108-$AI108-$AH108-$AG108-$AF108-$AE108*(1+GU$3))/$AJ108,'Технический лист'!$A:$B,2,1),(GT108-0.05)))</f>
        <v/>
      </c>
      <c r="GV108" s="172">
        <f>MIN(1,MAX(VLOOKUP(($AJ108-$AI108-$AH108-$AG108-$AF108-$AE108*(1+GV$3))/$AJ108,'Технический лист'!$A:$B,2,1),(GU108-0.05)))</f>
        <v/>
      </c>
      <c r="GW108" s="172">
        <f>MIN(1,MAX(VLOOKUP(($AJ108-$AI108-$AH108-$AG108-$AF108-$AE108*(1+GW$3))/$AJ108,'Технический лист'!$A:$B,2,1),(GV108-0.05)))</f>
        <v/>
      </c>
      <c r="GX108" s="172">
        <f>MIN(1,MAX(VLOOKUP(($AJ108-$AI108-$AH108-$AG108-$AF108-$AE108*(1+GX$3))/$AJ108,'Технический лист'!$A:$B,2,1),(GW108-0.05)))</f>
        <v/>
      </c>
      <c r="GY108" s="172">
        <f>MIN(1,MAX(VLOOKUP(($AJ108-$AI108-$AH108-$AG108-$AF108-$AE108*(1+GY$3))/$AJ108,'Технический лист'!$A:$B,2,1),(GX108-0.05)))</f>
        <v/>
      </c>
      <c r="GZ108" s="172">
        <f>MIN(1,MAX(VLOOKUP(($AJ108-$AI108-$AH108-$AG108-$AF108-$AE108*(1+GZ$3))/$AJ108,'Технический лист'!$A:$B,2,1),(GY108-0.05)))</f>
        <v/>
      </c>
      <c r="HA108" s="172">
        <f>MIN(1,MAX(VLOOKUP(($AJ108-$AI108-$AH108-$AG108-$AF108-$AE108*(1+HA$3))/$AJ108,'Технический лист'!$A:$B,2,1),(GZ108-0.05)))</f>
        <v/>
      </c>
      <c r="HB108" s="172">
        <f>MIN(1,MAX(VLOOKUP(($AJ108-$AI108-$AH108-$AG108-$AF108-$AE108*(1+HB$3))/$AJ108,'Технический лист'!$A:$B,2,1),(HA108-0.05)))</f>
        <v/>
      </c>
      <c r="HC108" s="172">
        <f>MIN(1,MAX(VLOOKUP(($AJ108-$AI108-$AH108-$AG108-$AF108-$AE108*(1+HC$3))/$AJ108,'Технический лист'!$A:$B,2,1),(HB108-0.05)))</f>
        <v/>
      </c>
      <c r="HD108" s="172">
        <f>MIN(1,MAX(VLOOKUP(($AJ108-$AI108-$AH108-$AG108-$AF108-$AE108*(1+HD$3))/$AJ108,'Технический лист'!$A:$B,2,1),(HC108-0.05)))</f>
        <v/>
      </c>
      <c r="HE108" s="172">
        <f>MIN(1,MAX(VLOOKUP(($AJ108-$AI108-$AH108-$AG108-$AF108-$AE108*(1+HE$3))/$AJ108,'Технический лист'!$A:$B,2,1),(HD108-0.05)))</f>
        <v/>
      </c>
      <c r="HF108" s="172">
        <f>MIN(1,MAX(VLOOKUP(($AJ108-$AI108-$AH108-$AG108-$AF108-$AE108*(1+HF$3))/$AJ108,'Технический лист'!$A:$B,2,1),(HE108-0.05)))</f>
        <v/>
      </c>
      <c r="HG108" s="172">
        <f>MIN(1,MAX(VLOOKUP(($AJ108-$AI108-$AH108-$AG108-$AF108-$AE108*(1+HG$3))/$AJ108,'Технический лист'!$A:$B,2,1),(HF108-0.05)))</f>
        <v/>
      </c>
      <c r="HH108" s="172">
        <f>MIN(1,MAX(VLOOKUP(($AJ108-$AI108-$AH108-$AG108-$AF108-$AE108*(1+HH$3))/$AJ108,'Технический лист'!$A:$B,2,1),(HG108-0.05)))</f>
        <v/>
      </c>
      <c r="HI108" s="172">
        <f>MIN(1,MAX(VLOOKUP(($AJ108-$AI108-$AH108-$AG108-$AF108-$AE108*(1+HI$3))/$AJ108,'Технический лист'!$A:$B,2,1),(HH108-0.05)))</f>
        <v/>
      </c>
      <c r="HJ108" s="172">
        <f>MIN(1,MAX(VLOOKUP(($AJ108-$AI108-$AH108-$AG108-$AF108-$AE108*(1+HJ$3))/$AJ108,'Технический лист'!$A:$B,2,1),(HI108-0.05)))</f>
        <v/>
      </c>
      <c r="HK108" s="172">
        <f>MIN(1,MAX(VLOOKUP(($AJ108-$AI108-$AH108-$AG108-$AF108-$AE108*(1+HK$3))/$AJ108,'Технический лист'!$A:$B,2,1),(HJ108-0.05)))</f>
        <v/>
      </c>
      <c r="HL108" s="172">
        <f>MIN(1,MAX(VLOOKUP(($AJ108-$AI108-$AH108-$AG108-$AF108-$AE108*(1+HL$3))/$AJ108,'Технический лист'!$A:$B,2,1),(HK108-0.05)))</f>
        <v/>
      </c>
      <c r="HM108" s="172">
        <f>MIN(1,MAX(VLOOKUP(($AJ108-$AI108-$AH108-$AG108-$AF108-$AE108*(1+HM$3))/$AJ108,'Технический лист'!$A:$B,2,1),(HL108-0.05)))</f>
        <v/>
      </c>
      <c r="HN108" s="172">
        <f>MIN(1,MAX(VLOOKUP(($AJ108-$AI108-$AH108-$AG108-$AF108-$AE108*(1+HN$3))/$AJ108,'Технический лист'!$A:$B,2,1),(HM108-0.05)))</f>
        <v/>
      </c>
      <c r="HO108" s="172">
        <f>MIN(1,MAX(VLOOKUP(($AJ108-$AI108-$AH108-$AG108-$AF108-$AE108*(1+HO$3))/$AJ108,'Технический лист'!$A:$B,2,1),(HN108-0.05)))</f>
        <v/>
      </c>
      <c r="HP108" s="172">
        <f>MIN(1,MAX(VLOOKUP(($AJ108-$AI108-$AH108-$AG108-$AF108-$AE108*(1+HP$3))/$AJ108,'Технический лист'!$A:$B,2,1),(HO108-0.05)))</f>
        <v/>
      </c>
      <c r="HQ108" s="172">
        <f>MIN(1,MAX(VLOOKUP(($AJ108-$AI108-$AH108-$AG108-$AF108-$AE108*(1+HQ$3))/$AJ108,'Технический лист'!$A:$B,2,1),(HP108-0.05)))</f>
        <v/>
      </c>
      <c r="HR108" s="172">
        <f>MIN(1,MAX(VLOOKUP(($AJ108-$AI108-$AH108-$AG108-$AF108-$AE108*(1+HR$3))/$AJ108,'Технический лист'!$A:$B,2,1),(HQ108-0.05)))</f>
        <v/>
      </c>
      <c r="HS108" s="172">
        <f>MIN(1,MAX(VLOOKUP(($AJ108-$AI108-$AH108-$AG108-$AF108-$AE108*(1+HS$3))/$AJ108,'Технический лист'!$A:$B,2,1),(HR108-0.05)))</f>
        <v/>
      </c>
      <c r="HT108" s="172">
        <f>MIN(1,MAX(VLOOKUP(($AJ108-$AI108-$AH108-$AG108-$AF108-$AE108*(1+HT$3))/$AJ108,'Технический лист'!$A:$B,2,1),(HS108-0.05)))</f>
        <v/>
      </c>
      <c r="HU108" s="172">
        <f>MIN(1,MAX(VLOOKUP(($AJ108-$AI108-$AH108-$AG108-$AF108-$AE108*(1+HU$3))/$AJ108,'Технический лист'!$A:$B,2,1),(HT108-0.05)))</f>
        <v/>
      </c>
      <c r="HV108" s="172">
        <f>MIN(1,MAX(VLOOKUP(($AJ108-$AI108-$AH108-$AG108-$AF108-$AE108*(1+HV$3))/$AJ108,'Технический лист'!$A:$B,2,1),(HU108-0.05)))</f>
        <v/>
      </c>
      <c r="HW108" s="172">
        <f>MIN(1,MAX(VLOOKUP(($AJ108-$AI108-$AH108-$AG108-$AF108-$AE108*(1+HW$3))/$AJ108,'Технический лист'!$A:$B,2,1),(HV108-0.05)))</f>
        <v/>
      </c>
      <c r="HX108" s="172">
        <f>MIN(1,MAX(VLOOKUP(($AJ108-$AI108-$AH108-$AG108-$AF108-$AE108*(1+HX$3))/$AJ108,'Технический лист'!$A:$B,2,1),(HW108-0.05)))</f>
        <v/>
      </c>
      <c r="HY108" s="172">
        <f>MIN(1,MAX(VLOOKUP(($AJ108-$AI108-$AH108-$AG108-$AF108-$AE108*(1+HY$3))/$AJ108,'Технический лист'!$A:$B,2,1),(HX108-0.05)))</f>
        <v/>
      </c>
      <c r="HZ108" s="172">
        <f>MIN(1,MAX(VLOOKUP(($AJ108-$AI108-$AH108-$AG108-$AF108-$AE108*(1+HZ$3))/$AJ108,'Технический лист'!$A:$B,2,1),(HY108-0.05)))</f>
        <v/>
      </c>
      <c r="IA108" s="172">
        <f>MIN(1,MAX(VLOOKUP(($AJ108-$AI108-$AH108-$AG108-$AF108-$AE108*(1+IA$3))/$AJ108,'Технический лист'!$A:$B,2,1),(HZ108-0.05)))</f>
        <v/>
      </c>
      <c r="IB108" s="172">
        <f>MIN(1,MAX(VLOOKUP(($AJ108-$AI108-$AH108-$AG108-$AF108-$AE108*(1+IB$3))/$AJ108,'Технический лист'!$A:$B,2,1),(IA108-0.05)))</f>
        <v/>
      </c>
      <c r="IC108" s="172">
        <f>MIN(1,MAX(VLOOKUP(($AJ108-$AI108-$AH108-$AG108-$AF108-$AE108*(1+IC$3))/$AJ108,'Технический лист'!$A:$B,2,1),(IB108-0.05)))</f>
        <v/>
      </c>
      <c r="ID108" s="172">
        <f>MIN(1,MAX(VLOOKUP(($AJ108-$AI108-$AH108-$AG108-$AF108-$AE108*(1+ID$3))/$AJ108,'Технический лист'!$A:$B,2,1),(IC108-0.05)))</f>
        <v/>
      </c>
      <c r="IE108" s="172">
        <f>MIN(1,MAX(VLOOKUP(($AJ108-$AI108-$AH108-$AG108-$AF108-$AE108*(1+IE$3))/$AJ108,'Технический лист'!$A:$B,2,1),(ID108-0.05)))</f>
        <v/>
      </c>
      <c r="IF108" s="172">
        <f>MIN(1,MAX(VLOOKUP(($AJ108-$AI108-$AH108-$AG108-$AF108-$AE108*(1+IF$3))/$AJ108,'Технический лист'!$A:$B,2,1),(IE108-0.05)))</f>
        <v/>
      </c>
      <c r="IG108" s="172">
        <f>MIN(1,MAX(VLOOKUP(($AJ108-$AI108-$AH108-$AG108-$AF108-$AE108*(1+IG$3))/$AJ108,'Технический лист'!$A:$B,2,1),(IF108-0.05)))</f>
        <v/>
      </c>
      <c r="IH108" s="172">
        <f>MIN(1,MAX(VLOOKUP(($AJ108-$AI108-$AH108-$AG108-$AF108-$AE108*(1+IH$3))/$AJ108,'Технический лист'!$A:$B,2,1),(IG108-0.05)))</f>
        <v/>
      </c>
      <c r="II108" s="172">
        <f>MIN(1,MAX(VLOOKUP(($AJ108-$AI108-$AH108-$AG108-$AF108-$AE108*(1+II$3))/$AJ108,'Технический лист'!$A:$B,2,1),(IH108-0.05)))</f>
        <v/>
      </c>
      <c r="IJ108" s="172">
        <f>MIN(1,MAX(VLOOKUP(($AJ108-$AI108-$AH108-$AG108-$AF108-$AE108*(1+IJ$3))/$AJ108,'Технический лист'!$A:$B,2,1),(II108-0.05)))</f>
        <v/>
      </c>
      <c r="IK108" s="172">
        <f>MIN(1,MAX(VLOOKUP(($AJ108-$AI108-$AH108-$AG108-$AF108-$AE108*(1+IK$3))/$AJ108,'Технический лист'!$A:$B,2,1),(IJ108-0.05)))</f>
        <v/>
      </c>
      <c r="IL108" s="172">
        <f>MIN(1,MAX(VLOOKUP(($AJ108-$AI108-$AH108-$AG108-$AF108-$AE108*(1+IL$3))/$AJ108,'Технический лист'!$A:$B,2,1),(IK108-0.05)))</f>
        <v/>
      </c>
      <c r="IM108" s="172">
        <f>MIN(1,MAX(VLOOKUP(($AJ108-$AI108-$AH108-$AG108-$AF108-$AE108*(1+IM$3))/$AJ108,'Технический лист'!$A:$B,2,1),(IL108-0.05)))</f>
        <v/>
      </c>
      <c r="IN108" s="172">
        <f>MIN(1,MAX(VLOOKUP(($AJ108-$AI108-$AH108-$AG108-$AF108-$AE108*(1+IN$3))/$AJ108,'Технический лист'!$A:$B,2,1),(IM108-0.05)))</f>
        <v/>
      </c>
      <c r="IO108" s="172">
        <f>MIN(1,MAX(VLOOKUP(($AJ108-$AI108-$AH108-$AG108-$AF108-$AE108*(1+IO$3))/$AJ108,'Технический лист'!$A:$B,2,1),(IN108-0.05)))</f>
        <v/>
      </c>
      <c r="IP108" s="172">
        <f>MIN(1,MAX(VLOOKUP(($AJ108-$AI108-$AH108-$AG108-$AF108-$AE108*(1+IP$3))/$AJ108,'Технический лист'!$A:$B,2,1),(IO108-0.05)))</f>
        <v/>
      </c>
      <c r="IQ108" s="172">
        <f>MIN(1,MAX(VLOOKUP(($AJ108-$AI108-$AH108-$AG108-$AF108-$AE108*(1+IQ$3))/$AJ108,'Технический лист'!$A:$B,2,1),(IP108-0.05)))</f>
        <v/>
      </c>
      <c r="IR108" s="172">
        <f>MIN(1,MAX(VLOOKUP(($AJ108-$AI108-$AH108-$AG108-$AF108-$AE108*(1+IR$3))/$AJ108,'Технический лист'!$A:$B,2,1),(IQ108-0.05)))</f>
        <v/>
      </c>
    </row>
    <row r="109" ht="43.75" customHeight="1" s="123">
      <c r="A109" s="89" t="inlineStr">
        <is>
          <t>ЧМ (продукция)</t>
        </is>
      </c>
      <c r="B109" s="90" t="n">
        <v>5</v>
      </c>
      <c r="C109" s="5" t="inlineStr">
        <is>
          <t>Черные металлы</t>
        </is>
      </c>
      <c r="D109" s="91" t="n">
        <v>32416</v>
      </c>
      <c r="E109" s="91" t="inlineStr">
        <is>
          <t xml:space="preserve">Сталь листовая, не поименованная в алфавите </t>
        </is>
      </c>
      <c r="F109" s="92" t="inlineStr">
        <is>
          <t>ПРОЧИЕ ВИДЫ ПРОКАТА ЧЕРНЫ</t>
        </is>
      </c>
      <c r="G109" s="91" t="inlineStr">
        <is>
          <t>ЮУР</t>
        </is>
      </c>
      <c r="H109" s="91" t="inlineStr">
        <is>
          <t>ЮУР</t>
        </is>
      </c>
      <c r="I109" s="91" t="inlineStr">
        <is>
          <t>МАГНИТОГ-ГР</t>
        </is>
      </c>
      <c r="J109" s="91" t="inlineStr">
        <is>
          <t>ЧЕЛЯБИНСК-ЮЖ</t>
        </is>
      </c>
      <c r="K109" s="91" t="n">
        <v>404</v>
      </c>
      <c r="L109" s="91" t="inlineStr">
        <is>
          <t>Полувагоны</t>
        </is>
      </c>
      <c r="M109" s="91" t="inlineStr">
        <is>
          <t>Внутр. перевозки</t>
        </is>
      </c>
      <c r="N109" s="91" t="inlineStr">
        <is>
          <t>вагонная</t>
        </is>
      </c>
      <c r="O109" s="91" t="inlineStr">
        <is>
          <t xml:space="preserve">Южное </t>
        </is>
      </c>
      <c r="P109" s="89" t="inlineStr">
        <is>
          <t>'000000186424</t>
        </is>
      </c>
      <c r="Q109" s="91" t="inlineStr">
        <is>
          <t>'ПАО "ММК"</t>
        </is>
      </c>
      <c r="R109" s="91" t="inlineStr">
        <is>
          <t>ПАО "ММК"</t>
        </is>
      </c>
      <c r="S109" s="87" t="n">
        <v>195669</v>
      </c>
      <c r="T109" s="87" t="n">
        <v>79050875</v>
      </c>
      <c r="U109" s="88" t="n">
        <v>3150</v>
      </c>
      <c r="V109" s="88" t="n">
        <v>0</v>
      </c>
      <c r="W109" s="87" t="n">
        <v>236796577</v>
      </c>
      <c r="X109" s="112" t="n">
        <v>62</v>
      </c>
      <c r="Y109" s="112" t="inlineStr">
        <is>
          <t>повагонная</t>
        </is>
      </c>
      <c r="Z109" s="113" t="n">
        <v>5</v>
      </c>
      <c r="AA109" s="113" t="n">
        <v>4</v>
      </c>
      <c r="AB109" s="113" t="n">
        <v>4</v>
      </c>
      <c r="AC109" s="161" t="n">
        <v>1508.81</v>
      </c>
      <c r="AD109" s="161">
        <f>AE109-AC109</f>
        <v/>
      </c>
      <c r="AE109" s="161" t="n">
        <v>1673.81</v>
      </c>
      <c r="AF109" s="162">
        <f>(Z109+AA109+AB109)*'Ставки аренды'!$B$3/X109</f>
        <v/>
      </c>
      <c r="AG109" s="163" t="n">
        <v>0</v>
      </c>
      <c r="AH109" s="164" t="n">
        <v>0</v>
      </c>
      <c r="AI109" s="174">
        <f>429559973/511416159*AVERAGE(AJ108,AJ109)</f>
        <v/>
      </c>
      <c r="AJ109" s="166">
        <f>Цены!$D$16</f>
        <v/>
      </c>
      <c r="AK109" s="164">
        <f>AJ109/Цены!$B$1</f>
        <v/>
      </c>
      <c r="AL109" s="164">
        <f>AE109+AF109+AG109</f>
        <v/>
      </c>
      <c r="AM109" s="164">
        <f>AJ109-AL109</f>
        <v/>
      </c>
      <c r="AN109" s="164">
        <f>AI109+AH109+AG109+AF109+AE109</f>
        <v/>
      </c>
      <c r="AO109" s="167">
        <f>(AJ109-AN109)/AJ109</f>
        <v/>
      </c>
      <c r="AP109" s="168">
        <f>AL109/AJ109</f>
        <v/>
      </c>
      <c r="AQ109" s="168">
        <f>AE109/AJ109</f>
        <v/>
      </c>
      <c r="AR109" s="168">
        <f>AE109/AL109</f>
        <v/>
      </c>
      <c r="AS109" s="169" t="n">
        <v>1</v>
      </c>
      <c r="AT109" s="121">
        <f>S109*AS109</f>
        <v/>
      </c>
      <c r="AU109" s="83" t="n">
        <v>0.6</v>
      </c>
      <c r="AV109" s="170">
        <f>(AJ109-(AE109*(1+$IS$2)+AF109+AG109+AH109+AI109))/AJ109</f>
        <v/>
      </c>
      <c r="AW109" s="171">
        <f>(AE109*(1+$IS$2)+AF109+AG109)/AJ109</f>
        <v/>
      </c>
      <c r="AX109" s="171">
        <f>(AE109*(1+$IS$2))/AJ109</f>
        <v/>
      </c>
      <c r="AY109" s="171">
        <f>(AE109*(1+$IS$2))/(AE109*(1+$IS$2)+AF109+AG109)</f>
        <v/>
      </c>
      <c r="AZ109" s="172">
        <f>MIN(IF($AU109=100%,1,1+VLOOKUP(($AJ109-$AI109-$AH109-$AG109-$AF109-$AE109*(1+AZ$3))/$AJ109,'Технический лист'!$I:$J,2,1)-VLOOKUP($AO109,'Технический лист'!$I:$J,2,1)),1+(1-$AU109))</f>
        <v/>
      </c>
      <c r="BA109" s="172">
        <f>MIN(IF($AU109=100%,1,1+VLOOKUP(($AJ109-$AI109-$AH109-$AG109-$AF109-$AE109*(1+BA$3))/$AJ109,'Технический лист'!$I:$J,2,1)-VLOOKUP($AO109,'Технический лист'!$I:$J,2,1)),1+(1-$AU109))</f>
        <v/>
      </c>
      <c r="BB109" s="172">
        <f>MIN(IF($AU109=100%,1,1+VLOOKUP(($AJ109-$AI109-$AH109-$AG109-$AF109-$AE109*(1+BB$3))/$AJ109,'Технический лист'!$I:$J,2,1)-VLOOKUP($AO109,'Технический лист'!$I:$J,2,1)),1+(1-$AU109))</f>
        <v/>
      </c>
      <c r="BC109" s="172">
        <f>MIN(IF($AU109=100%,1,1+VLOOKUP(($AJ109-$AI109-$AH109-$AG109-$AF109-$AE109*(1+BC$3))/$AJ109,'Технический лист'!$I:$J,2,1)-VLOOKUP($AO109,'Технический лист'!$I:$J,2,1)),1+(1-$AU109))</f>
        <v/>
      </c>
      <c r="BD109" s="172">
        <f>MIN(IF($AU109=100%,1,1+VLOOKUP(($AJ109-$AI109-$AH109-$AG109-$AF109-$AE109*(1+BD$3))/$AJ109,'Технический лист'!$I:$J,2,1)-VLOOKUP($AO109,'Технический лист'!$I:$J,2,1)),1+(1-$AU109))</f>
        <v/>
      </c>
      <c r="BE109" s="172">
        <f>MIN(IF($AU109=100%,1,1+VLOOKUP(($AJ109-$AI109-$AH109-$AG109-$AF109-$AE109*(1+BE$3))/$AJ109,'Технический лист'!$I:$J,2,1)-VLOOKUP($AO109,'Технический лист'!$I:$J,2,1)),1+(1-$AU109))</f>
        <v/>
      </c>
      <c r="BF109" s="172">
        <f>MIN(IF($AU109=100%,1,1+VLOOKUP(($AJ109-$AI109-$AH109-$AG109-$AF109-$AE109*(1+BF$3))/$AJ109,'Технический лист'!$I:$J,2,1)-VLOOKUP($AO109,'Технический лист'!$I:$J,2,1)),1+(1-$AU109))</f>
        <v/>
      </c>
      <c r="BG109" s="172">
        <f>MIN(IF($AU109=100%,1,1+VLOOKUP(($AJ109-$AI109-$AH109-$AG109-$AF109-$AE109*(1+BG$3))/$AJ109,'Технический лист'!$I:$J,2,1)-VLOOKUP($AO109,'Технический лист'!$I:$J,2,1)),1+(1-$AU109))</f>
        <v/>
      </c>
      <c r="BH109" s="172">
        <f>MIN(IF($AU109=100%,1,1+VLOOKUP(($AJ109-$AI109-$AH109-$AG109-$AF109-$AE109*(1+BH$3))/$AJ109,'Технический лист'!$I:$J,2,1)-VLOOKUP($AO109,'Технический лист'!$I:$J,2,1)),1+(1-$AU109))</f>
        <v/>
      </c>
      <c r="BI109" s="172">
        <f>MIN(IF($AU109=100%,1,1+VLOOKUP(($AJ109-$AI109-$AH109-$AG109-$AF109-$AE109*(1+BI$3))/$AJ109,'Технический лист'!$I:$J,2,1)-VLOOKUP($AO109,'Технический лист'!$I:$J,2,1)),1+(1-$AU109))</f>
        <v/>
      </c>
      <c r="BJ109" s="172">
        <f>MIN(IF($AU109=100%,1,1+VLOOKUP(($AJ109-$AI109-$AH109-$AG109-$AF109-$AE109*(1+BJ$3))/$AJ109,'Технический лист'!$I:$J,2,1)-VLOOKUP($AO109,'Технический лист'!$I:$J,2,1)),1+(1-$AU109))</f>
        <v/>
      </c>
      <c r="BK109" s="172">
        <f>MIN(IF($AU109=100%,1,1+VLOOKUP(($AJ109-$AI109-$AH109-$AG109-$AF109-$AE109*(1+BK$3))/$AJ109,'Технический лист'!$I:$J,2,1)-VLOOKUP($AO109,'Технический лист'!$I:$J,2,1)),1+(1-$AU109))</f>
        <v/>
      </c>
      <c r="BL109" s="172">
        <f>MIN(IF($AU109=100%,1,1+VLOOKUP(($AJ109-$AI109-$AH109-$AG109-$AF109-$AE109*(1+BL$3))/$AJ109,'Технический лист'!$I:$J,2,1)-VLOOKUP($AO109,'Технический лист'!$I:$J,2,1)),1+(1-$AU109))</f>
        <v/>
      </c>
      <c r="BM109" s="172">
        <f>MIN(IF($AU109=100%,1,1+VLOOKUP(($AJ109-$AI109-$AH109-$AG109-$AF109-$AE109*(1+BM$3))/$AJ109,'Технический лист'!$I:$J,2,1)-VLOOKUP($AO109,'Технический лист'!$I:$J,2,1)),1+(1-$AU109))</f>
        <v/>
      </c>
      <c r="BN109" s="172">
        <f>MIN(IF($AU109=100%,1,1+VLOOKUP(($AJ109-$AI109-$AH109-$AG109-$AF109-$AE109*(1+BN$3))/$AJ109,'Технический лист'!$I:$J,2,1)-VLOOKUP($AO109,'Технический лист'!$I:$J,2,1)),1+(1-$AU109))</f>
        <v/>
      </c>
      <c r="BO109" s="172">
        <f>MIN(IF($AU109=100%,1,1+VLOOKUP(($AJ109-$AI109-$AH109-$AG109-$AF109-$AE109*(1+BO$3))/$AJ109,'Технический лист'!$I:$J,2,1)-VLOOKUP($AO109,'Технический лист'!$I:$J,2,1)),1+(1-$AU109))</f>
        <v/>
      </c>
      <c r="BP109" s="172">
        <f>MIN(IF($AU109=100%,1,1+VLOOKUP(($AJ109-$AI109-$AH109-$AG109-$AF109-$AE109*(1+BP$3))/$AJ109,'Технический лист'!$I:$J,2,1)-VLOOKUP($AO109,'Технический лист'!$I:$J,2,1)),1+(1-$AU109))</f>
        <v/>
      </c>
      <c r="BQ109" s="172">
        <f>MIN(IF($AU109=100%,1,1+VLOOKUP(($AJ109-$AI109-$AH109-$AG109-$AF109-$AE109*(1+BQ$3))/$AJ109,'Технический лист'!$I:$J,2,1)-VLOOKUP($AO109,'Технический лист'!$I:$J,2,1)),1+(1-$AU109))</f>
        <v/>
      </c>
      <c r="BR109" s="172">
        <f>MIN(IF($AU109=100%,1,1+VLOOKUP(($AJ109-$AI109-$AH109-$AG109-$AF109-$AE109*(1+BR$3))/$AJ109,'Технический лист'!$I:$J,2,1)-VLOOKUP($AO109,'Технический лист'!$I:$J,2,1)),1+(1-$AU109))</f>
        <v/>
      </c>
      <c r="BS109" s="172">
        <f>MIN(IF($AU109=100%,1,1+VLOOKUP(($AJ109-$AI109-$AH109-$AG109-$AF109-$AE109*(1+BS$3))/$AJ109,'Технический лист'!$I:$J,2,1)-VLOOKUP($AO109,'Технический лист'!$I:$J,2,1)),1+(1-$AU109))</f>
        <v/>
      </c>
      <c r="BT109" s="172">
        <f>MIN(IF($AU109=100%,1,1+VLOOKUP(($AJ109-$AI109-$AH109-$AG109-$AF109-$AE109*(1+BT$3))/$AJ109,'Технический лист'!$I:$J,2,1)-VLOOKUP($AO109,'Технический лист'!$I:$J,2,1)),1+(1-$AU109))</f>
        <v/>
      </c>
      <c r="BU109" s="172">
        <f>MIN(IF($AU109=100%,1,1+VLOOKUP(($AJ109-$AI109-$AH109-$AG109-$AF109-$AE109*(1+BU$3))/$AJ109,'Технический лист'!$I:$J,2,1)-VLOOKUP($AO109,'Технический лист'!$I:$J,2,1)),1+(1-$AU109))</f>
        <v/>
      </c>
      <c r="BV109" s="172">
        <f>MIN(IF($AU109=100%,1,1+VLOOKUP(($AJ109-$AI109-$AH109-$AG109-$AF109-$AE109*(1+BV$3))/$AJ109,'Технический лист'!$I:$J,2,1)-VLOOKUP($AO109,'Технический лист'!$I:$J,2,1)),1+(1-$AU109))</f>
        <v/>
      </c>
      <c r="BW109" s="172">
        <f>MIN(IF($AU109=100%,1,1+VLOOKUP(($AJ109-$AI109-$AH109-$AG109-$AF109-$AE109*(1+BW$3))/$AJ109,'Технический лист'!$I:$J,2,1)-VLOOKUP($AO109,'Технический лист'!$I:$J,2,1)),1+(1-$AU109))</f>
        <v/>
      </c>
      <c r="BX109" s="172">
        <f>MIN(IF($AU109=100%,1,1+VLOOKUP(($AJ109-$AI109-$AH109-$AG109-$AF109-$AE109*(1+BX$3))/$AJ109,'Технический лист'!$I:$J,2,1)-VLOOKUP($AO109,'Технический лист'!$I:$J,2,1)),1+(1-$AU109))</f>
        <v/>
      </c>
      <c r="BY109" s="172">
        <f>MIN(IF($AU109=100%,1,1+VLOOKUP(($AJ109-$AI109-$AH109-$AG109-$AF109-$AE109*(1+BY$3))/$AJ109,'Технический лист'!$I:$J,2,1)-VLOOKUP($AO109,'Технический лист'!$I:$J,2,1)),1+(1-$AU109))</f>
        <v/>
      </c>
      <c r="BZ109" s="172">
        <f>MIN(IF($AU109=100%,1,1+VLOOKUP(($AJ109-$AI109-$AH109-$AG109-$AF109-$AE109*(1+BZ$3))/$AJ109,'Технический лист'!$I:$J,2,1)-VLOOKUP($AO109,'Технический лист'!$I:$J,2,1)),1+(1-$AU109))</f>
        <v/>
      </c>
      <c r="CA109" s="172">
        <f>MIN(IF($AU109=100%,1,1+VLOOKUP(($AJ109-$AI109-$AH109-$AG109-$AF109-$AE109*(1+CA$3))/$AJ109,'Технический лист'!$I:$J,2,1)-VLOOKUP($AO109,'Технический лист'!$I:$J,2,1)),1+(1-$AU109))</f>
        <v/>
      </c>
      <c r="CB109" s="172">
        <f>MIN(IF($AU109=100%,1,1+VLOOKUP(($AJ109-$AI109-$AH109-$AG109-$AF109-$AE109*(1+CB$3))/$AJ109,'Технический лист'!$I:$J,2,1)-VLOOKUP($AO109,'Технический лист'!$I:$J,2,1)),1+(1-$AU109))</f>
        <v/>
      </c>
      <c r="CC109" s="172">
        <f>MIN(IF($AU109=100%,1,1+VLOOKUP(($AJ109-$AI109-$AH109-$AG109-$AF109-$AE109*(1+CC$3))/$AJ109,'Технический лист'!$I:$J,2,1)-VLOOKUP($AO109,'Технический лист'!$I:$J,2,1)),1+(1-$AU109))</f>
        <v/>
      </c>
      <c r="CD109" s="172">
        <f>MIN(IF($AU109=100%,1,1+VLOOKUP(($AJ109-$AI109-$AH109-$AG109-$AF109-$AE109*(1+CD$3))/$AJ109,'Технический лист'!$I:$J,2,1)-VLOOKUP($AO109,'Технический лист'!$I:$J,2,1)),1+(1-$AU109))</f>
        <v/>
      </c>
      <c r="CE109" s="172">
        <f>MIN(IF($AU109=100%,1,1+VLOOKUP(($AJ109-$AI109-$AH109-$AG109-$AF109-$AE109*(1+CE$3))/$AJ109,'Технический лист'!$I:$J,2,1)-VLOOKUP($AO109,'Технический лист'!$I:$J,2,1)),1+(1-$AU109))</f>
        <v/>
      </c>
      <c r="CF109" s="172">
        <f>MIN(IF($AU109=100%,1,1+VLOOKUP(($AJ109-$AI109-$AH109-$AG109-$AF109-$AE109*(1+CF$3))/$AJ109,'Технический лист'!$I:$J,2,1)-VLOOKUP($AO109,'Технический лист'!$I:$J,2,1)),1+(1-$AU109))</f>
        <v/>
      </c>
      <c r="CG109" s="172">
        <f>MIN(IF($AU109=100%,1,1+VLOOKUP(($AJ109-$AI109-$AH109-$AG109-$AF109-$AE109*(1+CG$3))/$AJ109,'Технический лист'!$I:$J,2,1)-VLOOKUP($AO109,'Технический лист'!$I:$J,2,1)),1+(1-$AU109))</f>
        <v/>
      </c>
      <c r="CH109" s="172">
        <f>MIN(IF($AU109=100%,1,1+VLOOKUP(($AJ109-$AI109-$AH109-$AG109-$AF109-$AE109*(1+CH$3))/$AJ109,'Технический лист'!$I:$J,2,1)-VLOOKUP($AO109,'Технический лист'!$I:$J,2,1)),1+(1-$AU109))</f>
        <v/>
      </c>
      <c r="CI109" s="172">
        <f>MIN(IF($AU109=100%,1,1+VLOOKUP(($AJ109-$AI109-$AH109-$AG109-$AF109-$AE109*(1+CI$3))/$AJ109,'Технический лист'!$I:$J,2,1)-VLOOKUP($AO109,'Технический лист'!$I:$J,2,1)),1+(1-$AU109))</f>
        <v/>
      </c>
      <c r="CJ109" s="172">
        <f>MIN(IF($AU109=100%,1,1+VLOOKUP(($AJ109-$AI109-$AH109-$AG109-$AF109-$AE109*(1+CJ$3))/$AJ109,'Технический лист'!$I:$J,2,1)-VLOOKUP($AO109,'Технический лист'!$I:$J,2,1)),1+(1-$AU109))</f>
        <v/>
      </c>
      <c r="CK109" s="172">
        <f>MIN(IF($AU109=100%,1,1+VLOOKUP(($AJ109-$AI109-$AH109-$AG109-$AF109-$AE109*(1+CK$3))/$AJ109,'Технический лист'!$I:$J,2,1)-VLOOKUP($AO109,'Технический лист'!$I:$J,2,1)),1+(1-$AU109))</f>
        <v/>
      </c>
      <c r="CL109" s="172">
        <f>MIN(IF($AU109=100%,1,1+VLOOKUP(($AJ109-$AI109-$AH109-$AG109-$AF109-$AE109*(1+CL$3))/$AJ109,'Технический лист'!$I:$J,2,1)-VLOOKUP($AO109,'Технический лист'!$I:$J,2,1)),1+(1-$AU109))</f>
        <v/>
      </c>
      <c r="CM109" s="172">
        <f>MIN(IF($AU109=100%,1,1+VLOOKUP(($AJ109-$AI109-$AH109-$AG109-$AF109-$AE109*(1+CM$3))/$AJ109,'Технический лист'!$I:$J,2,1)-VLOOKUP($AO109,'Технический лист'!$I:$J,2,1)),1+(1-$AU109))</f>
        <v/>
      </c>
      <c r="CN109" s="172">
        <f>MIN(IF($AU109=100%,1,1+VLOOKUP(($AJ109-$AI109-$AH109-$AG109-$AF109-$AE109*(1+CN$3))/$AJ109,'Технический лист'!$I:$J,2,1)-VLOOKUP($AO109,'Технический лист'!$I:$J,2,1)),1+(1-$AU109))</f>
        <v/>
      </c>
      <c r="CO109" s="172">
        <f>MIN(IF($AU109=100%,1,1+VLOOKUP(($AJ109-$AI109-$AH109-$AG109-$AF109-$AE109*(1+CO$3))/$AJ109,'Технический лист'!$I:$J,2,1)-VLOOKUP($AO109,'Технический лист'!$I:$J,2,1)),1+(1-$AU109))</f>
        <v/>
      </c>
      <c r="CP109" s="172">
        <f>MIN(IF($AU109=100%,1,1+VLOOKUP(($AJ109-$AI109-$AH109-$AG109-$AF109-$AE109*(1+CP$3))/$AJ109,'Технический лист'!$I:$J,2,1)-VLOOKUP($AO109,'Технический лист'!$I:$J,2,1)),1+(1-$AU109))</f>
        <v/>
      </c>
      <c r="CQ109" s="172">
        <f>MIN(IF($AU109=100%,1,1+VLOOKUP(($AJ109-$AI109-$AH109-$AG109-$AF109-$AE109*(1+CQ$3))/$AJ109,'Технический лист'!$I:$J,2,1)-VLOOKUP($AO109,'Технический лист'!$I:$J,2,1)),1+(1-$AU109))</f>
        <v/>
      </c>
      <c r="CR109" s="172">
        <f>MIN(IF($AU109=100%,1,1+VLOOKUP(($AJ109-$AI109-$AH109-$AG109-$AF109-$AE109*(1+CR$3))/$AJ109,'Технический лист'!$I:$J,2,1)-VLOOKUP($AO109,'Технический лист'!$I:$J,2,1)),1+(1-$AU109))</f>
        <v/>
      </c>
      <c r="CS109" s="172">
        <f>MIN(IF($AU109=100%,1,1+VLOOKUP(($AJ109-$AI109-$AH109-$AG109-$AF109-$AE109*(1+CS$3))/$AJ109,'Технический лист'!$I:$J,2,1)-VLOOKUP($AO109,'Технический лист'!$I:$J,2,1)),1+(1-$AU109))</f>
        <v/>
      </c>
      <c r="CT109" s="172">
        <f>MIN(IF($AU109=100%,1,1+VLOOKUP(($AJ109-$AI109-$AH109-$AG109-$AF109-$AE109*(1+CT$3))/$AJ109,'Технический лист'!$I:$J,2,1)-VLOOKUP($AO109,'Технический лист'!$I:$J,2,1)),1+(1-$AU109))</f>
        <v/>
      </c>
      <c r="CU109" s="172">
        <f>MIN(IF($AU109=100%,1,1+VLOOKUP(($AJ109-$AI109-$AH109-$AG109-$AF109-$AE109*(1+CU$3))/$AJ109,'Технический лист'!$I:$J,2,1)-VLOOKUP($AO109,'Технический лист'!$I:$J,2,1)),1+(1-$AU109))</f>
        <v/>
      </c>
      <c r="CV109" s="172">
        <f>MIN(IF($AU109=100%,1,1+VLOOKUP(($AJ109-$AI109-$AH109-$AG109-$AF109-$AE109*(1+CV$3))/$AJ109,'Технический лист'!$I:$J,2,1)-VLOOKUP($AO109,'Технический лист'!$I:$J,2,1)),1+(1-$AU109))</f>
        <v/>
      </c>
      <c r="CW109" s="172">
        <f>MIN(IF($AU109=100%,1,1+VLOOKUP(($AJ109-$AI109-$AH109-$AG109-$AF109-$AE109*(1+CW$3))/$AJ109,'Технический лист'!$I:$J,2,1)-VLOOKUP($AO109,'Технический лист'!$I:$J,2,1)),1+(1-$AU109))</f>
        <v/>
      </c>
      <c r="CX109" s="172">
        <f>MIN(IF($AU109=100%,1,1+VLOOKUP(($AJ109-$AI109-$AH109-$AG109-$AF109-$AE109*(1+CX$3))/$AJ109,'Технический лист'!$I:$J,2,1)-VLOOKUP($AO109,'Технический лист'!$I:$J,2,1)),1+(1-$AU109))</f>
        <v/>
      </c>
      <c r="CY109" s="172">
        <f>MIN(IF($AU109=100%,1,1+VLOOKUP(($AJ109-$AI109-$AH109-$AG109-$AF109-$AE109*(1+CY$3))/$AJ109,'Технический лист'!$I:$J,2,1)-VLOOKUP($AO109,'Технический лист'!$I:$J,2,1)),1+(1-$AU109))</f>
        <v/>
      </c>
      <c r="CZ109" s="172">
        <f>MIN(IF($AU109=100%,1,1+VLOOKUP(($AJ109-$AI109-$AH109-$AG109-$AF109-$AE109*(1+CZ$3))/$AJ109,'Технический лист'!$I:$J,2,1)-VLOOKUP($AO109,'Технический лист'!$I:$J,2,1)),1+(1-$AU109))</f>
        <v/>
      </c>
      <c r="DA109" s="172">
        <f>MIN(IF($AU109=100%,1,1+VLOOKUP(($AJ109-$AI109-$AH109-$AG109-$AF109-$AE109*(1+DA$3))/$AJ109,'Технический лист'!$I:$J,2,1)-VLOOKUP($AO109,'Технический лист'!$I:$J,2,1)),1+(1-$AU109))</f>
        <v/>
      </c>
      <c r="DB109" s="172">
        <f>MIN(IF($AU109=100%,1,1+VLOOKUP(($AJ109-$AI109-$AH109-$AG109-$AF109-$AE109*(1+DB$3))/$AJ109,'Технический лист'!$I:$J,2,1)-VLOOKUP($AO109,'Технический лист'!$I:$J,2,1)),1+(1-$AU109))</f>
        <v/>
      </c>
      <c r="DC109" s="172">
        <f>MIN(IF($AU109=100%,1,1+VLOOKUP(($AJ109-$AI109-$AH109-$AG109-$AF109-$AE109*(1+DC$3))/$AJ109,'Технический лист'!$I:$J,2,1)-VLOOKUP($AO109,'Технический лист'!$I:$J,2,1)),1+(1-$AU109))</f>
        <v/>
      </c>
      <c r="DD109" s="172">
        <f>MIN(IF($AU109=100%,1,1+VLOOKUP(($AJ109-$AI109-$AH109-$AG109-$AF109-$AE109*(1+DD$3))/$AJ109,'Технический лист'!$I:$J,2,1)-VLOOKUP($AO109,'Технический лист'!$I:$J,2,1)),1+(1-$AU109))</f>
        <v/>
      </c>
      <c r="DE109" s="172">
        <f>MIN(IF($AU109=100%,1,1+VLOOKUP(($AJ109-$AI109-$AH109-$AG109-$AF109-$AE109*(1+DE$3))/$AJ109,'Технический лист'!$I:$J,2,1)-VLOOKUP($AO109,'Технический лист'!$I:$J,2,1)),1+(1-$AU109))</f>
        <v/>
      </c>
      <c r="DF109" s="172">
        <f>MIN(IF($AU109=100%,1,1+VLOOKUP(($AJ109-$AI109-$AH109-$AG109-$AF109-$AE109*(1+DF$3))/$AJ109,'Технический лист'!$I:$J,2,1)-VLOOKUP($AO109,'Технический лист'!$I:$J,2,1)),1+(1-$AU109))</f>
        <v/>
      </c>
      <c r="DG109" s="172">
        <f>MIN(IF($AU109=100%,1,1+VLOOKUP(($AJ109-$AI109-$AH109-$AG109-$AF109-$AE109*(1+DG$3))/$AJ109,'Технический лист'!$I:$J,2,1)-VLOOKUP($AO109,'Технический лист'!$I:$J,2,1)),1+(1-$AU109))</f>
        <v/>
      </c>
      <c r="DH109" s="172">
        <f>MIN(IF($AU109=100%,1,1+VLOOKUP(($AJ109-$AI109-$AH109-$AG109-$AF109-$AE109*(1+DH$3))/$AJ109,'Технический лист'!$I:$J,2,1)-VLOOKUP($AO109,'Технический лист'!$I:$J,2,1)),1+(1-$AU109))</f>
        <v/>
      </c>
      <c r="DI109" s="172">
        <f>MIN(IF($AU109=100%,1,1+VLOOKUP(($AJ109-$AI109-$AH109-$AG109-$AF109-$AE109*(1+DI$3))/$AJ109,'Технический лист'!$I:$J,2,1)-VLOOKUP($AO109,'Технический лист'!$I:$J,2,1)),1+(1-$AU109))</f>
        <v/>
      </c>
      <c r="DJ109" s="172">
        <f>MIN(IF($AU109=100%,1,1+VLOOKUP(($AJ109-$AI109-$AH109-$AG109-$AF109-$AE109*(1+DJ$3))/$AJ109,'Технический лист'!$I:$J,2,1)-VLOOKUP($AO109,'Технический лист'!$I:$J,2,1)),1+(1-$AU109))</f>
        <v/>
      </c>
      <c r="DK109" s="172">
        <f>MIN(IF($AU109=100%,1,1+VLOOKUP(($AJ109-$AI109-$AH109-$AG109-$AF109-$AE109*(1+DK$3))/$AJ109,'Технический лист'!$I:$J,2,1)-VLOOKUP($AO109,'Технический лист'!$I:$J,2,1)),1+(1-$AU109))</f>
        <v/>
      </c>
      <c r="DL109" s="172">
        <f>MIN(IF($AU109=100%,1,1+VLOOKUP(($AJ109-$AI109-$AH109-$AG109-$AF109-$AE109*(1+DL$3))/$AJ109,'Технический лист'!$I:$J,2,1)-VLOOKUP($AO109,'Технический лист'!$I:$J,2,1)),1+(1-$AU109))</f>
        <v/>
      </c>
      <c r="DM109" s="172">
        <f>MIN(IF($AU109=100%,1,1+VLOOKUP(($AJ109-$AI109-$AH109-$AG109-$AF109-$AE109*(1+DM$3))/$AJ109,'Технический лист'!$I:$J,2,1)-VLOOKUP($AO109,'Технический лист'!$I:$J,2,1)),1+(1-$AU109))</f>
        <v/>
      </c>
      <c r="DN109" s="172">
        <f>MIN(IF($AU109=100%,1,1+VLOOKUP(($AJ109-$AI109-$AH109-$AG109-$AF109-$AE109*(1+DN$3))/$AJ109,'Технический лист'!$I:$J,2,1)-VLOOKUP($AO109,'Технический лист'!$I:$J,2,1)),1+(1-$AU109))</f>
        <v/>
      </c>
      <c r="DO109" s="172">
        <f>MIN(IF($AU109=100%,1,1+VLOOKUP(($AJ109-$AI109-$AH109-$AG109-$AF109-$AE109*(1+DO$3))/$AJ109,'Технический лист'!$I:$J,2,1)-VLOOKUP($AO109,'Технический лист'!$I:$J,2,1)),1+(1-$AU109))</f>
        <v/>
      </c>
      <c r="DP109" s="172">
        <f>MIN(IF($AU109=100%,1,1+VLOOKUP(($AJ109-$AI109-$AH109-$AG109-$AF109-$AE109*(1+DP$3))/$AJ109,'Технический лист'!$I:$J,2,1)-VLOOKUP($AO109,'Технический лист'!$I:$J,2,1)),1+(1-$AU109))</f>
        <v/>
      </c>
      <c r="DQ109" s="172">
        <f>MIN(IF($AU109=100%,1,1+VLOOKUP(($AJ109-$AI109-$AH109-$AG109-$AF109-$AE109*(1+DQ$3))/$AJ109,'Технический лист'!$I:$J,2,1)-VLOOKUP($AO109,'Технический лист'!$I:$J,2,1)),1+(1-$AU109))</f>
        <v/>
      </c>
      <c r="DR109" s="172">
        <f>MIN(IF($AU109=100%,1,1+VLOOKUP(($AJ109-$AI109-$AH109-$AG109-$AF109-$AE109*(1+DR$3))/$AJ109,'Технический лист'!$I:$J,2,1)-VLOOKUP($AO109,'Технический лист'!$I:$J,2,1)),1+(1-$AU109))</f>
        <v/>
      </c>
      <c r="DS109" s="172">
        <f>MIN(IF($AU109=100%,1,1+VLOOKUP(($AJ109-$AI109-$AH109-$AG109-$AF109-$AE109*(1+DS$3))/$AJ109,'Технический лист'!$I:$J,2,1)-VLOOKUP($AO109,'Технический лист'!$I:$J,2,1)),1+(1-$AU109))</f>
        <v/>
      </c>
      <c r="DT109" s="172">
        <f>MIN(IF($AU109=100%,1,1+VLOOKUP(($AJ109-$AI109-$AH109-$AG109-$AF109-$AE109*(1+DT$3))/$AJ109,'Технический лист'!$I:$J,2,1)-VLOOKUP($AO109,'Технический лист'!$I:$J,2,1)),1+(1-$AU109))</f>
        <v/>
      </c>
      <c r="DU109" s="172">
        <f>MIN(IF($AU109=100%,1,1+VLOOKUP(($AJ109-$AI109-$AH109-$AG109-$AF109-$AE109*(1+DU$3))/$AJ109,'Технический лист'!$I:$J,2,1)-VLOOKUP($AO109,'Технический лист'!$I:$J,2,1)),1+(1-$AU109))</f>
        <v/>
      </c>
      <c r="DV109" s="172">
        <f>MIN(IF($AU109=100%,1,1+VLOOKUP(($AJ109-$AI109-$AH109-$AG109-$AF109-$AE109*(1+DV$3))/$AJ109,'Технический лист'!$I:$J,2,1)-VLOOKUP($AO109,'Технический лист'!$I:$J,2,1)),1+(1-$AU109))</f>
        <v/>
      </c>
      <c r="DW109" s="172">
        <f>MIN(IF($AU109=100%,1,1+VLOOKUP(($AJ109-$AI109-$AH109-$AG109-$AF109-$AE109*(1+DW$3))/$AJ109,'Технический лист'!$I:$J,2,1)-VLOOKUP($AO109,'Технический лист'!$I:$J,2,1)),1+(1-$AU109))</f>
        <v/>
      </c>
      <c r="DX109" s="172">
        <f>MIN(IF($AU109=100%,1,1+VLOOKUP(($AJ109-$AI109-$AH109-$AG109-$AF109-$AE109*(1+DX$3))/$AJ109,'Технический лист'!$I:$J,2,1)-VLOOKUP($AO109,'Технический лист'!$I:$J,2,1)),1+(1-$AU109))</f>
        <v/>
      </c>
      <c r="DY109" s="172">
        <f>MIN(IF($AU109=100%,1,1+VLOOKUP(($AJ109-$AI109-$AH109-$AG109-$AF109-$AE109*(1+DY$3))/$AJ109,'Технический лист'!$I:$J,2,1)-VLOOKUP($AO109,'Технический лист'!$I:$J,2,1)),1+(1-$AU109))</f>
        <v/>
      </c>
      <c r="DZ109" s="172">
        <f>MIN(IF($AU109=100%,1,1+VLOOKUP(($AJ109-$AI109-$AH109-$AG109-$AF109-$AE109*(1+DZ$3))/$AJ109,'Технический лист'!$I:$J,2,1)-VLOOKUP($AO109,'Технический лист'!$I:$J,2,1)),1+(1-$AU109))</f>
        <v/>
      </c>
      <c r="EA109" s="172">
        <f>MIN(IF($AU109=100%,1,1+VLOOKUP(($AJ109-$AI109-$AH109-$AG109-$AF109-$AE109*(1+EA$3))/$AJ109,'Технический лист'!$I:$J,2,1)-VLOOKUP($AO109,'Технический лист'!$I:$J,2,1)),1+(1-$AU109))</f>
        <v/>
      </c>
      <c r="EB109" s="172">
        <f>MIN(IF($AU109=100%,1,1+VLOOKUP(($AJ109-$AI109-$AH109-$AG109-$AF109-$AE109*(1+EB$3))/$AJ109,'Технический лист'!$I:$J,2,1)-VLOOKUP($AO109,'Технический лист'!$I:$J,2,1)),1+(1-$AU109))</f>
        <v/>
      </c>
      <c r="EC109" s="172">
        <f>MIN(IF($AU109=100%,1,1+VLOOKUP(($AJ109-$AI109-$AH109-$AG109-$AF109-$AE109*(1+EC$3))/$AJ109,'Технический лист'!$I:$J,2,1)-VLOOKUP($AO109,'Технический лист'!$I:$J,2,1)),1+(1-$AU109))</f>
        <v/>
      </c>
      <c r="ED109" s="172">
        <f>MIN(IF($AU109=100%,1,1+VLOOKUP(($AJ109-$AI109-$AH109-$AG109-$AF109-$AE109*(1+ED$3))/$AJ109,'Технический лист'!$I:$J,2,1)-VLOOKUP($AO109,'Технический лист'!$I:$J,2,1)),1+(1-$AU109))</f>
        <v/>
      </c>
      <c r="EE109" s="172">
        <f>MIN(IF($AU109=100%,1,1+VLOOKUP(($AJ109-$AI109-$AH109-$AG109-$AF109-$AE109*(1+EE$3))/$AJ109,'Технический лист'!$I:$J,2,1)-VLOOKUP($AO109,'Технический лист'!$I:$J,2,1)),1+(1-$AU109))</f>
        <v/>
      </c>
      <c r="EF109" s="172">
        <f>MIN(IF($AU109=100%,1,1+VLOOKUP(($AJ109-$AI109-$AH109-$AG109-$AF109-$AE109*(1+EF$3))/$AJ109,'Технический лист'!$I:$J,2,1)-VLOOKUP($AO109,'Технический лист'!$I:$J,2,1)),1+(1-$AU109))</f>
        <v/>
      </c>
      <c r="EG109" s="172">
        <f>MIN(IF($AU109=100%,1,1+VLOOKUP(($AJ109-$AI109-$AH109-$AG109-$AF109-$AE109*(1+EG$3))/$AJ109,'Технический лист'!$I:$J,2,1)-VLOOKUP($AO109,'Технический лист'!$I:$J,2,1)),1+(1-$AU109))</f>
        <v/>
      </c>
      <c r="EH109" s="172">
        <f>MIN(IF($AU109=100%,1,1+VLOOKUP(($AJ109-$AI109-$AH109-$AG109-$AF109-$AE109*(1+EH$3))/$AJ109,'Технический лист'!$I:$J,2,1)-VLOOKUP($AO109,'Технический лист'!$I:$J,2,1)),1+(1-$AU109))</f>
        <v/>
      </c>
      <c r="EI109" s="172">
        <f>MIN(IF($AU109=100%,1,1+VLOOKUP(($AJ109-$AI109-$AH109-$AG109-$AF109-$AE109*(1+EI$3))/$AJ109,'Технический лист'!$I:$J,2,1)-VLOOKUP($AO109,'Технический лист'!$I:$J,2,1)),1+(1-$AU109))</f>
        <v/>
      </c>
      <c r="EJ109" s="172">
        <f>MIN(IF($AU109=100%,1,1+VLOOKUP(($AJ109-$AI109-$AH109-$AG109-$AF109-$AE109*(1+EJ$3))/$AJ109,'Технический лист'!$I:$J,2,1)-VLOOKUP($AO109,'Технический лист'!$I:$J,2,1)),1+(1-$AU109))</f>
        <v/>
      </c>
      <c r="EK109" s="172">
        <f>MIN(IF($AU109=100%,1,1+VLOOKUP(($AJ109-$AI109-$AH109-$AG109-$AF109-$AE109*(1+EK$3))/$AJ109,'Технический лист'!$I:$J,2,1)-VLOOKUP($AO109,'Технический лист'!$I:$J,2,1)),1+(1-$AU109))</f>
        <v/>
      </c>
      <c r="EL109" s="172">
        <f>MIN(IF($AU109=100%,1,1+VLOOKUP(($AJ109-$AI109-$AH109-$AG109-$AF109-$AE109*(1+EL$3))/$AJ109,'Технический лист'!$I:$J,2,1)-VLOOKUP($AO109,'Технический лист'!$I:$J,2,1)),1+(1-$AU109))</f>
        <v/>
      </c>
      <c r="EM109" s="172">
        <f>MIN(IF($AU109=100%,1,1+VLOOKUP(($AJ109-$AI109-$AH109-$AG109-$AF109-$AE109*(1+EM$3))/$AJ109,'Технический лист'!$I:$J,2,1)-VLOOKUP($AO109,'Технический лист'!$I:$J,2,1)),1+(1-$AU109))</f>
        <v/>
      </c>
      <c r="EN109" s="172">
        <f>MIN(IF($AU109=100%,1,1+VLOOKUP(($AJ109-$AI109-$AH109-$AG109-$AF109-$AE109*(1+EN$3))/$AJ109,'Технический лист'!$I:$J,2,1)-VLOOKUP($AO109,'Технический лист'!$I:$J,2,1)),1+(1-$AU109))</f>
        <v/>
      </c>
      <c r="EO109" s="172">
        <f>MIN(IF($AU109=100%,1,1+VLOOKUP(($AJ109-$AI109-$AH109-$AG109-$AF109-$AE109*(1+EO$3))/$AJ109,'Технический лист'!$I:$J,2,1)-VLOOKUP($AO109,'Технический лист'!$I:$J,2,1)),1+(1-$AU109))</f>
        <v/>
      </c>
      <c r="EP109" s="172">
        <f>MIN(IF($AU109=100%,1,1+VLOOKUP(($AJ109-$AI109-$AH109-$AG109-$AF109-$AE109*(1+EP$3))/$AJ109,'Технический лист'!$I:$J,2,1)-VLOOKUP($AO109,'Технический лист'!$I:$J,2,1)),1+(1-$AU109))</f>
        <v/>
      </c>
      <c r="EQ109" s="172">
        <f>MIN(IF($AU109=100%,1,1+VLOOKUP(($AJ109-$AI109-$AH109-$AG109-$AF109-$AE109*(1+EQ$3))/$AJ109,'Технический лист'!$I:$J,2,1)-VLOOKUP($AO109,'Технический лист'!$I:$J,2,1)),1+(1-$AU109))</f>
        <v/>
      </c>
      <c r="ER109" s="172">
        <f>MIN(IF($AU109=100%,1,1+VLOOKUP(($AJ109-$AI109-$AH109-$AG109-$AF109-$AE109*(1+ER$3))/$AJ109,'Технический лист'!$I:$J,2,1)-VLOOKUP($AO109,'Технический лист'!$I:$J,2,1)),1+(1-$AU109))</f>
        <v/>
      </c>
      <c r="ES109" s="172">
        <f>MIN(IF($AU109=100%,1,1+VLOOKUP(($AJ109-$AI109-$AH109-$AG109-$AF109-$AE109*(1+ES$3))/$AJ109,'Технический лист'!$I:$J,2,1)-VLOOKUP($AO109,'Технический лист'!$I:$J,2,1)),1+(1-$AU109))</f>
        <v/>
      </c>
      <c r="ET109" s="172">
        <f>MIN(IF($AU109=100%,1,1+VLOOKUP(($AJ109-$AI109-$AH109-$AG109-$AF109-$AE109*(1+ET$3))/$AJ109,'Технический лист'!$I:$J,2,1)-VLOOKUP($AO109,'Технический лист'!$I:$J,2,1)),1+(1-$AU109))</f>
        <v/>
      </c>
      <c r="EU109" s="172">
        <f>MIN(IF($AU109=100%,1,1+VLOOKUP(($AJ109-$AI109-$AH109-$AG109-$AF109-$AE109*(1+EU$3))/$AJ109,'Технический лист'!$I:$J,2,1)-VLOOKUP($AO109,'Технический лист'!$I:$J,2,1)),1+(1-$AU109))</f>
        <v/>
      </c>
      <c r="EV109" s="173" t="n">
        <v>1</v>
      </c>
      <c r="EW109" s="172">
        <f>MIN(1,MAX(VLOOKUP(($AJ109-$AI109-$AH109-$AG109-$AF109-$AE109*(1+EW$3))/$AJ109,'Технический лист'!$A:$B,2,1),(EV109-0.05)))</f>
        <v/>
      </c>
      <c r="EX109" s="172">
        <f>MIN(1,MAX(VLOOKUP(($AJ109-$AI109-$AH109-$AG109-$AF109-$AE109*(1+EX$3))/$AJ109,'Технический лист'!$A:$B,2,1),(EW109-0.05)))</f>
        <v/>
      </c>
      <c r="EY109" s="172">
        <f>MIN(1,MAX(VLOOKUP(($AJ109-$AI109-$AH109-$AG109-$AF109-$AE109*(1+EY$3))/$AJ109,'Технический лист'!$A:$B,2,1),(EX109-0.05)))</f>
        <v/>
      </c>
      <c r="EZ109" s="172">
        <f>MIN(1,MAX(VLOOKUP(($AJ109-$AI109-$AH109-$AG109-$AF109-$AE109*(1+EZ$3))/$AJ109,'Технический лист'!$A:$B,2,1),(EY109-0.05)))</f>
        <v/>
      </c>
      <c r="FA109" s="172">
        <f>MIN(1,MAX(VLOOKUP(($AJ109-$AI109-$AH109-$AG109-$AF109-$AE109*(1+FA$3))/$AJ109,'Технический лист'!$A:$B,2,1),(EZ109-0.05)))</f>
        <v/>
      </c>
      <c r="FB109" s="172">
        <f>MIN(1,MAX(VLOOKUP(($AJ109-$AI109-$AH109-$AG109-$AF109-$AE109*(1+FB$3))/$AJ109,'Технический лист'!$A:$B,2,1),(FA109-0.05)))</f>
        <v/>
      </c>
      <c r="FC109" s="172">
        <f>MIN(1,MAX(VLOOKUP(($AJ109-$AI109-$AH109-$AG109-$AF109-$AE109*(1+FC$3))/$AJ109,'Технический лист'!$A:$B,2,1),(FB109-0.05)))</f>
        <v/>
      </c>
      <c r="FD109" s="172">
        <f>MIN(1,MAX(VLOOKUP(($AJ109-$AI109-$AH109-$AG109-$AF109-$AE109*(1+FD$3))/$AJ109,'Технический лист'!$A:$B,2,1),(FC109-0.05)))</f>
        <v/>
      </c>
      <c r="FE109" s="172">
        <f>MIN(1,MAX(VLOOKUP(($AJ109-$AI109-$AH109-$AG109-$AF109-$AE109*(1+FE$3))/$AJ109,'Технический лист'!$A:$B,2,1),(FD109-0.05)))</f>
        <v/>
      </c>
      <c r="FF109" s="172">
        <f>MIN(1,MAX(VLOOKUP(($AJ109-$AI109-$AH109-$AG109-$AF109-$AE109*(1+FF$3))/$AJ109,'Технический лист'!$A:$B,2,1),(FE109-0.05)))</f>
        <v/>
      </c>
      <c r="FG109" s="172">
        <f>MIN(1,MAX(VLOOKUP(($AJ109-$AI109-$AH109-$AG109-$AF109-$AE109*(1+FG$3))/$AJ109,'Технический лист'!$A:$B,2,1),(FF109-0.05)))</f>
        <v/>
      </c>
      <c r="FH109" s="172">
        <f>MIN(1,MAX(VLOOKUP(($AJ109-$AI109-$AH109-$AG109-$AF109-$AE109*(1+FH$3))/$AJ109,'Технический лист'!$A:$B,2,1),(FG109-0.05)))</f>
        <v/>
      </c>
      <c r="FI109" s="172">
        <f>MIN(1,MAX(VLOOKUP(($AJ109-$AI109-$AH109-$AG109-$AF109-$AE109*(1+FI$3))/$AJ109,'Технический лист'!$A:$B,2,1),(FH109-0.05)))</f>
        <v/>
      </c>
      <c r="FJ109" s="172">
        <f>MIN(1,MAX(VLOOKUP(($AJ109-$AI109-$AH109-$AG109-$AF109-$AE109*(1+FJ$3))/$AJ109,'Технический лист'!$A:$B,2,1),(FI109-0.05)))</f>
        <v/>
      </c>
      <c r="FK109" s="172">
        <f>MIN(1,MAX(VLOOKUP(($AJ109-$AI109-$AH109-$AG109-$AF109-$AE109*(1+FK$3))/$AJ109,'Технический лист'!$A:$B,2,1),(FJ109-0.05)))</f>
        <v/>
      </c>
      <c r="FL109" s="172">
        <f>MIN(1,MAX(VLOOKUP(($AJ109-$AI109-$AH109-$AG109-$AF109-$AE109*(1+FL$3))/$AJ109,'Технический лист'!$A:$B,2,1),(FK109-0.05)))</f>
        <v/>
      </c>
      <c r="FM109" s="172">
        <f>MIN(1,MAX(VLOOKUP(($AJ109-$AI109-$AH109-$AG109-$AF109-$AE109*(1+FM$3))/$AJ109,'Технический лист'!$A:$B,2,1),(FL109-0.05)))</f>
        <v/>
      </c>
      <c r="FN109" s="172">
        <f>MIN(1,MAX(VLOOKUP(($AJ109-$AI109-$AH109-$AG109-$AF109-$AE109*(1+FN$3))/$AJ109,'Технический лист'!$A:$B,2,1),(FM109-0.05)))</f>
        <v/>
      </c>
      <c r="FO109" s="172">
        <f>MIN(1,MAX(VLOOKUP(($AJ109-$AI109-$AH109-$AG109-$AF109-$AE109*(1+FO$3))/$AJ109,'Технический лист'!$A:$B,2,1),(FN109-0.05)))</f>
        <v/>
      </c>
      <c r="FP109" s="172">
        <f>MIN(1,MAX(VLOOKUP(($AJ109-$AI109-$AH109-$AG109-$AF109-$AE109*(1+FP$3))/$AJ109,'Технический лист'!$A:$B,2,1),(FO109-0.05)))</f>
        <v/>
      </c>
      <c r="FQ109" s="172">
        <f>MIN(1,MAX(VLOOKUP(($AJ109-$AI109-$AH109-$AG109-$AF109-$AE109*(1+FQ$3))/$AJ109,'Технический лист'!$A:$B,2,1),(FP109-0.05)))</f>
        <v/>
      </c>
      <c r="FR109" s="172">
        <f>MIN(1,MAX(VLOOKUP(($AJ109-$AI109-$AH109-$AG109-$AF109-$AE109*(1+FR$3))/$AJ109,'Технический лист'!$A:$B,2,1),(FQ109-0.05)))</f>
        <v/>
      </c>
      <c r="FS109" s="172">
        <f>MIN(1,MAX(VLOOKUP(($AJ109-$AI109-$AH109-$AG109-$AF109-$AE109*(1+FS$3))/$AJ109,'Технический лист'!$A:$B,2,1),(FR109-0.05)))</f>
        <v/>
      </c>
      <c r="FT109" s="172">
        <f>MIN(1,MAX(VLOOKUP(($AJ109-$AI109-$AH109-$AG109-$AF109-$AE109*(1+FT$3))/$AJ109,'Технический лист'!$A:$B,2,1),(FS109-0.05)))</f>
        <v/>
      </c>
      <c r="FU109" s="172">
        <f>MIN(1,MAX(VLOOKUP(($AJ109-$AI109-$AH109-$AG109-$AF109-$AE109*(1+FU$3))/$AJ109,'Технический лист'!$A:$B,2,1),(FT109-0.05)))</f>
        <v/>
      </c>
      <c r="FV109" s="172">
        <f>MIN(1,MAX(VLOOKUP(($AJ109-$AI109-$AH109-$AG109-$AF109-$AE109*(1+FV$3))/$AJ109,'Технический лист'!$A:$B,2,1),(FU109-0.05)))</f>
        <v/>
      </c>
      <c r="FW109" s="172">
        <f>MIN(1,MAX(VLOOKUP(($AJ109-$AI109-$AH109-$AG109-$AF109-$AE109*(1+FW$3))/$AJ109,'Технический лист'!$A:$B,2,1),(FV109-0.05)))</f>
        <v/>
      </c>
      <c r="FX109" s="172">
        <f>MIN(1,MAX(VLOOKUP(($AJ109-$AI109-$AH109-$AG109-$AF109-$AE109*(1+FX$3))/$AJ109,'Технический лист'!$A:$B,2,1),(FW109-0.05)))</f>
        <v/>
      </c>
      <c r="FY109" s="172">
        <f>MIN(1,MAX(VLOOKUP(($AJ109-$AI109-$AH109-$AG109-$AF109-$AE109*(1+FY$3))/$AJ109,'Технический лист'!$A:$B,2,1),(FX109-0.05)))</f>
        <v/>
      </c>
      <c r="FZ109" s="172">
        <f>MIN(1,MAX(VLOOKUP(($AJ109-$AI109-$AH109-$AG109-$AF109-$AE109*(1+FZ$3))/$AJ109,'Технический лист'!$A:$B,2,1),(FY109-0.05)))</f>
        <v/>
      </c>
      <c r="GA109" s="172">
        <f>MIN(1,MAX(VLOOKUP(($AJ109-$AI109-$AH109-$AG109-$AF109-$AE109*(1+GA$3))/$AJ109,'Технический лист'!$A:$B,2,1),(FZ109-0.05)))</f>
        <v/>
      </c>
      <c r="GB109" s="172">
        <f>MIN(1,MAX(VLOOKUP(($AJ109-$AI109-$AH109-$AG109-$AF109-$AE109*(1+GB$3))/$AJ109,'Технический лист'!$A:$B,2,1),(GA109-0.05)))</f>
        <v/>
      </c>
      <c r="GC109" s="172">
        <f>MIN(1,MAX(VLOOKUP(($AJ109-$AI109-$AH109-$AG109-$AF109-$AE109*(1+GC$3))/$AJ109,'Технический лист'!$A:$B,2,1),(GB109-0.05)))</f>
        <v/>
      </c>
      <c r="GD109" s="172">
        <f>MIN(1,MAX(VLOOKUP(($AJ109-$AI109-$AH109-$AG109-$AF109-$AE109*(1+GD$3))/$AJ109,'Технический лист'!$A:$B,2,1),(GC109-0.05)))</f>
        <v/>
      </c>
      <c r="GE109" s="172">
        <f>MIN(1,MAX(VLOOKUP(($AJ109-$AI109-$AH109-$AG109-$AF109-$AE109*(1+GE$3))/$AJ109,'Технический лист'!$A:$B,2,1),(GD109-0.05)))</f>
        <v/>
      </c>
      <c r="GF109" s="172">
        <f>MIN(1,MAX(VLOOKUP(($AJ109-$AI109-$AH109-$AG109-$AF109-$AE109*(1+GF$3))/$AJ109,'Технический лист'!$A:$B,2,1),(GE109-0.05)))</f>
        <v/>
      </c>
      <c r="GG109" s="172">
        <f>MIN(1,MAX(VLOOKUP(($AJ109-$AI109-$AH109-$AG109-$AF109-$AE109*(1+GG$3))/$AJ109,'Технический лист'!$A:$B,2,1),(GF109-0.05)))</f>
        <v/>
      </c>
      <c r="GH109" s="172">
        <f>MIN(1,MAX(VLOOKUP(($AJ109-$AI109-$AH109-$AG109-$AF109-$AE109*(1+GH$3))/$AJ109,'Технический лист'!$A:$B,2,1),(GG109-0.05)))</f>
        <v/>
      </c>
      <c r="GI109" s="172">
        <f>MIN(1,MAX(VLOOKUP(($AJ109-$AI109-$AH109-$AG109-$AF109-$AE109*(1+GI$3))/$AJ109,'Технический лист'!$A:$B,2,1),(GH109-0.05)))</f>
        <v/>
      </c>
      <c r="GJ109" s="172">
        <f>MIN(1,MAX(VLOOKUP(($AJ109-$AI109-$AH109-$AG109-$AF109-$AE109*(1+GJ$3))/$AJ109,'Технический лист'!$A:$B,2,1),(GI109-0.05)))</f>
        <v/>
      </c>
      <c r="GK109" s="172">
        <f>MIN(1,MAX(VLOOKUP(($AJ109-$AI109-$AH109-$AG109-$AF109-$AE109*(1+GK$3))/$AJ109,'Технический лист'!$A:$B,2,1),(GJ109-0.05)))</f>
        <v/>
      </c>
      <c r="GL109" s="172">
        <f>MIN(1,MAX(VLOOKUP(($AJ109-$AI109-$AH109-$AG109-$AF109-$AE109*(1+GL$3))/$AJ109,'Технический лист'!$A:$B,2,1),(GK109-0.05)))</f>
        <v/>
      </c>
      <c r="GM109" s="172">
        <f>MIN(1,MAX(VLOOKUP(($AJ109-$AI109-$AH109-$AG109-$AF109-$AE109*(1+GM$3))/$AJ109,'Технический лист'!$A:$B,2,1),(GL109-0.05)))</f>
        <v/>
      </c>
      <c r="GN109" s="172">
        <f>MIN(1,MAX(VLOOKUP(($AJ109-$AI109-$AH109-$AG109-$AF109-$AE109*(1+GN$3))/$AJ109,'Технический лист'!$A:$B,2,1),(GM109-0.05)))</f>
        <v/>
      </c>
      <c r="GO109" s="172">
        <f>MIN(1,MAX(VLOOKUP(($AJ109-$AI109-$AH109-$AG109-$AF109-$AE109*(1+GO$3))/$AJ109,'Технический лист'!$A:$B,2,1),(GN109-0.05)))</f>
        <v/>
      </c>
      <c r="GP109" s="172">
        <f>MIN(1,MAX(VLOOKUP(($AJ109-$AI109-$AH109-$AG109-$AF109-$AE109*(1+GP$3))/$AJ109,'Технический лист'!$A:$B,2,1),(GO109-0.05)))</f>
        <v/>
      </c>
      <c r="GQ109" s="172">
        <f>MIN(1,MAX(VLOOKUP(($AJ109-$AI109-$AH109-$AG109-$AF109-$AE109*(1+GQ$3))/$AJ109,'Технический лист'!$A:$B,2,1),(GP109-0.05)))</f>
        <v/>
      </c>
      <c r="GR109" s="172">
        <f>MIN(1,MAX(VLOOKUP(($AJ109-$AI109-$AH109-$AG109-$AF109-$AE109*(1+GR$3))/$AJ109,'Технический лист'!$A:$B,2,1),(GQ109-0.05)))</f>
        <v/>
      </c>
      <c r="GS109" s="172">
        <f>MIN(1,MAX(VLOOKUP(($AJ109-$AI109-$AH109-$AG109-$AF109-$AE109*(1+GS$3))/$AJ109,'Технический лист'!$A:$B,2,1),(GR109-0.05)))</f>
        <v/>
      </c>
      <c r="GT109" s="172">
        <f>MIN(1,MAX(VLOOKUP(($AJ109-$AI109-$AH109-$AG109-$AF109-$AE109*(1+GT$3))/$AJ109,'Технический лист'!$A:$B,2,1),(GS109-0.05)))</f>
        <v/>
      </c>
      <c r="GU109" s="172">
        <f>MIN(1,MAX(VLOOKUP(($AJ109-$AI109-$AH109-$AG109-$AF109-$AE109*(1+GU$3))/$AJ109,'Технический лист'!$A:$B,2,1),(GT109-0.05)))</f>
        <v/>
      </c>
      <c r="GV109" s="172">
        <f>MIN(1,MAX(VLOOKUP(($AJ109-$AI109-$AH109-$AG109-$AF109-$AE109*(1+GV$3))/$AJ109,'Технический лист'!$A:$B,2,1),(GU109-0.05)))</f>
        <v/>
      </c>
      <c r="GW109" s="172">
        <f>MIN(1,MAX(VLOOKUP(($AJ109-$AI109-$AH109-$AG109-$AF109-$AE109*(1+GW$3))/$AJ109,'Технический лист'!$A:$B,2,1),(GV109-0.05)))</f>
        <v/>
      </c>
      <c r="GX109" s="172">
        <f>MIN(1,MAX(VLOOKUP(($AJ109-$AI109-$AH109-$AG109-$AF109-$AE109*(1+GX$3))/$AJ109,'Технический лист'!$A:$B,2,1),(GW109-0.05)))</f>
        <v/>
      </c>
      <c r="GY109" s="172">
        <f>MIN(1,MAX(VLOOKUP(($AJ109-$AI109-$AH109-$AG109-$AF109-$AE109*(1+GY$3))/$AJ109,'Технический лист'!$A:$B,2,1),(GX109-0.05)))</f>
        <v/>
      </c>
      <c r="GZ109" s="172">
        <f>MIN(1,MAX(VLOOKUP(($AJ109-$AI109-$AH109-$AG109-$AF109-$AE109*(1+GZ$3))/$AJ109,'Технический лист'!$A:$B,2,1),(GY109-0.05)))</f>
        <v/>
      </c>
      <c r="HA109" s="172">
        <f>MIN(1,MAX(VLOOKUP(($AJ109-$AI109-$AH109-$AG109-$AF109-$AE109*(1+HA$3))/$AJ109,'Технический лист'!$A:$B,2,1),(GZ109-0.05)))</f>
        <v/>
      </c>
      <c r="HB109" s="172">
        <f>MIN(1,MAX(VLOOKUP(($AJ109-$AI109-$AH109-$AG109-$AF109-$AE109*(1+HB$3))/$AJ109,'Технический лист'!$A:$B,2,1),(HA109-0.05)))</f>
        <v/>
      </c>
      <c r="HC109" s="172">
        <f>MIN(1,MAX(VLOOKUP(($AJ109-$AI109-$AH109-$AG109-$AF109-$AE109*(1+HC$3))/$AJ109,'Технический лист'!$A:$B,2,1),(HB109-0.05)))</f>
        <v/>
      </c>
      <c r="HD109" s="172">
        <f>MIN(1,MAX(VLOOKUP(($AJ109-$AI109-$AH109-$AG109-$AF109-$AE109*(1+HD$3))/$AJ109,'Технический лист'!$A:$B,2,1),(HC109-0.05)))</f>
        <v/>
      </c>
      <c r="HE109" s="172">
        <f>MIN(1,MAX(VLOOKUP(($AJ109-$AI109-$AH109-$AG109-$AF109-$AE109*(1+HE$3))/$AJ109,'Технический лист'!$A:$B,2,1),(HD109-0.05)))</f>
        <v/>
      </c>
      <c r="HF109" s="172">
        <f>MIN(1,MAX(VLOOKUP(($AJ109-$AI109-$AH109-$AG109-$AF109-$AE109*(1+HF$3))/$AJ109,'Технический лист'!$A:$B,2,1),(HE109-0.05)))</f>
        <v/>
      </c>
      <c r="HG109" s="172">
        <f>MIN(1,MAX(VLOOKUP(($AJ109-$AI109-$AH109-$AG109-$AF109-$AE109*(1+HG$3))/$AJ109,'Технический лист'!$A:$B,2,1),(HF109-0.05)))</f>
        <v/>
      </c>
      <c r="HH109" s="172">
        <f>MIN(1,MAX(VLOOKUP(($AJ109-$AI109-$AH109-$AG109-$AF109-$AE109*(1+HH$3))/$AJ109,'Технический лист'!$A:$B,2,1),(HG109-0.05)))</f>
        <v/>
      </c>
      <c r="HI109" s="172">
        <f>MIN(1,MAX(VLOOKUP(($AJ109-$AI109-$AH109-$AG109-$AF109-$AE109*(1+HI$3))/$AJ109,'Технический лист'!$A:$B,2,1),(HH109-0.05)))</f>
        <v/>
      </c>
      <c r="HJ109" s="172">
        <f>MIN(1,MAX(VLOOKUP(($AJ109-$AI109-$AH109-$AG109-$AF109-$AE109*(1+HJ$3))/$AJ109,'Технический лист'!$A:$B,2,1),(HI109-0.05)))</f>
        <v/>
      </c>
      <c r="HK109" s="172">
        <f>MIN(1,MAX(VLOOKUP(($AJ109-$AI109-$AH109-$AG109-$AF109-$AE109*(1+HK$3))/$AJ109,'Технический лист'!$A:$B,2,1),(HJ109-0.05)))</f>
        <v/>
      </c>
      <c r="HL109" s="172">
        <f>MIN(1,MAX(VLOOKUP(($AJ109-$AI109-$AH109-$AG109-$AF109-$AE109*(1+HL$3))/$AJ109,'Технический лист'!$A:$B,2,1),(HK109-0.05)))</f>
        <v/>
      </c>
      <c r="HM109" s="172">
        <f>MIN(1,MAX(VLOOKUP(($AJ109-$AI109-$AH109-$AG109-$AF109-$AE109*(1+HM$3))/$AJ109,'Технический лист'!$A:$B,2,1),(HL109-0.05)))</f>
        <v/>
      </c>
      <c r="HN109" s="172">
        <f>MIN(1,MAX(VLOOKUP(($AJ109-$AI109-$AH109-$AG109-$AF109-$AE109*(1+HN$3))/$AJ109,'Технический лист'!$A:$B,2,1),(HM109-0.05)))</f>
        <v/>
      </c>
      <c r="HO109" s="172">
        <f>MIN(1,MAX(VLOOKUP(($AJ109-$AI109-$AH109-$AG109-$AF109-$AE109*(1+HO$3))/$AJ109,'Технический лист'!$A:$B,2,1),(HN109-0.05)))</f>
        <v/>
      </c>
      <c r="HP109" s="172">
        <f>MIN(1,MAX(VLOOKUP(($AJ109-$AI109-$AH109-$AG109-$AF109-$AE109*(1+HP$3))/$AJ109,'Технический лист'!$A:$B,2,1),(HO109-0.05)))</f>
        <v/>
      </c>
      <c r="HQ109" s="172">
        <f>MIN(1,MAX(VLOOKUP(($AJ109-$AI109-$AH109-$AG109-$AF109-$AE109*(1+HQ$3))/$AJ109,'Технический лист'!$A:$B,2,1),(HP109-0.05)))</f>
        <v/>
      </c>
      <c r="HR109" s="172">
        <f>MIN(1,MAX(VLOOKUP(($AJ109-$AI109-$AH109-$AG109-$AF109-$AE109*(1+HR$3))/$AJ109,'Технический лист'!$A:$B,2,1),(HQ109-0.05)))</f>
        <v/>
      </c>
      <c r="HS109" s="172">
        <f>MIN(1,MAX(VLOOKUP(($AJ109-$AI109-$AH109-$AG109-$AF109-$AE109*(1+HS$3))/$AJ109,'Технический лист'!$A:$B,2,1),(HR109-0.05)))</f>
        <v/>
      </c>
      <c r="HT109" s="172">
        <f>MIN(1,MAX(VLOOKUP(($AJ109-$AI109-$AH109-$AG109-$AF109-$AE109*(1+HT$3))/$AJ109,'Технический лист'!$A:$B,2,1),(HS109-0.05)))</f>
        <v/>
      </c>
      <c r="HU109" s="172">
        <f>MIN(1,MAX(VLOOKUP(($AJ109-$AI109-$AH109-$AG109-$AF109-$AE109*(1+HU$3))/$AJ109,'Технический лист'!$A:$B,2,1),(HT109-0.05)))</f>
        <v/>
      </c>
      <c r="HV109" s="172">
        <f>MIN(1,MAX(VLOOKUP(($AJ109-$AI109-$AH109-$AG109-$AF109-$AE109*(1+HV$3))/$AJ109,'Технический лист'!$A:$B,2,1),(HU109-0.05)))</f>
        <v/>
      </c>
      <c r="HW109" s="172">
        <f>MIN(1,MAX(VLOOKUP(($AJ109-$AI109-$AH109-$AG109-$AF109-$AE109*(1+HW$3))/$AJ109,'Технический лист'!$A:$B,2,1),(HV109-0.05)))</f>
        <v/>
      </c>
      <c r="HX109" s="172">
        <f>MIN(1,MAX(VLOOKUP(($AJ109-$AI109-$AH109-$AG109-$AF109-$AE109*(1+HX$3))/$AJ109,'Технический лист'!$A:$B,2,1),(HW109-0.05)))</f>
        <v/>
      </c>
      <c r="HY109" s="172">
        <f>MIN(1,MAX(VLOOKUP(($AJ109-$AI109-$AH109-$AG109-$AF109-$AE109*(1+HY$3))/$AJ109,'Технический лист'!$A:$B,2,1),(HX109-0.05)))</f>
        <v/>
      </c>
      <c r="HZ109" s="172">
        <f>MIN(1,MAX(VLOOKUP(($AJ109-$AI109-$AH109-$AG109-$AF109-$AE109*(1+HZ$3))/$AJ109,'Технический лист'!$A:$B,2,1),(HY109-0.05)))</f>
        <v/>
      </c>
      <c r="IA109" s="172">
        <f>MIN(1,MAX(VLOOKUP(($AJ109-$AI109-$AH109-$AG109-$AF109-$AE109*(1+IA$3))/$AJ109,'Технический лист'!$A:$B,2,1),(HZ109-0.05)))</f>
        <v/>
      </c>
      <c r="IB109" s="172">
        <f>MIN(1,MAX(VLOOKUP(($AJ109-$AI109-$AH109-$AG109-$AF109-$AE109*(1+IB$3))/$AJ109,'Технический лист'!$A:$B,2,1),(IA109-0.05)))</f>
        <v/>
      </c>
      <c r="IC109" s="172">
        <f>MIN(1,MAX(VLOOKUP(($AJ109-$AI109-$AH109-$AG109-$AF109-$AE109*(1+IC$3))/$AJ109,'Технический лист'!$A:$B,2,1),(IB109-0.05)))</f>
        <v/>
      </c>
      <c r="ID109" s="172">
        <f>MIN(1,MAX(VLOOKUP(($AJ109-$AI109-$AH109-$AG109-$AF109-$AE109*(1+ID$3))/$AJ109,'Технический лист'!$A:$B,2,1),(IC109-0.05)))</f>
        <v/>
      </c>
      <c r="IE109" s="172">
        <f>MIN(1,MAX(VLOOKUP(($AJ109-$AI109-$AH109-$AG109-$AF109-$AE109*(1+IE$3))/$AJ109,'Технический лист'!$A:$B,2,1),(ID109-0.05)))</f>
        <v/>
      </c>
      <c r="IF109" s="172">
        <f>MIN(1,MAX(VLOOKUP(($AJ109-$AI109-$AH109-$AG109-$AF109-$AE109*(1+IF$3))/$AJ109,'Технический лист'!$A:$B,2,1),(IE109-0.05)))</f>
        <v/>
      </c>
      <c r="IG109" s="172">
        <f>MIN(1,MAX(VLOOKUP(($AJ109-$AI109-$AH109-$AG109-$AF109-$AE109*(1+IG$3))/$AJ109,'Технический лист'!$A:$B,2,1),(IF109-0.05)))</f>
        <v/>
      </c>
      <c r="IH109" s="172">
        <f>MIN(1,MAX(VLOOKUP(($AJ109-$AI109-$AH109-$AG109-$AF109-$AE109*(1+IH$3))/$AJ109,'Технический лист'!$A:$B,2,1),(IG109-0.05)))</f>
        <v/>
      </c>
      <c r="II109" s="172">
        <f>MIN(1,MAX(VLOOKUP(($AJ109-$AI109-$AH109-$AG109-$AF109-$AE109*(1+II$3))/$AJ109,'Технический лист'!$A:$B,2,1),(IH109-0.05)))</f>
        <v/>
      </c>
      <c r="IJ109" s="172">
        <f>MIN(1,MAX(VLOOKUP(($AJ109-$AI109-$AH109-$AG109-$AF109-$AE109*(1+IJ$3))/$AJ109,'Технический лист'!$A:$B,2,1),(II109-0.05)))</f>
        <v/>
      </c>
      <c r="IK109" s="172">
        <f>MIN(1,MAX(VLOOKUP(($AJ109-$AI109-$AH109-$AG109-$AF109-$AE109*(1+IK$3))/$AJ109,'Технический лист'!$A:$B,2,1),(IJ109-0.05)))</f>
        <v/>
      </c>
      <c r="IL109" s="172">
        <f>MIN(1,MAX(VLOOKUP(($AJ109-$AI109-$AH109-$AG109-$AF109-$AE109*(1+IL$3))/$AJ109,'Технический лист'!$A:$B,2,1),(IK109-0.05)))</f>
        <v/>
      </c>
      <c r="IM109" s="172">
        <f>MIN(1,MAX(VLOOKUP(($AJ109-$AI109-$AH109-$AG109-$AF109-$AE109*(1+IM$3))/$AJ109,'Технический лист'!$A:$B,2,1),(IL109-0.05)))</f>
        <v/>
      </c>
      <c r="IN109" s="172">
        <f>MIN(1,MAX(VLOOKUP(($AJ109-$AI109-$AH109-$AG109-$AF109-$AE109*(1+IN$3))/$AJ109,'Технический лист'!$A:$B,2,1),(IM109-0.05)))</f>
        <v/>
      </c>
      <c r="IO109" s="172">
        <f>MIN(1,MAX(VLOOKUP(($AJ109-$AI109-$AH109-$AG109-$AF109-$AE109*(1+IO$3))/$AJ109,'Технический лист'!$A:$B,2,1),(IN109-0.05)))</f>
        <v/>
      </c>
      <c r="IP109" s="172">
        <f>MIN(1,MAX(VLOOKUP(($AJ109-$AI109-$AH109-$AG109-$AF109-$AE109*(1+IP$3))/$AJ109,'Технический лист'!$A:$B,2,1),(IO109-0.05)))</f>
        <v/>
      </c>
      <c r="IQ109" s="172">
        <f>MIN(1,MAX(VLOOKUP(($AJ109-$AI109-$AH109-$AG109-$AF109-$AE109*(1+IQ$3))/$AJ109,'Технический лист'!$A:$B,2,1),(IP109-0.05)))</f>
        <v/>
      </c>
      <c r="IR109" s="172">
        <f>MIN(1,MAX(VLOOKUP(($AJ109-$AI109-$AH109-$AG109-$AF109-$AE109*(1+IR$3))/$AJ109,'Технический лист'!$A:$B,2,1),(IQ109-0.05)))</f>
        <v/>
      </c>
    </row>
    <row r="110" ht="43.75" customHeight="1" s="123">
      <c r="A110" s="89" t="inlineStr">
        <is>
          <t>ЧМ (продукция)</t>
        </is>
      </c>
      <c r="B110" s="90" t="n">
        <v>5</v>
      </c>
      <c r="C110" s="5" t="inlineStr">
        <is>
          <t>Черные металлы</t>
        </is>
      </c>
      <c r="D110" s="91" t="n">
        <v>32416</v>
      </c>
      <c r="E110" s="91" t="inlineStr">
        <is>
          <t xml:space="preserve">Сталь листовая, не поименованная в алфавите </t>
        </is>
      </c>
      <c r="F110" s="92" t="inlineStr">
        <is>
          <t>ПРОЧИЕ ВИДЫ ПРОКАТА ЧЕРНЫ</t>
        </is>
      </c>
      <c r="G110" s="91" t="inlineStr">
        <is>
          <t>ЮУР</t>
        </is>
      </c>
      <c r="H110" s="91" t="inlineStr">
        <is>
          <t>МСК</t>
        </is>
      </c>
      <c r="I110" s="91" t="inlineStr">
        <is>
          <t>МАГНИТОГ-ГР</t>
        </is>
      </c>
      <c r="J110" s="91" t="inlineStr">
        <is>
          <t>БЕЛЫЙ РАСТ</t>
        </is>
      </c>
      <c r="K110" s="91" t="n">
        <v>2035</v>
      </c>
      <c r="L110" s="91" t="inlineStr">
        <is>
          <t>Полувагоны</t>
        </is>
      </c>
      <c r="M110" s="91" t="inlineStr">
        <is>
          <t>Внутр. перевозки</t>
        </is>
      </c>
      <c r="N110" s="91" t="inlineStr">
        <is>
          <t>вагонная</t>
        </is>
      </c>
      <c r="O110" s="91" t="inlineStr">
        <is>
          <t xml:space="preserve">Северо-Западное </t>
        </is>
      </c>
      <c r="P110" s="89" t="inlineStr">
        <is>
          <t>'000000186424</t>
        </is>
      </c>
      <c r="Q110" s="91" t="inlineStr">
        <is>
          <t>'ПАО "ММК"</t>
        </is>
      </c>
      <c r="R110" s="91" t="inlineStr">
        <is>
          <t>ПАО "ММК"</t>
        </is>
      </c>
      <c r="S110" s="87" t="n">
        <v>178267</v>
      </c>
      <c r="T110" s="87" t="n">
        <v>362738397</v>
      </c>
      <c r="U110" s="88" t="n">
        <v>2713</v>
      </c>
      <c r="V110" s="88" t="n">
        <v>0</v>
      </c>
      <c r="W110" s="87" t="n">
        <v>642474137</v>
      </c>
      <c r="X110" s="112" t="n">
        <v>62</v>
      </c>
      <c r="Y110" s="112" t="inlineStr">
        <is>
          <t>повагонная</t>
        </is>
      </c>
      <c r="Z110" s="113" t="n">
        <v>9</v>
      </c>
      <c r="AA110" s="113" t="n">
        <v>7</v>
      </c>
      <c r="AB110" s="113" t="n">
        <v>4</v>
      </c>
      <c r="AC110" s="161" t="n">
        <v>4331.29</v>
      </c>
      <c r="AD110" s="161">
        <f>AE110-AC110</f>
        <v/>
      </c>
      <c r="AE110" s="161" t="n">
        <v>4970.31</v>
      </c>
      <c r="AF110" s="162">
        <f>(Z110+AA110+AB110)*'Ставки аренды'!$B$3/X110</f>
        <v/>
      </c>
      <c r="AG110" s="163" t="n">
        <v>0</v>
      </c>
      <c r="AH110" s="164" t="n">
        <v>0</v>
      </c>
      <c r="AI110" s="174">
        <f>429559973/511416159*AVERAGE(AJ108,AJ109)</f>
        <v/>
      </c>
      <c r="AJ110" s="166">
        <f>Цены!$D$16</f>
        <v/>
      </c>
      <c r="AK110" s="164">
        <f>AJ110/Цены!$B$1</f>
        <v/>
      </c>
      <c r="AL110" s="164">
        <f>AE110+AF110+AG110</f>
        <v/>
      </c>
      <c r="AM110" s="164">
        <f>AJ110-AL110</f>
        <v/>
      </c>
      <c r="AN110" s="164">
        <f>AI110+AH110+AG110+AF110+AE110</f>
        <v/>
      </c>
      <c r="AO110" s="167">
        <f>(AJ110-AN110)/AJ110</f>
        <v/>
      </c>
      <c r="AP110" s="168">
        <f>AL110/AJ110</f>
        <v/>
      </c>
      <c r="AQ110" s="168">
        <f>AE110/AJ110</f>
        <v/>
      </c>
      <c r="AR110" s="168">
        <f>AE110/AL110</f>
        <v/>
      </c>
      <c r="AS110" s="169" t="n">
        <v>1</v>
      </c>
      <c r="AT110" s="121">
        <f>S110*AS110</f>
        <v/>
      </c>
      <c r="AU110" s="83" t="n">
        <v>0.6</v>
      </c>
      <c r="AV110" s="170">
        <f>(AJ110-(AE110*(1+$IS$2)+AF110+AG110+AH110+AI110))/AJ110</f>
        <v/>
      </c>
      <c r="AW110" s="171">
        <f>(AE110*(1+$IS$2)+AF110+AG110)/AJ110</f>
        <v/>
      </c>
      <c r="AX110" s="171">
        <f>(AE110*(1+$IS$2))/AJ110</f>
        <v/>
      </c>
      <c r="AY110" s="171">
        <f>(AE110*(1+$IS$2))/(AE110*(1+$IS$2)+AF110+AG110)</f>
        <v/>
      </c>
      <c r="AZ110" s="172">
        <f>MIN(IF($AU110=100%,1,1+VLOOKUP(($AJ110-$AI110-$AH110-$AG110-$AF110-$AE110*(1+AZ$3))/$AJ110,'Технический лист'!$I:$J,2,1)-VLOOKUP($AO110,'Технический лист'!$I:$J,2,1)),1+(1-$AU110))</f>
        <v/>
      </c>
      <c r="BA110" s="172">
        <f>MIN(IF($AU110=100%,1,1+VLOOKUP(($AJ110-$AI110-$AH110-$AG110-$AF110-$AE110*(1+BA$3))/$AJ110,'Технический лист'!$I:$J,2,1)-VLOOKUP($AO110,'Технический лист'!$I:$J,2,1)),1+(1-$AU110))</f>
        <v/>
      </c>
      <c r="BB110" s="172">
        <f>MIN(IF($AU110=100%,1,1+VLOOKUP(($AJ110-$AI110-$AH110-$AG110-$AF110-$AE110*(1+BB$3))/$AJ110,'Технический лист'!$I:$J,2,1)-VLOOKUP($AO110,'Технический лист'!$I:$J,2,1)),1+(1-$AU110))</f>
        <v/>
      </c>
      <c r="BC110" s="172">
        <f>MIN(IF($AU110=100%,1,1+VLOOKUP(($AJ110-$AI110-$AH110-$AG110-$AF110-$AE110*(1+BC$3))/$AJ110,'Технический лист'!$I:$J,2,1)-VLOOKUP($AO110,'Технический лист'!$I:$J,2,1)),1+(1-$AU110))</f>
        <v/>
      </c>
      <c r="BD110" s="172">
        <f>MIN(IF($AU110=100%,1,1+VLOOKUP(($AJ110-$AI110-$AH110-$AG110-$AF110-$AE110*(1+BD$3))/$AJ110,'Технический лист'!$I:$J,2,1)-VLOOKUP($AO110,'Технический лист'!$I:$J,2,1)),1+(1-$AU110))</f>
        <v/>
      </c>
      <c r="BE110" s="172">
        <f>MIN(IF($AU110=100%,1,1+VLOOKUP(($AJ110-$AI110-$AH110-$AG110-$AF110-$AE110*(1+BE$3))/$AJ110,'Технический лист'!$I:$J,2,1)-VLOOKUP($AO110,'Технический лист'!$I:$J,2,1)),1+(1-$AU110))</f>
        <v/>
      </c>
      <c r="BF110" s="172">
        <f>MIN(IF($AU110=100%,1,1+VLOOKUP(($AJ110-$AI110-$AH110-$AG110-$AF110-$AE110*(1+BF$3))/$AJ110,'Технический лист'!$I:$J,2,1)-VLOOKUP($AO110,'Технический лист'!$I:$J,2,1)),1+(1-$AU110))</f>
        <v/>
      </c>
      <c r="BG110" s="172">
        <f>MIN(IF($AU110=100%,1,1+VLOOKUP(($AJ110-$AI110-$AH110-$AG110-$AF110-$AE110*(1+BG$3))/$AJ110,'Технический лист'!$I:$J,2,1)-VLOOKUP($AO110,'Технический лист'!$I:$J,2,1)),1+(1-$AU110))</f>
        <v/>
      </c>
      <c r="BH110" s="172">
        <f>MIN(IF($AU110=100%,1,1+VLOOKUP(($AJ110-$AI110-$AH110-$AG110-$AF110-$AE110*(1+BH$3))/$AJ110,'Технический лист'!$I:$J,2,1)-VLOOKUP($AO110,'Технический лист'!$I:$J,2,1)),1+(1-$AU110))</f>
        <v/>
      </c>
      <c r="BI110" s="172">
        <f>MIN(IF($AU110=100%,1,1+VLOOKUP(($AJ110-$AI110-$AH110-$AG110-$AF110-$AE110*(1+BI$3))/$AJ110,'Технический лист'!$I:$J,2,1)-VLOOKUP($AO110,'Технический лист'!$I:$J,2,1)),1+(1-$AU110))</f>
        <v/>
      </c>
      <c r="BJ110" s="172">
        <f>MIN(IF($AU110=100%,1,1+VLOOKUP(($AJ110-$AI110-$AH110-$AG110-$AF110-$AE110*(1+BJ$3))/$AJ110,'Технический лист'!$I:$J,2,1)-VLOOKUP($AO110,'Технический лист'!$I:$J,2,1)),1+(1-$AU110))</f>
        <v/>
      </c>
      <c r="BK110" s="172">
        <f>MIN(IF($AU110=100%,1,1+VLOOKUP(($AJ110-$AI110-$AH110-$AG110-$AF110-$AE110*(1+BK$3))/$AJ110,'Технический лист'!$I:$J,2,1)-VLOOKUP($AO110,'Технический лист'!$I:$J,2,1)),1+(1-$AU110))</f>
        <v/>
      </c>
      <c r="BL110" s="172">
        <f>MIN(IF($AU110=100%,1,1+VLOOKUP(($AJ110-$AI110-$AH110-$AG110-$AF110-$AE110*(1+BL$3))/$AJ110,'Технический лист'!$I:$J,2,1)-VLOOKUP($AO110,'Технический лист'!$I:$J,2,1)),1+(1-$AU110))</f>
        <v/>
      </c>
      <c r="BM110" s="172">
        <f>MIN(IF($AU110=100%,1,1+VLOOKUP(($AJ110-$AI110-$AH110-$AG110-$AF110-$AE110*(1+BM$3))/$AJ110,'Технический лист'!$I:$J,2,1)-VLOOKUP($AO110,'Технический лист'!$I:$J,2,1)),1+(1-$AU110))</f>
        <v/>
      </c>
      <c r="BN110" s="172">
        <f>MIN(IF($AU110=100%,1,1+VLOOKUP(($AJ110-$AI110-$AH110-$AG110-$AF110-$AE110*(1+BN$3))/$AJ110,'Технический лист'!$I:$J,2,1)-VLOOKUP($AO110,'Технический лист'!$I:$J,2,1)),1+(1-$AU110))</f>
        <v/>
      </c>
      <c r="BO110" s="172">
        <f>MIN(IF($AU110=100%,1,1+VLOOKUP(($AJ110-$AI110-$AH110-$AG110-$AF110-$AE110*(1+BO$3))/$AJ110,'Технический лист'!$I:$J,2,1)-VLOOKUP($AO110,'Технический лист'!$I:$J,2,1)),1+(1-$AU110))</f>
        <v/>
      </c>
      <c r="BP110" s="172">
        <f>MIN(IF($AU110=100%,1,1+VLOOKUP(($AJ110-$AI110-$AH110-$AG110-$AF110-$AE110*(1+BP$3))/$AJ110,'Технический лист'!$I:$J,2,1)-VLOOKUP($AO110,'Технический лист'!$I:$J,2,1)),1+(1-$AU110))</f>
        <v/>
      </c>
      <c r="BQ110" s="172">
        <f>MIN(IF($AU110=100%,1,1+VLOOKUP(($AJ110-$AI110-$AH110-$AG110-$AF110-$AE110*(1+BQ$3))/$AJ110,'Технический лист'!$I:$J,2,1)-VLOOKUP($AO110,'Технический лист'!$I:$J,2,1)),1+(1-$AU110))</f>
        <v/>
      </c>
      <c r="BR110" s="172">
        <f>MIN(IF($AU110=100%,1,1+VLOOKUP(($AJ110-$AI110-$AH110-$AG110-$AF110-$AE110*(1+BR$3))/$AJ110,'Технический лист'!$I:$J,2,1)-VLOOKUP($AO110,'Технический лист'!$I:$J,2,1)),1+(1-$AU110))</f>
        <v/>
      </c>
      <c r="BS110" s="172">
        <f>MIN(IF($AU110=100%,1,1+VLOOKUP(($AJ110-$AI110-$AH110-$AG110-$AF110-$AE110*(1+BS$3))/$AJ110,'Технический лист'!$I:$J,2,1)-VLOOKUP($AO110,'Технический лист'!$I:$J,2,1)),1+(1-$AU110))</f>
        <v/>
      </c>
      <c r="BT110" s="172">
        <f>MIN(IF($AU110=100%,1,1+VLOOKUP(($AJ110-$AI110-$AH110-$AG110-$AF110-$AE110*(1+BT$3))/$AJ110,'Технический лист'!$I:$J,2,1)-VLOOKUP($AO110,'Технический лист'!$I:$J,2,1)),1+(1-$AU110))</f>
        <v/>
      </c>
      <c r="BU110" s="172">
        <f>MIN(IF($AU110=100%,1,1+VLOOKUP(($AJ110-$AI110-$AH110-$AG110-$AF110-$AE110*(1+BU$3))/$AJ110,'Технический лист'!$I:$J,2,1)-VLOOKUP($AO110,'Технический лист'!$I:$J,2,1)),1+(1-$AU110))</f>
        <v/>
      </c>
      <c r="BV110" s="172">
        <f>MIN(IF($AU110=100%,1,1+VLOOKUP(($AJ110-$AI110-$AH110-$AG110-$AF110-$AE110*(1+BV$3))/$AJ110,'Технический лист'!$I:$J,2,1)-VLOOKUP($AO110,'Технический лист'!$I:$J,2,1)),1+(1-$AU110))</f>
        <v/>
      </c>
      <c r="BW110" s="172">
        <f>MIN(IF($AU110=100%,1,1+VLOOKUP(($AJ110-$AI110-$AH110-$AG110-$AF110-$AE110*(1+BW$3))/$AJ110,'Технический лист'!$I:$J,2,1)-VLOOKUP($AO110,'Технический лист'!$I:$J,2,1)),1+(1-$AU110))</f>
        <v/>
      </c>
      <c r="BX110" s="172">
        <f>MIN(IF($AU110=100%,1,1+VLOOKUP(($AJ110-$AI110-$AH110-$AG110-$AF110-$AE110*(1+BX$3))/$AJ110,'Технический лист'!$I:$J,2,1)-VLOOKUP($AO110,'Технический лист'!$I:$J,2,1)),1+(1-$AU110))</f>
        <v/>
      </c>
      <c r="BY110" s="172">
        <f>MIN(IF($AU110=100%,1,1+VLOOKUP(($AJ110-$AI110-$AH110-$AG110-$AF110-$AE110*(1+BY$3))/$AJ110,'Технический лист'!$I:$J,2,1)-VLOOKUP($AO110,'Технический лист'!$I:$J,2,1)),1+(1-$AU110))</f>
        <v/>
      </c>
      <c r="BZ110" s="172">
        <f>MIN(IF($AU110=100%,1,1+VLOOKUP(($AJ110-$AI110-$AH110-$AG110-$AF110-$AE110*(1+BZ$3))/$AJ110,'Технический лист'!$I:$J,2,1)-VLOOKUP($AO110,'Технический лист'!$I:$J,2,1)),1+(1-$AU110))</f>
        <v/>
      </c>
      <c r="CA110" s="172">
        <f>MIN(IF($AU110=100%,1,1+VLOOKUP(($AJ110-$AI110-$AH110-$AG110-$AF110-$AE110*(1+CA$3))/$AJ110,'Технический лист'!$I:$J,2,1)-VLOOKUP($AO110,'Технический лист'!$I:$J,2,1)),1+(1-$AU110))</f>
        <v/>
      </c>
      <c r="CB110" s="172">
        <f>MIN(IF($AU110=100%,1,1+VLOOKUP(($AJ110-$AI110-$AH110-$AG110-$AF110-$AE110*(1+CB$3))/$AJ110,'Технический лист'!$I:$J,2,1)-VLOOKUP($AO110,'Технический лист'!$I:$J,2,1)),1+(1-$AU110))</f>
        <v/>
      </c>
      <c r="CC110" s="172">
        <f>MIN(IF($AU110=100%,1,1+VLOOKUP(($AJ110-$AI110-$AH110-$AG110-$AF110-$AE110*(1+CC$3))/$AJ110,'Технический лист'!$I:$J,2,1)-VLOOKUP($AO110,'Технический лист'!$I:$J,2,1)),1+(1-$AU110))</f>
        <v/>
      </c>
      <c r="CD110" s="172">
        <f>MIN(IF($AU110=100%,1,1+VLOOKUP(($AJ110-$AI110-$AH110-$AG110-$AF110-$AE110*(1+CD$3))/$AJ110,'Технический лист'!$I:$J,2,1)-VLOOKUP($AO110,'Технический лист'!$I:$J,2,1)),1+(1-$AU110))</f>
        <v/>
      </c>
      <c r="CE110" s="172">
        <f>MIN(IF($AU110=100%,1,1+VLOOKUP(($AJ110-$AI110-$AH110-$AG110-$AF110-$AE110*(1+CE$3))/$AJ110,'Технический лист'!$I:$J,2,1)-VLOOKUP($AO110,'Технический лист'!$I:$J,2,1)),1+(1-$AU110))</f>
        <v/>
      </c>
      <c r="CF110" s="172">
        <f>MIN(IF($AU110=100%,1,1+VLOOKUP(($AJ110-$AI110-$AH110-$AG110-$AF110-$AE110*(1+CF$3))/$AJ110,'Технический лист'!$I:$J,2,1)-VLOOKUP($AO110,'Технический лист'!$I:$J,2,1)),1+(1-$AU110))</f>
        <v/>
      </c>
      <c r="CG110" s="172">
        <f>MIN(IF($AU110=100%,1,1+VLOOKUP(($AJ110-$AI110-$AH110-$AG110-$AF110-$AE110*(1+CG$3))/$AJ110,'Технический лист'!$I:$J,2,1)-VLOOKUP($AO110,'Технический лист'!$I:$J,2,1)),1+(1-$AU110))</f>
        <v/>
      </c>
      <c r="CH110" s="172">
        <f>MIN(IF($AU110=100%,1,1+VLOOKUP(($AJ110-$AI110-$AH110-$AG110-$AF110-$AE110*(1+CH$3))/$AJ110,'Технический лист'!$I:$J,2,1)-VLOOKUP($AO110,'Технический лист'!$I:$J,2,1)),1+(1-$AU110))</f>
        <v/>
      </c>
      <c r="CI110" s="172">
        <f>MIN(IF($AU110=100%,1,1+VLOOKUP(($AJ110-$AI110-$AH110-$AG110-$AF110-$AE110*(1+CI$3))/$AJ110,'Технический лист'!$I:$J,2,1)-VLOOKUP($AO110,'Технический лист'!$I:$J,2,1)),1+(1-$AU110))</f>
        <v/>
      </c>
      <c r="CJ110" s="172">
        <f>MIN(IF($AU110=100%,1,1+VLOOKUP(($AJ110-$AI110-$AH110-$AG110-$AF110-$AE110*(1+CJ$3))/$AJ110,'Технический лист'!$I:$J,2,1)-VLOOKUP($AO110,'Технический лист'!$I:$J,2,1)),1+(1-$AU110))</f>
        <v/>
      </c>
      <c r="CK110" s="172">
        <f>MIN(IF($AU110=100%,1,1+VLOOKUP(($AJ110-$AI110-$AH110-$AG110-$AF110-$AE110*(1+CK$3))/$AJ110,'Технический лист'!$I:$J,2,1)-VLOOKUP($AO110,'Технический лист'!$I:$J,2,1)),1+(1-$AU110))</f>
        <v/>
      </c>
      <c r="CL110" s="172">
        <f>MIN(IF($AU110=100%,1,1+VLOOKUP(($AJ110-$AI110-$AH110-$AG110-$AF110-$AE110*(1+CL$3))/$AJ110,'Технический лист'!$I:$J,2,1)-VLOOKUP($AO110,'Технический лист'!$I:$J,2,1)),1+(1-$AU110))</f>
        <v/>
      </c>
      <c r="CM110" s="172">
        <f>MIN(IF($AU110=100%,1,1+VLOOKUP(($AJ110-$AI110-$AH110-$AG110-$AF110-$AE110*(1+CM$3))/$AJ110,'Технический лист'!$I:$J,2,1)-VLOOKUP($AO110,'Технический лист'!$I:$J,2,1)),1+(1-$AU110))</f>
        <v/>
      </c>
      <c r="CN110" s="172">
        <f>MIN(IF($AU110=100%,1,1+VLOOKUP(($AJ110-$AI110-$AH110-$AG110-$AF110-$AE110*(1+CN$3))/$AJ110,'Технический лист'!$I:$J,2,1)-VLOOKUP($AO110,'Технический лист'!$I:$J,2,1)),1+(1-$AU110))</f>
        <v/>
      </c>
      <c r="CO110" s="172">
        <f>MIN(IF($AU110=100%,1,1+VLOOKUP(($AJ110-$AI110-$AH110-$AG110-$AF110-$AE110*(1+CO$3))/$AJ110,'Технический лист'!$I:$J,2,1)-VLOOKUP($AO110,'Технический лист'!$I:$J,2,1)),1+(1-$AU110))</f>
        <v/>
      </c>
      <c r="CP110" s="172">
        <f>MIN(IF($AU110=100%,1,1+VLOOKUP(($AJ110-$AI110-$AH110-$AG110-$AF110-$AE110*(1+CP$3))/$AJ110,'Технический лист'!$I:$J,2,1)-VLOOKUP($AO110,'Технический лист'!$I:$J,2,1)),1+(1-$AU110))</f>
        <v/>
      </c>
      <c r="CQ110" s="172">
        <f>MIN(IF($AU110=100%,1,1+VLOOKUP(($AJ110-$AI110-$AH110-$AG110-$AF110-$AE110*(1+CQ$3))/$AJ110,'Технический лист'!$I:$J,2,1)-VLOOKUP($AO110,'Технический лист'!$I:$J,2,1)),1+(1-$AU110))</f>
        <v/>
      </c>
      <c r="CR110" s="172">
        <f>MIN(IF($AU110=100%,1,1+VLOOKUP(($AJ110-$AI110-$AH110-$AG110-$AF110-$AE110*(1+CR$3))/$AJ110,'Технический лист'!$I:$J,2,1)-VLOOKUP($AO110,'Технический лист'!$I:$J,2,1)),1+(1-$AU110))</f>
        <v/>
      </c>
      <c r="CS110" s="172">
        <f>MIN(IF($AU110=100%,1,1+VLOOKUP(($AJ110-$AI110-$AH110-$AG110-$AF110-$AE110*(1+CS$3))/$AJ110,'Технический лист'!$I:$J,2,1)-VLOOKUP($AO110,'Технический лист'!$I:$J,2,1)),1+(1-$AU110))</f>
        <v/>
      </c>
      <c r="CT110" s="172">
        <f>MIN(IF($AU110=100%,1,1+VLOOKUP(($AJ110-$AI110-$AH110-$AG110-$AF110-$AE110*(1+CT$3))/$AJ110,'Технический лист'!$I:$J,2,1)-VLOOKUP($AO110,'Технический лист'!$I:$J,2,1)),1+(1-$AU110))</f>
        <v/>
      </c>
      <c r="CU110" s="172">
        <f>MIN(IF($AU110=100%,1,1+VLOOKUP(($AJ110-$AI110-$AH110-$AG110-$AF110-$AE110*(1+CU$3))/$AJ110,'Технический лист'!$I:$J,2,1)-VLOOKUP($AO110,'Технический лист'!$I:$J,2,1)),1+(1-$AU110))</f>
        <v/>
      </c>
      <c r="CV110" s="172">
        <f>MIN(IF($AU110=100%,1,1+VLOOKUP(($AJ110-$AI110-$AH110-$AG110-$AF110-$AE110*(1+CV$3))/$AJ110,'Технический лист'!$I:$J,2,1)-VLOOKUP($AO110,'Технический лист'!$I:$J,2,1)),1+(1-$AU110))</f>
        <v/>
      </c>
      <c r="CW110" s="172">
        <f>MIN(IF($AU110=100%,1,1+VLOOKUP(($AJ110-$AI110-$AH110-$AG110-$AF110-$AE110*(1+CW$3))/$AJ110,'Технический лист'!$I:$J,2,1)-VLOOKUP($AO110,'Технический лист'!$I:$J,2,1)),1+(1-$AU110))</f>
        <v/>
      </c>
      <c r="CX110" s="172">
        <f>MIN(IF($AU110=100%,1,1+VLOOKUP(($AJ110-$AI110-$AH110-$AG110-$AF110-$AE110*(1+CX$3))/$AJ110,'Технический лист'!$I:$J,2,1)-VLOOKUP($AO110,'Технический лист'!$I:$J,2,1)),1+(1-$AU110))</f>
        <v/>
      </c>
      <c r="CY110" s="172">
        <f>MIN(IF($AU110=100%,1,1+VLOOKUP(($AJ110-$AI110-$AH110-$AG110-$AF110-$AE110*(1+CY$3))/$AJ110,'Технический лист'!$I:$J,2,1)-VLOOKUP($AO110,'Технический лист'!$I:$J,2,1)),1+(1-$AU110))</f>
        <v/>
      </c>
      <c r="CZ110" s="172">
        <f>MIN(IF($AU110=100%,1,1+VLOOKUP(($AJ110-$AI110-$AH110-$AG110-$AF110-$AE110*(1+CZ$3))/$AJ110,'Технический лист'!$I:$J,2,1)-VLOOKUP($AO110,'Технический лист'!$I:$J,2,1)),1+(1-$AU110))</f>
        <v/>
      </c>
      <c r="DA110" s="172">
        <f>MIN(IF($AU110=100%,1,1+VLOOKUP(($AJ110-$AI110-$AH110-$AG110-$AF110-$AE110*(1+DA$3))/$AJ110,'Технический лист'!$I:$J,2,1)-VLOOKUP($AO110,'Технический лист'!$I:$J,2,1)),1+(1-$AU110))</f>
        <v/>
      </c>
      <c r="DB110" s="172">
        <f>MIN(IF($AU110=100%,1,1+VLOOKUP(($AJ110-$AI110-$AH110-$AG110-$AF110-$AE110*(1+DB$3))/$AJ110,'Технический лист'!$I:$J,2,1)-VLOOKUP($AO110,'Технический лист'!$I:$J,2,1)),1+(1-$AU110))</f>
        <v/>
      </c>
      <c r="DC110" s="172">
        <f>MIN(IF($AU110=100%,1,1+VLOOKUP(($AJ110-$AI110-$AH110-$AG110-$AF110-$AE110*(1+DC$3))/$AJ110,'Технический лист'!$I:$J,2,1)-VLOOKUP($AO110,'Технический лист'!$I:$J,2,1)),1+(1-$AU110))</f>
        <v/>
      </c>
      <c r="DD110" s="172">
        <f>MIN(IF($AU110=100%,1,1+VLOOKUP(($AJ110-$AI110-$AH110-$AG110-$AF110-$AE110*(1+DD$3))/$AJ110,'Технический лист'!$I:$J,2,1)-VLOOKUP($AO110,'Технический лист'!$I:$J,2,1)),1+(1-$AU110))</f>
        <v/>
      </c>
      <c r="DE110" s="172">
        <f>MIN(IF($AU110=100%,1,1+VLOOKUP(($AJ110-$AI110-$AH110-$AG110-$AF110-$AE110*(1+DE$3))/$AJ110,'Технический лист'!$I:$J,2,1)-VLOOKUP($AO110,'Технический лист'!$I:$J,2,1)),1+(1-$AU110))</f>
        <v/>
      </c>
      <c r="DF110" s="172">
        <f>MIN(IF($AU110=100%,1,1+VLOOKUP(($AJ110-$AI110-$AH110-$AG110-$AF110-$AE110*(1+DF$3))/$AJ110,'Технический лист'!$I:$J,2,1)-VLOOKUP($AO110,'Технический лист'!$I:$J,2,1)),1+(1-$AU110))</f>
        <v/>
      </c>
      <c r="DG110" s="172">
        <f>MIN(IF($AU110=100%,1,1+VLOOKUP(($AJ110-$AI110-$AH110-$AG110-$AF110-$AE110*(1+DG$3))/$AJ110,'Технический лист'!$I:$J,2,1)-VLOOKUP($AO110,'Технический лист'!$I:$J,2,1)),1+(1-$AU110))</f>
        <v/>
      </c>
      <c r="DH110" s="172">
        <f>MIN(IF($AU110=100%,1,1+VLOOKUP(($AJ110-$AI110-$AH110-$AG110-$AF110-$AE110*(1+DH$3))/$AJ110,'Технический лист'!$I:$J,2,1)-VLOOKUP($AO110,'Технический лист'!$I:$J,2,1)),1+(1-$AU110))</f>
        <v/>
      </c>
      <c r="DI110" s="172">
        <f>MIN(IF($AU110=100%,1,1+VLOOKUP(($AJ110-$AI110-$AH110-$AG110-$AF110-$AE110*(1+DI$3))/$AJ110,'Технический лист'!$I:$J,2,1)-VLOOKUP($AO110,'Технический лист'!$I:$J,2,1)),1+(1-$AU110))</f>
        <v/>
      </c>
      <c r="DJ110" s="172">
        <f>MIN(IF($AU110=100%,1,1+VLOOKUP(($AJ110-$AI110-$AH110-$AG110-$AF110-$AE110*(1+DJ$3))/$AJ110,'Технический лист'!$I:$J,2,1)-VLOOKUP($AO110,'Технический лист'!$I:$J,2,1)),1+(1-$AU110))</f>
        <v/>
      </c>
      <c r="DK110" s="172">
        <f>MIN(IF($AU110=100%,1,1+VLOOKUP(($AJ110-$AI110-$AH110-$AG110-$AF110-$AE110*(1+DK$3))/$AJ110,'Технический лист'!$I:$J,2,1)-VLOOKUP($AO110,'Технический лист'!$I:$J,2,1)),1+(1-$AU110))</f>
        <v/>
      </c>
      <c r="DL110" s="172">
        <f>MIN(IF($AU110=100%,1,1+VLOOKUP(($AJ110-$AI110-$AH110-$AG110-$AF110-$AE110*(1+DL$3))/$AJ110,'Технический лист'!$I:$J,2,1)-VLOOKUP($AO110,'Технический лист'!$I:$J,2,1)),1+(1-$AU110))</f>
        <v/>
      </c>
      <c r="DM110" s="172">
        <f>MIN(IF($AU110=100%,1,1+VLOOKUP(($AJ110-$AI110-$AH110-$AG110-$AF110-$AE110*(1+DM$3))/$AJ110,'Технический лист'!$I:$J,2,1)-VLOOKUP($AO110,'Технический лист'!$I:$J,2,1)),1+(1-$AU110))</f>
        <v/>
      </c>
      <c r="DN110" s="172">
        <f>MIN(IF($AU110=100%,1,1+VLOOKUP(($AJ110-$AI110-$AH110-$AG110-$AF110-$AE110*(1+DN$3))/$AJ110,'Технический лист'!$I:$J,2,1)-VLOOKUP($AO110,'Технический лист'!$I:$J,2,1)),1+(1-$AU110))</f>
        <v/>
      </c>
      <c r="DO110" s="172">
        <f>MIN(IF($AU110=100%,1,1+VLOOKUP(($AJ110-$AI110-$AH110-$AG110-$AF110-$AE110*(1+DO$3))/$AJ110,'Технический лист'!$I:$J,2,1)-VLOOKUP($AO110,'Технический лист'!$I:$J,2,1)),1+(1-$AU110))</f>
        <v/>
      </c>
      <c r="DP110" s="172">
        <f>MIN(IF($AU110=100%,1,1+VLOOKUP(($AJ110-$AI110-$AH110-$AG110-$AF110-$AE110*(1+DP$3))/$AJ110,'Технический лист'!$I:$J,2,1)-VLOOKUP($AO110,'Технический лист'!$I:$J,2,1)),1+(1-$AU110))</f>
        <v/>
      </c>
      <c r="DQ110" s="172">
        <f>MIN(IF($AU110=100%,1,1+VLOOKUP(($AJ110-$AI110-$AH110-$AG110-$AF110-$AE110*(1+DQ$3))/$AJ110,'Технический лист'!$I:$J,2,1)-VLOOKUP($AO110,'Технический лист'!$I:$J,2,1)),1+(1-$AU110))</f>
        <v/>
      </c>
      <c r="DR110" s="172">
        <f>MIN(IF($AU110=100%,1,1+VLOOKUP(($AJ110-$AI110-$AH110-$AG110-$AF110-$AE110*(1+DR$3))/$AJ110,'Технический лист'!$I:$J,2,1)-VLOOKUP($AO110,'Технический лист'!$I:$J,2,1)),1+(1-$AU110))</f>
        <v/>
      </c>
      <c r="DS110" s="172">
        <f>MIN(IF($AU110=100%,1,1+VLOOKUP(($AJ110-$AI110-$AH110-$AG110-$AF110-$AE110*(1+DS$3))/$AJ110,'Технический лист'!$I:$J,2,1)-VLOOKUP($AO110,'Технический лист'!$I:$J,2,1)),1+(1-$AU110))</f>
        <v/>
      </c>
      <c r="DT110" s="172">
        <f>MIN(IF($AU110=100%,1,1+VLOOKUP(($AJ110-$AI110-$AH110-$AG110-$AF110-$AE110*(1+DT$3))/$AJ110,'Технический лист'!$I:$J,2,1)-VLOOKUP($AO110,'Технический лист'!$I:$J,2,1)),1+(1-$AU110))</f>
        <v/>
      </c>
      <c r="DU110" s="172">
        <f>MIN(IF($AU110=100%,1,1+VLOOKUP(($AJ110-$AI110-$AH110-$AG110-$AF110-$AE110*(1+DU$3))/$AJ110,'Технический лист'!$I:$J,2,1)-VLOOKUP($AO110,'Технический лист'!$I:$J,2,1)),1+(1-$AU110))</f>
        <v/>
      </c>
      <c r="DV110" s="172">
        <f>MIN(IF($AU110=100%,1,1+VLOOKUP(($AJ110-$AI110-$AH110-$AG110-$AF110-$AE110*(1+DV$3))/$AJ110,'Технический лист'!$I:$J,2,1)-VLOOKUP($AO110,'Технический лист'!$I:$J,2,1)),1+(1-$AU110))</f>
        <v/>
      </c>
      <c r="DW110" s="172">
        <f>MIN(IF($AU110=100%,1,1+VLOOKUP(($AJ110-$AI110-$AH110-$AG110-$AF110-$AE110*(1+DW$3))/$AJ110,'Технический лист'!$I:$J,2,1)-VLOOKUP($AO110,'Технический лист'!$I:$J,2,1)),1+(1-$AU110))</f>
        <v/>
      </c>
      <c r="DX110" s="172">
        <f>MIN(IF($AU110=100%,1,1+VLOOKUP(($AJ110-$AI110-$AH110-$AG110-$AF110-$AE110*(1+DX$3))/$AJ110,'Технический лист'!$I:$J,2,1)-VLOOKUP($AO110,'Технический лист'!$I:$J,2,1)),1+(1-$AU110))</f>
        <v/>
      </c>
      <c r="DY110" s="172">
        <f>MIN(IF($AU110=100%,1,1+VLOOKUP(($AJ110-$AI110-$AH110-$AG110-$AF110-$AE110*(1+DY$3))/$AJ110,'Технический лист'!$I:$J,2,1)-VLOOKUP($AO110,'Технический лист'!$I:$J,2,1)),1+(1-$AU110))</f>
        <v/>
      </c>
      <c r="DZ110" s="172">
        <f>MIN(IF($AU110=100%,1,1+VLOOKUP(($AJ110-$AI110-$AH110-$AG110-$AF110-$AE110*(1+DZ$3))/$AJ110,'Технический лист'!$I:$J,2,1)-VLOOKUP($AO110,'Технический лист'!$I:$J,2,1)),1+(1-$AU110))</f>
        <v/>
      </c>
      <c r="EA110" s="172">
        <f>MIN(IF($AU110=100%,1,1+VLOOKUP(($AJ110-$AI110-$AH110-$AG110-$AF110-$AE110*(1+EA$3))/$AJ110,'Технический лист'!$I:$J,2,1)-VLOOKUP($AO110,'Технический лист'!$I:$J,2,1)),1+(1-$AU110))</f>
        <v/>
      </c>
      <c r="EB110" s="172">
        <f>MIN(IF($AU110=100%,1,1+VLOOKUP(($AJ110-$AI110-$AH110-$AG110-$AF110-$AE110*(1+EB$3))/$AJ110,'Технический лист'!$I:$J,2,1)-VLOOKUP($AO110,'Технический лист'!$I:$J,2,1)),1+(1-$AU110))</f>
        <v/>
      </c>
      <c r="EC110" s="172">
        <f>MIN(IF($AU110=100%,1,1+VLOOKUP(($AJ110-$AI110-$AH110-$AG110-$AF110-$AE110*(1+EC$3))/$AJ110,'Технический лист'!$I:$J,2,1)-VLOOKUP($AO110,'Технический лист'!$I:$J,2,1)),1+(1-$AU110))</f>
        <v/>
      </c>
      <c r="ED110" s="172">
        <f>MIN(IF($AU110=100%,1,1+VLOOKUP(($AJ110-$AI110-$AH110-$AG110-$AF110-$AE110*(1+ED$3))/$AJ110,'Технический лист'!$I:$J,2,1)-VLOOKUP($AO110,'Технический лист'!$I:$J,2,1)),1+(1-$AU110))</f>
        <v/>
      </c>
      <c r="EE110" s="172">
        <f>MIN(IF($AU110=100%,1,1+VLOOKUP(($AJ110-$AI110-$AH110-$AG110-$AF110-$AE110*(1+EE$3))/$AJ110,'Технический лист'!$I:$J,2,1)-VLOOKUP($AO110,'Технический лист'!$I:$J,2,1)),1+(1-$AU110))</f>
        <v/>
      </c>
      <c r="EF110" s="172">
        <f>MIN(IF($AU110=100%,1,1+VLOOKUP(($AJ110-$AI110-$AH110-$AG110-$AF110-$AE110*(1+EF$3))/$AJ110,'Технический лист'!$I:$J,2,1)-VLOOKUP($AO110,'Технический лист'!$I:$J,2,1)),1+(1-$AU110))</f>
        <v/>
      </c>
      <c r="EG110" s="172">
        <f>MIN(IF($AU110=100%,1,1+VLOOKUP(($AJ110-$AI110-$AH110-$AG110-$AF110-$AE110*(1+EG$3))/$AJ110,'Технический лист'!$I:$J,2,1)-VLOOKUP($AO110,'Технический лист'!$I:$J,2,1)),1+(1-$AU110))</f>
        <v/>
      </c>
      <c r="EH110" s="172">
        <f>MIN(IF($AU110=100%,1,1+VLOOKUP(($AJ110-$AI110-$AH110-$AG110-$AF110-$AE110*(1+EH$3))/$AJ110,'Технический лист'!$I:$J,2,1)-VLOOKUP($AO110,'Технический лист'!$I:$J,2,1)),1+(1-$AU110))</f>
        <v/>
      </c>
      <c r="EI110" s="172">
        <f>MIN(IF($AU110=100%,1,1+VLOOKUP(($AJ110-$AI110-$AH110-$AG110-$AF110-$AE110*(1+EI$3))/$AJ110,'Технический лист'!$I:$J,2,1)-VLOOKUP($AO110,'Технический лист'!$I:$J,2,1)),1+(1-$AU110))</f>
        <v/>
      </c>
      <c r="EJ110" s="172">
        <f>MIN(IF($AU110=100%,1,1+VLOOKUP(($AJ110-$AI110-$AH110-$AG110-$AF110-$AE110*(1+EJ$3))/$AJ110,'Технический лист'!$I:$J,2,1)-VLOOKUP($AO110,'Технический лист'!$I:$J,2,1)),1+(1-$AU110))</f>
        <v/>
      </c>
      <c r="EK110" s="172">
        <f>MIN(IF($AU110=100%,1,1+VLOOKUP(($AJ110-$AI110-$AH110-$AG110-$AF110-$AE110*(1+EK$3))/$AJ110,'Технический лист'!$I:$J,2,1)-VLOOKUP($AO110,'Технический лист'!$I:$J,2,1)),1+(1-$AU110))</f>
        <v/>
      </c>
      <c r="EL110" s="172">
        <f>MIN(IF($AU110=100%,1,1+VLOOKUP(($AJ110-$AI110-$AH110-$AG110-$AF110-$AE110*(1+EL$3))/$AJ110,'Технический лист'!$I:$J,2,1)-VLOOKUP($AO110,'Технический лист'!$I:$J,2,1)),1+(1-$AU110))</f>
        <v/>
      </c>
      <c r="EM110" s="172">
        <f>MIN(IF($AU110=100%,1,1+VLOOKUP(($AJ110-$AI110-$AH110-$AG110-$AF110-$AE110*(1+EM$3))/$AJ110,'Технический лист'!$I:$J,2,1)-VLOOKUP($AO110,'Технический лист'!$I:$J,2,1)),1+(1-$AU110))</f>
        <v/>
      </c>
      <c r="EN110" s="172">
        <f>MIN(IF($AU110=100%,1,1+VLOOKUP(($AJ110-$AI110-$AH110-$AG110-$AF110-$AE110*(1+EN$3))/$AJ110,'Технический лист'!$I:$J,2,1)-VLOOKUP($AO110,'Технический лист'!$I:$J,2,1)),1+(1-$AU110))</f>
        <v/>
      </c>
      <c r="EO110" s="172">
        <f>MIN(IF($AU110=100%,1,1+VLOOKUP(($AJ110-$AI110-$AH110-$AG110-$AF110-$AE110*(1+EO$3))/$AJ110,'Технический лист'!$I:$J,2,1)-VLOOKUP($AO110,'Технический лист'!$I:$J,2,1)),1+(1-$AU110))</f>
        <v/>
      </c>
      <c r="EP110" s="172">
        <f>MIN(IF($AU110=100%,1,1+VLOOKUP(($AJ110-$AI110-$AH110-$AG110-$AF110-$AE110*(1+EP$3))/$AJ110,'Технический лист'!$I:$J,2,1)-VLOOKUP($AO110,'Технический лист'!$I:$J,2,1)),1+(1-$AU110))</f>
        <v/>
      </c>
      <c r="EQ110" s="172">
        <f>MIN(IF($AU110=100%,1,1+VLOOKUP(($AJ110-$AI110-$AH110-$AG110-$AF110-$AE110*(1+EQ$3))/$AJ110,'Технический лист'!$I:$J,2,1)-VLOOKUP($AO110,'Технический лист'!$I:$J,2,1)),1+(1-$AU110))</f>
        <v/>
      </c>
      <c r="ER110" s="172">
        <f>MIN(IF($AU110=100%,1,1+VLOOKUP(($AJ110-$AI110-$AH110-$AG110-$AF110-$AE110*(1+ER$3))/$AJ110,'Технический лист'!$I:$J,2,1)-VLOOKUP($AO110,'Технический лист'!$I:$J,2,1)),1+(1-$AU110))</f>
        <v/>
      </c>
      <c r="ES110" s="172">
        <f>MIN(IF($AU110=100%,1,1+VLOOKUP(($AJ110-$AI110-$AH110-$AG110-$AF110-$AE110*(1+ES$3))/$AJ110,'Технический лист'!$I:$J,2,1)-VLOOKUP($AO110,'Технический лист'!$I:$J,2,1)),1+(1-$AU110))</f>
        <v/>
      </c>
      <c r="ET110" s="172">
        <f>MIN(IF($AU110=100%,1,1+VLOOKUP(($AJ110-$AI110-$AH110-$AG110-$AF110-$AE110*(1+ET$3))/$AJ110,'Технический лист'!$I:$J,2,1)-VLOOKUP($AO110,'Технический лист'!$I:$J,2,1)),1+(1-$AU110))</f>
        <v/>
      </c>
      <c r="EU110" s="172">
        <f>MIN(IF($AU110=100%,1,1+VLOOKUP(($AJ110-$AI110-$AH110-$AG110-$AF110-$AE110*(1+EU$3))/$AJ110,'Технический лист'!$I:$J,2,1)-VLOOKUP($AO110,'Технический лист'!$I:$J,2,1)),1+(1-$AU110))</f>
        <v/>
      </c>
      <c r="EV110" s="173" t="n">
        <v>1</v>
      </c>
      <c r="EW110" s="172">
        <f>MIN(1,MAX(VLOOKUP(($AJ110-$AI110-$AH110-$AG110-$AF110-$AE110*(1+EW$3))/$AJ110,'Технический лист'!$A:$B,2,1),(EV110-0.05)))</f>
        <v/>
      </c>
      <c r="EX110" s="172">
        <f>MIN(1,MAX(VLOOKUP(($AJ110-$AI110-$AH110-$AG110-$AF110-$AE110*(1+EX$3))/$AJ110,'Технический лист'!$A:$B,2,1),(EW110-0.05)))</f>
        <v/>
      </c>
      <c r="EY110" s="172">
        <f>MIN(1,MAX(VLOOKUP(($AJ110-$AI110-$AH110-$AG110-$AF110-$AE110*(1+EY$3))/$AJ110,'Технический лист'!$A:$B,2,1),(EX110-0.05)))</f>
        <v/>
      </c>
      <c r="EZ110" s="172">
        <f>MIN(1,MAX(VLOOKUP(($AJ110-$AI110-$AH110-$AG110-$AF110-$AE110*(1+EZ$3))/$AJ110,'Технический лист'!$A:$B,2,1),(EY110-0.05)))</f>
        <v/>
      </c>
      <c r="FA110" s="172">
        <f>MIN(1,MAX(VLOOKUP(($AJ110-$AI110-$AH110-$AG110-$AF110-$AE110*(1+FA$3))/$AJ110,'Технический лист'!$A:$B,2,1),(EZ110-0.05)))</f>
        <v/>
      </c>
      <c r="FB110" s="172">
        <f>MIN(1,MAX(VLOOKUP(($AJ110-$AI110-$AH110-$AG110-$AF110-$AE110*(1+FB$3))/$AJ110,'Технический лист'!$A:$B,2,1),(FA110-0.05)))</f>
        <v/>
      </c>
      <c r="FC110" s="172">
        <f>MIN(1,MAX(VLOOKUP(($AJ110-$AI110-$AH110-$AG110-$AF110-$AE110*(1+FC$3))/$AJ110,'Технический лист'!$A:$B,2,1),(FB110-0.05)))</f>
        <v/>
      </c>
      <c r="FD110" s="172">
        <f>MIN(1,MAX(VLOOKUP(($AJ110-$AI110-$AH110-$AG110-$AF110-$AE110*(1+FD$3))/$AJ110,'Технический лист'!$A:$B,2,1),(FC110-0.05)))</f>
        <v/>
      </c>
      <c r="FE110" s="172">
        <f>MIN(1,MAX(VLOOKUP(($AJ110-$AI110-$AH110-$AG110-$AF110-$AE110*(1+FE$3))/$AJ110,'Технический лист'!$A:$B,2,1),(FD110-0.05)))</f>
        <v/>
      </c>
      <c r="FF110" s="172">
        <f>MIN(1,MAX(VLOOKUP(($AJ110-$AI110-$AH110-$AG110-$AF110-$AE110*(1+FF$3))/$AJ110,'Технический лист'!$A:$B,2,1),(FE110-0.05)))</f>
        <v/>
      </c>
      <c r="FG110" s="172">
        <f>MIN(1,MAX(VLOOKUP(($AJ110-$AI110-$AH110-$AG110-$AF110-$AE110*(1+FG$3))/$AJ110,'Технический лист'!$A:$B,2,1),(FF110-0.05)))</f>
        <v/>
      </c>
      <c r="FH110" s="172">
        <f>MIN(1,MAX(VLOOKUP(($AJ110-$AI110-$AH110-$AG110-$AF110-$AE110*(1+FH$3))/$AJ110,'Технический лист'!$A:$B,2,1),(FG110-0.05)))</f>
        <v/>
      </c>
      <c r="FI110" s="172">
        <f>MIN(1,MAX(VLOOKUP(($AJ110-$AI110-$AH110-$AG110-$AF110-$AE110*(1+FI$3))/$AJ110,'Технический лист'!$A:$B,2,1),(FH110-0.05)))</f>
        <v/>
      </c>
      <c r="FJ110" s="172">
        <f>MIN(1,MAX(VLOOKUP(($AJ110-$AI110-$AH110-$AG110-$AF110-$AE110*(1+FJ$3))/$AJ110,'Технический лист'!$A:$B,2,1),(FI110-0.05)))</f>
        <v/>
      </c>
      <c r="FK110" s="172">
        <f>MIN(1,MAX(VLOOKUP(($AJ110-$AI110-$AH110-$AG110-$AF110-$AE110*(1+FK$3))/$AJ110,'Технический лист'!$A:$B,2,1),(FJ110-0.05)))</f>
        <v/>
      </c>
      <c r="FL110" s="172">
        <f>MIN(1,MAX(VLOOKUP(($AJ110-$AI110-$AH110-$AG110-$AF110-$AE110*(1+FL$3))/$AJ110,'Технический лист'!$A:$B,2,1),(FK110-0.05)))</f>
        <v/>
      </c>
      <c r="FM110" s="172">
        <f>MIN(1,MAX(VLOOKUP(($AJ110-$AI110-$AH110-$AG110-$AF110-$AE110*(1+FM$3))/$AJ110,'Технический лист'!$A:$B,2,1),(FL110-0.05)))</f>
        <v/>
      </c>
      <c r="FN110" s="172">
        <f>MIN(1,MAX(VLOOKUP(($AJ110-$AI110-$AH110-$AG110-$AF110-$AE110*(1+FN$3))/$AJ110,'Технический лист'!$A:$B,2,1),(FM110-0.05)))</f>
        <v/>
      </c>
      <c r="FO110" s="172">
        <f>MIN(1,MAX(VLOOKUP(($AJ110-$AI110-$AH110-$AG110-$AF110-$AE110*(1+FO$3))/$AJ110,'Технический лист'!$A:$B,2,1),(FN110-0.05)))</f>
        <v/>
      </c>
      <c r="FP110" s="172">
        <f>MIN(1,MAX(VLOOKUP(($AJ110-$AI110-$AH110-$AG110-$AF110-$AE110*(1+FP$3))/$AJ110,'Технический лист'!$A:$B,2,1),(FO110-0.05)))</f>
        <v/>
      </c>
      <c r="FQ110" s="172">
        <f>MIN(1,MAX(VLOOKUP(($AJ110-$AI110-$AH110-$AG110-$AF110-$AE110*(1+FQ$3))/$AJ110,'Технический лист'!$A:$B,2,1),(FP110-0.05)))</f>
        <v/>
      </c>
      <c r="FR110" s="172">
        <f>MIN(1,MAX(VLOOKUP(($AJ110-$AI110-$AH110-$AG110-$AF110-$AE110*(1+FR$3))/$AJ110,'Технический лист'!$A:$B,2,1),(FQ110-0.05)))</f>
        <v/>
      </c>
      <c r="FS110" s="172">
        <f>MIN(1,MAX(VLOOKUP(($AJ110-$AI110-$AH110-$AG110-$AF110-$AE110*(1+FS$3))/$AJ110,'Технический лист'!$A:$B,2,1),(FR110-0.05)))</f>
        <v/>
      </c>
      <c r="FT110" s="172">
        <f>MIN(1,MAX(VLOOKUP(($AJ110-$AI110-$AH110-$AG110-$AF110-$AE110*(1+FT$3))/$AJ110,'Технический лист'!$A:$B,2,1),(FS110-0.05)))</f>
        <v/>
      </c>
      <c r="FU110" s="172">
        <f>MIN(1,MAX(VLOOKUP(($AJ110-$AI110-$AH110-$AG110-$AF110-$AE110*(1+FU$3))/$AJ110,'Технический лист'!$A:$B,2,1),(FT110-0.05)))</f>
        <v/>
      </c>
      <c r="FV110" s="172">
        <f>MIN(1,MAX(VLOOKUP(($AJ110-$AI110-$AH110-$AG110-$AF110-$AE110*(1+FV$3))/$AJ110,'Технический лист'!$A:$B,2,1),(FU110-0.05)))</f>
        <v/>
      </c>
      <c r="FW110" s="172">
        <f>MIN(1,MAX(VLOOKUP(($AJ110-$AI110-$AH110-$AG110-$AF110-$AE110*(1+FW$3))/$AJ110,'Технический лист'!$A:$B,2,1),(FV110-0.05)))</f>
        <v/>
      </c>
      <c r="FX110" s="172">
        <f>MIN(1,MAX(VLOOKUP(($AJ110-$AI110-$AH110-$AG110-$AF110-$AE110*(1+FX$3))/$AJ110,'Технический лист'!$A:$B,2,1),(FW110-0.05)))</f>
        <v/>
      </c>
      <c r="FY110" s="172">
        <f>MIN(1,MAX(VLOOKUP(($AJ110-$AI110-$AH110-$AG110-$AF110-$AE110*(1+FY$3))/$AJ110,'Технический лист'!$A:$B,2,1),(FX110-0.05)))</f>
        <v/>
      </c>
      <c r="FZ110" s="172">
        <f>MIN(1,MAX(VLOOKUP(($AJ110-$AI110-$AH110-$AG110-$AF110-$AE110*(1+FZ$3))/$AJ110,'Технический лист'!$A:$B,2,1),(FY110-0.05)))</f>
        <v/>
      </c>
      <c r="GA110" s="172">
        <f>MIN(1,MAX(VLOOKUP(($AJ110-$AI110-$AH110-$AG110-$AF110-$AE110*(1+GA$3))/$AJ110,'Технический лист'!$A:$B,2,1),(FZ110-0.05)))</f>
        <v/>
      </c>
      <c r="GB110" s="172">
        <f>MIN(1,MAX(VLOOKUP(($AJ110-$AI110-$AH110-$AG110-$AF110-$AE110*(1+GB$3))/$AJ110,'Технический лист'!$A:$B,2,1),(GA110-0.05)))</f>
        <v/>
      </c>
      <c r="GC110" s="172">
        <f>MIN(1,MAX(VLOOKUP(($AJ110-$AI110-$AH110-$AG110-$AF110-$AE110*(1+GC$3))/$AJ110,'Технический лист'!$A:$B,2,1),(GB110-0.05)))</f>
        <v/>
      </c>
      <c r="GD110" s="172">
        <f>MIN(1,MAX(VLOOKUP(($AJ110-$AI110-$AH110-$AG110-$AF110-$AE110*(1+GD$3))/$AJ110,'Технический лист'!$A:$B,2,1),(GC110-0.05)))</f>
        <v/>
      </c>
      <c r="GE110" s="172">
        <f>MIN(1,MAX(VLOOKUP(($AJ110-$AI110-$AH110-$AG110-$AF110-$AE110*(1+GE$3))/$AJ110,'Технический лист'!$A:$B,2,1),(GD110-0.05)))</f>
        <v/>
      </c>
      <c r="GF110" s="172">
        <f>MIN(1,MAX(VLOOKUP(($AJ110-$AI110-$AH110-$AG110-$AF110-$AE110*(1+GF$3))/$AJ110,'Технический лист'!$A:$B,2,1),(GE110-0.05)))</f>
        <v/>
      </c>
      <c r="GG110" s="172">
        <f>MIN(1,MAX(VLOOKUP(($AJ110-$AI110-$AH110-$AG110-$AF110-$AE110*(1+GG$3))/$AJ110,'Технический лист'!$A:$B,2,1),(GF110-0.05)))</f>
        <v/>
      </c>
      <c r="GH110" s="172">
        <f>MIN(1,MAX(VLOOKUP(($AJ110-$AI110-$AH110-$AG110-$AF110-$AE110*(1+GH$3))/$AJ110,'Технический лист'!$A:$B,2,1),(GG110-0.05)))</f>
        <v/>
      </c>
      <c r="GI110" s="172">
        <f>MIN(1,MAX(VLOOKUP(($AJ110-$AI110-$AH110-$AG110-$AF110-$AE110*(1+GI$3))/$AJ110,'Технический лист'!$A:$B,2,1),(GH110-0.05)))</f>
        <v/>
      </c>
      <c r="GJ110" s="172">
        <f>MIN(1,MAX(VLOOKUP(($AJ110-$AI110-$AH110-$AG110-$AF110-$AE110*(1+GJ$3))/$AJ110,'Технический лист'!$A:$B,2,1),(GI110-0.05)))</f>
        <v/>
      </c>
      <c r="GK110" s="172">
        <f>MIN(1,MAX(VLOOKUP(($AJ110-$AI110-$AH110-$AG110-$AF110-$AE110*(1+GK$3))/$AJ110,'Технический лист'!$A:$B,2,1),(GJ110-0.05)))</f>
        <v/>
      </c>
      <c r="GL110" s="172">
        <f>MIN(1,MAX(VLOOKUP(($AJ110-$AI110-$AH110-$AG110-$AF110-$AE110*(1+GL$3))/$AJ110,'Технический лист'!$A:$B,2,1),(GK110-0.05)))</f>
        <v/>
      </c>
      <c r="GM110" s="172">
        <f>MIN(1,MAX(VLOOKUP(($AJ110-$AI110-$AH110-$AG110-$AF110-$AE110*(1+GM$3))/$AJ110,'Технический лист'!$A:$B,2,1),(GL110-0.05)))</f>
        <v/>
      </c>
      <c r="GN110" s="172">
        <f>MIN(1,MAX(VLOOKUP(($AJ110-$AI110-$AH110-$AG110-$AF110-$AE110*(1+GN$3))/$AJ110,'Технический лист'!$A:$B,2,1),(GM110-0.05)))</f>
        <v/>
      </c>
      <c r="GO110" s="172">
        <f>MIN(1,MAX(VLOOKUP(($AJ110-$AI110-$AH110-$AG110-$AF110-$AE110*(1+GO$3))/$AJ110,'Технический лист'!$A:$B,2,1),(GN110-0.05)))</f>
        <v/>
      </c>
      <c r="GP110" s="172">
        <f>MIN(1,MAX(VLOOKUP(($AJ110-$AI110-$AH110-$AG110-$AF110-$AE110*(1+GP$3))/$AJ110,'Технический лист'!$A:$B,2,1),(GO110-0.05)))</f>
        <v/>
      </c>
      <c r="GQ110" s="172">
        <f>MIN(1,MAX(VLOOKUP(($AJ110-$AI110-$AH110-$AG110-$AF110-$AE110*(1+GQ$3))/$AJ110,'Технический лист'!$A:$B,2,1),(GP110-0.05)))</f>
        <v/>
      </c>
      <c r="GR110" s="172">
        <f>MIN(1,MAX(VLOOKUP(($AJ110-$AI110-$AH110-$AG110-$AF110-$AE110*(1+GR$3))/$AJ110,'Технический лист'!$A:$B,2,1),(GQ110-0.05)))</f>
        <v/>
      </c>
      <c r="GS110" s="172">
        <f>MIN(1,MAX(VLOOKUP(($AJ110-$AI110-$AH110-$AG110-$AF110-$AE110*(1+GS$3))/$AJ110,'Технический лист'!$A:$B,2,1),(GR110-0.05)))</f>
        <v/>
      </c>
      <c r="GT110" s="172">
        <f>MIN(1,MAX(VLOOKUP(($AJ110-$AI110-$AH110-$AG110-$AF110-$AE110*(1+GT$3))/$AJ110,'Технический лист'!$A:$B,2,1),(GS110-0.05)))</f>
        <v/>
      </c>
      <c r="GU110" s="172">
        <f>MIN(1,MAX(VLOOKUP(($AJ110-$AI110-$AH110-$AG110-$AF110-$AE110*(1+GU$3))/$AJ110,'Технический лист'!$A:$B,2,1),(GT110-0.05)))</f>
        <v/>
      </c>
      <c r="GV110" s="172">
        <f>MIN(1,MAX(VLOOKUP(($AJ110-$AI110-$AH110-$AG110-$AF110-$AE110*(1+GV$3))/$AJ110,'Технический лист'!$A:$B,2,1),(GU110-0.05)))</f>
        <v/>
      </c>
      <c r="GW110" s="172">
        <f>MIN(1,MAX(VLOOKUP(($AJ110-$AI110-$AH110-$AG110-$AF110-$AE110*(1+GW$3))/$AJ110,'Технический лист'!$A:$B,2,1),(GV110-0.05)))</f>
        <v/>
      </c>
      <c r="GX110" s="172">
        <f>MIN(1,MAX(VLOOKUP(($AJ110-$AI110-$AH110-$AG110-$AF110-$AE110*(1+GX$3))/$AJ110,'Технический лист'!$A:$B,2,1),(GW110-0.05)))</f>
        <v/>
      </c>
      <c r="GY110" s="172">
        <f>MIN(1,MAX(VLOOKUP(($AJ110-$AI110-$AH110-$AG110-$AF110-$AE110*(1+GY$3))/$AJ110,'Технический лист'!$A:$B,2,1),(GX110-0.05)))</f>
        <v/>
      </c>
      <c r="GZ110" s="172">
        <f>MIN(1,MAX(VLOOKUP(($AJ110-$AI110-$AH110-$AG110-$AF110-$AE110*(1+GZ$3))/$AJ110,'Технический лист'!$A:$B,2,1),(GY110-0.05)))</f>
        <v/>
      </c>
      <c r="HA110" s="172">
        <f>MIN(1,MAX(VLOOKUP(($AJ110-$AI110-$AH110-$AG110-$AF110-$AE110*(1+HA$3))/$AJ110,'Технический лист'!$A:$B,2,1),(GZ110-0.05)))</f>
        <v/>
      </c>
      <c r="HB110" s="172">
        <f>MIN(1,MAX(VLOOKUP(($AJ110-$AI110-$AH110-$AG110-$AF110-$AE110*(1+HB$3))/$AJ110,'Технический лист'!$A:$B,2,1),(HA110-0.05)))</f>
        <v/>
      </c>
      <c r="HC110" s="172">
        <f>MIN(1,MAX(VLOOKUP(($AJ110-$AI110-$AH110-$AG110-$AF110-$AE110*(1+HC$3))/$AJ110,'Технический лист'!$A:$B,2,1),(HB110-0.05)))</f>
        <v/>
      </c>
      <c r="HD110" s="172">
        <f>MIN(1,MAX(VLOOKUP(($AJ110-$AI110-$AH110-$AG110-$AF110-$AE110*(1+HD$3))/$AJ110,'Технический лист'!$A:$B,2,1),(HC110-0.05)))</f>
        <v/>
      </c>
      <c r="HE110" s="172">
        <f>MIN(1,MAX(VLOOKUP(($AJ110-$AI110-$AH110-$AG110-$AF110-$AE110*(1+HE$3))/$AJ110,'Технический лист'!$A:$B,2,1),(HD110-0.05)))</f>
        <v/>
      </c>
      <c r="HF110" s="172">
        <f>MIN(1,MAX(VLOOKUP(($AJ110-$AI110-$AH110-$AG110-$AF110-$AE110*(1+HF$3))/$AJ110,'Технический лист'!$A:$B,2,1),(HE110-0.05)))</f>
        <v/>
      </c>
      <c r="HG110" s="172">
        <f>MIN(1,MAX(VLOOKUP(($AJ110-$AI110-$AH110-$AG110-$AF110-$AE110*(1+HG$3))/$AJ110,'Технический лист'!$A:$B,2,1),(HF110-0.05)))</f>
        <v/>
      </c>
      <c r="HH110" s="172">
        <f>MIN(1,MAX(VLOOKUP(($AJ110-$AI110-$AH110-$AG110-$AF110-$AE110*(1+HH$3))/$AJ110,'Технический лист'!$A:$B,2,1),(HG110-0.05)))</f>
        <v/>
      </c>
      <c r="HI110" s="172">
        <f>MIN(1,MAX(VLOOKUP(($AJ110-$AI110-$AH110-$AG110-$AF110-$AE110*(1+HI$3))/$AJ110,'Технический лист'!$A:$B,2,1),(HH110-0.05)))</f>
        <v/>
      </c>
      <c r="HJ110" s="172">
        <f>MIN(1,MAX(VLOOKUP(($AJ110-$AI110-$AH110-$AG110-$AF110-$AE110*(1+HJ$3))/$AJ110,'Технический лист'!$A:$B,2,1),(HI110-0.05)))</f>
        <v/>
      </c>
      <c r="HK110" s="172">
        <f>MIN(1,MAX(VLOOKUP(($AJ110-$AI110-$AH110-$AG110-$AF110-$AE110*(1+HK$3))/$AJ110,'Технический лист'!$A:$B,2,1),(HJ110-0.05)))</f>
        <v/>
      </c>
      <c r="HL110" s="172">
        <f>MIN(1,MAX(VLOOKUP(($AJ110-$AI110-$AH110-$AG110-$AF110-$AE110*(1+HL$3))/$AJ110,'Технический лист'!$A:$B,2,1),(HK110-0.05)))</f>
        <v/>
      </c>
      <c r="HM110" s="172">
        <f>MIN(1,MAX(VLOOKUP(($AJ110-$AI110-$AH110-$AG110-$AF110-$AE110*(1+HM$3))/$AJ110,'Технический лист'!$A:$B,2,1),(HL110-0.05)))</f>
        <v/>
      </c>
      <c r="HN110" s="172">
        <f>MIN(1,MAX(VLOOKUP(($AJ110-$AI110-$AH110-$AG110-$AF110-$AE110*(1+HN$3))/$AJ110,'Технический лист'!$A:$B,2,1),(HM110-0.05)))</f>
        <v/>
      </c>
      <c r="HO110" s="172">
        <f>MIN(1,MAX(VLOOKUP(($AJ110-$AI110-$AH110-$AG110-$AF110-$AE110*(1+HO$3))/$AJ110,'Технический лист'!$A:$B,2,1),(HN110-0.05)))</f>
        <v/>
      </c>
      <c r="HP110" s="172">
        <f>MIN(1,MAX(VLOOKUP(($AJ110-$AI110-$AH110-$AG110-$AF110-$AE110*(1+HP$3))/$AJ110,'Технический лист'!$A:$B,2,1),(HO110-0.05)))</f>
        <v/>
      </c>
      <c r="HQ110" s="172">
        <f>MIN(1,MAX(VLOOKUP(($AJ110-$AI110-$AH110-$AG110-$AF110-$AE110*(1+HQ$3))/$AJ110,'Технический лист'!$A:$B,2,1),(HP110-0.05)))</f>
        <v/>
      </c>
      <c r="HR110" s="172">
        <f>MIN(1,MAX(VLOOKUP(($AJ110-$AI110-$AH110-$AG110-$AF110-$AE110*(1+HR$3))/$AJ110,'Технический лист'!$A:$B,2,1),(HQ110-0.05)))</f>
        <v/>
      </c>
      <c r="HS110" s="172">
        <f>MIN(1,MAX(VLOOKUP(($AJ110-$AI110-$AH110-$AG110-$AF110-$AE110*(1+HS$3))/$AJ110,'Технический лист'!$A:$B,2,1),(HR110-0.05)))</f>
        <v/>
      </c>
      <c r="HT110" s="172">
        <f>MIN(1,MAX(VLOOKUP(($AJ110-$AI110-$AH110-$AG110-$AF110-$AE110*(1+HT$3))/$AJ110,'Технический лист'!$A:$B,2,1),(HS110-0.05)))</f>
        <v/>
      </c>
      <c r="HU110" s="172">
        <f>MIN(1,MAX(VLOOKUP(($AJ110-$AI110-$AH110-$AG110-$AF110-$AE110*(1+HU$3))/$AJ110,'Технический лист'!$A:$B,2,1),(HT110-0.05)))</f>
        <v/>
      </c>
      <c r="HV110" s="172">
        <f>MIN(1,MAX(VLOOKUP(($AJ110-$AI110-$AH110-$AG110-$AF110-$AE110*(1+HV$3))/$AJ110,'Технический лист'!$A:$B,2,1),(HU110-0.05)))</f>
        <v/>
      </c>
      <c r="HW110" s="172">
        <f>MIN(1,MAX(VLOOKUP(($AJ110-$AI110-$AH110-$AG110-$AF110-$AE110*(1+HW$3))/$AJ110,'Технический лист'!$A:$B,2,1),(HV110-0.05)))</f>
        <v/>
      </c>
      <c r="HX110" s="172">
        <f>MIN(1,MAX(VLOOKUP(($AJ110-$AI110-$AH110-$AG110-$AF110-$AE110*(1+HX$3))/$AJ110,'Технический лист'!$A:$B,2,1),(HW110-0.05)))</f>
        <v/>
      </c>
      <c r="HY110" s="172">
        <f>MIN(1,MAX(VLOOKUP(($AJ110-$AI110-$AH110-$AG110-$AF110-$AE110*(1+HY$3))/$AJ110,'Технический лист'!$A:$B,2,1),(HX110-0.05)))</f>
        <v/>
      </c>
      <c r="HZ110" s="172">
        <f>MIN(1,MAX(VLOOKUP(($AJ110-$AI110-$AH110-$AG110-$AF110-$AE110*(1+HZ$3))/$AJ110,'Технический лист'!$A:$B,2,1),(HY110-0.05)))</f>
        <v/>
      </c>
      <c r="IA110" s="172">
        <f>MIN(1,MAX(VLOOKUP(($AJ110-$AI110-$AH110-$AG110-$AF110-$AE110*(1+IA$3))/$AJ110,'Технический лист'!$A:$B,2,1),(HZ110-0.05)))</f>
        <v/>
      </c>
      <c r="IB110" s="172">
        <f>MIN(1,MAX(VLOOKUP(($AJ110-$AI110-$AH110-$AG110-$AF110-$AE110*(1+IB$3))/$AJ110,'Технический лист'!$A:$B,2,1),(IA110-0.05)))</f>
        <v/>
      </c>
      <c r="IC110" s="172">
        <f>MIN(1,MAX(VLOOKUP(($AJ110-$AI110-$AH110-$AG110-$AF110-$AE110*(1+IC$3))/$AJ110,'Технический лист'!$A:$B,2,1),(IB110-0.05)))</f>
        <v/>
      </c>
      <c r="ID110" s="172">
        <f>MIN(1,MAX(VLOOKUP(($AJ110-$AI110-$AH110-$AG110-$AF110-$AE110*(1+ID$3))/$AJ110,'Технический лист'!$A:$B,2,1),(IC110-0.05)))</f>
        <v/>
      </c>
      <c r="IE110" s="172">
        <f>MIN(1,MAX(VLOOKUP(($AJ110-$AI110-$AH110-$AG110-$AF110-$AE110*(1+IE$3))/$AJ110,'Технический лист'!$A:$B,2,1),(ID110-0.05)))</f>
        <v/>
      </c>
      <c r="IF110" s="172">
        <f>MIN(1,MAX(VLOOKUP(($AJ110-$AI110-$AH110-$AG110-$AF110-$AE110*(1+IF$3))/$AJ110,'Технический лист'!$A:$B,2,1),(IE110-0.05)))</f>
        <v/>
      </c>
      <c r="IG110" s="172">
        <f>MIN(1,MAX(VLOOKUP(($AJ110-$AI110-$AH110-$AG110-$AF110-$AE110*(1+IG$3))/$AJ110,'Технический лист'!$A:$B,2,1),(IF110-0.05)))</f>
        <v/>
      </c>
      <c r="IH110" s="172">
        <f>MIN(1,MAX(VLOOKUP(($AJ110-$AI110-$AH110-$AG110-$AF110-$AE110*(1+IH$3))/$AJ110,'Технический лист'!$A:$B,2,1),(IG110-0.05)))</f>
        <v/>
      </c>
      <c r="II110" s="172">
        <f>MIN(1,MAX(VLOOKUP(($AJ110-$AI110-$AH110-$AG110-$AF110-$AE110*(1+II$3))/$AJ110,'Технический лист'!$A:$B,2,1),(IH110-0.05)))</f>
        <v/>
      </c>
      <c r="IJ110" s="172">
        <f>MIN(1,MAX(VLOOKUP(($AJ110-$AI110-$AH110-$AG110-$AF110-$AE110*(1+IJ$3))/$AJ110,'Технический лист'!$A:$B,2,1),(II110-0.05)))</f>
        <v/>
      </c>
      <c r="IK110" s="172">
        <f>MIN(1,MAX(VLOOKUP(($AJ110-$AI110-$AH110-$AG110-$AF110-$AE110*(1+IK$3))/$AJ110,'Технический лист'!$A:$B,2,1),(IJ110-0.05)))</f>
        <v/>
      </c>
      <c r="IL110" s="172">
        <f>MIN(1,MAX(VLOOKUP(($AJ110-$AI110-$AH110-$AG110-$AF110-$AE110*(1+IL$3))/$AJ110,'Технический лист'!$A:$B,2,1),(IK110-0.05)))</f>
        <v/>
      </c>
      <c r="IM110" s="172">
        <f>MIN(1,MAX(VLOOKUP(($AJ110-$AI110-$AH110-$AG110-$AF110-$AE110*(1+IM$3))/$AJ110,'Технический лист'!$A:$B,2,1),(IL110-0.05)))</f>
        <v/>
      </c>
      <c r="IN110" s="172">
        <f>MIN(1,MAX(VLOOKUP(($AJ110-$AI110-$AH110-$AG110-$AF110-$AE110*(1+IN$3))/$AJ110,'Технический лист'!$A:$B,2,1),(IM110-0.05)))</f>
        <v/>
      </c>
      <c r="IO110" s="172">
        <f>MIN(1,MAX(VLOOKUP(($AJ110-$AI110-$AH110-$AG110-$AF110-$AE110*(1+IO$3))/$AJ110,'Технический лист'!$A:$B,2,1),(IN110-0.05)))</f>
        <v/>
      </c>
      <c r="IP110" s="172">
        <f>MIN(1,MAX(VLOOKUP(($AJ110-$AI110-$AH110-$AG110-$AF110-$AE110*(1+IP$3))/$AJ110,'Технический лист'!$A:$B,2,1),(IO110-0.05)))</f>
        <v/>
      </c>
      <c r="IQ110" s="172">
        <f>MIN(1,MAX(VLOOKUP(($AJ110-$AI110-$AH110-$AG110-$AF110-$AE110*(1+IQ$3))/$AJ110,'Технический лист'!$A:$B,2,1),(IP110-0.05)))</f>
        <v/>
      </c>
      <c r="IR110" s="172">
        <f>MIN(1,MAX(VLOOKUP(($AJ110-$AI110-$AH110-$AG110-$AF110-$AE110*(1+IR$3))/$AJ110,'Технический лист'!$A:$B,2,1),(IQ110-0.05)))</f>
        <v/>
      </c>
    </row>
    <row r="111" ht="43.75" customHeight="1" s="123">
      <c r="A111" s="89" t="inlineStr">
        <is>
          <t>ЧМ (продукция)</t>
        </is>
      </c>
      <c r="B111" s="90" t="n">
        <v>5</v>
      </c>
      <c r="C111" s="5" t="inlineStr">
        <is>
          <t>Черные металлы</t>
        </is>
      </c>
      <c r="D111" s="91" t="n">
        <v>32416</v>
      </c>
      <c r="E111" s="91" t="inlineStr">
        <is>
          <t xml:space="preserve">Сталь листовая, не поименованная в алфавите </t>
        </is>
      </c>
      <c r="F111" s="92" t="inlineStr">
        <is>
          <t>ПРОЧИЕ ВИДЫ ПРОКАТА ЧЕРНЫ</t>
        </is>
      </c>
      <c r="G111" s="91" t="inlineStr">
        <is>
          <t>ЮУР</t>
        </is>
      </c>
      <c r="H111" s="91" t="inlineStr">
        <is>
          <t>МСК</t>
        </is>
      </c>
      <c r="I111" s="91" t="inlineStr">
        <is>
          <t>МАГНИТОГ-ГР</t>
        </is>
      </c>
      <c r="J111" s="91" t="inlineStr">
        <is>
          <t>КРАСНОЕ-ЭКСП</t>
        </is>
      </c>
      <c r="K111" s="91" t="n">
        <v>2382</v>
      </c>
      <c r="L111" s="91" t="inlineStr">
        <is>
          <t>Полувагоны</t>
        </is>
      </c>
      <c r="M111" s="91" t="inlineStr">
        <is>
          <t>Экспорт</t>
        </is>
      </c>
      <c r="N111" s="91" t="inlineStr">
        <is>
          <t>вагонная</t>
        </is>
      </c>
      <c r="O111" s="91" t="inlineStr">
        <is>
          <t xml:space="preserve">Северо-Западное </t>
        </is>
      </c>
      <c r="P111" s="89" t="inlineStr">
        <is>
          <t>'000000186424</t>
        </is>
      </c>
      <c r="Q111" s="91" t="inlineStr">
        <is>
          <t>'ПАО "ММК"</t>
        </is>
      </c>
      <c r="R111" s="91" t="inlineStr">
        <is>
          <t>ПАО "ММК"</t>
        </is>
      </c>
      <c r="S111" s="87" t="n">
        <v>39577</v>
      </c>
      <c r="T111" s="87" t="n">
        <v>94256526</v>
      </c>
      <c r="U111" s="88" t="n">
        <v>640</v>
      </c>
      <c r="V111" s="88" t="n">
        <v>0</v>
      </c>
      <c r="W111" s="87" t="n">
        <v>185813340</v>
      </c>
      <c r="X111" s="112" t="n">
        <v>62</v>
      </c>
      <c r="Y111" s="112" t="inlineStr">
        <is>
          <t>повагонная</t>
        </is>
      </c>
      <c r="Z111" s="113" t="n">
        <v>14</v>
      </c>
      <c r="AA111" s="113" t="n">
        <v>9</v>
      </c>
      <c r="AB111" s="113" t="n">
        <v>4</v>
      </c>
      <c r="AC111" s="161" t="n">
        <v>5347.4</v>
      </c>
      <c r="AD111" s="161">
        <f>AE111-AC111</f>
        <v/>
      </c>
      <c r="AE111" s="161" t="n">
        <v>6036.15</v>
      </c>
      <c r="AF111" s="162">
        <f>(Z111+AA111+AB111)*'Ставки аренды'!$B$3/X111</f>
        <v/>
      </c>
      <c r="AG111" s="163" t="n">
        <v>0</v>
      </c>
      <c r="AH111" s="164" t="n">
        <v>0</v>
      </c>
      <c r="AI111" s="174">
        <f>429559973/511416159*AVERAGE(AJ108,AJ109)</f>
        <v/>
      </c>
      <c r="AJ111" s="166">
        <f>Цены!C17*'Курсы валют'!B2</f>
        <v/>
      </c>
      <c r="AK111" s="164">
        <f>AJ111/Цены!$B$1</f>
        <v/>
      </c>
      <c r="AL111" s="164">
        <f>AE111+AF111+AG111</f>
        <v/>
      </c>
      <c r="AM111" s="164">
        <f>AJ111-AL111</f>
        <v/>
      </c>
      <c r="AN111" s="164">
        <f>AI111+AH111+AG111+AF111+AE111</f>
        <v/>
      </c>
      <c r="AO111" s="167">
        <f>(AJ111-AN111)/AJ111</f>
        <v/>
      </c>
      <c r="AP111" s="168">
        <f>AL111/AJ111</f>
        <v/>
      </c>
      <c r="AQ111" s="168">
        <f>AE111/AJ111</f>
        <v/>
      </c>
      <c r="AR111" s="168">
        <f>AE111/AL111</f>
        <v/>
      </c>
      <c r="AS111" s="169" t="n">
        <v>1</v>
      </c>
      <c r="AT111" s="121">
        <f>S111*AS111</f>
        <v/>
      </c>
      <c r="AU111" s="83" t="n">
        <v>0.6</v>
      </c>
      <c r="AV111" s="170">
        <f>(AJ111-(AE111*(1+$IS$2)+AF111+AG111+AH111+AI111))/AJ111</f>
        <v/>
      </c>
      <c r="AW111" s="171">
        <f>(AE111*(1+$IS$2)+AF111+AG111)/AJ111</f>
        <v/>
      </c>
      <c r="AX111" s="171">
        <f>(AE111*(1+$IS$2))/AJ111</f>
        <v/>
      </c>
      <c r="AY111" s="171">
        <f>(AE111*(1+$IS$2))/(AE111*(1+$IS$2)+AF111+AG111)</f>
        <v/>
      </c>
      <c r="AZ111" s="172">
        <f>MIN(IF($AU111=100%,1,1+VLOOKUP(($AJ111-$AI111-$AH111-$AG111-$AF111-$AE111*(1+AZ$3))/$AJ111,'Технический лист'!$I:$J,2,1)-VLOOKUP($AO111,'Технический лист'!$I:$J,2,1)),1+(1-$AU111))</f>
        <v/>
      </c>
      <c r="BA111" s="172">
        <f>MIN(IF($AU111=100%,1,1+VLOOKUP(($AJ111-$AI111-$AH111-$AG111-$AF111-$AE111*(1+BA$3))/$AJ111,'Технический лист'!$I:$J,2,1)-VLOOKUP($AO111,'Технический лист'!$I:$J,2,1)),1+(1-$AU111))</f>
        <v/>
      </c>
      <c r="BB111" s="172">
        <f>MIN(IF($AU111=100%,1,1+VLOOKUP(($AJ111-$AI111-$AH111-$AG111-$AF111-$AE111*(1+BB$3))/$AJ111,'Технический лист'!$I:$J,2,1)-VLOOKUP($AO111,'Технический лист'!$I:$J,2,1)),1+(1-$AU111))</f>
        <v/>
      </c>
      <c r="BC111" s="172">
        <f>MIN(IF($AU111=100%,1,1+VLOOKUP(($AJ111-$AI111-$AH111-$AG111-$AF111-$AE111*(1+BC$3))/$AJ111,'Технический лист'!$I:$J,2,1)-VLOOKUP($AO111,'Технический лист'!$I:$J,2,1)),1+(1-$AU111))</f>
        <v/>
      </c>
      <c r="BD111" s="172">
        <f>MIN(IF($AU111=100%,1,1+VLOOKUP(($AJ111-$AI111-$AH111-$AG111-$AF111-$AE111*(1+BD$3))/$AJ111,'Технический лист'!$I:$J,2,1)-VLOOKUP($AO111,'Технический лист'!$I:$J,2,1)),1+(1-$AU111))</f>
        <v/>
      </c>
      <c r="BE111" s="172">
        <f>MIN(IF($AU111=100%,1,1+VLOOKUP(($AJ111-$AI111-$AH111-$AG111-$AF111-$AE111*(1+BE$3))/$AJ111,'Технический лист'!$I:$J,2,1)-VLOOKUP($AO111,'Технический лист'!$I:$J,2,1)),1+(1-$AU111))</f>
        <v/>
      </c>
      <c r="BF111" s="172">
        <f>MIN(IF($AU111=100%,1,1+VLOOKUP(($AJ111-$AI111-$AH111-$AG111-$AF111-$AE111*(1+BF$3))/$AJ111,'Технический лист'!$I:$J,2,1)-VLOOKUP($AO111,'Технический лист'!$I:$J,2,1)),1+(1-$AU111))</f>
        <v/>
      </c>
      <c r="BG111" s="172">
        <f>MIN(IF($AU111=100%,1,1+VLOOKUP(($AJ111-$AI111-$AH111-$AG111-$AF111-$AE111*(1+BG$3))/$AJ111,'Технический лист'!$I:$J,2,1)-VLOOKUP($AO111,'Технический лист'!$I:$J,2,1)),1+(1-$AU111))</f>
        <v/>
      </c>
      <c r="BH111" s="172">
        <f>MIN(IF($AU111=100%,1,1+VLOOKUP(($AJ111-$AI111-$AH111-$AG111-$AF111-$AE111*(1+BH$3))/$AJ111,'Технический лист'!$I:$J,2,1)-VLOOKUP($AO111,'Технический лист'!$I:$J,2,1)),1+(1-$AU111))</f>
        <v/>
      </c>
      <c r="BI111" s="172">
        <f>MIN(IF($AU111=100%,1,1+VLOOKUP(($AJ111-$AI111-$AH111-$AG111-$AF111-$AE111*(1+BI$3))/$AJ111,'Технический лист'!$I:$J,2,1)-VLOOKUP($AO111,'Технический лист'!$I:$J,2,1)),1+(1-$AU111))</f>
        <v/>
      </c>
      <c r="BJ111" s="172">
        <f>MIN(IF($AU111=100%,1,1+VLOOKUP(($AJ111-$AI111-$AH111-$AG111-$AF111-$AE111*(1+BJ$3))/$AJ111,'Технический лист'!$I:$J,2,1)-VLOOKUP($AO111,'Технический лист'!$I:$J,2,1)),1+(1-$AU111))</f>
        <v/>
      </c>
      <c r="BK111" s="172">
        <f>MIN(IF($AU111=100%,1,1+VLOOKUP(($AJ111-$AI111-$AH111-$AG111-$AF111-$AE111*(1+BK$3))/$AJ111,'Технический лист'!$I:$J,2,1)-VLOOKUP($AO111,'Технический лист'!$I:$J,2,1)),1+(1-$AU111))</f>
        <v/>
      </c>
      <c r="BL111" s="172">
        <f>MIN(IF($AU111=100%,1,1+VLOOKUP(($AJ111-$AI111-$AH111-$AG111-$AF111-$AE111*(1+BL$3))/$AJ111,'Технический лист'!$I:$J,2,1)-VLOOKUP($AO111,'Технический лист'!$I:$J,2,1)),1+(1-$AU111))</f>
        <v/>
      </c>
      <c r="BM111" s="172">
        <f>MIN(IF($AU111=100%,1,1+VLOOKUP(($AJ111-$AI111-$AH111-$AG111-$AF111-$AE111*(1+BM$3))/$AJ111,'Технический лист'!$I:$J,2,1)-VLOOKUP($AO111,'Технический лист'!$I:$J,2,1)),1+(1-$AU111))</f>
        <v/>
      </c>
      <c r="BN111" s="172">
        <f>MIN(IF($AU111=100%,1,1+VLOOKUP(($AJ111-$AI111-$AH111-$AG111-$AF111-$AE111*(1+BN$3))/$AJ111,'Технический лист'!$I:$J,2,1)-VLOOKUP($AO111,'Технический лист'!$I:$J,2,1)),1+(1-$AU111))</f>
        <v/>
      </c>
      <c r="BO111" s="172">
        <f>MIN(IF($AU111=100%,1,1+VLOOKUP(($AJ111-$AI111-$AH111-$AG111-$AF111-$AE111*(1+BO$3))/$AJ111,'Технический лист'!$I:$J,2,1)-VLOOKUP($AO111,'Технический лист'!$I:$J,2,1)),1+(1-$AU111))</f>
        <v/>
      </c>
      <c r="BP111" s="172">
        <f>MIN(IF($AU111=100%,1,1+VLOOKUP(($AJ111-$AI111-$AH111-$AG111-$AF111-$AE111*(1+BP$3))/$AJ111,'Технический лист'!$I:$J,2,1)-VLOOKUP($AO111,'Технический лист'!$I:$J,2,1)),1+(1-$AU111))</f>
        <v/>
      </c>
      <c r="BQ111" s="172">
        <f>MIN(IF($AU111=100%,1,1+VLOOKUP(($AJ111-$AI111-$AH111-$AG111-$AF111-$AE111*(1+BQ$3))/$AJ111,'Технический лист'!$I:$J,2,1)-VLOOKUP($AO111,'Технический лист'!$I:$J,2,1)),1+(1-$AU111))</f>
        <v/>
      </c>
      <c r="BR111" s="172">
        <f>MIN(IF($AU111=100%,1,1+VLOOKUP(($AJ111-$AI111-$AH111-$AG111-$AF111-$AE111*(1+BR$3))/$AJ111,'Технический лист'!$I:$J,2,1)-VLOOKUP($AO111,'Технический лист'!$I:$J,2,1)),1+(1-$AU111))</f>
        <v/>
      </c>
      <c r="BS111" s="172">
        <f>MIN(IF($AU111=100%,1,1+VLOOKUP(($AJ111-$AI111-$AH111-$AG111-$AF111-$AE111*(1+BS$3))/$AJ111,'Технический лист'!$I:$J,2,1)-VLOOKUP($AO111,'Технический лист'!$I:$J,2,1)),1+(1-$AU111))</f>
        <v/>
      </c>
      <c r="BT111" s="172">
        <f>MIN(IF($AU111=100%,1,1+VLOOKUP(($AJ111-$AI111-$AH111-$AG111-$AF111-$AE111*(1+BT$3))/$AJ111,'Технический лист'!$I:$J,2,1)-VLOOKUP($AO111,'Технический лист'!$I:$J,2,1)),1+(1-$AU111))</f>
        <v/>
      </c>
      <c r="BU111" s="172">
        <f>MIN(IF($AU111=100%,1,1+VLOOKUP(($AJ111-$AI111-$AH111-$AG111-$AF111-$AE111*(1+BU$3))/$AJ111,'Технический лист'!$I:$J,2,1)-VLOOKUP($AO111,'Технический лист'!$I:$J,2,1)),1+(1-$AU111))</f>
        <v/>
      </c>
      <c r="BV111" s="172">
        <f>MIN(IF($AU111=100%,1,1+VLOOKUP(($AJ111-$AI111-$AH111-$AG111-$AF111-$AE111*(1+BV$3))/$AJ111,'Технический лист'!$I:$J,2,1)-VLOOKUP($AO111,'Технический лист'!$I:$J,2,1)),1+(1-$AU111))</f>
        <v/>
      </c>
      <c r="BW111" s="172">
        <f>MIN(IF($AU111=100%,1,1+VLOOKUP(($AJ111-$AI111-$AH111-$AG111-$AF111-$AE111*(1+BW$3))/$AJ111,'Технический лист'!$I:$J,2,1)-VLOOKUP($AO111,'Технический лист'!$I:$J,2,1)),1+(1-$AU111))</f>
        <v/>
      </c>
      <c r="BX111" s="172">
        <f>MIN(IF($AU111=100%,1,1+VLOOKUP(($AJ111-$AI111-$AH111-$AG111-$AF111-$AE111*(1+BX$3))/$AJ111,'Технический лист'!$I:$J,2,1)-VLOOKUP($AO111,'Технический лист'!$I:$J,2,1)),1+(1-$AU111))</f>
        <v/>
      </c>
      <c r="BY111" s="172">
        <f>MIN(IF($AU111=100%,1,1+VLOOKUP(($AJ111-$AI111-$AH111-$AG111-$AF111-$AE111*(1+BY$3))/$AJ111,'Технический лист'!$I:$J,2,1)-VLOOKUP($AO111,'Технический лист'!$I:$J,2,1)),1+(1-$AU111))</f>
        <v/>
      </c>
      <c r="BZ111" s="172">
        <f>MIN(IF($AU111=100%,1,1+VLOOKUP(($AJ111-$AI111-$AH111-$AG111-$AF111-$AE111*(1+BZ$3))/$AJ111,'Технический лист'!$I:$J,2,1)-VLOOKUP($AO111,'Технический лист'!$I:$J,2,1)),1+(1-$AU111))</f>
        <v/>
      </c>
      <c r="CA111" s="172">
        <f>MIN(IF($AU111=100%,1,1+VLOOKUP(($AJ111-$AI111-$AH111-$AG111-$AF111-$AE111*(1+CA$3))/$AJ111,'Технический лист'!$I:$J,2,1)-VLOOKUP($AO111,'Технический лист'!$I:$J,2,1)),1+(1-$AU111))</f>
        <v/>
      </c>
      <c r="CB111" s="172">
        <f>MIN(IF($AU111=100%,1,1+VLOOKUP(($AJ111-$AI111-$AH111-$AG111-$AF111-$AE111*(1+CB$3))/$AJ111,'Технический лист'!$I:$J,2,1)-VLOOKUP($AO111,'Технический лист'!$I:$J,2,1)),1+(1-$AU111))</f>
        <v/>
      </c>
      <c r="CC111" s="172">
        <f>MIN(IF($AU111=100%,1,1+VLOOKUP(($AJ111-$AI111-$AH111-$AG111-$AF111-$AE111*(1+CC$3))/$AJ111,'Технический лист'!$I:$J,2,1)-VLOOKUP($AO111,'Технический лист'!$I:$J,2,1)),1+(1-$AU111))</f>
        <v/>
      </c>
      <c r="CD111" s="172">
        <f>MIN(IF($AU111=100%,1,1+VLOOKUP(($AJ111-$AI111-$AH111-$AG111-$AF111-$AE111*(1+CD$3))/$AJ111,'Технический лист'!$I:$J,2,1)-VLOOKUP($AO111,'Технический лист'!$I:$J,2,1)),1+(1-$AU111))</f>
        <v/>
      </c>
      <c r="CE111" s="172">
        <f>MIN(IF($AU111=100%,1,1+VLOOKUP(($AJ111-$AI111-$AH111-$AG111-$AF111-$AE111*(1+CE$3))/$AJ111,'Технический лист'!$I:$J,2,1)-VLOOKUP($AO111,'Технический лист'!$I:$J,2,1)),1+(1-$AU111))</f>
        <v/>
      </c>
      <c r="CF111" s="172">
        <f>MIN(IF($AU111=100%,1,1+VLOOKUP(($AJ111-$AI111-$AH111-$AG111-$AF111-$AE111*(1+CF$3))/$AJ111,'Технический лист'!$I:$J,2,1)-VLOOKUP($AO111,'Технический лист'!$I:$J,2,1)),1+(1-$AU111))</f>
        <v/>
      </c>
      <c r="CG111" s="172">
        <f>MIN(IF($AU111=100%,1,1+VLOOKUP(($AJ111-$AI111-$AH111-$AG111-$AF111-$AE111*(1+CG$3))/$AJ111,'Технический лист'!$I:$J,2,1)-VLOOKUP($AO111,'Технический лист'!$I:$J,2,1)),1+(1-$AU111))</f>
        <v/>
      </c>
      <c r="CH111" s="172">
        <f>MIN(IF($AU111=100%,1,1+VLOOKUP(($AJ111-$AI111-$AH111-$AG111-$AF111-$AE111*(1+CH$3))/$AJ111,'Технический лист'!$I:$J,2,1)-VLOOKUP($AO111,'Технический лист'!$I:$J,2,1)),1+(1-$AU111))</f>
        <v/>
      </c>
      <c r="CI111" s="172">
        <f>MIN(IF($AU111=100%,1,1+VLOOKUP(($AJ111-$AI111-$AH111-$AG111-$AF111-$AE111*(1+CI$3))/$AJ111,'Технический лист'!$I:$J,2,1)-VLOOKUP($AO111,'Технический лист'!$I:$J,2,1)),1+(1-$AU111))</f>
        <v/>
      </c>
      <c r="CJ111" s="172">
        <f>MIN(IF($AU111=100%,1,1+VLOOKUP(($AJ111-$AI111-$AH111-$AG111-$AF111-$AE111*(1+CJ$3))/$AJ111,'Технический лист'!$I:$J,2,1)-VLOOKUP($AO111,'Технический лист'!$I:$J,2,1)),1+(1-$AU111))</f>
        <v/>
      </c>
      <c r="CK111" s="172">
        <f>MIN(IF($AU111=100%,1,1+VLOOKUP(($AJ111-$AI111-$AH111-$AG111-$AF111-$AE111*(1+CK$3))/$AJ111,'Технический лист'!$I:$J,2,1)-VLOOKUP($AO111,'Технический лист'!$I:$J,2,1)),1+(1-$AU111))</f>
        <v/>
      </c>
      <c r="CL111" s="172">
        <f>MIN(IF($AU111=100%,1,1+VLOOKUP(($AJ111-$AI111-$AH111-$AG111-$AF111-$AE111*(1+CL$3))/$AJ111,'Технический лист'!$I:$J,2,1)-VLOOKUP($AO111,'Технический лист'!$I:$J,2,1)),1+(1-$AU111))</f>
        <v/>
      </c>
      <c r="CM111" s="172">
        <f>MIN(IF($AU111=100%,1,1+VLOOKUP(($AJ111-$AI111-$AH111-$AG111-$AF111-$AE111*(1+CM$3))/$AJ111,'Технический лист'!$I:$J,2,1)-VLOOKUP($AO111,'Технический лист'!$I:$J,2,1)),1+(1-$AU111))</f>
        <v/>
      </c>
      <c r="CN111" s="172">
        <f>MIN(IF($AU111=100%,1,1+VLOOKUP(($AJ111-$AI111-$AH111-$AG111-$AF111-$AE111*(1+CN$3))/$AJ111,'Технический лист'!$I:$J,2,1)-VLOOKUP($AO111,'Технический лист'!$I:$J,2,1)),1+(1-$AU111))</f>
        <v/>
      </c>
      <c r="CO111" s="172">
        <f>MIN(IF($AU111=100%,1,1+VLOOKUP(($AJ111-$AI111-$AH111-$AG111-$AF111-$AE111*(1+CO$3))/$AJ111,'Технический лист'!$I:$J,2,1)-VLOOKUP($AO111,'Технический лист'!$I:$J,2,1)),1+(1-$AU111))</f>
        <v/>
      </c>
      <c r="CP111" s="172">
        <f>MIN(IF($AU111=100%,1,1+VLOOKUP(($AJ111-$AI111-$AH111-$AG111-$AF111-$AE111*(1+CP$3))/$AJ111,'Технический лист'!$I:$J,2,1)-VLOOKUP($AO111,'Технический лист'!$I:$J,2,1)),1+(1-$AU111))</f>
        <v/>
      </c>
      <c r="CQ111" s="172">
        <f>MIN(IF($AU111=100%,1,1+VLOOKUP(($AJ111-$AI111-$AH111-$AG111-$AF111-$AE111*(1+CQ$3))/$AJ111,'Технический лист'!$I:$J,2,1)-VLOOKUP($AO111,'Технический лист'!$I:$J,2,1)),1+(1-$AU111))</f>
        <v/>
      </c>
      <c r="CR111" s="172">
        <f>MIN(IF($AU111=100%,1,1+VLOOKUP(($AJ111-$AI111-$AH111-$AG111-$AF111-$AE111*(1+CR$3))/$AJ111,'Технический лист'!$I:$J,2,1)-VLOOKUP($AO111,'Технический лист'!$I:$J,2,1)),1+(1-$AU111))</f>
        <v/>
      </c>
      <c r="CS111" s="172">
        <f>MIN(IF($AU111=100%,1,1+VLOOKUP(($AJ111-$AI111-$AH111-$AG111-$AF111-$AE111*(1+CS$3))/$AJ111,'Технический лист'!$I:$J,2,1)-VLOOKUP($AO111,'Технический лист'!$I:$J,2,1)),1+(1-$AU111))</f>
        <v/>
      </c>
      <c r="CT111" s="172">
        <f>MIN(IF($AU111=100%,1,1+VLOOKUP(($AJ111-$AI111-$AH111-$AG111-$AF111-$AE111*(1+CT$3))/$AJ111,'Технический лист'!$I:$J,2,1)-VLOOKUP($AO111,'Технический лист'!$I:$J,2,1)),1+(1-$AU111))</f>
        <v/>
      </c>
      <c r="CU111" s="172">
        <f>MIN(IF($AU111=100%,1,1+VLOOKUP(($AJ111-$AI111-$AH111-$AG111-$AF111-$AE111*(1+CU$3))/$AJ111,'Технический лист'!$I:$J,2,1)-VLOOKUP($AO111,'Технический лист'!$I:$J,2,1)),1+(1-$AU111))</f>
        <v/>
      </c>
      <c r="CV111" s="172">
        <f>MIN(IF($AU111=100%,1,1+VLOOKUP(($AJ111-$AI111-$AH111-$AG111-$AF111-$AE111*(1+CV$3))/$AJ111,'Технический лист'!$I:$J,2,1)-VLOOKUP($AO111,'Технический лист'!$I:$J,2,1)),1+(1-$AU111))</f>
        <v/>
      </c>
      <c r="CW111" s="172">
        <f>MIN(IF($AU111=100%,1,1+VLOOKUP(($AJ111-$AI111-$AH111-$AG111-$AF111-$AE111*(1+CW$3))/$AJ111,'Технический лист'!$I:$J,2,1)-VLOOKUP($AO111,'Технический лист'!$I:$J,2,1)),1+(1-$AU111))</f>
        <v/>
      </c>
      <c r="CX111" s="172">
        <f>MIN(IF($AU111=100%,1,1+VLOOKUP(($AJ111-$AI111-$AH111-$AG111-$AF111-$AE111*(1+CX$3))/$AJ111,'Технический лист'!$I:$J,2,1)-VLOOKUP($AO111,'Технический лист'!$I:$J,2,1)),1+(1-$AU111))</f>
        <v/>
      </c>
      <c r="CY111" s="172">
        <f>MIN(IF($AU111=100%,1,1+VLOOKUP(($AJ111-$AI111-$AH111-$AG111-$AF111-$AE111*(1+CY$3))/$AJ111,'Технический лист'!$I:$J,2,1)-VLOOKUP($AO111,'Технический лист'!$I:$J,2,1)),1+(1-$AU111))</f>
        <v/>
      </c>
      <c r="CZ111" s="172">
        <f>MIN(IF($AU111=100%,1,1+VLOOKUP(($AJ111-$AI111-$AH111-$AG111-$AF111-$AE111*(1+CZ$3))/$AJ111,'Технический лист'!$I:$J,2,1)-VLOOKUP($AO111,'Технический лист'!$I:$J,2,1)),1+(1-$AU111))</f>
        <v/>
      </c>
      <c r="DA111" s="172">
        <f>MIN(IF($AU111=100%,1,1+VLOOKUP(($AJ111-$AI111-$AH111-$AG111-$AF111-$AE111*(1+DA$3))/$AJ111,'Технический лист'!$I:$J,2,1)-VLOOKUP($AO111,'Технический лист'!$I:$J,2,1)),1+(1-$AU111))</f>
        <v/>
      </c>
      <c r="DB111" s="172">
        <f>MIN(IF($AU111=100%,1,1+VLOOKUP(($AJ111-$AI111-$AH111-$AG111-$AF111-$AE111*(1+DB$3))/$AJ111,'Технический лист'!$I:$J,2,1)-VLOOKUP($AO111,'Технический лист'!$I:$J,2,1)),1+(1-$AU111))</f>
        <v/>
      </c>
      <c r="DC111" s="172">
        <f>MIN(IF($AU111=100%,1,1+VLOOKUP(($AJ111-$AI111-$AH111-$AG111-$AF111-$AE111*(1+DC$3))/$AJ111,'Технический лист'!$I:$J,2,1)-VLOOKUP($AO111,'Технический лист'!$I:$J,2,1)),1+(1-$AU111))</f>
        <v/>
      </c>
      <c r="DD111" s="172">
        <f>MIN(IF($AU111=100%,1,1+VLOOKUP(($AJ111-$AI111-$AH111-$AG111-$AF111-$AE111*(1+DD$3))/$AJ111,'Технический лист'!$I:$J,2,1)-VLOOKUP($AO111,'Технический лист'!$I:$J,2,1)),1+(1-$AU111))</f>
        <v/>
      </c>
      <c r="DE111" s="172">
        <f>MIN(IF($AU111=100%,1,1+VLOOKUP(($AJ111-$AI111-$AH111-$AG111-$AF111-$AE111*(1+DE$3))/$AJ111,'Технический лист'!$I:$J,2,1)-VLOOKUP($AO111,'Технический лист'!$I:$J,2,1)),1+(1-$AU111))</f>
        <v/>
      </c>
      <c r="DF111" s="172">
        <f>MIN(IF($AU111=100%,1,1+VLOOKUP(($AJ111-$AI111-$AH111-$AG111-$AF111-$AE111*(1+DF$3))/$AJ111,'Технический лист'!$I:$J,2,1)-VLOOKUP($AO111,'Технический лист'!$I:$J,2,1)),1+(1-$AU111))</f>
        <v/>
      </c>
      <c r="DG111" s="172">
        <f>MIN(IF($AU111=100%,1,1+VLOOKUP(($AJ111-$AI111-$AH111-$AG111-$AF111-$AE111*(1+DG$3))/$AJ111,'Технический лист'!$I:$J,2,1)-VLOOKUP($AO111,'Технический лист'!$I:$J,2,1)),1+(1-$AU111))</f>
        <v/>
      </c>
      <c r="DH111" s="172">
        <f>MIN(IF($AU111=100%,1,1+VLOOKUP(($AJ111-$AI111-$AH111-$AG111-$AF111-$AE111*(1+DH$3))/$AJ111,'Технический лист'!$I:$J,2,1)-VLOOKUP($AO111,'Технический лист'!$I:$J,2,1)),1+(1-$AU111))</f>
        <v/>
      </c>
      <c r="DI111" s="172">
        <f>MIN(IF($AU111=100%,1,1+VLOOKUP(($AJ111-$AI111-$AH111-$AG111-$AF111-$AE111*(1+DI$3))/$AJ111,'Технический лист'!$I:$J,2,1)-VLOOKUP($AO111,'Технический лист'!$I:$J,2,1)),1+(1-$AU111))</f>
        <v/>
      </c>
      <c r="DJ111" s="172">
        <f>MIN(IF($AU111=100%,1,1+VLOOKUP(($AJ111-$AI111-$AH111-$AG111-$AF111-$AE111*(1+DJ$3))/$AJ111,'Технический лист'!$I:$J,2,1)-VLOOKUP($AO111,'Технический лист'!$I:$J,2,1)),1+(1-$AU111))</f>
        <v/>
      </c>
      <c r="DK111" s="172">
        <f>MIN(IF($AU111=100%,1,1+VLOOKUP(($AJ111-$AI111-$AH111-$AG111-$AF111-$AE111*(1+DK$3))/$AJ111,'Технический лист'!$I:$J,2,1)-VLOOKUP($AO111,'Технический лист'!$I:$J,2,1)),1+(1-$AU111))</f>
        <v/>
      </c>
      <c r="DL111" s="172">
        <f>MIN(IF($AU111=100%,1,1+VLOOKUP(($AJ111-$AI111-$AH111-$AG111-$AF111-$AE111*(1+DL$3))/$AJ111,'Технический лист'!$I:$J,2,1)-VLOOKUP($AO111,'Технический лист'!$I:$J,2,1)),1+(1-$AU111))</f>
        <v/>
      </c>
      <c r="DM111" s="172">
        <f>MIN(IF($AU111=100%,1,1+VLOOKUP(($AJ111-$AI111-$AH111-$AG111-$AF111-$AE111*(1+DM$3))/$AJ111,'Технический лист'!$I:$J,2,1)-VLOOKUP($AO111,'Технический лист'!$I:$J,2,1)),1+(1-$AU111))</f>
        <v/>
      </c>
      <c r="DN111" s="172">
        <f>MIN(IF($AU111=100%,1,1+VLOOKUP(($AJ111-$AI111-$AH111-$AG111-$AF111-$AE111*(1+DN$3))/$AJ111,'Технический лист'!$I:$J,2,1)-VLOOKUP($AO111,'Технический лист'!$I:$J,2,1)),1+(1-$AU111))</f>
        <v/>
      </c>
      <c r="DO111" s="172">
        <f>MIN(IF($AU111=100%,1,1+VLOOKUP(($AJ111-$AI111-$AH111-$AG111-$AF111-$AE111*(1+DO$3))/$AJ111,'Технический лист'!$I:$J,2,1)-VLOOKUP($AO111,'Технический лист'!$I:$J,2,1)),1+(1-$AU111))</f>
        <v/>
      </c>
      <c r="DP111" s="172">
        <f>MIN(IF($AU111=100%,1,1+VLOOKUP(($AJ111-$AI111-$AH111-$AG111-$AF111-$AE111*(1+DP$3))/$AJ111,'Технический лист'!$I:$J,2,1)-VLOOKUP($AO111,'Технический лист'!$I:$J,2,1)),1+(1-$AU111))</f>
        <v/>
      </c>
      <c r="DQ111" s="172">
        <f>MIN(IF($AU111=100%,1,1+VLOOKUP(($AJ111-$AI111-$AH111-$AG111-$AF111-$AE111*(1+DQ$3))/$AJ111,'Технический лист'!$I:$J,2,1)-VLOOKUP($AO111,'Технический лист'!$I:$J,2,1)),1+(1-$AU111))</f>
        <v/>
      </c>
      <c r="DR111" s="172">
        <f>MIN(IF($AU111=100%,1,1+VLOOKUP(($AJ111-$AI111-$AH111-$AG111-$AF111-$AE111*(1+DR$3))/$AJ111,'Технический лист'!$I:$J,2,1)-VLOOKUP($AO111,'Технический лист'!$I:$J,2,1)),1+(1-$AU111))</f>
        <v/>
      </c>
      <c r="DS111" s="172">
        <f>MIN(IF($AU111=100%,1,1+VLOOKUP(($AJ111-$AI111-$AH111-$AG111-$AF111-$AE111*(1+DS$3))/$AJ111,'Технический лист'!$I:$J,2,1)-VLOOKUP($AO111,'Технический лист'!$I:$J,2,1)),1+(1-$AU111))</f>
        <v/>
      </c>
      <c r="DT111" s="172">
        <f>MIN(IF($AU111=100%,1,1+VLOOKUP(($AJ111-$AI111-$AH111-$AG111-$AF111-$AE111*(1+DT$3))/$AJ111,'Технический лист'!$I:$J,2,1)-VLOOKUP($AO111,'Технический лист'!$I:$J,2,1)),1+(1-$AU111))</f>
        <v/>
      </c>
      <c r="DU111" s="172">
        <f>MIN(IF($AU111=100%,1,1+VLOOKUP(($AJ111-$AI111-$AH111-$AG111-$AF111-$AE111*(1+DU$3))/$AJ111,'Технический лист'!$I:$J,2,1)-VLOOKUP($AO111,'Технический лист'!$I:$J,2,1)),1+(1-$AU111))</f>
        <v/>
      </c>
      <c r="DV111" s="172">
        <f>MIN(IF($AU111=100%,1,1+VLOOKUP(($AJ111-$AI111-$AH111-$AG111-$AF111-$AE111*(1+DV$3))/$AJ111,'Технический лист'!$I:$J,2,1)-VLOOKUP($AO111,'Технический лист'!$I:$J,2,1)),1+(1-$AU111))</f>
        <v/>
      </c>
      <c r="DW111" s="172">
        <f>MIN(IF($AU111=100%,1,1+VLOOKUP(($AJ111-$AI111-$AH111-$AG111-$AF111-$AE111*(1+DW$3))/$AJ111,'Технический лист'!$I:$J,2,1)-VLOOKUP($AO111,'Технический лист'!$I:$J,2,1)),1+(1-$AU111))</f>
        <v/>
      </c>
      <c r="DX111" s="172">
        <f>MIN(IF($AU111=100%,1,1+VLOOKUP(($AJ111-$AI111-$AH111-$AG111-$AF111-$AE111*(1+DX$3))/$AJ111,'Технический лист'!$I:$J,2,1)-VLOOKUP($AO111,'Технический лист'!$I:$J,2,1)),1+(1-$AU111))</f>
        <v/>
      </c>
      <c r="DY111" s="172">
        <f>MIN(IF($AU111=100%,1,1+VLOOKUP(($AJ111-$AI111-$AH111-$AG111-$AF111-$AE111*(1+DY$3))/$AJ111,'Технический лист'!$I:$J,2,1)-VLOOKUP($AO111,'Технический лист'!$I:$J,2,1)),1+(1-$AU111))</f>
        <v/>
      </c>
      <c r="DZ111" s="172">
        <f>MIN(IF($AU111=100%,1,1+VLOOKUP(($AJ111-$AI111-$AH111-$AG111-$AF111-$AE111*(1+DZ$3))/$AJ111,'Технический лист'!$I:$J,2,1)-VLOOKUP($AO111,'Технический лист'!$I:$J,2,1)),1+(1-$AU111))</f>
        <v/>
      </c>
      <c r="EA111" s="172">
        <f>MIN(IF($AU111=100%,1,1+VLOOKUP(($AJ111-$AI111-$AH111-$AG111-$AF111-$AE111*(1+EA$3))/$AJ111,'Технический лист'!$I:$J,2,1)-VLOOKUP($AO111,'Технический лист'!$I:$J,2,1)),1+(1-$AU111))</f>
        <v/>
      </c>
      <c r="EB111" s="172">
        <f>MIN(IF($AU111=100%,1,1+VLOOKUP(($AJ111-$AI111-$AH111-$AG111-$AF111-$AE111*(1+EB$3))/$AJ111,'Технический лист'!$I:$J,2,1)-VLOOKUP($AO111,'Технический лист'!$I:$J,2,1)),1+(1-$AU111))</f>
        <v/>
      </c>
      <c r="EC111" s="172">
        <f>MIN(IF($AU111=100%,1,1+VLOOKUP(($AJ111-$AI111-$AH111-$AG111-$AF111-$AE111*(1+EC$3))/$AJ111,'Технический лист'!$I:$J,2,1)-VLOOKUP($AO111,'Технический лист'!$I:$J,2,1)),1+(1-$AU111))</f>
        <v/>
      </c>
      <c r="ED111" s="172">
        <f>MIN(IF($AU111=100%,1,1+VLOOKUP(($AJ111-$AI111-$AH111-$AG111-$AF111-$AE111*(1+ED$3))/$AJ111,'Технический лист'!$I:$J,2,1)-VLOOKUP($AO111,'Технический лист'!$I:$J,2,1)),1+(1-$AU111))</f>
        <v/>
      </c>
      <c r="EE111" s="172">
        <f>MIN(IF($AU111=100%,1,1+VLOOKUP(($AJ111-$AI111-$AH111-$AG111-$AF111-$AE111*(1+EE$3))/$AJ111,'Технический лист'!$I:$J,2,1)-VLOOKUP($AO111,'Технический лист'!$I:$J,2,1)),1+(1-$AU111))</f>
        <v/>
      </c>
      <c r="EF111" s="172">
        <f>MIN(IF($AU111=100%,1,1+VLOOKUP(($AJ111-$AI111-$AH111-$AG111-$AF111-$AE111*(1+EF$3))/$AJ111,'Технический лист'!$I:$J,2,1)-VLOOKUP($AO111,'Технический лист'!$I:$J,2,1)),1+(1-$AU111))</f>
        <v/>
      </c>
      <c r="EG111" s="172">
        <f>MIN(IF($AU111=100%,1,1+VLOOKUP(($AJ111-$AI111-$AH111-$AG111-$AF111-$AE111*(1+EG$3))/$AJ111,'Технический лист'!$I:$J,2,1)-VLOOKUP($AO111,'Технический лист'!$I:$J,2,1)),1+(1-$AU111))</f>
        <v/>
      </c>
      <c r="EH111" s="172">
        <f>MIN(IF($AU111=100%,1,1+VLOOKUP(($AJ111-$AI111-$AH111-$AG111-$AF111-$AE111*(1+EH$3))/$AJ111,'Технический лист'!$I:$J,2,1)-VLOOKUP($AO111,'Технический лист'!$I:$J,2,1)),1+(1-$AU111))</f>
        <v/>
      </c>
      <c r="EI111" s="172">
        <f>MIN(IF($AU111=100%,1,1+VLOOKUP(($AJ111-$AI111-$AH111-$AG111-$AF111-$AE111*(1+EI$3))/$AJ111,'Технический лист'!$I:$J,2,1)-VLOOKUP($AO111,'Технический лист'!$I:$J,2,1)),1+(1-$AU111))</f>
        <v/>
      </c>
      <c r="EJ111" s="172">
        <f>MIN(IF($AU111=100%,1,1+VLOOKUP(($AJ111-$AI111-$AH111-$AG111-$AF111-$AE111*(1+EJ$3))/$AJ111,'Технический лист'!$I:$J,2,1)-VLOOKUP($AO111,'Технический лист'!$I:$J,2,1)),1+(1-$AU111))</f>
        <v/>
      </c>
      <c r="EK111" s="172">
        <f>MIN(IF($AU111=100%,1,1+VLOOKUP(($AJ111-$AI111-$AH111-$AG111-$AF111-$AE111*(1+EK$3))/$AJ111,'Технический лист'!$I:$J,2,1)-VLOOKUP($AO111,'Технический лист'!$I:$J,2,1)),1+(1-$AU111))</f>
        <v/>
      </c>
      <c r="EL111" s="172">
        <f>MIN(IF($AU111=100%,1,1+VLOOKUP(($AJ111-$AI111-$AH111-$AG111-$AF111-$AE111*(1+EL$3))/$AJ111,'Технический лист'!$I:$J,2,1)-VLOOKUP($AO111,'Технический лист'!$I:$J,2,1)),1+(1-$AU111))</f>
        <v/>
      </c>
      <c r="EM111" s="172">
        <f>MIN(IF($AU111=100%,1,1+VLOOKUP(($AJ111-$AI111-$AH111-$AG111-$AF111-$AE111*(1+EM$3))/$AJ111,'Технический лист'!$I:$J,2,1)-VLOOKUP($AO111,'Технический лист'!$I:$J,2,1)),1+(1-$AU111))</f>
        <v/>
      </c>
      <c r="EN111" s="172">
        <f>MIN(IF($AU111=100%,1,1+VLOOKUP(($AJ111-$AI111-$AH111-$AG111-$AF111-$AE111*(1+EN$3))/$AJ111,'Технический лист'!$I:$J,2,1)-VLOOKUP($AO111,'Технический лист'!$I:$J,2,1)),1+(1-$AU111))</f>
        <v/>
      </c>
      <c r="EO111" s="172">
        <f>MIN(IF($AU111=100%,1,1+VLOOKUP(($AJ111-$AI111-$AH111-$AG111-$AF111-$AE111*(1+EO$3))/$AJ111,'Технический лист'!$I:$J,2,1)-VLOOKUP($AO111,'Технический лист'!$I:$J,2,1)),1+(1-$AU111))</f>
        <v/>
      </c>
      <c r="EP111" s="172">
        <f>MIN(IF($AU111=100%,1,1+VLOOKUP(($AJ111-$AI111-$AH111-$AG111-$AF111-$AE111*(1+EP$3))/$AJ111,'Технический лист'!$I:$J,2,1)-VLOOKUP($AO111,'Технический лист'!$I:$J,2,1)),1+(1-$AU111))</f>
        <v/>
      </c>
      <c r="EQ111" s="172">
        <f>MIN(IF($AU111=100%,1,1+VLOOKUP(($AJ111-$AI111-$AH111-$AG111-$AF111-$AE111*(1+EQ$3))/$AJ111,'Технический лист'!$I:$J,2,1)-VLOOKUP($AO111,'Технический лист'!$I:$J,2,1)),1+(1-$AU111))</f>
        <v/>
      </c>
      <c r="ER111" s="172">
        <f>MIN(IF($AU111=100%,1,1+VLOOKUP(($AJ111-$AI111-$AH111-$AG111-$AF111-$AE111*(1+ER$3))/$AJ111,'Технический лист'!$I:$J,2,1)-VLOOKUP($AO111,'Технический лист'!$I:$J,2,1)),1+(1-$AU111))</f>
        <v/>
      </c>
      <c r="ES111" s="172">
        <f>MIN(IF($AU111=100%,1,1+VLOOKUP(($AJ111-$AI111-$AH111-$AG111-$AF111-$AE111*(1+ES$3))/$AJ111,'Технический лист'!$I:$J,2,1)-VLOOKUP($AO111,'Технический лист'!$I:$J,2,1)),1+(1-$AU111))</f>
        <v/>
      </c>
      <c r="ET111" s="172">
        <f>MIN(IF($AU111=100%,1,1+VLOOKUP(($AJ111-$AI111-$AH111-$AG111-$AF111-$AE111*(1+ET$3))/$AJ111,'Технический лист'!$I:$J,2,1)-VLOOKUP($AO111,'Технический лист'!$I:$J,2,1)),1+(1-$AU111))</f>
        <v/>
      </c>
      <c r="EU111" s="172">
        <f>MIN(IF($AU111=100%,1,1+VLOOKUP(($AJ111-$AI111-$AH111-$AG111-$AF111-$AE111*(1+EU$3))/$AJ111,'Технический лист'!$I:$J,2,1)-VLOOKUP($AO111,'Технический лист'!$I:$J,2,1)),1+(1-$AU111))</f>
        <v/>
      </c>
      <c r="EV111" s="173" t="n">
        <v>1</v>
      </c>
      <c r="EW111" s="172">
        <f>MIN(1,MAX(VLOOKUP(($AJ111-$AI111-$AH111-$AG111-$AF111-$AE111*(1+EW$3))/$AJ111,'Технический лист'!$A:$B,2,1),(EV111-0.05)))</f>
        <v/>
      </c>
      <c r="EX111" s="172">
        <f>MIN(1,MAX(VLOOKUP(($AJ111-$AI111-$AH111-$AG111-$AF111-$AE111*(1+EX$3))/$AJ111,'Технический лист'!$A:$B,2,1),(EW111-0.05)))</f>
        <v/>
      </c>
      <c r="EY111" s="172">
        <f>MIN(1,MAX(VLOOKUP(($AJ111-$AI111-$AH111-$AG111-$AF111-$AE111*(1+EY$3))/$AJ111,'Технический лист'!$A:$B,2,1),(EX111-0.05)))</f>
        <v/>
      </c>
      <c r="EZ111" s="172">
        <f>MIN(1,MAX(VLOOKUP(($AJ111-$AI111-$AH111-$AG111-$AF111-$AE111*(1+EZ$3))/$AJ111,'Технический лист'!$A:$B,2,1),(EY111-0.05)))</f>
        <v/>
      </c>
      <c r="FA111" s="172">
        <f>MIN(1,MAX(VLOOKUP(($AJ111-$AI111-$AH111-$AG111-$AF111-$AE111*(1+FA$3))/$AJ111,'Технический лист'!$A:$B,2,1),(EZ111-0.05)))</f>
        <v/>
      </c>
      <c r="FB111" s="172">
        <f>MIN(1,MAX(VLOOKUP(($AJ111-$AI111-$AH111-$AG111-$AF111-$AE111*(1+FB$3))/$AJ111,'Технический лист'!$A:$B,2,1),(FA111-0.05)))</f>
        <v/>
      </c>
      <c r="FC111" s="172">
        <f>MIN(1,MAX(VLOOKUP(($AJ111-$AI111-$AH111-$AG111-$AF111-$AE111*(1+FC$3))/$AJ111,'Технический лист'!$A:$B,2,1),(FB111-0.05)))</f>
        <v/>
      </c>
      <c r="FD111" s="172">
        <f>MIN(1,MAX(VLOOKUP(($AJ111-$AI111-$AH111-$AG111-$AF111-$AE111*(1+FD$3))/$AJ111,'Технический лист'!$A:$B,2,1),(FC111-0.05)))</f>
        <v/>
      </c>
      <c r="FE111" s="172">
        <f>MIN(1,MAX(VLOOKUP(($AJ111-$AI111-$AH111-$AG111-$AF111-$AE111*(1+FE$3))/$AJ111,'Технический лист'!$A:$B,2,1),(FD111-0.05)))</f>
        <v/>
      </c>
      <c r="FF111" s="172">
        <f>MIN(1,MAX(VLOOKUP(($AJ111-$AI111-$AH111-$AG111-$AF111-$AE111*(1+FF$3))/$AJ111,'Технический лист'!$A:$B,2,1),(FE111-0.05)))</f>
        <v/>
      </c>
      <c r="FG111" s="172">
        <f>MIN(1,MAX(VLOOKUP(($AJ111-$AI111-$AH111-$AG111-$AF111-$AE111*(1+FG$3))/$AJ111,'Технический лист'!$A:$B,2,1),(FF111-0.05)))</f>
        <v/>
      </c>
      <c r="FH111" s="172">
        <f>MIN(1,MAX(VLOOKUP(($AJ111-$AI111-$AH111-$AG111-$AF111-$AE111*(1+FH$3))/$AJ111,'Технический лист'!$A:$B,2,1),(FG111-0.05)))</f>
        <v/>
      </c>
      <c r="FI111" s="172">
        <f>MIN(1,MAX(VLOOKUP(($AJ111-$AI111-$AH111-$AG111-$AF111-$AE111*(1+FI$3))/$AJ111,'Технический лист'!$A:$B,2,1),(FH111-0.05)))</f>
        <v/>
      </c>
      <c r="FJ111" s="172">
        <f>MIN(1,MAX(VLOOKUP(($AJ111-$AI111-$AH111-$AG111-$AF111-$AE111*(1+FJ$3))/$AJ111,'Технический лист'!$A:$B,2,1),(FI111-0.05)))</f>
        <v/>
      </c>
      <c r="FK111" s="172">
        <f>MIN(1,MAX(VLOOKUP(($AJ111-$AI111-$AH111-$AG111-$AF111-$AE111*(1+FK$3))/$AJ111,'Технический лист'!$A:$B,2,1),(FJ111-0.05)))</f>
        <v/>
      </c>
      <c r="FL111" s="172">
        <f>MIN(1,MAX(VLOOKUP(($AJ111-$AI111-$AH111-$AG111-$AF111-$AE111*(1+FL$3))/$AJ111,'Технический лист'!$A:$B,2,1),(FK111-0.05)))</f>
        <v/>
      </c>
      <c r="FM111" s="172">
        <f>MIN(1,MAX(VLOOKUP(($AJ111-$AI111-$AH111-$AG111-$AF111-$AE111*(1+FM$3))/$AJ111,'Технический лист'!$A:$B,2,1),(FL111-0.05)))</f>
        <v/>
      </c>
      <c r="FN111" s="172">
        <f>MIN(1,MAX(VLOOKUP(($AJ111-$AI111-$AH111-$AG111-$AF111-$AE111*(1+FN$3))/$AJ111,'Технический лист'!$A:$B,2,1),(FM111-0.05)))</f>
        <v/>
      </c>
      <c r="FO111" s="172">
        <f>MIN(1,MAX(VLOOKUP(($AJ111-$AI111-$AH111-$AG111-$AF111-$AE111*(1+FO$3))/$AJ111,'Технический лист'!$A:$B,2,1),(FN111-0.05)))</f>
        <v/>
      </c>
      <c r="FP111" s="172">
        <f>MIN(1,MAX(VLOOKUP(($AJ111-$AI111-$AH111-$AG111-$AF111-$AE111*(1+FP$3))/$AJ111,'Технический лист'!$A:$B,2,1),(FO111-0.05)))</f>
        <v/>
      </c>
      <c r="FQ111" s="172">
        <f>MIN(1,MAX(VLOOKUP(($AJ111-$AI111-$AH111-$AG111-$AF111-$AE111*(1+FQ$3))/$AJ111,'Технический лист'!$A:$B,2,1),(FP111-0.05)))</f>
        <v/>
      </c>
      <c r="FR111" s="172">
        <f>MIN(1,MAX(VLOOKUP(($AJ111-$AI111-$AH111-$AG111-$AF111-$AE111*(1+FR$3))/$AJ111,'Технический лист'!$A:$B,2,1),(FQ111-0.05)))</f>
        <v/>
      </c>
      <c r="FS111" s="172">
        <f>MIN(1,MAX(VLOOKUP(($AJ111-$AI111-$AH111-$AG111-$AF111-$AE111*(1+FS$3))/$AJ111,'Технический лист'!$A:$B,2,1),(FR111-0.05)))</f>
        <v/>
      </c>
      <c r="FT111" s="172">
        <f>MIN(1,MAX(VLOOKUP(($AJ111-$AI111-$AH111-$AG111-$AF111-$AE111*(1+FT$3))/$AJ111,'Технический лист'!$A:$B,2,1),(FS111-0.05)))</f>
        <v/>
      </c>
      <c r="FU111" s="172">
        <f>MIN(1,MAX(VLOOKUP(($AJ111-$AI111-$AH111-$AG111-$AF111-$AE111*(1+FU$3))/$AJ111,'Технический лист'!$A:$B,2,1),(FT111-0.05)))</f>
        <v/>
      </c>
      <c r="FV111" s="172">
        <f>MIN(1,MAX(VLOOKUP(($AJ111-$AI111-$AH111-$AG111-$AF111-$AE111*(1+FV$3))/$AJ111,'Технический лист'!$A:$B,2,1),(FU111-0.05)))</f>
        <v/>
      </c>
      <c r="FW111" s="172">
        <f>MIN(1,MAX(VLOOKUP(($AJ111-$AI111-$AH111-$AG111-$AF111-$AE111*(1+FW$3))/$AJ111,'Технический лист'!$A:$B,2,1),(FV111-0.05)))</f>
        <v/>
      </c>
      <c r="FX111" s="172">
        <f>MIN(1,MAX(VLOOKUP(($AJ111-$AI111-$AH111-$AG111-$AF111-$AE111*(1+FX$3))/$AJ111,'Технический лист'!$A:$B,2,1),(FW111-0.05)))</f>
        <v/>
      </c>
      <c r="FY111" s="172">
        <f>MIN(1,MAX(VLOOKUP(($AJ111-$AI111-$AH111-$AG111-$AF111-$AE111*(1+FY$3))/$AJ111,'Технический лист'!$A:$B,2,1),(FX111-0.05)))</f>
        <v/>
      </c>
      <c r="FZ111" s="172">
        <f>MIN(1,MAX(VLOOKUP(($AJ111-$AI111-$AH111-$AG111-$AF111-$AE111*(1+FZ$3))/$AJ111,'Технический лист'!$A:$B,2,1),(FY111-0.05)))</f>
        <v/>
      </c>
      <c r="GA111" s="172">
        <f>MIN(1,MAX(VLOOKUP(($AJ111-$AI111-$AH111-$AG111-$AF111-$AE111*(1+GA$3))/$AJ111,'Технический лист'!$A:$B,2,1),(FZ111-0.05)))</f>
        <v/>
      </c>
      <c r="GB111" s="172">
        <f>MIN(1,MAX(VLOOKUP(($AJ111-$AI111-$AH111-$AG111-$AF111-$AE111*(1+GB$3))/$AJ111,'Технический лист'!$A:$B,2,1),(GA111-0.05)))</f>
        <v/>
      </c>
      <c r="GC111" s="172">
        <f>MIN(1,MAX(VLOOKUP(($AJ111-$AI111-$AH111-$AG111-$AF111-$AE111*(1+GC$3))/$AJ111,'Технический лист'!$A:$B,2,1),(GB111-0.05)))</f>
        <v/>
      </c>
      <c r="GD111" s="172">
        <f>MIN(1,MAX(VLOOKUP(($AJ111-$AI111-$AH111-$AG111-$AF111-$AE111*(1+GD$3))/$AJ111,'Технический лист'!$A:$B,2,1),(GC111-0.05)))</f>
        <v/>
      </c>
      <c r="GE111" s="172">
        <f>MIN(1,MAX(VLOOKUP(($AJ111-$AI111-$AH111-$AG111-$AF111-$AE111*(1+GE$3))/$AJ111,'Технический лист'!$A:$B,2,1),(GD111-0.05)))</f>
        <v/>
      </c>
      <c r="GF111" s="172">
        <f>MIN(1,MAX(VLOOKUP(($AJ111-$AI111-$AH111-$AG111-$AF111-$AE111*(1+GF$3))/$AJ111,'Технический лист'!$A:$B,2,1),(GE111-0.05)))</f>
        <v/>
      </c>
      <c r="GG111" s="172">
        <f>MIN(1,MAX(VLOOKUP(($AJ111-$AI111-$AH111-$AG111-$AF111-$AE111*(1+GG$3))/$AJ111,'Технический лист'!$A:$B,2,1),(GF111-0.05)))</f>
        <v/>
      </c>
      <c r="GH111" s="172">
        <f>MIN(1,MAX(VLOOKUP(($AJ111-$AI111-$AH111-$AG111-$AF111-$AE111*(1+GH$3))/$AJ111,'Технический лист'!$A:$B,2,1),(GG111-0.05)))</f>
        <v/>
      </c>
      <c r="GI111" s="172">
        <f>MIN(1,MAX(VLOOKUP(($AJ111-$AI111-$AH111-$AG111-$AF111-$AE111*(1+GI$3))/$AJ111,'Технический лист'!$A:$B,2,1),(GH111-0.05)))</f>
        <v/>
      </c>
      <c r="GJ111" s="172">
        <f>MIN(1,MAX(VLOOKUP(($AJ111-$AI111-$AH111-$AG111-$AF111-$AE111*(1+GJ$3))/$AJ111,'Технический лист'!$A:$B,2,1),(GI111-0.05)))</f>
        <v/>
      </c>
      <c r="GK111" s="172">
        <f>MIN(1,MAX(VLOOKUP(($AJ111-$AI111-$AH111-$AG111-$AF111-$AE111*(1+GK$3))/$AJ111,'Технический лист'!$A:$B,2,1),(GJ111-0.05)))</f>
        <v/>
      </c>
      <c r="GL111" s="172">
        <f>MIN(1,MAX(VLOOKUP(($AJ111-$AI111-$AH111-$AG111-$AF111-$AE111*(1+GL$3))/$AJ111,'Технический лист'!$A:$B,2,1),(GK111-0.05)))</f>
        <v/>
      </c>
      <c r="GM111" s="172">
        <f>MIN(1,MAX(VLOOKUP(($AJ111-$AI111-$AH111-$AG111-$AF111-$AE111*(1+GM$3))/$AJ111,'Технический лист'!$A:$B,2,1),(GL111-0.05)))</f>
        <v/>
      </c>
      <c r="GN111" s="172">
        <f>MIN(1,MAX(VLOOKUP(($AJ111-$AI111-$AH111-$AG111-$AF111-$AE111*(1+GN$3))/$AJ111,'Технический лист'!$A:$B,2,1),(GM111-0.05)))</f>
        <v/>
      </c>
      <c r="GO111" s="172">
        <f>MIN(1,MAX(VLOOKUP(($AJ111-$AI111-$AH111-$AG111-$AF111-$AE111*(1+GO$3))/$AJ111,'Технический лист'!$A:$B,2,1),(GN111-0.05)))</f>
        <v/>
      </c>
      <c r="GP111" s="172">
        <f>MIN(1,MAX(VLOOKUP(($AJ111-$AI111-$AH111-$AG111-$AF111-$AE111*(1+GP$3))/$AJ111,'Технический лист'!$A:$B,2,1),(GO111-0.05)))</f>
        <v/>
      </c>
      <c r="GQ111" s="172">
        <f>MIN(1,MAX(VLOOKUP(($AJ111-$AI111-$AH111-$AG111-$AF111-$AE111*(1+GQ$3))/$AJ111,'Технический лист'!$A:$B,2,1),(GP111-0.05)))</f>
        <v/>
      </c>
      <c r="GR111" s="172">
        <f>MIN(1,MAX(VLOOKUP(($AJ111-$AI111-$AH111-$AG111-$AF111-$AE111*(1+GR$3))/$AJ111,'Технический лист'!$A:$B,2,1),(GQ111-0.05)))</f>
        <v/>
      </c>
      <c r="GS111" s="172">
        <f>MIN(1,MAX(VLOOKUP(($AJ111-$AI111-$AH111-$AG111-$AF111-$AE111*(1+GS$3))/$AJ111,'Технический лист'!$A:$B,2,1),(GR111-0.05)))</f>
        <v/>
      </c>
      <c r="GT111" s="172">
        <f>MIN(1,MAX(VLOOKUP(($AJ111-$AI111-$AH111-$AG111-$AF111-$AE111*(1+GT$3))/$AJ111,'Технический лист'!$A:$B,2,1),(GS111-0.05)))</f>
        <v/>
      </c>
      <c r="GU111" s="172">
        <f>MIN(1,MAX(VLOOKUP(($AJ111-$AI111-$AH111-$AG111-$AF111-$AE111*(1+GU$3))/$AJ111,'Технический лист'!$A:$B,2,1),(GT111-0.05)))</f>
        <v/>
      </c>
      <c r="GV111" s="172">
        <f>MIN(1,MAX(VLOOKUP(($AJ111-$AI111-$AH111-$AG111-$AF111-$AE111*(1+GV$3))/$AJ111,'Технический лист'!$A:$B,2,1),(GU111-0.05)))</f>
        <v/>
      </c>
      <c r="GW111" s="172">
        <f>MIN(1,MAX(VLOOKUP(($AJ111-$AI111-$AH111-$AG111-$AF111-$AE111*(1+GW$3))/$AJ111,'Технический лист'!$A:$B,2,1),(GV111-0.05)))</f>
        <v/>
      </c>
      <c r="GX111" s="172">
        <f>MIN(1,MAX(VLOOKUP(($AJ111-$AI111-$AH111-$AG111-$AF111-$AE111*(1+GX$3))/$AJ111,'Технический лист'!$A:$B,2,1),(GW111-0.05)))</f>
        <v/>
      </c>
      <c r="GY111" s="172">
        <f>MIN(1,MAX(VLOOKUP(($AJ111-$AI111-$AH111-$AG111-$AF111-$AE111*(1+GY$3))/$AJ111,'Технический лист'!$A:$B,2,1),(GX111-0.05)))</f>
        <v/>
      </c>
      <c r="GZ111" s="172">
        <f>MIN(1,MAX(VLOOKUP(($AJ111-$AI111-$AH111-$AG111-$AF111-$AE111*(1+GZ$3))/$AJ111,'Технический лист'!$A:$B,2,1),(GY111-0.05)))</f>
        <v/>
      </c>
      <c r="HA111" s="172">
        <f>MIN(1,MAX(VLOOKUP(($AJ111-$AI111-$AH111-$AG111-$AF111-$AE111*(1+HA$3))/$AJ111,'Технический лист'!$A:$B,2,1),(GZ111-0.05)))</f>
        <v/>
      </c>
      <c r="HB111" s="172">
        <f>MIN(1,MAX(VLOOKUP(($AJ111-$AI111-$AH111-$AG111-$AF111-$AE111*(1+HB$3))/$AJ111,'Технический лист'!$A:$B,2,1),(HA111-0.05)))</f>
        <v/>
      </c>
      <c r="HC111" s="172">
        <f>MIN(1,MAX(VLOOKUP(($AJ111-$AI111-$AH111-$AG111-$AF111-$AE111*(1+HC$3))/$AJ111,'Технический лист'!$A:$B,2,1),(HB111-0.05)))</f>
        <v/>
      </c>
      <c r="HD111" s="172">
        <f>MIN(1,MAX(VLOOKUP(($AJ111-$AI111-$AH111-$AG111-$AF111-$AE111*(1+HD$3))/$AJ111,'Технический лист'!$A:$B,2,1),(HC111-0.05)))</f>
        <v/>
      </c>
      <c r="HE111" s="172">
        <f>MIN(1,MAX(VLOOKUP(($AJ111-$AI111-$AH111-$AG111-$AF111-$AE111*(1+HE$3))/$AJ111,'Технический лист'!$A:$B,2,1),(HD111-0.05)))</f>
        <v/>
      </c>
      <c r="HF111" s="172">
        <f>MIN(1,MAX(VLOOKUP(($AJ111-$AI111-$AH111-$AG111-$AF111-$AE111*(1+HF$3))/$AJ111,'Технический лист'!$A:$B,2,1),(HE111-0.05)))</f>
        <v/>
      </c>
      <c r="HG111" s="172">
        <f>MIN(1,MAX(VLOOKUP(($AJ111-$AI111-$AH111-$AG111-$AF111-$AE111*(1+HG$3))/$AJ111,'Технический лист'!$A:$B,2,1),(HF111-0.05)))</f>
        <v/>
      </c>
      <c r="HH111" s="172">
        <f>MIN(1,MAX(VLOOKUP(($AJ111-$AI111-$AH111-$AG111-$AF111-$AE111*(1+HH$3))/$AJ111,'Технический лист'!$A:$B,2,1),(HG111-0.05)))</f>
        <v/>
      </c>
      <c r="HI111" s="172">
        <f>MIN(1,MAX(VLOOKUP(($AJ111-$AI111-$AH111-$AG111-$AF111-$AE111*(1+HI$3))/$AJ111,'Технический лист'!$A:$B,2,1),(HH111-0.05)))</f>
        <v/>
      </c>
      <c r="HJ111" s="172">
        <f>MIN(1,MAX(VLOOKUP(($AJ111-$AI111-$AH111-$AG111-$AF111-$AE111*(1+HJ$3))/$AJ111,'Технический лист'!$A:$B,2,1),(HI111-0.05)))</f>
        <v/>
      </c>
      <c r="HK111" s="172">
        <f>MIN(1,MAX(VLOOKUP(($AJ111-$AI111-$AH111-$AG111-$AF111-$AE111*(1+HK$3))/$AJ111,'Технический лист'!$A:$B,2,1),(HJ111-0.05)))</f>
        <v/>
      </c>
      <c r="HL111" s="172">
        <f>MIN(1,MAX(VLOOKUP(($AJ111-$AI111-$AH111-$AG111-$AF111-$AE111*(1+HL$3))/$AJ111,'Технический лист'!$A:$B,2,1),(HK111-0.05)))</f>
        <v/>
      </c>
      <c r="HM111" s="172">
        <f>MIN(1,MAX(VLOOKUP(($AJ111-$AI111-$AH111-$AG111-$AF111-$AE111*(1+HM$3))/$AJ111,'Технический лист'!$A:$B,2,1),(HL111-0.05)))</f>
        <v/>
      </c>
      <c r="HN111" s="172">
        <f>MIN(1,MAX(VLOOKUP(($AJ111-$AI111-$AH111-$AG111-$AF111-$AE111*(1+HN$3))/$AJ111,'Технический лист'!$A:$B,2,1),(HM111-0.05)))</f>
        <v/>
      </c>
      <c r="HO111" s="172">
        <f>MIN(1,MAX(VLOOKUP(($AJ111-$AI111-$AH111-$AG111-$AF111-$AE111*(1+HO$3))/$AJ111,'Технический лист'!$A:$B,2,1),(HN111-0.05)))</f>
        <v/>
      </c>
      <c r="HP111" s="172">
        <f>MIN(1,MAX(VLOOKUP(($AJ111-$AI111-$AH111-$AG111-$AF111-$AE111*(1+HP$3))/$AJ111,'Технический лист'!$A:$B,2,1),(HO111-0.05)))</f>
        <v/>
      </c>
      <c r="HQ111" s="172">
        <f>MIN(1,MAX(VLOOKUP(($AJ111-$AI111-$AH111-$AG111-$AF111-$AE111*(1+HQ$3))/$AJ111,'Технический лист'!$A:$B,2,1),(HP111-0.05)))</f>
        <v/>
      </c>
      <c r="HR111" s="172">
        <f>MIN(1,MAX(VLOOKUP(($AJ111-$AI111-$AH111-$AG111-$AF111-$AE111*(1+HR$3))/$AJ111,'Технический лист'!$A:$B,2,1),(HQ111-0.05)))</f>
        <v/>
      </c>
      <c r="HS111" s="172">
        <f>MIN(1,MAX(VLOOKUP(($AJ111-$AI111-$AH111-$AG111-$AF111-$AE111*(1+HS$3))/$AJ111,'Технический лист'!$A:$B,2,1),(HR111-0.05)))</f>
        <v/>
      </c>
      <c r="HT111" s="172">
        <f>MIN(1,MAX(VLOOKUP(($AJ111-$AI111-$AH111-$AG111-$AF111-$AE111*(1+HT$3))/$AJ111,'Технический лист'!$A:$B,2,1),(HS111-0.05)))</f>
        <v/>
      </c>
      <c r="HU111" s="172">
        <f>MIN(1,MAX(VLOOKUP(($AJ111-$AI111-$AH111-$AG111-$AF111-$AE111*(1+HU$3))/$AJ111,'Технический лист'!$A:$B,2,1),(HT111-0.05)))</f>
        <v/>
      </c>
      <c r="HV111" s="172">
        <f>MIN(1,MAX(VLOOKUP(($AJ111-$AI111-$AH111-$AG111-$AF111-$AE111*(1+HV$3))/$AJ111,'Технический лист'!$A:$B,2,1),(HU111-0.05)))</f>
        <v/>
      </c>
      <c r="HW111" s="172">
        <f>MIN(1,MAX(VLOOKUP(($AJ111-$AI111-$AH111-$AG111-$AF111-$AE111*(1+HW$3))/$AJ111,'Технический лист'!$A:$B,2,1),(HV111-0.05)))</f>
        <v/>
      </c>
      <c r="HX111" s="172">
        <f>MIN(1,MAX(VLOOKUP(($AJ111-$AI111-$AH111-$AG111-$AF111-$AE111*(1+HX$3))/$AJ111,'Технический лист'!$A:$B,2,1),(HW111-0.05)))</f>
        <v/>
      </c>
      <c r="HY111" s="172">
        <f>MIN(1,MAX(VLOOKUP(($AJ111-$AI111-$AH111-$AG111-$AF111-$AE111*(1+HY$3))/$AJ111,'Технический лист'!$A:$B,2,1),(HX111-0.05)))</f>
        <v/>
      </c>
      <c r="HZ111" s="172">
        <f>MIN(1,MAX(VLOOKUP(($AJ111-$AI111-$AH111-$AG111-$AF111-$AE111*(1+HZ$3))/$AJ111,'Технический лист'!$A:$B,2,1),(HY111-0.05)))</f>
        <v/>
      </c>
      <c r="IA111" s="172">
        <f>MIN(1,MAX(VLOOKUP(($AJ111-$AI111-$AH111-$AG111-$AF111-$AE111*(1+IA$3))/$AJ111,'Технический лист'!$A:$B,2,1),(HZ111-0.05)))</f>
        <v/>
      </c>
      <c r="IB111" s="172">
        <f>MIN(1,MAX(VLOOKUP(($AJ111-$AI111-$AH111-$AG111-$AF111-$AE111*(1+IB$3))/$AJ111,'Технический лист'!$A:$B,2,1),(IA111-0.05)))</f>
        <v/>
      </c>
      <c r="IC111" s="172">
        <f>MIN(1,MAX(VLOOKUP(($AJ111-$AI111-$AH111-$AG111-$AF111-$AE111*(1+IC$3))/$AJ111,'Технический лист'!$A:$B,2,1),(IB111-0.05)))</f>
        <v/>
      </c>
      <c r="ID111" s="172">
        <f>MIN(1,MAX(VLOOKUP(($AJ111-$AI111-$AH111-$AG111-$AF111-$AE111*(1+ID$3))/$AJ111,'Технический лист'!$A:$B,2,1),(IC111-0.05)))</f>
        <v/>
      </c>
      <c r="IE111" s="172">
        <f>MIN(1,MAX(VLOOKUP(($AJ111-$AI111-$AH111-$AG111-$AF111-$AE111*(1+IE$3))/$AJ111,'Технический лист'!$A:$B,2,1),(ID111-0.05)))</f>
        <v/>
      </c>
      <c r="IF111" s="172">
        <f>MIN(1,MAX(VLOOKUP(($AJ111-$AI111-$AH111-$AG111-$AF111-$AE111*(1+IF$3))/$AJ111,'Технический лист'!$A:$B,2,1),(IE111-0.05)))</f>
        <v/>
      </c>
      <c r="IG111" s="172">
        <f>MIN(1,MAX(VLOOKUP(($AJ111-$AI111-$AH111-$AG111-$AF111-$AE111*(1+IG$3))/$AJ111,'Технический лист'!$A:$B,2,1),(IF111-0.05)))</f>
        <v/>
      </c>
      <c r="IH111" s="172">
        <f>MIN(1,MAX(VLOOKUP(($AJ111-$AI111-$AH111-$AG111-$AF111-$AE111*(1+IH$3))/$AJ111,'Технический лист'!$A:$B,2,1),(IG111-0.05)))</f>
        <v/>
      </c>
      <c r="II111" s="172">
        <f>MIN(1,MAX(VLOOKUP(($AJ111-$AI111-$AH111-$AG111-$AF111-$AE111*(1+II$3))/$AJ111,'Технический лист'!$A:$B,2,1),(IH111-0.05)))</f>
        <v/>
      </c>
      <c r="IJ111" s="172">
        <f>MIN(1,MAX(VLOOKUP(($AJ111-$AI111-$AH111-$AG111-$AF111-$AE111*(1+IJ$3))/$AJ111,'Технический лист'!$A:$B,2,1),(II111-0.05)))</f>
        <v/>
      </c>
      <c r="IK111" s="172">
        <f>MIN(1,MAX(VLOOKUP(($AJ111-$AI111-$AH111-$AG111-$AF111-$AE111*(1+IK$3))/$AJ111,'Технический лист'!$A:$B,2,1),(IJ111-0.05)))</f>
        <v/>
      </c>
      <c r="IL111" s="172">
        <f>MIN(1,MAX(VLOOKUP(($AJ111-$AI111-$AH111-$AG111-$AF111-$AE111*(1+IL$3))/$AJ111,'Технический лист'!$A:$B,2,1),(IK111-0.05)))</f>
        <v/>
      </c>
      <c r="IM111" s="172">
        <f>MIN(1,MAX(VLOOKUP(($AJ111-$AI111-$AH111-$AG111-$AF111-$AE111*(1+IM$3))/$AJ111,'Технический лист'!$A:$B,2,1),(IL111-0.05)))</f>
        <v/>
      </c>
      <c r="IN111" s="172">
        <f>MIN(1,MAX(VLOOKUP(($AJ111-$AI111-$AH111-$AG111-$AF111-$AE111*(1+IN$3))/$AJ111,'Технический лист'!$A:$B,2,1),(IM111-0.05)))</f>
        <v/>
      </c>
      <c r="IO111" s="172">
        <f>MIN(1,MAX(VLOOKUP(($AJ111-$AI111-$AH111-$AG111-$AF111-$AE111*(1+IO$3))/$AJ111,'Технический лист'!$A:$B,2,1),(IN111-0.05)))</f>
        <v/>
      </c>
      <c r="IP111" s="172">
        <f>MIN(1,MAX(VLOOKUP(($AJ111-$AI111-$AH111-$AG111-$AF111-$AE111*(1+IP$3))/$AJ111,'Технический лист'!$A:$B,2,1),(IO111-0.05)))</f>
        <v/>
      </c>
      <c r="IQ111" s="172">
        <f>MIN(1,MAX(VLOOKUP(($AJ111-$AI111-$AH111-$AG111-$AF111-$AE111*(1+IQ$3))/$AJ111,'Технический лист'!$A:$B,2,1),(IP111-0.05)))</f>
        <v/>
      </c>
      <c r="IR111" s="172">
        <f>MIN(1,MAX(VLOOKUP(($AJ111-$AI111-$AH111-$AG111-$AF111-$AE111*(1+IR$3))/$AJ111,'Технический лист'!$A:$B,2,1),(IQ111-0.05)))</f>
        <v/>
      </c>
    </row>
    <row r="112" ht="43.75" customHeight="1" s="123">
      <c r="A112" s="89" t="inlineStr">
        <is>
          <t>ЧМ (продукция)</t>
        </is>
      </c>
      <c r="B112" s="90" t="n">
        <v>5</v>
      </c>
      <c r="C112" s="5" t="inlineStr">
        <is>
          <t>Черные металлы</t>
        </is>
      </c>
      <c r="D112" s="91" t="n">
        <v>32416</v>
      </c>
      <c r="E112" s="91" t="inlineStr">
        <is>
          <t xml:space="preserve">Сталь листовая, не поименованная в алфавите </t>
        </is>
      </c>
      <c r="F112" s="92" t="inlineStr">
        <is>
          <t>ПРОЧИЕ ВИДЫ ПРОКАТА ЧЕРНЫ</t>
        </is>
      </c>
      <c r="G112" s="91" t="inlineStr">
        <is>
          <t>ЮУР</t>
        </is>
      </c>
      <c r="H112" s="91" t="inlineStr">
        <is>
          <t>КРС</t>
        </is>
      </c>
      <c r="I112" s="91" t="inlineStr">
        <is>
          <t>МАГНИТОГ-ГР</t>
        </is>
      </c>
      <c r="J112" s="91" t="inlineStr">
        <is>
          <t>КРАСНОЯРСК-С</t>
        </is>
      </c>
      <c r="K112" s="91" t="n">
        <v>2595</v>
      </c>
      <c r="L112" s="91" t="inlineStr">
        <is>
          <t>Полувагоны</t>
        </is>
      </c>
      <c r="M112" s="91" t="inlineStr">
        <is>
          <t>Внутр. перевозки</t>
        </is>
      </c>
      <c r="N112" s="91" t="inlineStr">
        <is>
          <t>вагонная</t>
        </is>
      </c>
      <c r="O112" s="91" t="inlineStr">
        <is>
          <t xml:space="preserve">Восточное </t>
        </is>
      </c>
      <c r="P112" s="89" t="inlineStr">
        <is>
          <t>'000000186424</t>
        </is>
      </c>
      <c r="Q112" s="91" t="inlineStr">
        <is>
          <t>'ПАО "ММК"</t>
        </is>
      </c>
      <c r="R112" s="91" t="inlineStr">
        <is>
          <t>ПАО "ММК"</t>
        </is>
      </c>
      <c r="S112" s="87" t="n">
        <v>19459</v>
      </c>
      <c r="T112" s="87" t="n">
        <v>50495857</v>
      </c>
      <c r="U112" s="88" t="n">
        <v>304</v>
      </c>
      <c r="V112" s="88" t="n">
        <v>0</v>
      </c>
      <c r="W112" s="87" t="n">
        <v>87119845</v>
      </c>
      <c r="X112" s="112" t="n">
        <v>62</v>
      </c>
      <c r="Y112" s="112" t="inlineStr">
        <is>
          <t>повагонная</t>
        </is>
      </c>
      <c r="Z112" s="113" t="n">
        <v>10</v>
      </c>
      <c r="AA112" s="113" t="n">
        <v>8</v>
      </c>
      <c r="AB112" s="113" t="n">
        <v>4</v>
      </c>
      <c r="AC112" s="161" t="n">
        <v>5077</v>
      </c>
      <c r="AD112" s="161">
        <f>AE112-AC112</f>
        <v/>
      </c>
      <c r="AE112" s="161" t="n">
        <v>5782.6</v>
      </c>
      <c r="AF112" s="162">
        <f>(Z112+AA112+AB112)*'Ставки аренды'!$B$3/X112</f>
        <v/>
      </c>
      <c r="AG112" s="163" t="n">
        <v>0</v>
      </c>
      <c r="AH112" s="164" t="n">
        <v>0</v>
      </c>
      <c r="AI112" s="174">
        <f>429559973/511416159*AVERAGE(AJ108,AJ109)</f>
        <v/>
      </c>
      <c r="AJ112" s="166">
        <f>Цены!$D$16</f>
        <v/>
      </c>
      <c r="AK112" s="164">
        <f>AJ112/Цены!$B$1</f>
        <v/>
      </c>
      <c r="AL112" s="164">
        <f>AE112+AF112+AG112</f>
        <v/>
      </c>
      <c r="AM112" s="164">
        <f>AJ112-AL112</f>
        <v/>
      </c>
      <c r="AN112" s="164">
        <f>AI112+AH112+AG112+AF112+AE112</f>
        <v/>
      </c>
      <c r="AO112" s="167">
        <f>(AJ112-AN112)/AJ112</f>
        <v/>
      </c>
      <c r="AP112" s="168">
        <f>AL112/AJ112</f>
        <v/>
      </c>
      <c r="AQ112" s="168">
        <f>AE112/AJ112</f>
        <v/>
      </c>
      <c r="AR112" s="168">
        <f>AE112/AL112</f>
        <v/>
      </c>
      <c r="AS112" s="169" t="n">
        <v>1</v>
      </c>
      <c r="AT112" s="121">
        <f>S112*AS112</f>
        <v/>
      </c>
      <c r="AU112" s="83" t="n">
        <v>0.6</v>
      </c>
      <c r="AV112" s="170">
        <f>(AJ112-(AE112*(1+$IS$2)+AF112+AG112+AH112+AI112))/AJ112</f>
        <v/>
      </c>
      <c r="AW112" s="171">
        <f>(AE112*(1+$IS$2)+AF112+AG112)/AJ112</f>
        <v/>
      </c>
      <c r="AX112" s="171">
        <f>(AE112*(1+$IS$2))/AJ112</f>
        <v/>
      </c>
      <c r="AY112" s="171">
        <f>(AE112*(1+$IS$2))/(AE112*(1+$IS$2)+AF112+AG112)</f>
        <v/>
      </c>
      <c r="AZ112" s="172">
        <f>MIN(IF($AU112=100%,1,1+VLOOKUP(($AJ112-$AI112-$AH112-$AG112-$AF112-$AE112*(1+AZ$3))/$AJ112,'Технический лист'!$I:$J,2,1)-VLOOKUP($AO112,'Технический лист'!$I:$J,2,1)),1+(1-$AU112))</f>
        <v/>
      </c>
      <c r="BA112" s="172">
        <f>MIN(IF($AU112=100%,1,1+VLOOKUP(($AJ112-$AI112-$AH112-$AG112-$AF112-$AE112*(1+BA$3))/$AJ112,'Технический лист'!$I:$J,2,1)-VLOOKUP($AO112,'Технический лист'!$I:$J,2,1)),1+(1-$AU112))</f>
        <v/>
      </c>
      <c r="BB112" s="172">
        <f>MIN(IF($AU112=100%,1,1+VLOOKUP(($AJ112-$AI112-$AH112-$AG112-$AF112-$AE112*(1+BB$3))/$AJ112,'Технический лист'!$I:$J,2,1)-VLOOKUP($AO112,'Технический лист'!$I:$J,2,1)),1+(1-$AU112))</f>
        <v/>
      </c>
      <c r="BC112" s="172">
        <f>MIN(IF($AU112=100%,1,1+VLOOKUP(($AJ112-$AI112-$AH112-$AG112-$AF112-$AE112*(1+BC$3))/$AJ112,'Технический лист'!$I:$J,2,1)-VLOOKUP($AO112,'Технический лист'!$I:$J,2,1)),1+(1-$AU112))</f>
        <v/>
      </c>
      <c r="BD112" s="172">
        <f>MIN(IF($AU112=100%,1,1+VLOOKUP(($AJ112-$AI112-$AH112-$AG112-$AF112-$AE112*(1+BD$3))/$AJ112,'Технический лист'!$I:$J,2,1)-VLOOKUP($AO112,'Технический лист'!$I:$J,2,1)),1+(1-$AU112))</f>
        <v/>
      </c>
      <c r="BE112" s="172">
        <f>MIN(IF($AU112=100%,1,1+VLOOKUP(($AJ112-$AI112-$AH112-$AG112-$AF112-$AE112*(1+BE$3))/$AJ112,'Технический лист'!$I:$J,2,1)-VLOOKUP($AO112,'Технический лист'!$I:$J,2,1)),1+(1-$AU112))</f>
        <v/>
      </c>
      <c r="BF112" s="172">
        <f>MIN(IF($AU112=100%,1,1+VLOOKUP(($AJ112-$AI112-$AH112-$AG112-$AF112-$AE112*(1+BF$3))/$AJ112,'Технический лист'!$I:$J,2,1)-VLOOKUP($AO112,'Технический лист'!$I:$J,2,1)),1+(1-$AU112))</f>
        <v/>
      </c>
      <c r="BG112" s="172">
        <f>MIN(IF($AU112=100%,1,1+VLOOKUP(($AJ112-$AI112-$AH112-$AG112-$AF112-$AE112*(1+BG$3))/$AJ112,'Технический лист'!$I:$J,2,1)-VLOOKUP($AO112,'Технический лист'!$I:$J,2,1)),1+(1-$AU112))</f>
        <v/>
      </c>
      <c r="BH112" s="172">
        <f>MIN(IF($AU112=100%,1,1+VLOOKUP(($AJ112-$AI112-$AH112-$AG112-$AF112-$AE112*(1+BH$3))/$AJ112,'Технический лист'!$I:$J,2,1)-VLOOKUP($AO112,'Технический лист'!$I:$J,2,1)),1+(1-$AU112))</f>
        <v/>
      </c>
      <c r="BI112" s="172">
        <f>MIN(IF($AU112=100%,1,1+VLOOKUP(($AJ112-$AI112-$AH112-$AG112-$AF112-$AE112*(1+BI$3))/$AJ112,'Технический лист'!$I:$J,2,1)-VLOOKUP($AO112,'Технический лист'!$I:$J,2,1)),1+(1-$AU112))</f>
        <v/>
      </c>
      <c r="BJ112" s="172">
        <f>MIN(IF($AU112=100%,1,1+VLOOKUP(($AJ112-$AI112-$AH112-$AG112-$AF112-$AE112*(1+BJ$3))/$AJ112,'Технический лист'!$I:$J,2,1)-VLOOKUP($AO112,'Технический лист'!$I:$J,2,1)),1+(1-$AU112))</f>
        <v/>
      </c>
      <c r="BK112" s="172">
        <f>MIN(IF($AU112=100%,1,1+VLOOKUP(($AJ112-$AI112-$AH112-$AG112-$AF112-$AE112*(1+BK$3))/$AJ112,'Технический лист'!$I:$J,2,1)-VLOOKUP($AO112,'Технический лист'!$I:$J,2,1)),1+(1-$AU112))</f>
        <v/>
      </c>
      <c r="BL112" s="172">
        <f>MIN(IF($AU112=100%,1,1+VLOOKUP(($AJ112-$AI112-$AH112-$AG112-$AF112-$AE112*(1+BL$3))/$AJ112,'Технический лист'!$I:$J,2,1)-VLOOKUP($AO112,'Технический лист'!$I:$J,2,1)),1+(1-$AU112))</f>
        <v/>
      </c>
      <c r="BM112" s="172">
        <f>MIN(IF($AU112=100%,1,1+VLOOKUP(($AJ112-$AI112-$AH112-$AG112-$AF112-$AE112*(1+BM$3))/$AJ112,'Технический лист'!$I:$J,2,1)-VLOOKUP($AO112,'Технический лист'!$I:$J,2,1)),1+(1-$AU112))</f>
        <v/>
      </c>
      <c r="BN112" s="172">
        <f>MIN(IF($AU112=100%,1,1+VLOOKUP(($AJ112-$AI112-$AH112-$AG112-$AF112-$AE112*(1+BN$3))/$AJ112,'Технический лист'!$I:$J,2,1)-VLOOKUP($AO112,'Технический лист'!$I:$J,2,1)),1+(1-$AU112))</f>
        <v/>
      </c>
      <c r="BO112" s="172">
        <f>MIN(IF($AU112=100%,1,1+VLOOKUP(($AJ112-$AI112-$AH112-$AG112-$AF112-$AE112*(1+BO$3))/$AJ112,'Технический лист'!$I:$J,2,1)-VLOOKUP($AO112,'Технический лист'!$I:$J,2,1)),1+(1-$AU112))</f>
        <v/>
      </c>
      <c r="BP112" s="172">
        <f>MIN(IF($AU112=100%,1,1+VLOOKUP(($AJ112-$AI112-$AH112-$AG112-$AF112-$AE112*(1+BP$3))/$AJ112,'Технический лист'!$I:$J,2,1)-VLOOKUP($AO112,'Технический лист'!$I:$J,2,1)),1+(1-$AU112))</f>
        <v/>
      </c>
      <c r="BQ112" s="172">
        <f>MIN(IF($AU112=100%,1,1+VLOOKUP(($AJ112-$AI112-$AH112-$AG112-$AF112-$AE112*(1+BQ$3))/$AJ112,'Технический лист'!$I:$J,2,1)-VLOOKUP($AO112,'Технический лист'!$I:$J,2,1)),1+(1-$AU112))</f>
        <v/>
      </c>
      <c r="BR112" s="172">
        <f>MIN(IF($AU112=100%,1,1+VLOOKUP(($AJ112-$AI112-$AH112-$AG112-$AF112-$AE112*(1+BR$3))/$AJ112,'Технический лист'!$I:$J,2,1)-VLOOKUP($AO112,'Технический лист'!$I:$J,2,1)),1+(1-$AU112))</f>
        <v/>
      </c>
      <c r="BS112" s="172">
        <f>MIN(IF($AU112=100%,1,1+VLOOKUP(($AJ112-$AI112-$AH112-$AG112-$AF112-$AE112*(1+BS$3))/$AJ112,'Технический лист'!$I:$J,2,1)-VLOOKUP($AO112,'Технический лист'!$I:$J,2,1)),1+(1-$AU112))</f>
        <v/>
      </c>
      <c r="BT112" s="172">
        <f>MIN(IF($AU112=100%,1,1+VLOOKUP(($AJ112-$AI112-$AH112-$AG112-$AF112-$AE112*(1+BT$3))/$AJ112,'Технический лист'!$I:$J,2,1)-VLOOKUP($AO112,'Технический лист'!$I:$J,2,1)),1+(1-$AU112))</f>
        <v/>
      </c>
      <c r="BU112" s="172">
        <f>MIN(IF($AU112=100%,1,1+VLOOKUP(($AJ112-$AI112-$AH112-$AG112-$AF112-$AE112*(1+BU$3))/$AJ112,'Технический лист'!$I:$J,2,1)-VLOOKUP($AO112,'Технический лист'!$I:$J,2,1)),1+(1-$AU112))</f>
        <v/>
      </c>
      <c r="BV112" s="172">
        <f>MIN(IF($AU112=100%,1,1+VLOOKUP(($AJ112-$AI112-$AH112-$AG112-$AF112-$AE112*(1+BV$3))/$AJ112,'Технический лист'!$I:$J,2,1)-VLOOKUP($AO112,'Технический лист'!$I:$J,2,1)),1+(1-$AU112))</f>
        <v/>
      </c>
      <c r="BW112" s="172">
        <f>MIN(IF($AU112=100%,1,1+VLOOKUP(($AJ112-$AI112-$AH112-$AG112-$AF112-$AE112*(1+BW$3))/$AJ112,'Технический лист'!$I:$J,2,1)-VLOOKUP($AO112,'Технический лист'!$I:$J,2,1)),1+(1-$AU112))</f>
        <v/>
      </c>
      <c r="BX112" s="172">
        <f>MIN(IF($AU112=100%,1,1+VLOOKUP(($AJ112-$AI112-$AH112-$AG112-$AF112-$AE112*(1+BX$3))/$AJ112,'Технический лист'!$I:$J,2,1)-VLOOKUP($AO112,'Технический лист'!$I:$J,2,1)),1+(1-$AU112))</f>
        <v/>
      </c>
      <c r="BY112" s="172">
        <f>MIN(IF($AU112=100%,1,1+VLOOKUP(($AJ112-$AI112-$AH112-$AG112-$AF112-$AE112*(1+BY$3))/$AJ112,'Технический лист'!$I:$J,2,1)-VLOOKUP($AO112,'Технический лист'!$I:$J,2,1)),1+(1-$AU112))</f>
        <v/>
      </c>
      <c r="BZ112" s="172">
        <f>MIN(IF($AU112=100%,1,1+VLOOKUP(($AJ112-$AI112-$AH112-$AG112-$AF112-$AE112*(1+BZ$3))/$AJ112,'Технический лист'!$I:$J,2,1)-VLOOKUP($AO112,'Технический лист'!$I:$J,2,1)),1+(1-$AU112))</f>
        <v/>
      </c>
      <c r="CA112" s="172">
        <f>MIN(IF($AU112=100%,1,1+VLOOKUP(($AJ112-$AI112-$AH112-$AG112-$AF112-$AE112*(1+CA$3))/$AJ112,'Технический лист'!$I:$J,2,1)-VLOOKUP($AO112,'Технический лист'!$I:$J,2,1)),1+(1-$AU112))</f>
        <v/>
      </c>
      <c r="CB112" s="172">
        <f>MIN(IF($AU112=100%,1,1+VLOOKUP(($AJ112-$AI112-$AH112-$AG112-$AF112-$AE112*(1+CB$3))/$AJ112,'Технический лист'!$I:$J,2,1)-VLOOKUP($AO112,'Технический лист'!$I:$J,2,1)),1+(1-$AU112))</f>
        <v/>
      </c>
      <c r="CC112" s="172">
        <f>MIN(IF($AU112=100%,1,1+VLOOKUP(($AJ112-$AI112-$AH112-$AG112-$AF112-$AE112*(1+CC$3))/$AJ112,'Технический лист'!$I:$J,2,1)-VLOOKUP($AO112,'Технический лист'!$I:$J,2,1)),1+(1-$AU112))</f>
        <v/>
      </c>
      <c r="CD112" s="172">
        <f>MIN(IF($AU112=100%,1,1+VLOOKUP(($AJ112-$AI112-$AH112-$AG112-$AF112-$AE112*(1+CD$3))/$AJ112,'Технический лист'!$I:$J,2,1)-VLOOKUP($AO112,'Технический лист'!$I:$J,2,1)),1+(1-$AU112))</f>
        <v/>
      </c>
      <c r="CE112" s="172">
        <f>MIN(IF($AU112=100%,1,1+VLOOKUP(($AJ112-$AI112-$AH112-$AG112-$AF112-$AE112*(1+CE$3))/$AJ112,'Технический лист'!$I:$J,2,1)-VLOOKUP($AO112,'Технический лист'!$I:$J,2,1)),1+(1-$AU112))</f>
        <v/>
      </c>
      <c r="CF112" s="172">
        <f>MIN(IF($AU112=100%,1,1+VLOOKUP(($AJ112-$AI112-$AH112-$AG112-$AF112-$AE112*(1+CF$3))/$AJ112,'Технический лист'!$I:$J,2,1)-VLOOKUP($AO112,'Технический лист'!$I:$J,2,1)),1+(1-$AU112))</f>
        <v/>
      </c>
      <c r="CG112" s="172">
        <f>MIN(IF($AU112=100%,1,1+VLOOKUP(($AJ112-$AI112-$AH112-$AG112-$AF112-$AE112*(1+CG$3))/$AJ112,'Технический лист'!$I:$J,2,1)-VLOOKUP($AO112,'Технический лист'!$I:$J,2,1)),1+(1-$AU112))</f>
        <v/>
      </c>
      <c r="CH112" s="172">
        <f>MIN(IF($AU112=100%,1,1+VLOOKUP(($AJ112-$AI112-$AH112-$AG112-$AF112-$AE112*(1+CH$3))/$AJ112,'Технический лист'!$I:$J,2,1)-VLOOKUP($AO112,'Технический лист'!$I:$J,2,1)),1+(1-$AU112))</f>
        <v/>
      </c>
      <c r="CI112" s="172">
        <f>MIN(IF($AU112=100%,1,1+VLOOKUP(($AJ112-$AI112-$AH112-$AG112-$AF112-$AE112*(1+CI$3))/$AJ112,'Технический лист'!$I:$J,2,1)-VLOOKUP($AO112,'Технический лист'!$I:$J,2,1)),1+(1-$AU112))</f>
        <v/>
      </c>
      <c r="CJ112" s="172">
        <f>MIN(IF($AU112=100%,1,1+VLOOKUP(($AJ112-$AI112-$AH112-$AG112-$AF112-$AE112*(1+CJ$3))/$AJ112,'Технический лист'!$I:$J,2,1)-VLOOKUP($AO112,'Технический лист'!$I:$J,2,1)),1+(1-$AU112))</f>
        <v/>
      </c>
      <c r="CK112" s="172">
        <f>MIN(IF($AU112=100%,1,1+VLOOKUP(($AJ112-$AI112-$AH112-$AG112-$AF112-$AE112*(1+CK$3))/$AJ112,'Технический лист'!$I:$J,2,1)-VLOOKUP($AO112,'Технический лист'!$I:$J,2,1)),1+(1-$AU112))</f>
        <v/>
      </c>
      <c r="CL112" s="172">
        <f>MIN(IF($AU112=100%,1,1+VLOOKUP(($AJ112-$AI112-$AH112-$AG112-$AF112-$AE112*(1+CL$3))/$AJ112,'Технический лист'!$I:$J,2,1)-VLOOKUP($AO112,'Технический лист'!$I:$J,2,1)),1+(1-$AU112))</f>
        <v/>
      </c>
      <c r="CM112" s="172">
        <f>MIN(IF($AU112=100%,1,1+VLOOKUP(($AJ112-$AI112-$AH112-$AG112-$AF112-$AE112*(1+CM$3))/$AJ112,'Технический лист'!$I:$J,2,1)-VLOOKUP($AO112,'Технический лист'!$I:$J,2,1)),1+(1-$AU112))</f>
        <v/>
      </c>
      <c r="CN112" s="172">
        <f>MIN(IF($AU112=100%,1,1+VLOOKUP(($AJ112-$AI112-$AH112-$AG112-$AF112-$AE112*(1+CN$3))/$AJ112,'Технический лист'!$I:$J,2,1)-VLOOKUP($AO112,'Технический лист'!$I:$J,2,1)),1+(1-$AU112))</f>
        <v/>
      </c>
      <c r="CO112" s="172">
        <f>MIN(IF($AU112=100%,1,1+VLOOKUP(($AJ112-$AI112-$AH112-$AG112-$AF112-$AE112*(1+CO$3))/$AJ112,'Технический лист'!$I:$J,2,1)-VLOOKUP($AO112,'Технический лист'!$I:$J,2,1)),1+(1-$AU112))</f>
        <v/>
      </c>
      <c r="CP112" s="172">
        <f>MIN(IF($AU112=100%,1,1+VLOOKUP(($AJ112-$AI112-$AH112-$AG112-$AF112-$AE112*(1+CP$3))/$AJ112,'Технический лист'!$I:$J,2,1)-VLOOKUP($AO112,'Технический лист'!$I:$J,2,1)),1+(1-$AU112))</f>
        <v/>
      </c>
      <c r="CQ112" s="172">
        <f>MIN(IF($AU112=100%,1,1+VLOOKUP(($AJ112-$AI112-$AH112-$AG112-$AF112-$AE112*(1+CQ$3))/$AJ112,'Технический лист'!$I:$J,2,1)-VLOOKUP($AO112,'Технический лист'!$I:$J,2,1)),1+(1-$AU112))</f>
        <v/>
      </c>
      <c r="CR112" s="172">
        <f>MIN(IF($AU112=100%,1,1+VLOOKUP(($AJ112-$AI112-$AH112-$AG112-$AF112-$AE112*(1+CR$3))/$AJ112,'Технический лист'!$I:$J,2,1)-VLOOKUP($AO112,'Технический лист'!$I:$J,2,1)),1+(1-$AU112))</f>
        <v/>
      </c>
      <c r="CS112" s="172">
        <f>MIN(IF($AU112=100%,1,1+VLOOKUP(($AJ112-$AI112-$AH112-$AG112-$AF112-$AE112*(1+CS$3))/$AJ112,'Технический лист'!$I:$J,2,1)-VLOOKUP($AO112,'Технический лист'!$I:$J,2,1)),1+(1-$AU112))</f>
        <v/>
      </c>
      <c r="CT112" s="172">
        <f>MIN(IF($AU112=100%,1,1+VLOOKUP(($AJ112-$AI112-$AH112-$AG112-$AF112-$AE112*(1+CT$3))/$AJ112,'Технический лист'!$I:$J,2,1)-VLOOKUP($AO112,'Технический лист'!$I:$J,2,1)),1+(1-$AU112))</f>
        <v/>
      </c>
      <c r="CU112" s="172">
        <f>MIN(IF($AU112=100%,1,1+VLOOKUP(($AJ112-$AI112-$AH112-$AG112-$AF112-$AE112*(1+CU$3))/$AJ112,'Технический лист'!$I:$J,2,1)-VLOOKUP($AO112,'Технический лист'!$I:$J,2,1)),1+(1-$AU112))</f>
        <v/>
      </c>
      <c r="CV112" s="172">
        <f>MIN(IF($AU112=100%,1,1+VLOOKUP(($AJ112-$AI112-$AH112-$AG112-$AF112-$AE112*(1+CV$3))/$AJ112,'Технический лист'!$I:$J,2,1)-VLOOKUP($AO112,'Технический лист'!$I:$J,2,1)),1+(1-$AU112))</f>
        <v/>
      </c>
      <c r="CW112" s="172">
        <f>MIN(IF($AU112=100%,1,1+VLOOKUP(($AJ112-$AI112-$AH112-$AG112-$AF112-$AE112*(1+CW$3))/$AJ112,'Технический лист'!$I:$J,2,1)-VLOOKUP($AO112,'Технический лист'!$I:$J,2,1)),1+(1-$AU112))</f>
        <v/>
      </c>
      <c r="CX112" s="172">
        <f>MIN(IF($AU112=100%,1,1+VLOOKUP(($AJ112-$AI112-$AH112-$AG112-$AF112-$AE112*(1+CX$3))/$AJ112,'Технический лист'!$I:$J,2,1)-VLOOKUP($AO112,'Технический лист'!$I:$J,2,1)),1+(1-$AU112))</f>
        <v/>
      </c>
      <c r="CY112" s="172">
        <f>MIN(IF($AU112=100%,1,1+VLOOKUP(($AJ112-$AI112-$AH112-$AG112-$AF112-$AE112*(1+CY$3))/$AJ112,'Технический лист'!$I:$J,2,1)-VLOOKUP($AO112,'Технический лист'!$I:$J,2,1)),1+(1-$AU112))</f>
        <v/>
      </c>
      <c r="CZ112" s="172">
        <f>MIN(IF($AU112=100%,1,1+VLOOKUP(($AJ112-$AI112-$AH112-$AG112-$AF112-$AE112*(1+CZ$3))/$AJ112,'Технический лист'!$I:$J,2,1)-VLOOKUP($AO112,'Технический лист'!$I:$J,2,1)),1+(1-$AU112))</f>
        <v/>
      </c>
      <c r="DA112" s="172">
        <f>MIN(IF($AU112=100%,1,1+VLOOKUP(($AJ112-$AI112-$AH112-$AG112-$AF112-$AE112*(1+DA$3))/$AJ112,'Технический лист'!$I:$J,2,1)-VLOOKUP($AO112,'Технический лист'!$I:$J,2,1)),1+(1-$AU112))</f>
        <v/>
      </c>
      <c r="DB112" s="172">
        <f>MIN(IF($AU112=100%,1,1+VLOOKUP(($AJ112-$AI112-$AH112-$AG112-$AF112-$AE112*(1+DB$3))/$AJ112,'Технический лист'!$I:$J,2,1)-VLOOKUP($AO112,'Технический лист'!$I:$J,2,1)),1+(1-$AU112))</f>
        <v/>
      </c>
      <c r="DC112" s="172">
        <f>MIN(IF($AU112=100%,1,1+VLOOKUP(($AJ112-$AI112-$AH112-$AG112-$AF112-$AE112*(1+DC$3))/$AJ112,'Технический лист'!$I:$J,2,1)-VLOOKUP($AO112,'Технический лист'!$I:$J,2,1)),1+(1-$AU112))</f>
        <v/>
      </c>
      <c r="DD112" s="172">
        <f>MIN(IF($AU112=100%,1,1+VLOOKUP(($AJ112-$AI112-$AH112-$AG112-$AF112-$AE112*(1+DD$3))/$AJ112,'Технический лист'!$I:$J,2,1)-VLOOKUP($AO112,'Технический лист'!$I:$J,2,1)),1+(1-$AU112))</f>
        <v/>
      </c>
      <c r="DE112" s="172">
        <f>MIN(IF($AU112=100%,1,1+VLOOKUP(($AJ112-$AI112-$AH112-$AG112-$AF112-$AE112*(1+DE$3))/$AJ112,'Технический лист'!$I:$J,2,1)-VLOOKUP($AO112,'Технический лист'!$I:$J,2,1)),1+(1-$AU112))</f>
        <v/>
      </c>
      <c r="DF112" s="172">
        <f>MIN(IF($AU112=100%,1,1+VLOOKUP(($AJ112-$AI112-$AH112-$AG112-$AF112-$AE112*(1+DF$3))/$AJ112,'Технический лист'!$I:$J,2,1)-VLOOKUP($AO112,'Технический лист'!$I:$J,2,1)),1+(1-$AU112))</f>
        <v/>
      </c>
      <c r="DG112" s="172">
        <f>MIN(IF($AU112=100%,1,1+VLOOKUP(($AJ112-$AI112-$AH112-$AG112-$AF112-$AE112*(1+DG$3))/$AJ112,'Технический лист'!$I:$J,2,1)-VLOOKUP($AO112,'Технический лист'!$I:$J,2,1)),1+(1-$AU112))</f>
        <v/>
      </c>
      <c r="DH112" s="172">
        <f>MIN(IF($AU112=100%,1,1+VLOOKUP(($AJ112-$AI112-$AH112-$AG112-$AF112-$AE112*(1+DH$3))/$AJ112,'Технический лист'!$I:$J,2,1)-VLOOKUP($AO112,'Технический лист'!$I:$J,2,1)),1+(1-$AU112))</f>
        <v/>
      </c>
      <c r="DI112" s="172">
        <f>MIN(IF($AU112=100%,1,1+VLOOKUP(($AJ112-$AI112-$AH112-$AG112-$AF112-$AE112*(1+DI$3))/$AJ112,'Технический лист'!$I:$J,2,1)-VLOOKUP($AO112,'Технический лист'!$I:$J,2,1)),1+(1-$AU112))</f>
        <v/>
      </c>
      <c r="DJ112" s="172">
        <f>MIN(IF($AU112=100%,1,1+VLOOKUP(($AJ112-$AI112-$AH112-$AG112-$AF112-$AE112*(1+DJ$3))/$AJ112,'Технический лист'!$I:$J,2,1)-VLOOKUP($AO112,'Технический лист'!$I:$J,2,1)),1+(1-$AU112))</f>
        <v/>
      </c>
      <c r="DK112" s="172">
        <f>MIN(IF($AU112=100%,1,1+VLOOKUP(($AJ112-$AI112-$AH112-$AG112-$AF112-$AE112*(1+DK$3))/$AJ112,'Технический лист'!$I:$J,2,1)-VLOOKUP($AO112,'Технический лист'!$I:$J,2,1)),1+(1-$AU112))</f>
        <v/>
      </c>
      <c r="DL112" s="172">
        <f>MIN(IF($AU112=100%,1,1+VLOOKUP(($AJ112-$AI112-$AH112-$AG112-$AF112-$AE112*(1+DL$3))/$AJ112,'Технический лист'!$I:$J,2,1)-VLOOKUP($AO112,'Технический лист'!$I:$J,2,1)),1+(1-$AU112))</f>
        <v/>
      </c>
      <c r="DM112" s="172">
        <f>MIN(IF($AU112=100%,1,1+VLOOKUP(($AJ112-$AI112-$AH112-$AG112-$AF112-$AE112*(1+DM$3))/$AJ112,'Технический лист'!$I:$J,2,1)-VLOOKUP($AO112,'Технический лист'!$I:$J,2,1)),1+(1-$AU112))</f>
        <v/>
      </c>
      <c r="DN112" s="172">
        <f>MIN(IF($AU112=100%,1,1+VLOOKUP(($AJ112-$AI112-$AH112-$AG112-$AF112-$AE112*(1+DN$3))/$AJ112,'Технический лист'!$I:$J,2,1)-VLOOKUP($AO112,'Технический лист'!$I:$J,2,1)),1+(1-$AU112))</f>
        <v/>
      </c>
      <c r="DO112" s="172">
        <f>MIN(IF($AU112=100%,1,1+VLOOKUP(($AJ112-$AI112-$AH112-$AG112-$AF112-$AE112*(1+DO$3))/$AJ112,'Технический лист'!$I:$J,2,1)-VLOOKUP($AO112,'Технический лист'!$I:$J,2,1)),1+(1-$AU112))</f>
        <v/>
      </c>
      <c r="DP112" s="172">
        <f>MIN(IF($AU112=100%,1,1+VLOOKUP(($AJ112-$AI112-$AH112-$AG112-$AF112-$AE112*(1+DP$3))/$AJ112,'Технический лист'!$I:$J,2,1)-VLOOKUP($AO112,'Технический лист'!$I:$J,2,1)),1+(1-$AU112))</f>
        <v/>
      </c>
      <c r="DQ112" s="172">
        <f>MIN(IF($AU112=100%,1,1+VLOOKUP(($AJ112-$AI112-$AH112-$AG112-$AF112-$AE112*(1+DQ$3))/$AJ112,'Технический лист'!$I:$J,2,1)-VLOOKUP($AO112,'Технический лист'!$I:$J,2,1)),1+(1-$AU112))</f>
        <v/>
      </c>
      <c r="DR112" s="172">
        <f>MIN(IF($AU112=100%,1,1+VLOOKUP(($AJ112-$AI112-$AH112-$AG112-$AF112-$AE112*(1+DR$3))/$AJ112,'Технический лист'!$I:$J,2,1)-VLOOKUP($AO112,'Технический лист'!$I:$J,2,1)),1+(1-$AU112))</f>
        <v/>
      </c>
      <c r="DS112" s="172">
        <f>MIN(IF($AU112=100%,1,1+VLOOKUP(($AJ112-$AI112-$AH112-$AG112-$AF112-$AE112*(1+DS$3))/$AJ112,'Технический лист'!$I:$J,2,1)-VLOOKUP($AO112,'Технический лист'!$I:$J,2,1)),1+(1-$AU112))</f>
        <v/>
      </c>
      <c r="DT112" s="172">
        <f>MIN(IF($AU112=100%,1,1+VLOOKUP(($AJ112-$AI112-$AH112-$AG112-$AF112-$AE112*(1+DT$3))/$AJ112,'Технический лист'!$I:$J,2,1)-VLOOKUP($AO112,'Технический лист'!$I:$J,2,1)),1+(1-$AU112))</f>
        <v/>
      </c>
      <c r="DU112" s="172">
        <f>MIN(IF($AU112=100%,1,1+VLOOKUP(($AJ112-$AI112-$AH112-$AG112-$AF112-$AE112*(1+DU$3))/$AJ112,'Технический лист'!$I:$J,2,1)-VLOOKUP($AO112,'Технический лист'!$I:$J,2,1)),1+(1-$AU112))</f>
        <v/>
      </c>
      <c r="DV112" s="172">
        <f>MIN(IF($AU112=100%,1,1+VLOOKUP(($AJ112-$AI112-$AH112-$AG112-$AF112-$AE112*(1+DV$3))/$AJ112,'Технический лист'!$I:$J,2,1)-VLOOKUP($AO112,'Технический лист'!$I:$J,2,1)),1+(1-$AU112))</f>
        <v/>
      </c>
      <c r="DW112" s="172">
        <f>MIN(IF($AU112=100%,1,1+VLOOKUP(($AJ112-$AI112-$AH112-$AG112-$AF112-$AE112*(1+DW$3))/$AJ112,'Технический лист'!$I:$J,2,1)-VLOOKUP($AO112,'Технический лист'!$I:$J,2,1)),1+(1-$AU112))</f>
        <v/>
      </c>
      <c r="DX112" s="172">
        <f>MIN(IF($AU112=100%,1,1+VLOOKUP(($AJ112-$AI112-$AH112-$AG112-$AF112-$AE112*(1+DX$3))/$AJ112,'Технический лист'!$I:$J,2,1)-VLOOKUP($AO112,'Технический лист'!$I:$J,2,1)),1+(1-$AU112))</f>
        <v/>
      </c>
      <c r="DY112" s="172">
        <f>MIN(IF($AU112=100%,1,1+VLOOKUP(($AJ112-$AI112-$AH112-$AG112-$AF112-$AE112*(1+DY$3))/$AJ112,'Технический лист'!$I:$J,2,1)-VLOOKUP($AO112,'Технический лист'!$I:$J,2,1)),1+(1-$AU112))</f>
        <v/>
      </c>
      <c r="DZ112" s="172">
        <f>MIN(IF($AU112=100%,1,1+VLOOKUP(($AJ112-$AI112-$AH112-$AG112-$AF112-$AE112*(1+DZ$3))/$AJ112,'Технический лист'!$I:$J,2,1)-VLOOKUP($AO112,'Технический лист'!$I:$J,2,1)),1+(1-$AU112))</f>
        <v/>
      </c>
      <c r="EA112" s="172">
        <f>MIN(IF($AU112=100%,1,1+VLOOKUP(($AJ112-$AI112-$AH112-$AG112-$AF112-$AE112*(1+EA$3))/$AJ112,'Технический лист'!$I:$J,2,1)-VLOOKUP($AO112,'Технический лист'!$I:$J,2,1)),1+(1-$AU112))</f>
        <v/>
      </c>
      <c r="EB112" s="172">
        <f>MIN(IF($AU112=100%,1,1+VLOOKUP(($AJ112-$AI112-$AH112-$AG112-$AF112-$AE112*(1+EB$3))/$AJ112,'Технический лист'!$I:$J,2,1)-VLOOKUP($AO112,'Технический лист'!$I:$J,2,1)),1+(1-$AU112))</f>
        <v/>
      </c>
      <c r="EC112" s="172">
        <f>MIN(IF($AU112=100%,1,1+VLOOKUP(($AJ112-$AI112-$AH112-$AG112-$AF112-$AE112*(1+EC$3))/$AJ112,'Технический лист'!$I:$J,2,1)-VLOOKUP($AO112,'Технический лист'!$I:$J,2,1)),1+(1-$AU112))</f>
        <v/>
      </c>
      <c r="ED112" s="172">
        <f>MIN(IF($AU112=100%,1,1+VLOOKUP(($AJ112-$AI112-$AH112-$AG112-$AF112-$AE112*(1+ED$3))/$AJ112,'Технический лист'!$I:$J,2,1)-VLOOKUP($AO112,'Технический лист'!$I:$J,2,1)),1+(1-$AU112))</f>
        <v/>
      </c>
      <c r="EE112" s="172">
        <f>MIN(IF($AU112=100%,1,1+VLOOKUP(($AJ112-$AI112-$AH112-$AG112-$AF112-$AE112*(1+EE$3))/$AJ112,'Технический лист'!$I:$J,2,1)-VLOOKUP($AO112,'Технический лист'!$I:$J,2,1)),1+(1-$AU112))</f>
        <v/>
      </c>
      <c r="EF112" s="172">
        <f>MIN(IF($AU112=100%,1,1+VLOOKUP(($AJ112-$AI112-$AH112-$AG112-$AF112-$AE112*(1+EF$3))/$AJ112,'Технический лист'!$I:$J,2,1)-VLOOKUP($AO112,'Технический лист'!$I:$J,2,1)),1+(1-$AU112))</f>
        <v/>
      </c>
      <c r="EG112" s="172">
        <f>MIN(IF($AU112=100%,1,1+VLOOKUP(($AJ112-$AI112-$AH112-$AG112-$AF112-$AE112*(1+EG$3))/$AJ112,'Технический лист'!$I:$J,2,1)-VLOOKUP($AO112,'Технический лист'!$I:$J,2,1)),1+(1-$AU112))</f>
        <v/>
      </c>
      <c r="EH112" s="172">
        <f>MIN(IF($AU112=100%,1,1+VLOOKUP(($AJ112-$AI112-$AH112-$AG112-$AF112-$AE112*(1+EH$3))/$AJ112,'Технический лист'!$I:$J,2,1)-VLOOKUP($AO112,'Технический лист'!$I:$J,2,1)),1+(1-$AU112))</f>
        <v/>
      </c>
      <c r="EI112" s="172">
        <f>MIN(IF($AU112=100%,1,1+VLOOKUP(($AJ112-$AI112-$AH112-$AG112-$AF112-$AE112*(1+EI$3))/$AJ112,'Технический лист'!$I:$J,2,1)-VLOOKUP($AO112,'Технический лист'!$I:$J,2,1)),1+(1-$AU112))</f>
        <v/>
      </c>
      <c r="EJ112" s="172">
        <f>MIN(IF($AU112=100%,1,1+VLOOKUP(($AJ112-$AI112-$AH112-$AG112-$AF112-$AE112*(1+EJ$3))/$AJ112,'Технический лист'!$I:$J,2,1)-VLOOKUP($AO112,'Технический лист'!$I:$J,2,1)),1+(1-$AU112))</f>
        <v/>
      </c>
      <c r="EK112" s="172">
        <f>MIN(IF($AU112=100%,1,1+VLOOKUP(($AJ112-$AI112-$AH112-$AG112-$AF112-$AE112*(1+EK$3))/$AJ112,'Технический лист'!$I:$J,2,1)-VLOOKUP($AO112,'Технический лист'!$I:$J,2,1)),1+(1-$AU112))</f>
        <v/>
      </c>
      <c r="EL112" s="172">
        <f>MIN(IF($AU112=100%,1,1+VLOOKUP(($AJ112-$AI112-$AH112-$AG112-$AF112-$AE112*(1+EL$3))/$AJ112,'Технический лист'!$I:$J,2,1)-VLOOKUP($AO112,'Технический лист'!$I:$J,2,1)),1+(1-$AU112))</f>
        <v/>
      </c>
      <c r="EM112" s="172">
        <f>MIN(IF($AU112=100%,1,1+VLOOKUP(($AJ112-$AI112-$AH112-$AG112-$AF112-$AE112*(1+EM$3))/$AJ112,'Технический лист'!$I:$J,2,1)-VLOOKUP($AO112,'Технический лист'!$I:$J,2,1)),1+(1-$AU112))</f>
        <v/>
      </c>
      <c r="EN112" s="172">
        <f>MIN(IF($AU112=100%,1,1+VLOOKUP(($AJ112-$AI112-$AH112-$AG112-$AF112-$AE112*(1+EN$3))/$AJ112,'Технический лист'!$I:$J,2,1)-VLOOKUP($AO112,'Технический лист'!$I:$J,2,1)),1+(1-$AU112))</f>
        <v/>
      </c>
      <c r="EO112" s="172">
        <f>MIN(IF($AU112=100%,1,1+VLOOKUP(($AJ112-$AI112-$AH112-$AG112-$AF112-$AE112*(1+EO$3))/$AJ112,'Технический лист'!$I:$J,2,1)-VLOOKUP($AO112,'Технический лист'!$I:$J,2,1)),1+(1-$AU112))</f>
        <v/>
      </c>
      <c r="EP112" s="172">
        <f>MIN(IF($AU112=100%,1,1+VLOOKUP(($AJ112-$AI112-$AH112-$AG112-$AF112-$AE112*(1+EP$3))/$AJ112,'Технический лист'!$I:$J,2,1)-VLOOKUP($AO112,'Технический лист'!$I:$J,2,1)),1+(1-$AU112))</f>
        <v/>
      </c>
      <c r="EQ112" s="172">
        <f>MIN(IF($AU112=100%,1,1+VLOOKUP(($AJ112-$AI112-$AH112-$AG112-$AF112-$AE112*(1+EQ$3))/$AJ112,'Технический лист'!$I:$J,2,1)-VLOOKUP($AO112,'Технический лист'!$I:$J,2,1)),1+(1-$AU112))</f>
        <v/>
      </c>
      <c r="ER112" s="172">
        <f>MIN(IF($AU112=100%,1,1+VLOOKUP(($AJ112-$AI112-$AH112-$AG112-$AF112-$AE112*(1+ER$3))/$AJ112,'Технический лист'!$I:$J,2,1)-VLOOKUP($AO112,'Технический лист'!$I:$J,2,1)),1+(1-$AU112))</f>
        <v/>
      </c>
      <c r="ES112" s="172">
        <f>MIN(IF($AU112=100%,1,1+VLOOKUP(($AJ112-$AI112-$AH112-$AG112-$AF112-$AE112*(1+ES$3))/$AJ112,'Технический лист'!$I:$J,2,1)-VLOOKUP($AO112,'Технический лист'!$I:$J,2,1)),1+(1-$AU112))</f>
        <v/>
      </c>
      <c r="ET112" s="172">
        <f>MIN(IF($AU112=100%,1,1+VLOOKUP(($AJ112-$AI112-$AH112-$AG112-$AF112-$AE112*(1+ET$3))/$AJ112,'Технический лист'!$I:$J,2,1)-VLOOKUP($AO112,'Технический лист'!$I:$J,2,1)),1+(1-$AU112))</f>
        <v/>
      </c>
      <c r="EU112" s="172">
        <f>MIN(IF($AU112=100%,1,1+VLOOKUP(($AJ112-$AI112-$AH112-$AG112-$AF112-$AE112*(1+EU$3))/$AJ112,'Технический лист'!$I:$J,2,1)-VLOOKUP($AO112,'Технический лист'!$I:$J,2,1)),1+(1-$AU112))</f>
        <v/>
      </c>
      <c r="EV112" s="173" t="n">
        <v>1</v>
      </c>
      <c r="EW112" s="172">
        <f>MIN(1,MAX(VLOOKUP(($AJ112-$AI112-$AH112-$AG112-$AF112-$AE112*(1+EW$3))/$AJ112,'Технический лист'!$A:$B,2,1),(EV112-0.05)))</f>
        <v/>
      </c>
      <c r="EX112" s="172">
        <f>MIN(1,MAX(VLOOKUP(($AJ112-$AI112-$AH112-$AG112-$AF112-$AE112*(1+EX$3))/$AJ112,'Технический лист'!$A:$B,2,1),(EW112-0.05)))</f>
        <v/>
      </c>
      <c r="EY112" s="172">
        <f>MIN(1,MAX(VLOOKUP(($AJ112-$AI112-$AH112-$AG112-$AF112-$AE112*(1+EY$3))/$AJ112,'Технический лист'!$A:$B,2,1),(EX112-0.05)))</f>
        <v/>
      </c>
      <c r="EZ112" s="172">
        <f>MIN(1,MAX(VLOOKUP(($AJ112-$AI112-$AH112-$AG112-$AF112-$AE112*(1+EZ$3))/$AJ112,'Технический лист'!$A:$B,2,1),(EY112-0.05)))</f>
        <v/>
      </c>
      <c r="FA112" s="172">
        <f>MIN(1,MAX(VLOOKUP(($AJ112-$AI112-$AH112-$AG112-$AF112-$AE112*(1+FA$3))/$AJ112,'Технический лист'!$A:$B,2,1),(EZ112-0.05)))</f>
        <v/>
      </c>
      <c r="FB112" s="172">
        <f>MIN(1,MAX(VLOOKUP(($AJ112-$AI112-$AH112-$AG112-$AF112-$AE112*(1+FB$3))/$AJ112,'Технический лист'!$A:$B,2,1),(FA112-0.05)))</f>
        <v/>
      </c>
      <c r="FC112" s="172">
        <f>MIN(1,MAX(VLOOKUP(($AJ112-$AI112-$AH112-$AG112-$AF112-$AE112*(1+FC$3))/$AJ112,'Технический лист'!$A:$B,2,1),(FB112-0.05)))</f>
        <v/>
      </c>
      <c r="FD112" s="172">
        <f>MIN(1,MAX(VLOOKUP(($AJ112-$AI112-$AH112-$AG112-$AF112-$AE112*(1+FD$3))/$AJ112,'Технический лист'!$A:$B,2,1),(FC112-0.05)))</f>
        <v/>
      </c>
      <c r="FE112" s="172">
        <f>MIN(1,MAX(VLOOKUP(($AJ112-$AI112-$AH112-$AG112-$AF112-$AE112*(1+FE$3))/$AJ112,'Технический лист'!$A:$B,2,1),(FD112-0.05)))</f>
        <v/>
      </c>
      <c r="FF112" s="172">
        <f>MIN(1,MAX(VLOOKUP(($AJ112-$AI112-$AH112-$AG112-$AF112-$AE112*(1+FF$3))/$AJ112,'Технический лист'!$A:$B,2,1),(FE112-0.05)))</f>
        <v/>
      </c>
      <c r="FG112" s="172">
        <f>MIN(1,MAX(VLOOKUP(($AJ112-$AI112-$AH112-$AG112-$AF112-$AE112*(1+FG$3))/$AJ112,'Технический лист'!$A:$B,2,1),(FF112-0.05)))</f>
        <v/>
      </c>
      <c r="FH112" s="172">
        <f>MIN(1,MAX(VLOOKUP(($AJ112-$AI112-$AH112-$AG112-$AF112-$AE112*(1+FH$3))/$AJ112,'Технический лист'!$A:$B,2,1),(FG112-0.05)))</f>
        <v/>
      </c>
      <c r="FI112" s="172">
        <f>MIN(1,MAX(VLOOKUP(($AJ112-$AI112-$AH112-$AG112-$AF112-$AE112*(1+FI$3))/$AJ112,'Технический лист'!$A:$B,2,1),(FH112-0.05)))</f>
        <v/>
      </c>
      <c r="FJ112" s="172">
        <f>MIN(1,MAX(VLOOKUP(($AJ112-$AI112-$AH112-$AG112-$AF112-$AE112*(1+FJ$3))/$AJ112,'Технический лист'!$A:$B,2,1),(FI112-0.05)))</f>
        <v/>
      </c>
      <c r="FK112" s="172">
        <f>MIN(1,MAX(VLOOKUP(($AJ112-$AI112-$AH112-$AG112-$AF112-$AE112*(1+FK$3))/$AJ112,'Технический лист'!$A:$B,2,1),(FJ112-0.05)))</f>
        <v/>
      </c>
      <c r="FL112" s="172">
        <f>MIN(1,MAX(VLOOKUP(($AJ112-$AI112-$AH112-$AG112-$AF112-$AE112*(1+FL$3))/$AJ112,'Технический лист'!$A:$B,2,1),(FK112-0.05)))</f>
        <v/>
      </c>
      <c r="FM112" s="172">
        <f>MIN(1,MAX(VLOOKUP(($AJ112-$AI112-$AH112-$AG112-$AF112-$AE112*(1+FM$3))/$AJ112,'Технический лист'!$A:$B,2,1),(FL112-0.05)))</f>
        <v/>
      </c>
      <c r="FN112" s="172">
        <f>MIN(1,MAX(VLOOKUP(($AJ112-$AI112-$AH112-$AG112-$AF112-$AE112*(1+FN$3))/$AJ112,'Технический лист'!$A:$B,2,1),(FM112-0.05)))</f>
        <v/>
      </c>
      <c r="FO112" s="172">
        <f>MIN(1,MAX(VLOOKUP(($AJ112-$AI112-$AH112-$AG112-$AF112-$AE112*(1+FO$3))/$AJ112,'Технический лист'!$A:$B,2,1),(FN112-0.05)))</f>
        <v/>
      </c>
      <c r="FP112" s="172">
        <f>MIN(1,MAX(VLOOKUP(($AJ112-$AI112-$AH112-$AG112-$AF112-$AE112*(1+FP$3))/$AJ112,'Технический лист'!$A:$B,2,1),(FO112-0.05)))</f>
        <v/>
      </c>
      <c r="FQ112" s="172">
        <f>MIN(1,MAX(VLOOKUP(($AJ112-$AI112-$AH112-$AG112-$AF112-$AE112*(1+FQ$3))/$AJ112,'Технический лист'!$A:$B,2,1),(FP112-0.05)))</f>
        <v/>
      </c>
      <c r="FR112" s="172">
        <f>MIN(1,MAX(VLOOKUP(($AJ112-$AI112-$AH112-$AG112-$AF112-$AE112*(1+FR$3))/$AJ112,'Технический лист'!$A:$B,2,1),(FQ112-0.05)))</f>
        <v/>
      </c>
      <c r="FS112" s="172">
        <f>MIN(1,MAX(VLOOKUP(($AJ112-$AI112-$AH112-$AG112-$AF112-$AE112*(1+FS$3))/$AJ112,'Технический лист'!$A:$B,2,1),(FR112-0.05)))</f>
        <v/>
      </c>
      <c r="FT112" s="172">
        <f>MIN(1,MAX(VLOOKUP(($AJ112-$AI112-$AH112-$AG112-$AF112-$AE112*(1+FT$3))/$AJ112,'Технический лист'!$A:$B,2,1),(FS112-0.05)))</f>
        <v/>
      </c>
      <c r="FU112" s="172">
        <f>MIN(1,MAX(VLOOKUP(($AJ112-$AI112-$AH112-$AG112-$AF112-$AE112*(1+FU$3))/$AJ112,'Технический лист'!$A:$B,2,1),(FT112-0.05)))</f>
        <v/>
      </c>
      <c r="FV112" s="172">
        <f>MIN(1,MAX(VLOOKUP(($AJ112-$AI112-$AH112-$AG112-$AF112-$AE112*(1+FV$3))/$AJ112,'Технический лист'!$A:$B,2,1),(FU112-0.05)))</f>
        <v/>
      </c>
      <c r="FW112" s="172">
        <f>MIN(1,MAX(VLOOKUP(($AJ112-$AI112-$AH112-$AG112-$AF112-$AE112*(1+FW$3))/$AJ112,'Технический лист'!$A:$B,2,1),(FV112-0.05)))</f>
        <v/>
      </c>
      <c r="FX112" s="172">
        <f>MIN(1,MAX(VLOOKUP(($AJ112-$AI112-$AH112-$AG112-$AF112-$AE112*(1+FX$3))/$AJ112,'Технический лист'!$A:$B,2,1),(FW112-0.05)))</f>
        <v/>
      </c>
      <c r="FY112" s="172">
        <f>MIN(1,MAX(VLOOKUP(($AJ112-$AI112-$AH112-$AG112-$AF112-$AE112*(1+FY$3))/$AJ112,'Технический лист'!$A:$B,2,1),(FX112-0.05)))</f>
        <v/>
      </c>
      <c r="FZ112" s="172">
        <f>MIN(1,MAX(VLOOKUP(($AJ112-$AI112-$AH112-$AG112-$AF112-$AE112*(1+FZ$3))/$AJ112,'Технический лист'!$A:$B,2,1),(FY112-0.05)))</f>
        <v/>
      </c>
      <c r="GA112" s="172">
        <f>MIN(1,MAX(VLOOKUP(($AJ112-$AI112-$AH112-$AG112-$AF112-$AE112*(1+GA$3))/$AJ112,'Технический лист'!$A:$B,2,1),(FZ112-0.05)))</f>
        <v/>
      </c>
      <c r="GB112" s="172">
        <f>MIN(1,MAX(VLOOKUP(($AJ112-$AI112-$AH112-$AG112-$AF112-$AE112*(1+GB$3))/$AJ112,'Технический лист'!$A:$B,2,1),(GA112-0.05)))</f>
        <v/>
      </c>
      <c r="GC112" s="172">
        <f>MIN(1,MAX(VLOOKUP(($AJ112-$AI112-$AH112-$AG112-$AF112-$AE112*(1+GC$3))/$AJ112,'Технический лист'!$A:$B,2,1),(GB112-0.05)))</f>
        <v/>
      </c>
      <c r="GD112" s="172">
        <f>MIN(1,MAX(VLOOKUP(($AJ112-$AI112-$AH112-$AG112-$AF112-$AE112*(1+GD$3))/$AJ112,'Технический лист'!$A:$B,2,1),(GC112-0.05)))</f>
        <v/>
      </c>
      <c r="GE112" s="172">
        <f>MIN(1,MAX(VLOOKUP(($AJ112-$AI112-$AH112-$AG112-$AF112-$AE112*(1+GE$3))/$AJ112,'Технический лист'!$A:$B,2,1),(GD112-0.05)))</f>
        <v/>
      </c>
      <c r="GF112" s="172">
        <f>MIN(1,MAX(VLOOKUP(($AJ112-$AI112-$AH112-$AG112-$AF112-$AE112*(1+GF$3))/$AJ112,'Технический лист'!$A:$B,2,1),(GE112-0.05)))</f>
        <v/>
      </c>
      <c r="GG112" s="172">
        <f>MIN(1,MAX(VLOOKUP(($AJ112-$AI112-$AH112-$AG112-$AF112-$AE112*(1+GG$3))/$AJ112,'Технический лист'!$A:$B,2,1),(GF112-0.05)))</f>
        <v/>
      </c>
      <c r="GH112" s="172">
        <f>MIN(1,MAX(VLOOKUP(($AJ112-$AI112-$AH112-$AG112-$AF112-$AE112*(1+GH$3))/$AJ112,'Технический лист'!$A:$B,2,1),(GG112-0.05)))</f>
        <v/>
      </c>
      <c r="GI112" s="172">
        <f>MIN(1,MAX(VLOOKUP(($AJ112-$AI112-$AH112-$AG112-$AF112-$AE112*(1+GI$3))/$AJ112,'Технический лист'!$A:$B,2,1),(GH112-0.05)))</f>
        <v/>
      </c>
      <c r="GJ112" s="172">
        <f>MIN(1,MAX(VLOOKUP(($AJ112-$AI112-$AH112-$AG112-$AF112-$AE112*(1+GJ$3))/$AJ112,'Технический лист'!$A:$B,2,1),(GI112-0.05)))</f>
        <v/>
      </c>
      <c r="GK112" s="172">
        <f>MIN(1,MAX(VLOOKUP(($AJ112-$AI112-$AH112-$AG112-$AF112-$AE112*(1+GK$3))/$AJ112,'Технический лист'!$A:$B,2,1),(GJ112-0.05)))</f>
        <v/>
      </c>
      <c r="GL112" s="172">
        <f>MIN(1,MAX(VLOOKUP(($AJ112-$AI112-$AH112-$AG112-$AF112-$AE112*(1+GL$3))/$AJ112,'Технический лист'!$A:$B,2,1),(GK112-0.05)))</f>
        <v/>
      </c>
      <c r="GM112" s="172">
        <f>MIN(1,MAX(VLOOKUP(($AJ112-$AI112-$AH112-$AG112-$AF112-$AE112*(1+GM$3))/$AJ112,'Технический лист'!$A:$B,2,1),(GL112-0.05)))</f>
        <v/>
      </c>
      <c r="GN112" s="172">
        <f>MIN(1,MAX(VLOOKUP(($AJ112-$AI112-$AH112-$AG112-$AF112-$AE112*(1+GN$3))/$AJ112,'Технический лист'!$A:$B,2,1),(GM112-0.05)))</f>
        <v/>
      </c>
      <c r="GO112" s="172">
        <f>MIN(1,MAX(VLOOKUP(($AJ112-$AI112-$AH112-$AG112-$AF112-$AE112*(1+GO$3))/$AJ112,'Технический лист'!$A:$B,2,1),(GN112-0.05)))</f>
        <v/>
      </c>
      <c r="GP112" s="172">
        <f>MIN(1,MAX(VLOOKUP(($AJ112-$AI112-$AH112-$AG112-$AF112-$AE112*(1+GP$3))/$AJ112,'Технический лист'!$A:$B,2,1),(GO112-0.05)))</f>
        <v/>
      </c>
      <c r="GQ112" s="172">
        <f>MIN(1,MAX(VLOOKUP(($AJ112-$AI112-$AH112-$AG112-$AF112-$AE112*(1+GQ$3))/$AJ112,'Технический лист'!$A:$B,2,1),(GP112-0.05)))</f>
        <v/>
      </c>
      <c r="GR112" s="172">
        <f>MIN(1,MAX(VLOOKUP(($AJ112-$AI112-$AH112-$AG112-$AF112-$AE112*(1+GR$3))/$AJ112,'Технический лист'!$A:$B,2,1),(GQ112-0.05)))</f>
        <v/>
      </c>
      <c r="GS112" s="172">
        <f>MIN(1,MAX(VLOOKUP(($AJ112-$AI112-$AH112-$AG112-$AF112-$AE112*(1+GS$3))/$AJ112,'Технический лист'!$A:$B,2,1),(GR112-0.05)))</f>
        <v/>
      </c>
      <c r="GT112" s="172">
        <f>MIN(1,MAX(VLOOKUP(($AJ112-$AI112-$AH112-$AG112-$AF112-$AE112*(1+GT$3))/$AJ112,'Технический лист'!$A:$B,2,1),(GS112-0.05)))</f>
        <v/>
      </c>
      <c r="GU112" s="172">
        <f>MIN(1,MAX(VLOOKUP(($AJ112-$AI112-$AH112-$AG112-$AF112-$AE112*(1+GU$3))/$AJ112,'Технический лист'!$A:$B,2,1),(GT112-0.05)))</f>
        <v/>
      </c>
      <c r="GV112" s="172">
        <f>MIN(1,MAX(VLOOKUP(($AJ112-$AI112-$AH112-$AG112-$AF112-$AE112*(1+GV$3))/$AJ112,'Технический лист'!$A:$B,2,1),(GU112-0.05)))</f>
        <v/>
      </c>
      <c r="GW112" s="172">
        <f>MIN(1,MAX(VLOOKUP(($AJ112-$AI112-$AH112-$AG112-$AF112-$AE112*(1+GW$3))/$AJ112,'Технический лист'!$A:$B,2,1),(GV112-0.05)))</f>
        <v/>
      </c>
      <c r="GX112" s="172">
        <f>MIN(1,MAX(VLOOKUP(($AJ112-$AI112-$AH112-$AG112-$AF112-$AE112*(1+GX$3))/$AJ112,'Технический лист'!$A:$B,2,1),(GW112-0.05)))</f>
        <v/>
      </c>
      <c r="GY112" s="172">
        <f>MIN(1,MAX(VLOOKUP(($AJ112-$AI112-$AH112-$AG112-$AF112-$AE112*(1+GY$3))/$AJ112,'Технический лист'!$A:$B,2,1),(GX112-0.05)))</f>
        <v/>
      </c>
      <c r="GZ112" s="172">
        <f>MIN(1,MAX(VLOOKUP(($AJ112-$AI112-$AH112-$AG112-$AF112-$AE112*(1+GZ$3))/$AJ112,'Технический лист'!$A:$B,2,1),(GY112-0.05)))</f>
        <v/>
      </c>
      <c r="HA112" s="172">
        <f>MIN(1,MAX(VLOOKUP(($AJ112-$AI112-$AH112-$AG112-$AF112-$AE112*(1+HA$3))/$AJ112,'Технический лист'!$A:$B,2,1),(GZ112-0.05)))</f>
        <v/>
      </c>
      <c r="HB112" s="172">
        <f>MIN(1,MAX(VLOOKUP(($AJ112-$AI112-$AH112-$AG112-$AF112-$AE112*(1+HB$3))/$AJ112,'Технический лист'!$A:$B,2,1),(HA112-0.05)))</f>
        <v/>
      </c>
      <c r="HC112" s="172">
        <f>MIN(1,MAX(VLOOKUP(($AJ112-$AI112-$AH112-$AG112-$AF112-$AE112*(1+HC$3))/$AJ112,'Технический лист'!$A:$B,2,1),(HB112-0.05)))</f>
        <v/>
      </c>
      <c r="HD112" s="172">
        <f>MIN(1,MAX(VLOOKUP(($AJ112-$AI112-$AH112-$AG112-$AF112-$AE112*(1+HD$3))/$AJ112,'Технический лист'!$A:$B,2,1),(HC112-0.05)))</f>
        <v/>
      </c>
      <c r="HE112" s="172">
        <f>MIN(1,MAX(VLOOKUP(($AJ112-$AI112-$AH112-$AG112-$AF112-$AE112*(1+HE$3))/$AJ112,'Технический лист'!$A:$B,2,1),(HD112-0.05)))</f>
        <v/>
      </c>
      <c r="HF112" s="172">
        <f>MIN(1,MAX(VLOOKUP(($AJ112-$AI112-$AH112-$AG112-$AF112-$AE112*(1+HF$3))/$AJ112,'Технический лист'!$A:$B,2,1),(HE112-0.05)))</f>
        <v/>
      </c>
      <c r="HG112" s="172">
        <f>MIN(1,MAX(VLOOKUP(($AJ112-$AI112-$AH112-$AG112-$AF112-$AE112*(1+HG$3))/$AJ112,'Технический лист'!$A:$B,2,1),(HF112-0.05)))</f>
        <v/>
      </c>
      <c r="HH112" s="172">
        <f>MIN(1,MAX(VLOOKUP(($AJ112-$AI112-$AH112-$AG112-$AF112-$AE112*(1+HH$3))/$AJ112,'Технический лист'!$A:$B,2,1),(HG112-0.05)))</f>
        <v/>
      </c>
      <c r="HI112" s="172">
        <f>MIN(1,MAX(VLOOKUP(($AJ112-$AI112-$AH112-$AG112-$AF112-$AE112*(1+HI$3))/$AJ112,'Технический лист'!$A:$B,2,1),(HH112-0.05)))</f>
        <v/>
      </c>
      <c r="HJ112" s="172">
        <f>MIN(1,MAX(VLOOKUP(($AJ112-$AI112-$AH112-$AG112-$AF112-$AE112*(1+HJ$3))/$AJ112,'Технический лист'!$A:$B,2,1),(HI112-0.05)))</f>
        <v/>
      </c>
      <c r="HK112" s="172">
        <f>MIN(1,MAX(VLOOKUP(($AJ112-$AI112-$AH112-$AG112-$AF112-$AE112*(1+HK$3))/$AJ112,'Технический лист'!$A:$B,2,1),(HJ112-0.05)))</f>
        <v/>
      </c>
      <c r="HL112" s="172">
        <f>MIN(1,MAX(VLOOKUP(($AJ112-$AI112-$AH112-$AG112-$AF112-$AE112*(1+HL$3))/$AJ112,'Технический лист'!$A:$B,2,1),(HK112-0.05)))</f>
        <v/>
      </c>
      <c r="HM112" s="172">
        <f>MIN(1,MAX(VLOOKUP(($AJ112-$AI112-$AH112-$AG112-$AF112-$AE112*(1+HM$3))/$AJ112,'Технический лист'!$A:$B,2,1),(HL112-0.05)))</f>
        <v/>
      </c>
      <c r="HN112" s="172">
        <f>MIN(1,MAX(VLOOKUP(($AJ112-$AI112-$AH112-$AG112-$AF112-$AE112*(1+HN$3))/$AJ112,'Технический лист'!$A:$B,2,1),(HM112-0.05)))</f>
        <v/>
      </c>
      <c r="HO112" s="172">
        <f>MIN(1,MAX(VLOOKUP(($AJ112-$AI112-$AH112-$AG112-$AF112-$AE112*(1+HO$3))/$AJ112,'Технический лист'!$A:$B,2,1),(HN112-0.05)))</f>
        <v/>
      </c>
      <c r="HP112" s="172">
        <f>MIN(1,MAX(VLOOKUP(($AJ112-$AI112-$AH112-$AG112-$AF112-$AE112*(1+HP$3))/$AJ112,'Технический лист'!$A:$B,2,1),(HO112-0.05)))</f>
        <v/>
      </c>
      <c r="HQ112" s="172">
        <f>MIN(1,MAX(VLOOKUP(($AJ112-$AI112-$AH112-$AG112-$AF112-$AE112*(1+HQ$3))/$AJ112,'Технический лист'!$A:$B,2,1),(HP112-0.05)))</f>
        <v/>
      </c>
      <c r="HR112" s="172">
        <f>MIN(1,MAX(VLOOKUP(($AJ112-$AI112-$AH112-$AG112-$AF112-$AE112*(1+HR$3))/$AJ112,'Технический лист'!$A:$B,2,1),(HQ112-0.05)))</f>
        <v/>
      </c>
      <c r="HS112" s="172">
        <f>MIN(1,MAX(VLOOKUP(($AJ112-$AI112-$AH112-$AG112-$AF112-$AE112*(1+HS$3))/$AJ112,'Технический лист'!$A:$B,2,1),(HR112-0.05)))</f>
        <v/>
      </c>
      <c r="HT112" s="172">
        <f>MIN(1,MAX(VLOOKUP(($AJ112-$AI112-$AH112-$AG112-$AF112-$AE112*(1+HT$3))/$AJ112,'Технический лист'!$A:$B,2,1),(HS112-0.05)))</f>
        <v/>
      </c>
      <c r="HU112" s="172">
        <f>MIN(1,MAX(VLOOKUP(($AJ112-$AI112-$AH112-$AG112-$AF112-$AE112*(1+HU$3))/$AJ112,'Технический лист'!$A:$B,2,1),(HT112-0.05)))</f>
        <v/>
      </c>
      <c r="HV112" s="172">
        <f>MIN(1,MAX(VLOOKUP(($AJ112-$AI112-$AH112-$AG112-$AF112-$AE112*(1+HV$3))/$AJ112,'Технический лист'!$A:$B,2,1),(HU112-0.05)))</f>
        <v/>
      </c>
      <c r="HW112" s="172">
        <f>MIN(1,MAX(VLOOKUP(($AJ112-$AI112-$AH112-$AG112-$AF112-$AE112*(1+HW$3))/$AJ112,'Технический лист'!$A:$B,2,1),(HV112-0.05)))</f>
        <v/>
      </c>
      <c r="HX112" s="172">
        <f>MIN(1,MAX(VLOOKUP(($AJ112-$AI112-$AH112-$AG112-$AF112-$AE112*(1+HX$3))/$AJ112,'Технический лист'!$A:$B,2,1),(HW112-0.05)))</f>
        <v/>
      </c>
      <c r="HY112" s="172">
        <f>MIN(1,MAX(VLOOKUP(($AJ112-$AI112-$AH112-$AG112-$AF112-$AE112*(1+HY$3))/$AJ112,'Технический лист'!$A:$B,2,1),(HX112-0.05)))</f>
        <v/>
      </c>
      <c r="HZ112" s="172">
        <f>MIN(1,MAX(VLOOKUP(($AJ112-$AI112-$AH112-$AG112-$AF112-$AE112*(1+HZ$3))/$AJ112,'Технический лист'!$A:$B,2,1),(HY112-0.05)))</f>
        <v/>
      </c>
      <c r="IA112" s="172">
        <f>MIN(1,MAX(VLOOKUP(($AJ112-$AI112-$AH112-$AG112-$AF112-$AE112*(1+IA$3))/$AJ112,'Технический лист'!$A:$B,2,1),(HZ112-0.05)))</f>
        <v/>
      </c>
      <c r="IB112" s="172">
        <f>MIN(1,MAX(VLOOKUP(($AJ112-$AI112-$AH112-$AG112-$AF112-$AE112*(1+IB$3))/$AJ112,'Технический лист'!$A:$B,2,1),(IA112-0.05)))</f>
        <v/>
      </c>
      <c r="IC112" s="172">
        <f>MIN(1,MAX(VLOOKUP(($AJ112-$AI112-$AH112-$AG112-$AF112-$AE112*(1+IC$3))/$AJ112,'Технический лист'!$A:$B,2,1),(IB112-0.05)))</f>
        <v/>
      </c>
      <c r="ID112" s="172">
        <f>MIN(1,MAX(VLOOKUP(($AJ112-$AI112-$AH112-$AG112-$AF112-$AE112*(1+ID$3))/$AJ112,'Технический лист'!$A:$B,2,1),(IC112-0.05)))</f>
        <v/>
      </c>
      <c r="IE112" s="172">
        <f>MIN(1,MAX(VLOOKUP(($AJ112-$AI112-$AH112-$AG112-$AF112-$AE112*(1+IE$3))/$AJ112,'Технический лист'!$A:$B,2,1),(ID112-0.05)))</f>
        <v/>
      </c>
      <c r="IF112" s="172">
        <f>MIN(1,MAX(VLOOKUP(($AJ112-$AI112-$AH112-$AG112-$AF112-$AE112*(1+IF$3))/$AJ112,'Технический лист'!$A:$B,2,1),(IE112-0.05)))</f>
        <v/>
      </c>
      <c r="IG112" s="172">
        <f>MIN(1,MAX(VLOOKUP(($AJ112-$AI112-$AH112-$AG112-$AF112-$AE112*(1+IG$3))/$AJ112,'Технический лист'!$A:$B,2,1),(IF112-0.05)))</f>
        <v/>
      </c>
      <c r="IH112" s="172">
        <f>MIN(1,MAX(VLOOKUP(($AJ112-$AI112-$AH112-$AG112-$AF112-$AE112*(1+IH$3))/$AJ112,'Технический лист'!$A:$B,2,1),(IG112-0.05)))</f>
        <v/>
      </c>
      <c r="II112" s="172">
        <f>MIN(1,MAX(VLOOKUP(($AJ112-$AI112-$AH112-$AG112-$AF112-$AE112*(1+II$3))/$AJ112,'Технический лист'!$A:$B,2,1),(IH112-0.05)))</f>
        <v/>
      </c>
      <c r="IJ112" s="172">
        <f>MIN(1,MAX(VLOOKUP(($AJ112-$AI112-$AH112-$AG112-$AF112-$AE112*(1+IJ$3))/$AJ112,'Технический лист'!$A:$B,2,1),(II112-0.05)))</f>
        <v/>
      </c>
      <c r="IK112" s="172">
        <f>MIN(1,MAX(VLOOKUP(($AJ112-$AI112-$AH112-$AG112-$AF112-$AE112*(1+IK$3))/$AJ112,'Технический лист'!$A:$B,2,1),(IJ112-0.05)))</f>
        <v/>
      </c>
      <c r="IL112" s="172">
        <f>MIN(1,MAX(VLOOKUP(($AJ112-$AI112-$AH112-$AG112-$AF112-$AE112*(1+IL$3))/$AJ112,'Технический лист'!$A:$B,2,1),(IK112-0.05)))</f>
        <v/>
      </c>
      <c r="IM112" s="172">
        <f>MIN(1,MAX(VLOOKUP(($AJ112-$AI112-$AH112-$AG112-$AF112-$AE112*(1+IM$3))/$AJ112,'Технический лист'!$A:$B,2,1),(IL112-0.05)))</f>
        <v/>
      </c>
      <c r="IN112" s="172">
        <f>MIN(1,MAX(VLOOKUP(($AJ112-$AI112-$AH112-$AG112-$AF112-$AE112*(1+IN$3))/$AJ112,'Технический лист'!$A:$B,2,1),(IM112-0.05)))</f>
        <v/>
      </c>
      <c r="IO112" s="172">
        <f>MIN(1,MAX(VLOOKUP(($AJ112-$AI112-$AH112-$AG112-$AF112-$AE112*(1+IO$3))/$AJ112,'Технический лист'!$A:$B,2,1),(IN112-0.05)))</f>
        <v/>
      </c>
      <c r="IP112" s="172">
        <f>MIN(1,MAX(VLOOKUP(($AJ112-$AI112-$AH112-$AG112-$AF112-$AE112*(1+IP$3))/$AJ112,'Технический лист'!$A:$B,2,1),(IO112-0.05)))</f>
        <v/>
      </c>
      <c r="IQ112" s="172">
        <f>MIN(1,MAX(VLOOKUP(($AJ112-$AI112-$AH112-$AG112-$AF112-$AE112*(1+IQ$3))/$AJ112,'Технический лист'!$A:$B,2,1),(IP112-0.05)))</f>
        <v/>
      </c>
      <c r="IR112" s="172">
        <f>MIN(1,MAX(VLOOKUP(($AJ112-$AI112-$AH112-$AG112-$AF112-$AE112*(1+IR$3))/$AJ112,'Технический лист'!$A:$B,2,1),(IQ112-0.05)))</f>
        <v/>
      </c>
    </row>
    <row r="113" ht="29.15" customHeight="1" s="123">
      <c r="A113" s="89" t="inlineStr">
        <is>
          <t>ЧМ (продукция)</t>
        </is>
      </c>
      <c r="B113" s="90" t="n">
        <v>5</v>
      </c>
      <c r="C113" s="5" t="inlineStr">
        <is>
          <t>Черные металлы</t>
        </is>
      </c>
      <c r="D113" s="91" t="n">
        <v>31407</v>
      </c>
      <c r="E113" s="91" t="inlineStr">
        <is>
          <t xml:space="preserve">Слябы (заготовки стальные) </t>
        </is>
      </c>
      <c r="F113" s="92" t="inlineStr">
        <is>
          <t>ЗАГОТОВКИ СТАЛЬНЫЕ</t>
        </is>
      </c>
      <c r="G113" s="91" t="inlineStr">
        <is>
          <t>ЮВС</t>
        </is>
      </c>
      <c r="H113" s="91" t="inlineStr">
        <is>
          <t>СКВ</t>
        </is>
      </c>
      <c r="I113" s="91" t="inlineStr">
        <is>
          <t>НОВОЛИПЕЦК</t>
        </is>
      </c>
      <c r="J113" s="91" t="inlineStr">
        <is>
          <t>ТУАПСЕ-СОР-Э</t>
        </is>
      </c>
      <c r="K113" s="91" t="n">
        <v>1231</v>
      </c>
      <c r="L113" s="91" t="inlineStr">
        <is>
          <t>Полувагоны</t>
        </is>
      </c>
      <c r="M113" s="91" t="inlineStr">
        <is>
          <t>Экспорт</t>
        </is>
      </c>
      <c r="N113" s="91" t="inlineStr">
        <is>
          <t>вагонная</t>
        </is>
      </c>
      <c r="O113" s="91" t="inlineStr">
        <is>
          <t xml:space="preserve">Южное </t>
        </is>
      </c>
      <c r="P113" s="89" t="inlineStr">
        <is>
          <t>'000005757665</t>
        </is>
      </c>
      <c r="Q113" s="91" t="inlineStr">
        <is>
          <t>'ПАО "НЛМК"</t>
        </is>
      </c>
      <c r="R113" s="91" t="inlineStr">
        <is>
          <t>ПАО "НЛМК"</t>
        </is>
      </c>
      <c r="S113" s="87" t="n">
        <v>3363457</v>
      </c>
      <c r="T113" s="87" t="n">
        <v>4139755900</v>
      </c>
      <c r="U113" s="88" t="n">
        <v>51802</v>
      </c>
      <c r="V113" s="88" t="n">
        <v>0</v>
      </c>
      <c r="W113" s="87" t="n">
        <v>8305437717</v>
      </c>
      <c r="X113" s="112" t="n">
        <v>66</v>
      </c>
      <c r="Y113" s="112" t="inlineStr">
        <is>
          <t>маршрутная</t>
        </is>
      </c>
      <c r="Z113" s="113" t="n">
        <v>5</v>
      </c>
      <c r="AA113" s="113" t="n">
        <v>5</v>
      </c>
      <c r="AB113" s="113" t="n">
        <v>4</v>
      </c>
      <c r="AC113" s="161" t="n">
        <v>2813.03</v>
      </c>
      <c r="AD113" s="161">
        <f>AE113-AC113</f>
        <v/>
      </c>
      <c r="AE113" s="161" t="n">
        <v>3334.47</v>
      </c>
      <c r="AF113" s="162">
        <f>(Z113+AA113+AB113)*'Ставки аренды'!$B$3/X113</f>
        <v/>
      </c>
      <c r="AG113" s="163">
        <f>'Ставки перевалки'!$B$9*'Курсы валют'!$B$2</f>
        <v/>
      </c>
      <c r="AH113" s="164" t="n">
        <v>0</v>
      </c>
      <c r="AI113" s="174">
        <f>539714289/604384772*AVERAGE(AJ113,AJ115)</f>
        <v/>
      </c>
      <c r="AJ113" s="166">
        <f>Цены!$C$6*'Курсы валют'!$B$2</f>
        <v/>
      </c>
      <c r="AK113" s="164">
        <f>AJ113/Цены!$B$1</f>
        <v/>
      </c>
      <c r="AL113" s="164">
        <f>AE113+AF113+AG113</f>
        <v/>
      </c>
      <c r="AM113" s="164">
        <f>AJ113-AL113</f>
        <v/>
      </c>
      <c r="AN113" s="164">
        <f>AI113+AH113+AG113+AF113+AE113</f>
        <v/>
      </c>
      <c r="AO113" s="167">
        <f>(AJ113-AN113)/AJ113</f>
        <v/>
      </c>
      <c r="AP113" s="168">
        <f>AL113/AJ113</f>
        <v/>
      </c>
      <c r="AQ113" s="168">
        <f>AE113/AJ113</f>
        <v/>
      </c>
      <c r="AR113" s="168">
        <f>AE113/AL113</f>
        <v/>
      </c>
      <c r="AS113" s="169" t="n">
        <v>1</v>
      </c>
      <c r="AT113" s="121">
        <f>S113*AS113</f>
        <v/>
      </c>
      <c r="AU113" s="83" t="n">
        <v>0.95</v>
      </c>
      <c r="AV113" s="170">
        <f>(AJ113-(AE113*(1+$IS$2)+AF113+AG113+AH113+AI113))/AJ113</f>
        <v/>
      </c>
      <c r="AW113" s="171">
        <f>(AE113*(1+$IS$2)+AF113+AG113)/AJ113</f>
        <v/>
      </c>
      <c r="AX113" s="171">
        <f>(AE113*(1+$IS$2))/AJ113</f>
        <v/>
      </c>
      <c r="AY113" s="171">
        <f>(AE113*(1+$IS$2))/(AE113*(1+$IS$2)+AF113+AG113)</f>
        <v/>
      </c>
      <c r="AZ113" s="172">
        <f>MIN(IF($AU113=100%,1,1+VLOOKUP(($AJ113-$AI113-$AH113-$AG113-$AF113-$AE113*(1+AZ$3))/$AJ113,'Технический лист'!$I:$J,2,1)-VLOOKUP($AO113,'Технический лист'!$I:$J,2,1)),1+(1-$AU113))</f>
        <v/>
      </c>
      <c r="BA113" s="172">
        <f>MIN(IF($AU113=100%,1,1+VLOOKUP(($AJ113-$AI113-$AH113-$AG113-$AF113-$AE113*(1+BA$3))/$AJ113,'Технический лист'!$I:$J,2,1)-VLOOKUP($AO113,'Технический лист'!$I:$J,2,1)),1+(1-$AU113))</f>
        <v/>
      </c>
      <c r="BB113" s="172">
        <f>MIN(IF($AU113=100%,1,1+VLOOKUP(($AJ113-$AI113-$AH113-$AG113-$AF113-$AE113*(1+BB$3))/$AJ113,'Технический лист'!$I:$J,2,1)-VLOOKUP($AO113,'Технический лист'!$I:$J,2,1)),1+(1-$AU113))</f>
        <v/>
      </c>
      <c r="BC113" s="172">
        <f>MIN(IF($AU113=100%,1,1+VLOOKUP(($AJ113-$AI113-$AH113-$AG113-$AF113-$AE113*(1+BC$3))/$AJ113,'Технический лист'!$I:$J,2,1)-VLOOKUP($AO113,'Технический лист'!$I:$J,2,1)),1+(1-$AU113))</f>
        <v/>
      </c>
      <c r="BD113" s="172">
        <f>MIN(IF($AU113=100%,1,1+VLOOKUP(($AJ113-$AI113-$AH113-$AG113-$AF113-$AE113*(1+BD$3))/$AJ113,'Технический лист'!$I:$J,2,1)-VLOOKUP($AO113,'Технический лист'!$I:$J,2,1)),1+(1-$AU113))</f>
        <v/>
      </c>
      <c r="BE113" s="172">
        <f>MIN(IF($AU113=100%,1,1+VLOOKUP(($AJ113-$AI113-$AH113-$AG113-$AF113-$AE113*(1+BE$3))/$AJ113,'Технический лист'!$I:$J,2,1)-VLOOKUP($AO113,'Технический лист'!$I:$J,2,1)),1+(1-$AU113))</f>
        <v/>
      </c>
      <c r="BF113" s="172">
        <f>MIN(IF($AU113=100%,1,1+VLOOKUP(($AJ113-$AI113-$AH113-$AG113-$AF113-$AE113*(1+BF$3))/$AJ113,'Технический лист'!$I:$J,2,1)-VLOOKUP($AO113,'Технический лист'!$I:$J,2,1)),1+(1-$AU113))</f>
        <v/>
      </c>
      <c r="BG113" s="172">
        <f>MIN(IF($AU113=100%,1,1+VLOOKUP(($AJ113-$AI113-$AH113-$AG113-$AF113-$AE113*(1+BG$3))/$AJ113,'Технический лист'!$I:$J,2,1)-VLOOKUP($AO113,'Технический лист'!$I:$J,2,1)),1+(1-$AU113))</f>
        <v/>
      </c>
      <c r="BH113" s="172">
        <f>MIN(IF($AU113=100%,1,1+VLOOKUP(($AJ113-$AI113-$AH113-$AG113-$AF113-$AE113*(1+BH$3))/$AJ113,'Технический лист'!$I:$J,2,1)-VLOOKUP($AO113,'Технический лист'!$I:$J,2,1)),1+(1-$AU113))</f>
        <v/>
      </c>
      <c r="BI113" s="172">
        <f>MIN(IF($AU113=100%,1,1+VLOOKUP(($AJ113-$AI113-$AH113-$AG113-$AF113-$AE113*(1+BI$3))/$AJ113,'Технический лист'!$I:$J,2,1)-VLOOKUP($AO113,'Технический лист'!$I:$J,2,1)),1+(1-$AU113))</f>
        <v/>
      </c>
      <c r="BJ113" s="172">
        <f>MIN(IF($AU113=100%,1,1+VLOOKUP(($AJ113-$AI113-$AH113-$AG113-$AF113-$AE113*(1+BJ$3))/$AJ113,'Технический лист'!$I:$J,2,1)-VLOOKUP($AO113,'Технический лист'!$I:$J,2,1)),1+(1-$AU113))</f>
        <v/>
      </c>
      <c r="BK113" s="172">
        <f>MIN(IF($AU113=100%,1,1+VLOOKUP(($AJ113-$AI113-$AH113-$AG113-$AF113-$AE113*(1+BK$3))/$AJ113,'Технический лист'!$I:$J,2,1)-VLOOKUP($AO113,'Технический лист'!$I:$J,2,1)),1+(1-$AU113))</f>
        <v/>
      </c>
      <c r="BL113" s="172">
        <f>MIN(IF($AU113=100%,1,1+VLOOKUP(($AJ113-$AI113-$AH113-$AG113-$AF113-$AE113*(1+BL$3))/$AJ113,'Технический лист'!$I:$J,2,1)-VLOOKUP($AO113,'Технический лист'!$I:$J,2,1)),1+(1-$AU113))</f>
        <v/>
      </c>
      <c r="BM113" s="172">
        <f>MIN(IF($AU113=100%,1,1+VLOOKUP(($AJ113-$AI113-$AH113-$AG113-$AF113-$AE113*(1+BM$3))/$AJ113,'Технический лист'!$I:$J,2,1)-VLOOKUP($AO113,'Технический лист'!$I:$J,2,1)),1+(1-$AU113))</f>
        <v/>
      </c>
      <c r="BN113" s="172">
        <f>MIN(IF($AU113=100%,1,1+VLOOKUP(($AJ113-$AI113-$AH113-$AG113-$AF113-$AE113*(1+BN$3))/$AJ113,'Технический лист'!$I:$J,2,1)-VLOOKUP($AO113,'Технический лист'!$I:$J,2,1)),1+(1-$AU113))</f>
        <v/>
      </c>
      <c r="BO113" s="172">
        <f>MIN(IF($AU113=100%,1,1+VLOOKUP(($AJ113-$AI113-$AH113-$AG113-$AF113-$AE113*(1+BO$3))/$AJ113,'Технический лист'!$I:$J,2,1)-VLOOKUP($AO113,'Технический лист'!$I:$J,2,1)),1+(1-$AU113))</f>
        <v/>
      </c>
      <c r="BP113" s="172">
        <f>MIN(IF($AU113=100%,1,1+VLOOKUP(($AJ113-$AI113-$AH113-$AG113-$AF113-$AE113*(1+BP$3))/$AJ113,'Технический лист'!$I:$J,2,1)-VLOOKUP($AO113,'Технический лист'!$I:$J,2,1)),1+(1-$AU113))</f>
        <v/>
      </c>
      <c r="BQ113" s="172">
        <f>MIN(IF($AU113=100%,1,1+VLOOKUP(($AJ113-$AI113-$AH113-$AG113-$AF113-$AE113*(1+BQ$3))/$AJ113,'Технический лист'!$I:$J,2,1)-VLOOKUP($AO113,'Технический лист'!$I:$J,2,1)),1+(1-$AU113))</f>
        <v/>
      </c>
      <c r="BR113" s="172">
        <f>MIN(IF($AU113=100%,1,1+VLOOKUP(($AJ113-$AI113-$AH113-$AG113-$AF113-$AE113*(1+BR$3))/$AJ113,'Технический лист'!$I:$J,2,1)-VLOOKUP($AO113,'Технический лист'!$I:$J,2,1)),1+(1-$AU113))</f>
        <v/>
      </c>
      <c r="BS113" s="172">
        <f>MIN(IF($AU113=100%,1,1+VLOOKUP(($AJ113-$AI113-$AH113-$AG113-$AF113-$AE113*(1+BS$3))/$AJ113,'Технический лист'!$I:$J,2,1)-VLOOKUP($AO113,'Технический лист'!$I:$J,2,1)),1+(1-$AU113))</f>
        <v/>
      </c>
      <c r="BT113" s="172">
        <f>MIN(IF($AU113=100%,1,1+VLOOKUP(($AJ113-$AI113-$AH113-$AG113-$AF113-$AE113*(1+BT$3))/$AJ113,'Технический лист'!$I:$J,2,1)-VLOOKUP($AO113,'Технический лист'!$I:$J,2,1)),1+(1-$AU113))</f>
        <v/>
      </c>
      <c r="BU113" s="172">
        <f>MIN(IF($AU113=100%,1,1+VLOOKUP(($AJ113-$AI113-$AH113-$AG113-$AF113-$AE113*(1+BU$3))/$AJ113,'Технический лист'!$I:$J,2,1)-VLOOKUP($AO113,'Технический лист'!$I:$J,2,1)),1+(1-$AU113))</f>
        <v/>
      </c>
      <c r="BV113" s="172">
        <f>MIN(IF($AU113=100%,1,1+VLOOKUP(($AJ113-$AI113-$AH113-$AG113-$AF113-$AE113*(1+BV$3))/$AJ113,'Технический лист'!$I:$J,2,1)-VLOOKUP($AO113,'Технический лист'!$I:$J,2,1)),1+(1-$AU113))</f>
        <v/>
      </c>
      <c r="BW113" s="172">
        <f>MIN(IF($AU113=100%,1,1+VLOOKUP(($AJ113-$AI113-$AH113-$AG113-$AF113-$AE113*(1+BW$3))/$AJ113,'Технический лист'!$I:$J,2,1)-VLOOKUP($AO113,'Технический лист'!$I:$J,2,1)),1+(1-$AU113))</f>
        <v/>
      </c>
      <c r="BX113" s="172">
        <f>MIN(IF($AU113=100%,1,1+VLOOKUP(($AJ113-$AI113-$AH113-$AG113-$AF113-$AE113*(1+BX$3))/$AJ113,'Технический лист'!$I:$J,2,1)-VLOOKUP($AO113,'Технический лист'!$I:$J,2,1)),1+(1-$AU113))</f>
        <v/>
      </c>
      <c r="BY113" s="172">
        <f>MIN(IF($AU113=100%,1,1+VLOOKUP(($AJ113-$AI113-$AH113-$AG113-$AF113-$AE113*(1+BY$3))/$AJ113,'Технический лист'!$I:$J,2,1)-VLOOKUP($AO113,'Технический лист'!$I:$J,2,1)),1+(1-$AU113))</f>
        <v/>
      </c>
      <c r="BZ113" s="172">
        <f>MIN(IF($AU113=100%,1,1+VLOOKUP(($AJ113-$AI113-$AH113-$AG113-$AF113-$AE113*(1+BZ$3))/$AJ113,'Технический лист'!$I:$J,2,1)-VLOOKUP($AO113,'Технический лист'!$I:$J,2,1)),1+(1-$AU113))</f>
        <v/>
      </c>
      <c r="CA113" s="172">
        <f>MIN(IF($AU113=100%,1,1+VLOOKUP(($AJ113-$AI113-$AH113-$AG113-$AF113-$AE113*(1+CA$3))/$AJ113,'Технический лист'!$I:$J,2,1)-VLOOKUP($AO113,'Технический лист'!$I:$J,2,1)),1+(1-$AU113))</f>
        <v/>
      </c>
      <c r="CB113" s="172">
        <f>MIN(IF($AU113=100%,1,1+VLOOKUP(($AJ113-$AI113-$AH113-$AG113-$AF113-$AE113*(1+CB$3))/$AJ113,'Технический лист'!$I:$J,2,1)-VLOOKUP($AO113,'Технический лист'!$I:$J,2,1)),1+(1-$AU113))</f>
        <v/>
      </c>
      <c r="CC113" s="172">
        <f>MIN(IF($AU113=100%,1,1+VLOOKUP(($AJ113-$AI113-$AH113-$AG113-$AF113-$AE113*(1+CC$3))/$AJ113,'Технический лист'!$I:$J,2,1)-VLOOKUP($AO113,'Технический лист'!$I:$J,2,1)),1+(1-$AU113))</f>
        <v/>
      </c>
      <c r="CD113" s="172">
        <f>MIN(IF($AU113=100%,1,1+VLOOKUP(($AJ113-$AI113-$AH113-$AG113-$AF113-$AE113*(1+CD$3))/$AJ113,'Технический лист'!$I:$J,2,1)-VLOOKUP($AO113,'Технический лист'!$I:$J,2,1)),1+(1-$AU113))</f>
        <v/>
      </c>
      <c r="CE113" s="172">
        <f>MIN(IF($AU113=100%,1,1+VLOOKUP(($AJ113-$AI113-$AH113-$AG113-$AF113-$AE113*(1+CE$3))/$AJ113,'Технический лист'!$I:$J,2,1)-VLOOKUP($AO113,'Технический лист'!$I:$J,2,1)),1+(1-$AU113))</f>
        <v/>
      </c>
      <c r="CF113" s="172">
        <f>MIN(IF($AU113=100%,1,1+VLOOKUP(($AJ113-$AI113-$AH113-$AG113-$AF113-$AE113*(1+CF$3))/$AJ113,'Технический лист'!$I:$J,2,1)-VLOOKUP($AO113,'Технический лист'!$I:$J,2,1)),1+(1-$AU113))</f>
        <v/>
      </c>
      <c r="CG113" s="172">
        <f>MIN(IF($AU113=100%,1,1+VLOOKUP(($AJ113-$AI113-$AH113-$AG113-$AF113-$AE113*(1+CG$3))/$AJ113,'Технический лист'!$I:$J,2,1)-VLOOKUP($AO113,'Технический лист'!$I:$J,2,1)),1+(1-$AU113))</f>
        <v/>
      </c>
      <c r="CH113" s="172">
        <f>MIN(IF($AU113=100%,1,1+VLOOKUP(($AJ113-$AI113-$AH113-$AG113-$AF113-$AE113*(1+CH$3))/$AJ113,'Технический лист'!$I:$J,2,1)-VLOOKUP($AO113,'Технический лист'!$I:$J,2,1)),1+(1-$AU113))</f>
        <v/>
      </c>
      <c r="CI113" s="172">
        <f>MIN(IF($AU113=100%,1,1+VLOOKUP(($AJ113-$AI113-$AH113-$AG113-$AF113-$AE113*(1+CI$3))/$AJ113,'Технический лист'!$I:$J,2,1)-VLOOKUP($AO113,'Технический лист'!$I:$J,2,1)),1+(1-$AU113))</f>
        <v/>
      </c>
      <c r="CJ113" s="172">
        <f>MIN(IF($AU113=100%,1,1+VLOOKUP(($AJ113-$AI113-$AH113-$AG113-$AF113-$AE113*(1+CJ$3))/$AJ113,'Технический лист'!$I:$J,2,1)-VLOOKUP($AO113,'Технический лист'!$I:$J,2,1)),1+(1-$AU113))</f>
        <v/>
      </c>
      <c r="CK113" s="172">
        <f>MIN(IF($AU113=100%,1,1+VLOOKUP(($AJ113-$AI113-$AH113-$AG113-$AF113-$AE113*(1+CK$3))/$AJ113,'Технический лист'!$I:$J,2,1)-VLOOKUP($AO113,'Технический лист'!$I:$J,2,1)),1+(1-$AU113))</f>
        <v/>
      </c>
      <c r="CL113" s="172">
        <f>MIN(IF($AU113=100%,1,1+VLOOKUP(($AJ113-$AI113-$AH113-$AG113-$AF113-$AE113*(1+CL$3))/$AJ113,'Технический лист'!$I:$J,2,1)-VLOOKUP($AO113,'Технический лист'!$I:$J,2,1)),1+(1-$AU113))</f>
        <v/>
      </c>
      <c r="CM113" s="172">
        <f>MIN(IF($AU113=100%,1,1+VLOOKUP(($AJ113-$AI113-$AH113-$AG113-$AF113-$AE113*(1+CM$3))/$AJ113,'Технический лист'!$I:$J,2,1)-VLOOKUP($AO113,'Технический лист'!$I:$J,2,1)),1+(1-$AU113))</f>
        <v/>
      </c>
      <c r="CN113" s="172">
        <f>MIN(IF($AU113=100%,1,1+VLOOKUP(($AJ113-$AI113-$AH113-$AG113-$AF113-$AE113*(1+CN$3))/$AJ113,'Технический лист'!$I:$J,2,1)-VLOOKUP($AO113,'Технический лист'!$I:$J,2,1)),1+(1-$AU113))</f>
        <v/>
      </c>
      <c r="CO113" s="172">
        <f>MIN(IF($AU113=100%,1,1+VLOOKUP(($AJ113-$AI113-$AH113-$AG113-$AF113-$AE113*(1+CO$3))/$AJ113,'Технический лист'!$I:$J,2,1)-VLOOKUP($AO113,'Технический лист'!$I:$J,2,1)),1+(1-$AU113))</f>
        <v/>
      </c>
      <c r="CP113" s="172">
        <f>MIN(IF($AU113=100%,1,1+VLOOKUP(($AJ113-$AI113-$AH113-$AG113-$AF113-$AE113*(1+CP$3))/$AJ113,'Технический лист'!$I:$J,2,1)-VLOOKUP($AO113,'Технический лист'!$I:$J,2,1)),1+(1-$AU113))</f>
        <v/>
      </c>
      <c r="CQ113" s="172">
        <f>MIN(IF($AU113=100%,1,1+VLOOKUP(($AJ113-$AI113-$AH113-$AG113-$AF113-$AE113*(1+CQ$3))/$AJ113,'Технический лист'!$I:$J,2,1)-VLOOKUP($AO113,'Технический лист'!$I:$J,2,1)),1+(1-$AU113))</f>
        <v/>
      </c>
      <c r="CR113" s="172">
        <f>MIN(IF($AU113=100%,1,1+VLOOKUP(($AJ113-$AI113-$AH113-$AG113-$AF113-$AE113*(1+CR$3))/$AJ113,'Технический лист'!$I:$J,2,1)-VLOOKUP($AO113,'Технический лист'!$I:$J,2,1)),1+(1-$AU113))</f>
        <v/>
      </c>
      <c r="CS113" s="172">
        <f>MIN(IF($AU113=100%,1,1+VLOOKUP(($AJ113-$AI113-$AH113-$AG113-$AF113-$AE113*(1+CS$3))/$AJ113,'Технический лист'!$I:$J,2,1)-VLOOKUP($AO113,'Технический лист'!$I:$J,2,1)),1+(1-$AU113))</f>
        <v/>
      </c>
      <c r="CT113" s="172">
        <f>MIN(IF($AU113=100%,1,1+VLOOKUP(($AJ113-$AI113-$AH113-$AG113-$AF113-$AE113*(1+CT$3))/$AJ113,'Технический лист'!$I:$J,2,1)-VLOOKUP($AO113,'Технический лист'!$I:$J,2,1)),1+(1-$AU113))</f>
        <v/>
      </c>
      <c r="CU113" s="172">
        <f>MIN(IF($AU113=100%,1,1+VLOOKUP(($AJ113-$AI113-$AH113-$AG113-$AF113-$AE113*(1+CU$3))/$AJ113,'Технический лист'!$I:$J,2,1)-VLOOKUP($AO113,'Технический лист'!$I:$J,2,1)),1+(1-$AU113))</f>
        <v/>
      </c>
      <c r="CV113" s="172">
        <f>MIN(IF($AU113=100%,1,1+VLOOKUP(($AJ113-$AI113-$AH113-$AG113-$AF113-$AE113*(1+CV$3))/$AJ113,'Технический лист'!$I:$J,2,1)-VLOOKUP($AO113,'Технический лист'!$I:$J,2,1)),1+(1-$AU113))</f>
        <v/>
      </c>
      <c r="CW113" s="172">
        <f>MIN(IF($AU113=100%,1,1+VLOOKUP(($AJ113-$AI113-$AH113-$AG113-$AF113-$AE113*(1+CW$3))/$AJ113,'Технический лист'!$I:$J,2,1)-VLOOKUP($AO113,'Технический лист'!$I:$J,2,1)),1+(1-$AU113))</f>
        <v/>
      </c>
      <c r="CX113" s="172">
        <f>MIN(IF($AU113=100%,1,1+VLOOKUP(($AJ113-$AI113-$AH113-$AG113-$AF113-$AE113*(1+CX$3))/$AJ113,'Технический лист'!$I:$J,2,1)-VLOOKUP($AO113,'Технический лист'!$I:$J,2,1)),1+(1-$AU113))</f>
        <v/>
      </c>
      <c r="CY113" s="172">
        <f>MIN(IF($AU113=100%,1,1+VLOOKUP(($AJ113-$AI113-$AH113-$AG113-$AF113-$AE113*(1+CY$3))/$AJ113,'Технический лист'!$I:$J,2,1)-VLOOKUP($AO113,'Технический лист'!$I:$J,2,1)),1+(1-$AU113))</f>
        <v/>
      </c>
      <c r="CZ113" s="172">
        <f>MIN(IF($AU113=100%,1,1+VLOOKUP(($AJ113-$AI113-$AH113-$AG113-$AF113-$AE113*(1+CZ$3))/$AJ113,'Технический лист'!$I:$J,2,1)-VLOOKUP($AO113,'Технический лист'!$I:$J,2,1)),1+(1-$AU113))</f>
        <v/>
      </c>
      <c r="DA113" s="172">
        <f>MIN(IF($AU113=100%,1,1+VLOOKUP(($AJ113-$AI113-$AH113-$AG113-$AF113-$AE113*(1+DA$3))/$AJ113,'Технический лист'!$I:$J,2,1)-VLOOKUP($AO113,'Технический лист'!$I:$J,2,1)),1+(1-$AU113))</f>
        <v/>
      </c>
      <c r="DB113" s="172">
        <f>MIN(IF($AU113=100%,1,1+VLOOKUP(($AJ113-$AI113-$AH113-$AG113-$AF113-$AE113*(1+DB$3))/$AJ113,'Технический лист'!$I:$J,2,1)-VLOOKUP($AO113,'Технический лист'!$I:$J,2,1)),1+(1-$AU113))</f>
        <v/>
      </c>
      <c r="DC113" s="172">
        <f>MIN(IF($AU113=100%,1,1+VLOOKUP(($AJ113-$AI113-$AH113-$AG113-$AF113-$AE113*(1+DC$3))/$AJ113,'Технический лист'!$I:$J,2,1)-VLOOKUP($AO113,'Технический лист'!$I:$J,2,1)),1+(1-$AU113))</f>
        <v/>
      </c>
      <c r="DD113" s="172">
        <f>MIN(IF($AU113=100%,1,1+VLOOKUP(($AJ113-$AI113-$AH113-$AG113-$AF113-$AE113*(1+DD$3))/$AJ113,'Технический лист'!$I:$J,2,1)-VLOOKUP($AO113,'Технический лист'!$I:$J,2,1)),1+(1-$AU113))</f>
        <v/>
      </c>
      <c r="DE113" s="172">
        <f>MIN(IF($AU113=100%,1,1+VLOOKUP(($AJ113-$AI113-$AH113-$AG113-$AF113-$AE113*(1+DE$3))/$AJ113,'Технический лист'!$I:$J,2,1)-VLOOKUP($AO113,'Технический лист'!$I:$J,2,1)),1+(1-$AU113))</f>
        <v/>
      </c>
      <c r="DF113" s="172">
        <f>MIN(IF($AU113=100%,1,1+VLOOKUP(($AJ113-$AI113-$AH113-$AG113-$AF113-$AE113*(1+DF$3))/$AJ113,'Технический лист'!$I:$J,2,1)-VLOOKUP($AO113,'Технический лист'!$I:$J,2,1)),1+(1-$AU113))</f>
        <v/>
      </c>
      <c r="DG113" s="172">
        <f>MIN(IF($AU113=100%,1,1+VLOOKUP(($AJ113-$AI113-$AH113-$AG113-$AF113-$AE113*(1+DG$3))/$AJ113,'Технический лист'!$I:$J,2,1)-VLOOKUP($AO113,'Технический лист'!$I:$J,2,1)),1+(1-$AU113))</f>
        <v/>
      </c>
      <c r="DH113" s="172">
        <f>MIN(IF($AU113=100%,1,1+VLOOKUP(($AJ113-$AI113-$AH113-$AG113-$AF113-$AE113*(1+DH$3))/$AJ113,'Технический лист'!$I:$J,2,1)-VLOOKUP($AO113,'Технический лист'!$I:$J,2,1)),1+(1-$AU113))</f>
        <v/>
      </c>
      <c r="DI113" s="172">
        <f>MIN(IF($AU113=100%,1,1+VLOOKUP(($AJ113-$AI113-$AH113-$AG113-$AF113-$AE113*(1+DI$3))/$AJ113,'Технический лист'!$I:$J,2,1)-VLOOKUP($AO113,'Технический лист'!$I:$J,2,1)),1+(1-$AU113))</f>
        <v/>
      </c>
      <c r="DJ113" s="172">
        <f>MIN(IF($AU113=100%,1,1+VLOOKUP(($AJ113-$AI113-$AH113-$AG113-$AF113-$AE113*(1+DJ$3))/$AJ113,'Технический лист'!$I:$J,2,1)-VLOOKUP($AO113,'Технический лист'!$I:$J,2,1)),1+(1-$AU113))</f>
        <v/>
      </c>
      <c r="DK113" s="172">
        <f>MIN(IF($AU113=100%,1,1+VLOOKUP(($AJ113-$AI113-$AH113-$AG113-$AF113-$AE113*(1+DK$3))/$AJ113,'Технический лист'!$I:$J,2,1)-VLOOKUP($AO113,'Технический лист'!$I:$J,2,1)),1+(1-$AU113))</f>
        <v/>
      </c>
      <c r="DL113" s="172">
        <f>MIN(IF($AU113=100%,1,1+VLOOKUP(($AJ113-$AI113-$AH113-$AG113-$AF113-$AE113*(1+DL$3))/$AJ113,'Технический лист'!$I:$J,2,1)-VLOOKUP($AO113,'Технический лист'!$I:$J,2,1)),1+(1-$AU113))</f>
        <v/>
      </c>
      <c r="DM113" s="172">
        <f>MIN(IF($AU113=100%,1,1+VLOOKUP(($AJ113-$AI113-$AH113-$AG113-$AF113-$AE113*(1+DM$3))/$AJ113,'Технический лист'!$I:$J,2,1)-VLOOKUP($AO113,'Технический лист'!$I:$J,2,1)),1+(1-$AU113))</f>
        <v/>
      </c>
      <c r="DN113" s="172">
        <f>MIN(IF($AU113=100%,1,1+VLOOKUP(($AJ113-$AI113-$AH113-$AG113-$AF113-$AE113*(1+DN$3))/$AJ113,'Технический лист'!$I:$J,2,1)-VLOOKUP($AO113,'Технический лист'!$I:$J,2,1)),1+(1-$AU113))</f>
        <v/>
      </c>
      <c r="DO113" s="172">
        <f>MIN(IF($AU113=100%,1,1+VLOOKUP(($AJ113-$AI113-$AH113-$AG113-$AF113-$AE113*(1+DO$3))/$AJ113,'Технический лист'!$I:$J,2,1)-VLOOKUP($AO113,'Технический лист'!$I:$J,2,1)),1+(1-$AU113))</f>
        <v/>
      </c>
      <c r="DP113" s="172">
        <f>MIN(IF($AU113=100%,1,1+VLOOKUP(($AJ113-$AI113-$AH113-$AG113-$AF113-$AE113*(1+DP$3))/$AJ113,'Технический лист'!$I:$J,2,1)-VLOOKUP($AO113,'Технический лист'!$I:$J,2,1)),1+(1-$AU113))</f>
        <v/>
      </c>
      <c r="DQ113" s="172">
        <f>MIN(IF($AU113=100%,1,1+VLOOKUP(($AJ113-$AI113-$AH113-$AG113-$AF113-$AE113*(1+DQ$3))/$AJ113,'Технический лист'!$I:$J,2,1)-VLOOKUP($AO113,'Технический лист'!$I:$J,2,1)),1+(1-$AU113))</f>
        <v/>
      </c>
      <c r="DR113" s="172">
        <f>MIN(IF($AU113=100%,1,1+VLOOKUP(($AJ113-$AI113-$AH113-$AG113-$AF113-$AE113*(1+DR$3))/$AJ113,'Технический лист'!$I:$J,2,1)-VLOOKUP($AO113,'Технический лист'!$I:$J,2,1)),1+(1-$AU113))</f>
        <v/>
      </c>
      <c r="DS113" s="172">
        <f>MIN(IF($AU113=100%,1,1+VLOOKUP(($AJ113-$AI113-$AH113-$AG113-$AF113-$AE113*(1+DS$3))/$AJ113,'Технический лист'!$I:$J,2,1)-VLOOKUP($AO113,'Технический лист'!$I:$J,2,1)),1+(1-$AU113))</f>
        <v/>
      </c>
      <c r="DT113" s="172">
        <f>MIN(IF($AU113=100%,1,1+VLOOKUP(($AJ113-$AI113-$AH113-$AG113-$AF113-$AE113*(1+DT$3))/$AJ113,'Технический лист'!$I:$J,2,1)-VLOOKUP($AO113,'Технический лист'!$I:$J,2,1)),1+(1-$AU113))</f>
        <v/>
      </c>
      <c r="DU113" s="172">
        <f>MIN(IF($AU113=100%,1,1+VLOOKUP(($AJ113-$AI113-$AH113-$AG113-$AF113-$AE113*(1+DU$3))/$AJ113,'Технический лист'!$I:$J,2,1)-VLOOKUP($AO113,'Технический лист'!$I:$J,2,1)),1+(1-$AU113))</f>
        <v/>
      </c>
      <c r="DV113" s="172">
        <f>MIN(IF($AU113=100%,1,1+VLOOKUP(($AJ113-$AI113-$AH113-$AG113-$AF113-$AE113*(1+DV$3))/$AJ113,'Технический лист'!$I:$J,2,1)-VLOOKUP($AO113,'Технический лист'!$I:$J,2,1)),1+(1-$AU113))</f>
        <v/>
      </c>
      <c r="DW113" s="172">
        <f>MIN(IF($AU113=100%,1,1+VLOOKUP(($AJ113-$AI113-$AH113-$AG113-$AF113-$AE113*(1+DW$3))/$AJ113,'Технический лист'!$I:$J,2,1)-VLOOKUP($AO113,'Технический лист'!$I:$J,2,1)),1+(1-$AU113))</f>
        <v/>
      </c>
      <c r="DX113" s="172">
        <f>MIN(IF($AU113=100%,1,1+VLOOKUP(($AJ113-$AI113-$AH113-$AG113-$AF113-$AE113*(1+DX$3))/$AJ113,'Технический лист'!$I:$J,2,1)-VLOOKUP($AO113,'Технический лист'!$I:$J,2,1)),1+(1-$AU113))</f>
        <v/>
      </c>
      <c r="DY113" s="172">
        <f>MIN(IF($AU113=100%,1,1+VLOOKUP(($AJ113-$AI113-$AH113-$AG113-$AF113-$AE113*(1+DY$3))/$AJ113,'Технический лист'!$I:$J,2,1)-VLOOKUP($AO113,'Технический лист'!$I:$J,2,1)),1+(1-$AU113))</f>
        <v/>
      </c>
      <c r="DZ113" s="172">
        <f>MIN(IF($AU113=100%,1,1+VLOOKUP(($AJ113-$AI113-$AH113-$AG113-$AF113-$AE113*(1+DZ$3))/$AJ113,'Технический лист'!$I:$J,2,1)-VLOOKUP($AO113,'Технический лист'!$I:$J,2,1)),1+(1-$AU113))</f>
        <v/>
      </c>
      <c r="EA113" s="172">
        <f>MIN(IF($AU113=100%,1,1+VLOOKUP(($AJ113-$AI113-$AH113-$AG113-$AF113-$AE113*(1+EA$3))/$AJ113,'Технический лист'!$I:$J,2,1)-VLOOKUP($AO113,'Технический лист'!$I:$J,2,1)),1+(1-$AU113))</f>
        <v/>
      </c>
      <c r="EB113" s="172">
        <f>MIN(IF($AU113=100%,1,1+VLOOKUP(($AJ113-$AI113-$AH113-$AG113-$AF113-$AE113*(1+EB$3))/$AJ113,'Технический лист'!$I:$J,2,1)-VLOOKUP($AO113,'Технический лист'!$I:$J,2,1)),1+(1-$AU113))</f>
        <v/>
      </c>
      <c r="EC113" s="172">
        <f>MIN(IF($AU113=100%,1,1+VLOOKUP(($AJ113-$AI113-$AH113-$AG113-$AF113-$AE113*(1+EC$3))/$AJ113,'Технический лист'!$I:$J,2,1)-VLOOKUP($AO113,'Технический лист'!$I:$J,2,1)),1+(1-$AU113))</f>
        <v/>
      </c>
      <c r="ED113" s="172">
        <f>MIN(IF($AU113=100%,1,1+VLOOKUP(($AJ113-$AI113-$AH113-$AG113-$AF113-$AE113*(1+ED$3))/$AJ113,'Технический лист'!$I:$J,2,1)-VLOOKUP($AO113,'Технический лист'!$I:$J,2,1)),1+(1-$AU113))</f>
        <v/>
      </c>
      <c r="EE113" s="172">
        <f>MIN(IF($AU113=100%,1,1+VLOOKUP(($AJ113-$AI113-$AH113-$AG113-$AF113-$AE113*(1+EE$3))/$AJ113,'Технический лист'!$I:$J,2,1)-VLOOKUP($AO113,'Технический лист'!$I:$J,2,1)),1+(1-$AU113))</f>
        <v/>
      </c>
      <c r="EF113" s="172">
        <f>MIN(IF($AU113=100%,1,1+VLOOKUP(($AJ113-$AI113-$AH113-$AG113-$AF113-$AE113*(1+EF$3))/$AJ113,'Технический лист'!$I:$J,2,1)-VLOOKUP($AO113,'Технический лист'!$I:$J,2,1)),1+(1-$AU113))</f>
        <v/>
      </c>
      <c r="EG113" s="172">
        <f>MIN(IF($AU113=100%,1,1+VLOOKUP(($AJ113-$AI113-$AH113-$AG113-$AF113-$AE113*(1+EG$3))/$AJ113,'Технический лист'!$I:$J,2,1)-VLOOKUP($AO113,'Технический лист'!$I:$J,2,1)),1+(1-$AU113))</f>
        <v/>
      </c>
      <c r="EH113" s="172">
        <f>MIN(IF($AU113=100%,1,1+VLOOKUP(($AJ113-$AI113-$AH113-$AG113-$AF113-$AE113*(1+EH$3))/$AJ113,'Технический лист'!$I:$J,2,1)-VLOOKUP($AO113,'Технический лист'!$I:$J,2,1)),1+(1-$AU113))</f>
        <v/>
      </c>
      <c r="EI113" s="172">
        <f>MIN(IF($AU113=100%,1,1+VLOOKUP(($AJ113-$AI113-$AH113-$AG113-$AF113-$AE113*(1+EI$3))/$AJ113,'Технический лист'!$I:$J,2,1)-VLOOKUP($AO113,'Технический лист'!$I:$J,2,1)),1+(1-$AU113))</f>
        <v/>
      </c>
      <c r="EJ113" s="172">
        <f>MIN(IF($AU113=100%,1,1+VLOOKUP(($AJ113-$AI113-$AH113-$AG113-$AF113-$AE113*(1+EJ$3))/$AJ113,'Технический лист'!$I:$J,2,1)-VLOOKUP($AO113,'Технический лист'!$I:$J,2,1)),1+(1-$AU113))</f>
        <v/>
      </c>
      <c r="EK113" s="172">
        <f>MIN(IF($AU113=100%,1,1+VLOOKUP(($AJ113-$AI113-$AH113-$AG113-$AF113-$AE113*(1+EK$3))/$AJ113,'Технический лист'!$I:$J,2,1)-VLOOKUP($AO113,'Технический лист'!$I:$J,2,1)),1+(1-$AU113))</f>
        <v/>
      </c>
      <c r="EL113" s="172">
        <f>MIN(IF($AU113=100%,1,1+VLOOKUP(($AJ113-$AI113-$AH113-$AG113-$AF113-$AE113*(1+EL$3))/$AJ113,'Технический лист'!$I:$J,2,1)-VLOOKUP($AO113,'Технический лист'!$I:$J,2,1)),1+(1-$AU113))</f>
        <v/>
      </c>
      <c r="EM113" s="172">
        <f>MIN(IF($AU113=100%,1,1+VLOOKUP(($AJ113-$AI113-$AH113-$AG113-$AF113-$AE113*(1+EM$3))/$AJ113,'Технический лист'!$I:$J,2,1)-VLOOKUP($AO113,'Технический лист'!$I:$J,2,1)),1+(1-$AU113))</f>
        <v/>
      </c>
      <c r="EN113" s="172">
        <f>MIN(IF($AU113=100%,1,1+VLOOKUP(($AJ113-$AI113-$AH113-$AG113-$AF113-$AE113*(1+EN$3))/$AJ113,'Технический лист'!$I:$J,2,1)-VLOOKUP($AO113,'Технический лист'!$I:$J,2,1)),1+(1-$AU113))</f>
        <v/>
      </c>
      <c r="EO113" s="172">
        <f>MIN(IF($AU113=100%,1,1+VLOOKUP(($AJ113-$AI113-$AH113-$AG113-$AF113-$AE113*(1+EO$3))/$AJ113,'Технический лист'!$I:$J,2,1)-VLOOKUP($AO113,'Технический лист'!$I:$J,2,1)),1+(1-$AU113))</f>
        <v/>
      </c>
      <c r="EP113" s="172">
        <f>MIN(IF($AU113=100%,1,1+VLOOKUP(($AJ113-$AI113-$AH113-$AG113-$AF113-$AE113*(1+EP$3))/$AJ113,'Технический лист'!$I:$J,2,1)-VLOOKUP($AO113,'Технический лист'!$I:$J,2,1)),1+(1-$AU113))</f>
        <v/>
      </c>
      <c r="EQ113" s="172">
        <f>MIN(IF($AU113=100%,1,1+VLOOKUP(($AJ113-$AI113-$AH113-$AG113-$AF113-$AE113*(1+EQ$3))/$AJ113,'Технический лист'!$I:$J,2,1)-VLOOKUP($AO113,'Технический лист'!$I:$J,2,1)),1+(1-$AU113))</f>
        <v/>
      </c>
      <c r="ER113" s="172">
        <f>MIN(IF($AU113=100%,1,1+VLOOKUP(($AJ113-$AI113-$AH113-$AG113-$AF113-$AE113*(1+ER$3))/$AJ113,'Технический лист'!$I:$J,2,1)-VLOOKUP($AO113,'Технический лист'!$I:$J,2,1)),1+(1-$AU113))</f>
        <v/>
      </c>
      <c r="ES113" s="172">
        <f>MIN(IF($AU113=100%,1,1+VLOOKUP(($AJ113-$AI113-$AH113-$AG113-$AF113-$AE113*(1+ES$3))/$AJ113,'Технический лист'!$I:$J,2,1)-VLOOKUP($AO113,'Технический лист'!$I:$J,2,1)),1+(1-$AU113))</f>
        <v/>
      </c>
      <c r="ET113" s="172">
        <f>MIN(IF($AU113=100%,1,1+VLOOKUP(($AJ113-$AI113-$AH113-$AG113-$AF113-$AE113*(1+ET$3))/$AJ113,'Технический лист'!$I:$J,2,1)-VLOOKUP($AO113,'Технический лист'!$I:$J,2,1)),1+(1-$AU113))</f>
        <v/>
      </c>
      <c r="EU113" s="172">
        <f>MIN(IF($AU113=100%,1,1+VLOOKUP(($AJ113-$AI113-$AH113-$AG113-$AF113-$AE113*(1+EU$3))/$AJ113,'Технический лист'!$I:$J,2,1)-VLOOKUP($AO113,'Технический лист'!$I:$J,2,1)),1+(1-$AU113))</f>
        <v/>
      </c>
      <c r="EV113" s="173" t="n">
        <v>1</v>
      </c>
      <c r="EW113" s="172">
        <f>MIN(1,MAX(VLOOKUP(($AJ113-$AI113-$AH113-$AG113-$AF113-$AE113*(1+EW$3))/$AJ113,'Технический лист'!$A:$B,2,1),(EV113-0.05)))</f>
        <v/>
      </c>
      <c r="EX113" s="172">
        <f>MIN(1,MAX(VLOOKUP(($AJ113-$AI113-$AH113-$AG113-$AF113-$AE113*(1+EX$3))/$AJ113,'Технический лист'!$A:$B,2,1),(EW113-0.05)))</f>
        <v/>
      </c>
      <c r="EY113" s="172">
        <f>MIN(1,MAX(VLOOKUP(($AJ113-$AI113-$AH113-$AG113-$AF113-$AE113*(1+EY$3))/$AJ113,'Технический лист'!$A:$B,2,1),(EX113-0.05)))</f>
        <v/>
      </c>
      <c r="EZ113" s="172">
        <f>MIN(1,MAX(VLOOKUP(($AJ113-$AI113-$AH113-$AG113-$AF113-$AE113*(1+EZ$3))/$AJ113,'Технический лист'!$A:$B,2,1),(EY113-0.05)))</f>
        <v/>
      </c>
      <c r="FA113" s="172">
        <f>MIN(1,MAX(VLOOKUP(($AJ113-$AI113-$AH113-$AG113-$AF113-$AE113*(1+FA$3))/$AJ113,'Технический лист'!$A:$B,2,1),(EZ113-0.05)))</f>
        <v/>
      </c>
      <c r="FB113" s="172">
        <f>MIN(1,MAX(VLOOKUP(($AJ113-$AI113-$AH113-$AG113-$AF113-$AE113*(1+FB$3))/$AJ113,'Технический лист'!$A:$B,2,1),(FA113-0.05)))</f>
        <v/>
      </c>
      <c r="FC113" s="172">
        <f>MIN(1,MAX(VLOOKUP(($AJ113-$AI113-$AH113-$AG113-$AF113-$AE113*(1+FC$3))/$AJ113,'Технический лист'!$A:$B,2,1),(FB113-0.05)))</f>
        <v/>
      </c>
      <c r="FD113" s="172">
        <f>MIN(1,MAX(VLOOKUP(($AJ113-$AI113-$AH113-$AG113-$AF113-$AE113*(1+FD$3))/$AJ113,'Технический лист'!$A:$B,2,1),(FC113-0.05)))</f>
        <v/>
      </c>
      <c r="FE113" s="172">
        <f>MIN(1,MAX(VLOOKUP(($AJ113-$AI113-$AH113-$AG113-$AF113-$AE113*(1+FE$3))/$AJ113,'Технический лист'!$A:$B,2,1),(FD113-0.05)))</f>
        <v/>
      </c>
      <c r="FF113" s="172">
        <f>MIN(1,MAX(VLOOKUP(($AJ113-$AI113-$AH113-$AG113-$AF113-$AE113*(1+FF$3))/$AJ113,'Технический лист'!$A:$B,2,1),(FE113-0.05)))</f>
        <v/>
      </c>
      <c r="FG113" s="172">
        <f>MIN(1,MAX(VLOOKUP(($AJ113-$AI113-$AH113-$AG113-$AF113-$AE113*(1+FG$3))/$AJ113,'Технический лист'!$A:$B,2,1),(FF113-0.05)))</f>
        <v/>
      </c>
      <c r="FH113" s="172">
        <f>MIN(1,MAX(VLOOKUP(($AJ113-$AI113-$AH113-$AG113-$AF113-$AE113*(1+FH$3))/$AJ113,'Технический лист'!$A:$B,2,1),(FG113-0.05)))</f>
        <v/>
      </c>
      <c r="FI113" s="172">
        <f>MIN(1,MAX(VLOOKUP(($AJ113-$AI113-$AH113-$AG113-$AF113-$AE113*(1+FI$3))/$AJ113,'Технический лист'!$A:$B,2,1),(FH113-0.05)))</f>
        <v/>
      </c>
      <c r="FJ113" s="172">
        <f>MIN(1,MAX(VLOOKUP(($AJ113-$AI113-$AH113-$AG113-$AF113-$AE113*(1+FJ$3))/$AJ113,'Технический лист'!$A:$B,2,1),(FI113-0.05)))</f>
        <v/>
      </c>
      <c r="FK113" s="172">
        <f>MIN(1,MAX(VLOOKUP(($AJ113-$AI113-$AH113-$AG113-$AF113-$AE113*(1+FK$3))/$AJ113,'Технический лист'!$A:$B,2,1),(FJ113-0.05)))</f>
        <v/>
      </c>
      <c r="FL113" s="172">
        <f>MIN(1,MAX(VLOOKUP(($AJ113-$AI113-$AH113-$AG113-$AF113-$AE113*(1+FL$3))/$AJ113,'Технический лист'!$A:$B,2,1),(FK113-0.05)))</f>
        <v/>
      </c>
      <c r="FM113" s="172">
        <f>MIN(1,MAX(VLOOKUP(($AJ113-$AI113-$AH113-$AG113-$AF113-$AE113*(1+FM$3))/$AJ113,'Технический лист'!$A:$B,2,1),(FL113-0.05)))</f>
        <v/>
      </c>
      <c r="FN113" s="172">
        <f>MIN(1,MAX(VLOOKUP(($AJ113-$AI113-$AH113-$AG113-$AF113-$AE113*(1+FN$3))/$AJ113,'Технический лист'!$A:$B,2,1),(FM113-0.05)))</f>
        <v/>
      </c>
      <c r="FO113" s="172">
        <f>MIN(1,MAX(VLOOKUP(($AJ113-$AI113-$AH113-$AG113-$AF113-$AE113*(1+FO$3))/$AJ113,'Технический лист'!$A:$B,2,1),(FN113-0.05)))</f>
        <v/>
      </c>
      <c r="FP113" s="172">
        <f>MIN(1,MAX(VLOOKUP(($AJ113-$AI113-$AH113-$AG113-$AF113-$AE113*(1+FP$3))/$AJ113,'Технический лист'!$A:$B,2,1),(FO113-0.05)))</f>
        <v/>
      </c>
      <c r="FQ113" s="172">
        <f>MIN(1,MAX(VLOOKUP(($AJ113-$AI113-$AH113-$AG113-$AF113-$AE113*(1+FQ$3))/$AJ113,'Технический лист'!$A:$B,2,1),(FP113-0.05)))</f>
        <v/>
      </c>
      <c r="FR113" s="172">
        <f>MIN(1,MAX(VLOOKUP(($AJ113-$AI113-$AH113-$AG113-$AF113-$AE113*(1+FR$3))/$AJ113,'Технический лист'!$A:$B,2,1),(FQ113-0.05)))</f>
        <v/>
      </c>
      <c r="FS113" s="172">
        <f>MIN(1,MAX(VLOOKUP(($AJ113-$AI113-$AH113-$AG113-$AF113-$AE113*(1+FS$3))/$AJ113,'Технический лист'!$A:$B,2,1),(FR113-0.05)))</f>
        <v/>
      </c>
      <c r="FT113" s="172">
        <f>MIN(1,MAX(VLOOKUP(($AJ113-$AI113-$AH113-$AG113-$AF113-$AE113*(1+FT$3))/$AJ113,'Технический лист'!$A:$B,2,1),(FS113-0.05)))</f>
        <v/>
      </c>
      <c r="FU113" s="172">
        <f>MIN(1,MAX(VLOOKUP(($AJ113-$AI113-$AH113-$AG113-$AF113-$AE113*(1+FU$3))/$AJ113,'Технический лист'!$A:$B,2,1),(FT113-0.05)))</f>
        <v/>
      </c>
      <c r="FV113" s="172">
        <f>MIN(1,MAX(VLOOKUP(($AJ113-$AI113-$AH113-$AG113-$AF113-$AE113*(1+FV$3))/$AJ113,'Технический лист'!$A:$B,2,1),(FU113-0.05)))</f>
        <v/>
      </c>
      <c r="FW113" s="172">
        <f>MIN(1,MAX(VLOOKUP(($AJ113-$AI113-$AH113-$AG113-$AF113-$AE113*(1+FW$3))/$AJ113,'Технический лист'!$A:$B,2,1),(FV113-0.05)))</f>
        <v/>
      </c>
      <c r="FX113" s="172">
        <f>MIN(1,MAX(VLOOKUP(($AJ113-$AI113-$AH113-$AG113-$AF113-$AE113*(1+FX$3))/$AJ113,'Технический лист'!$A:$B,2,1),(FW113-0.05)))</f>
        <v/>
      </c>
      <c r="FY113" s="172">
        <f>MIN(1,MAX(VLOOKUP(($AJ113-$AI113-$AH113-$AG113-$AF113-$AE113*(1+FY$3))/$AJ113,'Технический лист'!$A:$B,2,1),(FX113-0.05)))</f>
        <v/>
      </c>
      <c r="FZ113" s="172">
        <f>MIN(1,MAX(VLOOKUP(($AJ113-$AI113-$AH113-$AG113-$AF113-$AE113*(1+FZ$3))/$AJ113,'Технический лист'!$A:$B,2,1),(FY113-0.05)))</f>
        <v/>
      </c>
      <c r="GA113" s="172">
        <f>MIN(1,MAX(VLOOKUP(($AJ113-$AI113-$AH113-$AG113-$AF113-$AE113*(1+GA$3))/$AJ113,'Технический лист'!$A:$B,2,1),(FZ113-0.05)))</f>
        <v/>
      </c>
      <c r="GB113" s="172">
        <f>MIN(1,MAX(VLOOKUP(($AJ113-$AI113-$AH113-$AG113-$AF113-$AE113*(1+GB$3))/$AJ113,'Технический лист'!$A:$B,2,1),(GA113-0.05)))</f>
        <v/>
      </c>
      <c r="GC113" s="172">
        <f>MIN(1,MAX(VLOOKUP(($AJ113-$AI113-$AH113-$AG113-$AF113-$AE113*(1+GC$3))/$AJ113,'Технический лист'!$A:$B,2,1),(GB113-0.05)))</f>
        <v/>
      </c>
      <c r="GD113" s="172">
        <f>MIN(1,MAX(VLOOKUP(($AJ113-$AI113-$AH113-$AG113-$AF113-$AE113*(1+GD$3))/$AJ113,'Технический лист'!$A:$B,2,1),(GC113-0.05)))</f>
        <v/>
      </c>
      <c r="GE113" s="172">
        <f>MIN(1,MAX(VLOOKUP(($AJ113-$AI113-$AH113-$AG113-$AF113-$AE113*(1+GE$3))/$AJ113,'Технический лист'!$A:$B,2,1),(GD113-0.05)))</f>
        <v/>
      </c>
      <c r="GF113" s="172">
        <f>MIN(1,MAX(VLOOKUP(($AJ113-$AI113-$AH113-$AG113-$AF113-$AE113*(1+GF$3))/$AJ113,'Технический лист'!$A:$B,2,1),(GE113-0.05)))</f>
        <v/>
      </c>
      <c r="GG113" s="172">
        <f>MIN(1,MAX(VLOOKUP(($AJ113-$AI113-$AH113-$AG113-$AF113-$AE113*(1+GG$3))/$AJ113,'Технический лист'!$A:$B,2,1),(GF113-0.05)))</f>
        <v/>
      </c>
      <c r="GH113" s="172">
        <f>MIN(1,MAX(VLOOKUP(($AJ113-$AI113-$AH113-$AG113-$AF113-$AE113*(1+GH$3))/$AJ113,'Технический лист'!$A:$B,2,1),(GG113-0.05)))</f>
        <v/>
      </c>
      <c r="GI113" s="172">
        <f>MIN(1,MAX(VLOOKUP(($AJ113-$AI113-$AH113-$AG113-$AF113-$AE113*(1+GI$3))/$AJ113,'Технический лист'!$A:$B,2,1),(GH113-0.05)))</f>
        <v/>
      </c>
      <c r="GJ113" s="172">
        <f>MIN(1,MAX(VLOOKUP(($AJ113-$AI113-$AH113-$AG113-$AF113-$AE113*(1+GJ$3))/$AJ113,'Технический лист'!$A:$B,2,1),(GI113-0.05)))</f>
        <v/>
      </c>
      <c r="GK113" s="172">
        <f>MIN(1,MAX(VLOOKUP(($AJ113-$AI113-$AH113-$AG113-$AF113-$AE113*(1+GK$3))/$AJ113,'Технический лист'!$A:$B,2,1),(GJ113-0.05)))</f>
        <v/>
      </c>
      <c r="GL113" s="172">
        <f>MIN(1,MAX(VLOOKUP(($AJ113-$AI113-$AH113-$AG113-$AF113-$AE113*(1+GL$3))/$AJ113,'Технический лист'!$A:$B,2,1),(GK113-0.05)))</f>
        <v/>
      </c>
      <c r="GM113" s="172">
        <f>MIN(1,MAX(VLOOKUP(($AJ113-$AI113-$AH113-$AG113-$AF113-$AE113*(1+GM$3))/$AJ113,'Технический лист'!$A:$B,2,1),(GL113-0.05)))</f>
        <v/>
      </c>
      <c r="GN113" s="172">
        <f>MIN(1,MAX(VLOOKUP(($AJ113-$AI113-$AH113-$AG113-$AF113-$AE113*(1+GN$3))/$AJ113,'Технический лист'!$A:$B,2,1),(GM113-0.05)))</f>
        <v/>
      </c>
      <c r="GO113" s="172">
        <f>MIN(1,MAX(VLOOKUP(($AJ113-$AI113-$AH113-$AG113-$AF113-$AE113*(1+GO$3))/$AJ113,'Технический лист'!$A:$B,2,1),(GN113-0.05)))</f>
        <v/>
      </c>
      <c r="GP113" s="172">
        <f>MIN(1,MAX(VLOOKUP(($AJ113-$AI113-$AH113-$AG113-$AF113-$AE113*(1+GP$3))/$AJ113,'Технический лист'!$A:$B,2,1),(GO113-0.05)))</f>
        <v/>
      </c>
      <c r="GQ113" s="172">
        <f>MIN(1,MAX(VLOOKUP(($AJ113-$AI113-$AH113-$AG113-$AF113-$AE113*(1+GQ$3))/$AJ113,'Технический лист'!$A:$B,2,1),(GP113-0.05)))</f>
        <v/>
      </c>
      <c r="GR113" s="172">
        <f>MIN(1,MAX(VLOOKUP(($AJ113-$AI113-$AH113-$AG113-$AF113-$AE113*(1+GR$3))/$AJ113,'Технический лист'!$A:$B,2,1),(GQ113-0.05)))</f>
        <v/>
      </c>
      <c r="GS113" s="172">
        <f>MIN(1,MAX(VLOOKUP(($AJ113-$AI113-$AH113-$AG113-$AF113-$AE113*(1+GS$3))/$AJ113,'Технический лист'!$A:$B,2,1),(GR113-0.05)))</f>
        <v/>
      </c>
      <c r="GT113" s="172">
        <f>MIN(1,MAX(VLOOKUP(($AJ113-$AI113-$AH113-$AG113-$AF113-$AE113*(1+GT$3))/$AJ113,'Технический лист'!$A:$B,2,1),(GS113-0.05)))</f>
        <v/>
      </c>
      <c r="GU113" s="172">
        <f>MIN(1,MAX(VLOOKUP(($AJ113-$AI113-$AH113-$AG113-$AF113-$AE113*(1+GU$3))/$AJ113,'Технический лист'!$A:$B,2,1),(GT113-0.05)))</f>
        <v/>
      </c>
      <c r="GV113" s="172">
        <f>MIN(1,MAX(VLOOKUP(($AJ113-$AI113-$AH113-$AG113-$AF113-$AE113*(1+GV$3))/$AJ113,'Технический лист'!$A:$B,2,1),(GU113-0.05)))</f>
        <v/>
      </c>
      <c r="GW113" s="172">
        <f>MIN(1,MAX(VLOOKUP(($AJ113-$AI113-$AH113-$AG113-$AF113-$AE113*(1+GW$3))/$AJ113,'Технический лист'!$A:$B,2,1),(GV113-0.05)))</f>
        <v/>
      </c>
      <c r="GX113" s="172">
        <f>MIN(1,MAX(VLOOKUP(($AJ113-$AI113-$AH113-$AG113-$AF113-$AE113*(1+GX$3))/$AJ113,'Технический лист'!$A:$B,2,1),(GW113-0.05)))</f>
        <v/>
      </c>
      <c r="GY113" s="172">
        <f>MIN(1,MAX(VLOOKUP(($AJ113-$AI113-$AH113-$AG113-$AF113-$AE113*(1+GY$3))/$AJ113,'Технический лист'!$A:$B,2,1),(GX113-0.05)))</f>
        <v/>
      </c>
      <c r="GZ113" s="172">
        <f>MIN(1,MAX(VLOOKUP(($AJ113-$AI113-$AH113-$AG113-$AF113-$AE113*(1+GZ$3))/$AJ113,'Технический лист'!$A:$B,2,1),(GY113-0.05)))</f>
        <v/>
      </c>
      <c r="HA113" s="172">
        <f>MIN(1,MAX(VLOOKUP(($AJ113-$AI113-$AH113-$AG113-$AF113-$AE113*(1+HA$3))/$AJ113,'Технический лист'!$A:$B,2,1),(GZ113-0.05)))</f>
        <v/>
      </c>
      <c r="HB113" s="172">
        <f>MIN(1,MAX(VLOOKUP(($AJ113-$AI113-$AH113-$AG113-$AF113-$AE113*(1+HB$3))/$AJ113,'Технический лист'!$A:$B,2,1),(HA113-0.05)))</f>
        <v/>
      </c>
      <c r="HC113" s="172">
        <f>MIN(1,MAX(VLOOKUP(($AJ113-$AI113-$AH113-$AG113-$AF113-$AE113*(1+HC$3))/$AJ113,'Технический лист'!$A:$B,2,1),(HB113-0.05)))</f>
        <v/>
      </c>
      <c r="HD113" s="172">
        <f>MIN(1,MAX(VLOOKUP(($AJ113-$AI113-$AH113-$AG113-$AF113-$AE113*(1+HD$3))/$AJ113,'Технический лист'!$A:$B,2,1),(HC113-0.05)))</f>
        <v/>
      </c>
      <c r="HE113" s="172">
        <f>MIN(1,MAX(VLOOKUP(($AJ113-$AI113-$AH113-$AG113-$AF113-$AE113*(1+HE$3))/$AJ113,'Технический лист'!$A:$B,2,1),(HD113-0.05)))</f>
        <v/>
      </c>
      <c r="HF113" s="172">
        <f>MIN(1,MAX(VLOOKUP(($AJ113-$AI113-$AH113-$AG113-$AF113-$AE113*(1+HF$3))/$AJ113,'Технический лист'!$A:$B,2,1),(HE113-0.05)))</f>
        <v/>
      </c>
      <c r="HG113" s="172">
        <f>MIN(1,MAX(VLOOKUP(($AJ113-$AI113-$AH113-$AG113-$AF113-$AE113*(1+HG$3))/$AJ113,'Технический лист'!$A:$B,2,1),(HF113-0.05)))</f>
        <v/>
      </c>
      <c r="HH113" s="172">
        <f>MIN(1,MAX(VLOOKUP(($AJ113-$AI113-$AH113-$AG113-$AF113-$AE113*(1+HH$3))/$AJ113,'Технический лист'!$A:$B,2,1),(HG113-0.05)))</f>
        <v/>
      </c>
      <c r="HI113" s="172">
        <f>MIN(1,MAX(VLOOKUP(($AJ113-$AI113-$AH113-$AG113-$AF113-$AE113*(1+HI$3))/$AJ113,'Технический лист'!$A:$B,2,1),(HH113-0.05)))</f>
        <v/>
      </c>
      <c r="HJ113" s="172">
        <f>MIN(1,MAX(VLOOKUP(($AJ113-$AI113-$AH113-$AG113-$AF113-$AE113*(1+HJ$3))/$AJ113,'Технический лист'!$A:$B,2,1),(HI113-0.05)))</f>
        <v/>
      </c>
      <c r="HK113" s="172">
        <f>MIN(1,MAX(VLOOKUP(($AJ113-$AI113-$AH113-$AG113-$AF113-$AE113*(1+HK$3))/$AJ113,'Технический лист'!$A:$B,2,1),(HJ113-0.05)))</f>
        <v/>
      </c>
      <c r="HL113" s="172">
        <f>MIN(1,MAX(VLOOKUP(($AJ113-$AI113-$AH113-$AG113-$AF113-$AE113*(1+HL$3))/$AJ113,'Технический лист'!$A:$B,2,1),(HK113-0.05)))</f>
        <v/>
      </c>
      <c r="HM113" s="172">
        <f>MIN(1,MAX(VLOOKUP(($AJ113-$AI113-$AH113-$AG113-$AF113-$AE113*(1+HM$3))/$AJ113,'Технический лист'!$A:$B,2,1),(HL113-0.05)))</f>
        <v/>
      </c>
      <c r="HN113" s="172">
        <f>MIN(1,MAX(VLOOKUP(($AJ113-$AI113-$AH113-$AG113-$AF113-$AE113*(1+HN$3))/$AJ113,'Технический лист'!$A:$B,2,1),(HM113-0.05)))</f>
        <v/>
      </c>
      <c r="HO113" s="172">
        <f>MIN(1,MAX(VLOOKUP(($AJ113-$AI113-$AH113-$AG113-$AF113-$AE113*(1+HO$3))/$AJ113,'Технический лист'!$A:$B,2,1),(HN113-0.05)))</f>
        <v/>
      </c>
      <c r="HP113" s="172">
        <f>MIN(1,MAX(VLOOKUP(($AJ113-$AI113-$AH113-$AG113-$AF113-$AE113*(1+HP$3))/$AJ113,'Технический лист'!$A:$B,2,1),(HO113-0.05)))</f>
        <v/>
      </c>
      <c r="HQ113" s="172">
        <f>MIN(1,MAX(VLOOKUP(($AJ113-$AI113-$AH113-$AG113-$AF113-$AE113*(1+HQ$3))/$AJ113,'Технический лист'!$A:$B,2,1),(HP113-0.05)))</f>
        <v/>
      </c>
      <c r="HR113" s="172">
        <f>MIN(1,MAX(VLOOKUP(($AJ113-$AI113-$AH113-$AG113-$AF113-$AE113*(1+HR$3))/$AJ113,'Технический лист'!$A:$B,2,1),(HQ113-0.05)))</f>
        <v/>
      </c>
      <c r="HS113" s="172">
        <f>MIN(1,MAX(VLOOKUP(($AJ113-$AI113-$AH113-$AG113-$AF113-$AE113*(1+HS$3))/$AJ113,'Технический лист'!$A:$B,2,1),(HR113-0.05)))</f>
        <v/>
      </c>
      <c r="HT113" s="172">
        <f>MIN(1,MAX(VLOOKUP(($AJ113-$AI113-$AH113-$AG113-$AF113-$AE113*(1+HT$3))/$AJ113,'Технический лист'!$A:$B,2,1),(HS113-0.05)))</f>
        <v/>
      </c>
      <c r="HU113" s="172">
        <f>MIN(1,MAX(VLOOKUP(($AJ113-$AI113-$AH113-$AG113-$AF113-$AE113*(1+HU$3))/$AJ113,'Технический лист'!$A:$B,2,1),(HT113-0.05)))</f>
        <v/>
      </c>
      <c r="HV113" s="172">
        <f>MIN(1,MAX(VLOOKUP(($AJ113-$AI113-$AH113-$AG113-$AF113-$AE113*(1+HV$3))/$AJ113,'Технический лист'!$A:$B,2,1),(HU113-0.05)))</f>
        <v/>
      </c>
      <c r="HW113" s="172">
        <f>MIN(1,MAX(VLOOKUP(($AJ113-$AI113-$AH113-$AG113-$AF113-$AE113*(1+HW$3))/$AJ113,'Технический лист'!$A:$B,2,1),(HV113-0.05)))</f>
        <v/>
      </c>
      <c r="HX113" s="172">
        <f>MIN(1,MAX(VLOOKUP(($AJ113-$AI113-$AH113-$AG113-$AF113-$AE113*(1+HX$3))/$AJ113,'Технический лист'!$A:$B,2,1),(HW113-0.05)))</f>
        <v/>
      </c>
      <c r="HY113" s="172">
        <f>MIN(1,MAX(VLOOKUP(($AJ113-$AI113-$AH113-$AG113-$AF113-$AE113*(1+HY$3))/$AJ113,'Технический лист'!$A:$B,2,1),(HX113-0.05)))</f>
        <v/>
      </c>
      <c r="HZ113" s="172">
        <f>MIN(1,MAX(VLOOKUP(($AJ113-$AI113-$AH113-$AG113-$AF113-$AE113*(1+HZ$3))/$AJ113,'Технический лист'!$A:$B,2,1),(HY113-0.05)))</f>
        <v/>
      </c>
      <c r="IA113" s="172">
        <f>MIN(1,MAX(VLOOKUP(($AJ113-$AI113-$AH113-$AG113-$AF113-$AE113*(1+IA$3))/$AJ113,'Технический лист'!$A:$B,2,1),(HZ113-0.05)))</f>
        <v/>
      </c>
      <c r="IB113" s="172">
        <f>MIN(1,MAX(VLOOKUP(($AJ113-$AI113-$AH113-$AG113-$AF113-$AE113*(1+IB$3))/$AJ113,'Технический лист'!$A:$B,2,1),(IA113-0.05)))</f>
        <v/>
      </c>
      <c r="IC113" s="172">
        <f>MIN(1,MAX(VLOOKUP(($AJ113-$AI113-$AH113-$AG113-$AF113-$AE113*(1+IC$3))/$AJ113,'Технический лист'!$A:$B,2,1),(IB113-0.05)))</f>
        <v/>
      </c>
      <c r="ID113" s="172">
        <f>MIN(1,MAX(VLOOKUP(($AJ113-$AI113-$AH113-$AG113-$AF113-$AE113*(1+ID$3))/$AJ113,'Технический лист'!$A:$B,2,1),(IC113-0.05)))</f>
        <v/>
      </c>
      <c r="IE113" s="172">
        <f>MIN(1,MAX(VLOOKUP(($AJ113-$AI113-$AH113-$AG113-$AF113-$AE113*(1+IE$3))/$AJ113,'Технический лист'!$A:$B,2,1),(ID113-0.05)))</f>
        <v/>
      </c>
      <c r="IF113" s="172">
        <f>MIN(1,MAX(VLOOKUP(($AJ113-$AI113-$AH113-$AG113-$AF113-$AE113*(1+IF$3))/$AJ113,'Технический лист'!$A:$B,2,1),(IE113-0.05)))</f>
        <v/>
      </c>
      <c r="IG113" s="172">
        <f>MIN(1,MAX(VLOOKUP(($AJ113-$AI113-$AH113-$AG113-$AF113-$AE113*(1+IG$3))/$AJ113,'Технический лист'!$A:$B,2,1),(IF113-0.05)))</f>
        <v/>
      </c>
      <c r="IH113" s="172">
        <f>MIN(1,MAX(VLOOKUP(($AJ113-$AI113-$AH113-$AG113-$AF113-$AE113*(1+IH$3))/$AJ113,'Технический лист'!$A:$B,2,1),(IG113-0.05)))</f>
        <v/>
      </c>
      <c r="II113" s="172">
        <f>MIN(1,MAX(VLOOKUP(($AJ113-$AI113-$AH113-$AG113-$AF113-$AE113*(1+II$3))/$AJ113,'Технический лист'!$A:$B,2,1),(IH113-0.05)))</f>
        <v/>
      </c>
      <c r="IJ113" s="172">
        <f>MIN(1,MAX(VLOOKUP(($AJ113-$AI113-$AH113-$AG113-$AF113-$AE113*(1+IJ$3))/$AJ113,'Технический лист'!$A:$B,2,1),(II113-0.05)))</f>
        <v/>
      </c>
      <c r="IK113" s="172">
        <f>MIN(1,MAX(VLOOKUP(($AJ113-$AI113-$AH113-$AG113-$AF113-$AE113*(1+IK$3))/$AJ113,'Технический лист'!$A:$B,2,1),(IJ113-0.05)))</f>
        <v/>
      </c>
      <c r="IL113" s="172">
        <f>MIN(1,MAX(VLOOKUP(($AJ113-$AI113-$AH113-$AG113-$AF113-$AE113*(1+IL$3))/$AJ113,'Технический лист'!$A:$B,2,1),(IK113-0.05)))</f>
        <v/>
      </c>
      <c r="IM113" s="172">
        <f>MIN(1,MAX(VLOOKUP(($AJ113-$AI113-$AH113-$AG113-$AF113-$AE113*(1+IM$3))/$AJ113,'Технический лист'!$A:$B,2,1),(IL113-0.05)))</f>
        <v/>
      </c>
      <c r="IN113" s="172">
        <f>MIN(1,MAX(VLOOKUP(($AJ113-$AI113-$AH113-$AG113-$AF113-$AE113*(1+IN$3))/$AJ113,'Технический лист'!$A:$B,2,1),(IM113-0.05)))</f>
        <v/>
      </c>
      <c r="IO113" s="172">
        <f>MIN(1,MAX(VLOOKUP(($AJ113-$AI113-$AH113-$AG113-$AF113-$AE113*(1+IO$3))/$AJ113,'Технический лист'!$A:$B,2,1),(IN113-0.05)))</f>
        <v/>
      </c>
      <c r="IP113" s="172">
        <f>MIN(1,MAX(VLOOKUP(($AJ113-$AI113-$AH113-$AG113-$AF113-$AE113*(1+IP$3))/$AJ113,'Технический лист'!$A:$B,2,1),(IO113-0.05)))</f>
        <v/>
      </c>
      <c r="IQ113" s="172">
        <f>MIN(1,MAX(VLOOKUP(($AJ113-$AI113-$AH113-$AG113-$AF113-$AE113*(1+IQ$3))/$AJ113,'Технический лист'!$A:$B,2,1),(IP113-0.05)))</f>
        <v/>
      </c>
      <c r="IR113" s="172">
        <f>MIN(1,MAX(VLOOKUP(($AJ113-$AI113-$AH113-$AG113-$AF113-$AE113*(1+IR$3))/$AJ113,'Технический лист'!$A:$B,2,1),(IQ113-0.05)))</f>
        <v/>
      </c>
    </row>
    <row r="114" ht="29.15" customHeight="1" s="123">
      <c r="A114" s="89" t="inlineStr">
        <is>
          <t>ЧМ (продукция)</t>
        </is>
      </c>
      <c r="B114" s="90" t="n">
        <v>5</v>
      </c>
      <c r="C114" s="5" t="inlineStr">
        <is>
          <t>Черные металлы</t>
        </is>
      </c>
      <c r="D114" s="91" t="n">
        <v>31407</v>
      </c>
      <c r="E114" s="91" t="inlineStr">
        <is>
          <t xml:space="preserve">Слябы (заготовки стальные) </t>
        </is>
      </c>
      <c r="F114" s="92" t="inlineStr">
        <is>
          <t>ЗАГОТОВКИ СТАЛЬНЫЕ</t>
        </is>
      </c>
      <c r="G114" s="91" t="inlineStr">
        <is>
          <t>ЮВС</t>
        </is>
      </c>
      <c r="H114" s="91" t="inlineStr">
        <is>
          <t>ОКТ</t>
        </is>
      </c>
      <c r="I114" s="91" t="inlineStr">
        <is>
          <t>НОВОЛИПЕЦК</t>
        </is>
      </c>
      <c r="J114" s="91" t="inlineStr">
        <is>
          <t>НОВ.ПОРТ-ЭКС</t>
        </is>
      </c>
      <c r="K114" s="91" t="n">
        <v>1530</v>
      </c>
      <c r="L114" s="91" t="inlineStr">
        <is>
          <t>Полувагоны</t>
        </is>
      </c>
      <c r="M114" s="91" t="inlineStr">
        <is>
          <t>Экспорт</t>
        </is>
      </c>
      <c r="N114" s="91" t="inlineStr">
        <is>
          <t>вагонная</t>
        </is>
      </c>
      <c r="O114" s="91" t="inlineStr">
        <is>
          <t xml:space="preserve">Северо-Западное </t>
        </is>
      </c>
      <c r="P114" s="89" t="inlineStr">
        <is>
          <t>'000005757665</t>
        </is>
      </c>
      <c r="Q114" s="91" t="inlineStr">
        <is>
          <t>'ПАО "НЛМК"</t>
        </is>
      </c>
      <c r="R114" s="91" t="inlineStr">
        <is>
          <t>ПАО "НЛМК"</t>
        </is>
      </c>
      <c r="S114" s="87" t="n">
        <v>2427355</v>
      </c>
      <c r="T114" s="87" t="n">
        <v>3714470003</v>
      </c>
      <c r="U114" s="88" t="n">
        <v>37995</v>
      </c>
      <c r="V114" s="88" t="n">
        <v>0</v>
      </c>
      <c r="W114" s="87" t="n">
        <v>7034422978</v>
      </c>
      <c r="X114" s="112" t="n">
        <v>66</v>
      </c>
      <c r="Y114" s="112" t="inlineStr">
        <is>
          <t>маршрутная</t>
        </is>
      </c>
      <c r="Z114" s="113" t="n">
        <v>6</v>
      </c>
      <c r="AA114" s="113" t="n">
        <v>6</v>
      </c>
      <c r="AB114" s="113" t="n">
        <v>4</v>
      </c>
      <c r="AC114" s="161" t="n">
        <v>3206.79</v>
      </c>
      <c r="AD114" s="161">
        <f>AE114-AC114</f>
        <v/>
      </c>
      <c r="AE114" s="161" t="n">
        <v>3768.39</v>
      </c>
      <c r="AF114" s="162">
        <f>(Z114+AA114+AB114)*'Ставки аренды'!$B$3/X114</f>
        <v/>
      </c>
      <c r="AG114" s="163">
        <f>'Ставки перевалки'!$B$10*'Курсы валют'!$B$2</f>
        <v/>
      </c>
      <c r="AH114" s="164" t="n">
        <v>0</v>
      </c>
      <c r="AI114" s="174">
        <f>539714289/604384772*AVERAGE(AJ113,AJ115)</f>
        <v/>
      </c>
      <c r="AJ114" s="166">
        <f>Цены!$C$6*'Курсы валют'!$B$2</f>
        <v/>
      </c>
      <c r="AK114" s="164">
        <f>AJ114/Цены!$B$1</f>
        <v/>
      </c>
      <c r="AL114" s="164">
        <f>AE114+AF114+AG114</f>
        <v/>
      </c>
      <c r="AM114" s="164">
        <f>AJ114-AL114</f>
        <v/>
      </c>
      <c r="AN114" s="164">
        <f>AI114+AH114+AG114+AF114+AE114</f>
        <v/>
      </c>
      <c r="AO114" s="167">
        <f>(AJ114-AN114)/AJ114</f>
        <v/>
      </c>
      <c r="AP114" s="168">
        <f>AL114/AJ114</f>
        <v/>
      </c>
      <c r="AQ114" s="168">
        <f>AE114/AJ114</f>
        <v/>
      </c>
      <c r="AR114" s="168">
        <f>AE114/AL114</f>
        <v/>
      </c>
      <c r="AS114" s="169" t="n">
        <v>1</v>
      </c>
      <c r="AT114" s="121">
        <f>S114*AS114</f>
        <v/>
      </c>
      <c r="AU114" s="83" t="n">
        <v>0.95</v>
      </c>
      <c r="AV114" s="170">
        <f>(AJ114-(AE114*(1+$IS$2)+AF114+AG114+AH114+AI114))/AJ114</f>
        <v/>
      </c>
      <c r="AW114" s="171">
        <f>(AE114*(1+$IS$2)+AF114+AG114)/AJ114</f>
        <v/>
      </c>
      <c r="AX114" s="171">
        <f>(AE114*(1+$IS$2))/AJ114</f>
        <v/>
      </c>
      <c r="AY114" s="171">
        <f>(AE114*(1+$IS$2))/(AE114*(1+$IS$2)+AF114+AG114)</f>
        <v/>
      </c>
      <c r="AZ114" s="172">
        <f>MIN(IF($AU114=100%,1,1+VLOOKUP(($AJ114-$AI114-$AH114-$AG114-$AF114-$AE114*(1+AZ$3))/$AJ114,'Технический лист'!$I:$J,2,1)-VLOOKUP($AO114,'Технический лист'!$I:$J,2,1)),1+(1-$AU114))</f>
        <v/>
      </c>
      <c r="BA114" s="172">
        <f>MIN(IF($AU114=100%,1,1+VLOOKUP(($AJ114-$AI114-$AH114-$AG114-$AF114-$AE114*(1+BA$3))/$AJ114,'Технический лист'!$I:$J,2,1)-VLOOKUP($AO114,'Технический лист'!$I:$J,2,1)),1+(1-$AU114))</f>
        <v/>
      </c>
      <c r="BB114" s="172">
        <f>MIN(IF($AU114=100%,1,1+VLOOKUP(($AJ114-$AI114-$AH114-$AG114-$AF114-$AE114*(1+BB$3))/$AJ114,'Технический лист'!$I:$J,2,1)-VLOOKUP($AO114,'Технический лист'!$I:$J,2,1)),1+(1-$AU114))</f>
        <v/>
      </c>
      <c r="BC114" s="172">
        <f>MIN(IF($AU114=100%,1,1+VLOOKUP(($AJ114-$AI114-$AH114-$AG114-$AF114-$AE114*(1+BC$3))/$AJ114,'Технический лист'!$I:$J,2,1)-VLOOKUP($AO114,'Технический лист'!$I:$J,2,1)),1+(1-$AU114))</f>
        <v/>
      </c>
      <c r="BD114" s="172">
        <f>MIN(IF($AU114=100%,1,1+VLOOKUP(($AJ114-$AI114-$AH114-$AG114-$AF114-$AE114*(1+BD$3))/$AJ114,'Технический лист'!$I:$J,2,1)-VLOOKUP($AO114,'Технический лист'!$I:$J,2,1)),1+(1-$AU114))</f>
        <v/>
      </c>
      <c r="BE114" s="172">
        <f>MIN(IF($AU114=100%,1,1+VLOOKUP(($AJ114-$AI114-$AH114-$AG114-$AF114-$AE114*(1+BE$3))/$AJ114,'Технический лист'!$I:$J,2,1)-VLOOKUP($AO114,'Технический лист'!$I:$J,2,1)),1+(1-$AU114))</f>
        <v/>
      </c>
      <c r="BF114" s="172">
        <f>MIN(IF($AU114=100%,1,1+VLOOKUP(($AJ114-$AI114-$AH114-$AG114-$AF114-$AE114*(1+BF$3))/$AJ114,'Технический лист'!$I:$J,2,1)-VLOOKUP($AO114,'Технический лист'!$I:$J,2,1)),1+(1-$AU114))</f>
        <v/>
      </c>
      <c r="BG114" s="172">
        <f>MIN(IF($AU114=100%,1,1+VLOOKUP(($AJ114-$AI114-$AH114-$AG114-$AF114-$AE114*(1+BG$3))/$AJ114,'Технический лист'!$I:$J,2,1)-VLOOKUP($AO114,'Технический лист'!$I:$J,2,1)),1+(1-$AU114))</f>
        <v/>
      </c>
      <c r="BH114" s="172">
        <f>MIN(IF($AU114=100%,1,1+VLOOKUP(($AJ114-$AI114-$AH114-$AG114-$AF114-$AE114*(1+BH$3))/$AJ114,'Технический лист'!$I:$J,2,1)-VLOOKUP($AO114,'Технический лист'!$I:$J,2,1)),1+(1-$AU114))</f>
        <v/>
      </c>
      <c r="BI114" s="172">
        <f>MIN(IF($AU114=100%,1,1+VLOOKUP(($AJ114-$AI114-$AH114-$AG114-$AF114-$AE114*(1+BI$3))/$AJ114,'Технический лист'!$I:$J,2,1)-VLOOKUP($AO114,'Технический лист'!$I:$J,2,1)),1+(1-$AU114))</f>
        <v/>
      </c>
      <c r="BJ114" s="172">
        <f>MIN(IF($AU114=100%,1,1+VLOOKUP(($AJ114-$AI114-$AH114-$AG114-$AF114-$AE114*(1+BJ$3))/$AJ114,'Технический лист'!$I:$J,2,1)-VLOOKUP($AO114,'Технический лист'!$I:$J,2,1)),1+(1-$AU114))</f>
        <v/>
      </c>
      <c r="BK114" s="172">
        <f>MIN(IF($AU114=100%,1,1+VLOOKUP(($AJ114-$AI114-$AH114-$AG114-$AF114-$AE114*(1+BK$3))/$AJ114,'Технический лист'!$I:$J,2,1)-VLOOKUP($AO114,'Технический лист'!$I:$J,2,1)),1+(1-$AU114))</f>
        <v/>
      </c>
      <c r="BL114" s="172">
        <f>MIN(IF($AU114=100%,1,1+VLOOKUP(($AJ114-$AI114-$AH114-$AG114-$AF114-$AE114*(1+BL$3))/$AJ114,'Технический лист'!$I:$J,2,1)-VLOOKUP($AO114,'Технический лист'!$I:$J,2,1)),1+(1-$AU114))</f>
        <v/>
      </c>
      <c r="BM114" s="172">
        <f>MIN(IF($AU114=100%,1,1+VLOOKUP(($AJ114-$AI114-$AH114-$AG114-$AF114-$AE114*(1+BM$3))/$AJ114,'Технический лист'!$I:$J,2,1)-VLOOKUP($AO114,'Технический лист'!$I:$J,2,1)),1+(1-$AU114))</f>
        <v/>
      </c>
      <c r="BN114" s="172">
        <f>MIN(IF($AU114=100%,1,1+VLOOKUP(($AJ114-$AI114-$AH114-$AG114-$AF114-$AE114*(1+BN$3))/$AJ114,'Технический лист'!$I:$J,2,1)-VLOOKUP($AO114,'Технический лист'!$I:$J,2,1)),1+(1-$AU114))</f>
        <v/>
      </c>
      <c r="BO114" s="172">
        <f>MIN(IF($AU114=100%,1,1+VLOOKUP(($AJ114-$AI114-$AH114-$AG114-$AF114-$AE114*(1+BO$3))/$AJ114,'Технический лист'!$I:$J,2,1)-VLOOKUP($AO114,'Технический лист'!$I:$J,2,1)),1+(1-$AU114))</f>
        <v/>
      </c>
      <c r="BP114" s="172">
        <f>MIN(IF($AU114=100%,1,1+VLOOKUP(($AJ114-$AI114-$AH114-$AG114-$AF114-$AE114*(1+BP$3))/$AJ114,'Технический лист'!$I:$J,2,1)-VLOOKUP($AO114,'Технический лист'!$I:$J,2,1)),1+(1-$AU114))</f>
        <v/>
      </c>
      <c r="BQ114" s="172">
        <f>MIN(IF($AU114=100%,1,1+VLOOKUP(($AJ114-$AI114-$AH114-$AG114-$AF114-$AE114*(1+BQ$3))/$AJ114,'Технический лист'!$I:$J,2,1)-VLOOKUP($AO114,'Технический лист'!$I:$J,2,1)),1+(1-$AU114))</f>
        <v/>
      </c>
      <c r="BR114" s="172">
        <f>MIN(IF($AU114=100%,1,1+VLOOKUP(($AJ114-$AI114-$AH114-$AG114-$AF114-$AE114*(1+BR$3))/$AJ114,'Технический лист'!$I:$J,2,1)-VLOOKUP($AO114,'Технический лист'!$I:$J,2,1)),1+(1-$AU114))</f>
        <v/>
      </c>
      <c r="BS114" s="172">
        <f>MIN(IF($AU114=100%,1,1+VLOOKUP(($AJ114-$AI114-$AH114-$AG114-$AF114-$AE114*(1+BS$3))/$AJ114,'Технический лист'!$I:$J,2,1)-VLOOKUP($AO114,'Технический лист'!$I:$J,2,1)),1+(1-$AU114))</f>
        <v/>
      </c>
      <c r="BT114" s="172">
        <f>MIN(IF($AU114=100%,1,1+VLOOKUP(($AJ114-$AI114-$AH114-$AG114-$AF114-$AE114*(1+BT$3))/$AJ114,'Технический лист'!$I:$J,2,1)-VLOOKUP($AO114,'Технический лист'!$I:$J,2,1)),1+(1-$AU114))</f>
        <v/>
      </c>
      <c r="BU114" s="172">
        <f>MIN(IF($AU114=100%,1,1+VLOOKUP(($AJ114-$AI114-$AH114-$AG114-$AF114-$AE114*(1+BU$3))/$AJ114,'Технический лист'!$I:$J,2,1)-VLOOKUP($AO114,'Технический лист'!$I:$J,2,1)),1+(1-$AU114))</f>
        <v/>
      </c>
      <c r="BV114" s="172">
        <f>MIN(IF($AU114=100%,1,1+VLOOKUP(($AJ114-$AI114-$AH114-$AG114-$AF114-$AE114*(1+BV$3))/$AJ114,'Технический лист'!$I:$J,2,1)-VLOOKUP($AO114,'Технический лист'!$I:$J,2,1)),1+(1-$AU114))</f>
        <v/>
      </c>
      <c r="BW114" s="172">
        <f>MIN(IF($AU114=100%,1,1+VLOOKUP(($AJ114-$AI114-$AH114-$AG114-$AF114-$AE114*(1+BW$3))/$AJ114,'Технический лист'!$I:$J,2,1)-VLOOKUP($AO114,'Технический лист'!$I:$J,2,1)),1+(1-$AU114))</f>
        <v/>
      </c>
      <c r="BX114" s="172">
        <f>MIN(IF($AU114=100%,1,1+VLOOKUP(($AJ114-$AI114-$AH114-$AG114-$AF114-$AE114*(1+BX$3))/$AJ114,'Технический лист'!$I:$J,2,1)-VLOOKUP($AO114,'Технический лист'!$I:$J,2,1)),1+(1-$AU114))</f>
        <v/>
      </c>
      <c r="BY114" s="172">
        <f>MIN(IF($AU114=100%,1,1+VLOOKUP(($AJ114-$AI114-$AH114-$AG114-$AF114-$AE114*(1+BY$3))/$AJ114,'Технический лист'!$I:$J,2,1)-VLOOKUP($AO114,'Технический лист'!$I:$J,2,1)),1+(1-$AU114))</f>
        <v/>
      </c>
      <c r="BZ114" s="172">
        <f>MIN(IF($AU114=100%,1,1+VLOOKUP(($AJ114-$AI114-$AH114-$AG114-$AF114-$AE114*(1+BZ$3))/$AJ114,'Технический лист'!$I:$J,2,1)-VLOOKUP($AO114,'Технический лист'!$I:$J,2,1)),1+(1-$AU114))</f>
        <v/>
      </c>
      <c r="CA114" s="172">
        <f>MIN(IF($AU114=100%,1,1+VLOOKUP(($AJ114-$AI114-$AH114-$AG114-$AF114-$AE114*(1+CA$3))/$AJ114,'Технический лист'!$I:$J,2,1)-VLOOKUP($AO114,'Технический лист'!$I:$J,2,1)),1+(1-$AU114))</f>
        <v/>
      </c>
      <c r="CB114" s="172">
        <f>MIN(IF($AU114=100%,1,1+VLOOKUP(($AJ114-$AI114-$AH114-$AG114-$AF114-$AE114*(1+CB$3))/$AJ114,'Технический лист'!$I:$J,2,1)-VLOOKUP($AO114,'Технический лист'!$I:$J,2,1)),1+(1-$AU114))</f>
        <v/>
      </c>
      <c r="CC114" s="172">
        <f>MIN(IF($AU114=100%,1,1+VLOOKUP(($AJ114-$AI114-$AH114-$AG114-$AF114-$AE114*(1+CC$3))/$AJ114,'Технический лист'!$I:$J,2,1)-VLOOKUP($AO114,'Технический лист'!$I:$J,2,1)),1+(1-$AU114))</f>
        <v/>
      </c>
      <c r="CD114" s="172">
        <f>MIN(IF($AU114=100%,1,1+VLOOKUP(($AJ114-$AI114-$AH114-$AG114-$AF114-$AE114*(1+CD$3))/$AJ114,'Технический лист'!$I:$J,2,1)-VLOOKUP($AO114,'Технический лист'!$I:$J,2,1)),1+(1-$AU114))</f>
        <v/>
      </c>
      <c r="CE114" s="172">
        <f>MIN(IF($AU114=100%,1,1+VLOOKUP(($AJ114-$AI114-$AH114-$AG114-$AF114-$AE114*(1+CE$3))/$AJ114,'Технический лист'!$I:$J,2,1)-VLOOKUP($AO114,'Технический лист'!$I:$J,2,1)),1+(1-$AU114))</f>
        <v/>
      </c>
      <c r="CF114" s="172">
        <f>MIN(IF($AU114=100%,1,1+VLOOKUP(($AJ114-$AI114-$AH114-$AG114-$AF114-$AE114*(1+CF$3))/$AJ114,'Технический лист'!$I:$J,2,1)-VLOOKUP($AO114,'Технический лист'!$I:$J,2,1)),1+(1-$AU114))</f>
        <v/>
      </c>
      <c r="CG114" s="172">
        <f>MIN(IF($AU114=100%,1,1+VLOOKUP(($AJ114-$AI114-$AH114-$AG114-$AF114-$AE114*(1+CG$3))/$AJ114,'Технический лист'!$I:$J,2,1)-VLOOKUP($AO114,'Технический лист'!$I:$J,2,1)),1+(1-$AU114))</f>
        <v/>
      </c>
      <c r="CH114" s="172">
        <f>MIN(IF($AU114=100%,1,1+VLOOKUP(($AJ114-$AI114-$AH114-$AG114-$AF114-$AE114*(1+CH$3))/$AJ114,'Технический лист'!$I:$J,2,1)-VLOOKUP($AO114,'Технический лист'!$I:$J,2,1)),1+(1-$AU114))</f>
        <v/>
      </c>
      <c r="CI114" s="172">
        <f>MIN(IF($AU114=100%,1,1+VLOOKUP(($AJ114-$AI114-$AH114-$AG114-$AF114-$AE114*(1+CI$3))/$AJ114,'Технический лист'!$I:$J,2,1)-VLOOKUP($AO114,'Технический лист'!$I:$J,2,1)),1+(1-$AU114))</f>
        <v/>
      </c>
      <c r="CJ114" s="172">
        <f>MIN(IF($AU114=100%,1,1+VLOOKUP(($AJ114-$AI114-$AH114-$AG114-$AF114-$AE114*(1+CJ$3))/$AJ114,'Технический лист'!$I:$J,2,1)-VLOOKUP($AO114,'Технический лист'!$I:$J,2,1)),1+(1-$AU114))</f>
        <v/>
      </c>
      <c r="CK114" s="172">
        <f>MIN(IF($AU114=100%,1,1+VLOOKUP(($AJ114-$AI114-$AH114-$AG114-$AF114-$AE114*(1+CK$3))/$AJ114,'Технический лист'!$I:$J,2,1)-VLOOKUP($AO114,'Технический лист'!$I:$J,2,1)),1+(1-$AU114))</f>
        <v/>
      </c>
      <c r="CL114" s="172">
        <f>MIN(IF($AU114=100%,1,1+VLOOKUP(($AJ114-$AI114-$AH114-$AG114-$AF114-$AE114*(1+CL$3))/$AJ114,'Технический лист'!$I:$J,2,1)-VLOOKUP($AO114,'Технический лист'!$I:$J,2,1)),1+(1-$AU114))</f>
        <v/>
      </c>
      <c r="CM114" s="172">
        <f>MIN(IF($AU114=100%,1,1+VLOOKUP(($AJ114-$AI114-$AH114-$AG114-$AF114-$AE114*(1+CM$3))/$AJ114,'Технический лист'!$I:$J,2,1)-VLOOKUP($AO114,'Технический лист'!$I:$J,2,1)),1+(1-$AU114))</f>
        <v/>
      </c>
      <c r="CN114" s="172">
        <f>MIN(IF($AU114=100%,1,1+VLOOKUP(($AJ114-$AI114-$AH114-$AG114-$AF114-$AE114*(1+CN$3))/$AJ114,'Технический лист'!$I:$J,2,1)-VLOOKUP($AO114,'Технический лист'!$I:$J,2,1)),1+(1-$AU114))</f>
        <v/>
      </c>
      <c r="CO114" s="172">
        <f>MIN(IF($AU114=100%,1,1+VLOOKUP(($AJ114-$AI114-$AH114-$AG114-$AF114-$AE114*(1+CO$3))/$AJ114,'Технический лист'!$I:$J,2,1)-VLOOKUP($AO114,'Технический лист'!$I:$J,2,1)),1+(1-$AU114))</f>
        <v/>
      </c>
      <c r="CP114" s="172">
        <f>MIN(IF($AU114=100%,1,1+VLOOKUP(($AJ114-$AI114-$AH114-$AG114-$AF114-$AE114*(1+CP$3))/$AJ114,'Технический лист'!$I:$J,2,1)-VLOOKUP($AO114,'Технический лист'!$I:$J,2,1)),1+(1-$AU114))</f>
        <v/>
      </c>
      <c r="CQ114" s="172">
        <f>MIN(IF($AU114=100%,1,1+VLOOKUP(($AJ114-$AI114-$AH114-$AG114-$AF114-$AE114*(1+CQ$3))/$AJ114,'Технический лист'!$I:$J,2,1)-VLOOKUP($AO114,'Технический лист'!$I:$J,2,1)),1+(1-$AU114))</f>
        <v/>
      </c>
      <c r="CR114" s="172">
        <f>MIN(IF($AU114=100%,1,1+VLOOKUP(($AJ114-$AI114-$AH114-$AG114-$AF114-$AE114*(1+CR$3))/$AJ114,'Технический лист'!$I:$J,2,1)-VLOOKUP($AO114,'Технический лист'!$I:$J,2,1)),1+(1-$AU114))</f>
        <v/>
      </c>
      <c r="CS114" s="172">
        <f>MIN(IF($AU114=100%,1,1+VLOOKUP(($AJ114-$AI114-$AH114-$AG114-$AF114-$AE114*(1+CS$3))/$AJ114,'Технический лист'!$I:$J,2,1)-VLOOKUP($AO114,'Технический лист'!$I:$J,2,1)),1+(1-$AU114))</f>
        <v/>
      </c>
      <c r="CT114" s="172">
        <f>MIN(IF($AU114=100%,1,1+VLOOKUP(($AJ114-$AI114-$AH114-$AG114-$AF114-$AE114*(1+CT$3))/$AJ114,'Технический лист'!$I:$J,2,1)-VLOOKUP($AO114,'Технический лист'!$I:$J,2,1)),1+(1-$AU114))</f>
        <v/>
      </c>
      <c r="CU114" s="172">
        <f>MIN(IF($AU114=100%,1,1+VLOOKUP(($AJ114-$AI114-$AH114-$AG114-$AF114-$AE114*(1+CU$3))/$AJ114,'Технический лист'!$I:$J,2,1)-VLOOKUP($AO114,'Технический лист'!$I:$J,2,1)),1+(1-$AU114))</f>
        <v/>
      </c>
      <c r="CV114" s="172">
        <f>MIN(IF($AU114=100%,1,1+VLOOKUP(($AJ114-$AI114-$AH114-$AG114-$AF114-$AE114*(1+CV$3))/$AJ114,'Технический лист'!$I:$J,2,1)-VLOOKUP($AO114,'Технический лист'!$I:$J,2,1)),1+(1-$AU114))</f>
        <v/>
      </c>
      <c r="CW114" s="172">
        <f>MIN(IF($AU114=100%,1,1+VLOOKUP(($AJ114-$AI114-$AH114-$AG114-$AF114-$AE114*(1+CW$3))/$AJ114,'Технический лист'!$I:$J,2,1)-VLOOKUP($AO114,'Технический лист'!$I:$J,2,1)),1+(1-$AU114))</f>
        <v/>
      </c>
      <c r="CX114" s="172">
        <f>MIN(IF($AU114=100%,1,1+VLOOKUP(($AJ114-$AI114-$AH114-$AG114-$AF114-$AE114*(1+CX$3))/$AJ114,'Технический лист'!$I:$J,2,1)-VLOOKUP($AO114,'Технический лист'!$I:$J,2,1)),1+(1-$AU114))</f>
        <v/>
      </c>
      <c r="CY114" s="172">
        <f>MIN(IF($AU114=100%,1,1+VLOOKUP(($AJ114-$AI114-$AH114-$AG114-$AF114-$AE114*(1+CY$3))/$AJ114,'Технический лист'!$I:$J,2,1)-VLOOKUP($AO114,'Технический лист'!$I:$J,2,1)),1+(1-$AU114))</f>
        <v/>
      </c>
      <c r="CZ114" s="172">
        <f>MIN(IF($AU114=100%,1,1+VLOOKUP(($AJ114-$AI114-$AH114-$AG114-$AF114-$AE114*(1+CZ$3))/$AJ114,'Технический лист'!$I:$J,2,1)-VLOOKUP($AO114,'Технический лист'!$I:$J,2,1)),1+(1-$AU114))</f>
        <v/>
      </c>
      <c r="DA114" s="172">
        <f>MIN(IF($AU114=100%,1,1+VLOOKUP(($AJ114-$AI114-$AH114-$AG114-$AF114-$AE114*(1+DA$3))/$AJ114,'Технический лист'!$I:$J,2,1)-VLOOKUP($AO114,'Технический лист'!$I:$J,2,1)),1+(1-$AU114))</f>
        <v/>
      </c>
      <c r="DB114" s="172">
        <f>MIN(IF($AU114=100%,1,1+VLOOKUP(($AJ114-$AI114-$AH114-$AG114-$AF114-$AE114*(1+DB$3))/$AJ114,'Технический лист'!$I:$J,2,1)-VLOOKUP($AO114,'Технический лист'!$I:$J,2,1)),1+(1-$AU114))</f>
        <v/>
      </c>
      <c r="DC114" s="172">
        <f>MIN(IF($AU114=100%,1,1+VLOOKUP(($AJ114-$AI114-$AH114-$AG114-$AF114-$AE114*(1+DC$3))/$AJ114,'Технический лист'!$I:$J,2,1)-VLOOKUP($AO114,'Технический лист'!$I:$J,2,1)),1+(1-$AU114))</f>
        <v/>
      </c>
      <c r="DD114" s="172">
        <f>MIN(IF($AU114=100%,1,1+VLOOKUP(($AJ114-$AI114-$AH114-$AG114-$AF114-$AE114*(1+DD$3))/$AJ114,'Технический лист'!$I:$J,2,1)-VLOOKUP($AO114,'Технический лист'!$I:$J,2,1)),1+(1-$AU114))</f>
        <v/>
      </c>
      <c r="DE114" s="172">
        <f>MIN(IF($AU114=100%,1,1+VLOOKUP(($AJ114-$AI114-$AH114-$AG114-$AF114-$AE114*(1+DE$3))/$AJ114,'Технический лист'!$I:$J,2,1)-VLOOKUP($AO114,'Технический лист'!$I:$J,2,1)),1+(1-$AU114))</f>
        <v/>
      </c>
      <c r="DF114" s="172">
        <f>MIN(IF($AU114=100%,1,1+VLOOKUP(($AJ114-$AI114-$AH114-$AG114-$AF114-$AE114*(1+DF$3))/$AJ114,'Технический лист'!$I:$J,2,1)-VLOOKUP($AO114,'Технический лист'!$I:$J,2,1)),1+(1-$AU114))</f>
        <v/>
      </c>
      <c r="DG114" s="172">
        <f>MIN(IF($AU114=100%,1,1+VLOOKUP(($AJ114-$AI114-$AH114-$AG114-$AF114-$AE114*(1+DG$3))/$AJ114,'Технический лист'!$I:$J,2,1)-VLOOKUP($AO114,'Технический лист'!$I:$J,2,1)),1+(1-$AU114))</f>
        <v/>
      </c>
      <c r="DH114" s="172">
        <f>MIN(IF($AU114=100%,1,1+VLOOKUP(($AJ114-$AI114-$AH114-$AG114-$AF114-$AE114*(1+DH$3))/$AJ114,'Технический лист'!$I:$J,2,1)-VLOOKUP($AO114,'Технический лист'!$I:$J,2,1)),1+(1-$AU114))</f>
        <v/>
      </c>
      <c r="DI114" s="172">
        <f>MIN(IF($AU114=100%,1,1+VLOOKUP(($AJ114-$AI114-$AH114-$AG114-$AF114-$AE114*(1+DI$3))/$AJ114,'Технический лист'!$I:$J,2,1)-VLOOKUP($AO114,'Технический лист'!$I:$J,2,1)),1+(1-$AU114))</f>
        <v/>
      </c>
      <c r="DJ114" s="172">
        <f>MIN(IF($AU114=100%,1,1+VLOOKUP(($AJ114-$AI114-$AH114-$AG114-$AF114-$AE114*(1+DJ$3))/$AJ114,'Технический лист'!$I:$J,2,1)-VLOOKUP($AO114,'Технический лист'!$I:$J,2,1)),1+(1-$AU114))</f>
        <v/>
      </c>
      <c r="DK114" s="172">
        <f>MIN(IF($AU114=100%,1,1+VLOOKUP(($AJ114-$AI114-$AH114-$AG114-$AF114-$AE114*(1+DK$3))/$AJ114,'Технический лист'!$I:$J,2,1)-VLOOKUP($AO114,'Технический лист'!$I:$J,2,1)),1+(1-$AU114))</f>
        <v/>
      </c>
      <c r="DL114" s="172">
        <f>MIN(IF($AU114=100%,1,1+VLOOKUP(($AJ114-$AI114-$AH114-$AG114-$AF114-$AE114*(1+DL$3))/$AJ114,'Технический лист'!$I:$J,2,1)-VLOOKUP($AO114,'Технический лист'!$I:$J,2,1)),1+(1-$AU114))</f>
        <v/>
      </c>
      <c r="DM114" s="172">
        <f>MIN(IF($AU114=100%,1,1+VLOOKUP(($AJ114-$AI114-$AH114-$AG114-$AF114-$AE114*(1+DM$3))/$AJ114,'Технический лист'!$I:$J,2,1)-VLOOKUP($AO114,'Технический лист'!$I:$J,2,1)),1+(1-$AU114))</f>
        <v/>
      </c>
      <c r="DN114" s="172">
        <f>MIN(IF($AU114=100%,1,1+VLOOKUP(($AJ114-$AI114-$AH114-$AG114-$AF114-$AE114*(1+DN$3))/$AJ114,'Технический лист'!$I:$J,2,1)-VLOOKUP($AO114,'Технический лист'!$I:$J,2,1)),1+(1-$AU114))</f>
        <v/>
      </c>
      <c r="DO114" s="172">
        <f>MIN(IF($AU114=100%,1,1+VLOOKUP(($AJ114-$AI114-$AH114-$AG114-$AF114-$AE114*(1+DO$3))/$AJ114,'Технический лист'!$I:$J,2,1)-VLOOKUP($AO114,'Технический лист'!$I:$J,2,1)),1+(1-$AU114))</f>
        <v/>
      </c>
      <c r="DP114" s="172">
        <f>MIN(IF($AU114=100%,1,1+VLOOKUP(($AJ114-$AI114-$AH114-$AG114-$AF114-$AE114*(1+DP$3))/$AJ114,'Технический лист'!$I:$J,2,1)-VLOOKUP($AO114,'Технический лист'!$I:$J,2,1)),1+(1-$AU114))</f>
        <v/>
      </c>
      <c r="DQ114" s="172">
        <f>MIN(IF($AU114=100%,1,1+VLOOKUP(($AJ114-$AI114-$AH114-$AG114-$AF114-$AE114*(1+DQ$3))/$AJ114,'Технический лист'!$I:$J,2,1)-VLOOKUP($AO114,'Технический лист'!$I:$J,2,1)),1+(1-$AU114))</f>
        <v/>
      </c>
      <c r="DR114" s="172">
        <f>MIN(IF($AU114=100%,1,1+VLOOKUP(($AJ114-$AI114-$AH114-$AG114-$AF114-$AE114*(1+DR$3))/$AJ114,'Технический лист'!$I:$J,2,1)-VLOOKUP($AO114,'Технический лист'!$I:$J,2,1)),1+(1-$AU114))</f>
        <v/>
      </c>
      <c r="DS114" s="172">
        <f>MIN(IF($AU114=100%,1,1+VLOOKUP(($AJ114-$AI114-$AH114-$AG114-$AF114-$AE114*(1+DS$3))/$AJ114,'Технический лист'!$I:$J,2,1)-VLOOKUP($AO114,'Технический лист'!$I:$J,2,1)),1+(1-$AU114))</f>
        <v/>
      </c>
      <c r="DT114" s="172">
        <f>MIN(IF($AU114=100%,1,1+VLOOKUP(($AJ114-$AI114-$AH114-$AG114-$AF114-$AE114*(1+DT$3))/$AJ114,'Технический лист'!$I:$J,2,1)-VLOOKUP($AO114,'Технический лист'!$I:$J,2,1)),1+(1-$AU114))</f>
        <v/>
      </c>
      <c r="DU114" s="172">
        <f>MIN(IF($AU114=100%,1,1+VLOOKUP(($AJ114-$AI114-$AH114-$AG114-$AF114-$AE114*(1+DU$3))/$AJ114,'Технический лист'!$I:$J,2,1)-VLOOKUP($AO114,'Технический лист'!$I:$J,2,1)),1+(1-$AU114))</f>
        <v/>
      </c>
      <c r="DV114" s="172">
        <f>MIN(IF($AU114=100%,1,1+VLOOKUP(($AJ114-$AI114-$AH114-$AG114-$AF114-$AE114*(1+DV$3))/$AJ114,'Технический лист'!$I:$J,2,1)-VLOOKUP($AO114,'Технический лист'!$I:$J,2,1)),1+(1-$AU114))</f>
        <v/>
      </c>
      <c r="DW114" s="172">
        <f>MIN(IF($AU114=100%,1,1+VLOOKUP(($AJ114-$AI114-$AH114-$AG114-$AF114-$AE114*(1+DW$3))/$AJ114,'Технический лист'!$I:$J,2,1)-VLOOKUP($AO114,'Технический лист'!$I:$J,2,1)),1+(1-$AU114))</f>
        <v/>
      </c>
      <c r="DX114" s="172">
        <f>MIN(IF($AU114=100%,1,1+VLOOKUP(($AJ114-$AI114-$AH114-$AG114-$AF114-$AE114*(1+DX$3))/$AJ114,'Технический лист'!$I:$J,2,1)-VLOOKUP($AO114,'Технический лист'!$I:$J,2,1)),1+(1-$AU114))</f>
        <v/>
      </c>
      <c r="DY114" s="172">
        <f>MIN(IF($AU114=100%,1,1+VLOOKUP(($AJ114-$AI114-$AH114-$AG114-$AF114-$AE114*(1+DY$3))/$AJ114,'Технический лист'!$I:$J,2,1)-VLOOKUP($AO114,'Технический лист'!$I:$J,2,1)),1+(1-$AU114))</f>
        <v/>
      </c>
      <c r="DZ114" s="172">
        <f>MIN(IF($AU114=100%,1,1+VLOOKUP(($AJ114-$AI114-$AH114-$AG114-$AF114-$AE114*(1+DZ$3))/$AJ114,'Технический лист'!$I:$J,2,1)-VLOOKUP($AO114,'Технический лист'!$I:$J,2,1)),1+(1-$AU114))</f>
        <v/>
      </c>
      <c r="EA114" s="172">
        <f>MIN(IF($AU114=100%,1,1+VLOOKUP(($AJ114-$AI114-$AH114-$AG114-$AF114-$AE114*(1+EA$3))/$AJ114,'Технический лист'!$I:$J,2,1)-VLOOKUP($AO114,'Технический лист'!$I:$J,2,1)),1+(1-$AU114))</f>
        <v/>
      </c>
      <c r="EB114" s="172">
        <f>MIN(IF($AU114=100%,1,1+VLOOKUP(($AJ114-$AI114-$AH114-$AG114-$AF114-$AE114*(1+EB$3))/$AJ114,'Технический лист'!$I:$J,2,1)-VLOOKUP($AO114,'Технический лист'!$I:$J,2,1)),1+(1-$AU114))</f>
        <v/>
      </c>
      <c r="EC114" s="172">
        <f>MIN(IF($AU114=100%,1,1+VLOOKUP(($AJ114-$AI114-$AH114-$AG114-$AF114-$AE114*(1+EC$3))/$AJ114,'Технический лист'!$I:$J,2,1)-VLOOKUP($AO114,'Технический лист'!$I:$J,2,1)),1+(1-$AU114))</f>
        <v/>
      </c>
      <c r="ED114" s="172">
        <f>MIN(IF($AU114=100%,1,1+VLOOKUP(($AJ114-$AI114-$AH114-$AG114-$AF114-$AE114*(1+ED$3))/$AJ114,'Технический лист'!$I:$J,2,1)-VLOOKUP($AO114,'Технический лист'!$I:$J,2,1)),1+(1-$AU114))</f>
        <v/>
      </c>
      <c r="EE114" s="172">
        <f>MIN(IF($AU114=100%,1,1+VLOOKUP(($AJ114-$AI114-$AH114-$AG114-$AF114-$AE114*(1+EE$3))/$AJ114,'Технический лист'!$I:$J,2,1)-VLOOKUP($AO114,'Технический лист'!$I:$J,2,1)),1+(1-$AU114))</f>
        <v/>
      </c>
      <c r="EF114" s="172">
        <f>MIN(IF($AU114=100%,1,1+VLOOKUP(($AJ114-$AI114-$AH114-$AG114-$AF114-$AE114*(1+EF$3))/$AJ114,'Технический лист'!$I:$J,2,1)-VLOOKUP($AO114,'Технический лист'!$I:$J,2,1)),1+(1-$AU114))</f>
        <v/>
      </c>
      <c r="EG114" s="172">
        <f>MIN(IF($AU114=100%,1,1+VLOOKUP(($AJ114-$AI114-$AH114-$AG114-$AF114-$AE114*(1+EG$3))/$AJ114,'Технический лист'!$I:$J,2,1)-VLOOKUP($AO114,'Технический лист'!$I:$J,2,1)),1+(1-$AU114))</f>
        <v/>
      </c>
      <c r="EH114" s="172">
        <f>MIN(IF($AU114=100%,1,1+VLOOKUP(($AJ114-$AI114-$AH114-$AG114-$AF114-$AE114*(1+EH$3))/$AJ114,'Технический лист'!$I:$J,2,1)-VLOOKUP($AO114,'Технический лист'!$I:$J,2,1)),1+(1-$AU114))</f>
        <v/>
      </c>
      <c r="EI114" s="172">
        <f>MIN(IF($AU114=100%,1,1+VLOOKUP(($AJ114-$AI114-$AH114-$AG114-$AF114-$AE114*(1+EI$3))/$AJ114,'Технический лист'!$I:$J,2,1)-VLOOKUP($AO114,'Технический лист'!$I:$J,2,1)),1+(1-$AU114))</f>
        <v/>
      </c>
      <c r="EJ114" s="172">
        <f>MIN(IF($AU114=100%,1,1+VLOOKUP(($AJ114-$AI114-$AH114-$AG114-$AF114-$AE114*(1+EJ$3))/$AJ114,'Технический лист'!$I:$J,2,1)-VLOOKUP($AO114,'Технический лист'!$I:$J,2,1)),1+(1-$AU114))</f>
        <v/>
      </c>
      <c r="EK114" s="172">
        <f>MIN(IF($AU114=100%,1,1+VLOOKUP(($AJ114-$AI114-$AH114-$AG114-$AF114-$AE114*(1+EK$3))/$AJ114,'Технический лист'!$I:$J,2,1)-VLOOKUP($AO114,'Технический лист'!$I:$J,2,1)),1+(1-$AU114))</f>
        <v/>
      </c>
      <c r="EL114" s="172">
        <f>MIN(IF($AU114=100%,1,1+VLOOKUP(($AJ114-$AI114-$AH114-$AG114-$AF114-$AE114*(1+EL$3))/$AJ114,'Технический лист'!$I:$J,2,1)-VLOOKUP($AO114,'Технический лист'!$I:$J,2,1)),1+(1-$AU114))</f>
        <v/>
      </c>
      <c r="EM114" s="172">
        <f>MIN(IF($AU114=100%,1,1+VLOOKUP(($AJ114-$AI114-$AH114-$AG114-$AF114-$AE114*(1+EM$3))/$AJ114,'Технический лист'!$I:$J,2,1)-VLOOKUP($AO114,'Технический лист'!$I:$J,2,1)),1+(1-$AU114))</f>
        <v/>
      </c>
      <c r="EN114" s="172">
        <f>MIN(IF($AU114=100%,1,1+VLOOKUP(($AJ114-$AI114-$AH114-$AG114-$AF114-$AE114*(1+EN$3))/$AJ114,'Технический лист'!$I:$J,2,1)-VLOOKUP($AO114,'Технический лист'!$I:$J,2,1)),1+(1-$AU114))</f>
        <v/>
      </c>
      <c r="EO114" s="172">
        <f>MIN(IF($AU114=100%,1,1+VLOOKUP(($AJ114-$AI114-$AH114-$AG114-$AF114-$AE114*(1+EO$3))/$AJ114,'Технический лист'!$I:$J,2,1)-VLOOKUP($AO114,'Технический лист'!$I:$J,2,1)),1+(1-$AU114))</f>
        <v/>
      </c>
      <c r="EP114" s="172">
        <f>MIN(IF($AU114=100%,1,1+VLOOKUP(($AJ114-$AI114-$AH114-$AG114-$AF114-$AE114*(1+EP$3))/$AJ114,'Технический лист'!$I:$J,2,1)-VLOOKUP($AO114,'Технический лист'!$I:$J,2,1)),1+(1-$AU114))</f>
        <v/>
      </c>
      <c r="EQ114" s="172">
        <f>MIN(IF($AU114=100%,1,1+VLOOKUP(($AJ114-$AI114-$AH114-$AG114-$AF114-$AE114*(1+EQ$3))/$AJ114,'Технический лист'!$I:$J,2,1)-VLOOKUP($AO114,'Технический лист'!$I:$J,2,1)),1+(1-$AU114))</f>
        <v/>
      </c>
      <c r="ER114" s="172">
        <f>MIN(IF($AU114=100%,1,1+VLOOKUP(($AJ114-$AI114-$AH114-$AG114-$AF114-$AE114*(1+ER$3))/$AJ114,'Технический лист'!$I:$J,2,1)-VLOOKUP($AO114,'Технический лист'!$I:$J,2,1)),1+(1-$AU114))</f>
        <v/>
      </c>
      <c r="ES114" s="172">
        <f>MIN(IF($AU114=100%,1,1+VLOOKUP(($AJ114-$AI114-$AH114-$AG114-$AF114-$AE114*(1+ES$3))/$AJ114,'Технический лист'!$I:$J,2,1)-VLOOKUP($AO114,'Технический лист'!$I:$J,2,1)),1+(1-$AU114))</f>
        <v/>
      </c>
      <c r="ET114" s="172">
        <f>MIN(IF($AU114=100%,1,1+VLOOKUP(($AJ114-$AI114-$AH114-$AG114-$AF114-$AE114*(1+ET$3))/$AJ114,'Технический лист'!$I:$J,2,1)-VLOOKUP($AO114,'Технический лист'!$I:$J,2,1)),1+(1-$AU114))</f>
        <v/>
      </c>
      <c r="EU114" s="172">
        <f>MIN(IF($AU114=100%,1,1+VLOOKUP(($AJ114-$AI114-$AH114-$AG114-$AF114-$AE114*(1+EU$3))/$AJ114,'Технический лист'!$I:$J,2,1)-VLOOKUP($AO114,'Технический лист'!$I:$J,2,1)),1+(1-$AU114))</f>
        <v/>
      </c>
      <c r="EV114" s="173" t="n">
        <v>1</v>
      </c>
      <c r="EW114" s="172">
        <f>MIN(1,MAX(VLOOKUP(($AJ114-$AI114-$AH114-$AG114-$AF114-$AE114*(1+EW$3))/$AJ114,'Технический лист'!$A:$B,2,1),(EV114-0.05)))</f>
        <v/>
      </c>
      <c r="EX114" s="172">
        <f>MIN(1,MAX(VLOOKUP(($AJ114-$AI114-$AH114-$AG114-$AF114-$AE114*(1+EX$3))/$AJ114,'Технический лист'!$A:$B,2,1),(EW114-0.05)))</f>
        <v/>
      </c>
      <c r="EY114" s="172">
        <f>MIN(1,MAX(VLOOKUP(($AJ114-$AI114-$AH114-$AG114-$AF114-$AE114*(1+EY$3))/$AJ114,'Технический лист'!$A:$B,2,1),(EX114-0.05)))</f>
        <v/>
      </c>
      <c r="EZ114" s="172">
        <f>MIN(1,MAX(VLOOKUP(($AJ114-$AI114-$AH114-$AG114-$AF114-$AE114*(1+EZ$3))/$AJ114,'Технический лист'!$A:$B,2,1),(EY114-0.05)))</f>
        <v/>
      </c>
      <c r="FA114" s="172">
        <f>MIN(1,MAX(VLOOKUP(($AJ114-$AI114-$AH114-$AG114-$AF114-$AE114*(1+FA$3))/$AJ114,'Технический лист'!$A:$B,2,1),(EZ114-0.05)))</f>
        <v/>
      </c>
      <c r="FB114" s="172">
        <f>MIN(1,MAX(VLOOKUP(($AJ114-$AI114-$AH114-$AG114-$AF114-$AE114*(1+FB$3))/$AJ114,'Технический лист'!$A:$B,2,1),(FA114-0.05)))</f>
        <v/>
      </c>
      <c r="FC114" s="172">
        <f>MIN(1,MAX(VLOOKUP(($AJ114-$AI114-$AH114-$AG114-$AF114-$AE114*(1+FC$3))/$AJ114,'Технический лист'!$A:$B,2,1),(FB114-0.05)))</f>
        <v/>
      </c>
      <c r="FD114" s="172">
        <f>MIN(1,MAX(VLOOKUP(($AJ114-$AI114-$AH114-$AG114-$AF114-$AE114*(1+FD$3))/$AJ114,'Технический лист'!$A:$B,2,1),(FC114-0.05)))</f>
        <v/>
      </c>
      <c r="FE114" s="172">
        <f>MIN(1,MAX(VLOOKUP(($AJ114-$AI114-$AH114-$AG114-$AF114-$AE114*(1+FE$3))/$AJ114,'Технический лист'!$A:$B,2,1),(FD114-0.05)))</f>
        <v/>
      </c>
      <c r="FF114" s="172">
        <f>MIN(1,MAX(VLOOKUP(($AJ114-$AI114-$AH114-$AG114-$AF114-$AE114*(1+FF$3))/$AJ114,'Технический лист'!$A:$B,2,1),(FE114-0.05)))</f>
        <v/>
      </c>
      <c r="FG114" s="172">
        <f>MIN(1,MAX(VLOOKUP(($AJ114-$AI114-$AH114-$AG114-$AF114-$AE114*(1+FG$3))/$AJ114,'Технический лист'!$A:$B,2,1),(FF114-0.05)))</f>
        <v/>
      </c>
      <c r="FH114" s="172">
        <f>MIN(1,MAX(VLOOKUP(($AJ114-$AI114-$AH114-$AG114-$AF114-$AE114*(1+FH$3))/$AJ114,'Технический лист'!$A:$B,2,1),(FG114-0.05)))</f>
        <v/>
      </c>
      <c r="FI114" s="172">
        <f>MIN(1,MAX(VLOOKUP(($AJ114-$AI114-$AH114-$AG114-$AF114-$AE114*(1+FI$3))/$AJ114,'Технический лист'!$A:$B,2,1),(FH114-0.05)))</f>
        <v/>
      </c>
      <c r="FJ114" s="172">
        <f>MIN(1,MAX(VLOOKUP(($AJ114-$AI114-$AH114-$AG114-$AF114-$AE114*(1+FJ$3))/$AJ114,'Технический лист'!$A:$B,2,1),(FI114-0.05)))</f>
        <v/>
      </c>
      <c r="FK114" s="172">
        <f>MIN(1,MAX(VLOOKUP(($AJ114-$AI114-$AH114-$AG114-$AF114-$AE114*(1+FK$3))/$AJ114,'Технический лист'!$A:$B,2,1),(FJ114-0.05)))</f>
        <v/>
      </c>
      <c r="FL114" s="172">
        <f>MIN(1,MAX(VLOOKUP(($AJ114-$AI114-$AH114-$AG114-$AF114-$AE114*(1+FL$3))/$AJ114,'Технический лист'!$A:$B,2,1),(FK114-0.05)))</f>
        <v/>
      </c>
      <c r="FM114" s="172">
        <f>MIN(1,MAX(VLOOKUP(($AJ114-$AI114-$AH114-$AG114-$AF114-$AE114*(1+FM$3))/$AJ114,'Технический лист'!$A:$B,2,1),(FL114-0.05)))</f>
        <v/>
      </c>
      <c r="FN114" s="172">
        <f>MIN(1,MAX(VLOOKUP(($AJ114-$AI114-$AH114-$AG114-$AF114-$AE114*(1+FN$3))/$AJ114,'Технический лист'!$A:$B,2,1),(FM114-0.05)))</f>
        <v/>
      </c>
      <c r="FO114" s="172">
        <f>MIN(1,MAX(VLOOKUP(($AJ114-$AI114-$AH114-$AG114-$AF114-$AE114*(1+FO$3))/$AJ114,'Технический лист'!$A:$B,2,1),(FN114-0.05)))</f>
        <v/>
      </c>
      <c r="FP114" s="172">
        <f>MIN(1,MAX(VLOOKUP(($AJ114-$AI114-$AH114-$AG114-$AF114-$AE114*(1+FP$3))/$AJ114,'Технический лист'!$A:$B,2,1),(FO114-0.05)))</f>
        <v/>
      </c>
      <c r="FQ114" s="172">
        <f>MIN(1,MAX(VLOOKUP(($AJ114-$AI114-$AH114-$AG114-$AF114-$AE114*(1+FQ$3))/$AJ114,'Технический лист'!$A:$B,2,1),(FP114-0.05)))</f>
        <v/>
      </c>
      <c r="FR114" s="172">
        <f>MIN(1,MAX(VLOOKUP(($AJ114-$AI114-$AH114-$AG114-$AF114-$AE114*(1+FR$3))/$AJ114,'Технический лист'!$A:$B,2,1),(FQ114-0.05)))</f>
        <v/>
      </c>
      <c r="FS114" s="172">
        <f>MIN(1,MAX(VLOOKUP(($AJ114-$AI114-$AH114-$AG114-$AF114-$AE114*(1+FS$3))/$AJ114,'Технический лист'!$A:$B,2,1),(FR114-0.05)))</f>
        <v/>
      </c>
      <c r="FT114" s="172">
        <f>MIN(1,MAX(VLOOKUP(($AJ114-$AI114-$AH114-$AG114-$AF114-$AE114*(1+FT$3))/$AJ114,'Технический лист'!$A:$B,2,1),(FS114-0.05)))</f>
        <v/>
      </c>
      <c r="FU114" s="172">
        <f>MIN(1,MAX(VLOOKUP(($AJ114-$AI114-$AH114-$AG114-$AF114-$AE114*(1+FU$3))/$AJ114,'Технический лист'!$A:$B,2,1),(FT114-0.05)))</f>
        <v/>
      </c>
      <c r="FV114" s="172">
        <f>MIN(1,MAX(VLOOKUP(($AJ114-$AI114-$AH114-$AG114-$AF114-$AE114*(1+FV$3))/$AJ114,'Технический лист'!$A:$B,2,1),(FU114-0.05)))</f>
        <v/>
      </c>
      <c r="FW114" s="172">
        <f>MIN(1,MAX(VLOOKUP(($AJ114-$AI114-$AH114-$AG114-$AF114-$AE114*(1+FW$3))/$AJ114,'Технический лист'!$A:$B,2,1),(FV114-0.05)))</f>
        <v/>
      </c>
      <c r="FX114" s="172">
        <f>MIN(1,MAX(VLOOKUP(($AJ114-$AI114-$AH114-$AG114-$AF114-$AE114*(1+FX$3))/$AJ114,'Технический лист'!$A:$B,2,1),(FW114-0.05)))</f>
        <v/>
      </c>
      <c r="FY114" s="172">
        <f>MIN(1,MAX(VLOOKUP(($AJ114-$AI114-$AH114-$AG114-$AF114-$AE114*(1+FY$3))/$AJ114,'Технический лист'!$A:$B,2,1),(FX114-0.05)))</f>
        <v/>
      </c>
      <c r="FZ114" s="172">
        <f>MIN(1,MAX(VLOOKUP(($AJ114-$AI114-$AH114-$AG114-$AF114-$AE114*(1+FZ$3))/$AJ114,'Технический лист'!$A:$B,2,1),(FY114-0.05)))</f>
        <v/>
      </c>
      <c r="GA114" s="172">
        <f>MIN(1,MAX(VLOOKUP(($AJ114-$AI114-$AH114-$AG114-$AF114-$AE114*(1+GA$3))/$AJ114,'Технический лист'!$A:$B,2,1),(FZ114-0.05)))</f>
        <v/>
      </c>
      <c r="GB114" s="172">
        <f>MIN(1,MAX(VLOOKUP(($AJ114-$AI114-$AH114-$AG114-$AF114-$AE114*(1+GB$3))/$AJ114,'Технический лист'!$A:$B,2,1),(GA114-0.05)))</f>
        <v/>
      </c>
      <c r="GC114" s="172">
        <f>MIN(1,MAX(VLOOKUP(($AJ114-$AI114-$AH114-$AG114-$AF114-$AE114*(1+GC$3))/$AJ114,'Технический лист'!$A:$B,2,1),(GB114-0.05)))</f>
        <v/>
      </c>
      <c r="GD114" s="172">
        <f>MIN(1,MAX(VLOOKUP(($AJ114-$AI114-$AH114-$AG114-$AF114-$AE114*(1+GD$3))/$AJ114,'Технический лист'!$A:$B,2,1),(GC114-0.05)))</f>
        <v/>
      </c>
      <c r="GE114" s="172">
        <f>MIN(1,MAX(VLOOKUP(($AJ114-$AI114-$AH114-$AG114-$AF114-$AE114*(1+GE$3))/$AJ114,'Технический лист'!$A:$B,2,1),(GD114-0.05)))</f>
        <v/>
      </c>
      <c r="GF114" s="172">
        <f>MIN(1,MAX(VLOOKUP(($AJ114-$AI114-$AH114-$AG114-$AF114-$AE114*(1+GF$3))/$AJ114,'Технический лист'!$A:$B,2,1),(GE114-0.05)))</f>
        <v/>
      </c>
      <c r="GG114" s="172">
        <f>MIN(1,MAX(VLOOKUP(($AJ114-$AI114-$AH114-$AG114-$AF114-$AE114*(1+GG$3))/$AJ114,'Технический лист'!$A:$B,2,1),(GF114-0.05)))</f>
        <v/>
      </c>
      <c r="GH114" s="172">
        <f>MIN(1,MAX(VLOOKUP(($AJ114-$AI114-$AH114-$AG114-$AF114-$AE114*(1+GH$3))/$AJ114,'Технический лист'!$A:$B,2,1),(GG114-0.05)))</f>
        <v/>
      </c>
      <c r="GI114" s="172">
        <f>MIN(1,MAX(VLOOKUP(($AJ114-$AI114-$AH114-$AG114-$AF114-$AE114*(1+GI$3))/$AJ114,'Технический лист'!$A:$B,2,1),(GH114-0.05)))</f>
        <v/>
      </c>
      <c r="GJ114" s="172">
        <f>MIN(1,MAX(VLOOKUP(($AJ114-$AI114-$AH114-$AG114-$AF114-$AE114*(1+GJ$3))/$AJ114,'Технический лист'!$A:$B,2,1),(GI114-0.05)))</f>
        <v/>
      </c>
      <c r="GK114" s="172">
        <f>MIN(1,MAX(VLOOKUP(($AJ114-$AI114-$AH114-$AG114-$AF114-$AE114*(1+GK$3))/$AJ114,'Технический лист'!$A:$B,2,1),(GJ114-0.05)))</f>
        <v/>
      </c>
      <c r="GL114" s="172">
        <f>MIN(1,MAX(VLOOKUP(($AJ114-$AI114-$AH114-$AG114-$AF114-$AE114*(1+GL$3))/$AJ114,'Технический лист'!$A:$B,2,1),(GK114-0.05)))</f>
        <v/>
      </c>
      <c r="GM114" s="172">
        <f>MIN(1,MAX(VLOOKUP(($AJ114-$AI114-$AH114-$AG114-$AF114-$AE114*(1+GM$3))/$AJ114,'Технический лист'!$A:$B,2,1),(GL114-0.05)))</f>
        <v/>
      </c>
      <c r="GN114" s="172">
        <f>MIN(1,MAX(VLOOKUP(($AJ114-$AI114-$AH114-$AG114-$AF114-$AE114*(1+GN$3))/$AJ114,'Технический лист'!$A:$B,2,1),(GM114-0.05)))</f>
        <v/>
      </c>
      <c r="GO114" s="172">
        <f>MIN(1,MAX(VLOOKUP(($AJ114-$AI114-$AH114-$AG114-$AF114-$AE114*(1+GO$3))/$AJ114,'Технический лист'!$A:$B,2,1),(GN114-0.05)))</f>
        <v/>
      </c>
      <c r="GP114" s="172">
        <f>MIN(1,MAX(VLOOKUP(($AJ114-$AI114-$AH114-$AG114-$AF114-$AE114*(1+GP$3))/$AJ114,'Технический лист'!$A:$B,2,1),(GO114-0.05)))</f>
        <v/>
      </c>
      <c r="GQ114" s="172">
        <f>MIN(1,MAX(VLOOKUP(($AJ114-$AI114-$AH114-$AG114-$AF114-$AE114*(1+GQ$3))/$AJ114,'Технический лист'!$A:$B,2,1),(GP114-0.05)))</f>
        <v/>
      </c>
      <c r="GR114" s="172">
        <f>MIN(1,MAX(VLOOKUP(($AJ114-$AI114-$AH114-$AG114-$AF114-$AE114*(1+GR$3))/$AJ114,'Технический лист'!$A:$B,2,1),(GQ114-0.05)))</f>
        <v/>
      </c>
      <c r="GS114" s="172">
        <f>MIN(1,MAX(VLOOKUP(($AJ114-$AI114-$AH114-$AG114-$AF114-$AE114*(1+GS$3))/$AJ114,'Технический лист'!$A:$B,2,1),(GR114-0.05)))</f>
        <v/>
      </c>
      <c r="GT114" s="172">
        <f>MIN(1,MAX(VLOOKUP(($AJ114-$AI114-$AH114-$AG114-$AF114-$AE114*(1+GT$3))/$AJ114,'Технический лист'!$A:$B,2,1),(GS114-0.05)))</f>
        <v/>
      </c>
      <c r="GU114" s="172">
        <f>MIN(1,MAX(VLOOKUP(($AJ114-$AI114-$AH114-$AG114-$AF114-$AE114*(1+GU$3))/$AJ114,'Технический лист'!$A:$B,2,1),(GT114-0.05)))</f>
        <v/>
      </c>
      <c r="GV114" s="172">
        <f>MIN(1,MAX(VLOOKUP(($AJ114-$AI114-$AH114-$AG114-$AF114-$AE114*(1+GV$3))/$AJ114,'Технический лист'!$A:$B,2,1),(GU114-0.05)))</f>
        <v/>
      </c>
      <c r="GW114" s="172">
        <f>MIN(1,MAX(VLOOKUP(($AJ114-$AI114-$AH114-$AG114-$AF114-$AE114*(1+GW$3))/$AJ114,'Технический лист'!$A:$B,2,1),(GV114-0.05)))</f>
        <v/>
      </c>
      <c r="GX114" s="172">
        <f>MIN(1,MAX(VLOOKUP(($AJ114-$AI114-$AH114-$AG114-$AF114-$AE114*(1+GX$3))/$AJ114,'Технический лист'!$A:$B,2,1),(GW114-0.05)))</f>
        <v/>
      </c>
      <c r="GY114" s="172">
        <f>MIN(1,MAX(VLOOKUP(($AJ114-$AI114-$AH114-$AG114-$AF114-$AE114*(1+GY$3))/$AJ114,'Технический лист'!$A:$B,2,1),(GX114-0.05)))</f>
        <v/>
      </c>
      <c r="GZ114" s="172">
        <f>MIN(1,MAX(VLOOKUP(($AJ114-$AI114-$AH114-$AG114-$AF114-$AE114*(1+GZ$3))/$AJ114,'Технический лист'!$A:$B,2,1),(GY114-0.05)))</f>
        <v/>
      </c>
      <c r="HA114" s="172">
        <f>MIN(1,MAX(VLOOKUP(($AJ114-$AI114-$AH114-$AG114-$AF114-$AE114*(1+HA$3))/$AJ114,'Технический лист'!$A:$B,2,1),(GZ114-0.05)))</f>
        <v/>
      </c>
      <c r="HB114" s="172">
        <f>MIN(1,MAX(VLOOKUP(($AJ114-$AI114-$AH114-$AG114-$AF114-$AE114*(1+HB$3))/$AJ114,'Технический лист'!$A:$B,2,1),(HA114-0.05)))</f>
        <v/>
      </c>
      <c r="HC114" s="172">
        <f>MIN(1,MAX(VLOOKUP(($AJ114-$AI114-$AH114-$AG114-$AF114-$AE114*(1+HC$3))/$AJ114,'Технический лист'!$A:$B,2,1),(HB114-0.05)))</f>
        <v/>
      </c>
      <c r="HD114" s="172">
        <f>MIN(1,MAX(VLOOKUP(($AJ114-$AI114-$AH114-$AG114-$AF114-$AE114*(1+HD$3))/$AJ114,'Технический лист'!$A:$B,2,1),(HC114-0.05)))</f>
        <v/>
      </c>
      <c r="HE114" s="172">
        <f>MIN(1,MAX(VLOOKUP(($AJ114-$AI114-$AH114-$AG114-$AF114-$AE114*(1+HE$3))/$AJ114,'Технический лист'!$A:$B,2,1),(HD114-0.05)))</f>
        <v/>
      </c>
      <c r="HF114" s="172">
        <f>MIN(1,MAX(VLOOKUP(($AJ114-$AI114-$AH114-$AG114-$AF114-$AE114*(1+HF$3))/$AJ114,'Технический лист'!$A:$B,2,1),(HE114-0.05)))</f>
        <v/>
      </c>
      <c r="HG114" s="172">
        <f>MIN(1,MAX(VLOOKUP(($AJ114-$AI114-$AH114-$AG114-$AF114-$AE114*(1+HG$3))/$AJ114,'Технический лист'!$A:$B,2,1),(HF114-0.05)))</f>
        <v/>
      </c>
      <c r="HH114" s="172">
        <f>MIN(1,MAX(VLOOKUP(($AJ114-$AI114-$AH114-$AG114-$AF114-$AE114*(1+HH$3))/$AJ114,'Технический лист'!$A:$B,2,1),(HG114-0.05)))</f>
        <v/>
      </c>
      <c r="HI114" s="172">
        <f>MIN(1,MAX(VLOOKUP(($AJ114-$AI114-$AH114-$AG114-$AF114-$AE114*(1+HI$3))/$AJ114,'Технический лист'!$A:$B,2,1),(HH114-0.05)))</f>
        <v/>
      </c>
      <c r="HJ114" s="172">
        <f>MIN(1,MAX(VLOOKUP(($AJ114-$AI114-$AH114-$AG114-$AF114-$AE114*(1+HJ$3))/$AJ114,'Технический лист'!$A:$B,2,1),(HI114-0.05)))</f>
        <v/>
      </c>
      <c r="HK114" s="172">
        <f>MIN(1,MAX(VLOOKUP(($AJ114-$AI114-$AH114-$AG114-$AF114-$AE114*(1+HK$3))/$AJ114,'Технический лист'!$A:$B,2,1),(HJ114-0.05)))</f>
        <v/>
      </c>
      <c r="HL114" s="172">
        <f>MIN(1,MAX(VLOOKUP(($AJ114-$AI114-$AH114-$AG114-$AF114-$AE114*(1+HL$3))/$AJ114,'Технический лист'!$A:$B,2,1),(HK114-0.05)))</f>
        <v/>
      </c>
      <c r="HM114" s="172">
        <f>MIN(1,MAX(VLOOKUP(($AJ114-$AI114-$AH114-$AG114-$AF114-$AE114*(1+HM$3))/$AJ114,'Технический лист'!$A:$B,2,1),(HL114-0.05)))</f>
        <v/>
      </c>
      <c r="HN114" s="172">
        <f>MIN(1,MAX(VLOOKUP(($AJ114-$AI114-$AH114-$AG114-$AF114-$AE114*(1+HN$3))/$AJ114,'Технический лист'!$A:$B,2,1),(HM114-0.05)))</f>
        <v/>
      </c>
      <c r="HO114" s="172">
        <f>MIN(1,MAX(VLOOKUP(($AJ114-$AI114-$AH114-$AG114-$AF114-$AE114*(1+HO$3))/$AJ114,'Технический лист'!$A:$B,2,1),(HN114-0.05)))</f>
        <v/>
      </c>
      <c r="HP114" s="172">
        <f>MIN(1,MAX(VLOOKUP(($AJ114-$AI114-$AH114-$AG114-$AF114-$AE114*(1+HP$3))/$AJ114,'Технический лист'!$A:$B,2,1),(HO114-0.05)))</f>
        <v/>
      </c>
      <c r="HQ114" s="172">
        <f>MIN(1,MAX(VLOOKUP(($AJ114-$AI114-$AH114-$AG114-$AF114-$AE114*(1+HQ$3))/$AJ114,'Технический лист'!$A:$B,2,1),(HP114-0.05)))</f>
        <v/>
      </c>
      <c r="HR114" s="172">
        <f>MIN(1,MAX(VLOOKUP(($AJ114-$AI114-$AH114-$AG114-$AF114-$AE114*(1+HR$3))/$AJ114,'Технический лист'!$A:$B,2,1),(HQ114-0.05)))</f>
        <v/>
      </c>
      <c r="HS114" s="172">
        <f>MIN(1,MAX(VLOOKUP(($AJ114-$AI114-$AH114-$AG114-$AF114-$AE114*(1+HS$3))/$AJ114,'Технический лист'!$A:$B,2,1),(HR114-0.05)))</f>
        <v/>
      </c>
      <c r="HT114" s="172">
        <f>MIN(1,MAX(VLOOKUP(($AJ114-$AI114-$AH114-$AG114-$AF114-$AE114*(1+HT$3))/$AJ114,'Технический лист'!$A:$B,2,1),(HS114-0.05)))</f>
        <v/>
      </c>
      <c r="HU114" s="172">
        <f>MIN(1,MAX(VLOOKUP(($AJ114-$AI114-$AH114-$AG114-$AF114-$AE114*(1+HU$3))/$AJ114,'Технический лист'!$A:$B,2,1),(HT114-0.05)))</f>
        <v/>
      </c>
      <c r="HV114" s="172">
        <f>MIN(1,MAX(VLOOKUP(($AJ114-$AI114-$AH114-$AG114-$AF114-$AE114*(1+HV$3))/$AJ114,'Технический лист'!$A:$B,2,1),(HU114-0.05)))</f>
        <v/>
      </c>
      <c r="HW114" s="172">
        <f>MIN(1,MAX(VLOOKUP(($AJ114-$AI114-$AH114-$AG114-$AF114-$AE114*(1+HW$3))/$AJ114,'Технический лист'!$A:$B,2,1),(HV114-0.05)))</f>
        <v/>
      </c>
      <c r="HX114" s="172">
        <f>MIN(1,MAX(VLOOKUP(($AJ114-$AI114-$AH114-$AG114-$AF114-$AE114*(1+HX$3))/$AJ114,'Технический лист'!$A:$B,2,1),(HW114-0.05)))</f>
        <v/>
      </c>
      <c r="HY114" s="172">
        <f>MIN(1,MAX(VLOOKUP(($AJ114-$AI114-$AH114-$AG114-$AF114-$AE114*(1+HY$3))/$AJ114,'Технический лист'!$A:$B,2,1),(HX114-0.05)))</f>
        <v/>
      </c>
      <c r="HZ114" s="172">
        <f>MIN(1,MAX(VLOOKUP(($AJ114-$AI114-$AH114-$AG114-$AF114-$AE114*(1+HZ$3))/$AJ114,'Технический лист'!$A:$B,2,1),(HY114-0.05)))</f>
        <v/>
      </c>
      <c r="IA114" s="172">
        <f>MIN(1,MAX(VLOOKUP(($AJ114-$AI114-$AH114-$AG114-$AF114-$AE114*(1+IA$3))/$AJ114,'Технический лист'!$A:$B,2,1),(HZ114-0.05)))</f>
        <v/>
      </c>
      <c r="IB114" s="172">
        <f>MIN(1,MAX(VLOOKUP(($AJ114-$AI114-$AH114-$AG114-$AF114-$AE114*(1+IB$3))/$AJ114,'Технический лист'!$A:$B,2,1),(IA114-0.05)))</f>
        <v/>
      </c>
      <c r="IC114" s="172">
        <f>MIN(1,MAX(VLOOKUP(($AJ114-$AI114-$AH114-$AG114-$AF114-$AE114*(1+IC$3))/$AJ114,'Технический лист'!$A:$B,2,1),(IB114-0.05)))</f>
        <v/>
      </c>
      <c r="ID114" s="172">
        <f>MIN(1,MAX(VLOOKUP(($AJ114-$AI114-$AH114-$AG114-$AF114-$AE114*(1+ID$3))/$AJ114,'Технический лист'!$A:$B,2,1),(IC114-0.05)))</f>
        <v/>
      </c>
      <c r="IE114" s="172">
        <f>MIN(1,MAX(VLOOKUP(($AJ114-$AI114-$AH114-$AG114-$AF114-$AE114*(1+IE$3))/$AJ114,'Технический лист'!$A:$B,2,1),(ID114-0.05)))</f>
        <v/>
      </c>
      <c r="IF114" s="172">
        <f>MIN(1,MAX(VLOOKUP(($AJ114-$AI114-$AH114-$AG114-$AF114-$AE114*(1+IF$3))/$AJ114,'Технический лист'!$A:$B,2,1),(IE114-0.05)))</f>
        <v/>
      </c>
      <c r="IG114" s="172">
        <f>MIN(1,MAX(VLOOKUP(($AJ114-$AI114-$AH114-$AG114-$AF114-$AE114*(1+IG$3))/$AJ114,'Технический лист'!$A:$B,2,1),(IF114-0.05)))</f>
        <v/>
      </c>
      <c r="IH114" s="172">
        <f>MIN(1,MAX(VLOOKUP(($AJ114-$AI114-$AH114-$AG114-$AF114-$AE114*(1+IH$3))/$AJ114,'Технический лист'!$A:$B,2,1),(IG114-0.05)))</f>
        <v/>
      </c>
      <c r="II114" s="172">
        <f>MIN(1,MAX(VLOOKUP(($AJ114-$AI114-$AH114-$AG114-$AF114-$AE114*(1+II$3))/$AJ114,'Технический лист'!$A:$B,2,1),(IH114-0.05)))</f>
        <v/>
      </c>
      <c r="IJ114" s="172">
        <f>MIN(1,MAX(VLOOKUP(($AJ114-$AI114-$AH114-$AG114-$AF114-$AE114*(1+IJ$3))/$AJ114,'Технический лист'!$A:$B,2,1),(II114-0.05)))</f>
        <v/>
      </c>
      <c r="IK114" s="172">
        <f>MIN(1,MAX(VLOOKUP(($AJ114-$AI114-$AH114-$AG114-$AF114-$AE114*(1+IK$3))/$AJ114,'Технический лист'!$A:$B,2,1),(IJ114-0.05)))</f>
        <v/>
      </c>
      <c r="IL114" s="172">
        <f>MIN(1,MAX(VLOOKUP(($AJ114-$AI114-$AH114-$AG114-$AF114-$AE114*(1+IL$3))/$AJ114,'Технический лист'!$A:$B,2,1),(IK114-0.05)))</f>
        <v/>
      </c>
      <c r="IM114" s="172">
        <f>MIN(1,MAX(VLOOKUP(($AJ114-$AI114-$AH114-$AG114-$AF114-$AE114*(1+IM$3))/$AJ114,'Технический лист'!$A:$B,2,1),(IL114-0.05)))</f>
        <v/>
      </c>
      <c r="IN114" s="172">
        <f>MIN(1,MAX(VLOOKUP(($AJ114-$AI114-$AH114-$AG114-$AF114-$AE114*(1+IN$3))/$AJ114,'Технический лист'!$A:$B,2,1),(IM114-0.05)))</f>
        <v/>
      </c>
      <c r="IO114" s="172">
        <f>MIN(1,MAX(VLOOKUP(($AJ114-$AI114-$AH114-$AG114-$AF114-$AE114*(1+IO$3))/$AJ114,'Технический лист'!$A:$B,2,1),(IN114-0.05)))</f>
        <v/>
      </c>
      <c r="IP114" s="172">
        <f>MIN(1,MAX(VLOOKUP(($AJ114-$AI114-$AH114-$AG114-$AF114-$AE114*(1+IP$3))/$AJ114,'Технический лист'!$A:$B,2,1),(IO114-0.05)))</f>
        <v/>
      </c>
      <c r="IQ114" s="172">
        <f>MIN(1,MAX(VLOOKUP(($AJ114-$AI114-$AH114-$AG114-$AF114-$AE114*(1+IQ$3))/$AJ114,'Технический лист'!$A:$B,2,1),(IP114-0.05)))</f>
        <v/>
      </c>
      <c r="IR114" s="172">
        <f>MIN(1,MAX(VLOOKUP(($AJ114-$AI114-$AH114-$AG114-$AF114-$AE114*(1+IR$3))/$AJ114,'Технический лист'!$A:$B,2,1),(IQ114-0.05)))</f>
        <v/>
      </c>
    </row>
    <row r="115" ht="29.15" customHeight="1" s="123">
      <c r="A115" s="89" t="inlineStr">
        <is>
          <t>ЧМ (продукция)</t>
        </is>
      </c>
      <c r="B115" s="90" t="n">
        <v>5</v>
      </c>
      <c r="C115" s="5" t="inlineStr">
        <is>
          <t>Черные металлы</t>
        </is>
      </c>
      <c r="D115" s="91" t="n">
        <v>31402</v>
      </c>
      <c r="E115" s="91" t="inlineStr">
        <is>
          <t xml:space="preserve">Заготовка для переката качественная </t>
        </is>
      </c>
      <c r="F115" s="92" t="inlineStr">
        <is>
          <t>ЗАГОТОВКИ СТАЛЬНЫЕ</t>
        </is>
      </c>
      <c r="G115" s="91" t="inlineStr">
        <is>
          <t>ЮВС</t>
        </is>
      </c>
      <c r="H115" s="91" t="inlineStr">
        <is>
          <t>ГОР</t>
        </is>
      </c>
      <c r="I115" s="91" t="inlineStr">
        <is>
          <t>НОВОЛИПЕЦК</t>
        </is>
      </c>
      <c r="J115" s="91" t="inlineStr">
        <is>
          <t>НАВАШИНО</t>
        </is>
      </c>
      <c r="K115" s="91" t="n">
        <v>675</v>
      </c>
      <c r="L115" s="91" t="inlineStr">
        <is>
          <t>Полувагоны</t>
        </is>
      </c>
      <c r="M115" s="91" t="inlineStr">
        <is>
          <t>Внутр. перевозки</t>
        </is>
      </c>
      <c r="N115" s="91" t="inlineStr">
        <is>
          <t>вагонная</t>
        </is>
      </c>
      <c r="O115" s="91" t="inlineStr">
        <is>
          <t xml:space="preserve">Южное </t>
        </is>
      </c>
      <c r="P115" s="89" t="inlineStr">
        <is>
          <t>'000005757665</t>
        </is>
      </c>
      <c r="Q115" s="91" t="inlineStr">
        <is>
          <t>'ПАО "НЛМК"</t>
        </is>
      </c>
      <c r="R115" s="91" t="inlineStr">
        <is>
          <t>ПАО "НЛМК"</t>
        </is>
      </c>
      <c r="S115" s="87" t="n">
        <v>284936</v>
      </c>
      <c r="T115" s="87" t="n">
        <v>192454460</v>
      </c>
      <c r="U115" s="88" t="n">
        <v>4622</v>
      </c>
      <c r="V115" s="88" t="n">
        <v>0</v>
      </c>
      <c r="W115" s="87" t="n">
        <v>424422540</v>
      </c>
      <c r="X115" s="112" t="n">
        <v>58</v>
      </c>
      <c r="Y115" s="112" t="inlineStr">
        <is>
          <t>групповая</t>
        </is>
      </c>
      <c r="Z115" s="113" t="n">
        <v>5</v>
      </c>
      <c r="AA115" s="113" t="n">
        <v>5</v>
      </c>
      <c r="AB115" s="113" t="n">
        <v>4</v>
      </c>
      <c r="AC115" s="161" t="n">
        <v>1959.33</v>
      </c>
      <c r="AD115" s="161">
        <f>AE115-AC115</f>
        <v/>
      </c>
      <c r="AE115" s="161" t="n">
        <v>2203.41</v>
      </c>
      <c r="AF115" s="162">
        <f>(Z115+AA115+AB115)*'Ставки аренды'!$B$3/X115</f>
        <v/>
      </c>
      <c r="AG115" s="163" t="n">
        <v>0</v>
      </c>
      <c r="AH115" s="164" t="n">
        <v>0</v>
      </c>
      <c r="AI115" s="174">
        <f>539714289/604384772*AVERAGE(AJ113,AJ115)</f>
        <v/>
      </c>
      <c r="AJ115" s="166">
        <f>Цены!$D$11</f>
        <v/>
      </c>
      <c r="AK115" s="164">
        <f>AJ115/Цены!$B$1</f>
        <v/>
      </c>
      <c r="AL115" s="164">
        <f>AE115+AF115+AG115</f>
        <v/>
      </c>
      <c r="AM115" s="164">
        <f>AJ115-AL115</f>
        <v/>
      </c>
      <c r="AN115" s="164">
        <f>AI115+AH115+AG115+AF115+AE115</f>
        <v/>
      </c>
      <c r="AO115" s="167">
        <f>(AJ115-AN115)/AJ115</f>
        <v/>
      </c>
      <c r="AP115" s="168">
        <f>AL115/AJ115</f>
        <v/>
      </c>
      <c r="AQ115" s="168">
        <f>AE115/AJ115</f>
        <v/>
      </c>
      <c r="AR115" s="168">
        <f>AE115/AL115</f>
        <v/>
      </c>
      <c r="AS115" s="169" t="n">
        <v>1</v>
      </c>
      <c r="AT115" s="121">
        <f>S115*AS115</f>
        <v/>
      </c>
      <c r="AU115" s="83" t="n">
        <v>0.95</v>
      </c>
      <c r="AV115" s="170">
        <f>(AJ115-(AE115*(1+$IS$2)+AF115+AG115+AH115+AI115))/AJ115</f>
        <v/>
      </c>
      <c r="AW115" s="171">
        <f>(AE115*(1+$IS$2)+AF115+AG115)/AJ115</f>
        <v/>
      </c>
      <c r="AX115" s="171">
        <f>(AE115*(1+$IS$2))/AJ115</f>
        <v/>
      </c>
      <c r="AY115" s="171">
        <f>(AE115*(1+$IS$2))/(AE115*(1+$IS$2)+AF115+AG115)</f>
        <v/>
      </c>
      <c r="AZ115" s="172">
        <f>MIN(IF($AU115=100%,1,1+VLOOKUP(($AJ115-$AI115-$AH115-$AG115-$AF115-$AE115*(1+AZ$3))/$AJ115,'Технический лист'!$I:$J,2,1)-VLOOKUP($AO115,'Технический лист'!$I:$J,2,1)),1+(1-$AU115))</f>
        <v/>
      </c>
      <c r="BA115" s="172">
        <f>MIN(IF($AU115=100%,1,1+VLOOKUP(($AJ115-$AI115-$AH115-$AG115-$AF115-$AE115*(1+BA$3))/$AJ115,'Технический лист'!$I:$J,2,1)-VLOOKUP($AO115,'Технический лист'!$I:$J,2,1)),1+(1-$AU115))</f>
        <v/>
      </c>
      <c r="BB115" s="172">
        <f>MIN(IF($AU115=100%,1,1+VLOOKUP(($AJ115-$AI115-$AH115-$AG115-$AF115-$AE115*(1+BB$3))/$AJ115,'Технический лист'!$I:$J,2,1)-VLOOKUP($AO115,'Технический лист'!$I:$J,2,1)),1+(1-$AU115))</f>
        <v/>
      </c>
      <c r="BC115" s="172">
        <f>MIN(IF($AU115=100%,1,1+VLOOKUP(($AJ115-$AI115-$AH115-$AG115-$AF115-$AE115*(1+BC$3))/$AJ115,'Технический лист'!$I:$J,2,1)-VLOOKUP($AO115,'Технический лист'!$I:$J,2,1)),1+(1-$AU115))</f>
        <v/>
      </c>
      <c r="BD115" s="172">
        <f>MIN(IF($AU115=100%,1,1+VLOOKUP(($AJ115-$AI115-$AH115-$AG115-$AF115-$AE115*(1+BD$3))/$AJ115,'Технический лист'!$I:$J,2,1)-VLOOKUP($AO115,'Технический лист'!$I:$J,2,1)),1+(1-$AU115))</f>
        <v/>
      </c>
      <c r="BE115" s="172">
        <f>MIN(IF($AU115=100%,1,1+VLOOKUP(($AJ115-$AI115-$AH115-$AG115-$AF115-$AE115*(1+BE$3))/$AJ115,'Технический лист'!$I:$J,2,1)-VLOOKUP($AO115,'Технический лист'!$I:$J,2,1)),1+(1-$AU115))</f>
        <v/>
      </c>
      <c r="BF115" s="172">
        <f>MIN(IF($AU115=100%,1,1+VLOOKUP(($AJ115-$AI115-$AH115-$AG115-$AF115-$AE115*(1+BF$3))/$AJ115,'Технический лист'!$I:$J,2,1)-VLOOKUP($AO115,'Технический лист'!$I:$J,2,1)),1+(1-$AU115))</f>
        <v/>
      </c>
      <c r="BG115" s="172">
        <f>MIN(IF($AU115=100%,1,1+VLOOKUP(($AJ115-$AI115-$AH115-$AG115-$AF115-$AE115*(1+BG$3))/$AJ115,'Технический лист'!$I:$J,2,1)-VLOOKUP($AO115,'Технический лист'!$I:$J,2,1)),1+(1-$AU115))</f>
        <v/>
      </c>
      <c r="BH115" s="172">
        <f>MIN(IF($AU115=100%,1,1+VLOOKUP(($AJ115-$AI115-$AH115-$AG115-$AF115-$AE115*(1+BH$3))/$AJ115,'Технический лист'!$I:$J,2,1)-VLOOKUP($AO115,'Технический лист'!$I:$J,2,1)),1+(1-$AU115))</f>
        <v/>
      </c>
      <c r="BI115" s="172">
        <f>MIN(IF($AU115=100%,1,1+VLOOKUP(($AJ115-$AI115-$AH115-$AG115-$AF115-$AE115*(1+BI$3))/$AJ115,'Технический лист'!$I:$J,2,1)-VLOOKUP($AO115,'Технический лист'!$I:$J,2,1)),1+(1-$AU115))</f>
        <v/>
      </c>
      <c r="BJ115" s="172">
        <f>MIN(IF($AU115=100%,1,1+VLOOKUP(($AJ115-$AI115-$AH115-$AG115-$AF115-$AE115*(1+BJ$3))/$AJ115,'Технический лист'!$I:$J,2,1)-VLOOKUP($AO115,'Технический лист'!$I:$J,2,1)),1+(1-$AU115))</f>
        <v/>
      </c>
      <c r="BK115" s="172">
        <f>MIN(IF($AU115=100%,1,1+VLOOKUP(($AJ115-$AI115-$AH115-$AG115-$AF115-$AE115*(1+BK$3))/$AJ115,'Технический лист'!$I:$J,2,1)-VLOOKUP($AO115,'Технический лист'!$I:$J,2,1)),1+(1-$AU115))</f>
        <v/>
      </c>
      <c r="BL115" s="172">
        <f>MIN(IF($AU115=100%,1,1+VLOOKUP(($AJ115-$AI115-$AH115-$AG115-$AF115-$AE115*(1+BL$3))/$AJ115,'Технический лист'!$I:$J,2,1)-VLOOKUP($AO115,'Технический лист'!$I:$J,2,1)),1+(1-$AU115))</f>
        <v/>
      </c>
      <c r="BM115" s="172">
        <f>MIN(IF($AU115=100%,1,1+VLOOKUP(($AJ115-$AI115-$AH115-$AG115-$AF115-$AE115*(1+BM$3))/$AJ115,'Технический лист'!$I:$J,2,1)-VLOOKUP($AO115,'Технический лист'!$I:$J,2,1)),1+(1-$AU115))</f>
        <v/>
      </c>
      <c r="BN115" s="172">
        <f>MIN(IF($AU115=100%,1,1+VLOOKUP(($AJ115-$AI115-$AH115-$AG115-$AF115-$AE115*(1+BN$3))/$AJ115,'Технический лист'!$I:$J,2,1)-VLOOKUP($AO115,'Технический лист'!$I:$J,2,1)),1+(1-$AU115))</f>
        <v/>
      </c>
      <c r="BO115" s="172">
        <f>MIN(IF($AU115=100%,1,1+VLOOKUP(($AJ115-$AI115-$AH115-$AG115-$AF115-$AE115*(1+BO$3))/$AJ115,'Технический лист'!$I:$J,2,1)-VLOOKUP($AO115,'Технический лист'!$I:$J,2,1)),1+(1-$AU115))</f>
        <v/>
      </c>
      <c r="BP115" s="172">
        <f>MIN(IF($AU115=100%,1,1+VLOOKUP(($AJ115-$AI115-$AH115-$AG115-$AF115-$AE115*(1+BP$3))/$AJ115,'Технический лист'!$I:$J,2,1)-VLOOKUP($AO115,'Технический лист'!$I:$J,2,1)),1+(1-$AU115))</f>
        <v/>
      </c>
      <c r="BQ115" s="172">
        <f>MIN(IF($AU115=100%,1,1+VLOOKUP(($AJ115-$AI115-$AH115-$AG115-$AF115-$AE115*(1+BQ$3))/$AJ115,'Технический лист'!$I:$J,2,1)-VLOOKUP($AO115,'Технический лист'!$I:$J,2,1)),1+(1-$AU115))</f>
        <v/>
      </c>
      <c r="BR115" s="172">
        <f>MIN(IF($AU115=100%,1,1+VLOOKUP(($AJ115-$AI115-$AH115-$AG115-$AF115-$AE115*(1+BR$3))/$AJ115,'Технический лист'!$I:$J,2,1)-VLOOKUP($AO115,'Технический лист'!$I:$J,2,1)),1+(1-$AU115))</f>
        <v/>
      </c>
      <c r="BS115" s="172">
        <f>MIN(IF($AU115=100%,1,1+VLOOKUP(($AJ115-$AI115-$AH115-$AG115-$AF115-$AE115*(1+BS$3))/$AJ115,'Технический лист'!$I:$J,2,1)-VLOOKUP($AO115,'Технический лист'!$I:$J,2,1)),1+(1-$AU115))</f>
        <v/>
      </c>
      <c r="BT115" s="172">
        <f>MIN(IF($AU115=100%,1,1+VLOOKUP(($AJ115-$AI115-$AH115-$AG115-$AF115-$AE115*(1+BT$3))/$AJ115,'Технический лист'!$I:$J,2,1)-VLOOKUP($AO115,'Технический лист'!$I:$J,2,1)),1+(1-$AU115))</f>
        <v/>
      </c>
      <c r="BU115" s="172">
        <f>MIN(IF($AU115=100%,1,1+VLOOKUP(($AJ115-$AI115-$AH115-$AG115-$AF115-$AE115*(1+BU$3))/$AJ115,'Технический лист'!$I:$J,2,1)-VLOOKUP($AO115,'Технический лист'!$I:$J,2,1)),1+(1-$AU115))</f>
        <v/>
      </c>
      <c r="BV115" s="172">
        <f>MIN(IF($AU115=100%,1,1+VLOOKUP(($AJ115-$AI115-$AH115-$AG115-$AF115-$AE115*(1+BV$3))/$AJ115,'Технический лист'!$I:$J,2,1)-VLOOKUP($AO115,'Технический лист'!$I:$J,2,1)),1+(1-$AU115))</f>
        <v/>
      </c>
      <c r="BW115" s="172">
        <f>MIN(IF($AU115=100%,1,1+VLOOKUP(($AJ115-$AI115-$AH115-$AG115-$AF115-$AE115*(1+BW$3))/$AJ115,'Технический лист'!$I:$J,2,1)-VLOOKUP($AO115,'Технический лист'!$I:$J,2,1)),1+(1-$AU115))</f>
        <v/>
      </c>
      <c r="BX115" s="172">
        <f>MIN(IF($AU115=100%,1,1+VLOOKUP(($AJ115-$AI115-$AH115-$AG115-$AF115-$AE115*(1+BX$3))/$AJ115,'Технический лист'!$I:$J,2,1)-VLOOKUP($AO115,'Технический лист'!$I:$J,2,1)),1+(1-$AU115))</f>
        <v/>
      </c>
      <c r="BY115" s="172">
        <f>MIN(IF($AU115=100%,1,1+VLOOKUP(($AJ115-$AI115-$AH115-$AG115-$AF115-$AE115*(1+BY$3))/$AJ115,'Технический лист'!$I:$J,2,1)-VLOOKUP($AO115,'Технический лист'!$I:$J,2,1)),1+(1-$AU115))</f>
        <v/>
      </c>
      <c r="BZ115" s="172">
        <f>MIN(IF($AU115=100%,1,1+VLOOKUP(($AJ115-$AI115-$AH115-$AG115-$AF115-$AE115*(1+BZ$3))/$AJ115,'Технический лист'!$I:$J,2,1)-VLOOKUP($AO115,'Технический лист'!$I:$J,2,1)),1+(1-$AU115))</f>
        <v/>
      </c>
      <c r="CA115" s="172">
        <f>MIN(IF($AU115=100%,1,1+VLOOKUP(($AJ115-$AI115-$AH115-$AG115-$AF115-$AE115*(1+CA$3))/$AJ115,'Технический лист'!$I:$J,2,1)-VLOOKUP($AO115,'Технический лист'!$I:$J,2,1)),1+(1-$AU115))</f>
        <v/>
      </c>
      <c r="CB115" s="172">
        <f>MIN(IF($AU115=100%,1,1+VLOOKUP(($AJ115-$AI115-$AH115-$AG115-$AF115-$AE115*(1+CB$3))/$AJ115,'Технический лист'!$I:$J,2,1)-VLOOKUP($AO115,'Технический лист'!$I:$J,2,1)),1+(1-$AU115))</f>
        <v/>
      </c>
      <c r="CC115" s="172">
        <f>MIN(IF($AU115=100%,1,1+VLOOKUP(($AJ115-$AI115-$AH115-$AG115-$AF115-$AE115*(1+CC$3))/$AJ115,'Технический лист'!$I:$J,2,1)-VLOOKUP($AO115,'Технический лист'!$I:$J,2,1)),1+(1-$AU115))</f>
        <v/>
      </c>
      <c r="CD115" s="172">
        <f>MIN(IF($AU115=100%,1,1+VLOOKUP(($AJ115-$AI115-$AH115-$AG115-$AF115-$AE115*(1+CD$3))/$AJ115,'Технический лист'!$I:$J,2,1)-VLOOKUP($AO115,'Технический лист'!$I:$J,2,1)),1+(1-$AU115))</f>
        <v/>
      </c>
      <c r="CE115" s="172">
        <f>MIN(IF($AU115=100%,1,1+VLOOKUP(($AJ115-$AI115-$AH115-$AG115-$AF115-$AE115*(1+CE$3))/$AJ115,'Технический лист'!$I:$J,2,1)-VLOOKUP($AO115,'Технический лист'!$I:$J,2,1)),1+(1-$AU115))</f>
        <v/>
      </c>
      <c r="CF115" s="172">
        <f>MIN(IF($AU115=100%,1,1+VLOOKUP(($AJ115-$AI115-$AH115-$AG115-$AF115-$AE115*(1+CF$3))/$AJ115,'Технический лист'!$I:$J,2,1)-VLOOKUP($AO115,'Технический лист'!$I:$J,2,1)),1+(1-$AU115))</f>
        <v/>
      </c>
      <c r="CG115" s="172">
        <f>MIN(IF($AU115=100%,1,1+VLOOKUP(($AJ115-$AI115-$AH115-$AG115-$AF115-$AE115*(1+CG$3))/$AJ115,'Технический лист'!$I:$J,2,1)-VLOOKUP($AO115,'Технический лист'!$I:$J,2,1)),1+(1-$AU115))</f>
        <v/>
      </c>
      <c r="CH115" s="172">
        <f>MIN(IF($AU115=100%,1,1+VLOOKUP(($AJ115-$AI115-$AH115-$AG115-$AF115-$AE115*(1+CH$3))/$AJ115,'Технический лист'!$I:$J,2,1)-VLOOKUP($AO115,'Технический лист'!$I:$J,2,1)),1+(1-$AU115))</f>
        <v/>
      </c>
      <c r="CI115" s="172">
        <f>MIN(IF($AU115=100%,1,1+VLOOKUP(($AJ115-$AI115-$AH115-$AG115-$AF115-$AE115*(1+CI$3))/$AJ115,'Технический лист'!$I:$J,2,1)-VLOOKUP($AO115,'Технический лист'!$I:$J,2,1)),1+(1-$AU115))</f>
        <v/>
      </c>
      <c r="CJ115" s="172">
        <f>MIN(IF($AU115=100%,1,1+VLOOKUP(($AJ115-$AI115-$AH115-$AG115-$AF115-$AE115*(1+CJ$3))/$AJ115,'Технический лист'!$I:$J,2,1)-VLOOKUP($AO115,'Технический лист'!$I:$J,2,1)),1+(1-$AU115))</f>
        <v/>
      </c>
      <c r="CK115" s="172">
        <f>MIN(IF($AU115=100%,1,1+VLOOKUP(($AJ115-$AI115-$AH115-$AG115-$AF115-$AE115*(1+CK$3))/$AJ115,'Технический лист'!$I:$J,2,1)-VLOOKUP($AO115,'Технический лист'!$I:$J,2,1)),1+(1-$AU115))</f>
        <v/>
      </c>
      <c r="CL115" s="172">
        <f>MIN(IF($AU115=100%,1,1+VLOOKUP(($AJ115-$AI115-$AH115-$AG115-$AF115-$AE115*(1+CL$3))/$AJ115,'Технический лист'!$I:$J,2,1)-VLOOKUP($AO115,'Технический лист'!$I:$J,2,1)),1+(1-$AU115))</f>
        <v/>
      </c>
      <c r="CM115" s="172">
        <f>MIN(IF($AU115=100%,1,1+VLOOKUP(($AJ115-$AI115-$AH115-$AG115-$AF115-$AE115*(1+CM$3))/$AJ115,'Технический лист'!$I:$J,2,1)-VLOOKUP($AO115,'Технический лист'!$I:$J,2,1)),1+(1-$AU115))</f>
        <v/>
      </c>
      <c r="CN115" s="172">
        <f>MIN(IF($AU115=100%,1,1+VLOOKUP(($AJ115-$AI115-$AH115-$AG115-$AF115-$AE115*(1+CN$3))/$AJ115,'Технический лист'!$I:$J,2,1)-VLOOKUP($AO115,'Технический лист'!$I:$J,2,1)),1+(1-$AU115))</f>
        <v/>
      </c>
      <c r="CO115" s="172">
        <f>MIN(IF($AU115=100%,1,1+VLOOKUP(($AJ115-$AI115-$AH115-$AG115-$AF115-$AE115*(1+CO$3))/$AJ115,'Технический лист'!$I:$J,2,1)-VLOOKUP($AO115,'Технический лист'!$I:$J,2,1)),1+(1-$AU115))</f>
        <v/>
      </c>
      <c r="CP115" s="172">
        <f>MIN(IF($AU115=100%,1,1+VLOOKUP(($AJ115-$AI115-$AH115-$AG115-$AF115-$AE115*(1+CP$3))/$AJ115,'Технический лист'!$I:$J,2,1)-VLOOKUP($AO115,'Технический лист'!$I:$J,2,1)),1+(1-$AU115))</f>
        <v/>
      </c>
      <c r="CQ115" s="172">
        <f>MIN(IF($AU115=100%,1,1+VLOOKUP(($AJ115-$AI115-$AH115-$AG115-$AF115-$AE115*(1+CQ$3))/$AJ115,'Технический лист'!$I:$J,2,1)-VLOOKUP($AO115,'Технический лист'!$I:$J,2,1)),1+(1-$AU115))</f>
        <v/>
      </c>
      <c r="CR115" s="172">
        <f>MIN(IF($AU115=100%,1,1+VLOOKUP(($AJ115-$AI115-$AH115-$AG115-$AF115-$AE115*(1+CR$3))/$AJ115,'Технический лист'!$I:$J,2,1)-VLOOKUP($AO115,'Технический лист'!$I:$J,2,1)),1+(1-$AU115))</f>
        <v/>
      </c>
      <c r="CS115" s="172">
        <f>MIN(IF($AU115=100%,1,1+VLOOKUP(($AJ115-$AI115-$AH115-$AG115-$AF115-$AE115*(1+CS$3))/$AJ115,'Технический лист'!$I:$J,2,1)-VLOOKUP($AO115,'Технический лист'!$I:$J,2,1)),1+(1-$AU115))</f>
        <v/>
      </c>
      <c r="CT115" s="172">
        <f>MIN(IF($AU115=100%,1,1+VLOOKUP(($AJ115-$AI115-$AH115-$AG115-$AF115-$AE115*(1+CT$3))/$AJ115,'Технический лист'!$I:$J,2,1)-VLOOKUP($AO115,'Технический лист'!$I:$J,2,1)),1+(1-$AU115))</f>
        <v/>
      </c>
      <c r="CU115" s="172">
        <f>MIN(IF($AU115=100%,1,1+VLOOKUP(($AJ115-$AI115-$AH115-$AG115-$AF115-$AE115*(1+CU$3))/$AJ115,'Технический лист'!$I:$J,2,1)-VLOOKUP($AO115,'Технический лист'!$I:$J,2,1)),1+(1-$AU115))</f>
        <v/>
      </c>
      <c r="CV115" s="172">
        <f>MIN(IF($AU115=100%,1,1+VLOOKUP(($AJ115-$AI115-$AH115-$AG115-$AF115-$AE115*(1+CV$3))/$AJ115,'Технический лист'!$I:$J,2,1)-VLOOKUP($AO115,'Технический лист'!$I:$J,2,1)),1+(1-$AU115))</f>
        <v/>
      </c>
      <c r="CW115" s="172">
        <f>MIN(IF($AU115=100%,1,1+VLOOKUP(($AJ115-$AI115-$AH115-$AG115-$AF115-$AE115*(1+CW$3))/$AJ115,'Технический лист'!$I:$J,2,1)-VLOOKUP($AO115,'Технический лист'!$I:$J,2,1)),1+(1-$AU115))</f>
        <v/>
      </c>
      <c r="CX115" s="172">
        <f>MIN(IF($AU115=100%,1,1+VLOOKUP(($AJ115-$AI115-$AH115-$AG115-$AF115-$AE115*(1+CX$3))/$AJ115,'Технический лист'!$I:$J,2,1)-VLOOKUP($AO115,'Технический лист'!$I:$J,2,1)),1+(1-$AU115))</f>
        <v/>
      </c>
      <c r="CY115" s="172">
        <f>MIN(IF($AU115=100%,1,1+VLOOKUP(($AJ115-$AI115-$AH115-$AG115-$AF115-$AE115*(1+CY$3))/$AJ115,'Технический лист'!$I:$J,2,1)-VLOOKUP($AO115,'Технический лист'!$I:$J,2,1)),1+(1-$AU115))</f>
        <v/>
      </c>
      <c r="CZ115" s="172">
        <f>MIN(IF($AU115=100%,1,1+VLOOKUP(($AJ115-$AI115-$AH115-$AG115-$AF115-$AE115*(1+CZ$3))/$AJ115,'Технический лист'!$I:$J,2,1)-VLOOKUP($AO115,'Технический лист'!$I:$J,2,1)),1+(1-$AU115))</f>
        <v/>
      </c>
      <c r="DA115" s="172">
        <f>MIN(IF($AU115=100%,1,1+VLOOKUP(($AJ115-$AI115-$AH115-$AG115-$AF115-$AE115*(1+DA$3))/$AJ115,'Технический лист'!$I:$J,2,1)-VLOOKUP($AO115,'Технический лист'!$I:$J,2,1)),1+(1-$AU115))</f>
        <v/>
      </c>
      <c r="DB115" s="172">
        <f>MIN(IF($AU115=100%,1,1+VLOOKUP(($AJ115-$AI115-$AH115-$AG115-$AF115-$AE115*(1+DB$3))/$AJ115,'Технический лист'!$I:$J,2,1)-VLOOKUP($AO115,'Технический лист'!$I:$J,2,1)),1+(1-$AU115))</f>
        <v/>
      </c>
      <c r="DC115" s="172">
        <f>MIN(IF($AU115=100%,1,1+VLOOKUP(($AJ115-$AI115-$AH115-$AG115-$AF115-$AE115*(1+DC$3))/$AJ115,'Технический лист'!$I:$J,2,1)-VLOOKUP($AO115,'Технический лист'!$I:$J,2,1)),1+(1-$AU115))</f>
        <v/>
      </c>
      <c r="DD115" s="172">
        <f>MIN(IF($AU115=100%,1,1+VLOOKUP(($AJ115-$AI115-$AH115-$AG115-$AF115-$AE115*(1+DD$3))/$AJ115,'Технический лист'!$I:$J,2,1)-VLOOKUP($AO115,'Технический лист'!$I:$J,2,1)),1+(1-$AU115))</f>
        <v/>
      </c>
      <c r="DE115" s="172">
        <f>MIN(IF($AU115=100%,1,1+VLOOKUP(($AJ115-$AI115-$AH115-$AG115-$AF115-$AE115*(1+DE$3))/$AJ115,'Технический лист'!$I:$J,2,1)-VLOOKUP($AO115,'Технический лист'!$I:$J,2,1)),1+(1-$AU115))</f>
        <v/>
      </c>
      <c r="DF115" s="172">
        <f>MIN(IF($AU115=100%,1,1+VLOOKUP(($AJ115-$AI115-$AH115-$AG115-$AF115-$AE115*(1+DF$3))/$AJ115,'Технический лист'!$I:$J,2,1)-VLOOKUP($AO115,'Технический лист'!$I:$J,2,1)),1+(1-$AU115))</f>
        <v/>
      </c>
      <c r="DG115" s="172">
        <f>MIN(IF($AU115=100%,1,1+VLOOKUP(($AJ115-$AI115-$AH115-$AG115-$AF115-$AE115*(1+DG$3))/$AJ115,'Технический лист'!$I:$J,2,1)-VLOOKUP($AO115,'Технический лист'!$I:$J,2,1)),1+(1-$AU115))</f>
        <v/>
      </c>
      <c r="DH115" s="172">
        <f>MIN(IF($AU115=100%,1,1+VLOOKUP(($AJ115-$AI115-$AH115-$AG115-$AF115-$AE115*(1+DH$3))/$AJ115,'Технический лист'!$I:$J,2,1)-VLOOKUP($AO115,'Технический лист'!$I:$J,2,1)),1+(1-$AU115))</f>
        <v/>
      </c>
      <c r="DI115" s="172">
        <f>MIN(IF($AU115=100%,1,1+VLOOKUP(($AJ115-$AI115-$AH115-$AG115-$AF115-$AE115*(1+DI$3))/$AJ115,'Технический лист'!$I:$J,2,1)-VLOOKUP($AO115,'Технический лист'!$I:$J,2,1)),1+(1-$AU115))</f>
        <v/>
      </c>
      <c r="DJ115" s="172">
        <f>MIN(IF($AU115=100%,1,1+VLOOKUP(($AJ115-$AI115-$AH115-$AG115-$AF115-$AE115*(1+DJ$3))/$AJ115,'Технический лист'!$I:$J,2,1)-VLOOKUP($AO115,'Технический лист'!$I:$J,2,1)),1+(1-$AU115))</f>
        <v/>
      </c>
      <c r="DK115" s="172">
        <f>MIN(IF($AU115=100%,1,1+VLOOKUP(($AJ115-$AI115-$AH115-$AG115-$AF115-$AE115*(1+DK$3))/$AJ115,'Технический лист'!$I:$J,2,1)-VLOOKUP($AO115,'Технический лист'!$I:$J,2,1)),1+(1-$AU115))</f>
        <v/>
      </c>
      <c r="DL115" s="172">
        <f>MIN(IF($AU115=100%,1,1+VLOOKUP(($AJ115-$AI115-$AH115-$AG115-$AF115-$AE115*(1+DL$3))/$AJ115,'Технический лист'!$I:$J,2,1)-VLOOKUP($AO115,'Технический лист'!$I:$J,2,1)),1+(1-$AU115))</f>
        <v/>
      </c>
      <c r="DM115" s="172">
        <f>MIN(IF($AU115=100%,1,1+VLOOKUP(($AJ115-$AI115-$AH115-$AG115-$AF115-$AE115*(1+DM$3))/$AJ115,'Технический лист'!$I:$J,2,1)-VLOOKUP($AO115,'Технический лист'!$I:$J,2,1)),1+(1-$AU115))</f>
        <v/>
      </c>
      <c r="DN115" s="172">
        <f>MIN(IF($AU115=100%,1,1+VLOOKUP(($AJ115-$AI115-$AH115-$AG115-$AF115-$AE115*(1+DN$3))/$AJ115,'Технический лист'!$I:$J,2,1)-VLOOKUP($AO115,'Технический лист'!$I:$J,2,1)),1+(1-$AU115))</f>
        <v/>
      </c>
      <c r="DO115" s="172">
        <f>MIN(IF($AU115=100%,1,1+VLOOKUP(($AJ115-$AI115-$AH115-$AG115-$AF115-$AE115*(1+DO$3))/$AJ115,'Технический лист'!$I:$J,2,1)-VLOOKUP($AO115,'Технический лист'!$I:$J,2,1)),1+(1-$AU115))</f>
        <v/>
      </c>
      <c r="DP115" s="172">
        <f>MIN(IF($AU115=100%,1,1+VLOOKUP(($AJ115-$AI115-$AH115-$AG115-$AF115-$AE115*(1+DP$3))/$AJ115,'Технический лист'!$I:$J,2,1)-VLOOKUP($AO115,'Технический лист'!$I:$J,2,1)),1+(1-$AU115))</f>
        <v/>
      </c>
      <c r="DQ115" s="172">
        <f>MIN(IF($AU115=100%,1,1+VLOOKUP(($AJ115-$AI115-$AH115-$AG115-$AF115-$AE115*(1+DQ$3))/$AJ115,'Технический лист'!$I:$J,2,1)-VLOOKUP($AO115,'Технический лист'!$I:$J,2,1)),1+(1-$AU115))</f>
        <v/>
      </c>
      <c r="DR115" s="172">
        <f>MIN(IF($AU115=100%,1,1+VLOOKUP(($AJ115-$AI115-$AH115-$AG115-$AF115-$AE115*(1+DR$3))/$AJ115,'Технический лист'!$I:$J,2,1)-VLOOKUP($AO115,'Технический лист'!$I:$J,2,1)),1+(1-$AU115))</f>
        <v/>
      </c>
      <c r="DS115" s="172">
        <f>MIN(IF($AU115=100%,1,1+VLOOKUP(($AJ115-$AI115-$AH115-$AG115-$AF115-$AE115*(1+DS$3))/$AJ115,'Технический лист'!$I:$J,2,1)-VLOOKUP($AO115,'Технический лист'!$I:$J,2,1)),1+(1-$AU115))</f>
        <v/>
      </c>
      <c r="DT115" s="172">
        <f>MIN(IF($AU115=100%,1,1+VLOOKUP(($AJ115-$AI115-$AH115-$AG115-$AF115-$AE115*(1+DT$3))/$AJ115,'Технический лист'!$I:$J,2,1)-VLOOKUP($AO115,'Технический лист'!$I:$J,2,1)),1+(1-$AU115))</f>
        <v/>
      </c>
      <c r="DU115" s="172">
        <f>MIN(IF($AU115=100%,1,1+VLOOKUP(($AJ115-$AI115-$AH115-$AG115-$AF115-$AE115*(1+DU$3))/$AJ115,'Технический лист'!$I:$J,2,1)-VLOOKUP($AO115,'Технический лист'!$I:$J,2,1)),1+(1-$AU115))</f>
        <v/>
      </c>
      <c r="DV115" s="172">
        <f>MIN(IF($AU115=100%,1,1+VLOOKUP(($AJ115-$AI115-$AH115-$AG115-$AF115-$AE115*(1+DV$3))/$AJ115,'Технический лист'!$I:$J,2,1)-VLOOKUP($AO115,'Технический лист'!$I:$J,2,1)),1+(1-$AU115))</f>
        <v/>
      </c>
      <c r="DW115" s="172">
        <f>MIN(IF($AU115=100%,1,1+VLOOKUP(($AJ115-$AI115-$AH115-$AG115-$AF115-$AE115*(1+DW$3))/$AJ115,'Технический лист'!$I:$J,2,1)-VLOOKUP($AO115,'Технический лист'!$I:$J,2,1)),1+(1-$AU115))</f>
        <v/>
      </c>
      <c r="DX115" s="172">
        <f>MIN(IF($AU115=100%,1,1+VLOOKUP(($AJ115-$AI115-$AH115-$AG115-$AF115-$AE115*(1+DX$3))/$AJ115,'Технический лист'!$I:$J,2,1)-VLOOKUP($AO115,'Технический лист'!$I:$J,2,1)),1+(1-$AU115))</f>
        <v/>
      </c>
      <c r="DY115" s="172">
        <f>MIN(IF($AU115=100%,1,1+VLOOKUP(($AJ115-$AI115-$AH115-$AG115-$AF115-$AE115*(1+DY$3))/$AJ115,'Технический лист'!$I:$J,2,1)-VLOOKUP($AO115,'Технический лист'!$I:$J,2,1)),1+(1-$AU115))</f>
        <v/>
      </c>
      <c r="DZ115" s="172">
        <f>MIN(IF($AU115=100%,1,1+VLOOKUP(($AJ115-$AI115-$AH115-$AG115-$AF115-$AE115*(1+DZ$3))/$AJ115,'Технический лист'!$I:$J,2,1)-VLOOKUP($AO115,'Технический лист'!$I:$J,2,1)),1+(1-$AU115))</f>
        <v/>
      </c>
      <c r="EA115" s="172">
        <f>MIN(IF($AU115=100%,1,1+VLOOKUP(($AJ115-$AI115-$AH115-$AG115-$AF115-$AE115*(1+EA$3))/$AJ115,'Технический лист'!$I:$J,2,1)-VLOOKUP($AO115,'Технический лист'!$I:$J,2,1)),1+(1-$AU115))</f>
        <v/>
      </c>
      <c r="EB115" s="172">
        <f>MIN(IF($AU115=100%,1,1+VLOOKUP(($AJ115-$AI115-$AH115-$AG115-$AF115-$AE115*(1+EB$3))/$AJ115,'Технический лист'!$I:$J,2,1)-VLOOKUP($AO115,'Технический лист'!$I:$J,2,1)),1+(1-$AU115))</f>
        <v/>
      </c>
      <c r="EC115" s="172">
        <f>MIN(IF($AU115=100%,1,1+VLOOKUP(($AJ115-$AI115-$AH115-$AG115-$AF115-$AE115*(1+EC$3))/$AJ115,'Технический лист'!$I:$J,2,1)-VLOOKUP($AO115,'Технический лист'!$I:$J,2,1)),1+(1-$AU115))</f>
        <v/>
      </c>
      <c r="ED115" s="172">
        <f>MIN(IF($AU115=100%,1,1+VLOOKUP(($AJ115-$AI115-$AH115-$AG115-$AF115-$AE115*(1+ED$3))/$AJ115,'Технический лист'!$I:$J,2,1)-VLOOKUP($AO115,'Технический лист'!$I:$J,2,1)),1+(1-$AU115))</f>
        <v/>
      </c>
      <c r="EE115" s="172">
        <f>MIN(IF($AU115=100%,1,1+VLOOKUP(($AJ115-$AI115-$AH115-$AG115-$AF115-$AE115*(1+EE$3))/$AJ115,'Технический лист'!$I:$J,2,1)-VLOOKUP($AO115,'Технический лист'!$I:$J,2,1)),1+(1-$AU115))</f>
        <v/>
      </c>
      <c r="EF115" s="172">
        <f>MIN(IF($AU115=100%,1,1+VLOOKUP(($AJ115-$AI115-$AH115-$AG115-$AF115-$AE115*(1+EF$3))/$AJ115,'Технический лист'!$I:$J,2,1)-VLOOKUP($AO115,'Технический лист'!$I:$J,2,1)),1+(1-$AU115))</f>
        <v/>
      </c>
      <c r="EG115" s="172">
        <f>MIN(IF($AU115=100%,1,1+VLOOKUP(($AJ115-$AI115-$AH115-$AG115-$AF115-$AE115*(1+EG$3))/$AJ115,'Технический лист'!$I:$J,2,1)-VLOOKUP($AO115,'Технический лист'!$I:$J,2,1)),1+(1-$AU115))</f>
        <v/>
      </c>
      <c r="EH115" s="172">
        <f>MIN(IF($AU115=100%,1,1+VLOOKUP(($AJ115-$AI115-$AH115-$AG115-$AF115-$AE115*(1+EH$3))/$AJ115,'Технический лист'!$I:$J,2,1)-VLOOKUP($AO115,'Технический лист'!$I:$J,2,1)),1+(1-$AU115))</f>
        <v/>
      </c>
      <c r="EI115" s="172">
        <f>MIN(IF($AU115=100%,1,1+VLOOKUP(($AJ115-$AI115-$AH115-$AG115-$AF115-$AE115*(1+EI$3))/$AJ115,'Технический лист'!$I:$J,2,1)-VLOOKUP($AO115,'Технический лист'!$I:$J,2,1)),1+(1-$AU115))</f>
        <v/>
      </c>
      <c r="EJ115" s="172">
        <f>MIN(IF($AU115=100%,1,1+VLOOKUP(($AJ115-$AI115-$AH115-$AG115-$AF115-$AE115*(1+EJ$3))/$AJ115,'Технический лист'!$I:$J,2,1)-VLOOKUP($AO115,'Технический лист'!$I:$J,2,1)),1+(1-$AU115))</f>
        <v/>
      </c>
      <c r="EK115" s="172">
        <f>MIN(IF($AU115=100%,1,1+VLOOKUP(($AJ115-$AI115-$AH115-$AG115-$AF115-$AE115*(1+EK$3))/$AJ115,'Технический лист'!$I:$J,2,1)-VLOOKUP($AO115,'Технический лист'!$I:$J,2,1)),1+(1-$AU115))</f>
        <v/>
      </c>
      <c r="EL115" s="172">
        <f>MIN(IF($AU115=100%,1,1+VLOOKUP(($AJ115-$AI115-$AH115-$AG115-$AF115-$AE115*(1+EL$3))/$AJ115,'Технический лист'!$I:$J,2,1)-VLOOKUP($AO115,'Технический лист'!$I:$J,2,1)),1+(1-$AU115))</f>
        <v/>
      </c>
      <c r="EM115" s="172">
        <f>MIN(IF($AU115=100%,1,1+VLOOKUP(($AJ115-$AI115-$AH115-$AG115-$AF115-$AE115*(1+EM$3))/$AJ115,'Технический лист'!$I:$J,2,1)-VLOOKUP($AO115,'Технический лист'!$I:$J,2,1)),1+(1-$AU115))</f>
        <v/>
      </c>
      <c r="EN115" s="172">
        <f>MIN(IF($AU115=100%,1,1+VLOOKUP(($AJ115-$AI115-$AH115-$AG115-$AF115-$AE115*(1+EN$3))/$AJ115,'Технический лист'!$I:$J,2,1)-VLOOKUP($AO115,'Технический лист'!$I:$J,2,1)),1+(1-$AU115))</f>
        <v/>
      </c>
      <c r="EO115" s="172">
        <f>MIN(IF($AU115=100%,1,1+VLOOKUP(($AJ115-$AI115-$AH115-$AG115-$AF115-$AE115*(1+EO$3))/$AJ115,'Технический лист'!$I:$J,2,1)-VLOOKUP($AO115,'Технический лист'!$I:$J,2,1)),1+(1-$AU115))</f>
        <v/>
      </c>
      <c r="EP115" s="172">
        <f>MIN(IF($AU115=100%,1,1+VLOOKUP(($AJ115-$AI115-$AH115-$AG115-$AF115-$AE115*(1+EP$3))/$AJ115,'Технический лист'!$I:$J,2,1)-VLOOKUP($AO115,'Технический лист'!$I:$J,2,1)),1+(1-$AU115))</f>
        <v/>
      </c>
      <c r="EQ115" s="172">
        <f>MIN(IF($AU115=100%,1,1+VLOOKUP(($AJ115-$AI115-$AH115-$AG115-$AF115-$AE115*(1+EQ$3))/$AJ115,'Технический лист'!$I:$J,2,1)-VLOOKUP($AO115,'Технический лист'!$I:$J,2,1)),1+(1-$AU115))</f>
        <v/>
      </c>
      <c r="ER115" s="172">
        <f>MIN(IF($AU115=100%,1,1+VLOOKUP(($AJ115-$AI115-$AH115-$AG115-$AF115-$AE115*(1+ER$3))/$AJ115,'Технический лист'!$I:$J,2,1)-VLOOKUP($AO115,'Технический лист'!$I:$J,2,1)),1+(1-$AU115))</f>
        <v/>
      </c>
      <c r="ES115" s="172">
        <f>MIN(IF($AU115=100%,1,1+VLOOKUP(($AJ115-$AI115-$AH115-$AG115-$AF115-$AE115*(1+ES$3))/$AJ115,'Технический лист'!$I:$J,2,1)-VLOOKUP($AO115,'Технический лист'!$I:$J,2,1)),1+(1-$AU115))</f>
        <v/>
      </c>
      <c r="ET115" s="172">
        <f>MIN(IF($AU115=100%,1,1+VLOOKUP(($AJ115-$AI115-$AH115-$AG115-$AF115-$AE115*(1+ET$3))/$AJ115,'Технический лист'!$I:$J,2,1)-VLOOKUP($AO115,'Технический лист'!$I:$J,2,1)),1+(1-$AU115))</f>
        <v/>
      </c>
      <c r="EU115" s="172">
        <f>MIN(IF($AU115=100%,1,1+VLOOKUP(($AJ115-$AI115-$AH115-$AG115-$AF115-$AE115*(1+EU$3))/$AJ115,'Технический лист'!$I:$J,2,1)-VLOOKUP($AO115,'Технический лист'!$I:$J,2,1)),1+(1-$AU115))</f>
        <v/>
      </c>
      <c r="EV115" s="173" t="n">
        <v>1</v>
      </c>
      <c r="EW115" s="172">
        <f>MIN(1,MAX(VLOOKUP(($AJ115-$AI115-$AH115-$AG115-$AF115-$AE115*(1+EW$3))/$AJ115,'Технический лист'!$A:$B,2,1),(EV115-0.05)))</f>
        <v/>
      </c>
      <c r="EX115" s="172">
        <f>MIN(1,MAX(VLOOKUP(($AJ115-$AI115-$AH115-$AG115-$AF115-$AE115*(1+EX$3))/$AJ115,'Технический лист'!$A:$B,2,1),(EW115-0.05)))</f>
        <v/>
      </c>
      <c r="EY115" s="172">
        <f>MIN(1,MAX(VLOOKUP(($AJ115-$AI115-$AH115-$AG115-$AF115-$AE115*(1+EY$3))/$AJ115,'Технический лист'!$A:$B,2,1),(EX115-0.05)))</f>
        <v/>
      </c>
      <c r="EZ115" s="172">
        <f>MIN(1,MAX(VLOOKUP(($AJ115-$AI115-$AH115-$AG115-$AF115-$AE115*(1+EZ$3))/$AJ115,'Технический лист'!$A:$B,2,1),(EY115-0.05)))</f>
        <v/>
      </c>
      <c r="FA115" s="172">
        <f>MIN(1,MAX(VLOOKUP(($AJ115-$AI115-$AH115-$AG115-$AF115-$AE115*(1+FA$3))/$AJ115,'Технический лист'!$A:$B,2,1),(EZ115-0.05)))</f>
        <v/>
      </c>
      <c r="FB115" s="172">
        <f>MIN(1,MAX(VLOOKUP(($AJ115-$AI115-$AH115-$AG115-$AF115-$AE115*(1+FB$3))/$AJ115,'Технический лист'!$A:$B,2,1),(FA115-0.05)))</f>
        <v/>
      </c>
      <c r="FC115" s="172">
        <f>MIN(1,MAX(VLOOKUP(($AJ115-$AI115-$AH115-$AG115-$AF115-$AE115*(1+FC$3))/$AJ115,'Технический лист'!$A:$B,2,1),(FB115-0.05)))</f>
        <v/>
      </c>
      <c r="FD115" s="172">
        <f>MIN(1,MAX(VLOOKUP(($AJ115-$AI115-$AH115-$AG115-$AF115-$AE115*(1+FD$3))/$AJ115,'Технический лист'!$A:$B,2,1),(FC115-0.05)))</f>
        <v/>
      </c>
      <c r="FE115" s="172">
        <f>MIN(1,MAX(VLOOKUP(($AJ115-$AI115-$AH115-$AG115-$AF115-$AE115*(1+FE$3))/$AJ115,'Технический лист'!$A:$B,2,1),(FD115-0.05)))</f>
        <v/>
      </c>
      <c r="FF115" s="172">
        <f>MIN(1,MAX(VLOOKUP(($AJ115-$AI115-$AH115-$AG115-$AF115-$AE115*(1+FF$3))/$AJ115,'Технический лист'!$A:$B,2,1),(FE115-0.05)))</f>
        <v/>
      </c>
      <c r="FG115" s="172">
        <f>MIN(1,MAX(VLOOKUP(($AJ115-$AI115-$AH115-$AG115-$AF115-$AE115*(1+FG$3))/$AJ115,'Технический лист'!$A:$B,2,1),(FF115-0.05)))</f>
        <v/>
      </c>
      <c r="FH115" s="172">
        <f>MIN(1,MAX(VLOOKUP(($AJ115-$AI115-$AH115-$AG115-$AF115-$AE115*(1+FH$3))/$AJ115,'Технический лист'!$A:$B,2,1),(FG115-0.05)))</f>
        <v/>
      </c>
      <c r="FI115" s="172">
        <f>MIN(1,MAX(VLOOKUP(($AJ115-$AI115-$AH115-$AG115-$AF115-$AE115*(1+FI$3))/$AJ115,'Технический лист'!$A:$B,2,1),(FH115-0.05)))</f>
        <v/>
      </c>
      <c r="FJ115" s="172">
        <f>MIN(1,MAX(VLOOKUP(($AJ115-$AI115-$AH115-$AG115-$AF115-$AE115*(1+FJ$3))/$AJ115,'Технический лист'!$A:$B,2,1),(FI115-0.05)))</f>
        <v/>
      </c>
      <c r="FK115" s="172">
        <f>MIN(1,MAX(VLOOKUP(($AJ115-$AI115-$AH115-$AG115-$AF115-$AE115*(1+FK$3))/$AJ115,'Технический лист'!$A:$B,2,1),(FJ115-0.05)))</f>
        <v/>
      </c>
      <c r="FL115" s="172">
        <f>MIN(1,MAX(VLOOKUP(($AJ115-$AI115-$AH115-$AG115-$AF115-$AE115*(1+FL$3))/$AJ115,'Технический лист'!$A:$B,2,1),(FK115-0.05)))</f>
        <v/>
      </c>
      <c r="FM115" s="172">
        <f>MIN(1,MAX(VLOOKUP(($AJ115-$AI115-$AH115-$AG115-$AF115-$AE115*(1+FM$3))/$AJ115,'Технический лист'!$A:$B,2,1),(FL115-0.05)))</f>
        <v/>
      </c>
      <c r="FN115" s="172">
        <f>MIN(1,MAX(VLOOKUP(($AJ115-$AI115-$AH115-$AG115-$AF115-$AE115*(1+FN$3))/$AJ115,'Технический лист'!$A:$B,2,1),(FM115-0.05)))</f>
        <v/>
      </c>
      <c r="FO115" s="172">
        <f>MIN(1,MAX(VLOOKUP(($AJ115-$AI115-$AH115-$AG115-$AF115-$AE115*(1+FO$3))/$AJ115,'Технический лист'!$A:$B,2,1),(FN115-0.05)))</f>
        <v/>
      </c>
      <c r="FP115" s="172">
        <f>MIN(1,MAX(VLOOKUP(($AJ115-$AI115-$AH115-$AG115-$AF115-$AE115*(1+FP$3))/$AJ115,'Технический лист'!$A:$B,2,1),(FO115-0.05)))</f>
        <v/>
      </c>
      <c r="FQ115" s="172">
        <f>MIN(1,MAX(VLOOKUP(($AJ115-$AI115-$AH115-$AG115-$AF115-$AE115*(1+FQ$3))/$AJ115,'Технический лист'!$A:$B,2,1),(FP115-0.05)))</f>
        <v/>
      </c>
      <c r="FR115" s="172">
        <f>MIN(1,MAX(VLOOKUP(($AJ115-$AI115-$AH115-$AG115-$AF115-$AE115*(1+FR$3))/$AJ115,'Технический лист'!$A:$B,2,1),(FQ115-0.05)))</f>
        <v/>
      </c>
      <c r="FS115" s="172">
        <f>MIN(1,MAX(VLOOKUP(($AJ115-$AI115-$AH115-$AG115-$AF115-$AE115*(1+FS$3))/$AJ115,'Технический лист'!$A:$B,2,1),(FR115-0.05)))</f>
        <v/>
      </c>
      <c r="FT115" s="172">
        <f>MIN(1,MAX(VLOOKUP(($AJ115-$AI115-$AH115-$AG115-$AF115-$AE115*(1+FT$3))/$AJ115,'Технический лист'!$A:$B,2,1),(FS115-0.05)))</f>
        <v/>
      </c>
      <c r="FU115" s="172">
        <f>MIN(1,MAX(VLOOKUP(($AJ115-$AI115-$AH115-$AG115-$AF115-$AE115*(1+FU$3))/$AJ115,'Технический лист'!$A:$B,2,1),(FT115-0.05)))</f>
        <v/>
      </c>
      <c r="FV115" s="172">
        <f>MIN(1,MAX(VLOOKUP(($AJ115-$AI115-$AH115-$AG115-$AF115-$AE115*(1+FV$3))/$AJ115,'Технический лист'!$A:$B,2,1),(FU115-0.05)))</f>
        <v/>
      </c>
      <c r="FW115" s="172">
        <f>MIN(1,MAX(VLOOKUP(($AJ115-$AI115-$AH115-$AG115-$AF115-$AE115*(1+FW$3))/$AJ115,'Технический лист'!$A:$B,2,1),(FV115-0.05)))</f>
        <v/>
      </c>
      <c r="FX115" s="172">
        <f>MIN(1,MAX(VLOOKUP(($AJ115-$AI115-$AH115-$AG115-$AF115-$AE115*(1+FX$3))/$AJ115,'Технический лист'!$A:$B,2,1),(FW115-0.05)))</f>
        <v/>
      </c>
      <c r="FY115" s="172">
        <f>MIN(1,MAX(VLOOKUP(($AJ115-$AI115-$AH115-$AG115-$AF115-$AE115*(1+FY$3))/$AJ115,'Технический лист'!$A:$B,2,1),(FX115-0.05)))</f>
        <v/>
      </c>
      <c r="FZ115" s="172">
        <f>MIN(1,MAX(VLOOKUP(($AJ115-$AI115-$AH115-$AG115-$AF115-$AE115*(1+FZ$3))/$AJ115,'Технический лист'!$A:$B,2,1),(FY115-0.05)))</f>
        <v/>
      </c>
      <c r="GA115" s="172">
        <f>MIN(1,MAX(VLOOKUP(($AJ115-$AI115-$AH115-$AG115-$AF115-$AE115*(1+GA$3))/$AJ115,'Технический лист'!$A:$B,2,1),(FZ115-0.05)))</f>
        <v/>
      </c>
      <c r="GB115" s="172">
        <f>MIN(1,MAX(VLOOKUP(($AJ115-$AI115-$AH115-$AG115-$AF115-$AE115*(1+GB$3))/$AJ115,'Технический лист'!$A:$B,2,1),(GA115-0.05)))</f>
        <v/>
      </c>
      <c r="GC115" s="172">
        <f>MIN(1,MAX(VLOOKUP(($AJ115-$AI115-$AH115-$AG115-$AF115-$AE115*(1+GC$3))/$AJ115,'Технический лист'!$A:$B,2,1),(GB115-0.05)))</f>
        <v/>
      </c>
      <c r="GD115" s="172">
        <f>MIN(1,MAX(VLOOKUP(($AJ115-$AI115-$AH115-$AG115-$AF115-$AE115*(1+GD$3))/$AJ115,'Технический лист'!$A:$B,2,1),(GC115-0.05)))</f>
        <v/>
      </c>
      <c r="GE115" s="172">
        <f>MIN(1,MAX(VLOOKUP(($AJ115-$AI115-$AH115-$AG115-$AF115-$AE115*(1+GE$3))/$AJ115,'Технический лист'!$A:$B,2,1),(GD115-0.05)))</f>
        <v/>
      </c>
      <c r="GF115" s="172">
        <f>MIN(1,MAX(VLOOKUP(($AJ115-$AI115-$AH115-$AG115-$AF115-$AE115*(1+GF$3))/$AJ115,'Технический лист'!$A:$B,2,1),(GE115-0.05)))</f>
        <v/>
      </c>
      <c r="GG115" s="172">
        <f>MIN(1,MAX(VLOOKUP(($AJ115-$AI115-$AH115-$AG115-$AF115-$AE115*(1+GG$3))/$AJ115,'Технический лист'!$A:$B,2,1),(GF115-0.05)))</f>
        <v/>
      </c>
      <c r="GH115" s="172">
        <f>MIN(1,MAX(VLOOKUP(($AJ115-$AI115-$AH115-$AG115-$AF115-$AE115*(1+GH$3))/$AJ115,'Технический лист'!$A:$B,2,1),(GG115-0.05)))</f>
        <v/>
      </c>
      <c r="GI115" s="172">
        <f>MIN(1,MAX(VLOOKUP(($AJ115-$AI115-$AH115-$AG115-$AF115-$AE115*(1+GI$3))/$AJ115,'Технический лист'!$A:$B,2,1),(GH115-0.05)))</f>
        <v/>
      </c>
      <c r="GJ115" s="172">
        <f>MIN(1,MAX(VLOOKUP(($AJ115-$AI115-$AH115-$AG115-$AF115-$AE115*(1+GJ$3))/$AJ115,'Технический лист'!$A:$B,2,1),(GI115-0.05)))</f>
        <v/>
      </c>
      <c r="GK115" s="172">
        <f>MIN(1,MAX(VLOOKUP(($AJ115-$AI115-$AH115-$AG115-$AF115-$AE115*(1+GK$3))/$AJ115,'Технический лист'!$A:$B,2,1),(GJ115-0.05)))</f>
        <v/>
      </c>
      <c r="GL115" s="172">
        <f>MIN(1,MAX(VLOOKUP(($AJ115-$AI115-$AH115-$AG115-$AF115-$AE115*(1+GL$3))/$AJ115,'Технический лист'!$A:$B,2,1),(GK115-0.05)))</f>
        <v/>
      </c>
      <c r="GM115" s="172">
        <f>MIN(1,MAX(VLOOKUP(($AJ115-$AI115-$AH115-$AG115-$AF115-$AE115*(1+GM$3))/$AJ115,'Технический лист'!$A:$B,2,1),(GL115-0.05)))</f>
        <v/>
      </c>
      <c r="GN115" s="172">
        <f>MIN(1,MAX(VLOOKUP(($AJ115-$AI115-$AH115-$AG115-$AF115-$AE115*(1+GN$3))/$AJ115,'Технический лист'!$A:$B,2,1),(GM115-0.05)))</f>
        <v/>
      </c>
      <c r="GO115" s="172">
        <f>MIN(1,MAX(VLOOKUP(($AJ115-$AI115-$AH115-$AG115-$AF115-$AE115*(1+GO$3))/$AJ115,'Технический лист'!$A:$B,2,1),(GN115-0.05)))</f>
        <v/>
      </c>
      <c r="GP115" s="172">
        <f>MIN(1,MAX(VLOOKUP(($AJ115-$AI115-$AH115-$AG115-$AF115-$AE115*(1+GP$3))/$AJ115,'Технический лист'!$A:$B,2,1),(GO115-0.05)))</f>
        <v/>
      </c>
      <c r="GQ115" s="172">
        <f>MIN(1,MAX(VLOOKUP(($AJ115-$AI115-$AH115-$AG115-$AF115-$AE115*(1+GQ$3))/$AJ115,'Технический лист'!$A:$B,2,1),(GP115-0.05)))</f>
        <v/>
      </c>
      <c r="GR115" s="172">
        <f>MIN(1,MAX(VLOOKUP(($AJ115-$AI115-$AH115-$AG115-$AF115-$AE115*(1+GR$3))/$AJ115,'Технический лист'!$A:$B,2,1),(GQ115-0.05)))</f>
        <v/>
      </c>
      <c r="GS115" s="172">
        <f>MIN(1,MAX(VLOOKUP(($AJ115-$AI115-$AH115-$AG115-$AF115-$AE115*(1+GS$3))/$AJ115,'Технический лист'!$A:$B,2,1),(GR115-0.05)))</f>
        <v/>
      </c>
      <c r="GT115" s="172">
        <f>MIN(1,MAX(VLOOKUP(($AJ115-$AI115-$AH115-$AG115-$AF115-$AE115*(1+GT$3))/$AJ115,'Технический лист'!$A:$B,2,1),(GS115-0.05)))</f>
        <v/>
      </c>
      <c r="GU115" s="172">
        <f>MIN(1,MAX(VLOOKUP(($AJ115-$AI115-$AH115-$AG115-$AF115-$AE115*(1+GU$3))/$AJ115,'Технический лист'!$A:$B,2,1),(GT115-0.05)))</f>
        <v/>
      </c>
      <c r="GV115" s="172">
        <f>MIN(1,MAX(VLOOKUP(($AJ115-$AI115-$AH115-$AG115-$AF115-$AE115*(1+GV$3))/$AJ115,'Технический лист'!$A:$B,2,1),(GU115-0.05)))</f>
        <v/>
      </c>
      <c r="GW115" s="172">
        <f>MIN(1,MAX(VLOOKUP(($AJ115-$AI115-$AH115-$AG115-$AF115-$AE115*(1+GW$3))/$AJ115,'Технический лист'!$A:$B,2,1),(GV115-0.05)))</f>
        <v/>
      </c>
      <c r="GX115" s="172">
        <f>MIN(1,MAX(VLOOKUP(($AJ115-$AI115-$AH115-$AG115-$AF115-$AE115*(1+GX$3))/$AJ115,'Технический лист'!$A:$B,2,1),(GW115-0.05)))</f>
        <v/>
      </c>
      <c r="GY115" s="172">
        <f>MIN(1,MAX(VLOOKUP(($AJ115-$AI115-$AH115-$AG115-$AF115-$AE115*(1+GY$3))/$AJ115,'Технический лист'!$A:$B,2,1),(GX115-0.05)))</f>
        <v/>
      </c>
      <c r="GZ115" s="172">
        <f>MIN(1,MAX(VLOOKUP(($AJ115-$AI115-$AH115-$AG115-$AF115-$AE115*(1+GZ$3))/$AJ115,'Технический лист'!$A:$B,2,1),(GY115-0.05)))</f>
        <v/>
      </c>
      <c r="HA115" s="172">
        <f>MIN(1,MAX(VLOOKUP(($AJ115-$AI115-$AH115-$AG115-$AF115-$AE115*(1+HA$3))/$AJ115,'Технический лист'!$A:$B,2,1),(GZ115-0.05)))</f>
        <v/>
      </c>
      <c r="HB115" s="172">
        <f>MIN(1,MAX(VLOOKUP(($AJ115-$AI115-$AH115-$AG115-$AF115-$AE115*(1+HB$3))/$AJ115,'Технический лист'!$A:$B,2,1),(HA115-0.05)))</f>
        <v/>
      </c>
      <c r="HC115" s="172">
        <f>MIN(1,MAX(VLOOKUP(($AJ115-$AI115-$AH115-$AG115-$AF115-$AE115*(1+HC$3))/$AJ115,'Технический лист'!$A:$B,2,1),(HB115-0.05)))</f>
        <v/>
      </c>
      <c r="HD115" s="172">
        <f>MIN(1,MAX(VLOOKUP(($AJ115-$AI115-$AH115-$AG115-$AF115-$AE115*(1+HD$3))/$AJ115,'Технический лист'!$A:$B,2,1),(HC115-0.05)))</f>
        <v/>
      </c>
      <c r="HE115" s="172">
        <f>MIN(1,MAX(VLOOKUP(($AJ115-$AI115-$AH115-$AG115-$AF115-$AE115*(1+HE$3))/$AJ115,'Технический лист'!$A:$B,2,1),(HD115-0.05)))</f>
        <v/>
      </c>
      <c r="HF115" s="172">
        <f>MIN(1,MAX(VLOOKUP(($AJ115-$AI115-$AH115-$AG115-$AF115-$AE115*(1+HF$3))/$AJ115,'Технический лист'!$A:$B,2,1),(HE115-0.05)))</f>
        <v/>
      </c>
      <c r="HG115" s="172">
        <f>MIN(1,MAX(VLOOKUP(($AJ115-$AI115-$AH115-$AG115-$AF115-$AE115*(1+HG$3))/$AJ115,'Технический лист'!$A:$B,2,1),(HF115-0.05)))</f>
        <v/>
      </c>
      <c r="HH115" s="172">
        <f>MIN(1,MAX(VLOOKUP(($AJ115-$AI115-$AH115-$AG115-$AF115-$AE115*(1+HH$3))/$AJ115,'Технический лист'!$A:$B,2,1),(HG115-0.05)))</f>
        <v/>
      </c>
      <c r="HI115" s="172">
        <f>MIN(1,MAX(VLOOKUP(($AJ115-$AI115-$AH115-$AG115-$AF115-$AE115*(1+HI$3))/$AJ115,'Технический лист'!$A:$B,2,1),(HH115-0.05)))</f>
        <v/>
      </c>
      <c r="HJ115" s="172">
        <f>MIN(1,MAX(VLOOKUP(($AJ115-$AI115-$AH115-$AG115-$AF115-$AE115*(1+HJ$3))/$AJ115,'Технический лист'!$A:$B,2,1),(HI115-0.05)))</f>
        <v/>
      </c>
      <c r="HK115" s="172">
        <f>MIN(1,MAX(VLOOKUP(($AJ115-$AI115-$AH115-$AG115-$AF115-$AE115*(1+HK$3))/$AJ115,'Технический лист'!$A:$B,2,1),(HJ115-0.05)))</f>
        <v/>
      </c>
      <c r="HL115" s="172">
        <f>MIN(1,MAX(VLOOKUP(($AJ115-$AI115-$AH115-$AG115-$AF115-$AE115*(1+HL$3))/$AJ115,'Технический лист'!$A:$B,2,1),(HK115-0.05)))</f>
        <v/>
      </c>
      <c r="HM115" s="172">
        <f>MIN(1,MAX(VLOOKUP(($AJ115-$AI115-$AH115-$AG115-$AF115-$AE115*(1+HM$3))/$AJ115,'Технический лист'!$A:$B,2,1),(HL115-0.05)))</f>
        <v/>
      </c>
      <c r="HN115" s="172">
        <f>MIN(1,MAX(VLOOKUP(($AJ115-$AI115-$AH115-$AG115-$AF115-$AE115*(1+HN$3))/$AJ115,'Технический лист'!$A:$B,2,1),(HM115-0.05)))</f>
        <v/>
      </c>
      <c r="HO115" s="172">
        <f>MIN(1,MAX(VLOOKUP(($AJ115-$AI115-$AH115-$AG115-$AF115-$AE115*(1+HO$3))/$AJ115,'Технический лист'!$A:$B,2,1),(HN115-0.05)))</f>
        <v/>
      </c>
      <c r="HP115" s="172">
        <f>MIN(1,MAX(VLOOKUP(($AJ115-$AI115-$AH115-$AG115-$AF115-$AE115*(1+HP$3))/$AJ115,'Технический лист'!$A:$B,2,1),(HO115-0.05)))</f>
        <v/>
      </c>
      <c r="HQ115" s="172">
        <f>MIN(1,MAX(VLOOKUP(($AJ115-$AI115-$AH115-$AG115-$AF115-$AE115*(1+HQ$3))/$AJ115,'Технический лист'!$A:$B,2,1),(HP115-0.05)))</f>
        <v/>
      </c>
      <c r="HR115" s="172">
        <f>MIN(1,MAX(VLOOKUP(($AJ115-$AI115-$AH115-$AG115-$AF115-$AE115*(1+HR$3))/$AJ115,'Технический лист'!$A:$B,2,1),(HQ115-0.05)))</f>
        <v/>
      </c>
      <c r="HS115" s="172">
        <f>MIN(1,MAX(VLOOKUP(($AJ115-$AI115-$AH115-$AG115-$AF115-$AE115*(1+HS$3))/$AJ115,'Технический лист'!$A:$B,2,1),(HR115-0.05)))</f>
        <v/>
      </c>
      <c r="HT115" s="172">
        <f>MIN(1,MAX(VLOOKUP(($AJ115-$AI115-$AH115-$AG115-$AF115-$AE115*(1+HT$3))/$AJ115,'Технический лист'!$A:$B,2,1),(HS115-0.05)))</f>
        <v/>
      </c>
      <c r="HU115" s="172">
        <f>MIN(1,MAX(VLOOKUP(($AJ115-$AI115-$AH115-$AG115-$AF115-$AE115*(1+HU$3))/$AJ115,'Технический лист'!$A:$B,2,1),(HT115-0.05)))</f>
        <v/>
      </c>
      <c r="HV115" s="172">
        <f>MIN(1,MAX(VLOOKUP(($AJ115-$AI115-$AH115-$AG115-$AF115-$AE115*(1+HV$3))/$AJ115,'Технический лист'!$A:$B,2,1),(HU115-0.05)))</f>
        <v/>
      </c>
      <c r="HW115" s="172">
        <f>MIN(1,MAX(VLOOKUP(($AJ115-$AI115-$AH115-$AG115-$AF115-$AE115*(1+HW$3))/$AJ115,'Технический лист'!$A:$B,2,1),(HV115-0.05)))</f>
        <v/>
      </c>
      <c r="HX115" s="172">
        <f>MIN(1,MAX(VLOOKUP(($AJ115-$AI115-$AH115-$AG115-$AF115-$AE115*(1+HX$3))/$AJ115,'Технический лист'!$A:$B,2,1),(HW115-0.05)))</f>
        <v/>
      </c>
      <c r="HY115" s="172">
        <f>MIN(1,MAX(VLOOKUP(($AJ115-$AI115-$AH115-$AG115-$AF115-$AE115*(1+HY$3))/$AJ115,'Технический лист'!$A:$B,2,1),(HX115-0.05)))</f>
        <v/>
      </c>
      <c r="HZ115" s="172">
        <f>MIN(1,MAX(VLOOKUP(($AJ115-$AI115-$AH115-$AG115-$AF115-$AE115*(1+HZ$3))/$AJ115,'Технический лист'!$A:$B,2,1),(HY115-0.05)))</f>
        <v/>
      </c>
      <c r="IA115" s="172">
        <f>MIN(1,MAX(VLOOKUP(($AJ115-$AI115-$AH115-$AG115-$AF115-$AE115*(1+IA$3))/$AJ115,'Технический лист'!$A:$B,2,1),(HZ115-0.05)))</f>
        <v/>
      </c>
      <c r="IB115" s="172">
        <f>MIN(1,MAX(VLOOKUP(($AJ115-$AI115-$AH115-$AG115-$AF115-$AE115*(1+IB$3))/$AJ115,'Технический лист'!$A:$B,2,1),(IA115-0.05)))</f>
        <v/>
      </c>
      <c r="IC115" s="172">
        <f>MIN(1,MAX(VLOOKUP(($AJ115-$AI115-$AH115-$AG115-$AF115-$AE115*(1+IC$3))/$AJ115,'Технический лист'!$A:$B,2,1),(IB115-0.05)))</f>
        <v/>
      </c>
      <c r="ID115" s="172">
        <f>MIN(1,MAX(VLOOKUP(($AJ115-$AI115-$AH115-$AG115-$AF115-$AE115*(1+ID$3))/$AJ115,'Технический лист'!$A:$B,2,1),(IC115-0.05)))</f>
        <v/>
      </c>
      <c r="IE115" s="172">
        <f>MIN(1,MAX(VLOOKUP(($AJ115-$AI115-$AH115-$AG115-$AF115-$AE115*(1+IE$3))/$AJ115,'Технический лист'!$A:$B,2,1),(ID115-0.05)))</f>
        <v/>
      </c>
      <c r="IF115" s="172">
        <f>MIN(1,MAX(VLOOKUP(($AJ115-$AI115-$AH115-$AG115-$AF115-$AE115*(1+IF$3))/$AJ115,'Технический лист'!$A:$B,2,1),(IE115-0.05)))</f>
        <v/>
      </c>
      <c r="IG115" s="172">
        <f>MIN(1,MAX(VLOOKUP(($AJ115-$AI115-$AH115-$AG115-$AF115-$AE115*(1+IG$3))/$AJ115,'Технический лист'!$A:$B,2,1),(IF115-0.05)))</f>
        <v/>
      </c>
      <c r="IH115" s="172">
        <f>MIN(1,MAX(VLOOKUP(($AJ115-$AI115-$AH115-$AG115-$AF115-$AE115*(1+IH$3))/$AJ115,'Технический лист'!$A:$B,2,1),(IG115-0.05)))</f>
        <v/>
      </c>
      <c r="II115" s="172">
        <f>MIN(1,MAX(VLOOKUP(($AJ115-$AI115-$AH115-$AG115-$AF115-$AE115*(1+II$3))/$AJ115,'Технический лист'!$A:$B,2,1),(IH115-0.05)))</f>
        <v/>
      </c>
      <c r="IJ115" s="172">
        <f>MIN(1,MAX(VLOOKUP(($AJ115-$AI115-$AH115-$AG115-$AF115-$AE115*(1+IJ$3))/$AJ115,'Технический лист'!$A:$B,2,1),(II115-0.05)))</f>
        <v/>
      </c>
      <c r="IK115" s="172">
        <f>MIN(1,MAX(VLOOKUP(($AJ115-$AI115-$AH115-$AG115-$AF115-$AE115*(1+IK$3))/$AJ115,'Технический лист'!$A:$B,2,1),(IJ115-0.05)))</f>
        <v/>
      </c>
      <c r="IL115" s="172">
        <f>MIN(1,MAX(VLOOKUP(($AJ115-$AI115-$AH115-$AG115-$AF115-$AE115*(1+IL$3))/$AJ115,'Технический лист'!$A:$B,2,1),(IK115-0.05)))</f>
        <v/>
      </c>
      <c r="IM115" s="172">
        <f>MIN(1,MAX(VLOOKUP(($AJ115-$AI115-$AH115-$AG115-$AF115-$AE115*(1+IM$3))/$AJ115,'Технический лист'!$A:$B,2,1),(IL115-0.05)))</f>
        <v/>
      </c>
      <c r="IN115" s="172">
        <f>MIN(1,MAX(VLOOKUP(($AJ115-$AI115-$AH115-$AG115-$AF115-$AE115*(1+IN$3))/$AJ115,'Технический лист'!$A:$B,2,1),(IM115-0.05)))</f>
        <v/>
      </c>
      <c r="IO115" s="172">
        <f>MIN(1,MAX(VLOOKUP(($AJ115-$AI115-$AH115-$AG115-$AF115-$AE115*(1+IO$3))/$AJ115,'Технический лист'!$A:$B,2,1),(IN115-0.05)))</f>
        <v/>
      </c>
      <c r="IP115" s="172">
        <f>MIN(1,MAX(VLOOKUP(($AJ115-$AI115-$AH115-$AG115-$AF115-$AE115*(1+IP$3))/$AJ115,'Технический лист'!$A:$B,2,1),(IO115-0.05)))</f>
        <v/>
      </c>
      <c r="IQ115" s="172">
        <f>MIN(1,MAX(VLOOKUP(($AJ115-$AI115-$AH115-$AG115-$AF115-$AE115*(1+IQ$3))/$AJ115,'Технический лист'!$A:$B,2,1),(IP115-0.05)))</f>
        <v/>
      </c>
      <c r="IR115" s="172">
        <f>MIN(1,MAX(VLOOKUP(($AJ115-$AI115-$AH115-$AG115-$AF115-$AE115*(1+IR$3))/$AJ115,'Технический лист'!$A:$B,2,1),(IQ115-0.05)))</f>
        <v/>
      </c>
    </row>
    <row r="116" ht="43.75" customHeight="1" s="123">
      <c r="A116" s="89" t="inlineStr">
        <is>
          <t>ЧМ (продукция)</t>
        </is>
      </c>
      <c r="B116" s="90" t="n">
        <v>5</v>
      </c>
      <c r="C116" s="5" t="inlineStr">
        <is>
          <t>Черные металлы</t>
        </is>
      </c>
      <c r="D116" s="91" t="n">
        <v>32416</v>
      </c>
      <c r="E116" s="91" t="inlineStr">
        <is>
          <t xml:space="preserve">Сталь листовая, не поименованная в алфавите </t>
        </is>
      </c>
      <c r="F116" s="92" t="inlineStr">
        <is>
          <t>ПРОЧИЕ ВИДЫ ПРОКАТА ЧЕРНЫ</t>
        </is>
      </c>
      <c r="G116" s="91" t="inlineStr">
        <is>
          <t>ЮВС</t>
        </is>
      </c>
      <c r="H116" s="91" t="inlineStr">
        <is>
          <t>МСК</t>
        </is>
      </c>
      <c r="I116" s="91" t="inlineStr">
        <is>
          <t>НОВОЛИПЕЦК</t>
        </is>
      </c>
      <c r="J116" s="91" t="inlineStr">
        <is>
          <t>ОЖЕРЕЛЬЕ</t>
        </is>
      </c>
      <c r="K116" s="91" t="n">
        <v>417</v>
      </c>
      <c r="L116" s="77" t="inlineStr">
        <is>
          <t>Платформы</t>
        </is>
      </c>
      <c r="M116" s="91" t="inlineStr">
        <is>
          <t>Внутр. перевозки</t>
        </is>
      </c>
      <c r="N116" s="91" t="inlineStr">
        <is>
          <t>контейнерная</t>
        </is>
      </c>
      <c r="O116" s="91" t="inlineStr">
        <is>
          <t xml:space="preserve">Северо-Западное </t>
        </is>
      </c>
      <c r="P116" s="89" t="inlineStr">
        <is>
          <t>'000005757665</t>
        </is>
      </c>
      <c r="Q116" s="91" t="inlineStr">
        <is>
          <t>'ПАО "НЛМК"</t>
        </is>
      </c>
      <c r="R116" s="91" t="inlineStr">
        <is>
          <t>ПАО "НЛМК"</t>
        </is>
      </c>
      <c r="S116" s="87" t="n">
        <v>128551</v>
      </c>
      <c r="T116" s="87" t="n">
        <v>53547922</v>
      </c>
      <c r="U116" s="88" t="n">
        <v>1809</v>
      </c>
      <c r="V116" s="88" t="n">
        <v>5209</v>
      </c>
      <c r="W116" s="87" t="n">
        <v>93503876</v>
      </c>
      <c r="X116" s="112" t="n">
        <v>52</v>
      </c>
      <c r="Y116" s="112" t="inlineStr">
        <is>
          <t>контейнерная</t>
        </is>
      </c>
      <c r="Z116" s="113" t="n">
        <v>5</v>
      </c>
      <c r="AA116" s="113" t="n">
        <v>0</v>
      </c>
      <c r="AB116" s="113" t="n">
        <v>4</v>
      </c>
      <c r="AC116" s="161">
        <f>34396/X116</f>
        <v/>
      </c>
      <c r="AD116" s="161" t="n">
        <v>0</v>
      </c>
      <c r="AE116" s="161">
        <f>AC116</f>
        <v/>
      </c>
      <c r="AF116" s="162">
        <f>(AB116+AA116+Z116)*'Ставки аренды'!$B$6/X116</f>
        <v/>
      </c>
      <c r="AG116" s="163" t="n">
        <v>0</v>
      </c>
      <c r="AH116" s="164" t="n">
        <v>0</v>
      </c>
      <c r="AI116" s="174">
        <f>539714289/604384772*AVERAGE(AJ116,AJ118)</f>
        <v/>
      </c>
      <c r="AJ116" s="166">
        <f>Цены!$D$16</f>
        <v/>
      </c>
      <c r="AK116" s="164">
        <f>AJ116/Цены!$B$1</f>
        <v/>
      </c>
      <c r="AL116" s="164">
        <f>AE116+AF116+AG116</f>
        <v/>
      </c>
      <c r="AM116" s="164">
        <f>AJ116-AL116</f>
        <v/>
      </c>
      <c r="AN116" s="164">
        <f>AI116+AH116+AG116+AF116+AE116</f>
        <v/>
      </c>
      <c r="AO116" s="167">
        <f>(AJ116-AN116)/AJ116</f>
        <v/>
      </c>
      <c r="AP116" s="168">
        <f>AL116/AJ116</f>
        <v/>
      </c>
      <c r="AQ116" s="168">
        <f>AE116/AJ116</f>
        <v/>
      </c>
      <c r="AR116" s="168">
        <f>AE116/AL116</f>
        <v/>
      </c>
      <c r="AS116" s="169" t="n">
        <v>1</v>
      </c>
      <c r="AT116" s="121">
        <f>S116*AS116</f>
        <v/>
      </c>
      <c r="AU116" s="83" t="n">
        <v>0.95</v>
      </c>
      <c r="AV116" s="170">
        <f>(AJ116-(AE116*(1+$IS$2)+AF116+AG116+AH116+AI116))/AJ116</f>
        <v/>
      </c>
      <c r="AW116" s="171">
        <f>(AE116*(1+$IS$2)+AF116+AG116)/AJ116</f>
        <v/>
      </c>
      <c r="AX116" s="171">
        <f>(AE116*(1+$IS$2))/AJ116</f>
        <v/>
      </c>
      <c r="AY116" s="171">
        <f>(AE116*(1+$IS$2))/(AE116*(1+$IS$2)+AF116+AG116)</f>
        <v/>
      </c>
      <c r="AZ116" s="172">
        <f>MIN(IF($AU116=100%,1,1+VLOOKUP(($AJ116-$AI116-$AH116-$AG116-$AF116-$AE116*(1+AZ$3))/$AJ116,'Технический лист'!$I:$J,2,1)-VLOOKUP($AO116,'Технический лист'!$I:$J,2,1)),1+(1-$AU116))</f>
        <v/>
      </c>
      <c r="BA116" s="172">
        <f>MIN(IF($AU116=100%,1,1+VLOOKUP(($AJ116-$AI116-$AH116-$AG116-$AF116-$AE116*(1+BA$3))/$AJ116,'Технический лист'!$I:$J,2,1)-VLOOKUP($AO116,'Технический лист'!$I:$J,2,1)),1+(1-$AU116))</f>
        <v/>
      </c>
      <c r="BB116" s="172">
        <f>MIN(IF($AU116=100%,1,1+VLOOKUP(($AJ116-$AI116-$AH116-$AG116-$AF116-$AE116*(1+BB$3))/$AJ116,'Технический лист'!$I:$J,2,1)-VLOOKUP($AO116,'Технический лист'!$I:$J,2,1)),1+(1-$AU116))</f>
        <v/>
      </c>
      <c r="BC116" s="172">
        <f>MIN(IF($AU116=100%,1,1+VLOOKUP(($AJ116-$AI116-$AH116-$AG116-$AF116-$AE116*(1+BC$3))/$AJ116,'Технический лист'!$I:$J,2,1)-VLOOKUP($AO116,'Технический лист'!$I:$J,2,1)),1+(1-$AU116))</f>
        <v/>
      </c>
      <c r="BD116" s="172">
        <f>MIN(IF($AU116=100%,1,1+VLOOKUP(($AJ116-$AI116-$AH116-$AG116-$AF116-$AE116*(1+BD$3))/$AJ116,'Технический лист'!$I:$J,2,1)-VLOOKUP($AO116,'Технический лист'!$I:$J,2,1)),1+(1-$AU116))</f>
        <v/>
      </c>
      <c r="BE116" s="172">
        <f>MIN(IF($AU116=100%,1,1+VLOOKUP(($AJ116-$AI116-$AH116-$AG116-$AF116-$AE116*(1+BE$3))/$AJ116,'Технический лист'!$I:$J,2,1)-VLOOKUP($AO116,'Технический лист'!$I:$J,2,1)),1+(1-$AU116))</f>
        <v/>
      </c>
      <c r="BF116" s="172">
        <f>MIN(IF($AU116=100%,1,1+VLOOKUP(($AJ116-$AI116-$AH116-$AG116-$AF116-$AE116*(1+BF$3))/$AJ116,'Технический лист'!$I:$J,2,1)-VLOOKUP($AO116,'Технический лист'!$I:$J,2,1)),1+(1-$AU116))</f>
        <v/>
      </c>
      <c r="BG116" s="172">
        <f>MIN(IF($AU116=100%,1,1+VLOOKUP(($AJ116-$AI116-$AH116-$AG116-$AF116-$AE116*(1+BG$3))/$AJ116,'Технический лист'!$I:$J,2,1)-VLOOKUP($AO116,'Технический лист'!$I:$J,2,1)),1+(1-$AU116))</f>
        <v/>
      </c>
      <c r="BH116" s="172">
        <f>MIN(IF($AU116=100%,1,1+VLOOKUP(($AJ116-$AI116-$AH116-$AG116-$AF116-$AE116*(1+BH$3))/$AJ116,'Технический лист'!$I:$J,2,1)-VLOOKUP($AO116,'Технический лист'!$I:$J,2,1)),1+(1-$AU116))</f>
        <v/>
      </c>
      <c r="BI116" s="172">
        <f>MIN(IF($AU116=100%,1,1+VLOOKUP(($AJ116-$AI116-$AH116-$AG116-$AF116-$AE116*(1+BI$3))/$AJ116,'Технический лист'!$I:$J,2,1)-VLOOKUP($AO116,'Технический лист'!$I:$J,2,1)),1+(1-$AU116))</f>
        <v/>
      </c>
      <c r="BJ116" s="172">
        <f>MIN(IF($AU116=100%,1,1+VLOOKUP(($AJ116-$AI116-$AH116-$AG116-$AF116-$AE116*(1+BJ$3))/$AJ116,'Технический лист'!$I:$J,2,1)-VLOOKUP($AO116,'Технический лист'!$I:$J,2,1)),1+(1-$AU116))</f>
        <v/>
      </c>
      <c r="BK116" s="172">
        <f>MIN(IF($AU116=100%,1,1+VLOOKUP(($AJ116-$AI116-$AH116-$AG116-$AF116-$AE116*(1+BK$3))/$AJ116,'Технический лист'!$I:$J,2,1)-VLOOKUP($AO116,'Технический лист'!$I:$J,2,1)),1+(1-$AU116))</f>
        <v/>
      </c>
      <c r="BL116" s="172">
        <f>MIN(IF($AU116=100%,1,1+VLOOKUP(($AJ116-$AI116-$AH116-$AG116-$AF116-$AE116*(1+BL$3))/$AJ116,'Технический лист'!$I:$J,2,1)-VLOOKUP($AO116,'Технический лист'!$I:$J,2,1)),1+(1-$AU116))</f>
        <v/>
      </c>
      <c r="BM116" s="172">
        <f>MIN(IF($AU116=100%,1,1+VLOOKUP(($AJ116-$AI116-$AH116-$AG116-$AF116-$AE116*(1+BM$3))/$AJ116,'Технический лист'!$I:$J,2,1)-VLOOKUP($AO116,'Технический лист'!$I:$J,2,1)),1+(1-$AU116))</f>
        <v/>
      </c>
      <c r="BN116" s="172">
        <f>MIN(IF($AU116=100%,1,1+VLOOKUP(($AJ116-$AI116-$AH116-$AG116-$AF116-$AE116*(1+BN$3))/$AJ116,'Технический лист'!$I:$J,2,1)-VLOOKUP($AO116,'Технический лист'!$I:$J,2,1)),1+(1-$AU116))</f>
        <v/>
      </c>
      <c r="BO116" s="172">
        <f>MIN(IF($AU116=100%,1,1+VLOOKUP(($AJ116-$AI116-$AH116-$AG116-$AF116-$AE116*(1+BO$3))/$AJ116,'Технический лист'!$I:$J,2,1)-VLOOKUP($AO116,'Технический лист'!$I:$J,2,1)),1+(1-$AU116))</f>
        <v/>
      </c>
      <c r="BP116" s="172">
        <f>MIN(IF($AU116=100%,1,1+VLOOKUP(($AJ116-$AI116-$AH116-$AG116-$AF116-$AE116*(1+BP$3))/$AJ116,'Технический лист'!$I:$J,2,1)-VLOOKUP($AO116,'Технический лист'!$I:$J,2,1)),1+(1-$AU116))</f>
        <v/>
      </c>
      <c r="BQ116" s="172">
        <f>MIN(IF($AU116=100%,1,1+VLOOKUP(($AJ116-$AI116-$AH116-$AG116-$AF116-$AE116*(1+BQ$3))/$AJ116,'Технический лист'!$I:$J,2,1)-VLOOKUP($AO116,'Технический лист'!$I:$J,2,1)),1+(1-$AU116))</f>
        <v/>
      </c>
      <c r="BR116" s="172">
        <f>MIN(IF($AU116=100%,1,1+VLOOKUP(($AJ116-$AI116-$AH116-$AG116-$AF116-$AE116*(1+BR$3))/$AJ116,'Технический лист'!$I:$J,2,1)-VLOOKUP($AO116,'Технический лист'!$I:$J,2,1)),1+(1-$AU116))</f>
        <v/>
      </c>
      <c r="BS116" s="172">
        <f>MIN(IF($AU116=100%,1,1+VLOOKUP(($AJ116-$AI116-$AH116-$AG116-$AF116-$AE116*(1+BS$3))/$AJ116,'Технический лист'!$I:$J,2,1)-VLOOKUP($AO116,'Технический лист'!$I:$J,2,1)),1+(1-$AU116))</f>
        <v/>
      </c>
      <c r="BT116" s="172">
        <f>MIN(IF($AU116=100%,1,1+VLOOKUP(($AJ116-$AI116-$AH116-$AG116-$AF116-$AE116*(1+BT$3))/$AJ116,'Технический лист'!$I:$J,2,1)-VLOOKUP($AO116,'Технический лист'!$I:$J,2,1)),1+(1-$AU116))</f>
        <v/>
      </c>
      <c r="BU116" s="172">
        <f>MIN(IF($AU116=100%,1,1+VLOOKUP(($AJ116-$AI116-$AH116-$AG116-$AF116-$AE116*(1+BU$3))/$AJ116,'Технический лист'!$I:$J,2,1)-VLOOKUP($AO116,'Технический лист'!$I:$J,2,1)),1+(1-$AU116))</f>
        <v/>
      </c>
      <c r="BV116" s="172">
        <f>MIN(IF($AU116=100%,1,1+VLOOKUP(($AJ116-$AI116-$AH116-$AG116-$AF116-$AE116*(1+BV$3))/$AJ116,'Технический лист'!$I:$J,2,1)-VLOOKUP($AO116,'Технический лист'!$I:$J,2,1)),1+(1-$AU116))</f>
        <v/>
      </c>
      <c r="BW116" s="172">
        <f>MIN(IF($AU116=100%,1,1+VLOOKUP(($AJ116-$AI116-$AH116-$AG116-$AF116-$AE116*(1+BW$3))/$AJ116,'Технический лист'!$I:$J,2,1)-VLOOKUP($AO116,'Технический лист'!$I:$J,2,1)),1+(1-$AU116))</f>
        <v/>
      </c>
      <c r="BX116" s="172">
        <f>MIN(IF($AU116=100%,1,1+VLOOKUP(($AJ116-$AI116-$AH116-$AG116-$AF116-$AE116*(1+BX$3))/$AJ116,'Технический лист'!$I:$J,2,1)-VLOOKUP($AO116,'Технический лист'!$I:$J,2,1)),1+(1-$AU116))</f>
        <v/>
      </c>
      <c r="BY116" s="172">
        <f>MIN(IF($AU116=100%,1,1+VLOOKUP(($AJ116-$AI116-$AH116-$AG116-$AF116-$AE116*(1+BY$3))/$AJ116,'Технический лист'!$I:$J,2,1)-VLOOKUP($AO116,'Технический лист'!$I:$J,2,1)),1+(1-$AU116))</f>
        <v/>
      </c>
      <c r="BZ116" s="172">
        <f>MIN(IF($AU116=100%,1,1+VLOOKUP(($AJ116-$AI116-$AH116-$AG116-$AF116-$AE116*(1+BZ$3))/$AJ116,'Технический лист'!$I:$J,2,1)-VLOOKUP($AO116,'Технический лист'!$I:$J,2,1)),1+(1-$AU116))</f>
        <v/>
      </c>
      <c r="CA116" s="172">
        <f>MIN(IF($AU116=100%,1,1+VLOOKUP(($AJ116-$AI116-$AH116-$AG116-$AF116-$AE116*(1+CA$3))/$AJ116,'Технический лист'!$I:$J,2,1)-VLOOKUP($AO116,'Технический лист'!$I:$J,2,1)),1+(1-$AU116))</f>
        <v/>
      </c>
      <c r="CB116" s="172">
        <f>MIN(IF($AU116=100%,1,1+VLOOKUP(($AJ116-$AI116-$AH116-$AG116-$AF116-$AE116*(1+CB$3))/$AJ116,'Технический лист'!$I:$J,2,1)-VLOOKUP($AO116,'Технический лист'!$I:$J,2,1)),1+(1-$AU116))</f>
        <v/>
      </c>
      <c r="CC116" s="172">
        <f>MIN(IF($AU116=100%,1,1+VLOOKUP(($AJ116-$AI116-$AH116-$AG116-$AF116-$AE116*(1+CC$3))/$AJ116,'Технический лист'!$I:$J,2,1)-VLOOKUP($AO116,'Технический лист'!$I:$J,2,1)),1+(1-$AU116))</f>
        <v/>
      </c>
      <c r="CD116" s="172">
        <f>MIN(IF($AU116=100%,1,1+VLOOKUP(($AJ116-$AI116-$AH116-$AG116-$AF116-$AE116*(1+CD$3))/$AJ116,'Технический лист'!$I:$J,2,1)-VLOOKUP($AO116,'Технический лист'!$I:$J,2,1)),1+(1-$AU116))</f>
        <v/>
      </c>
      <c r="CE116" s="172">
        <f>MIN(IF($AU116=100%,1,1+VLOOKUP(($AJ116-$AI116-$AH116-$AG116-$AF116-$AE116*(1+CE$3))/$AJ116,'Технический лист'!$I:$J,2,1)-VLOOKUP($AO116,'Технический лист'!$I:$J,2,1)),1+(1-$AU116))</f>
        <v/>
      </c>
      <c r="CF116" s="172">
        <f>MIN(IF($AU116=100%,1,1+VLOOKUP(($AJ116-$AI116-$AH116-$AG116-$AF116-$AE116*(1+CF$3))/$AJ116,'Технический лист'!$I:$J,2,1)-VLOOKUP($AO116,'Технический лист'!$I:$J,2,1)),1+(1-$AU116))</f>
        <v/>
      </c>
      <c r="CG116" s="172">
        <f>MIN(IF($AU116=100%,1,1+VLOOKUP(($AJ116-$AI116-$AH116-$AG116-$AF116-$AE116*(1+CG$3))/$AJ116,'Технический лист'!$I:$J,2,1)-VLOOKUP($AO116,'Технический лист'!$I:$J,2,1)),1+(1-$AU116))</f>
        <v/>
      </c>
      <c r="CH116" s="172">
        <f>MIN(IF($AU116=100%,1,1+VLOOKUP(($AJ116-$AI116-$AH116-$AG116-$AF116-$AE116*(1+CH$3))/$AJ116,'Технический лист'!$I:$J,2,1)-VLOOKUP($AO116,'Технический лист'!$I:$J,2,1)),1+(1-$AU116))</f>
        <v/>
      </c>
      <c r="CI116" s="172">
        <f>MIN(IF($AU116=100%,1,1+VLOOKUP(($AJ116-$AI116-$AH116-$AG116-$AF116-$AE116*(1+CI$3))/$AJ116,'Технический лист'!$I:$J,2,1)-VLOOKUP($AO116,'Технический лист'!$I:$J,2,1)),1+(1-$AU116))</f>
        <v/>
      </c>
      <c r="CJ116" s="172">
        <f>MIN(IF($AU116=100%,1,1+VLOOKUP(($AJ116-$AI116-$AH116-$AG116-$AF116-$AE116*(1+CJ$3))/$AJ116,'Технический лист'!$I:$J,2,1)-VLOOKUP($AO116,'Технический лист'!$I:$J,2,1)),1+(1-$AU116))</f>
        <v/>
      </c>
      <c r="CK116" s="172">
        <f>MIN(IF($AU116=100%,1,1+VLOOKUP(($AJ116-$AI116-$AH116-$AG116-$AF116-$AE116*(1+CK$3))/$AJ116,'Технический лист'!$I:$J,2,1)-VLOOKUP($AO116,'Технический лист'!$I:$J,2,1)),1+(1-$AU116))</f>
        <v/>
      </c>
      <c r="CL116" s="172">
        <f>MIN(IF($AU116=100%,1,1+VLOOKUP(($AJ116-$AI116-$AH116-$AG116-$AF116-$AE116*(1+CL$3))/$AJ116,'Технический лист'!$I:$J,2,1)-VLOOKUP($AO116,'Технический лист'!$I:$J,2,1)),1+(1-$AU116))</f>
        <v/>
      </c>
      <c r="CM116" s="172">
        <f>MIN(IF($AU116=100%,1,1+VLOOKUP(($AJ116-$AI116-$AH116-$AG116-$AF116-$AE116*(1+CM$3))/$AJ116,'Технический лист'!$I:$J,2,1)-VLOOKUP($AO116,'Технический лист'!$I:$J,2,1)),1+(1-$AU116))</f>
        <v/>
      </c>
      <c r="CN116" s="172">
        <f>MIN(IF($AU116=100%,1,1+VLOOKUP(($AJ116-$AI116-$AH116-$AG116-$AF116-$AE116*(1+CN$3))/$AJ116,'Технический лист'!$I:$J,2,1)-VLOOKUP($AO116,'Технический лист'!$I:$J,2,1)),1+(1-$AU116))</f>
        <v/>
      </c>
      <c r="CO116" s="172">
        <f>MIN(IF($AU116=100%,1,1+VLOOKUP(($AJ116-$AI116-$AH116-$AG116-$AF116-$AE116*(1+CO$3))/$AJ116,'Технический лист'!$I:$J,2,1)-VLOOKUP($AO116,'Технический лист'!$I:$J,2,1)),1+(1-$AU116))</f>
        <v/>
      </c>
      <c r="CP116" s="172">
        <f>MIN(IF($AU116=100%,1,1+VLOOKUP(($AJ116-$AI116-$AH116-$AG116-$AF116-$AE116*(1+CP$3))/$AJ116,'Технический лист'!$I:$J,2,1)-VLOOKUP($AO116,'Технический лист'!$I:$J,2,1)),1+(1-$AU116))</f>
        <v/>
      </c>
      <c r="CQ116" s="172">
        <f>MIN(IF($AU116=100%,1,1+VLOOKUP(($AJ116-$AI116-$AH116-$AG116-$AF116-$AE116*(1+CQ$3))/$AJ116,'Технический лист'!$I:$J,2,1)-VLOOKUP($AO116,'Технический лист'!$I:$J,2,1)),1+(1-$AU116))</f>
        <v/>
      </c>
      <c r="CR116" s="172">
        <f>MIN(IF($AU116=100%,1,1+VLOOKUP(($AJ116-$AI116-$AH116-$AG116-$AF116-$AE116*(1+CR$3))/$AJ116,'Технический лист'!$I:$J,2,1)-VLOOKUP($AO116,'Технический лист'!$I:$J,2,1)),1+(1-$AU116))</f>
        <v/>
      </c>
      <c r="CS116" s="172">
        <f>MIN(IF($AU116=100%,1,1+VLOOKUP(($AJ116-$AI116-$AH116-$AG116-$AF116-$AE116*(1+CS$3))/$AJ116,'Технический лист'!$I:$J,2,1)-VLOOKUP($AO116,'Технический лист'!$I:$J,2,1)),1+(1-$AU116))</f>
        <v/>
      </c>
      <c r="CT116" s="172">
        <f>MIN(IF($AU116=100%,1,1+VLOOKUP(($AJ116-$AI116-$AH116-$AG116-$AF116-$AE116*(1+CT$3))/$AJ116,'Технический лист'!$I:$J,2,1)-VLOOKUP($AO116,'Технический лист'!$I:$J,2,1)),1+(1-$AU116))</f>
        <v/>
      </c>
      <c r="CU116" s="172">
        <f>MIN(IF($AU116=100%,1,1+VLOOKUP(($AJ116-$AI116-$AH116-$AG116-$AF116-$AE116*(1+CU$3))/$AJ116,'Технический лист'!$I:$J,2,1)-VLOOKUP($AO116,'Технический лист'!$I:$J,2,1)),1+(1-$AU116))</f>
        <v/>
      </c>
      <c r="CV116" s="172">
        <f>MIN(IF($AU116=100%,1,1+VLOOKUP(($AJ116-$AI116-$AH116-$AG116-$AF116-$AE116*(1+CV$3))/$AJ116,'Технический лист'!$I:$J,2,1)-VLOOKUP($AO116,'Технический лист'!$I:$J,2,1)),1+(1-$AU116))</f>
        <v/>
      </c>
      <c r="CW116" s="172">
        <f>MIN(IF($AU116=100%,1,1+VLOOKUP(($AJ116-$AI116-$AH116-$AG116-$AF116-$AE116*(1+CW$3))/$AJ116,'Технический лист'!$I:$J,2,1)-VLOOKUP($AO116,'Технический лист'!$I:$J,2,1)),1+(1-$AU116))</f>
        <v/>
      </c>
      <c r="CX116" s="172">
        <f>MIN(IF($AU116=100%,1,1+VLOOKUP(($AJ116-$AI116-$AH116-$AG116-$AF116-$AE116*(1+CX$3))/$AJ116,'Технический лист'!$I:$J,2,1)-VLOOKUP($AO116,'Технический лист'!$I:$J,2,1)),1+(1-$AU116))</f>
        <v/>
      </c>
      <c r="CY116" s="172">
        <f>MIN(IF($AU116=100%,1,1+VLOOKUP(($AJ116-$AI116-$AH116-$AG116-$AF116-$AE116*(1+CY$3))/$AJ116,'Технический лист'!$I:$J,2,1)-VLOOKUP($AO116,'Технический лист'!$I:$J,2,1)),1+(1-$AU116))</f>
        <v/>
      </c>
      <c r="CZ116" s="172">
        <f>MIN(IF($AU116=100%,1,1+VLOOKUP(($AJ116-$AI116-$AH116-$AG116-$AF116-$AE116*(1+CZ$3))/$AJ116,'Технический лист'!$I:$J,2,1)-VLOOKUP($AO116,'Технический лист'!$I:$J,2,1)),1+(1-$AU116))</f>
        <v/>
      </c>
      <c r="DA116" s="172">
        <f>MIN(IF($AU116=100%,1,1+VLOOKUP(($AJ116-$AI116-$AH116-$AG116-$AF116-$AE116*(1+DA$3))/$AJ116,'Технический лист'!$I:$J,2,1)-VLOOKUP($AO116,'Технический лист'!$I:$J,2,1)),1+(1-$AU116))</f>
        <v/>
      </c>
      <c r="DB116" s="172">
        <f>MIN(IF($AU116=100%,1,1+VLOOKUP(($AJ116-$AI116-$AH116-$AG116-$AF116-$AE116*(1+DB$3))/$AJ116,'Технический лист'!$I:$J,2,1)-VLOOKUP($AO116,'Технический лист'!$I:$J,2,1)),1+(1-$AU116))</f>
        <v/>
      </c>
      <c r="DC116" s="172">
        <f>MIN(IF($AU116=100%,1,1+VLOOKUP(($AJ116-$AI116-$AH116-$AG116-$AF116-$AE116*(1+DC$3))/$AJ116,'Технический лист'!$I:$J,2,1)-VLOOKUP($AO116,'Технический лист'!$I:$J,2,1)),1+(1-$AU116))</f>
        <v/>
      </c>
      <c r="DD116" s="172">
        <f>MIN(IF($AU116=100%,1,1+VLOOKUP(($AJ116-$AI116-$AH116-$AG116-$AF116-$AE116*(1+DD$3))/$AJ116,'Технический лист'!$I:$J,2,1)-VLOOKUP($AO116,'Технический лист'!$I:$J,2,1)),1+(1-$AU116))</f>
        <v/>
      </c>
      <c r="DE116" s="172">
        <f>MIN(IF($AU116=100%,1,1+VLOOKUP(($AJ116-$AI116-$AH116-$AG116-$AF116-$AE116*(1+DE$3))/$AJ116,'Технический лист'!$I:$J,2,1)-VLOOKUP($AO116,'Технический лист'!$I:$J,2,1)),1+(1-$AU116))</f>
        <v/>
      </c>
      <c r="DF116" s="172">
        <f>MIN(IF($AU116=100%,1,1+VLOOKUP(($AJ116-$AI116-$AH116-$AG116-$AF116-$AE116*(1+DF$3))/$AJ116,'Технический лист'!$I:$J,2,1)-VLOOKUP($AO116,'Технический лист'!$I:$J,2,1)),1+(1-$AU116))</f>
        <v/>
      </c>
      <c r="DG116" s="172">
        <f>MIN(IF($AU116=100%,1,1+VLOOKUP(($AJ116-$AI116-$AH116-$AG116-$AF116-$AE116*(1+DG$3))/$AJ116,'Технический лист'!$I:$J,2,1)-VLOOKUP($AO116,'Технический лист'!$I:$J,2,1)),1+(1-$AU116))</f>
        <v/>
      </c>
      <c r="DH116" s="172">
        <f>MIN(IF($AU116=100%,1,1+VLOOKUP(($AJ116-$AI116-$AH116-$AG116-$AF116-$AE116*(1+DH$3))/$AJ116,'Технический лист'!$I:$J,2,1)-VLOOKUP($AO116,'Технический лист'!$I:$J,2,1)),1+(1-$AU116))</f>
        <v/>
      </c>
      <c r="DI116" s="172">
        <f>MIN(IF($AU116=100%,1,1+VLOOKUP(($AJ116-$AI116-$AH116-$AG116-$AF116-$AE116*(1+DI$3))/$AJ116,'Технический лист'!$I:$J,2,1)-VLOOKUP($AO116,'Технический лист'!$I:$J,2,1)),1+(1-$AU116))</f>
        <v/>
      </c>
      <c r="DJ116" s="172">
        <f>MIN(IF($AU116=100%,1,1+VLOOKUP(($AJ116-$AI116-$AH116-$AG116-$AF116-$AE116*(1+DJ$3))/$AJ116,'Технический лист'!$I:$J,2,1)-VLOOKUP($AO116,'Технический лист'!$I:$J,2,1)),1+(1-$AU116))</f>
        <v/>
      </c>
      <c r="DK116" s="172">
        <f>MIN(IF($AU116=100%,1,1+VLOOKUP(($AJ116-$AI116-$AH116-$AG116-$AF116-$AE116*(1+DK$3))/$AJ116,'Технический лист'!$I:$J,2,1)-VLOOKUP($AO116,'Технический лист'!$I:$J,2,1)),1+(1-$AU116))</f>
        <v/>
      </c>
      <c r="DL116" s="172">
        <f>MIN(IF($AU116=100%,1,1+VLOOKUP(($AJ116-$AI116-$AH116-$AG116-$AF116-$AE116*(1+DL$3))/$AJ116,'Технический лист'!$I:$J,2,1)-VLOOKUP($AO116,'Технический лист'!$I:$J,2,1)),1+(1-$AU116))</f>
        <v/>
      </c>
      <c r="DM116" s="172">
        <f>MIN(IF($AU116=100%,1,1+VLOOKUP(($AJ116-$AI116-$AH116-$AG116-$AF116-$AE116*(1+DM$3))/$AJ116,'Технический лист'!$I:$J,2,1)-VLOOKUP($AO116,'Технический лист'!$I:$J,2,1)),1+(1-$AU116))</f>
        <v/>
      </c>
      <c r="DN116" s="172">
        <f>MIN(IF($AU116=100%,1,1+VLOOKUP(($AJ116-$AI116-$AH116-$AG116-$AF116-$AE116*(1+DN$3))/$AJ116,'Технический лист'!$I:$J,2,1)-VLOOKUP($AO116,'Технический лист'!$I:$J,2,1)),1+(1-$AU116))</f>
        <v/>
      </c>
      <c r="DO116" s="172">
        <f>MIN(IF($AU116=100%,1,1+VLOOKUP(($AJ116-$AI116-$AH116-$AG116-$AF116-$AE116*(1+DO$3))/$AJ116,'Технический лист'!$I:$J,2,1)-VLOOKUP($AO116,'Технический лист'!$I:$J,2,1)),1+(1-$AU116))</f>
        <v/>
      </c>
      <c r="DP116" s="172">
        <f>MIN(IF($AU116=100%,1,1+VLOOKUP(($AJ116-$AI116-$AH116-$AG116-$AF116-$AE116*(1+DP$3))/$AJ116,'Технический лист'!$I:$J,2,1)-VLOOKUP($AO116,'Технический лист'!$I:$J,2,1)),1+(1-$AU116))</f>
        <v/>
      </c>
      <c r="DQ116" s="172">
        <f>MIN(IF($AU116=100%,1,1+VLOOKUP(($AJ116-$AI116-$AH116-$AG116-$AF116-$AE116*(1+DQ$3))/$AJ116,'Технический лист'!$I:$J,2,1)-VLOOKUP($AO116,'Технический лист'!$I:$J,2,1)),1+(1-$AU116))</f>
        <v/>
      </c>
      <c r="DR116" s="172">
        <f>MIN(IF($AU116=100%,1,1+VLOOKUP(($AJ116-$AI116-$AH116-$AG116-$AF116-$AE116*(1+DR$3))/$AJ116,'Технический лист'!$I:$J,2,1)-VLOOKUP($AO116,'Технический лист'!$I:$J,2,1)),1+(1-$AU116))</f>
        <v/>
      </c>
      <c r="DS116" s="172">
        <f>MIN(IF($AU116=100%,1,1+VLOOKUP(($AJ116-$AI116-$AH116-$AG116-$AF116-$AE116*(1+DS$3))/$AJ116,'Технический лист'!$I:$J,2,1)-VLOOKUP($AO116,'Технический лист'!$I:$J,2,1)),1+(1-$AU116))</f>
        <v/>
      </c>
      <c r="DT116" s="172">
        <f>MIN(IF($AU116=100%,1,1+VLOOKUP(($AJ116-$AI116-$AH116-$AG116-$AF116-$AE116*(1+DT$3))/$AJ116,'Технический лист'!$I:$J,2,1)-VLOOKUP($AO116,'Технический лист'!$I:$J,2,1)),1+(1-$AU116))</f>
        <v/>
      </c>
      <c r="DU116" s="172">
        <f>MIN(IF($AU116=100%,1,1+VLOOKUP(($AJ116-$AI116-$AH116-$AG116-$AF116-$AE116*(1+DU$3))/$AJ116,'Технический лист'!$I:$J,2,1)-VLOOKUP($AO116,'Технический лист'!$I:$J,2,1)),1+(1-$AU116))</f>
        <v/>
      </c>
      <c r="DV116" s="172">
        <f>MIN(IF($AU116=100%,1,1+VLOOKUP(($AJ116-$AI116-$AH116-$AG116-$AF116-$AE116*(1+DV$3))/$AJ116,'Технический лист'!$I:$J,2,1)-VLOOKUP($AO116,'Технический лист'!$I:$J,2,1)),1+(1-$AU116))</f>
        <v/>
      </c>
      <c r="DW116" s="172">
        <f>MIN(IF($AU116=100%,1,1+VLOOKUP(($AJ116-$AI116-$AH116-$AG116-$AF116-$AE116*(1+DW$3))/$AJ116,'Технический лист'!$I:$J,2,1)-VLOOKUP($AO116,'Технический лист'!$I:$J,2,1)),1+(1-$AU116))</f>
        <v/>
      </c>
      <c r="DX116" s="172">
        <f>MIN(IF($AU116=100%,1,1+VLOOKUP(($AJ116-$AI116-$AH116-$AG116-$AF116-$AE116*(1+DX$3))/$AJ116,'Технический лист'!$I:$J,2,1)-VLOOKUP($AO116,'Технический лист'!$I:$J,2,1)),1+(1-$AU116))</f>
        <v/>
      </c>
      <c r="DY116" s="172">
        <f>MIN(IF($AU116=100%,1,1+VLOOKUP(($AJ116-$AI116-$AH116-$AG116-$AF116-$AE116*(1+DY$3))/$AJ116,'Технический лист'!$I:$J,2,1)-VLOOKUP($AO116,'Технический лист'!$I:$J,2,1)),1+(1-$AU116))</f>
        <v/>
      </c>
      <c r="DZ116" s="172">
        <f>MIN(IF($AU116=100%,1,1+VLOOKUP(($AJ116-$AI116-$AH116-$AG116-$AF116-$AE116*(1+DZ$3))/$AJ116,'Технический лист'!$I:$J,2,1)-VLOOKUP($AO116,'Технический лист'!$I:$J,2,1)),1+(1-$AU116))</f>
        <v/>
      </c>
      <c r="EA116" s="172">
        <f>MIN(IF($AU116=100%,1,1+VLOOKUP(($AJ116-$AI116-$AH116-$AG116-$AF116-$AE116*(1+EA$3))/$AJ116,'Технический лист'!$I:$J,2,1)-VLOOKUP($AO116,'Технический лист'!$I:$J,2,1)),1+(1-$AU116))</f>
        <v/>
      </c>
      <c r="EB116" s="172">
        <f>MIN(IF($AU116=100%,1,1+VLOOKUP(($AJ116-$AI116-$AH116-$AG116-$AF116-$AE116*(1+EB$3))/$AJ116,'Технический лист'!$I:$J,2,1)-VLOOKUP($AO116,'Технический лист'!$I:$J,2,1)),1+(1-$AU116))</f>
        <v/>
      </c>
      <c r="EC116" s="172">
        <f>MIN(IF($AU116=100%,1,1+VLOOKUP(($AJ116-$AI116-$AH116-$AG116-$AF116-$AE116*(1+EC$3))/$AJ116,'Технический лист'!$I:$J,2,1)-VLOOKUP($AO116,'Технический лист'!$I:$J,2,1)),1+(1-$AU116))</f>
        <v/>
      </c>
      <c r="ED116" s="172">
        <f>MIN(IF($AU116=100%,1,1+VLOOKUP(($AJ116-$AI116-$AH116-$AG116-$AF116-$AE116*(1+ED$3))/$AJ116,'Технический лист'!$I:$J,2,1)-VLOOKUP($AO116,'Технический лист'!$I:$J,2,1)),1+(1-$AU116))</f>
        <v/>
      </c>
      <c r="EE116" s="172">
        <f>MIN(IF($AU116=100%,1,1+VLOOKUP(($AJ116-$AI116-$AH116-$AG116-$AF116-$AE116*(1+EE$3))/$AJ116,'Технический лист'!$I:$J,2,1)-VLOOKUP($AO116,'Технический лист'!$I:$J,2,1)),1+(1-$AU116))</f>
        <v/>
      </c>
      <c r="EF116" s="172">
        <f>MIN(IF($AU116=100%,1,1+VLOOKUP(($AJ116-$AI116-$AH116-$AG116-$AF116-$AE116*(1+EF$3))/$AJ116,'Технический лист'!$I:$J,2,1)-VLOOKUP($AO116,'Технический лист'!$I:$J,2,1)),1+(1-$AU116))</f>
        <v/>
      </c>
      <c r="EG116" s="172">
        <f>MIN(IF($AU116=100%,1,1+VLOOKUP(($AJ116-$AI116-$AH116-$AG116-$AF116-$AE116*(1+EG$3))/$AJ116,'Технический лист'!$I:$J,2,1)-VLOOKUP($AO116,'Технический лист'!$I:$J,2,1)),1+(1-$AU116))</f>
        <v/>
      </c>
      <c r="EH116" s="172">
        <f>MIN(IF($AU116=100%,1,1+VLOOKUP(($AJ116-$AI116-$AH116-$AG116-$AF116-$AE116*(1+EH$3))/$AJ116,'Технический лист'!$I:$J,2,1)-VLOOKUP($AO116,'Технический лист'!$I:$J,2,1)),1+(1-$AU116))</f>
        <v/>
      </c>
      <c r="EI116" s="172">
        <f>MIN(IF($AU116=100%,1,1+VLOOKUP(($AJ116-$AI116-$AH116-$AG116-$AF116-$AE116*(1+EI$3))/$AJ116,'Технический лист'!$I:$J,2,1)-VLOOKUP($AO116,'Технический лист'!$I:$J,2,1)),1+(1-$AU116))</f>
        <v/>
      </c>
      <c r="EJ116" s="172">
        <f>MIN(IF($AU116=100%,1,1+VLOOKUP(($AJ116-$AI116-$AH116-$AG116-$AF116-$AE116*(1+EJ$3))/$AJ116,'Технический лист'!$I:$J,2,1)-VLOOKUP($AO116,'Технический лист'!$I:$J,2,1)),1+(1-$AU116))</f>
        <v/>
      </c>
      <c r="EK116" s="172">
        <f>MIN(IF($AU116=100%,1,1+VLOOKUP(($AJ116-$AI116-$AH116-$AG116-$AF116-$AE116*(1+EK$3))/$AJ116,'Технический лист'!$I:$J,2,1)-VLOOKUP($AO116,'Технический лист'!$I:$J,2,1)),1+(1-$AU116))</f>
        <v/>
      </c>
      <c r="EL116" s="172">
        <f>MIN(IF($AU116=100%,1,1+VLOOKUP(($AJ116-$AI116-$AH116-$AG116-$AF116-$AE116*(1+EL$3))/$AJ116,'Технический лист'!$I:$J,2,1)-VLOOKUP($AO116,'Технический лист'!$I:$J,2,1)),1+(1-$AU116))</f>
        <v/>
      </c>
      <c r="EM116" s="172">
        <f>MIN(IF($AU116=100%,1,1+VLOOKUP(($AJ116-$AI116-$AH116-$AG116-$AF116-$AE116*(1+EM$3))/$AJ116,'Технический лист'!$I:$J,2,1)-VLOOKUP($AO116,'Технический лист'!$I:$J,2,1)),1+(1-$AU116))</f>
        <v/>
      </c>
      <c r="EN116" s="172">
        <f>MIN(IF($AU116=100%,1,1+VLOOKUP(($AJ116-$AI116-$AH116-$AG116-$AF116-$AE116*(1+EN$3))/$AJ116,'Технический лист'!$I:$J,2,1)-VLOOKUP($AO116,'Технический лист'!$I:$J,2,1)),1+(1-$AU116))</f>
        <v/>
      </c>
      <c r="EO116" s="172">
        <f>MIN(IF($AU116=100%,1,1+VLOOKUP(($AJ116-$AI116-$AH116-$AG116-$AF116-$AE116*(1+EO$3))/$AJ116,'Технический лист'!$I:$J,2,1)-VLOOKUP($AO116,'Технический лист'!$I:$J,2,1)),1+(1-$AU116))</f>
        <v/>
      </c>
      <c r="EP116" s="172">
        <f>MIN(IF($AU116=100%,1,1+VLOOKUP(($AJ116-$AI116-$AH116-$AG116-$AF116-$AE116*(1+EP$3))/$AJ116,'Технический лист'!$I:$J,2,1)-VLOOKUP($AO116,'Технический лист'!$I:$J,2,1)),1+(1-$AU116))</f>
        <v/>
      </c>
      <c r="EQ116" s="172">
        <f>MIN(IF($AU116=100%,1,1+VLOOKUP(($AJ116-$AI116-$AH116-$AG116-$AF116-$AE116*(1+EQ$3))/$AJ116,'Технический лист'!$I:$J,2,1)-VLOOKUP($AO116,'Технический лист'!$I:$J,2,1)),1+(1-$AU116))</f>
        <v/>
      </c>
      <c r="ER116" s="172">
        <f>MIN(IF($AU116=100%,1,1+VLOOKUP(($AJ116-$AI116-$AH116-$AG116-$AF116-$AE116*(1+ER$3))/$AJ116,'Технический лист'!$I:$J,2,1)-VLOOKUP($AO116,'Технический лист'!$I:$J,2,1)),1+(1-$AU116))</f>
        <v/>
      </c>
      <c r="ES116" s="172">
        <f>MIN(IF($AU116=100%,1,1+VLOOKUP(($AJ116-$AI116-$AH116-$AG116-$AF116-$AE116*(1+ES$3))/$AJ116,'Технический лист'!$I:$J,2,1)-VLOOKUP($AO116,'Технический лист'!$I:$J,2,1)),1+(1-$AU116))</f>
        <v/>
      </c>
      <c r="ET116" s="172">
        <f>MIN(IF($AU116=100%,1,1+VLOOKUP(($AJ116-$AI116-$AH116-$AG116-$AF116-$AE116*(1+ET$3))/$AJ116,'Технический лист'!$I:$J,2,1)-VLOOKUP($AO116,'Технический лист'!$I:$J,2,1)),1+(1-$AU116))</f>
        <v/>
      </c>
      <c r="EU116" s="172">
        <f>MIN(IF($AU116=100%,1,1+VLOOKUP(($AJ116-$AI116-$AH116-$AG116-$AF116-$AE116*(1+EU$3))/$AJ116,'Технический лист'!$I:$J,2,1)-VLOOKUP($AO116,'Технический лист'!$I:$J,2,1)),1+(1-$AU116))</f>
        <v/>
      </c>
      <c r="EV116" s="173" t="n">
        <v>1</v>
      </c>
      <c r="EW116" s="172">
        <f>MIN(1,MAX(VLOOKUP(($AJ116-$AI116-$AH116-$AG116-$AF116-$AE116*(1+EW$3))/$AJ116,'Технический лист'!$A:$B,2,1),(EV116-0.05)))</f>
        <v/>
      </c>
      <c r="EX116" s="172">
        <f>MIN(1,MAX(VLOOKUP(($AJ116-$AI116-$AH116-$AG116-$AF116-$AE116*(1+EX$3))/$AJ116,'Технический лист'!$A:$B,2,1),(EW116-0.05)))</f>
        <v/>
      </c>
      <c r="EY116" s="172">
        <f>MIN(1,MAX(VLOOKUP(($AJ116-$AI116-$AH116-$AG116-$AF116-$AE116*(1+EY$3))/$AJ116,'Технический лист'!$A:$B,2,1),(EX116-0.05)))</f>
        <v/>
      </c>
      <c r="EZ116" s="172">
        <f>MIN(1,MAX(VLOOKUP(($AJ116-$AI116-$AH116-$AG116-$AF116-$AE116*(1+EZ$3))/$AJ116,'Технический лист'!$A:$B,2,1),(EY116-0.05)))</f>
        <v/>
      </c>
      <c r="FA116" s="172">
        <f>MIN(1,MAX(VLOOKUP(($AJ116-$AI116-$AH116-$AG116-$AF116-$AE116*(1+FA$3))/$AJ116,'Технический лист'!$A:$B,2,1),(EZ116-0.05)))</f>
        <v/>
      </c>
      <c r="FB116" s="172">
        <f>MIN(1,MAX(VLOOKUP(($AJ116-$AI116-$AH116-$AG116-$AF116-$AE116*(1+FB$3))/$AJ116,'Технический лист'!$A:$B,2,1),(FA116-0.05)))</f>
        <v/>
      </c>
      <c r="FC116" s="172">
        <f>MIN(1,MAX(VLOOKUP(($AJ116-$AI116-$AH116-$AG116-$AF116-$AE116*(1+FC$3))/$AJ116,'Технический лист'!$A:$B,2,1),(FB116-0.05)))</f>
        <v/>
      </c>
      <c r="FD116" s="172">
        <f>MIN(1,MAX(VLOOKUP(($AJ116-$AI116-$AH116-$AG116-$AF116-$AE116*(1+FD$3))/$AJ116,'Технический лист'!$A:$B,2,1),(FC116-0.05)))</f>
        <v/>
      </c>
      <c r="FE116" s="172">
        <f>MIN(1,MAX(VLOOKUP(($AJ116-$AI116-$AH116-$AG116-$AF116-$AE116*(1+FE$3))/$AJ116,'Технический лист'!$A:$B,2,1),(FD116-0.05)))</f>
        <v/>
      </c>
      <c r="FF116" s="172">
        <f>MIN(1,MAX(VLOOKUP(($AJ116-$AI116-$AH116-$AG116-$AF116-$AE116*(1+FF$3))/$AJ116,'Технический лист'!$A:$B,2,1),(FE116-0.05)))</f>
        <v/>
      </c>
      <c r="FG116" s="172">
        <f>MIN(1,MAX(VLOOKUP(($AJ116-$AI116-$AH116-$AG116-$AF116-$AE116*(1+FG$3))/$AJ116,'Технический лист'!$A:$B,2,1),(FF116-0.05)))</f>
        <v/>
      </c>
      <c r="FH116" s="172">
        <f>MIN(1,MAX(VLOOKUP(($AJ116-$AI116-$AH116-$AG116-$AF116-$AE116*(1+FH$3))/$AJ116,'Технический лист'!$A:$B,2,1),(FG116-0.05)))</f>
        <v/>
      </c>
      <c r="FI116" s="172">
        <f>MIN(1,MAX(VLOOKUP(($AJ116-$AI116-$AH116-$AG116-$AF116-$AE116*(1+FI$3))/$AJ116,'Технический лист'!$A:$B,2,1),(FH116-0.05)))</f>
        <v/>
      </c>
      <c r="FJ116" s="172">
        <f>MIN(1,MAX(VLOOKUP(($AJ116-$AI116-$AH116-$AG116-$AF116-$AE116*(1+FJ$3))/$AJ116,'Технический лист'!$A:$B,2,1),(FI116-0.05)))</f>
        <v/>
      </c>
      <c r="FK116" s="172">
        <f>MIN(1,MAX(VLOOKUP(($AJ116-$AI116-$AH116-$AG116-$AF116-$AE116*(1+FK$3))/$AJ116,'Технический лист'!$A:$B,2,1),(FJ116-0.05)))</f>
        <v/>
      </c>
      <c r="FL116" s="172">
        <f>MIN(1,MAX(VLOOKUP(($AJ116-$AI116-$AH116-$AG116-$AF116-$AE116*(1+FL$3))/$AJ116,'Технический лист'!$A:$B,2,1),(FK116-0.05)))</f>
        <v/>
      </c>
      <c r="FM116" s="172">
        <f>MIN(1,MAX(VLOOKUP(($AJ116-$AI116-$AH116-$AG116-$AF116-$AE116*(1+FM$3))/$AJ116,'Технический лист'!$A:$B,2,1),(FL116-0.05)))</f>
        <v/>
      </c>
      <c r="FN116" s="172">
        <f>MIN(1,MAX(VLOOKUP(($AJ116-$AI116-$AH116-$AG116-$AF116-$AE116*(1+FN$3))/$AJ116,'Технический лист'!$A:$B,2,1),(FM116-0.05)))</f>
        <v/>
      </c>
      <c r="FO116" s="172">
        <f>MIN(1,MAX(VLOOKUP(($AJ116-$AI116-$AH116-$AG116-$AF116-$AE116*(1+FO$3))/$AJ116,'Технический лист'!$A:$B,2,1),(FN116-0.05)))</f>
        <v/>
      </c>
      <c r="FP116" s="172">
        <f>MIN(1,MAX(VLOOKUP(($AJ116-$AI116-$AH116-$AG116-$AF116-$AE116*(1+FP$3))/$AJ116,'Технический лист'!$A:$B,2,1),(FO116-0.05)))</f>
        <v/>
      </c>
      <c r="FQ116" s="172">
        <f>MIN(1,MAX(VLOOKUP(($AJ116-$AI116-$AH116-$AG116-$AF116-$AE116*(1+FQ$3))/$AJ116,'Технический лист'!$A:$B,2,1),(FP116-0.05)))</f>
        <v/>
      </c>
      <c r="FR116" s="172">
        <f>MIN(1,MAX(VLOOKUP(($AJ116-$AI116-$AH116-$AG116-$AF116-$AE116*(1+FR$3))/$AJ116,'Технический лист'!$A:$B,2,1),(FQ116-0.05)))</f>
        <v/>
      </c>
      <c r="FS116" s="172">
        <f>MIN(1,MAX(VLOOKUP(($AJ116-$AI116-$AH116-$AG116-$AF116-$AE116*(1+FS$3))/$AJ116,'Технический лист'!$A:$B,2,1),(FR116-0.05)))</f>
        <v/>
      </c>
      <c r="FT116" s="172">
        <f>MIN(1,MAX(VLOOKUP(($AJ116-$AI116-$AH116-$AG116-$AF116-$AE116*(1+FT$3))/$AJ116,'Технический лист'!$A:$B,2,1),(FS116-0.05)))</f>
        <v/>
      </c>
      <c r="FU116" s="172">
        <f>MIN(1,MAX(VLOOKUP(($AJ116-$AI116-$AH116-$AG116-$AF116-$AE116*(1+FU$3))/$AJ116,'Технический лист'!$A:$B,2,1),(FT116-0.05)))</f>
        <v/>
      </c>
      <c r="FV116" s="172">
        <f>MIN(1,MAX(VLOOKUP(($AJ116-$AI116-$AH116-$AG116-$AF116-$AE116*(1+FV$3))/$AJ116,'Технический лист'!$A:$B,2,1),(FU116-0.05)))</f>
        <v/>
      </c>
      <c r="FW116" s="172">
        <f>MIN(1,MAX(VLOOKUP(($AJ116-$AI116-$AH116-$AG116-$AF116-$AE116*(1+FW$3))/$AJ116,'Технический лист'!$A:$B,2,1),(FV116-0.05)))</f>
        <v/>
      </c>
      <c r="FX116" s="172">
        <f>MIN(1,MAX(VLOOKUP(($AJ116-$AI116-$AH116-$AG116-$AF116-$AE116*(1+FX$3))/$AJ116,'Технический лист'!$A:$B,2,1),(FW116-0.05)))</f>
        <v/>
      </c>
      <c r="FY116" s="172">
        <f>MIN(1,MAX(VLOOKUP(($AJ116-$AI116-$AH116-$AG116-$AF116-$AE116*(1+FY$3))/$AJ116,'Технический лист'!$A:$B,2,1),(FX116-0.05)))</f>
        <v/>
      </c>
      <c r="FZ116" s="172">
        <f>MIN(1,MAX(VLOOKUP(($AJ116-$AI116-$AH116-$AG116-$AF116-$AE116*(1+FZ$3))/$AJ116,'Технический лист'!$A:$B,2,1),(FY116-0.05)))</f>
        <v/>
      </c>
      <c r="GA116" s="172">
        <f>MIN(1,MAX(VLOOKUP(($AJ116-$AI116-$AH116-$AG116-$AF116-$AE116*(1+GA$3))/$AJ116,'Технический лист'!$A:$B,2,1),(FZ116-0.05)))</f>
        <v/>
      </c>
      <c r="GB116" s="172">
        <f>MIN(1,MAX(VLOOKUP(($AJ116-$AI116-$AH116-$AG116-$AF116-$AE116*(1+GB$3))/$AJ116,'Технический лист'!$A:$B,2,1),(GA116-0.05)))</f>
        <v/>
      </c>
      <c r="GC116" s="172">
        <f>MIN(1,MAX(VLOOKUP(($AJ116-$AI116-$AH116-$AG116-$AF116-$AE116*(1+GC$3))/$AJ116,'Технический лист'!$A:$B,2,1),(GB116-0.05)))</f>
        <v/>
      </c>
      <c r="GD116" s="172">
        <f>MIN(1,MAX(VLOOKUP(($AJ116-$AI116-$AH116-$AG116-$AF116-$AE116*(1+GD$3))/$AJ116,'Технический лист'!$A:$B,2,1),(GC116-0.05)))</f>
        <v/>
      </c>
      <c r="GE116" s="172">
        <f>MIN(1,MAX(VLOOKUP(($AJ116-$AI116-$AH116-$AG116-$AF116-$AE116*(1+GE$3))/$AJ116,'Технический лист'!$A:$B,2,1),(GD116-0.05)))</f>
        <v/>
      </c>
      <c r="GF116" s="172">
        <f>MIN(1,MAX(VLOOKUP(($AJ116-$AI116-$AH116-$AG116-$AF116-$AE116*(1+GF$3))/$AJ116,'Технический лист'!$A:$B,2,1),(GE116-0.05)))</f>
        <v/>
      </c>
      <c r="GG116" s="172">
        <f>MIN(1,MAX(VLOOKUP(($AJ116-$AI116-$AH116-$AG116-$AF116-$AE116*(1+GG$3))/$AJ116,'Технический лист'!$A:$B,2,1),(GF116-0.05)))</f>
        <v/>
      </c>
      <c r="GH116" s="172">
        <f>MIN(1,MAX(VLOOKUP(($AJ116-$AI116-$AH116-$AG116-$AF116-$AE116*(1+GH$3))/$AJ116,'Технический лист'!$A:$B,2,1),(GG116-0.05)))</f>
        <v/>
      </c>
      <c r="GI116" s="172">
        <f>MIN(1,MAX(VLOOKUP(($AJ116-$AI116-$AH116-$AG116-$AF116-$AE116*(1+GI$3))/$AJ116,'Технический лист'!$A:$B,2,1),(GH116-0.05)))</f>
        <v/>
      </c>
      <c r="GJ116" s="172">
        <f>MIN(1,MAX(VLOOKUP(($AJ116-$AI116-$AH116-$AG116-$AF116-$AE116*(1+GJ$3))/$AJ116,'Технический лист'!$A:$B,2,1),(GI116-0.05)))</f>
        <v/>
      </c>
      <c r="GK116" s="172">
        <f>MIN(1,MAX(VLOOKUP(($AJ116-$AI116-$AH116-$AG116-$AF116-$AE116*(1+GK$3))/$AJ116,'Технический лист'!$A:$B,2,1),(GJ116-0.05)))</f>
        <v/>
      </c>
      <c r="GL116" s="172">
        <f>MIN(1,MAX(VLOOKUP(($AJ116-$AI116-$AH116-$AG116-$AF116-$AE116*(1+GL$3))/$AJ116,'Технический лист'!$A:$B,2,1),(GK116-0.05)))</f>
        <v/>
      </c>
      <c r="GM116" s="172">
        <f>MIN(1,MAX(VLOOKUP(($AJ116-$AI116-$AH116-$AG116-$AF116-$AE116*(1+GM$3))/$AJ116,'Технический лист'!$A:$B,2,1),(GL116-0.05)))</f>
        <v/>
      </c>
      <c r="GN116" s="172">
        <f>MIN(1,MAX(VLOOKUP(($AJ116-$AI116-$AH116-$AG116-$AF116-$AE116*(1+GN$3))/$AJ116,'Технический лист'!$A:$B,2,1),(GM116-0.05)))</f>
        <v/>
      </c>
      <c r="GO116" s="172">
        <f>MIN(1,MAX(VLOOKUP(($AJ116-$AI116-$AH116-$AG116-$AF116-$AE116*(1+GO$3))/$AJ116,'Технический лист'!$A:$B,2,1),(GN116-0.05)))</f>
        <v/>
      </c>
      <c r="GP116" s="172">
        <f>MIN(1,MAX(VLOOKUP(($AJ116-$AI116-$AH116-$AG116-$AF116-$AE116*(1+GP$3))/$AJ116,'Технический лист'!$A:$B,2,1),(GO116-0.05)))</f>
        <v/>
      </c>
      <c r="GQ116" s="172">
        <f>MIN(1,MAX(VLOOKUP(($AJ116-$AI116-$AH116-$AG116-$AF116-$AE116*(1+GQ$3))/$AJ116,'Технический лист'!$A:$B,2,1),(GP116-0.05)))</f>
        <v/>
      </c>
      <c r="GR116" s="172">
        <f>MIN(1,MAX(VLOOKUP(($AJ116-$AI116-$AH116-$AG116-$AF116-$AE116*(1+GR$3))/$AJ116,'Технический лист'!$A:$B,2,1),(GQ116-0.05)))</f>
        <v/>
      </c>
      <c r="GS116" s="172">
        <f>MIN(1,MAX(VLOOKUP(($AJ116-$AI116-$AH116-$AG116-$AF116-$AE116*(1+GS$3))/$AJ116,'Технический лист'!$A:$B,2,1),(GR116-0.05)))</f>
        <v/>
      </c>
      <c r="GT116" s="172">
        <f>MIN(1,MAX(VLOOKUP(($AJ116-$AI116-$AH116-$AG116-$AF116-$AE116*(1+GT$3))/$AJ116,'Технический лист'!$A:$B,2,1),(GS116-0.05)))</f>
        <v/>
      </c>
      <c r="GU116" s="172">
        <f>MIN(1,MAX(VLOOKUP(($AJ116-$AI116-$AH116-$AG116-$AF116-$AE116*(1+GU$3))/$AJ116,'Технический лист'!$A:$B,2,1),(GT116-0.05)))</f>
        <v/>
      </c>
      <c r="GV116" s="172">
        <f>MIN(1,MAX(VLOOKUP(($AJ116-$AI116-$AH116-$AG116-$AF116-$AE116*(1+GV$3))/$AJ116,'Технический лист'!$A:$B,2,1),(GU116-0.05)))</f>
        <v/>
      </c>
      <c r="GW116" s="172">
        <f>MIN(1,MAX(VLOOKUP(($AJ116-$AI116-$AH116-$AG116-$AF116-$AE116*(1+GW$3))/$AJ116,'Технический лист'!$A:$B,2,1),(GV116-0.05)))</f>
        <v/>
      </c>
      <c r="GX116" s="172">
        <f>MIN(1,MAX(VLOOKUP(($AJ116-$AI116-$AH116-$AG116-$AF116-$AE116*(1+GX$3))/$AJ116,'Технический лист'!$A:$B,2,1),(GW116-0.05)))</f>
        <v/>
      </c>
      <c r="GY116" s="172">
        <f>MIN(1,MAX(VLOOKUP(($AJ116-$AI116-$AH116-$AG116-$AF116-$AE116*(1+GY$3))/$AJ116,'Технический лист'!$A:$B,2,1),(GX116-0.05)))</f>
        <v/>
      </c>
      <c r="GZ116" s="172">
        <f>MIN(1,MAX(VLOOKUP(($AJ116-$AI116-$AH116-$AG116-$AF116-$AE116*(1+GZ$3))/$AJ116,'Технический лист'!$A:$B,2,1),(GY116-0.05)))</f>
        <v/>
      </c>
      <c r="HA116" s="172">
        <f>MIN(1,MAX(VLOOKUP(($AJ116-$AI116-$AH116-$AG116-$AF116-$AE116*(1+HA$3))/$AJ116,'Технический лист'!$A:$B,2,1),(GZ116-0.05)))</f>
        <v/>
      </c>
      <c r="HB116" s="172">
        <f>MIN(1,MAX(VLOOKUP(($AJ116-$AI116-$AH116-$AG116-$AF116-$AE116*(1+HB$3))/$AJ116,'Технический лист'!$A:$B,2,1),(HA116-0.05)))</f>
        <v/>
      </c>
      <c r="HC116" s="172">
        <f>MIN(1,MAX(VLOOKUP(($AJ116-$AI116-$AH116-$AG116-$AF116-$AE116*(1+HC$3))/$AJ116,'Технический лист'!$A:$B,2,1),(HB116-0.05)))</f>
        <v/>
      </c>
      <c r="HD116" s="172">
        <f>MIN(1,MAX(VLOOKUP(($AJ116-$AI116-$AH116-$AG116-$AF116-$AE116*(1+HD$3))/$AJ116,'Технический лист'!$A:$B,2,1),(HC116-0.05)))</f>
        <v/>
      </c>
      <c r="HE116" s="172">
        <f>MIN(1,MAX(VLOOKUP(($AJ116-$AI116-$AH116-$AG116-$AF116-$AE116*(1+HE$3))/$AJ116,'Технический лист'!$A:$B,2,1),(HD116-0.05)))</f>
        <v/>
      </c>
      <c r="HF116" s="172">
        <f>MIN(1,MAX(VLOOKUP(($AJ116-$AI116-$AH116-$AG116-$AF116-$AE116*(1+HF$3))/$AJ116,'Технический лист'!$A:$B,2,1),(HE116-0.05)))</f>
        <v/>
      </c>
      <c r="HG116" s="172">
        <f>MIN(1,MAX(VLOOKUP(($AJ116-$AI116-$AH116-$AG116-$AF116-$AE116*(1+HG$3))/$AJ116,'Технический лист'!$A:$B,2,1),(HF116-0.05)))</f>
        <v/>
      </c>
      <c r="HH116" s="172">
        <f>MIN(1,MAX(VLOOKUP(($AJ116-$AI116-$AH116-$AG116-$AF116-$AE116*(1+HH$3))/$AJ116,'Технический лист'!$A:$B,2,1),(HG116-0.05)))</f>
        <v/>
      </c>
      <c r="HI116" s="172">
        <f>MIN(1,MAX(VLOOKUP(($AJ116-$AI116-$AH116-$AG116-$AF116-$AE116*(1+HI$3))/$AJ116,'Технический лист'!$A:$B,2,1),(HH116-0.05)))</f>
        <v/>
      </c>
      <c r="HJ116" s="172">
        <f>MIN(1,MAX(VLOOKUP(($AJ116-$AI116-$AH116-$AG116-$AF116-$AE116*(1+HJ$3))/$AJ116,'Технический лист'!$A:$B,2,1),(HI116-0.05)))</f>
        <v/>
      </c>
      <c r="HK116" s="172">
        <f>MIN(1,MAX(VLOOKUP(($AJ116-$AI116-$AH116-$AG116-$AF116-$AE116*(1+HK$3))/$AJ116,'Технический лист'!$A:$B,2,1),(HJ116-0.05)))</f>
        <v/>
      </c>
      <c r="HL116" s="172">
        <f>MIN(1,MAX(VLOOKUP(($AJ116-$AI116-$AH116-$AG116-$AF116-$AE116*(1+HL$3))/$AJ116,'Технический лист'!$A:$B,2,1),(HK116-0.05)))</f>
        <v/>
      </c>
      <c r="HM116" s="172">
        <f>MIN(1,MAX(VLOOKUP(($AJ116-$AI116-$AH116-$AG116-$AF116-$AE116*(1+HM$3))/$AJ116,'Технический лист'!$A:$B,2,1),(HL116-0.05)))</f>
        <v/>
      </c>
      <c r="HN116" s="172">
        <f>MIN(1,MAX(VLOOKUP(($AJ116-$AI116-$AH116-$AG116-$AF116-$AE116*(1+HN$3))/$AJ116,'Технический лист'!$A:$B,2,1),(HM116-0.05)))</f>
        <v/>
      </c>
      <c r="HO116" s="172">
        <f>MIN(1,MAX(VLOOKUP(($AJ116-$AI116-$AH116-$AG116-$AF116-$AE116*(1+HO$3))/$AJ116,'Технический лист'!$A:$B,2,1),(HN116-0.05)))</f>
        <v/>
      </c>
      <c r="HP116" s="172">
        <f>MIN(1,MAX(VLOOKUP(($AJ116-$AI116-$AH116-$AG116-$AF116-$AE116*(1+HP$3))/$AJ116,'Технический лист'!$A:$B,2,1),(HO116-0.05)))</f>
        <v/>
      </c>
      <c r="HQ116" s="172">
        <f>MIN(1,MAX(VLOOKUP(($AJ116-$AI116-$AH116-$AG116-$AF116-$AE116*(1+HQ$3))/$AJ116,'Технический лист'!$A:$B,2,1),(HP116-0.05)))</f>
        <v/>
      </c>
      <c r="HR116" s="172">
        <f>MIN(1,MAX(VLOOKUP(($AJ116-$AI116-$AH116-$AG116-$AF116-$AE116*(1+HR$3))/$AJ116,'Технический лист'!$A:$B,2,1),(HQ116-0.05)))</f>
        <v/>
      </c>
      <c r="HS116" s="172">
        <f>MIN(1,MAX(VLOOKUP(($AJ116-$AI116-$AH116-$AG116-$AF116-$AE116*(1+HS$3))/$AJ116,'Технический лист'!$A:$B,2,1),(HR116-0.05)))</f>
        <v/>
      </c>
      <c r="HT116" s="172">
        <f>MIN(1,MAX(VLOOKUP(($AJ116-$AI116-$AH116-$AG116-$AF116-$AE116*(1+HT$3))/$AJ116,'Технический лист'!$A:$B,2,1),(HS116-0.05)))</f>
        <v/>
      </c>
      <c r="HU116" s="172">
        <f>MIN(1,MAX(VLOOKUP(($AJ116-$AI116-$AH116-$AG116-$AF116-$AE116*(1+HU$3))/$AJ116,'Технический лист'!$A:$B,2,1),(HT116-0.05)))</f>
        <v/>
      </c>
      <c r="HV116" s="172">
        <f>MIN(1,MAX(VLOOKUP(($AJ116-$AI116-$AH116-$AG116-$AF116-$AE116*(1+HV$3))/$AJ116,'Технический лист'!$A:$B,2,1),(HU116-0.05)))</f>
        <v/>
      </c>
      <c r="HW116" s="172">
        <f>MIN(1,MAX(VLOOKUP(($AJ116-$AI116-$AH116-$AG116-$AF116-$AE116*(1+HW$3))/$AJ116,'Технический лист'!$A:$B,2,1),(HV116-0.05)))</f>
        <v/>
      </c>
      <c r="HX116" s="172">
        <f>MIN(1,MAX(VLOOKUP(($AJ116-$AI116-$AH116-$AG116-$AF116-$AE116*(1+HX$3))/$AJ116,'Технический лист'!$A:$B,2,1),(HW116-0.05)))</f>
        <v/>
      </c>
      <c r="HY116" s="172">
        <f>MIN(1,MAX(VLOOKUP(($AJ116-$AI116-$AH116-$AG116-$AF116-$AE116*(1+HY$3))/$AJ116,'Технический лист'!$A:$B,2,1),(HX116-0.05)))</f>
        <v/>
      </c>
      <c r="HZ116" s="172">
        <f>MIN(1,MAX(VLOOKUP(($AJ116-$AI116-$AH116-$AG116-$AF116-$AE116*(1+HZ$3))/$AJ116,'Технический лист'!$A:$B,2,1),(HY116-0.05)))</f>
        <v/>
      </c>
      <c r="IA116" s="172">
        <f>MIN(1,MAX(VLOOKUP(($AJ116-$AI116-$AH116-$AG116-$AF116-$AE116*(1+IA$3))/$AJ116,'Технический лист'!$A:$B,2,1),(HZ116-0.05)))</f>
        <v/>
      </c>
      <c r="IB116" s="172">
        <f>MIN(1,MAX(VLOOKUP(($AJ116-$AI116-$AH116-$AG116-$AF116-$AE116*(1+IB$3))/$AJ116,'Технический лист'!$A:$B,2,1),(IA116-0.05)))</f>
        <v/>
      </c>
      <c r="IC116" s="172">
        <f>MIN(1,MAX(VLOOKUP(($AJ116-$AI116-$AH116-$AG116-$AF116-$AE116*(1+IC$3))/$AJ116,'Технический лист'!$A:$B,2,1),(IB116-0.05)))</f>
        <v/>
      </c>
      <c r="ID116" s="172">
        <f>MIN(1,MAX(VLOOKUP(($AJ116-$AI116-$AH116-$AG116-$AF116-$AE116*(1+ID$3))/$AJ116,'Технический лист'!$A:$B,2,1),(IC116-0.05)))</f>
        <v/>
      </c>
      <c r="IE116" s="172">
        <f>MIN(1,MAX(VLOOKUP(($AJ116-$AI116-$AH116-$AG116-$AF116-$AE116*(1+IE$3))/$AJ116,'Технический лист'!$A:$B,2,1),(ID116-0.05)))</f>
        <v/>
      </c>
      <c r="IF116" s="172">
        <f>MIN(1,MAX(VLOOKUP(($AJ116-$AI116-$AH116-$AG116-$AF116-$AE116*(1+IF$3))/$AJ116,'Технический лист'!$A:$B,2,1),(IE116-0.05)))</f>
        <v/>
      </c>
      <c r="IG116" s="172">
        <f>MIN(1,MAX(VLOOKUP(($AJ116-$AI116-$AH116-$AG116-$AF116-$AE116*(1+IG$3))/$AJ116,'Технический лист'!$A:$B,2,1),(IF116-0.05)))</f>
        <v/>
      </c>
      <c r="IH116" s="172">
        <f>MIN(1,MAX(VLOOKUP(($AJ116-$AI116-$AH116-$AG116-$AF116-$AE116*(1+IH$3))/$AJ116,'Технический лист'!$A:$B,2,1),(IG116-0.05)))</f>
        <v/>
      </c>
      <c r="II116" s="172">
        <f>MIN(1,MAX(VLOOKUP(($AJ116-$AI116-$AH116-$AG116-$AF116-$AE116*(1+II$3))/$AJ116,'Технический лист'!$A:$B,2,1),(IH116-0.05)))</f>
        <v/>
      </c>
      <c r="IJ116" s="172">
        <f>MIN(1,MAX(VLOOKUP(($AJ116-$AI116-$AH116-$AG116-$AF116-$AE116*(1+IJ$3))/$AJ116,'Технический лист'!$A:$B,2,1),(II116-0.05)))</f>
        <v/>
      </c>
      <c r="IK116" s="172">
        <f>MIN(1,MAX(VLOOKUP(($AJ116-$AI116-$AH116-$AG116-$AF116-$AE116*(1+IK$3))/$AJ116,'Технический лист'!$A:$B,2,1),(IJ116-0.05)))</f>
        <v/>
      </c>
      <c r="IL116" s="172">
        <f>MIN(1,MAX(VLOOKUP(($AJ116-$AI116-$AH116-$AG116-$AF116-$AE116*(1+IL$3))/$AJ116,'Технический лист'!$A:$B,2,1),(IK116-0.05)))</f>
        <v/>
      </c>
      <c r="IM116" s="172">
        <f>MIN(1,MAX(VLOOKUP(($AJ116-$AI116-$AH116-$AG116-$AF116-$AE116*(1+IM$3))/$AJ116,'Технический лист'!$A:$B,2,1),(IL116-0.05)))</f>
        <v/>
      </c>
      <c r="IN116" s="172">
        <f>MIN(1,MAX(VLOOKUP(($AJ116-$AI116-$AH116-$AG116-$AF116-$AE116*(1+IN$3))/$AJ116,'Технический лист'!$A:$B,2,1),(IM116-0.05)))</f>
        <v/>
      </c>
      <c r="IO116" s="172">
        <f>MIN(1,MAX(VLOOKUP(($AJ116-$AI116-$AH116-$AG116-$AF116-$AE116*(1+IO$3))/$AJ116,'Технический лист'!$A:$B,2,1),(IN116-0.05)))</f>
        <v/>
      </c>
      <c r="IP116" s="172">
        <f>MIN(1,MAX(VLOOKUP(($AJ116-$AI116-$AH116-$AG116-$AF116-$AE116*(1+IP$3))/$AJ116,'Технический лист'!$A:$B,2,1),(IO116-0.05)))</f>
        <v/>
      </c>
      <c r="IQ116" s="172">
        <f>MIN(1,MAX(VLOOKUP(($AJ116-$AI116-$AH116-$AG116-$AF116-$AE116*(1+IQ$3))/$AJ116,'Технический лист'!$A:$B,2,1),(IP116-0.05)))</f>
        <v/>
      </c>
      <c r="IR116" s="172">
        <f>MIN(1,MAX(VLOOKUP(($AJ116-$AI116-$AH116-$AG116-$AF116-$AE116*(1+IR$3))/$AJ116,'Технический лист'!$A:$B,2,1),(IQ116-0.05)))</f>
        <v/>
      </c>
    </row>
    <row r="117" ht="43.75" customHeight="1" s="123">
      <c r="A117" s="89" t="inlineStr">
        <is>
          <t>ЧМ (продукция)</t>
        </is>
      </c>
      <c r="B117" s="90" t="n">
        <v>5</v>
      </c>
      <c r="C117" s="5" t="inlineStr">
        <is>
          <t>Черные металлы</t>
        </is>
      </c>
      <c r="D117" s="91" t="n">
        <v>32416</v>
      </c>
      <c r="E117" s="91" t="inlineStr">
        <is>
          <t xml:space="preserve">Сталь листовая, не поименованная в алфавите </t>
        </is>
      </c>
      <c r="F117" s="92" t="inlineStr">
        <is>
          <t>ПРОЧИЕ ВИДЫ ПРОКАТА ЧЕРНЫ</t>
        </is>
      </c>
      <c r="G117" s="91" t="inlineStr">
        <is>
          <t>ЮВС</t>
        </is>
      </c>
      <c r="H117" s="91" t="inlineStr">
        <is>
          <t>КРС</t>
        </is>
      </c>
      <c r="I117" s="91" t="inlineStr">
        <is>
          <t>НОВОЛИПЕЦК</t>
        </is>
      </c>
      <c r="J117" s="91" t="inlineStr">
        <is>
          <t>БАЗАИХА</t>
        </is>
      </c>
      <c r="K117" s="91" t="n">
        <v>4113</v>
      </c>
      <c r="L117" s="77" t="inlineStr">
        <is>
          <t>Платформы</t>
        </is>
      </c>
      <c r="M117" s="91" t="inlineStr">
        <is>
          <t>Внутр. перевозки</t>
        </is>
      </c>
      <c r="N117" s="91" t="inlineStr">
        <is>
          <t>контейнерная</t>
        </is>
      </c>
      <c r="O117" s="91" t="inlineStr">
        <is>
          <t xml:space="preserve">Восточное </t>
        </is>
      </c>
      <c r="P117" s="89" t="inlineStr">
        <is>
          <t>'000005757665</t>
        </is>
      </c>
      <c r="Q117" s="91" t="inlineStr">
        <is>
          <t>'ПАО "НЛМК"</t>
        </is>
      </c>
      <c r="R117" s="91" t="inlineStr">
        <is>
          <t>ПАО "НЛМК"</t>
        </is>
      </c>
      <c r="S117" s="87" t="n">
        <v>7435</v>
      </c>
      <c r="T117" s="87" t="n">
        <v>30582179</v>
      </c>
      <c r="U117" s="88" t="n">
        <v>137</v>
      </c>
      <c r="V117" s="88" t="n">
        <v>274</v>
      </c>
      <c r="W117" s="87" t="n">
        <v>20409778</v>
      </c>
      <c r="X117" s="112" t="n">
        <v>52</v>
      </c>
      <c r="Y117" s="112" t="inlineStr">
        <is>
          <t>контейнерная</t>
        </is>
      </c>
      <c r="Z117" s="113" t="n">
        <v>13</v>
      </c>
      <c r="AA117" s="113" t="n">
        <v>0</v>
      </c>
      <c r="AB117" s="113" t="n">
        <v>4</v>
      </c>
      <c r="AC117" s="161">
        <f>174096/X117</f>
        <v/>
      </c>
      <c r="AD117" s="161" t="n">
        <v>0</v>
      </c>
      <c r="AE117" s="161">
        <f>AC117</f>
        <v/>
      </c>
      <c r="AF117" s="162">
        <f>(AB117+AA117+Z117)*'Ставки аренды'!$B$6/X117</f>
        <v/>
      </c>
      <c r="AG117" s="163" t="n">
        <v>0</v>
      </c>
      <c r="AH117" s="164" t="n">
        <v>0</v>
      </c>
      <c r="AI117" s="174">
        <f>539714289/604384772*AVERAGE(AJ116,AJ118)</f>
        <v/>
      </c>
      <c r="AJ117" s="166">
        <f>Цены!$D$16</f>
        <v/>
      </c>
      <c r="AK117" s="164">
        <f>AJ117/Цены!$B$1</f>
        <v/>
      </c>
      <c r="AL117" s="164">
        <f>AE117+AF117+AG117</f>
        <v/>
      </c>
      <c r="AM117" s="164">
        <f>AJ117-AL117</f>
        <v/>
      </c>
      <c r="AN117" s="164">
        <f>AI117+AH117+AG117+AF117+AE117</f>
        <v/>
      </c>
      <c r="AO117" s="167">
        <f>(AJ117-AN117)/AJ117</f>
        <v/>
      </c>
      <c r="AP117" s="168">
        <f>AL117/AJ117</f>
        <v/>
      </c>
      <c r="AQ117" s="168">
        <f>AE117/AJ117</f>
        <v/>
      </c>
      <c r="AR117" s="168">
        <f>AE117/AL117</f>
        <v/>
      </c>
      <c r="AS117" s="169" t="n">
        <v>1</v>
      </c>
      <c r="AT117" s="121">
        <f>S117*AS117</f>
        <v/>
      </c>
      <c r="AU117" s="83" t="n">
        <v>0.95</v>
      </c>
      <c r="AV117" s="170">
        <f>(AJ117-(AE117*(1+$IS$2)+AF117+AG117+AH117+AI117))/AJ117</f>
        <v/>
      </c>
      <c r="AW117" s="171">
        <f>(AE117*(1+$IS$2)+AF117+AG117)/AJ117</f>
        <v/>
      </c>
      <c r="AX117" s="171">
        <f>(AE117*(1+$IS$2))/AJ117</f>
        <v/>
      </c>
      <c r="AY117" s="171">
        <f>(AE117*(1+$IS$2))/(AE117*(1+$IS$2)+AF117+AG117)</f>
        <v/>
      </c>
      <c r="AZ117" s="172">
        <f>MIN(IF($AU117=100%,1,1+VLOOKUP(($AJ117-$AI117-$AH117-$AG117-$AF117-$AE117*(1+AZ$3))/$AJ117,'Технический лист'!$I:$J,2,1)-VLOOKUP($AO117,'Технический лист'!$I:$J,2,1)),1+(1-$AU117))</f>
        <v/>
      </c>
      <c r="BA117" s="172">
        <f>MIN(IF($AU117=100%,1,1+VLOOKUP(($AJ117-$AI117-$AH117-$AG117-$AF117-$AE117*(1+BA$3))/$AJ117,'Технический лист'!$I:$J,2,1)-VLOOKUP($AO117,'Технический лист'!$I:$J,2,1)),1+(1-$AU117))</f>
        <v/>
      </c>
      <c r="BB117" s="172">
        <f>MIN(IF($AU117=100%,1,1+VLOOKUP(($AJ117-$AI117-$AH117-$AG117-$AF117-$AE117*(1+BB$3))/$AJ117,'Технический лист'!$I:$J,2,1)-VLOOKUP($AO117,'Технический лист'!$I:$J,2,1)),1+(1-$AU117))</f>
        <v/>
      </c>
      <c r="BC117" s="172">
        <f>MIN(IF($AU117=100%,1,1+VLOOKUP(($AJ117-$AI117-$AH117-$AG117-$AF117-$AE117*(1+BC$3))/$AJ117,'Технический лист'!$I:$J,2,1)-VLOOKUP($AO117,'Технический лист'!$I:$J,2,1)),1+(1-$AU117))</f>
        <v/>
      </c>
      <c r="BD117" s="172">
        <f>MIN(IF($AU117=100%,1,1+VLOOKUP(($AJ117-$AI117-$AH117-$AG117-$AF117-$AE117*(1+BD$3))/$AJ117,'Технический лист'!$I:$J,2,1)-VLOOKUP($AO117,'Технический лист'!$I:$J,2,1)),1+(1-$AU117))</f>
        <v/>
      </c>
      <c r="BE117" s="172">
        <f>MIN(IF($AU117=100%,1,1+VLOOKUP(($AJ117-$AI117-$AH117-$AG117-$AF117-$AE117*(1+BE$3))/$AJ117,'Технический лист'!$I:$J,2,1)-VLOOKUP($AO117,'Технический лист'!$I:$J,2,1)),1+(1-$AU117))</f>
        <v/>
      </c>
      <c r="BF117" s="172">
        <f>MIN(IF($AU117=100%,1,1+VLOOKUP(($AJ117-$AI117-$AH117-$AG117-$AF117-$AE117*(1+BF$3))/$AJ117,'Технический лист'!$I:$J,2,1)-VLOOKUP($AO117,'Технический лист'!$I:$J,2,1)),1+(1-$AU117))</f>
        <v/>
      </c>
      <c r="BG117" s="172">
        <f>MIN(IF($AU117=100%,1,1+VLOOKUP(($AJ117-$AI117-$AH117-$AG117-$AF117-$AE117*(1+BG$3))/$AJ117,'Технический лист'!$I:$J,2,1)-VLOOKUP($AO117,'Технический лист'!$I:$J,2,1)),1+(1-$AU117))</f>
        <v/>
      </c>
      <c r="BH117" s="172">
        <f>MIN(IF($AU117=100%,1,1+VLOOKUP(($AJ117-$AI117-$AH117-$AG117-$AF117-$AE117*(1+BH$3))/$AJ117,'Технический лист'!$I:$J,2,1)-VLOOKUP($AO117,'Технический лист'!$I:$J,2,1)),1+(1-$AU117))</f>
        <v/>
      </c>
      <c r="BI117" s="172">
        <f>MIN(IF($AU117=100%,1,1+VLOOKUP(($AJ117-$AI117-$AH117-$AG117-$AF117-$AE117*(1+BI$3))/$AJ117,'Технический лист'!$I:$J,2,1)-VLOOKUP($AO117,'Технический лист'!$I:$J,2,1)),1+(1-$AU117))</f>
        <v/>
      </c>
      <c r="BJ117" s="172">
        <f>MIN(IF($AU117=100%,1,1+VLOOKUP(($AJ117-$AI117-$AH117-$AG117-$AF117-$AE117*(1+BJ$3))/$AJ117,'Технический лист'!$I:$J,2,1)-VLOOKUP($AO117,'Технический лист'!$I:$J,2,1)),1+(1-$AU117))</f>
        <v/>
      </c>
      <c r="BK117" s="172">
        <f>MIN(IF($AU117=100%,1,1+VLOOKUP(($AJ117-$AI117-$AH117-$AG117-$AF117-$AE117*(1+BK$3))/$AJ117,'Технический лист'!$I:$J,2,1)-VLOOKUP($AO117,'Технический лист'!$I:$J,2,1)),1+(1-$AU117))</f>
        <v/>
      </c>
      <c r="BL117" s="172">
        <f>MIN(IF($AU117=100%,1,1+VLOOKUP(($AJ117-$AI117-$AH117-$AG117-$AF117-$AE117*(1+BL$3))/$AJ117,'Технический лист'!$I:$J,2,1)-VLOOKUP($AO117,'Технический лист'!$I:$J,2,1)),1+(1-$AU117))</f>
        <v/>
      </c>
      <c r="BM117" s="172">
        <f>MIN(IF($AU117=100%,1,1+VLOOKUP(($AJ117-$AI117-$AH117-$AG117-$AF117-$AE117*(1+BM$3))/$AJ117,'Технический лист'!$I:$J,2,1)-VLOOKUP($AO117,'Технический лист'!$I:$J,2,1)),1+(1-$AU117))</f>
        <v/>
      </c>
      <c r="BN117" s="172">
        <f>MIN(IF($AU117=100%,1,1+VLOOKUP(($AJ117-$AI117-$AH117-$AG117-$AF117-$AE117*(1+BN$3))/$AJ117,'Технический лист'!$I:$J,2,1)-VLOOKUP($AO117,'Технический лист'!$I:$J,2,1)),1+(1-$AU117))</f>
        <v/>
      </c>
      <c r="BO117" s="172">
        <f>MIN(IF($AU117=100%,1,1+VLOOKUP(($AJ117-$AI117-$AH117-$AG117-$AF117-$AE117*(1+BO$3))/$AJ117,'Технический лист'!$I:$J,2,1)-VLOOKUP($AO117,'Технический лист'!$I:$J,2,1)),1+(1-$AU117))</f>
        <v/>
      </c>
      <c r="BP117" s="172">
        <f>MIN(IF($AU117=100%,1,1+VLOOKUP(($AJ117-$AI117-$AH117-$AG117-$AF117-$AE117*(1+BP$3))/$AJ117,'Технический лист'!$I:$J,2,1)-VLOOKUP($AO117,'Технический лист'!$I:$J,2,1)),1+(1-$AU117))</f>
        <v/>
      </c>
      <c r="BQ117" s="172">
        <f>MIN(IF($AU117=100%,1,1+VLOOKUP(($AJ117-$AI117-$AH117-$AG117-$AF117-$AE117*(1+BQ$3))/$AJ117,'Технический лист'!$I:$J,2,1)-VLOOKUP($AO117,'Технический лист'!$I:$J,2,1)),1+(1-$AU117))</f>
        <v/>
      </c>
      <c r="BR117" s="172">
        <f>MIN(IF($AU117=100%,1,1+VLOOKUP(($AJ117-$AI117-$AH117-$AG117-$AF117-$AE117*(1+BR$3))/$AJ117,'Технический лист'!$I:$J,2,1)-VLOOKUP($AO117,'Технический лист'!$I:$J,2,1)),1+(1-$AU117))</f>
        <v/>
      </c>
      <c r="BS117" s="172">
        <f>MIN(IF($AU117=100%,1,1+VLOOKUP(($AJ117-$AI117-$AH117-$AG117-$AF117-$AE117*(1+BS$3))/$AJ117,'Технический лист'!$I:$J,2,1)-VLOOKUP($AO117,'Технический лист'!$I:$J,2,1)),1+(1-$AU117))</f>
        <v/>
      </c>
      <c r="BT117" s="172">
        <f>MIN(IF($AU117=100%,1,1+VLOOKUP(($AJ117-$AI117-$AH117-$AG117-$AF117-$AE117*(1+BT$3))/$AJ117,'Технический лист'!$I:$J,2,1)-VLOOKUP($AO117,'Технический лист'!$I:$J,2,1)),1+(1-$AU117))</f>
        <v/>
      </c>
      <c r="BU117" s="172">
        <f>MIN(IF($AU117=100%,1,1+VLOOKUP(($AJ117-$AI117-$AH117-$AG117-$AF117-$AE117*(1+BU$3))/$AJ117,'Технический лист'!$I:$J,2,1)-VLOOKUP($AO117,'Технический лист'!$I:$J,2,1)),1+(1-$AU117))</f>
        <v/>
      </c>
      <c r="BV117" s="172">
        <f>MIN(IF($AU117=100%,1,1+VLOOKUP(($AJ117-$AI117-$AH117-$AG117-$AF117-$AE117*(1+BV$3))/$AJ117,'Технический лист'!$I:$J,2,1)-VLOOKUP($AO117,'Технический лист'!$I:$J,2,1)),1+(1-$AU117))</f>
        <v/>
      </c>
      <c r="BW117" s="172">
        <f>MIN(IF($AU117=100%,1,1+VLOOKUP(($AJ117-$AI117-$AH117-$AG117-$AF117-$AE117*(1+BW$3))/$AJ117,'Технический лист'!$I:$J,2,1)-VLOOKUP($AO117,'Технический лист'!$I:$J,2,1)),1+(1-$AU117))</f>
        <v/>
      </c>
      <c r="BX117" s="172">
        <f>MIN(IF($AU117=100%,1,1+VLOOKUP(($AJ117-$AI117-$AH117-$AG117-$AF117-$AE117*(1+BX$3))/$AJ117,'Технический лист'!$I:$J,2,1)-VLOOKUP($AO117,'Технический лист'!$I:$J,2,1)),1+(1-$AU117))</f>
        <v/>
      </c>
      <c r="BY117" s="172">
        <f>MIN(IF($AU117=100%,1,1+VLOOKUP(($AJ117-$AI117-$AH117-$AG117-$AF117-$AE117*(1+BY$3))/$AJ117,'Технический лист'!$I:$J,2,1)-VLOOKUP($AO117,'Технический лист'!$I:$J,2,1)),1+(1-$AU117))</f>
        <v/>
      </c>
      <c r="BZ117" s="172">
        <f>MIN(IF($AU117=100%,1,1+VLOOKUP(($AJ117-$AI117-$AH117-$AG117-$AF117-$AE117*(1+BZ$3))/$AJ117,'Технический лист'!$I:$J,2,1)-VLOOKUP($AO117,'Технический лист'!$I:$J,2,1)),1+(1-$AU117))</f>
        <v/>
      </c>
      <c r="CA117" s="172">
        <f>MIN(IF($AU117=100%,1,1+VLOOKUP(($AJ117-$AI117-$AH117-$AG117-$AF117-$AE117*(1+CA$3))/$AJ117,'Технический лист'!$I:$J,2,1)-VLOOKUP($AO117,'Технический лист'!$I:$J,2,1)),1+(1-$AU117))</f>
        <v/>
      </c>
      <c r="CB117" s="172">
        <f>MIN(IF($AU117=100%,1,1+VLOOKUP(($AJ117-$AI117-$AH117-$AG117-$AF117-$AE117*(1+CB$3))/$AJ117,'Технический лист'!$I:$J,2,1)-VLOOKUP($AO117,'Технический лист'!$I:$J,2,1)),1+(1-$AU117))</f>
        <v/>
      </c>
      <c r="CC117" s="172">
        <f>MIN(IF($AU117=100%,1,1+VLOOKUP(($AJ117-$AI117-$AH117-$AG117-$AF117-$AE117*(1+CC$3))/$AJ117,'Технический лист'!$I:$J,2,1)-VLOOKUP($AO117,'Технический лист'!$I:$J,2,1)),1+(1-$AU117))</f>
        <v/>
      </c>
      <c r="CD117" s="172">
        <f>MIN(IF($AU117=100%,1,1+VLOOKUP(($AJ117-$AI117-$AH117-$AG117-$AF117-$AE117*(1+CD$3))/$AJ117,'Технический лист'!$I:$J,2,1)-VLOOKUP($AO117,'Технический лист'!$I:$J,2,1)),1+(1-$AU117))</f>
        <v/>
      </c>
      <c r="CE117" s="172">
        <f>MIN(IF($AU117=100%,1,1+VLOOKUP(($AJ117-$AI117-$AH117-$AG117-$AF117-$AE117*(1+CE$3))/$AJ117,'Технический лист'!$I:$J,2,1)-VLOOKUP($AO117,'Технический лист'!$I:$J,2,1)),1+(1-$AU117))</f>
        <v/>
      </c>
      <c r="CF117" s="172">
        <f>MIN(IF($AU117=100%,1,1+VLOOKUP(($AJ117-$AI117-$AH117-$AG117-$AF117-$AE117*(1+CF$3))/$AJ117,'Технический лист'!$I:$J,2,1)-VLOOKUP($AO117,'Технический лист'!$I:$J,2,1)),1+(1-$AU117))</f>
        <v/>
      </c>
      <c r="CG117" s="172">
        <f>MIN(IF($AU117=100%,1,1+VLOOKUP(($AJ117-$AI117-$AH117-$AG117-$AF117-$AE117*(1+CG$3))/$AJ117,'Технический лист'!$I:$J,2,1)-VLOOKUP($AO117,'Технический лист'!$I:$J,2,1)),1+(1-$AU117))</f>
        <v/>
      </c>
      <c r="CH117" s="172">
        <f>MIN(IF($AU117=100%,1,1+VLOOKUP(($AJ117-$AI117-$AH117-$AG117-$AF117-$AE117*(1+CH$3))/$AJ117,'Технический лист'!$I:$J,2,1)-VLOOKUP($AO117,'Технический лист'!$I:$J,2,1)),1+(1-$AU117))</f>
        <v/>
      </c>
      <c r="CI117" s="172">
        <f>MIN(IF($AU117=100%,1,1+VLOOKUP(($AJ117-$AI117-$AH117-$AG117-$AF117-$AE117*(1+CI$3))/$AJ117,'Технический лист'!$I:$J,2,1)-VLOOKUP($AO117,'Технический лист'!$I:$J,2,1)),1+(1-$AU117))</f>
        <v/>
      </c>
      <c r="CJ117" s="172">
        <f>MIN(IF($AU117=100%,1,1+VLOOKUP(($AJ117-$AI117-$AH117-$AG117-$AF117-$AE117*(1+CJ$3))/$AJ117,'Технический лист'!$I:$J,2,1)-VLOOKUP($AO117,'Технический лист'!$I:$J,2,1)),1+(1-$AU117))</f>
        <v/>
      </c>
      <c r="CK117" s="172">
        <f>MIN(IF($AU117=100%,1,1+VLOOKUP(($AJ117-$AI117-$AH117-$AG117-$AF117-$AE117*(1+CK$3))/$AJ117,'Технический лист'!$I:$J,2,1)-VLOOKUP($AO117,'Технический лист'!$I:$J,2,1)),1+(1-$AU117))</f>
        <v/>
      </c>
      <c r="CL117" s="172">
        <f>MIN(IF($AU117=100%,1,1+VLOOKUP(($AJ117-$AI117-$AH117-$AG117-$AF117-$AE117*(1+CL$3))/$AJ117,'Технический лист'!$I:$J,2,1)-VLOOKUP($AO117,'Технический лист'!$I:$J,2,1)),1+(1-$AU117))</f>
        <v/>
      </c>
      <c r="CM117" s="172">
        <f>MIN(IF($AU117=100%,1,1+VLOOKUP(($AJ117-$AI117-$AH117-$AG117-$AF117-$AE117*(1+CM$3))/$AJ117,'Технический лист'!$I:$J,2,1)-VLOOKUP($AO117,'Технический лист'!$I:$J,2,1)),1+(1-$AU117))</f>
        <v/>
      </c>
      <c r="CN117" s="172">
        <f>MIN(IF($AU117=100%,1,1+VLOOKUP(($AJ117-$AI117-$AH117-$AG117-$AF117-$AE117*(1+CN$3))/$AJ117,'Технический лист'!$I:$J,2,1)-VLOOKUP($AO117,'Технический лист'!$I:$J,2,1)),1+(1-$AU117))</f>
        <v/>
      </c>
      <c r="CO117" s="172">
        <f>MIN(IF($AU117=100%,1,1+VLOOKUP(($AJ117-$AI117-$AH117-$AG117-$AF117-$AE117*(1+CO$3))/$AJ117,'Технический лист'!$I:$J,2,1)-VLOOKUP($AO117,'Технический лист'!$I:$J,2,1)),1+(1-$AU117))</f>
        <v/>
      </c>
      <c r="CP117" s="172">
        <f>MIN(IF($AU117=100%,1,1+VLOOKUP(($AJ117-$AI117-$AH117-$AG117-$AF117-$AE117*(1+CP$3))/$AJ117,'Технический лист'!$I:$J,2,1)-VLOOKUP($AO117,'Технический лист'!$I:$J,2,1)),1+(1-$AU117))</f>
        <v/>
      </c>
      <c r="CQ117" s="172">
        <f>MIN(IF($AU117=100%,1,1+VLOOKUP(($AJ117-$AI117-$AH117-$AG117-$AF117-$AE117*(1+CQ$3))/$AJ117,'Технический лист'!$I:$J,2,1)-VLOOKUP($AO117,'Технический лист'!$I:$J,2,1)),1+(1-$AU117))</f>
        <v/>
      </c>
      <c r="CR117" s="172">
        <f>MIN(IF($AU117=100%,1,1+VLOOKUP(($AJ117-$AI117-$AH117-$AG117-$AF117-$AE117*(1+CR$3))/$AJ117,'Технический лист'!$I:$J,2,1)-VLOOKUP($AO117,'Технический лист'!$I:$J,2,1)),1+(1-$AU117))</f>
        <v/>
      </c>
      <c r="CS117" s="172">
        <f>MIN(IF($AU117=100%,1,1+VLOOKUP(($AJ117-$AI117-$AH117-$AG117-$AF117-$AE117*(1+CS$3))/$AJ117,'Технический лист'!$I:$J,2,1)-VLOOKUP($AO117,'Технический лист'!$I:$J,2,1)),1+(1-$AU117))</f>
        <v/>
      </c>
      <c r="CT117" s="172">
        <f>MIN(IF($AU117=100%,1,1+VLOOKUP(($AJ117-$AI117-$AH117-$AG117-$AF117-$AE117*(1+CT$3))/$AJ117,'Технический лист'!$I:$J,2,1)-VLOOKUP($AO117,'Технический лист'!$I:$J,2,1)),1+(1-$AU117))</f>
        <v/>
      </c>
      <c r="CU117" s="172">
        <f>MIN(IF($AU117=100%,1,1+VLOOKUP(($AJ117-$AI117-$AH117-$AG117-$AF117-$AE117*(1+CU$3))/$AJ117,'Технический лист'!$I:$J,2,1)-VLOOKUP($AO117,'Технический лист'!$I:$J,2,1)),1+(1-$AU117))</f>
        <v/>
      </c>
      <c r="CV117" s="172">
        <f>MIN(IF($AU117=100%,1,1+VLOOKUP(($AJ117-$AI117-$AH117-$AG117-$AF117-$AE117*(1+CV$3))/$AJ117,'Технический лист'!$I:$J,2,1)-VLOOKUP($AO117,'Технический лист'!$I:$J,2,1)),1+(1-$AU117))</f>
        <v/>
      </c>
      <c r="CW117" s="172">
        <f>MIN(IF($AU117=100%,1,1+VLOOKUP(($AJ117-$AI117-$AH117-$AG117-$AF117-$AE117*(1+CW$3))/$AJ117,'Технический лист'!$I:$J,2,1)-VLOOKUP($AO117,'Технический лист'!$I:$J,2,1)),1+(1-$AU117))</f>
        <v/>
      </c>
      <c r="CX117" s="172">
        <f>MIN(IF($AU117=100%,1,1+VLOOKUP(($AJ117-$AI117-$AH117-$AG117-$AF117-$AE117*(1+CX$3))/$AJ117,'Технический лист'!$I:$J,2,1)-VLOOKUP($AO117,'Технический лист'!$I:$J,2,1)),1+(1-$AU117))</f>
        <v/>
      </c>
      <c r="CY117" s="172">
        <f>MIN(IF($AU117=100%,1,1+VLOOKUP(($AJ117-$AI117-$AH117-$AG117-$AF117-$AE117*(1+CY$3))/$AJ117,'Технический лист'!$I:$J,2,1)-VLOOKUP($AO117,'Технический лист'!$I:$J,2,1)),1+(1-$AU117))</f>
        <v/>
      </c>
      <c r="CZ117" s="172">
        <f>MIN(IF($AU117=100%,1,1+VLOOKUP(($AJ117-$AI117-$AH117-$AG117-$AF117-$AE117*(1+CZ$3))/$AJ117,'Технический лист'!$I:$J,2,1)-VLOOKUP($AO117,'Технический лист'!$I:$J,2,1)),1+(1-$AU117))</f>
        <v/>
      </c>
      <c r="DA117" s="172">
        <f>MIN(IF($AU117=100%,1,1+VLOOKUP(($AJ117-$AI117-$AH117-$AG117-$AF117-$AE117*(1+DA$3))/$AJ117,'Технический лист'!$I:$J,2,1)-VLOOKUP($AO117,'Технический лист'!$I:$J,2,1)),1+(1-$AU117))</f>
        <v/>
      </c>
      <c r="DB117" s="172">
        <f>MIN(IF($AU117=100%,1,1+VLOOKUP(($AJ117-$AI117-$AH117-$AG117-$AF117-$AE117*(1+DB$3))/$AJ117,'Технический лист'!$I:$J,2,1)-VLOOKUP($AO117,'Технический лист'!$I:$J,2,1)),1+(1-$AU117))</f>
        <v/>
      </c>
      <c r="DC117" s="172">
        <f>MIN(IF($AU117=100%,1,1+VLOOKUP(($AJ117-$AI117-$AH117-$AG117-$AF117-$AE117*(1+DC$3))/$AJ117,'Технический лист'!$I:$J,2,1)-VLOOKUP($AO117,'Технический лист'!$I:$J,2,1)),1+(1-$AU117))</f>
        <v/>
      </c>
      <c r="DD117" s="172">
        <f>MIN(IF($AU117=100%,1,1+VLOOKUP(($AJ117-$AI117-$AH117-$AG117-$AF117-$AE117*(1+DD$3))/$AJ117,'Технический лист'!$I:$J,2,1)-VLOOKUP($AO117,'Технический лист'!$I:$J,2,1)),1+(1-$AU117))</f>
        <v/>
      </c>
      <c r="DE117" s="172">
        <f>MIN(IF($AU117=100%,1,1+VLOOKUP(($AJ117-$AI117-$AH117-$AG117-$AF117-$AE117*(1+DE$3))/$AJ117,'Технический лист'!$I:$J,2,1)-VLOOKUP($AO117,'Технический лист'!$I:$J,2,1)),1+(1-$AU117))</f>
        <v/>
      </c>
      <c r="DF117" s="172">
        <f>MIN(IF($AU117=100%,1,1+VLOOKUP(($AJ117-$AI117-$AH117-$AG117-$AF117-$AE117*(1+DF$3))/$AJ117,'Технический лист'!$I:$J,2,1)-VLOOKUP($AO117,'Технический лист'!$I:$J,2,1)),1+(1-$AU117))</f>
        <v/>
      </c>
      <c r="DG117" s="172">
        <f>MIN(IF($AU117=100%,1,1+VLOOKUP(($AJ117-$AI117-$AH117-$AG117-$AF117-$AE117*(1+DG$3))/$AJ117,'Технический лист'!$I:$J,2,1)-VLOOKUP($AO117,'Технический лист'!$I:$J,2,1)),1+(1-$AU117))</f>
        <v/>
      </c>
      <c r="DH117" s="172">
        <f>MIN(IF($AU117=100%,1,1+VLOOKUP(($AJ117-$AI117-$AH117-$AG117-$AF117-$AE117*(1+DH$3))/$AJ117,'Технический лист'!$I:$J,2,1)-VLOOKUP($AO117,'Технический лист'!$I:$J,2,1)),1+(1-$AU117))</f>
        <v/>
      </c>
      <c r="DI117" s="172">
        <f>MIN(IF($AU117=100%,1,1+VLOOKUP(($AJ117-$AI117-$AH117-$AG117-$AF117-$AE117*(1+DI$3))/$AJ117,'Технический лист'!$I:$J,2,1)-VLOOKUP($AO117,'Технический лист'!$I:$J,2,1)),1+(1-$AU117))</f>
        <v/>
      </c>
      <c r="DJ117" s="172">
        <f>MIN(IF($AU117=100%,1,1+VLOOKUP(($AJ117-$AI117-$AH117-$AG117-$AF117-$AE117*(1+DJ$3))/$AJ117,'Технический лист'!$I:$J,2,1)-VLOOKUP($AO117,'Технический лист'!$I:$J,2,1)),1+(1-$AU117))</f>
        <v/>
      </c>
      <c r="DK117" s="172">
        <f>MIN(IF($AU117=100%,1,1+VLOOKUP(($AJ117-$AI117-$AH117-$AG117-$AF117-$AE117*(1+DK$3))/$AJ117,'Технический лист'!$I:$J,2,1)-VLOOKUP($AO117,'Технический лист'!$I:$J,2,1)),1+(1-$AU117))</f>
        <v/>
      </c>
      <c r="DL117" s="172">
        <f>MIN(IF($AU117=100%,1,1+VLOOKUP(($AJ117-$AI117-$AH117-$AG117-$AF117-$AE117*(1+DL$3))/$AJ117,'Технический лист'!$I:$J,2,1)-VLOOKUP($AO117,'Технический лист'!$I:$J,2,1)),1+(1-$AU117))</f>
        <v/>
      </c>
      <c r="DM117" s="172">
        <f>MIN(IF($AU117=100%,1,1+VLOOKUP(($AJ117-$AI117-$AH117-$AG117-$AF117-$AE117*(1+DM$3))/$AJ117,'Технический лист'!$I:$J,2,1)-VLOOKUP($AO117,'Технический лист'!$I:$J,2,1)),1+(1-$AU117))</f>
        <v/>
      </c>
      <c r="DN117" s="172">
        <f>MIN(IF($AU117=100%,1,1+VLOOKUP(($AJ117-$AI117-$AH117-$AG117-$AF117-$AE117*(1+DN$3))/$AJ117,'Технический лист'!$I:$J,2,1)-VLOOKUP($AO117,'Технический лист'!$I:$J,2,1)),1+(1-$AU117))</f>
        <v/>
      </c>
      <c r="DO117" s="172">
        <f>MIN(IF($AU117=100%,1,1+VLOOKUP(($AJ117-$AI117-$AH117-$AG117-$AF117-$AE117*(1+DO$3))/$AJ117,'Технический лист'!$I:$J,2,1)-VLOOKUP($AO117,'Технический лист'!$I:$J,2,1)),1+(1-$AU117))</f>
        <v/>
      </c>
      <c r="DP117" s="172">
        <f>MIN(IF($AU117=100%,1,1+VLOOKUP(($AJ117-$AI117-$AH117-$AG117-$AF117-$AE117*(1+DP$3))/$AJ117,'Технический лист'!$I:$J,2,1)-VLOOKUP($AO117,'Технический лист'!$I:$J,2,1)),1+(1-$AU117))</f>
        <v/>
      </c>
      <c r="DQ117" s="172">
        <f>MIN(IF($AU117=100%,1,1+VLOOKUP(($AJ117-$AI117-$AH117-$AG117-$AF117-$AE117*(1+DQ$3))/$AJ117,'Технический лист'!$I:$J,2,1)-VLOOKUP($AO117,'Технический лист'!$I:$J,2,1)),1+(1-$AU117))</f>
        <v/>
      </c>
      <c r="DR117" s="172">
        <f>MIN(IF($AU117=100%,1,1+VLOOKUP(($AJ117-$AI117-$AH117-$AG117-$AF117-$AE117*(1+DR$3))/$AJ117,'Технический лист'!$I:$J,2,1)-VLOOKUP($AO117,'Технический лист'!$I:$J,2,1)),1+(1-$AU117))</f>
        <v/>
      </c>
      <c r="DS117" s="172">
        <f>MIN(IF($AU117=100%,1,1+VLOOKUP(($AJ117-$AI117-$AH117-$AG117-$AF117-$AE117*(1+DS$3))/$AJ117,'Технический лист'!$I:$J,2,1)-VLOOKUP($AO117,'Технический лист'!$I:$J,2,1)),1+(1-$AU117))</f>
        <v/>
      </c>
      <c r="DT117" s="172">
        <f>MIN(IF($AU117=100%,1,1+VLOOKUP(($AJ117-$AI117-$AH117-$AG117-$AF117-$AE117*(1+DT$3))/$AJ117,'Технический лист'!$I:$J,2,1)-VLOOKUP($AO117,'Технический лист'!$I:$J,2,1)),1+(1-$AU117))</f>
        <v/>
      </c>
      <c r="DU117" s="172">
        <f>MIN(IF($AU117=100%,1,1+VLOOKUP(($AJ117-$AI117-$AH117-$AG117-$AF117-$AE117*(1+DU$3))/$AJ117,'Технический лист'!$I:$J,2,1)-VLOOKUP($AO117,'Технический лист'!$I:$J,2,1)),1+(1-$AU117))</f>
        <v/>
      </c>
      <c r="DV117" s="172">
        <f>MIN(IF($AU117=100%,1,1+VLOOKUP(($AJ117-$AI117-$AH117-$AG117-$AF117-$AE117*(1+DV$3))/$AJ117,'Технический лист'!$I:$J,2,1)-VLOOKUP($AO117,'Технический лист'!$I:$J,2,1)),1+(1-$AU117))</f>
        <v/>
      </c>
      <c r="DW117" s="172">
        <f>MIN(IF($AU117=100%,1,1+VLOOKUP(($AJ117-$AI117-$AH117-$AG117-$AF117-$AE117*(1+DW$3))/$AJ117,'Технический лист'!$I:$J,2,1)-VLOOKUP($AO117,'Технический лист'!$I:$J,2,1)),1+(1-$AU117))</f>
        <v/>
      </c>
      <c r="DX117" s="172">
        <f>MIN(IF($AU117=100%,1,1+VLOOKUP(($AJ117-$AI117-$AH117-$AG117-$AF117-$AE117*(1+DX$3))/$AJ117,'Технический лист'!$I:$J,2,1)-VLOOKUP($AO117,'Технический лист'!$I:$J,2,1)),1+(1-$AU117))</f>
        <v/>
      </c>
      <c r="DY117" s="172">
        <f>MIN(IF($AU117=100%,1,1+VLOOKUP(($AJ117-$AI117-$AH117-$AG117-$AF117-$AE117*(1+DY$3))/$AJ117,'Технический лист'!$I:$J,2,1)-VLOOKUP($AO117,'Технический лист'!$I:$J,2,1)),1+(1-$AU117))</f>
        <v/>
      </c>
      <c r="DZ117" s="172">
        <f>MIN(IF($AU117=100%,1,1+VLOOKUP(($AJ117-$AI117-$AH117-$AG117-$AF117-$AE117*(1+DZ$3))/$AJ117,'Технический лист'!$I:$J,2,1)-VLOOKUP($AO117,'Технический лист'!$I:$J,2,1)),1+(1-$AU117))</f>
        <v/>
      </c>
      <c r="EA117" s="172">
        <f>MIN(IF($AU117=100%,1,1+VLOOKUP(($AJ117-$AI117-$AH117-$AG117-$AF117-$AE117*(1+EA$3))/$AJ117,'Технический лист'!$I:$J,2,1)-VLOOKUP($AO117,'Технический лист'!$I:$J,2,1)),1+(1-$AU117))</f>
        <v/>
      </c>
      <c r="EB117" s="172">
        <f>MIN(IF($AU117=100%,1,1+VLOOKUP(($AJ117-$AI117-$AH117-$AG117-$AF117-$AE117*(1+EB$3))/$AJ117,'Технический лист'!$I:$J,2,1)-VLOOKUP($AO117,'Технический лист'!$I:$J,2,1)),1+(1-$AU117))</f>
        <v/>
      </c>
      <c r="EC117" s="172">
        <f>MIN(IF($AU117=100%,1,1+VLOOKUP(($AJ117-$AI117-$AH117-$AG117-$AF117-$AE117*(1+EC$3))/$AJ117,'Технический лист'!$I:$J,2,1)-VLOOKUP($AO117,'Технический лист'!$I:$J,2,1)),1+(1-$AU117))</f>
        <v/>
      </c>
      <c r="ED117" s="172">
        <f>MIN(IF($AU117=100%,1,1+VLOOKUP(($AJ117-$AI117-$AH117-$AG117-$AF117-$AE117*(1+ED$3))/$AJ117,'Технический лист'!$I:$J,2,1)-VLOOKUP($AO117,'Технический лист'!$I:$J,2,1)),1+(1-$AU117))</f>
        <v/>
      </c>
      <c r="EE117" s="172">
        <f>MIN(IF($AU117=100%,1,1+VLOOKUP(($AJ117-$AI117-$AH117-$AG117-$AF117-$AE117*(1+EE$3))/$AJ117,'Технический лист'!$I:$J,2,1)-VLOOKUP($AO117,'Технический лист'!$I:$J,2,1)),1+(1-$AU117))</f>
        <v/>
      </c>
      <c r="EF117" s="172">
        <f>MIN(IF($AU117=100%,1,1+VLOOKUP(($AJ117-$AI117-$AH117-$AG117-$AF117-$AE117*(1+EF$3))/$AJ117,'Технический лист'!$I:$J,2,1)-VLOOKUP($AO117,'Технический лист'!$I:$J,2,1)),1+(1-$AU117))</f>
        <v/>
      </c>
      <c r="EG117" s="172">
        <f>MIN(IF($AU117=100%,1,1+VLOOKUP(($AJ117-$AI117-$AH117-$AG117-$AF117-$AE117*(1+EG$3))/$AJ117,'Технический лист'!$I:$J,2,1)-VLOOKUP($AO117,'Технический лист'!$I:$J,2,1)),1+(1-$AU117))</f>
        <v/>
      </c>
      <c r="EH117" s="172">
        <f>MIN(IF($AU117=100%,1,1+VLOOKUP(($AJ117-$AI117-$AH117-$AG117-$AF117-$AE117*(1+EH$3))/$AJ117,'Технический лист'!$I:$J,2,1)-VLOOKUP($AO117,'Технический лист'!$I:$J,2,1)),1+(1-$AU117))</f>
        <v/>
      </c>
      <c r="EI117" s="172">
        <f>MIN(IF($AU117=100%,1,1+VLOOKUP(($AJ117-$AI117-$AH117-$AG117-$AF117-$AE117*(1+EI$3))/$AJ117,'Технический лист'!$I:$J,2,1)-VLOOKUP($AO117,'Технический лист'!$I:$J,2,1)),1+(1-$AU117))</f>
        <v/>
      </c>
      <c r="EJ117" s="172">
        <f>MIN(IF($AU117=100%,1,1+VLOOKUP(($AJ117-$AI117-$AH117-$AG117-$AF117-$AE117*(1+EJ$3))/$AJ117,'Технический лист'!$I:$J,2,1)-VLOOKUP($AO117,'Технический лист'!$I:$J,2,1)),1+(1-$AU117))</f>
        <v/>
      </c>
      <c r="EK117" s="172">
        <f>MIN(IF($AU117=100%,1,1+VLOOKUP(($AJ117-$AI117-$AH117-$AG117-$AF117-$AE117*(1+EK$3))/$AJ117,'Технический лист'!$I:$J,2,1)-VLOOKUP($AO117,'Технический лист'!$I:$J,2,1)),1+(1-$AU117))</f>
        <v/>
      </c>
      <c r="EL117" s="172">
        <f>MIN(IF($AU117=100%,1,1+VLOOKUP(($AJ117-$AI117-$AH117-$AG117-$AF117-$AE117*(1+EL$3))/$AJ117,'Технический лист'!$I:$J,2,1)-VLOOKUP($AO117,'Технический лист'!$I:$J,2,1)),1+(1-$AU117))</f>
        <v/>
      </c>
      <c r="EM117" s="172">
        <f>MIN(IF($AU117=100%,1,1+VLOOKUP(($AJ117-$AI117-$AH117-$AG117-$AF117-$AE117*(1+EM$3))/$AJ117,'Технический лист'!$I:$J,2,1)-VLOOKUP($AO117,'Технический лист'!$I:$J,2,1)),1+(1-$AU117))</f>
        <v/>
      </c>
      <c r="EN117" s="172">
        <f>MIN(IF($AU117=100%,1,1+VLOOKUP(($AJ117-$AI117-$AH117-$AG117-$AF117-$AE117*(1+EN$3))/$AJ117,'Технический лист'!$I:$J,2,1)-VLOOKUP($AO117,'Технический лист'!$I:$J,2,1)),1+(1-$AU117))</f>
        <v/>
      </c>
      <c r="EO117" s="172">
        <f>MIN(IF($AU117=100%,1,1+VLOOKUP(($AJ117-$AI117-$AH117-$AG117-$AF117-$AE117*(1+EO$3))/$AJ117,'Технический лист'!$I:$J,2,1)-VLOOKUP($AO117,'Технический лист'!$I:$J,2,1)),1+(1-$AU117))</f>
        <v/>
      </c>
      <c r="EP117" s="172">
        <f>MIN(IF($AU117=100%,1,1+VLOOKUP(($AJ117-$AI117-$AH117-$AG117-$AF117-$AE117*(1+EP$3))/$AJ117,'Технический лист'!$I:$J,2,1)-VLOOKUP($AO117,'Технический лист'!$I:$J,2,1)),1+(1-$AU117))</f>
        <v/>
      </c>
      <c r="EQ117" s="172">
        <f>MIN(IF($AU117=100%,1,1+VLOOKUP(($AJ117-$AI117-$AH117-$AG117-$AF117-$AE117*(1+EQ$3))/$AJ117,'Технический лист'!$I:$J,2,1)-VLOOKUP($AO117,'Технический лист'!$I:$J,2,1)),1+(1-$AU117))</f>
        <v/>
      </c>
      <c r="ER117" s="172">
        <f>MIN(IF($AU117=100%,1,1+VLOOKUP(($AJ117-$AI117-$AH117-$AG117-$AF117-$AE117*(1+ER$3))/$AJ117,'Технический лист'!$I:$J,2,1)-VLOOKUP($AO117,'Технический лист'!$I:$J,2,1)),1+(1-$AU117))</f>
        <v/>
      </c>
      <c r="ES117" s="172">
        <f>MIN(IF($AU117=100%,1,1+VLOOKUP(($AJ117-$AI117-$AH117-$AG117-$AF117-$AE117*(1+ES$3))/$AJ117,'Технический лист'!$I:$J,2,1)-VLOOKUP($AO117,'Технический лист'!$I:$J,2,1)),1+(1-$AU117))</f>
        <v/>
      </c>
      <c r="ET117" s="172">
        <f>MIN(IF($AU117=100%,1,1+VLOOKUP(($AJ117-$AI117-$AH117-$AG117-$AF117-$AE117*(1+ET$3))/$AJ117,'Технический лист'!$I:$J,2,1)-VLOOKUP($AO117,'Технический лист'!$I:$J,2,1)),1+(1-$AU117))</f>
        <v/>
      </c>
      <c r="EU117" s="172">
        <f>MIN(IF($AU117=100%,1,1+VLOOKUP(($AJ117-$AI117-$AH117-$AG117-$AF117-$AE117*(1+EU$3))/$AJ117,'Технический лист'!$I:$J,2,1)-VLOOKUP($AO117,'Технический лист'!$I:$J,2,1)),1+(1-$AU117))</f>
        <v/>
      </c>
      <c r="EV117" s="173" t="n">
        <v>1</v>
      </c>
      <c r="EW117" s="172">
        <f>MIN(1,MAX(VLOOKUP(($AJ117-$AI117-$AH117-$AG117-$AF117-$AE117*(1+EW$3))/$AJ117,'Технический лист'!$A:$B,2,1),(EV117-0.05)))</f>
        <v/>
      </c>
      <c r="EX117" s="172">
        <f>MIN(1,MAX(VLOOKUP(($AJ117-$AI117-$AH117-$AG117-$AF117-$AE117*(1+EX$3))/$AJ117,'Технический лист'!$A:$B,2,1),(EW117-0.05)))</f>
        <v/>
      </c>
      <c r="EY117" s="172">
        <f>MIN(1,MAX(VLOOKUP(($AJ117-$AI117-$AH117-$AG117-$AF117-$AE117*(1+EY$3))/$AJ117,'Технический лист'!$A:$B,2,1),(EX117-0.05)))</f>
        <v/>
      </c>
      <c r="EZ117" s="172">
        <f>MIN(1,MAX(VLOOKUP(($AJ117-$AI117-$AH117-$AG117-$AF117-$AE117*(1+EZ$3))/$AJ117,'Технический лист'!$A:$B,2,1),(EY117-0.05)))</f>
        <v/>
      </c>
      <c r="FA117" s="172">
        <f>MIN(1,MAX(VLOOKUP(($AJ117-$AI117-$AH117-$AG117-$AF117-$AE117*(1+FA$3))/$AJ117,'Технический лист'!$A:$B,2,1),(EZ117-0.05)))</f>
        <v/>
      </c>
      <c r="FB117" s="172">
        <f>MIN(1,MAX(VLOOKUP(($AJ117-$AI117-$AH117-$AG117-$AF117-$AE117*(1+FB$3))/$AJ117,'Технический лист'!$A:$B,2,1),(FA117-0.05)))</f>
        <v/>
      </c>
      <c r="FC117" s="172">
        <f>MIN(1,MAX(VLOOKUP(($AJ117-$AI117-$AH117-$AG117-$AF117-$AE117*(1+FC$3))/$AJ117,'Технический лист'!$A:$B,2,1),(FB117-0.05)))</f>
        <v/>
      </c>
      <c r="FD117" s="172">
        <f>MIN(1,MAX(VLOOKUP(($AJ117-$AI117-$AH117-$AG117-$AF117-$AE117*(1+FD$3))/$AJ117,'Технический лист'!$A:$B,2,1),(FC117-0.05)))</f>
        <v/>
      </c>
      <c r="FE117" s="172">
        <f>MIN(1,MAX(VLOOKUP(($AJ117-$AI117-$AH117-$AG117-$AF117-$AE117*(1+FE$3))/$AJ117,'Технический лист'!$A:$B,2,1),(FD117-0.05)))</f>
        <v/>
      </c>
      <c r="FF117" s="172">
        <f>MIN(1,MAX(VLOOKUP(($AJ117-$AI117-$AH117-$AG117-$AF117-$AE117*(1+FF$3))/$AJ117,'Технический лист'!$A:$B,2,1),(FE117-0.05)))</f>
        <v/>
      </c>
      <c r="FG117" s="172">
        <f>MIN(1,MAX(VLOOKUP(($AJ117-$AI117-$AH117-$AG117-$AF117-$AE117*(1+FG$3))/$AJ117,'Технический лист'!$A:$B,2,1),(FF117-0.05)))</f>
        <v/>
      </c>
      <c r="FH117" s="172">
        <f>MIN(1,MAX(VLOOKUP(($AJ117-$AI117-$AH117-$AG117-$AF117-$AE117*(1+FH$3))/$AJ117,'Технический лист'!$A:$B,2,1),(FG117-0.05)))</f>
        <v/>
      </c>
      <c r="FI117" s="172">
        <f>MIN(1,MAX(VLOOKUP(($AJ117-$AI117-$AH117-$AG117-$AF117-$AE117*(1+FI$3))/$AJ117,'Технический лист'!$A:$B,2,1),(FH117-0.05)))</f>
        <v/>
      </c>
      <c r="FJ117" s="172">
        <f>MIN(1,MAX(VLOOKUP(($AJ117-$AI117-$AH117-$AG117-$AF117-$AE117*(1+FJ$3))/$AJ117,'Технический лист'!$A:$B,2,1),(FI117-0.05)))</f>
        <v/>
      </c>
      <c r="FK117" s="172">
        <f>MIN(1,MAX(VLOOKUP(($AJ117-$AI117-$AH117-$AG117-$AF117-$AE117*(1+FK$3))/$AJ117,'Технический лист'!$A:$B,2,1),(FJ117-0.05)))</f>
        <v/>
      </c>
      <c r="FL117" s="172">
        <f>MIN(1,MAX(VLOOKUP(($AJ117-$AI117-$AH117-$AG117-$AF117-$AE117*(1+FL$3))/$AJ117,'Технический лист'!$A:$B,2,1),(FK117-0.05)))</f>
        <v/>
      </c>
      <c r="FM117" s="172">
        <f>MIN(1,MAX(VLOOKUP(($AJ117-$AI117-$AH117-$AG117-$AF117-$AE117*(1+FM$3))/$AJ117,'Технический лист'!$A:$B,2,1),(FL117-0.05)))</f>
        <v/>
      </c>
      <c r="FN117" s="172">
        <f>MIN(1,MAX(VLOOKUP(($AJ117-$AI117-$AH117-$AG117-$AF117-$AE117*(1+FN$3))/$AJ117,'Технический лист'!$A:$B,2,1),(FM117-0.05)))</f>
        <v/>
      </c>
      <c r="FO117" s="172">
        <f>MIN(1,MAX(VLOOKUP(($AJ117-$AI117-$AH117-$AG117-$AF117-$AE117*(1+FO$3))/$AJ117,'Технический лист'!$A:$B,2,1),(FN117-0.05)))</f>
        <v/>
      </c>
      <c r="FP117" s="172">
        <f>MIN(1,MAX(VLOOKUP(($AJ117-$AI117-$AH117-$AG117-$AF117-$AE117*(1+FP$3))/$AJ117,'Технический лист'!$A:$B,2,1),(FO117-0.05)))</f>
        <v/>
      </c>
      <c r="FQ117" s="172">
        <f>MIN(1,MAX(VLOOKUP(($AJ117-$AI117-$AH117-$AG117-$AF117-$AE117*(1+FQ$3))/$AJ117,'Технический лист'!$A:$B,2,1),(FP117-0.05)))</f>
        <v/>
      </c>
      <c r="FR117" s="172">
        <f>MIN(1,MAX(VLOOKUP(($AJ117-$AI117-$AH117-$AG117-$AF117-$AE117*(1+FR$3))/$AJ117,'Технический лист'!$A:$B,2,1),(FQ117-0.05)))</f>
        <v/>
      </c>
      <c r="FS117" s="172">
        <f>MIN(1,MAX(VLOOKUP(($AJ117-$AI117-$AH117-$AG117-$AF117-$AE117*(1+FS$3))/$AJ117,'Технический лист'!$A:$B,2,1),(FR117-0.05)))</f>
        <v/>
      </c>
      <c r="FT117" s="172">
        <f>MIN(1,MAX(VLOOKUP(($AJ117-$AI117-$AH117-$AG117-$AF117-$AE117*(1+FT$3))/$AJ117,'Технический лист'!$A:$B,2,1),(FS117-0.05)))</f>
        <v/>
      </c>
      <c r="FU117" s="172">
        <f>MIN(1,MAX(VLOOKUP(($AJ117-$AI117-$AH117-$AG117-$AF117-$AE117*(1+FU$3))/$AJ117,'Технический лист'!$A:$B,2,1),(FT117-0.05)))</f>
        <v/>
      </c>
      <c r="FV117" s="172">
        <f>MIN(1,MAX(VLOOKUP(($AJ117-$AI117-$AH117-$AG117-$AF117-$AE117*(1+FV$3))/$AJ117,'Технический лист'!$A:$B,2,1),(FU117-0.05)))</f>
        <v/>
      </c>
      <c r="FW117" s="172">
        <f>MIN(1,MAX(VLOOKUP(($AJ117-$AI117-$AH117-$AG117-$AF117-$AE117*(1+FW$3))/$AJ117,'Технический лист'!$A:$B,2,1),(FV117-0.05)))</f>
        <v/>
      </c>
      <c r="FX117" s="172">
        <f>MIN(1,MAX(VLOOKUP(($AJ117-$AI117-$AH117-$AG117-$AF117-$AE117*(1+FX$3))/$AJ117,'Технический лист'!$A:$B,2,1),(FW117-0.05)))</f>
        <v/>
      </c>
      <c r="FY117" s="172">
        <f>MIN(1,MAX(VLOOKUP(($AJ117-$AI117-$AH117-$AG117-$AF117-$AE117*(1+FY$3))/$AJ117,'Технический лист'!$A:$B,2,1),(FX117-0.05)))</f>
        <v/>
      </c>
      <c r="FZ117" s="172">
        <f>MIN(1,MAX(VLOOKUP(($AJ117-$AI117-$AH117-$AG117-$AF117-$AE117*(1+FZ$3))/$AJ117,'Технический лист'!$A:$B,2,1),(FY117-0.05)))</f>
        <v/>
      </c>
      <c r="GA117" s="172">
        <f>MIN(1,MAX(VLOOKUP(($AJ117-$AI117-$AH117-$AG117-$AF117-$AE117*(1+GA$3))/$AJ117,'Технический лист'!$A:$B,2,1),(FZ117-0.05)))</f>
        <v/>
      </c>
      <c r="GB117" s="172">
        <f>MIN(1,MAX(VLOOKUP(($AJ117-$AI117-$AH117-$AG117-$AF117-$AE117*(1+GB$3))/$AJ117,'Технический лист'!$A:$B,2,1),(GA117-0.05)))</f>
        <v/>
      </c>
      <c r="GC117" s="172">
        <f>MIN(1,MAX(VLOOKUP(($AJ117-$AI117-$AH117-$AG117-$AF117-$AE117*(1+GC$3))/$AJ117,'Технический лист'!$A:$B,2,1),(GB117-0.05)))</f>
        <v/>
      </c>
      <c r="GD117" s="172">
        <f>MIN(1,MAX(VLOOKUP(($AJ117-$AI117-$AH117-$AG117-$AF117-$AE117*(1+GD$3))/$AJ117,'Технический лист'!$A:$B,2,1),(GC117-0.05)))</f>
        <v/>
      </c>
      <c r="GE117" s="172">
        <f>MIN(1,MAX(VLOOKUP(($AJ117-$AI117-$AH117-$AG117-$AF117-$AE117*(1+GE$3))/$AJ117,'Технический лист'!$A:$B,2,1),(GD117-0.05)))</f>
        <v/>
      </c>
      <c r="GF117" s="172">
        <f>MIN(1,MAX(VLOOKUP(($AJ117-$AI117-$AH117-$AG117-$AF117-$AE117*(1+GF$3))/$AJ117,'Технический лист'!$A:$B,2,1),(GE117-0.05)))</f>
        <v/>
      </c>
      <c r="GG117" s="172">
        <f>MIN(1,MAX(VLOOKUP(($AJ117-$AI117-$AH117-$AG117-$AF117-$AE117*(1+GG$3))/$AJ117,'Технический лист'!$A:$B,2,1),(GF117-0.05)))</f>
        <v/>
      </c>
      <c r="GH117" s="172">
        <f>MIN(1,MAX(VLOOKUP(($AJ117-$AI117-$AH117-$AG117-$AF117-$AE117*(1+GH$3))/$AJ117,'Технический лист'!$A:$B,2,1),(GG117-0.05)))</f>
        <v/>
      </c>
      <c r="GI117" s="172">
        <f>MIN(1,MAX(VLOOKUP(($AJ117-$AI117-$AH117-$AG117-$AF117-$AE117*(1+GI$3))/$AJ117,'Технический лист'!$A:$B,2,1),(GH117-0.05)))</f>
        <v/>
      </c>
      <c r="GJ117" s="172">
        <f>MIN(1,MAX(VLOOKUP(($AJ117-$AI117-$AH117-$AG117-$AF117-$AE117*(1+GJ$3))/$AJ117,'Технический лист'!$A:$B,2,1),(GI117-0.05)))</f>
        <v/>
      </c>
      <c r="GK117" s="172">
        <f>MIN(1,MAX(VLOOKUP(($AJ117-$AI117-$AH117-$AG117-$AF117-$AE117*(1+GK$3))/$AJ117,'Технический лист'!$A:$B,2,1),(GJ117-0.05)))</f>
        <v/>
      </c>
      <c r="GL117" s="172">
        <f>MIN(1,MAX(VLOOKUP(($AJ117-$AI117-$AH117-$AG117-$AF117-$AE117*(1+GL$3))/$AJ117,'Технический лист'!$A:$B,2,1),(GK117-0.05)))</f>
        <v/>
      </c>
      <c r="GM117" s="172">
        <f>MIN(1,MAX(VLOOKUP(($AJ117-$AI117-$AH117-$AG117-$AF117-$AE117*(1+GM$3))/$AJ117,'Технический лист'!$A:$B,2,1),(GL117-0.05)))</f>
        <v/>
      </c>
      <c r="GN117" s="172">
        <f>MIN(1,MAX(VLOOKUP(($AJ117-$AI117-$AH117-$AG117-$AF117-$AE117*(1+GN$3))/$AJ117,'Технический лист'!$A:$B,2,1),(GM117-0.05)))</f>
        <v/>
      </c>
      <c r="GO117" s="172">
        <f>MIN(1,MAX(VLOOKUP(($AJ117-$AI117-$AH117-$AG117-$AF117-$AE117*(1+GO$3))/$AJ117,'Технический лист'!$A:$B,2,1),(GN117-0.05)))</f>
        <v/>
      </c>
      <c r="GP117" s="172">
        <f>MIN(1,MAX(VLOOKUP(($AJ117-$AI117-$AH117-$AG117-$AF117-$AE117*(1+GP$3))/$AJ117,'Технический лист'!$A:$B,2,1),(GO117-0.05)))</f>
        <v/>
      </c>
      <c r="GQ117" s="172">
        <f>MIN(1,MAX(VLOOKUP(($AJ117-$AI117-$AH117-$AG117-$AF117-$AE117*(1+GQ$3))/$AJ117,'Технический лист'!$A:$B,2,1),(GP117-0.05)))</f>
        <v/>
      </c>
      <c r="GR117" s="172">
        <f>MIN(1,MAX(VLOOKUP(($AJ117-$AI117-$AH117-$AG117-$AF117-$AE117*(1+GR$3))/$AJ117,'Технический лист'!$A:$B,2,1),(GQ117-0.05)))</f>
        <v/>
      </c>
      <c r="GS117" s="172">
        <f>MIN(1,MAX(VLOOKUP(($AJ117-$AI117-$AH117-$AG117-$AF117-$AE117*(1+GS$3))/$AJ117,'Технический лист'!$A:$B,2,1),(GR117-0.05)))</f>
        <v/>
      </c>
      <c r="GT117" s="172">
        <f>MIN(1,MAX(VLOOKUP(($AJ117-$AI117-$AH117-$AG117-$AF117-$AE117*(1+GT$3))/$AJ117,'Технический лист'!$A:$B,2,1),(GS117-0.05)))</f>
        <v/>
      </c>
      <c r="GU117" s="172">
        <f>MIN(1,MAX(VLOOKUP(($AJ117-$AI117-$AH117-$AG117-$AF117-$AE117*(1+GU$3))/$AJ117,'Технический лист'!$A:$B,2,1),(GT117-0.05)))</f>
        <v/>
      </c>
      <c r="GV117" s="172">
        <f>MIN(1,MAX(VLOOKUP(($AJ117-$AI117-$AH117-$AG117-$AF117-$AE117*(1+GV$3))/$AJ117,'Технический лист'!$A:$B,2,1),(GU117-0.05)))</f>
        <v/>
      </c>
      <c r="GW117" s="172">
        <f>MIN(1,MAX(VLOOKUP(($AJ117-$AI117-$AH117-$AG117-$AF117-$AE117*(1+GW$3))/$AJ117,'Технический лист'!$A:$B,2,1),(GV117-0.05)))</f>
        <v/>
      </c>
      <c r="GX117" s="172">
        <f>MIN(1,MAX(VLOOKUP(($AJ117-$AI117-$AH117-$AG117-$AF117-$AE117*(1+GX$3))/$AJ117,'Технический лист'!$A:$B,2,1),(GW117-0.05)))</f>
        <v/>
      </c>
      <c r="GY117" s="172">
        <f>MIN(1,MAX(VLOOKUP(($AJ117-$AI117-$AH117-$AG117-$AF117-$AE117*(1+GY$3))/$AJ117,'Технический лист'!$A:$B,2,1),(GX117-0.05)))</f>
        <v/>
      </c>
      <c r="GZ117" s="172">
        <f>MIN(1,MAX(VLOOKUP(($AJ117-$AI117-$AH117-$AG117-$AF117-$AE117*(1+GZ$3))/$AJ117,'Технический лист'!$A:$B,2,1),(GY117-0.05)))</f>
        <v/>
      </c>
      <c r="HA117" s="172">
        <f>MIN(1,MAX(VLOOKUP(($AJ117-$AI117-$AH117-$AG117-$AF117-$AE117*(1+HA$3))/$AJ117,'Технический лист'!$A:$B,2,1),(GZ117-0.05)))</f>
        <v/>
      </c>
      <c r="HB117" s="172">
        <f>MIN(1,MAX(VLOOKUP(($AJ117-$AI117-$AH117-$AG117-$AF117-$AE117*(1+HB$3))/$AJ117,'Технический лист'!$A:$B,2,1),(HA117-0.05)))</f>
        <v/>
      </c>
      <c r="HC117" s="172">
        <f>MIN(1,MAX(VLOOKUP(($AJ117-$AI117-$AH117-$AG117-$AF117-$AE117*(1+HC$3))/$AJ117,'Технический лист'!$A:$B,2,1),(HB117-0.05)))</f>
        <v/>
      </c>
      <c r="HD117" s="172">
        <f>MIN(1,MAX(VLOOKUP(($AJ117-$AI117-$AH117-$AG117-$AF117-$AE117*(1+HD$3))/$AJ117,'Технический лист'!$A:$B,2,1),(HC117-0.05)))</f>
        <v/>
      </c>
      <c r="HE117" s="172">
        <f>MIN(1,MAX(VLOOKUP(($AJ117-$AI117-$AH117-$AG117-$AF117-$AE117*(1+HE$3))/$AJ117,'Технический лист'!$A:$B,2,1),(HD117-0.05)))</f>
        <v/>
      </c>
      <c r="HF117" s="172">
        <f>MIN(1,MAX(VLOOKUP(($AJ117-$AI117-$AH117-$AG117-$AF117-$AE117*(1+HF$3))/$AJ117,'Технический лист'!$A:$B,2,1),(HE117-0.05)))</f>
        <v/>
      </c>
      <c r="HG117" s="172">
        <f>MIN(1,MAX(VLOOKUP(($AJ117-$AI117-$AH117-$AG117-$AF117-$AE117*(1+HG$3))/$AJ117,'Технический лист'!$A:$B,2,1),(HF117-0.05)))</f>
        <v/>
      </c>
      <c r="HH117" s="172">
        <f>MIN(1,MAX(VLOOKUP(($AJ117-$AI117-$AH117-$AG117-$AF117-$AE117*(1+HH$3))/$AJ117,'Технический лист'!$A:$B,2,1),(HG117-0.05)))</f>
        <v/>
      </c>
      <c r="HI117" s="172">
        <f>MIN(1,MAX(VLOOKUP(($AJ117-$AI117-$AH117-$AG117-$AF117-$AE117*(1+HI$3))/$AJ117,'Технический лист'!$A:$B,2,1),(HH117-0.05)))</f>
        <v/>
      </c>
      <c r="HJ117" s="172">
        <f>MIN(1,MAX(VLOOKUP(($AJ117-$AI117-$AH117-$AG117-$AF117-$AE117*(1+HJ$3))/$AJ117,'Технический лист'!$A:$B,2,1),(HI117-0.05)))</f>
        <v/>
      </c>
      <c r="HK117" s="172">
        <f>MIN(1,MAX(VLOOKUP(($AJ117-$AI117-$AH117-$AG117-$AF117-$AE117*(1+HK$3))/$AJ117,'Технический лист'!$A:$B,2,1),(HJ117-0.05)))</f>
        <v/>
      </c>
      <c r="HL117" s="172">
        <f>MIN(1,MAX(VLOOKUP(($AJ117-$AI117-$AH117-$AG117-$AF117-$AE117*(1+HL$3))/$AJ117,'Технический лист'!$A:$B,2,1),(HK117-0.05)))</f>
        <v/>
      </c>
      <c r="HM117" s="172">
        <f>MIN(1,MAX(VLOOKUP(($AJ117-$AI117-$AH117-$AG117-$AF117-$AE117*(1+HM$3))/$AJ117,'Технический лист'!$A:$B,2,1),(HL117-0.05)))</f>
        <v/>
      </c>
      <c r="HN117" s="172">
        <f>MIN(1,MAX(VLOOKUP(($AJ117-$AI117-$AH117-$AG117-$AF117-$AE117*(1+HN$3))/$AJ117,'Технический лист'!$A:$B,2,1),(HM117-0.05)))</f>
        <v/>
      </c>
      <c r="HO117" s="172">
        <f>MIN(1,MAX(VLOOKUP(($AJ117-$AI117-$AH117-$AG117-$AF117-$AE117*(1+HO$3))/$AJ117,'Технический лист'!$A:$B,2,1),(HN117-0.05)))</f>
        <v/>
      </c>
      <c r="HP117" s="172">
        <f>MIN(1,MAX(VLOOKUP(($AJ117-$AI117-$AH117-$AG117-$AF117-$AE117*(1+HP$3))/$AJ117,'Технический лист'!$A:$B,2,1),(HO117-0.05)))</f>
        <v/>
      </c>
      <c r="HQ117" s="172">
        <f>MIN(1,MAX(VLOOKUP(($AJ117-$AI117-$AH117-$AG117-$AF117-$AE117*(1+HQ$3))/$AJ117,'Технический лист'!$A:$B,2,1),(HP117-0.05)))</f>
        <v/>
      </c>
      <c r="HR117" s="172">
        <f>MIN(1,MAX(VLOOKUP(($AJ117-$AI117-$AH117-$AG117-$AF117-$AE117*(1+HR$3))/$AJ117,'Технический лист'!$A:$B,2,1),(HQ117-0.05)))</f>
        <v/>
      </c>
      <c r="HS117" s="172">
        <f>MIN(1,MAX(VLOOKUP(($AJ117-$AI117-$AH117-$AG117-$AF117-$AE117*(1+HS$3))/$AJ117,'Технический лист'!$A:$B,2,1),(HR117-0.05)))</f>
        <v/>
      </c>
      <c r="HT117" s="172">
        <f>MIN(1,MAX(VLOOKUP(($AJ117-$AI117-$AH117-$AG117-$AF117-$AE117*(1+HT$3))/$AJ117,'Технический лист'!$A:$B,2,1),(HS117-0.05)))</f>
        <v/>
      </c>
      <c r="HU117" s="172">
        <f>MIN(1,MAX(VLOOKUP(($AJ117-$AI117-$AH117-$AG117-$AF117-$AE117*(1+HU$3))/$AJ117,'Технический лист'!$A:$B,2,1),(HT117-0.05)))</f>
        <v/>
      </c>
      <c r="HV117" s="172">
        <f>MIN(1,MAX(VLOOKUP(($AJ117-$AI117-$AH117-$AG117-$AF117-$AE117*(1+HV$3))/$AJ117,'Технический лист'!$A:$B,2,1),(HU117-0.05)))</f>
        <v/>
      </c>
      <c r="HW117" s="172">
        <f>MIN(1,MAX(VLOOKUP(($AJ117-$AI117-$AH117-$AG117-$AF117-$AE117*(1+HW$3))/$AJ117,'Технический лист'!$A:$B,2,1),(HV117-0.05)))</f>
        <v/>
      </c>
      <c r="HX117" s="172">
        <f>MIN(1,MAX(VLOOKUP(($AJ117-$AI117-$AH117-$AG117-$AF117-$AE117*(1+HX$3))/$AJ117,'Технический лист'!$A:$B,2,1),(HW117-0.05)))</f>
        <v/>
      </c>
      <c r="HY117" s="172">
        <f>MIN(1,MAX(VLOOKUP(($AJ117-$AI117-$AH117-$AG117-$AF117-$AE117*(1+HY$3))/$AJ117,'Технический лист'!$A:$B,2,1),(HX117-0.05)))</f>
        <v/>
      </c>
      <c r="HZ117" s="172">
        <f>MIN(1,MAX(VLOOKUP(($AJ117-$AI117-$AH117-$AG117-$AF117-$AE117*(1+HZ$3))/$AJ117,'Технический лист'!$A:$B,2,1),(HY117-0.05)))</f>
        <v/>
      </c>
      <c r="IA117" s="172">
        <f>MIN(1,MAX(VLOOKUP(($AJ117-$AI117-$AH117-$AG117-$AF117-$AE117*(1+IA$3))/$AJ117,'Технический лист'!$A:$B,2,1),(HZ117-0.05)))</f>
        <v/>
      </c>
      <c r="IB117" s="172">
        <f>MIN(1,MAX(VLOOKUP(($AJ117-$AI117-$AH117-$AG117-$AF117-$AE117*(1+IB$3))/$AJ117,'Технический лист'!$A:$B,2,1),(IA117-0.05)))</f>
        <v/>
      </c>
      <c r="IC117" s="172">
        <f>MIN(1,MAX(VLOOKUP(($AJ117-$AI117-$AH117-$AG117-$AF117-$AE117*(1+IC$3))/$AJ117,'Технический лист'!$A:$B,2,1),(IB117-0.05)))</f>
        <v/>
      </c>
      <c r="ID117" s="172">
        <f>MIN(1,MAX(VLOOKUP(($AJ117-$AI117-$AH117-$AG117-$AF117-$AE117*(1+ID$3))/$AJ117,'Технический лист'!$A:$B,2,1),(IC117-0.05)))</f>
        <v/>
      </c>
      <c r="IE117" s="172">
        <f>MIN(1,MAX(VLOOKUP(($AJ117-$AI117-$AH117-$AG117-$AF117-$AE117*(1+IE$3))/$AJ117,'Технический лист'!$A:$B,2,1),(ID117-0.05)))</f>
        <v/>
      </c>
      <c r="IF117" s="172">
        <f>MIN(1,MAX(VLOOKUP(($AJ117-$AI117-$AH117-$AG117-$AF117-$AE117*(1+IF$3))/$AJ117,'Технический лист'!$A:$B,2,1),(IE117-0.05)))</f>
        <v/>
      </c>
      <c r="IG117" s="172">
        <f>MIN(1,MAX(VLOOKUP(($AJ117-$AI117-$AH117-$AG117-$AF117-$AE117*(1+IG$3))/$AJ117,'Технический лист'!$A:$B,2,1),(IF117-0.05)))</f>
        <v/>
      </c>
      <c r="IH117" s="172">
        <f>MIN(1,MAX(VLOOKUP(($AJ117-$AI117-$AH117-$AG117-$AF117-$AE117*(1+IH$3))/$AJ117,'Технический лист'!$A:$B,2,1),(IG117-0.05)))</f>
        <v/>
      </c>
      <c r="II117" s="172">
        <f>MIN(1,MAX(VLOOKUP(($AJ117-$AI117-$AH117-$AG117-$AF117-$AE117*(1+II$3))/$AJ117,'Технический лист'!$A:$B,2,1),(IH117-0.05)))</f>
        <v/>
      </c>
      <c r="IJ117" s="172">
        <f>MIN(1,MAX(VLOOKUP(($AJ117-$AI117-$AH117-$AG117-$AF117-$AE117*(1+IJ$3))/$AJ117,'Технический лист'!$A:$B,2,1),(II117-0.05)))</f>
        <v/>
      </c>
      <c r="IK117" s="172">
        <f>MIN(1,MAX(VLOOKUP(($AJ117-$AI117-$AH117-$AG117-$AF117-$AE117*(1+IK$3))/$AJ117,'Технический лист'!$A:$B,2,1),(IJ117-0.05)))</f>
        <v/>
      </c>
      <c r="IL117" s="172">
        <f>MIN(1,MAX(VLOOKUP(($AJ117-$AI117-$AH117-$AG117-$AF117-$AE117*(1+IL$3))/$AJ117,'Технический лист'!$A:$B,2,1),(IK117-0.05)))</f>
        <v/>
      </c>
      <c r="IM117" s="172">
        <f>MIN(1,MAX(VLOOKUP(($AJ117-$AI117-$AH117-$AG117-$AF117-$AE117*(1+IM$3))/$AJ117,'Технический лист'!$A:$B,2,1),(IL117-0.05)))</f>
        <v/>
      </c>
      <c r="IN117" s="172">
        <f>MIN(1,MAX(VLOOKUP(($AJ117-$AI117-$AH117-$AG117-$AF117-$AE117*(1+IN$3))/$AJ117,'Технический лист'!$A:$B,2,1),(IM117-0.05)))</f>
        <v/>
      </c>
      <c r="IO117" s="172">
        <f>MIN(1,MAX(VLOOKUP(($AJ117-$AI117-$AH117-$AG117-$AF117-$AE117*(1+IO$3))/$AJ117,'Технический лист'!$A:$B,2,1),(IN117-0.05)))</f>
        <v/>
      </c>
      <c r="IP117" s="172">
        <f>MIN(1,MAX(VLOOKUP(($AJ117-$AI117-$AH117-$AG117-$AF117-$AE117*(1+IP$3))/$AJ117,'Технический лист'!$A:$B,2,1),(IO117-0.05)))</f>
        <v/>
      </c>
      <c r="IQ117" s="172">
        <f>MIN(1,MAX(VLOOKUP(($AJ117-$AI117-$AH117-$AG117-$AF117-$AE117*(1+IQ$3))/$AJ117,'Технический лист'!$A:$B,2,1),(IP117-0.05)))</f>
        <v/>
      </c>
      <c r="IR117" s="172">
        <f>MIN(1,MAX(VLOOKUP(($AJ117-$AI117-$AH117-$AG117-$AF117-$AE117*(1+IR$3))/$AJ117,'Технический лист'!$A:$B,2,1),(IQ117-0.05)))</f>
        <v/>
      </c>
    </row>
    <row r="118" ht="29.15" customHeight="1" s="123">
      <c r="A118" s="89" t="inlineStr">
        <is>
          <t>ЧМ (продукция)</t>
        </is>
      </c>
      <c r="B118" s="90" t="n">
        <v>5</v>
      </c>
      <c r="C118" s="5" t="inlineStr">
        <is>
          <t>Черные металлы</t>
        </is>
      </c>
      <c r="D118" s="91" t="n">
        <v>32417</v>
      </c>
      <c r="E118" s="91" t="inlineStr">
        <is>
          <t xml:space="preserve">Сталь листовая трансформаторная </t>
        </is>
      </c>
      <c r="F118" s="92" t="inlineStr">
        <is>
          <t>ПРОЧИЕ ВИДЫ ПРОКАТА ЧЕРНЫ</t>
        </is>
      </c>
      <c r="G118" s="91" t="inlineStr">
        <is>
          <t>ЮВС</t>
        </is>
      </c>
      <c r="H118" s="91" t="inlineStr">
        <is>
          <t>ДВС</t>
        </is>
      </c>
      <c r="I118" s="91" t="inlineStr">
        <is>
          <t>НОВОЛИПЕЦК</t>
        </is>
      </c>
      <c r="J118" s="91" t="inlineStr">
        <is>
          <t>НАХОДКА-В-ЭК</t>
        </is>
      </c>
      <c r="K118" s="91" t="n">
        <v>9441</v>
      </c>
      <c r="L118" s="77" t="inlineStr">
        <is>
          <t>Платформы</t>
        </is>
      </c>
      <c r="M118" s="91" t="inlineStr">
        <is>
          <t>Экспорт</t>
        </is>
      </c>
      <c r="N118" s="91" t="inlineStr">
        <is>
          <t>контейнерная</t>
        </is>
      </c>
      <c r="O118" s="91" t="inlineStr">
        <is>
          <t xml:space="preserve">Восточное </t>
        </is>
      </c>
      <c r="P118" s="89" t="inlineStr">
        <is>
          <t>'000005757665</t>
        </is>
      </c>
      <c r="Q118" s="91" t="inlineStr">
        <is>
          <t>'ПАО "НЛМК"</t>
        </is>
      </c>
      <c r="R118" s="91" t="inlineStr">
        <is>
          <t>ПАО "НЛМК"</t>
        </is>
      </c>
      <c r="S118" s="87" t="n">
        <v>2731</v>
      </c>
      <c r="T118" s="87" t="n">
        <v>25779308</v>
      </c>
      <c r="U118" s="88" t="n">
        <v>30</v>
      </c>
      <c r="V118" s="88" t="n">
        <v>103</v>
      </c>
      <c r="W118" s="87" t="n">
        <v>13533751</v>
      </c>
      <c r="X118" s="112" t="n">
        <v>52</v>
      </c>
      <c r="Y118" s="112" t="inlineStr">
        <is>
          <t>контейнерная</t>
        </is>
      </c>
      <c r="Z118" s="113" t="n">
        <v>16</v>
      </c>
      <c r="AA118" s="113" t="n">
        <v>0</v>
      </c>
      <c r="AB118" s="113" t="n">
        <v>4</v>
      </c>
      <c r="AC118" s="161">
        <f>196374/X118</f>
        <v/>
      </c>
      <c r="AD118" s="161" t="n">
        <v>0</v>
      </c>
      <c r="AE118" s="161">
        <f>AC118</f>
        <v/>
      </c>
      <c r="AF118" s="162">
        <f>(AB118+AA118+Z118)*'Ставки аренды'!$B$6/X118</f>
        <v/>
      </c>
      <c r="AG118" s="164" t="n"/>
      <c r="AH118" s="164" t="n">
        <v>0</v>
      </c>
      <c r="AI118" s="174">
        <f>539714289/604384772*AVERAGE(AJ116,AJ118)</f>
        <v/>
      </c>
      <c r="AJ118" s="166">
        <f>Цены!C17*'Курсы валют'!B2</f>
        <v/>
      </c>
      <c r="AK118" s="164">
        <f>AJ118/Цены!$B$1</f>
        <v/>
      </c>
      <c r="AL118" s="164">
        <f>AE118+AF118+AG118</f>
        <v/>
      </c>
      <c r="AM118" s="164">
        <f>AJ118-AL118</f>
        <v/>
      </c>
      <c r="AN118" s="164">
        <f>AI118+AH118+AG118+AF118+AE118</f>
        <v/>
      </c>
      <c r="AO118" s="167">
        <f>(AJ118-AN118)/AJ118</f>
        <v/>
      </c>
      <c r="AP118" s="168">
        <f>AL118/AJ118</f>
        <v/>
      </c>
      <c r="AQ118" s="168">
        <f>AE118/AJ118</f>
        <v/>
      </c>
      <c r="AR118" s="168">
        <f>AE118/AL118</f>
        <v/>
      </c>
      <c r="AS118" s="169" t="n">
        <v>1</v>
      </c>
      <c r="AT118" s="121">
        <f>S118*AS118</f>
        <v/>
      </c>
      <c r="AU118" s="83" t="n">
        <v>0.95</v>
      </c>
      <c r="AV118" s="170">
        <f>(AJ118-(AE118*(1+$IS$2)+AF118+AG118+AH118+AI118))/AJ118</f>
        <v/>
      </c>
      <c r="AW118" s="171">
        <f>(AE118*(1+$IS$2)+AF118+AG118)/AJ118</f>
        <v/>
      </c>
      <c r="AX118" s="171">
        <f>(AE118*(1+$IS$2))/AJ118</f>
        <v/>
      </c>
      <c r="AY118" s="171">
        <f>(AE118*(1+$IS$2))/(AE118*(1+$IS$2)+AF118+AG118)</f>
        <v/>
      </c>
      <c r="AZ118" s="172">
        <f>MIN(IF($AU118=100%,1,1+VLOOKUP(($AJ118-$AI118-$AH118-$AG118-$AF118-$AE118*(1+AZ$3))/$AJ118,'Технический лист'!$I:$J,2,1)-VLOOKUP($AO118,'Технический лист'!$I:$J,2,1)),1+(1-$AU118))</f>
        <v/>
      </c>
      <c r="BA118" s="172">
        <f>MIN(IF($AU118=100%,1,1+VLOOKUP(($AJ118-$AI118-$AH118-$AG118-$AF118-$AE118*(1+BA$3))/$AJ118,'Технический лист'!$I:$J,2,1)-VLOOKUP($AO118,'Технический лист'!$I:$J,2,1)),1+(1-$AU118))</f>
        <v/>
      </c>
      <c r="BB118" s="172">
        <f>MIN(IF($AU118=100%,1,1+VLOOKUP(($AJ118-$AI118-$AH118-$AG118-$AF118-$AE118*(1+BB$3))/$AJ118,'Технический лист'!$I:$J,2,1)-VLOOKUP($AO118,'Технический лист'!$I:$J,2,1)),1+(1-$AU118))</f>
        <v/>
      </c>
      <c r="BC118" s="172">
        <f>MIN(IF($AU118=100%,1,1+VLOOKUP(($AJ118-$AI118-$AH118-$AG118-$AF118-$AE118*(1+BC$3))/$AJ118,'Технический лист'!$I:$J,2,1)-VLOOKUP($AO118,'Технический лист'!$I:$J,2,1)),1+(1-$AU118))</f>
        <v/>
      </c>
      <c r="BD118" s="172">
        <f>MIN(IF($AU118=100%,1,1+VLOOKUP(($AJ118-$AI118-$AH118-$AG118-$AF118-$AE118*(1+BD$3))/$AJ118,'Технический лист'!$I:$J,2,1)-VLOOKUP($AO118,'Технический лист'!$I:$J,2,1)),1+(1-$AU118))</f>
        <v/>
      </c>
      <c r="BE118" s="172">
        <f>MIN(IF($AU118=100%,1,1+VLOOKUP(($AJ118-$AI118-$AH118-$AG118-$AF118-$AE118*(1+BE$3))/$AJ118,'Технический лист'!$I:$J,2,1)-VLOOKUP($AO118,'Технический лист'!$I:$J,2,1)),1+(1-$AU118))</f>
        <v/>
      </c>
      <c r="BF118" s="172">
        <f>MIN(IF($AU118=100%,1,1+VLOOKUP(($AJ118-$AI118-$AH118-$AG118-$AF118-$AE118*(1+BF$3))/$AJ118,'Технический лист'!$I:$J,2,1)-VLOOKUP($AO118,'Технический лист'!$I:$J,2,1)),1+(1-$AU118))</f>
        <v/>
      </c>
      <c r="BG118" s="172">
        <f>MIN(IF($AU118=100%,1,1+VLOOKUP(($AJ118-$AI118-$AH118-$AG118-$AF118-$AE118*(1+BG$3))/$AJ118,'Технический лист'!$I:$J,2,1)-VLOOKUP($AO118,'Технический лист'!$I:$J,2,1)),1+(1-$AU118))</f>
        <v/>
      </c>
      <c r="BH118" s="172">
        <f>MIN(IF($AU118=100%,1,1+VLOOKUP(($AJ118-$AI118-$AH118-$AG118-$AF118-$AE118*(1+BH$3))/$AJ118,'Технический лист'!$I:$J,2,1)-VLOOKUP($AO118,'Технический лист'!$I:$J,2,1)),1+(1-$AU118))</f>
        <v/>
      </c>
      <c r="BI118" s="172">
        <f>MIN(IF($AU118=100%,1,1+VLOOKUP(($AJ118-$AI118-$AH118-$AG118-$AF118-$AE118*(1+BI$3))/$AJ118,'Технический лист'!$I:$J,2,1)-VLOOKUP($AO118,'Технический лист'!$I:$J,2,1)),1+(1-$AU118))</f>
        <v/>
      </c>
      <c r="BJ118" s="172">
        <f>MIN(IF($AU118=100%,1,1+VLOOKUP(($AJ118-$AI118-$AH118-$AG118-$AF118-$AE118*(1+BJ$3))/$AJ118,'Технический лист'!$I:$J,2,1)-VLOOKUP($AO118,'Технический лист'!$I:$J,2,1)),1+(1-$AU118))</f>
        <v/>
      </c>
      <c r="BK118" s="172">
        <f>MIN(IF($AU118=100%,1,1+VLOOKUP(($AJ118-$AI118-$AH118-$AG118-$AF118-$AE118*(1+BK$3))/$AJ118,'Технический лист'!$I:$J,2,1)-VLOOKUP($AO118,'Технический лист'!$I:$J,2,1)),1+(1-$AU118))</f>
        <v/>
      </c>
      <c r="BL118" s="172">
        <f>MIN(IF($AU118=100%,1,1+VLOOKUP(($AJ118-$AI118-$AH118-$AG118-$AF118-$AE118*(1+BL$3))/$AJ118,'Технический лист'!$I:$J,2,1)-VLOOKUP($AO118,'Технический лист'!$I:$J,2,1)),1+(1-$AU118))</f>
        <v/>
      </c>
      <c r="BM118" s="172">
        <f>MIN(IF($AU118=100%,1,1+VLOOKUP(($AJ118-$AI118-$AH118-$AG118-$AF118-$AE118*(1+BM$3))/$AJ118,'Технический лист'!$I:$J,2,1)-VLOOKUP($AO118,'Технический лист'!$I:$J,2,1)),1+(1-$AU118))</f>
        <v/>
      </c>
      <c r="BN118" s="172">
        <f>MIN(IF($AU118=100%,1,1+VLOOKUP(($AJ118-$AI118-$AH118-$AG118-$AF118-$AE118*(1+BN$3))/$AJ118,'Технический лист'!$I:$J,2,1)-VLOOKUP($AO118,'Технический лист'!$I:$J,2,1)),1+(1-$AU118))</f>
        <v/>
      </c>
      <c r="BO118" s="172">
        <f>MIN(IF($AU118=100%,1,1+VLOOKUP(($AJ118-$AI118-$AH118-$AG118-$AF118-$AE118*(1+BO$3))/$AJ118,'Технический лист'!$I:$J,2,1)-VLOOKUP($AO118,'Технический лист'!$I:$J,2,1)),1+(1-$AU118))</f>
        <v/>
      </c>
      <c r="BP118" s="172">
        <f>MIN(IF($AU118=100%,1,1+VLOOKUP(($AJ118-$AI118-$AH118-$AG118-$AF118-$AE118*(1+BP$3))/$AJ118,'Технический лист'!$I:$J,2,1)-VLOOKUP($AO118,'Технический лист'!$I:$J,2,1)),1+(1-$AU118))</f>
        <v/>
      </c>
      <c r="BQ118" s="172">
        <f>MIN(IF($AU118=100%,1,1+VLOOKUP(($AJ118-$AI118-$AH118-$AG118-$AF118-$AE118*(1+BQ$3))/$AJ118,'Технический лист'!$I:$J,2,1)-VLOOKUP($AO118,'Технический лист'!$I:$J,2,1)),1+(1-$AU118))</f>
        <v/>
      </c>
      <c r="BR118" s="172">
        <f>MIN(IF($AU118=100%,1,1+VLOOKUP(($AJ118-$AI118-$AH118-$AG118-$AF118-$AE118*(1+BR$3))/$AJ118,'Технический лист'!$I:$J,2,1)-VLOOKUP($AO118,'Технический лист'!$I:$J,2,1)),1+(1-$AU118))</f>
        <v/>
      </c>
      <c r="BS118" s="172">
        <f>MIN(IF($AU118=100%,1,1+VLOOKUP(($AJ118-$AI118-$AH118-$AG118-$AF118-$AE118*(1+BS$3))/$AJ118,'Технический лист'!$I:$J,2,1)-VLOOKUP($AO118,'Технический лист'!$I:$J,2,1)),1+(1-$AU118))</f>
        <v/>
      </c>
      <c r="BT118" s="172">
        <f>MIN(IF($AU118=100%,1,1+VLOOKUP(($AJ118-$AI118-$AH118-$AG118-$AF118-$AE118*(1+BT$3))/$AJ118,'Технический лист'!$I:$J,2,1)-VLOOKUP($AO118,'Технический лист'!$I:$J,2,1)),1+(1-$AU118))</f>
        <v/>
      </c>
      <c r="BU118" s="172">
        <f>MIN(IF($AU118=100%,1,1+VLOOKUP(($AJ118-$AI118-$AH118-$AG118-$AF118-$AE118*(1+BU$3))/$AJ118,'Технический лист'!$I:$J,2,1)-VLOOKUP($AO118,'Технический лист'!$I:$J,2,1)),1+(1-$AU118))</f>
        <v/>
      </c>
      <c r="BV118" s="172">
        <f>MIN(IF($AU118=100%,1,1+VLOOKUP(($AJ118-$AI118-$AH118-$AG118-$AF118-$AE118*(1+BV$3))/$AJ118,'Технический лист'!$I:$J,2,1)-VLOOKUP($AO118,'Технический лист'!$I:$J,2,1)),1+(1-$AU118))</f>
        <v/>
      </c>
      <c r="BW118" s="172">
        <f>MIN(IF($AU118=100%,1,1+VLOOKUP(($AJ118-$AI118-$AH118-$AG118-$AF118-$AE118*(1+BW$3))/$AJ118,'Технический лист'!$I:$J,2,1)-VLOOKUP($AO118,'Технический лист'!$I:$J,2,1)),1+(1-$AU118))</f>
        <v/>
      </c>
      <c r="BX118" s="172">
        <f>MIN(IF($AU118=100%,1,1+VLOOKUP(($AJ118-$AI118-$AH118-$AG118-$AF118-$AE118*(1+BX$3))/$AJ118,'Технический лист'!$I:$J,2,1)-VLOOKUP($AO118,'Технический лист'!$I:$J,2,1)),1+(1-$AU118))</f>
        <v/>
      </c>
      <c r="BY118" s="172">
        <f>MIN(IF($AU118=100%,1,1+VLOOKUP(($AJ118-$AI118-$AH118-$AG118-$AF118-$AE118*(1+BY$3))/$AJ118,'Технический лист'!$I:$J,2,1)-VLOOKUP($AO118,'Технический лист'!$I:$J,2,1)),1+(1-$AU118))</f>
        <v/>
      </c>
      <c r="BZ118" s="172">
        <f>MIN(IF($AU118=100%,1,1+VLOOKUP(($AJ118-$AI118-$AH118-$AG118-$AF118-$AE118*(1+BZ$3))/$AJ118,'Технический лист'!$I:$J,2,1)-VLOOKUP($AO118,'Технический лист'!$I:$J,2,1)),1+(1-$AU118))</f>
        <v/>
      </c>
      <c r="CA118" s="172">
        <f>MIN(IF($AU118=100%,1,1+VLOOKUP(($AJ118-$AI118-$AH118-$AG118-$AF118-$AE118*(1+CA$3))/$AJ118,'Технический лист'!$I:$J,2,1)-VLOOKUP($AO118,'Технический лист'!$I:$J,2,1)),1+(1-$AU118))</f>
        <v/>
      </c>
      <c r="CB118" s="172">
        <f>MIN(IF($AU118=100%,1,1+VLOOKUP(($AJ118-$AI118-$AH118-$AG118-$AF118-$AE118*(1+CB$3))/$AJ118,'Технический лист'!$I:$J,2,1)-VLOOKUP($AO118,'Технический лист'!$I:$J,2,1)),1+(1-$AU118))</f>
        <v/>
      </c>
      <c r="CC118" s="172">
        <f>MIN(IF($AU118=100%,1,1+VLOOKUP(($AJ118-$AI118-$AH118-$AG118-$AF118-$AE118*(1+CC$3))/$AJ118,'Технический лист'!$I:$J,2,1)-VLOOKUP($AO118,'Технический лист'!$I:$J,2,1)),1+(1-$AU118))</f>
        <v/>
      </c>
      <c r="CD118" s="172">
        <f>MIN(IF($AU118=100%,1,1+VLOOKUP(($AJ118-$AI118-$AH118-$AG118-$AF118-$AE118*(1+CD$3))/$AJ118,'Технический лист'!$I:$J,2,1)-VLOOKUP($AO118,'Технический лист'!$I:$J,2,1)),1+(1-$AU118))</f>
        <v/>
      </c>
      <c r="CE118" s="172">
        <f>MIN(IF($AU118=100%,1,1+VLOOKUP(($AJ118-$AI118-$AH118-$AG118-$AF118-$AE118*(1+CE$3))/$AJ118,'Технический лист'!$I:$J,2,1)-VLOOKUP($AO118,'Технический лист'!$I:$J,2,1)),1+(1-$AU118))</f>
        <v/>
      </c>
      <c r="CF118" s="172">
        <f>MIN(IF($AU118=100%,1,1+VLOOKUP(($AJ118-$AI118-$AH118-$AG118-$AF118-$AE118*(1+CF$3))/$AJ118,'Технический лист'!$I:$J,2,1)-VLOOKUP($AO118,'Технический лист'!$I:$J,2,1)),1+(1-$AU118))</f>
        <v/>
      </c>
      <c r="CG118" s="172">
        <f>MIN(IF($AU118=100%,1,1+VLOOKUP(($AJ118-$AI118-$AH118-$AG118-$AF118-$AE118*(1+CG$3))/$AJ118,'Технический лист'!$I:$J,2,1)-VLOOKUP($AO118,'Технический лист'!$I:$J,2,1)),1+(1-$AU118))</f>
        <v/>
      </c>
      <c r="CH118" s="172">
        <f>MIN(IF($AU118=100%,1,1+VLOOKUP(($AJ118-$AI118-$AH118-$AG118-$AF118-$AE118*(1+CH$3))/$AJ118,'Технический лист'!$I:$J,2,1)-VLOOKUP($AO118,'Технический лист'!$I:$J,2,1)),1+(1-$AU118))</f>
        <v/>
      </c>
      <c r="CI118" s="172">
        <f>MIN(IF($AU118=100%,1,1+VLOOKUP(($AJ118-$AI118-$AH118-$AG118-$AF118-$AE118*(1+CI$3))/$AJ118,'Технический лист'!$I:$J,2,1)-VLOOKUP($AO118,'Технический лист'!$I:$J,2,1)),1+(1-$AU118))</f>
        <v/>
      </c>
      <c r="CJ118" s="172">
        <f>MIN(IF($AU118=100%,1,1+VLOOKUP(($AJ118-$AI118-$AH118-$AG118-$AF118-$AE118*(1+CJ$3))/$AJ118,'Технический лист'!$I:$J,2,1)-VLOOKUP($AO118,'Технический лист'!$I:$J,2,1)),1+(1-$AU118))</f>
        <v/>
      </c>
      <c r="CK118" s="172">
        <f>MIN(IF($AU118=100%,1,1+VLOOKUP(($AJ118-$AI118-$AH118-$AG118-$AF118-$AE118*(1+CK$3))/$AJ118,'Технический лист'!$I:$J,2,1)-VLOOKUP($AO118,'Технический лист'!$I:$J,2,1)),1+(1-$AU118))</f>
        <v/>
      </c>
      <c r="CL118" s="172">
        <f>MIN(IF($AU118=100%,1,1+VLOOKUP(($AJ118-$AI118-$AH118-$AG118-$AF118-$AE118*(1+CL$3))/$AJ118,'Технический лист'!$I:$J,2,1)-VLOOKUP($AO118,'Технический лист'!$I:$J,2,1)),1+(1-$AU118))</f>
        <v/>
      </c>
      <c r="CM118" s="172">
        <f>MIN(IF($AU118=100%,1,1+VLOOKUP(($AJ118-$AI118-$AH118-$AG118-$AF118-$AE118*(1+CM$3))/$AJ118,'Технический лист'!$I:$J,2,1)-VLOOKUP($AO118,'Технический лист'!$I:$J,2,1)),1+(1-$AU118))</f>
        <v/>
      </c>
      <c r="CN118" s="172">
        <f>MIN(IF($AU118=100%,1,1+VLOOKUP(($AJ118-$AI118-$AH118-$AG118-$AF118-$AE118*(1+CN$3))/$AJ118,'Технический лист'!$I:$J,2,1)-VLOOKUP($AO118,'Технический лист'!$I:$J,2,1)),1+(1-$AU118))</f>
        <v/>
      </c>
      <c r="CO118" s="172">
        <f>MIN(IF($AU118=100%,1,1+VLOOKUP(($AJ118-$AI118-$AH118-$AG118-$AF118-$AE118*(1+CO$3))/$AJ118,'Технический лист'!$I:$J,2,1)-VLOOKUP($AO118,'Технический лист'!$I:$J,2,1)),1+(1-$AU118))</f>
        <v/>
      </c>
      <c r="CP118" s="172">
        <f>MIN(IF($AU118=100%,1,1+VLOOKUP(($AJ118-$AI118-$AH118-$AG118-$AF118-$AE118*(1+CP$3))/$AJ118,'Технический лист'!$I:$J,2,1)-VLOOKUP($AO118,'Технический лист'!$I:$J,2,1)),1+(1-$AU118))</f>
        <v/>
      </c>
      <c r="CQ118" s="172">
        <f>MIN(IF($AU118=100%,1,1+VLOOKUP(($AJ118-$AI118-$AH118-$AG118-$AF118-$AE118*(1+CQ$3))/$AJ118,'Технический лист'!$I:$J,2,1)-VLOOKUP($AO118,'Технический лист'!$I:$J,2,1)),1+(1-$AU118))</f>
        <v/>
      </c>
      <c r="CR118" s="172">
        <f>MIN(IF($AU118=100%,1,1+VLOOKUP(($AJ118-$AI118-$AH118-$AG118-$AF118-$AE118*(1+CR$3))/$AJ118,'Технический лист'!$I:$J,2,1)-VLOOKUP($AO118,'Технический лист'!$I:$J,2,1)),1+(1-$AU118))</f>
        <v/>
      </c>
      <c r="CS118" s="172">
        <f>MIN(IF($AU118=100%,1,1+VLOOKUP(($AJ118-$AI118-$AH118-$AG118-$AF118-$AE118*(1+CS$3))/$AJ118,'Технический лист'!$I:$J,2,1)-VLOOKUP($AO118,'Технический лист'!$I:$J,2,1)),1+(1-$AU118))</f>
        <v/>
      </c>
      <c r="CT118" s="172">
        <f>MIN(IF($AU118=100%,1,1+VLOOKUP(($AJ118-$AI118-$AH118-$AG118-$AF118-$AE118*(1+CT$3))/$AJ118,'Технический лист'!$I:$J,2,1)-VLOOKUP($AO118,'Технический лист'!$I:$J,2,1)),1+(1-$AU118))</f>
        <v/>
      </c>
      <c r="CU118" s="172">
        <f>MIN(IF($AU118=100%,1,1+VLOOKUP(($AJ118-$AI118-$AH118-$AG118-$AF118-$AE118*(1+CU$3))/$AJ118,'Технический лист'!$I:$J,2,1)-VLOOKUP($AO118,'Технический лист'!$I:$J,2,1)),1+(1-$AU118))</f>
        <v/>
      </c>
      <c r="CV118" s="172">
        <f>MIN(IF($AU118=100%,1,1+VLOOKUP(($AJ118-$AI118-$AH118-$AG118-$AF118-$AE118*(1+CV$3))/$AJ118,'Технический лист'!$I:$J,2,1)-VLOOKUP($AO118,'Технический лист'!$I:$J,2,1)),1+(1-$AU118))</f>
        <v/>
      </c>
      <c r="CW118" s="172">
        <f>MIN(IF($AU118=100%,1,1+VLOOKUP(($AJ118-$AI118-$AH118-$AG118-$AF118-$AE118*(1+CW$3))/$AJ118,'Технический лист'!$I:$J,2,1)-VLOOKUP($AO118,'Технический лист'!$I:$J,2,1)),1+(1-$AU118))</f>
        <v/>
      </c>
      <c r="CX118" s="172">
        <f>MIN(IF($AU118=100%,1,1+VLOOKUP(($AJ118-$AI118-$AH118-$AG118-$AF118-$AE118*(1+CX$3))/$AJ118,'Технический лист'!$I:$J,2,1)-VLOOKUP($AO118,'Технический лист'!$I:$J,2,1)),1+(1-$AU118))</f>
        <v/>
      </c>
      <c r="CY118" s="172">
        <f>MIN(IF($AU118=100%,1,1+VLOOKUP(($AJ118-$AI118-$AH118-$AG118-$AF118-$AE118*(1+CY$3))/$AJ118,'Технический лист'!$I:$J,2,1)-VLOOKUP($AO118,'Технический лист'!$I:$J,2,1)),1+(1-$AU118))</f>
        <v/>
      </c>
      <c r="CZ118" s="172">
        <f>MIN(IF($AU118=100%,1,1+VLOOKUP(($AJ118-$AI118-$AH118-$AG118-$AF118-$AE118*(1+CZ$3))/$AJ118,'Технический лист'!$I:$J,2,1)-VLOOKUP($AO118,'Технический лист'!$I:$J,2,1)),1+(1-$AU118))</f>
        <v/>
      </c>
      <c r="DA118" s="172">
        <f>MIN(IF($AU118=100%,1,1+VLOOKUP(($AJ118-$AI118-$AH118-$AG118-$AF118-$AE118*(1+DA$3))/$AJ118,'Технический лист'!$I:$J,2,1)-VLOOKUP($AO118,'Технический лист'!$I:$J,2,1)),1+(1-$AU118))</f>
        <v/>
      </c>
      <c r="DB118" s="172">
        <f>MIN(IF($AU118=100%,1,1+VLOOKUP(($AJ118-$AI118-$AH118-$AG118-$AF118-$AE118*(1+DB$3))/$AJ118,'Технический лист'!$I:$J,2,1)-VLOOKUP($AO118,'Технический лист'!$I:$J,2,1)),1+(1-$AU118))</f>
        <v/>
      </c>
      <c r="DC118" s="172">
        <f>MIN(IF($AU118=100%,1,1+VLOOKUP(($AJ118-$AI118-$AH118-$AG118-$AF118-$AE118*(1+DC$3))/$AJ118,'Технический лист'!$I:$J,2,1)-VLOOKUP($AO118,'Технический лист'!$I:$J,2,1)),1+(1-$AU118))</f>
        <v/>
      </c>
      <c r="DD118" s="172">
        <f>MIN(IF($AU118=100%,1,1+VLOOKUP(($AJ118-$AI118-$AH118-$AG118-$AF118-$AE118*(1+DD$3))/$AJ118,'Технический лист'!$I:$J,2,1)-VLOOKUP($AO118,'Технический лист'!$I:$J,2,1)),1+(1-$AU118))</f>
        <v/>
      </c>
      <c r="DE118" s="172">
        <f>MIN(IF($AU118=100%,1,1+VLOOKUP(($AJ118-$AI118-$AH118-$AG118-$AF118-$AE118*(1+DE$3))/$AJ118,'Технический лист'!$I:$J,2,1)-VLOOKUP($AO118,'Технический лист'!$I:$J,2,1)),1+(1-$AU118))</f>
        <v/>
      </c>
      <c r="DF118" s="172">
        <f>MIN(IF($AU118=100%,1,1+VLOOKUP(($AJ118-$AI118-$AH118-$AG118-$AF118-$AE118*(1+DF$3))/$AJ118,'Технический лист'!$I:$J,2,1)-VLOOKUP($AO118,'Технический лист'!$I:$J,2,1)),1+(1-$AU118))</f>
        <v/>
      </c>
      <c r="DG118" s="172">
        <f>MIN(IF($AU118=100%,1,1+VLOOKUP(($AJ118-$AI118-$AH118-$AG118-$AF118-$AE118*(1+DG$3))/$AJ118,'Технический лист'!$I:$J,2,1)-VLOOKUP($AO118,'Технический лист'!$I:$J,2,1)),1+(1-$AU118))</f>
        <v/>
      </c>
      <c r="DH118" s="172">
        <f>MIN(IF($AU118=100%,1,1+VLOOKUP(($AJ118-$AI118-$AH118-$AG118-$AF118-$AE118*(1+DH$3))/$AJ118,'Технический лист'!$I:$J,2,1)-VLOOKUP($AO118,'Технический лист'!$I:$J,2,1)),1+(1-$AU118))</f>
        <v/>
      </c>
      <c r="DI118" s="172">
        <f>MIN(IF($AU118=100%,1,1+VLOOKUP(($AJ118-$AI118-$AH118-$AG118-$AF118-$AE118*(1+DI$3))/$AJ118,'Технический лист'!$I:$J,2,1)-VLOOKUP($AO118,'Технический лист'!$I:$J,2,1)),1+(1-$AU118))</f>
        <v/>
      </c>
      <c r="DJ118" s="172">
        <f>MIN(IF($AU118=100%,1,1+VLOOKUP(($AJ118-$AI118-$AH118-$AG118-$AF118-$AE118*(1+DJ$3))/$AJ118,'Технический лист'!$I:$J,2,1)-VLOOKUP($AO118,'Технический лист'!$I:$J,2,1)),1+(1-$AU118))</f>
        <v/>
      </c>
      <c r="DK118" s="172">
        <f>MIN(IF($AU118=100%,1,1+VLOOKUP(($AJ118-$AI118-$AH118-$AG118-$AF118-$AE118*(1+DK$3))/$AJ118,'Технический лист'!$I:$J,2,1)-VLOOKUP($AO118,'Технический лист'!$I:$J,2,1)),1+(1-$AU118))</f>
        <v/>
      </c>
      <c r="DL118" s="172">
        <f>MIN(IF($AU118=100%,1,1+VLOOKUP(($AJ118-$AI118-$AH118-$AG118-$AF118-$AE118*(1+DL$3))/$AJ118,'Технический лист'!$I:$J,2,1)-VLOOKUP($AO118,'Технический лист'!$I:$J,2,1)),1+(1-$AU118))</f>
        <v/>
      </c>
      <c r="DM118" s="172">
        <f>MIN(IF($AU118=100%,1,1+VLOOKUP(($AJ118-$AI118-$AH118-$AG118-$AF118-$AE118*(1+DM$3))/$AJ118,'Технический лист'!$I:$J,2,1)-VLOOKUP($AO118,'Технический лист'!$I:$J,2,1)),1+(1-$AU118))</f>
        <v/>
      </c>
      <c r="DN118" s="172">
        <f>MIN(IF($AU118=100%,1,1+VLOOKUP(($AJ118-$AI118-$AH118-$AG118-$AF118-$AE118*(1+DN$3))/$AJ118,'Технический лист'!$I:$J,2,1)-VLOOKUP($AO118,'Технический лист'!$I:$J,2,1)),1+(1-$AU118))</f>
        <v/>
      </c>
      <c r="DO118" s="172">
        <f>MIN(IF($AU118=100%,1,1+VLOOKUP(($AJ118-$AI118-$AH118-$AG118-$AF118-$AE118*(1+DO$3))/$AJ118,'Технический лист'!$I:$J,2,1)-VLOOKUP($AO118,'Технический лист'!$I:$J,2,1)),1+(1-$AU118))</f>
        <v/>
      </c>
      <c r="DP118" s="172">
        <f>MIN(IF($AU118=100%,1,1+VLOOKUP(($AJ118-$AI118-$AH118-$AG118-$AF118-$AE118*(1+DP$3))/$AJ118,'Технический лист'!$I:$J,2,1)-VLOOKUP($AO118,'Технический лист'!$I:$J,2,1)),1+(1-$AU118))</f>
        <v/>
      </c>
      <c r="DQ118" s="172">
        <f>MIN(IF($AU118=100%,1,1+VLOOKUP(($AJ118-$AI118-$AH118-$AG118-$AF118-$AE118*(1+DQ$3))/$AJ118,'Технический лист'!$I:$J,2,1)-VLOOKUP($AO118,'Технический лист'!$I:$J,2,1)),1+(1-$AU118))</f>
        <v/>
      </c>
      <c r="DR118" s="172">
        <f>MIN(IF($AU118=100%,1,1+VLOOKUP(($AJ118-$AI118-$AH118-$AG118-$AF118-$AE118*(1+DR$3))/$AJ118,'Технический лист'!$I:$J,2,1)-VLOOKUP($AO118,'Технический лист'!$I:$J,2,1)),1+(1-$AU118))</f>
        <v/>
      </c>
      <c r="DS118" s="172">
        <f>MIN(IF($AU118=100%,1,1+VLOOKUP(($AJ118-$AI118-$AH118-$AG118-$AF118-$AE118*(1+DS$3))/$AJ118,'Технический лист'!$I:$J,2,1)-VLOOKUP($AO118,'Технический лист'!$I:$J,2,1)),1+(1-$AU118))</f>
        <v/>
      </c>
      <c r="DT118" s="172">
        <f>MIN(IF($AU118=100%,1,1+VLOOKUP(($AJ118-$AI118-$AH118-$AG118-$AF118-$AE118*(1+DT$3))/$AJ118,'Технический лист'!$I:$J,2,1)-VLOOKUP($AO118,'Технический лист'!$I:$J,2,1)),1+(1-$AU118))</f>
        <v/>
      </c>
      <c r="DU118" s="172">
        <f>MIN(IF($AU118=100%,1,1+VLOOKUP(($AJ118-$AI118-$AH118-$AG118-$AF118-$AE118*(1+DU$3))/$AJ118,'Технический лист'!$I:$J,2,1)-VLOOKUP($AO118,'Технический лист'!$I:$J,2,1)),1+(1-$AU118))</f>
        <v/>
      </c>
      <c r="DV118" s="172">
        <f>MIN(IF($AU118=100%,1,1+VLOOKUP(($AJ118-$AI118-$AH118-$AG118-$AF118-$AE118*(1+DV$3))/$AJ118,'Технический лист'!$I:$J,2,1)-VLOOKUP($AO118,'Технический лист'!$I:$J,2,1)),1+(1-$AU118))</f>
        <v/>
      </c>
      <c r="DW118" s="172">
        <f>MIN(IF($AU118=100%,1,1+VLOOKUP(($AJ118-$AI118-$AH118-$AG118-$AF118-$AE118*(1+DW$3))/$AJ118,'Технический лист'!$I:$J,2,1)-VLOOKUP($AO118,'Технический лист'!$I:$J,2,1)),1+(1-$AU118))</f>
        <v/>
      </c>
      <c r="DX118" s="172">
        <f>MIN(IF($AU118=100%,1,1+VLOOKUP(($AJ118-$AI118-$AH118-$AG118-$AF118-$AE118*(1+DX$3))/$AJ118,'Технический лист'!$I:$J,2,1)-VLOOKUP($AO118,'Технический лист'!$I:$J,2,1)),1+(1-$AU118))</f>
        <v/>
      </c>
      <c r="DY118" s="172">
        <f>MIN(IF($AU118=100%,1,1+VLOOKUP(($AJ118-$AI118-$AH118-$AG118-$AF118-$AE118*(1+DY$3))/$AJ118,'Технический лист'!$I:$J,2,1)-VLOOKUP($AO118,'Технический лист'!$I:$J,2,1)),1+(1-$AU118))</f>
        <v/>
      </c>
      <c r="DZ118" s="172">
        <f>MIN(IF($AU118=100%,1,1+VLOOKUP(($AJ118-$AI118-$AH118-$AG118-$AF118-$AE118*(1+DZ$3))/$AJ118,'Технический лист'!$I:$J,2,1)-VLOOKUP($AO118,'Технический лист'!$I:$J,2,1)),1+(1-$AU118))</f>
        <v/>
      </c>
      <c r="EA118" s="172">
        <f>MIN(IF($AU118=100%,1,1+VLOOKUP(($AJ118-$AI118-$AH118-$AG118-$AF118-$AE118*(1+EA$3))/$AJ118,'Технический лист'!$I:$J,2,1)-VLOOKUP($AO118,'Технический лист'!$I:$J,2,1)),1+(1-$AU118))</f>
        <v/>
      </c>
      <c r="EB118" s="172">
        <f>MIN(IF($AU118=100%,1,1+VLOOKUP(($AJ118-$AI118-$AH118-$AG118-$AF118-$AE118*(1+EB$3))/$AJ118,'Технический лист'!$I:$J,2,1)-VLOOKUP($AO118,'Технический лист'!$I:$J,2,1)),1+(1-$AU118))</f>
        <v/>
      </c>
      <c r="EC118" s="172">
        <f>MIN(IF($AU118=100%,1,1+VLOOKUP(($AJ118-$AI118-$AH118-$AG118-$AF118-$AE118*(1+EC$3))/$AJ118,'Технический лист'!$I:$J,2,1)-VLOOKUP($AO118,'Технический лист'!$I:$J,2,1)),1+(1-$AU118))</f>
        <v/>
      </c>
      <c r="ED118" s="172">
        <f>MIN(IF($AU118=100%,1,1+VLOOKUP(($AJ118-$AI118-$AH118-$AG118-$AF118-$AE118*(1+ED$3))/$AJ118,'Технический лист'!$I:$J,2,1)-VLOOKUP($AO118,'Технический лист'!$I:$J,2,1)),1+(1-$AU118))</f>
        <v/>
      </c>
      <c r="EE118" s="172">
        <f>MIN(IF($AU118=100%,1,1+VLOOKUP(($AJ118-$AI118-$AH118-$AG118-$AF118-$AE118*(1+EE$3))/$AJ118,'Технический лист'!$I:$J,2,1)-VLOOKUP($AO118,'Технический лист'!$I:$J,2,1)),1+(1-$AU118))</f>
        <v/>
      </c>
      <c r="EF118" s="172">
        <f>MIN(IF($AU118=100%,1,1+VLOOKUP(($AJ118-$AI118-$AH118-$AG118-$AF118-$AE118*(1+EF$3))/$AJ118,'Технический лист'!$I:$J,2,1)-VLOOKUP($AO118,'Технический лист'!$I:$J,2,1)),1+(1-$AU118))</f>
        <v/>
      </c>
      <c r="EG118" s="172">
        <f>MIN(IF($AU118=100%,1,1+VLOOKUP(($AJ118-$AI118-$AH118-$AG118-$AF118-$AE118*(1+EG$3))/$AJ118,'Технический лист'!$I:$J,2,1)-VLOOKUP($AO118,'Технический лист'!$I:$J,2,1)),1+(1-$AU118))</f>
        <v/>
      </c>
      <c r="EH118" s="172">
        <f>MIN(IF($AU118=100%,1,1+VLOOKUP(($AJ118-$AI118-$AH118-$AG118-$AF118-$AE118*(1+EH$3))/$AJ118,'Технический лист'!$I:$J,2,1)-VLOOKUP($AO118,'Технический лист'!$I:$J,2,1)),1+(1-$AU118))</f>
        <v/>
      </c>
      <c r="EI118" s="172">
        <f>MIN(IF($AU118=100%,1,1+VLOOKUP(($AJ118-$AI118-$AH118-$AG118-$AF118-$AE118*(1+EI$3))/$AJ118,'Технический лист'!$I:$J,2,1)-VLOOKUP($AO118,'Технический лист'!$I:$J,2,1)),1+(1-$AU118))</f>
        <v/>
      </c>
      <c r="EJ118" s="172">
        <f>MIN(IF($AU118=100%,1,1+VLOOKUP(($AJ118-$AI118-$AH118-$AG118-$AF118-$AE118*(1+EJ$3))/$AJ118,'Технический лист'!$I:$J,2,1)-VLOOKUP($AO118,'Технический лист'!$I:$J,2,1)),1+(1-$AU118))</f>
        <v/>
      </c>
      <c r="EK118" s="172">
        <f>MIN(IF($AU118=100%,1,1+VLOOKUP(($AJ118-$AI118-$AH118-$AG118-$AF118-$AE118*(1+EK$3))/$AJ118,'Технический лист'!$I:$J,2,1)-VLOOKUP($AO118,'Технический лист'!$I:$J,2,1)),1+(1-$AU118))</f>
        <v/>
      </c>
      <c r="EL118" s="172">
        <f>MIN(IF($AU118=100%,1,1+VLOOKUP(($AJ118-$AI118-$AH118-$AG118-$AF118-$AE118*(1+EL$3))/$AJ118,'Технический лист'!$I:$J,2,1)-VLOOKUP($AO118,'Технический лист'!$I:$J,2,1)),1+(1-$AU118))</f>
        <v/>
      </c>
      <c r="EM118" s="172">
        <f>MIN(IF($AU118=100%,1,1+VLOOKUP(($AJ118-$AI118-$AH118-$AG118-$AF118-$AE118*(1+EM$3))/$AJ118,'Технический лист'!$I:$J,2,1)-VLOOKUP($AO118,'Технический лист'!$I:$J,2,1)),1+(1-$AU118))</f>
        <v/>
      </c>
      <c r="EN118" s="172">
        <f>MIN(IF($AU118=100%,1,1+VLOOKUP(($AJ118-$AI118-$AH118-$AG118-$AF118-$AE118*(1+EN$3))/$AJ118,'Технический лист'!$I:$J,2,1)-VLOOKUP($AO118,'Технический лист'!$I:$J,2,1)),1+(1-$AU118))</f>
        <v/>
      </c>
      <c r="EO118" s="172">
        <f>MIN(IF($AU118=100%,1,1+VLOOKUP(($AJ118-$AI118-$AH118-$AG118-$AF118-$AE118*(1+EO$3))/$AJ118,'Технический лист'!$I:$J,2,1)-VLOOKUP($AO118,'Технический лист'!$I:$J,2,1)),1+(1-$AU118))</f>
        <v/>
      </c>
      <c r="EP118" s="172">
        <f>MIN(IF($AU118=100%,1,1+VLOOKUP(($AJ118-$AI118-$AH118-$AG118-$AF118-$AE118*(1+EP$3))/$AJ118,'Технический лист'!$I:$J,2,1)-VLOOKUP($AO118,'Технический лист'!$I:$J,2,1)),1+(1-$AU118))</f>
        <v/>
      </c>
      <c r="EQ118" s="172">
        <f>MIN(IF($AU118=100%,1,1+VLOOKUP(($AJ118-$AI118-$AH118-$AG118-$AF118-$AE118*(1+EQ$3))/$AJ118,'Технический лист'!$I:$J,2,1)-VLOOKUP($AO118,'Технический лист'!$I:$J,2,1)),1+(1-$AU118))</f>
        <v/>
      </c>
      <c r="ER118" s="172">
        <f>MIN(IF($AU118=100%,1,1+VLOOKUP(($AJ118-$AI118-$AH118-$AG118-$AF118-$AE118*(1+ER$3))/$AJ118,'Технический лист'!$I:$J,2,1)-VLOOKUP($AO118,'Технический лист'!$I:$J,2,1)),1+(1-$AU118))</f>
        <v/>
      </c>
      <c r="ES118" s="172">
        <f>MIN(IF($AU118=100%,1,1+VLOOKUP(($AJ118-$AI118-$AH118-$AG118-$AF118-$AE118*(1+ES$3))/$AJ118,'Технический лист'!$I:$J,2,1)-VLOOKUP($AO118,'Технический лист'!$I:$J,2,1)),1+(1-$AU118))</f>
        <v/>
      </c>
      <c r="ET118" s="172">
        <f>MIN(IF($AU118=100%,1,1+VLOOKUP(($AJ118-$AI118-$AH118-$AG118-$AF118-$AE118*(1+ET$3))/$AJ118,'Технический лист'!$I:$J,2,1)-VLOOKUP($AO118,'Технический лист'!$I:$J,2,1)),1+(1-$AU118))</f>
        <v/>
      </c>
      <c r="EU118" s="172">
        <f>MIN(IF($AU118=100%,1,1+VLOOKUP(($AJ118-$AI118-$AH118-$AG118-$AF118-$AE118*(1+EU$3))/$AJ118,'Технический лист'!$I:$J,2,1)-VLOOKUP($AO118,'Технический лист'!$I:$J,2,1)),1+(1-$AU118))</f>
        <v/>
      </c>
      <c r="EV118" s="173" t="n">
        <v>1</v>
      </c>
      <c r="EW118" s="172">
        <f>MIN(1,MAX(VLOOKUP(($AJ118-$AI118-$AH118-$AG118-$AF118-$AE118*(1+EW$3))/$AJ118,'Технический лист'!$A:$B,2,1),(EV118-0.05)))</f>
        <v/>
      </c>
      <c r="EX118" s="172">
        <f>MIN(1,MAX(VLOOKUP(($AJ118-$AI118-$AH118-$AG118-$AF118-$AE118*(1+EX$3))/$AJ118,'Технический лист'!$A:$B,2,1),(EW118-0.05)))</f>
        <v/>
      </c>
      <c r="EY118" s="172">
        <f>MIN(1,MAX(VLOOKUP(($AJ118-$AI118-$AH118-$AG118-$AF118-$AE118*(1+EY$3))/$AJ118,'Технический лист'!$A:$B,2,1),(EX118-0.05)))</f>
        <v/>
      </c>
      <c r="EZ118" s="172">
        <f>MIN(1,MAX(VLOOKUP(($AJ118-$AI118-$AH118-$AG118-$AF118-$AE118*(1+EZ$3))/$AJ118,'Технический лист'!$A:$B,2,1),(EY118-0.05)))</f>
        <v/>
      </c>
      <c r="FA118" s="172">
        <f>MIN(1,MAX(VLOOKUP(($AJ118-$AI118-$AH118-$AG118-$AF118-$AE118*(1+FA$3))/$AJ118,'Технический лист'!$A:$B,2,1),(EZ118-0.05)))</f>
        <v/>
      </c>
      <c r="FB118" s="172">
        <f>MIN(1,MAX(VLOOKUP(($AJ118-$AI118-$AH118-$AG118-$AF118-$AE118*(1+FB$3))/$AJ118,'Технический лист'!$A:$B,2,1),(FA118-0.05)))</f>
        <v/>
      </c>
      <c r="FC118" s="172">
        <f>MIN(1,MAX(VLOOKUP(($AJ118-$AI118-$AH118-$AG118-$AF118-$AE118*(1+FC$3))/$AJ118,'Технический лист'!$A:$B,2,1),(FB118-0.05)))</f>
        <v/>
      </c>
      <c r="FD118" s="172">
        <f>MIN(1,MAX(VLOOKUP(($AJ118-$AI118-$AH118-$AG118-$AF118-$AE118*(1+FD$3))/$AJ118,'Технический лист'!$A:$B,2,1),(FC118-0.05)))</f>
        <v/>
      </c>
      <c r="FE118" s="172">
        <f>MIN(1,MAX(VLOOKUP(($AJ118-$AI118-$AH118-$AG118-$AF118-$AE118*(1+FE$3))/$AJ118,'Технический лист'!$A:$B,2,1),(FD118-0.05)))</f>
        <v/>
      </c>
      <c r="FF118" s="172">
        <f>MIN(1,MAX(VLOOKUP(($AJ118-$AI118-$AH118-$AG118-$AF118-$AE118*(1+FF$3))/$AJ118,'Технический лист'!$A:$B,2,1),(FE118-0.05)))</f>
        <v/>
      </c>
      <c r="FG118" s="172">
        <f>MIN(1,MAX(VLOOKUP(($AJ118-$AI118-$AH118-$AG118-$AF118-$AE118*(1+FG$3))/$AJ118,'Технический лист'!$A:$B,2,1),(FF118-0.05)))</f>
        <v/>
      </c>
      <c r="FH118" s="172">
        <f>MIN(1,MAX(VLOOKUP(($AJ118-$AI118-$AH118-$AG118-$AF118-$AE118*(1+FH$3))/$AJ118,'Технический лист'!$A:$B,2,1),(FG118-0.05)))</f>
        <v/>
      </c>
      <c r="FI118" s="172">
        <f>MIN(1,MAX(VLOOKUP(($AJ118-$AI118-$AH118-$AG118-$AF118-$AE118*(1+FI$3))/$AJ118,'Технический лист'!$A:$B,2,1),(FH118-0.05)))</f>
        <v/>
      </c>
      <c r="FJ118" s="172">
        <f>MIN(1,MAX(VLOOKUP(($AJ118-$AI118-$AH118-$AG118-$AF118-$AE118*(1+FJ$3))/$AJ118,'Технический лист'!$A:$B,2,1),(FI118-0.05)))</f>
        <v/>
      </c>
      <c r="FK118" s="172">
        <f>MIN(1,MAX(VLOOKUP(($AJ118-$AI118-$AH118-$AG118-$AF118-$AE118*(1+FK$3))/$AJ118,'Технический лист'!$A:$B,2,1),(FJ118-0.05)))</f>
        <v/>
      </c>
      <c r="FL118" s="172">
        <f>MIN(1,MAX(VLOOKUP(($AJ118-$AI118-$AH118-$AG118-$AF118-$AE118*(1+FL$3))/$AJ118,'Технический лист'!$A:$B,2,1),(FK118-0.05)))</f>
        <v/>
      </c>
      <c r="FM118" s="172">
        <f>MIN(1,MAX(VLOOKUP(($AJ118-$AI118-$AH118-$AG118-$AF118-$AE118*(1+FM$3))/$AJ118,'Технический лист'!$A:$B,2,1),(FL118-0.05)))</f>
        <v/>
      </c>
      <c r="FN118" s="172">
        <f>MIN(1,MAX(VLOOKUP(($AJ118-$AI118-$AH118-$AG118-$AF118-$AE118*(1+FN$3))/$AJ118,'Технический лист'!$A:$B,2,1),(FM118-0.05)))</f>
        <v/>
      </c>
      <c r="FO118" s="172">
        <f>MIN(1,MAX(VLOOKUP(($AJ118-$AI118-$AH118-$AG118-$AF118-$AE118*(1+FO$3))/$AJ118,'Технический лист'!$A:$B,2,1),(FN118-0.05)))</f>
        <v/>
      </c>
      <c r="FP118" s="172">
        <f>MIN(1,MAX(VLOOKUP(($AJ118-$AI118-$AH118-$AG118-$AF118-$AE118*(1+FP$3))/$AJ118,'Технический лист'!$A:$B,2,1),(FO118-0.05)))</f>
        <v/>
      </c>
      <c r="FQ118" s="172">
        <f>MIN(1,MAX(VLOOKUP(($AJ118-$AI118-$AH118-$AG118-$AF118-$AE118*(1+FQ$3))/$AJ118,'Технический лист'!$A:$B,2,1),(FP118-0.05)))</f>
        <v/>
      </c>
      <c r="FR118" s="172">
        <f>MIN(1,MAX(VLOOKUP(($AJ118-$AI118-$AH118-$AG118-$AF118-$AE118*(1+FR$3))/$AJ118,'Технический лист'!$A:$B,2,1),(FQ118-0.05)))</f>
        <v/>
      </c>
      <c r="FS118" s="172">
        <f>MIN(1,MAX(VLOOKUP(($AJ118-$AI118-$AH118-$AG118-$AF118-$AE118*(1+FS$3))/$AJ118,'Технический лист'!$A:$B,2,1),(FR118-0.05)))</f>
        <v/>
      </c>
      <c r="FT118" s="172">
        <f>MIN(1,MAX(VLOOKUP(($AJ118-$AI118-$AH118-$AG118-$AF118-$AE118*(1+FT$3))/$AJ118,'Технический лист'!$A:$B,2,1),(FS118-0.05)))</f>
        <v/>
      </c>
      <c r="FU118" s="172">
        <f>MIN(1,MAX(VLOOKUP(($AJ118-$AI118-$AH118-$AG118-$AF118-$AE118*(1+FU$3))/$AJ118,'Технический лист'!$A:$B,2,1),(FT118-0.05)))</f>
        <v/>
      </c>
      <c r="FV118" s="172">
        <f>MIN(1,MAX(VLOOKUP(($AJ118-$AI118-$AH118-$AG118-$AF118-$AE118*(1+FV$3))/$AJ118,'Технический лист'!$A:$B,2,1),(FU118-0.05)))</f>
        <v/>
      </c>
      <c r="FW118" s="172">
        <f>MIN(1,MAX(VLOOKUP(($AJ118-$AI118-$AH118-$AG118-$AF118-$AE118*(1+FW$3))/$AJ118,'Технический лист'!$A:$B,2,1),(FV118-0.05)))</f>
        <v/>
      </c>
      <c r="FX118" s="172">
        <f>MIN(1,MAX(VLOOKUP(($AJ118-$AI118-$AH118-$AG118-$AF118-$AE118*(1+FX$3))/$AJ118,'Технический лист'!$A:$B,2,1),(FW118-0.05)))</f>
        <v/>
      </c>
      <c r="FY118" s="172">
        <f>MIN(1,MAX(VLOOKUP(($AJ118-$AI118-$AH118-$AG118-$AF118-$AE118*(1+FY$3))/$AJ118,'Технический лист'!$A:$B,2,1),(FX118-0.05)))</f>
        <v/>
      </c>
      <c r="FZ118" s="172">
        <f>MIN(1,MAX(VLOOKUP(($AJ118-$AI118-$AH118-$AG118-$AF118-$AE118*(1+FZ$3))/$AJ118,'Технический лист'!$A:$B,2,1),(FY118-0.05)))</f>
        <v/>
      </c>
      <c r="GA118" s="172">
        <f>MIN(1,MAX(VLOOKUP(($AJ118-$AI118-$AH118-$AG118-$AF118-$AE118*(1+GA$3))/$AJ118,'Технический лист'!$A:$B,2,1),(FZ118-0.05)))</f>
        <v/>
      </c>
      <c r="GB118" s="172">
        <f>MIN(1,MAX(VLOOKUP(($AJ118-$AI118-$AH118-$AG118-$AF118-$AE118*(1+GB$3))/$AJ118,'Технический лист'!$A:$B,2,1),(GA118-0.05)))</f>
        <v/>
      </c>
      <c r="GC118" s="172">
        <f>MIN(1,MAX(VLOOKUP(($AJ118-$AI118-$AH118-$AG118-$AF118-$AE118*(1+GC$3))/$AJ118,'Технический лист'!$A:$B,2,1),(GB118-0.05)))</f>
        <v/>
      </c>
      <c r="GD118" s="172">
        <f>MIN(1,MAX(VLOOKUP(($AJ118-$AI118-$AH118-$AG118-$AF118-$AE118*(1+GD$3))/$AJ118,'Технический лист'!$A:$B,2,1),(GC118-0.05)))</f>
        <v/>
      </c>
      <c r="GE118" s="172">
        <f>MIN(1,MAX(VLOOKUP(($AJ118-$AI118-$AH118-$AG118-$AF118-$AE118*(1+GE$3))/$AJ118,'Технический лист'!$A:$B,2,1),(GD118-0.05)))</f>
        <v/>
      </c>
      <c r="GF118" s="172">
        <f>MIN(1,MAX(VLOOKUP(($AJ118-$AI118-$AH118-$AG118-$AF118-$AE118*(1+GF$3))/$AJ118,'Технический лист'!$A:$B,2,1),(GE118-0.05)))</f>
        <v/>
      </c>
      <c r="GG118" s="172">
        <f>MIN(1,MAX(VLOOKUP(($AJ118-$AI118-$AH118-$AG118-$AF118-$AE118*(1+GG$3))/$AJ118,'Технический лист'!$A:$B,2,1),(GF118-0.05)))</f>
        <v/>
      </c>
      <c r="GH118" s="172">
        <f>MIN(1,MAX(VLOOKUP(($AJ118-$AI118-$AH118-$AG118-$AF118-$AE118*(1+GH$3))/$AJ118,'Технический лист'!$A:$B,2,1),(GG118-0.05)))</f>
        <v/>
      </c>
      <c r="GI118" s="172">
        <f>MIN(1,MAX(VLOOKUP(($AJ118-$AI118-$AH118-$AG118-$AF118-$AE118*(1+GI$3))/$AJ118,'Технический лист'!$A:$B,2,1),(GH118-0.05)))</f>
        <v/>
      </c>
      <c r="GJ118" s="172">
        <f>MIN(1,MAX(VLOOKUP(($AJ118-$AI118-$AH118-$AG118-$AF118-$AE118*(1+GJ$3))/$AJ118,'Технический лист'!$A:$B,2,1),(GI118-0.05)))</f>
        <v/>
      </c>
      <c r="GK118" s="172">
        <f>MIN(1,MAX(VLOOKUP(($AJ118-$AI118-$AH118-$AG118-$AF118-$AE118*(1+GK$3))/$AJ118,'Технический лист'!$A:$B,2,1),(GJ118-0.05)))</f>
        <v/>
      </c>
      <c r="GL118" s="172">
        <f>MIN(1,MAX(VLOOKUP(($AJ118-$AI118-$AH118-$AG118-$AF118-$AE118*(1+GL$3))/$AJ118,'Технический лист'!$A:$B,2,1),(GK118-0.05)))</f>
        <v/>
      </c>
      <c r="GM118" s="172">
        <f>MIN(1,MAX(VLOOKUP(($AJ118-$AI118-$AH118-$AG118-$AF118-$AE118*(1+GM$3))/$AJ118,'Технический лист'!$A:$B,2,1),(GL118-0.05)))</f>
        <v/>
      </c>
      <c r="GN118" s="172">
        <f>MIN(1,MAX(VLOOKUP(($AJ118-$AI118-$AH118-$AG118-$AF118-$AE118*(1+GN$3))/$AJ118,'Технический лист'!$A:$B,2,1),(GM118-0.05)))</f>
        <v/>
      </c>
      <c r="GO118" s="172">
        <f>MIN(1,MAX(VLOOKUP(($AJ118-$AI118-$AH118-$AG118-$AF118-$AE118*(1+GO$3))/$AJ118,'Технический лист'!$A:$B,2,1),(GN118-0.05)))</f>
        <v/>
      </c>
      <c r="GP118" s="172">
        <f>MIN(1,MAX(VLOOKUP(($AJ118-$AI118-$AH118-$AG118-$AF118-$AE118*(1+GP$3))/$AJ118,'Технический лист'!$A:$B,2,1),(GO118-0.05)))</f>
        <v/>
      </c>
      <c r="GQ118" s="172">
        <f>MIN(1,MAX(VLOOKUP(($AJ118-$AI118-$AH118-$AG118-$AF118-$AE118*(1+GQ$3))/$AJ118,'Технический лист'!$A:$B,2,1),(GP118-0.05)))</f>
        <v/>
      </c>
      <c r="GR118" s="172">
        <f>MIN(1,MAX(VLOOKUP(($AJ118-$AI118-$AH118-$AG118-$AF118-$AE118*(1+GR$3))/$AJ118,'Технический лист'!$A:$B,2,1),(GQ118-0.05)))</f>
        <v/>
      </c>
      <c r="GS118" s="172">
        <f>MIN(1,MAX(VLOOKUP(($AJ118-$AI118-$AH118-$AG118-$AF118-$AE118*(1+GS$3))/$AJ118,'Технический лист'!$A:$B,2,1),(GR118-0.05)))</f>
        <v/>
      </c>
      <c r="GT118" s="172">
        <f>MIN(1,MAX(VLOOKUP(($AJ118-$AI118-$AH118-$AG118-$AF118-$AE118*(1+GT$3))/$AJ118,'Технический лист'!$A:$B,2,1),(GS118-0.05)))</f>
        <v/>
      </c>
      <c r="GU118" s="172">
        <f>MIN(1,MAX(VLOOKUP(($AJ118-$AI118-$AH118-$AG118-$AF118-$AE118*(1+GU$3))/$AJ118,'Технический лист'!$A:$B,2,1),(GT118-0.05)))</f>
        <v/>
      </c>
      <c r="GV118" s="172">
        <f>MIN(1,MAX(VLOOKUP(($AJ118-$AI118-$AH118-$AG118-$AF118-$AE118*(1+GV$3))/$AJ118,'Технический лист'!$A:$B,2,1),(GU118-0.05)))</f>
        <v/>
      </c>
      <c r="GW118" s="172">
        <f>MIN(1,MAX(VLOOKUP(($AJ118-$AI118-$AH118-$AG118-$AF118-$AE118*(1+GW$3))/$AJ118,'Технический лист'!$A:$B,2,1),(GV118-0.05)))</f>
        <v/>
      </c>
      <c r="GX118" s="172">
        <f>MIN(1,MAX(VLOOKUP(($AJ118-$AI118-$AH118-$AG118-$AF118-$AE118*(1+GX$3))/$AJ118,'Технический лист'!$A:$B,2,1),(GW118-0.05)))</f>
        <v/>
      </c>
      <c r="GY118" s="172">
        <f>MIN(1,MAX(VLOOKUP(($AJ118-$AI118-$AH118-$AG118-$AF118-$AE118*(1+GY$3))/$AJ118,'Технический лист'!$A:$B,2,1),(GX118-0.05)))</f>
        <v/>
      </c>
      <c r="GZ118" s="172">
        <f>MIN(1,MAX(VLOOKUP(($AJ118-$AI118-$AH118-$AG118-$AF118-$AE118*(1+GZ$3))/$AJ118,'Технический лист'!$A:$B,2,1),(GY118-0.05)))</f>
        <v/>
      </c>
      <c r="HA118" s="172">
        <f>MIN(1,MAX(VLOOKUP(($AJ118-$AI118-$AH118-$AG118-$AF118-$AE118*(1+HA$3))/$AJ118,'Технический лист'!$A:$B,2,1),(GZ118-0.05)))</f>
        <v/>
      </c>
      <c r="HB118" s="172">
        <f>MIN(1,MAX(VLOOKUP(($AJ118-$AI118-$AH118-$AG118-$AF118-$AE118*(1+HB$3))/$AJ118,'Технический лист'!$A:$B,2,1),(HA118-0.05)))</f>
        <v/>
      </c>
      <c r="HC118" s="172">
        <f>MIN(1,MAX(VLOOKUP(($AJ118-$AI118-$AH118-$AG118-$AF118-$AE118*(1+HC$3))/$AJ118,'Технический лист'!$A:$B,2,1),(HB118-0.05)))</f>
        <v/>
      </c>
      <c r="HD118" s="172">
        <f>MIN(1,MAX(VLOOKUP(($AJ118-$AI118-$AH118-$AG118-$AF118-$AE118*(1+HD$3))/$AJ118,'Технический лист'!$A:$B,2,1),(HC118-0.05)))</f>
        <v/>
      </c>
      <c r="HE118" s="172">
        <f>MIN(1,MAX(VLOOKUP(($AJ118-$AI118-$AH118-$AG118-$AF118-$AE118*(1+HE$3))/$AJ118,'Технический лист'!$A:$B,2,1),(HD118-0.05)))</f>
        <v/>
      </c>
      <c r="HF118" s="172">
        <f>MIN(1,MAX(VLOOKUP(($AJ118-$AI118-$AH118-$AG118-$AF118-$AE118*(1+HF$3))/$AJ118,'Технический лист'!$A:$B,2,1),(HE118-0.05)))</f>
        <v/>
      </c>
      <c r="HG118" s="172">
        <f>MIN(1,MAX(VLOOKUP(($AJ118-$AI118-$AH118-$AG118-$AF118-$AE118*(1+HG$3))/$AJ118,'Технический лист'!$A:$B,2,1),(HF118-0.05)))</f>
        <v/>
      </c>
      <c r="HH118" s="172">
        <f>MIN(1,MAX(VLOOKUP(($AJ118-$AI118-$AH118-$AG118-$AF118-$AE118*(1+HH$3))/$AJ118,'Технический лист'!$A:$B,2,1),(HG118-0.05)))</f>
        <v/>
      </c>
      <c r="HI118" s="172">
        <f>MIN(1,MAX(VLOOKUP(($AJ118-$AI118-$AH118-$AG118-$AF118-$AE118*(1+HI$3))/$AJ118,'Технический лист'!$A:$B,2,1),(HH118-0.05)))</f>
        <v/>
      </c>
      <c r="HJ118" s="172">
        <f>MIN(1,MAX(VLOOKUP(($AJ118-$AI118-$AH118-$AG118-$AF118-$AE118*(1+HJ$3))/$AJ118,'Технический лист'!$A:$B,2,1),(HI118-0.05)))</f>
        <v/>
      </c>
      <c r="HK118" s="172">
        <f>MIN(1,MAX(VLOOKUP(($AJ118-$AI118-$AH118-$AG118-$AF118-$AE118*(1+HK$3))/$AJ118,'Технический лист'!$A:$B,2,1),(HJ118-0.05)))</f>
        <v/>
      </c>
      <c r="HL118" s="172">
        <f>MIN(1,MAX(VLOOKUP(($AJ118-$AI118-$AH118-$AG118-$AF118-$AE118*(1+HL$3))/$AJ118,'Технический лист'!$A:$B,2,1),(HK118-0.05)))</f>
        <v/>
      </c>
      <c r="HM118" s="172">
        <f>MIN(1,MAX(VLOOKUP(($AJ118-$AI118-$AH118-$AG118-$AF118-$AE118*(1+HM$3))/$AJ118,'Технический лист'!$A:$B,2,1),(HL118-0.05)))</f>
        <v/>
      </c>
      <c r="HN118" s="172">
        <f>MIN(1,MAX(VLOOKUP(($AJ118-$AI118-$AH118-$AG118-$AF118-$AE118*(1+HN$3))/$AJ118,'Технический лист'!$A:$B,2,1),(HM118-0.05)))</f>
        <v/>
      </c>
      <c r="HO118" s="172">
        <f>MIN(1,MAX(VLOOKUP(($AJ118-$AI118-$AH118-$AG118-$AF118-$AE118*(1+HO$3))/$AJ118,'Технический лист'!$A:$B,2,1),(HN118-0.05)))</f>
        <v/>
      </c>
      <c r="HP118" s="172">
        <f>MIN(1,MAX(VLOOKUP(($AJ118-$AI118-$AH118-$AG118-$AF118-$AE118*(1+HP$3))/$AJ118,'Технический лист'!$A:$B,2,1),(HO118-0.05)))</f>
        <v/>
      </c>
      <c r="HQ118" s="172">
        <f>MIN(1,MAX(VLOOKUP(($AJ118-$AI118-$AH118-$AG118-$AF118-$AE118*(1+HQ$3))/$AJ118,'Технический лист'!$A:$B,2,1),(HP118-0.05)))</f>
        <v/>
      </c>
      <c r="HR118" s="172">
        <f>MIN(1,MAX(VLOOKUP(($AJ118-$AI118-$AH118-$AG118-$AF118-$AE118*(1+HR$3))/$AJ118,'Технический лист'!$A:$B,2,1),(HQ118-0.05)))</f>
        <v/>
      </c>
      <c r="HS118" s="172">
        <f>MIN(1,MAX(VLOOKUP(($AJ118-$AI118-$AH118-$AG118-$AF118-$AE118*(1+HS$3))/$AJ118,'Технический лист'!$A:$B,2,1),(HR118-0.05)))</f>
        <v/>
      </c>
      <c r="HT118" s="172">
        <f>MIN(1,MAX(VLOOKUP(($AJ118-$AI118-$AH118-$AG118-$AF118-$AE118*(1+HT$3))/$AJ118,'Технический лист'!$A:$B,2,1),(HS118-0.05)))</f>
        <v/>
      </c>
      <c r="HU118" s="172">
        <f>MIN(1,MAX(VLOOKUP(($AJ118-$AI118-$AH118-$AG118-$AF118-$AE118*(1+HU$3))/$AJ118,'Технический лист'!$A:$B,2,1),(HT118-0.05)))</f>
        <v/>
      </c>
      <c r="HV118" s="172">
        <f>MIN(1,MAX(VLOOKUP(($AJ118-$AI118-$AH118-$AG118-$AF118-$AE118*(1+HV$3))/$AJ118,'Технический лист'!$A:$B,2,1),(HU118-0.05)))</f>
        <v/>
      </c>
      <c r="HW118" s="172">
        <f>MIN(1,MAX(VLOOKUP(($AJ118-$AI118-$AH118-$AG118-$AF118-$AE118*(1+HW$3))/$AJ118,'Технический лист'!$A:$B,2,1),(HV118-0.05)))</f>
        <v/>
      </c>
      <c r="HX118" s="172">
        <f>MIN(1,MAX(VLOOKUP(($AJ118-$AI118-$AH118-$AG118-$AF118-$AE118*(1+HX$3))/$AJ118,'Технический лист'!$A:$B,2,1),(HW118-0.05)))</f>
        <v/>
      </c>
      <c r="HY118" s="172">
        <f>MIN(1,MAX(VLOOKUP(($AJ118-$AI118-$AH118-$AG118-$AF118-$AE118*(1+HY$3))/$AJ118,'Технический лист'!$A:$B,2,1),(HX118-0.05)))</f>
        <v/>
      </c>
      <c r="HZ118" s="172">
        <f>MIN(1,MAX(VLOOKUP(($AJ118-$AI118-$AH118-$AG118-$AF118-$AE118*(1+HZ$3))/$AJ118,'Технический лист'!$A:$B,2,1),(HY118-0.05)))</f>
        <v/>
      </c>
      <c r="IA118" s="172">
        <f>MIN(1,MAX(VLOOKUP(($AJ118-$AI118-$AH118-$AG118-$AF118-$AE118*(1+IA$3))/$AJ118,'Технический лист'!$A:$B,2,1),(HZ118-0.05)))</f>
        <v/>
      </c>
      <c r="IB118" s="172">
        <f>MIN(1,MAX(VLOOKUP(($AJ118-$AI118-$AH118-$AG118-$AF118-$AE118*(1+IB$3))/$AJ118,'Технический лист'!$A:$B,2,1),(IA118-0.05)))</f>
        <v/>
      </c>
      <c r="IC118" s="172">
        <f>MIN(1,MAX(VLOOKUP(($AJ118-$AI118-$AH118-$AG118-$AF118-$AE118*(1+IC$3))/$AJ118,'Технический лист'!$A:$B,2,1),(IB118-0.05)))</f>
        <v/>
      </c>
      <c r="ID118" s="172">
        <f>MIN(1,MAX(VLOOKUP(($AJ118-$AI118-$AH118-$AG118-$AF118-$AE118*(1+ID$3))/$AJ118,'Технический лист'!$A:$B,2,1),(IC118-0.05)))</f>
        <v/>
      </c>
      <c r="IE118" s="172">
        <f>MIN(1,MAX(VLOOKUP(($AJ118-$AI118-$AH118-$AG118-$AF118-$AE118*(1+IE$3))/$AJ118,'Технический лист'!$A:$B,2,1),(ID118-0.05)))</f>
        <v/>
      </c>
      <c r="IF118" s="172">
        <f>MIN(1,MAX(VLOOKUP(($AJ118-$AI118-$AH118-$AG118-$AF118-$AE118*(1+IF$3))/$AJ118,'Технический лист'!$A:$B,2,1),(IE118-0.05)))</f>
        <v/>
      </c>
      <c r="IG118" s="172">
        <f>MIN(1,MAX(VLOOKUP(($AJ118-$AI118-$AH118-$AG118-$AF118-$AE118*(1+IG$3))/$AJ118,'Технический лист'!$A:$B,2,1),(IF118-0.05)))</f>
        <v/>
      </c>
      <c r="IH118" s="172">
        <f>MIN(1,MAX(VLOOKUP(($AJ118-$AI118-$AH118-$AG118-$AF118-$AE118*(1+IH$3))/$AJ118,'Технический лист'!$A:$B,2,1),(IG118-0.05)))</f>
        <v/>
      </c>
      <c r="II118" s="172">
        <f>MIN(1,MAX(VLOOKUP(($AJ118-$AI118-$AH118-$AG118-$AF118-$AE118*(1+II$3))/$AJ118,'Технический лист'!$A:$B,2,1),(IH118-0.05)))</f>
        <v/>
      </c>
      <c r="IJ118" s="172">
        <f>MIN(1,MAX(VLOOKUP(($AJ118-$AI118-$AH118-$AG118-$AF118-$AE118*(1+IJ$3))/$AJ118,'Технический лист'!$A:$B,2,1),(II118-0.05)))</f>
        <v/>
      </c>
      <c r="IK118" s="172">
        <f>MIN(1,MAX(VLOOKUP(($AJ118-$AI118-$AH118-$AG118-$AF118-$AE118*(1+IK$3))/$AJ118,'Технический лист'!$A:$B,2,1),(IJ118-0.05)))</f>
        <v/>
      </c>
      <c r="IL118" s="172">
        <f>MIN(1,MAX(VLOOKUP(($AJ118-$AI118-$AH118-$AG118-$AF118-$AE118*(1+IL$3))/$AJ118,'Технический лист'!$A:$B,2,1),(IK118-0.05)))</f>
        <v/>
      </c>
      <c r="IM118" s="172">
        <f>MIN(1,MAX(VLOOKUP(($AJ118-$AI118-$AH118-$AG118-$AF118-$AE118*(1+IM$3))/$AJ118,'Технический лист'!$A:$B,2,1),(IL118-0.05)))</f>
        <v/>
      </c>
      <c r="IN118" s="172">
        <f>MIN(1,MAX(VLOOKUP(($AJ118-$AI118-$AH118-$AG118-$AF118-$AE118*(1+IN$3))/$AJ118,'Технический лист'!$A:$B,2,1),(IM118-0.05)))</f>
        <v/>
      </c>
      <c r="IO118" s="172">
        <f>MIN(1,MAX(VLOOKUP(($AJ118-$AI118-$AH118-$AG118-$AF118-$AE118*(1+IO$3))/$AJ118,'Технический лист'!$A:$B,2,1),(IN118-0.05)))</f>
        <v/>
      </c>
      <c r="IP118" s="172">
        <f>MIN(1,MAX(VLOOKUP(($AJ118-$AI118-$AH118-$AG118-$AF118-$AE118*(1+IP$3))/$AJ118,'Технический лист'!$A:$B,2,1),(IO118-0.05)))</f>
        <v/>
      </c>
      <c r="IQ118" s="172">
        <f>MIN(1,MAX(VLOOKUP(($AJ118-$AI118-$AH118-$AG118-$AF118-$AE118*(1+IQ$3))/$AJ118,'Технический лист'!$A:$B,2,1),(IP118-0.05)))</f>
        <v/>
      </c>
      <c r="IR118" s="172">
        <f>MIN(1,MAX(VLOOKUP(($AJ118-$AI118-$AH118-$AG118-$AF118-$AE118*(1+IR$3))/$AJ118,'Технический лист'!$A:$B,2,1),(IQ118-0.05)))</f>
        <v/>
      </c>
    </row>
    <row r="119" ht="29.15" customHeight="1" s="123">
      <c r="A119" s="89" t="inlineStr">
        <is>
          <t>ЧМ (продукция)</t>
        </is>
      </c>
      <c r="B119" s="90" t="n">
        <v>5</v>
      </c>
      <c r="C119" s="5" t="inlineStr">
        <is>
          <t>Черные металлы</t>
        </is>
      </c>
      <c r="D119" s="91" t="n">
        <v>31402</v>
      </c>
      <c r="E119" s="91" t="inlineStr">
        <is>
          <t xml:space="preserve">Заготовка для переката качественная </t>
        </is>
      </c>
      <c r="F119" s="92" t="inlineStr">
        <is>
          <t>ЗАГОТОВКИ СТАЛЬНЫЕ</t>
        </is>
      </c>
      <c r="G119" s="91" t="inlineStr">
        <is>
          <t>СЕВ</t>
        </is>
      </c>
      <c r="H119" s="91" t="inlineStr">
        <is>
          <t>ОКТ</t>
        </is>
      </c>
      <c r="I119" s="91" t="inlineStr">
        <is>
          <t>ЧЕРЕПОВЕЦ 2</t>
        </is>
      </c>
      <c r="J119" s="91" t="inlineStr">
        <is>
          <t>КОЛПИНО</t>
        </is>
      </c>
      <c r="K119" s="91" t="n">
        <v>476</v>
      </c>
      <c r="L119" s="91" t="inlineStr">
        <is>
          <t>Полувагоны</t>
        </is>
      </c>
      <c r="M119" s="91" t="inlineStr">
        <is>
          <t>Внутр. перевозки</t>
        </is>
      </c>
      <c r="N119" s="91" t="inlineStr">
        <is>
          <t>вагонная</t>
        </is>
      </c>
      <c r="O119" s="91" t="inlineStr">
        <is>
          <t xml:space="preserve">Северо-Западное </t>
        </is>
      </c>
      <c r="P119" s="89" t="inlineStr">
        <is>
          <t>'000000186217</t>
        </is>
      </c>
      <c r="Q119" s="91" t="inlineStr">
        <is>
          <t>ПАО "Северсталь"</t>
        </is>
      </c>
      <c r="R119" s="91" t="inlineStr">
        <is>
          <t>ПАО "СЕВЕРСТАЛЬ"</t>
        </is>
      </c>
      <c r="S119" s="87" t="n">
        <v>550101</v>
      </c>
      <c r="T119" s="87" t="n">
        <v>261718930</v>
      </c>
      <c r="U119" s="88" t="n">
        <v>8604</v>
      </c>
      <c r="V119" s="88" t="n">
        <v>0</v>
      </c>
      <c r="W119" s="87" t="n">
        <v>617021756</v>
      </c>
      <c r="X119" s="112" t="n">
        <v>63</v>
      </c>
      <c r="Y119" s="112" t="inlineStr">
        <is>
          <t>маршрутная</t>
        </is>
      </c>
      <c r="Z119" s="113" t="n">
        <v>4</v>
      </c>
      <c r="AA119" s="113" t="n">
        <v>4</v>
      </c>
      <c r="AB119" s="113" t="n">
        <v>4</v>
      </c>
      <c r="AC119" s="161" t="n">
        <v>1190.6</v>
      </c>
      <c r="AD119" s="161">
        <f>AE119-AC119</f>
        <v/>
      </c>
      <c r="AE119" s="161" t="n">
        <v>1386.73</v>
      </c>
      <c r="AF119" s="162">
        <f>(Z119+AA119+AB119)*'Ставки аренды'!$B$3/X119</f>
        <v/>
      </c>
      <c r="AG119" s="164" t="n">
        <v>0</v>
      </c>
      <c r="AH119" s="164" t="n">
        <v>0</v>
      </c>
      <c r="AI119" s="165" t="n">
        <v>26337</v>
      </c>
      <c r="AJ119" s="166">
        <f>Цены!$D$11</f>
        <v/>
      </c>
      <c r="AK119" s="164">
        <f>AJ119/Цены!$B$1</f>
        <v/>
      </c>
      <c r="AL119" s="164">
        <f>AE119+AF119+AG119</f>
        <v/>
      </c>
      <c r="AM119" s="164">
        <f>AJ119-AL119</f>
        <v/>
      </c>
      <c r="AN119" s="164">
        <f>AI119+AH119+AG119+AF119+AE119</f>
        <v/>
      </c>
      <c r="AO119" s="167">
        <f>(AJ119-AN119)/AJ119</f>
        <v/>
      </c>
      <c r="AP119" s="168">
        <f>AL119/AJ119</f>
        <v/>
      </c>
      <c r="AQ119" s="168">
        <f>AE119/AJ119</f>
        <v/>
      </c>
      <c r="AR119" s="168">
        <f>AE119/AL119</f>
        <v/>
      </c>
      <c r="AS119" s="169" t="n">
        <v>1</v>
      </c>
      <c r="AT119" s="121">
        <f>S119*AS119</f>
        <v/>
      </c>
      <c r="AU119" s="7" t="inlineStr">
        <is>
          <t>Внутренняя логистика</t>
        </is>
      </c>
      <c r="AV119" s="170">
        <f>(AJ119-(AE119*(1+$IS$2)+AF119+AG119+AH119+AI119))/AJ119</f>
        <v/>
      </c>
      <c r="AW119" s="171">
        <f>(AE119*(1+$IS$2)+AF119+AG119)/AJ119</f>
        <v/>
      </c>
      <c r="AX119" s="171">
        <f>(AE119*(1+$IS$2))/AJ119</f>
        <v/>
      </c>
      <c r="AY119" s="171">
        <f>(AE119*(1+$IS$2))/(AE119*(1+$IS$2)+AF119+AG119)</f>
        <v/>
      </c>
      <c r="AZ119" s="172" t="n">
        <v>1</v>
      </c>
      <c r="BA119" s="172" t="n">
        <v>1</v>
      </c>
      <c r="BB119" s="172" t="n">
        <v>1</v>
      </c>
      <c r="BC119" s="172" t="n">
        <v>1</v>
      </c>
      <c r="BD119" s="172" t="n">
        <v>1</v>
      </c>
      <c r="BE119" s="172" t="n">
        <v>1</v>
      </c>
      <c r="BF119" s="172" t="n">
        <v>1</v>
      </c>
      <c r="BG119" s="172" t="n">
        <v>1</v>
      </c>
      <c r="BH119" s="172" t="n">
        <v>1</v>
      </c>
      <c r="BI119" s="172" t="n">
        <v>1</v>
      </c>
      <c r="BJ119" s="172" t="n">
        <v>1</v>
      </c>
      <c r="BK119" s="172" t="n">
        <v>1</v>
      </c>
      <c r="BL119" s="172" t="n">
        <v>1</v>
      </c>
      <c r="BM119" s="172" t="n">
        <v>1</v>
      </c>
      <c r="BN119" s="172" t="n">
        <v>1</v>
      </c>
      <c r="BO119" s="172" t="n">
        <v>1</v>
      </c>
      <c r="BP119" s="172" t="n">
        <v>1</v>
      </c>
      <c r="BQ119" s="172" t="n">
        <v>1</v>
      </c>
      <c r="BR119" s="172" t="n">
        <v>1</v>
      </c>
      <c r="BS119" s="172" t="n">
        <v>1</v>
      </c>
      <c r="BT119" s="172" t="n">
        <v>1</v>
      </c>
      <c r="BU119" s="172" t="n">
        <v>1</v>
      </c>
      <c r="BV119" s="172" t="n">
        <v>1</v>
      </c>
      <c r="BW119" s="172" t="n">
        <v>1</v>
      </c>
      <c r="BX119" s="172" t="n">
        <v>1</v>
      </c>
      <c r="BY119" s="172" t="n">
        <v>1</v>
      </c>
      <c r="BZ119" s="172" t="n">
        <v>1</v>
      </c>
      <c r="CA119" s="172" t="n">
        <v>1</v>
      </c>
      <c r="CB119" s="172" t="n">
        <v>1</v>
      </c>
      <c r="CC119" s="172" t="n">
        <v>1</v>
      </c>
      <c r="CD119" s="172" t="n">
        <v>1</v>
      </c>
      <c r="CE119" s="172" t="n">
        <v>1</v>
      </c>
      <c r="CF119" s="172" t="n">
        <v>1</v>
      </c>
      <c r="CG119" s="172" t="n">
        <v>1</v>
      </c>
      <c r="CH119" s="172" t="n">
        <v>1</v>
      </c>
      <c r="CI119" s="172" t="n">
        <v>1</v>
      </c>
      <c r="CJ119" s="172" t="n">
        <v>1</v>
      </c>
      <c r="CK119" s="172" t="n">
        <v>1</v>
      </c>
      <c r="CL119" s="172" t="n">
        <v>1</v>
      </c>
      <c r="CM119" s="172" t="n">
        <v>1</v>
      </c>
      <c r="CN119" s="172" t="n">
        <v>1</v>
      </c>
      <c r="CO119" s="172" t="n">
        <v>1</v>
      </c>
      <c r="CP119" s="172" t="n">
        <v>1</v>
      </c>
      <c r="CQ119" s="172" t="n">
        <v>1</v>
      </c>
      <c r="CR119" s="172" t="n">
        <v>1</v>
      </c>
      <c r="CS119" s="172" t="n">
        <v>1</v>
      </c>
      <c r="CT119" s="172" t="n">
        <v>1</v>
      </c>
      <c r="CU119" s="172" t="n">
        <v>1</v>
      </c>
      <c r="CV119" s="172" t="n">
        <v>1</v>
      </c>
      <c r="CW119" s="172" t="n">
        <v>1</v>
      </c>
      <c r="CX119" s="172" t="n">
        <v>1</v>
      </c>
      <c r="CY119" s="172" t="n">
        <v>1</v>
      </c>
      <c r="CZ119" s="172" t="n">
        <v>1</v>
      </c>
      <c r="DA119" s="172" t="n">
        <v>1</v>
      </c>
      <c r="DB119" s="172" t="n">
        <v>1</v>
      </c>
      <c r="DC119" s="172" t="n">
        <v>1</v>
      </c>
      <c r="DD119" s="172" t="n">
        <v>1</v>
      </c>
      <c r="DE119" s="172" t="n">
        <v>1</v>
      </c>
      <c r="DF119" s="172" t="n">
        <v>1</v>
      </c>
      <c r="DG119" s="172" t="n">
        <v>1</v>
      </c>
      <c r="DH119" s="172" t="n">
        <v>1</v>
      </c>
      <c r="DI119" s="172" t="n">
        <v>1</v>
      </c>
      <c r="DJ119" s="172" t="n">
        <v>1</v>
      </c>
      <c r="DK119" s="172" t="n">
        <v>1</v>
      </c>
      <c r="DL119" s="172" t="n">
        <v>1</v>
      </c>
      <c r="DM119" s="172" t="n">
        <v>1</v>
      </c>
      <c r="DN119" s="172" t="n">
        <v>1</v>
      </c>
      <c r="DO119" s="172" t="n">
        <v>1</v>
      </c>
      <c r="DP119" s="172" t="n">
        <v>1</v>
      </c>
      <c r="DQ119" s="172" t="n">
        <v>1</v>
      </c>
      <c r="DR119" s="172" t="n">
        <v>1</v>
      </c>
      <c r="DS119" s="172" t="n">
        <v>1</v>
      </c>
      <c r="DT119" s="172" t="n">
        <v>1</v>
      </c>
      <c r="DU119" s="172" t="n">
        <v>1</v>
      </c>
      <c r="DV119" s="172" t="n">
        <v>1</v>
      </c>
      <c r="DW119" s="172" t="n">
        <v>1</v>
      </c>
      <c r="DX119" s="172" t="n">
        <v>1</v>
      </c>
      <c r="DY119" s="172" t="n">
        <v>1</v>
      </c>
      <c r="DZ119" s="172" t="n">
        <v>1</v>
      </c>
      <c r="EA119" s="172" t="n">
        <v>1</v>
      </c>
      <c r="EB119" s="172" t="n">
        <v>1</v>
      </c>
      <c r="EC119" s="172" t="n">
        <v>1</v>
      </c>
      <c r="ED119" s="172" t="n">
        <v>1</v>
      </c>
      <c r="EE119" s="172" t="n">
        <v>1</v>
      </c>
      <c r="EF119" s="172" t="n">
        <v>1</v>
      </c>
      <c r="EG119" s="172" t="n">
        <v>1</v>
      </c>
      <c r="EH119" s="172" t="n">
        <v>1</v>
      </c>
      <c r="EI119" s="172" t="n">
        <v>1</v>
      </c>
      <c r="EJ119" s="172" t="n">
        <v>1</v>
      </c>
      <c r="EK119" s="172" t="n">
        <v>1</v>
      </c>
      <c r="EL119" s="172" t="n">
        <v>1</v>
      </c>
      <c r="EM119" s="172" t="n">
        <v>1</v>
      </c>
      <c r="EN119" s="172" t="n">
        <v>1</v>
      </c>
      <c r="EO119" s="172" t="n">
        <v>1</v>
      </c>
      <c r="EP119" s="172" t="n">
        <v>1</v>
      </c>
      <c r="EQ119" s="172" t="n">
        <v>1</v>
      </c>
      <c r="ER119" s="172" t="n">
        <v>1</v>
      </c>
      <c r="ES119" s="172" t="n">
        <v>1</v>
      </c>
      <c r="ET119" s="172" t="n">
        <v>1</v>
      </c>
      <c r="EU119" s="172" t="n">
        <v>1</v>
      </c>
      <c r="EV119" s="173" t="n">
        <v>1</v>
      </c>
      <c r="EW119" s="172" t="n">
        <v>1</v>
      </c>
      <c r="EX119" s="172" t="n">
        <v>1</v>
      </c>
      <c r="EY119" s="172" t="n">
        <v>1</v>
      </c>
      <c r="EZ119" s="172" t="n">
        <v>1</v>
      </c>
      <c r="FA119" s="172" t="n">
        <v>1</v>
      </c>
      <c r="FB119" s="172" t="n">
        <v>1</v>
      </c>
      <c r="FC119" s="172" t="n">
        <v>1</v>
      </c>
      <c r="FD119" s="172" t="n">
        <v>1</v>
      </c>
      <c r="FE119" s="172" t="n">
        <v>1</v>
      </c>
      <c r="FF119" s="172" t="n">
        <v>1</v>
      </c>
      <c r="FG119" s="172" t="n">
        <v>1</v>
      </c>
      <c r="FH119" s="172" t="n">
        <v>1</v>
      </c>
      <c r="FI119" s="172" t="n">
        <v>1</v>
      </c>
      <c r="FJ119" s="172" t="n">
        <v>1</v>
      </c>
      <c r="FK119" s="172" t="n">
        <v>1</v>
      </c>
      <c r="FL119" s="172" t="n">
        <v>1</v>
      </c>
      <c r="FM119" s="172" t="n">
        <v>1</v>
      </c>
      <c r="FN119" s="172" t="n">
        <v>1</v>
      </c>
      <c r="FO119" s="172" t="n">
        <v>1</v>
      </c>
      <c r="FP119" s="172" t="n">
        <v>1</v>
      </c>
      <c r="FQ119" s="172" t="n">
        <v>1</v>
      </c>
      <c r="FR119" s="172" t="n">
        <v>1</v>
      </c>
      <c r="FS119" s="172" t="n">
        <v>1</v>
      </c>
      <c r="FT119" s="172" t="n">
        <v>1</v>
      </c>
      <c r="FU119" s="172" t="n">
        <v>1</v>
      </c>
      <c r="FV119" s="172" t="n">
        <v>1</v>
      </c>
      <c r="FW119" s="172" t="n">
        <v>1</v>
      </c>
      <c r="FX119" s="172" t="n">
        <v>1</v>
      </c>
      <c r="FY119" s="172" t="n">
        <v>1</v>
      </c>
      <c r="FZ119" s="172" t="n">
        <v>1</v>
      </c>
      <c r="GA119" s="172" t="n">
        <v>1</v>
      </c>
      <c r="GB119" s="172" t="n">
        <v>1</v>
      </c>
      <c r="GC119" s="172" t="n">
        <v>1</v>
      </c>
      <c r="GD119" s="172" t="n">
        <v>1</v>
      </c>
      <c r="GE119" s="172" t="n">
        <v>1</v>
      </c>
      <c r="GF119" s="172" t="n">
        <v>1</v>
      </c>
      <c r="GG119" s="172" t="n">
        <v>1</v>
      </c>
      <c r="GH119" s="172" t="n">
        <v>1</v>
      </c>
      <c r="GI119" s="172" t="n">
        <v>1</v>
      </c>
      <c r="GJ119" s="172" t="n">
        <v>1</v>
      </c>
      <c r="GK119" s="172" t="n">
        <v>1</v>
      </c>
      <c r="GL119" s="172" t="n">
        <v>1</v>
      </c>
      <c r="GM119" s="172" t="n">
        <v>1</v>
      </c>
      <c r="GN119" s="172" t="n">
        <v>1</v>
      </c>
      <c r="GO119" s="172" t="n">
        <v>1</v>
      </c>
      <c r="GP119" s="172" t="n">
        <v>1</v>
      </c>
      <c r="GQ119" s="172" t="n">
        <v>1</v>
      </c>
      <c r="GR119" s="172" t="n">
        <v>1</v>
      </c>
      <c r="GS119" s="172" t="n">
        <v>1</v>
      </c>
      <c r="GT119" s="172" t="n">
        <v>1</v>
      </c>
      <c r="GU119" s="172" t="n">
        <v>1</v>
      </c>
      <c r="GV119" s="172" t="n">
        <v>1</v>
      </c>
      <c r="GW119" s="172" t="n">
        <v>1</v>
      </c>
      <c r="GX119" s="172" t="n">
        <v>1</v>
      </c>
      <c r="GY119" s="172" t="n">
        <v>1</v>
      </c>
      <c r="GZ119" s="172" t="n">
        <v>1</v>
      </c>
      <c r="HA119" s="172" t="n">
        <v>1</v>
      </c>
      <c r="HB119" s="172" t="n">
        <v>1</v>
      </c>
      <c r="HC119" s="172" t="n">
        <v>1</v>
      </c>
      <c r="HD119" s="172" t="n">
        <v>1</v>
      </c>
      <c r="HE119" s="172" t="n">
        <v>1</v>
      </c>
      <c r="HF119" s="172" t="n">
        <v>1</v>
      </c>
      <c r="HG119" s="172" t="n">
        <v>1</v>
      </c>
      <c r="HH119" s="172" t="n">
        <v>1</v>
      </c>
      <c r="HI119" s="172" t="n">
        <v>1</v>
      </c>
      <c r="HJ119" s="172" t="n">
        <v>1</v>
      </c>
      <c r="HK119" s="172" t="n">
        <v>1</v>
      </c>
      <c r="HL119" s="172" t="n">
        <v>1</v>
      </c>
      <c r="HM119" s="172" t="n">
        <v>1</v>
      </c>
      <c r="HN119" s="172" t="n">
        <v>1</v>
      </c>
      <c r="HO119" s="172" t="n">
        <v>1</v>
      </c>
      <c r="HP119" s="172" t="n">
        <v>1</v>
      </c>
      <c r="HQ119" s="172" t="n">
        <v>1</v>
      </c>
      <c r="HR119" s="172" t="n">
        <v>1</v>
      </c>
      <c r="HS119" s="172" t="n">
        <v>1</v>
      </c>
      <c r="HT119" s="172" t="n">
        <v>1</v>
      </c>
      <c r="HU119" s="172" t="n">
        <v>1</v>
      </c>
      <c r="HV119" s="172" t="n">
        <v>1</v>
      </c>
      <c r="HW119" s="172" t="n">
        <v>1</v>
      </c>
      <c r="HX119" s="172" t="n">
        <v>1</v>
      </c>
      <c r="HY119" s="172" t="n">
        <v>1</v>
      </c>
      <c r="HZ119" s="172" t="n">
        <v>1</v>
      </c>
      <c r="IA119" s="172" t="n">
        <v>1</v>
      </c>
      <c r="IB119" s="172" t="n">
        <v>1</v>
      </c>
      <c r="IC119" s="172" t="n">
        <v>1</v>
      </c>
      <c r="ID119" s="172" t="n">
        <v>1</v>
      </c>
      <c r="IE119" s="172" t="n">
        <v>1</v>
      </c>
      <c r="IF119" s="172" t="n">
        <v>1</v>
      </c>
      <c r="IG119" s="172" t="n">
        <v>1</v>
      </c>
      <c r="IH119" s="172" t="n">
        <v>1</v>
      </c>
      <c r="II119" s="172" t="n">
        <v>1</v>
      </c>
      <c r="IJ119" s="172" t="n">
        <v>1</v>
      </c>
      <c r="IK119" s="172" t="n">
        <v>1</v>
      </c>
      <c r="IL119" s="172" t="n">
        <v>1</v>
      </c>
      <c r="IM119" s="172" t="n">
        <v>1</v>
      </c>
      <c r="IN119" s="172" t="n">
        <v>1</v>
      </c>
      <c r="IO119" s="172" t="n">
        <v>1</v>
      </c>
      <c r="IP119" s="172" t="n">
        <v>1</v>
      </c>
      <c r="IQ119" s="172" t="n">
        <v>1</v>
      </c>
      <c r="IR119" s="172" t="n">
        <v>1</v>
      </c>
    </row>
    <row r="120" ht="43.75" customHeight="1" s="123">
      <c r="A120" s="89" t="inlineStr">
        <is>
          <t>ЧМ (продукция)</t>
        </is>
      </c>
      <c r="B120" s="90" t="n">
        <v>5</v>
      </c>
      <c r="C120" s="5" t="inlineStr">
        <is>
          <t>Черные металлы</t>
        </is>
      </c>
      <c r="D120" s="91" t="n">
        <v>32416</v>
      </c>
      <c r="E120" s="91" t="inlineStr">
        <is>
          <t xml:space="preserve">Сталь листовая, не поименованная в алфавите </t>
        </is>
      </c>
      <c r="F120" s="92" t="inlineStr">
        <is>
          <t>ПРОЧИЕ ВИДЫ ПРОКАТА ЧЕРНЫ</t>
        </is>
      </c>
      <c r="G120" s="91" t="inlineStr">
        <is>
          <t>СЕВ</t>
        </is>
      </c>
      <c r="H120" s="91" t="inlineStr">
        <is>
          <t>МСК</t>
        </is>
      </c>
      <c r="I120" s="91" t="inlineStr">
        <is>
          <t>ЧЕРЕПОВЕЦ 2</t>
        </is>
      </c>
      <c r="J120" s="91" t="inlineStr">
        <is>
          <t>КРАСНОЕ-ЭКСП</t>
        </is>
      </c>
      <c r="K120" s="91" t="n">
        <v>1153</v>
      </c>
      <c r="L120" s="91" t="inlineStr">
        <is>
          <t>Полувагоны</t>
        </is>
      </c>
      <c r="M120" s="91" t="inlineStr">
        <is>
          <t>Экспорт</t>
        </is>
      </c>
      <c r="N120" s="91" t="inlineStr">
        <is>
          <t>вагонная</t>
        </is>
      </c>
      <c r="O120" s="91" t="inlineStr">
        <is>
          <t xml:space="preserve">Северо-Западное </t>
        </is>
      </c>
      <c r="P120" s="89" t="inlineStr">
        <is>
          <t>'000000186217</t>
        </is>
      </c>
      <c r="Q120" s="91" t="inlineStr">
        <is>
          <t>ПАО "Северсталь"</t>
        </is>
      </c>
      <c r="R120" s="91" t="inlineStr">
        <is>
          <t>ПАО "СЕВЕРСТАЛЬ"</t>
        </is>
      </c>
      <c r="S120" s="87" t="n">
        <v>112600</v>
      </c>
      <c r="T120" s="87" t="n">
        <v>129836808</v>
      </c>
      <c r="U120" s="88" t="n">
        <v>1782</v>
      </c>
      <c r="V120" s="88" t="n">
        <v>0</v>
      </c>
      <c r="W120" s="87" t="n">
        <v>300576691</v>
      </c>
      <c r="X120" s="112" t="n">
        <v>62</v>
      </c>
      <c r="Y120" s="112" t="inlineStr">
        <is>
          <t>повагонная</t>
        </is>
      </c>
      <c r="Z120" s="113" t="n">
        <v>7</v>
      </c>
      <c r="AA120" s="113" t="n">
        <v>4</v>
      </c>
      <c r="AB120" s="113" t="n">
        <v>4</v>
      </c>
      <c r="AC120" s="161" t="n">
        <v>3031.68</v>
      </c>
      <c r="AD120" s="161">
        <f>AE120-AC120</f>
        <v/>
      </c>
      <c r="AE120" s="161" t="n">
        <v>3434.81</v>
      </c>
      <c r="AF120" s="162">
        <f>(Z120+AA120+AB120)*'Ставки аренды'!$B$3/X120</f>
        <v/>
      </c>
      <c r="AG120" s="164" t="n">
        <v>0</v>
      </c>
      <c r="AH120" s="164" t="n">
        <v>0</v>
      </c>
      <c r="AI120" s="174">
        <f>507353/712157*AVERAGE(AJ120,AJ122)</f>
        <v/>
      </c>
      <c r="AJ120" s="166">
        <f>Цены!C17*'Курсы валют'!B2</f>
        <v/>
      </c>
      <c r="AK120" s="164">
        <f>AJ120/Цены!$B$1</f>
        <v/>
      </c>
      <c r="AL120" s="164">
        <f>AE120+AF120+AG120</f>
        <v/>
      </c>
      <c r="AM120" s="164">
        <f>AJ120-AL120</f>
        <v/>
      </c>
      <c r="AN120" s="164">
        <f>AI120+AH120+AG120+AF120+AE120</f>
        <v/>
      </c>
      <c r="AO120" s="167">
        <f>(AJ120-AN120)/AJ120</f>
        <v/>
      </c>
      <c r="AP120" s="168">
        <f>AL120/AJ120</f>
        <v/>
      </c>
      <c r="AQ120" s="168">
        <f>AE120/AJ120</f>
        <v/>
      </c>
      <c r="AR120" s="168">
        <f>AE120/AL120</f>
        <v/>
      </c>
      <c r="AS120" s="169" t="n">
        <v>1</v>
      </c>
      <c r="AT120" s="121">
        <f>S120*AS120</f>
        <v/>
      </c>
      <c r="AU120" s="83" t="n">
        <v>0.95</v>
      </c>
      <c r="AV120" s="170">
        <f>(AJ120-(AE120*(1+$IS$2)+AF120+AG120+AH120+AI120))/AJ120</f>
        <v/>
      </c>
      <c r="AW120" s="171">
        <f>(AE120*(1+$IS$2)+AF120+AG120)/AJ120</f>
        <v/>
      </c>
      <c r="AX120" s="171">
        <f>(AE120*(1+$IS$2))/AJ120</f>
        <v/>
      </c>
      <c r="AY120" s="171">
        <f>(AE120*(1+$IS$2))/(AE120*(1+$IS$2)+AF120+AG120)</f>
        <v/>
      </c>
      <c r="AZ120" s="172">
        <f>MIN(IF($AU120=100%,1,1+VLOOKUP(($AJ120-$AI120-$AH120-$AG120-$AF120-$AE120*(1+AZ$3))/$AJ120,'Технический лист'!$I:$J,2,1)-VLOOKUP($AO120,'Технический лист'!$I:$J,2,1)),1+(1-$AU120))</f>
        <v/>
      </c>
      <c r="BA120" s="172">
        <f>MIN(IF($AU120=100%,1,1+VLOOKUP(($AJ120-$AI120-$AH120-$AG120-$AF120-$AE120*(1+BA$3))/$AJ120,'Технический лист'!$I:$J,2,1)-VLOOKUP($AO120,'Технический лист'!$I:$J,2,1)),1+(1-$AU120))</f>
        <v/>
      </c>
      <c r="BB120" s="172">
        <f>MIN(IF($AU120=100%,1,1+VLOOKUP(($AJ120-$AI120-$AH120-$AG120-$AF120-$AE120*(1+BB$3))/$AJ120,'Технический лист'!$I:$J,2,1)-VLOOKUP($AO120,'Технический лист'!$I:$J,2,1)),1+(1-$AU120))</f>
        <v/>
      </c>
      <c r="BC120" s="172">
        <f>MIN(IF($AU120=100%,1,1+VLOOKUP(($AJ120-$AI120-$AH120-$AG120-$AF120-$AE120*(1+BC$3))/$AJ120,'Технический лист'!$I:$J,2,1)-VLOOKUP($AO120,'Технический лист'!$I:$J,2,1)),1+(1-$AU120))</f>
        <v/>
      </c>
      <c r="BD120" s="172">
        <f>MIN(IF($AU120=100%,1,1+VLOOKUP(($AJ120-$AI120-$AH120-$AG120-$AF120-$AE120*(1+BD$3))/$AJ120,'Технический лист'!$I:$J,2,1)-VLOOKUP($AO120,'Технический лист'!$I:$J,2,1)),1+(1-$AU120))</f>
        <v/>
      </c>
      <c r="BE120" s="172">
        <f>MIN(IF($AU120=100%,1,1+VLOOKUP(($AJ120-$AI120-$AH120-$AG120-$AF120-$AE120*(1+BE$3))/$AJ120,'Технический лист'!$I:$J,2,1)-VLOOKUP($AO120,'Технический лист'!$I:$J,2,1)),1+(1-$AU120))</f>
        <v/>
      </c>
      <c r="BF120" s="172">
        <f>MIN(IF($AU120=100%,1,1+VLOOKUP(($AJ120-$AI120-$AH120-$AG120-$AF120-$AE120*(1+BF$3))/$AJ120,'Технический лист'!$I:$J,2,1)-VLOOKUP($AO120,'Технический лист'!$I:$J,2,1)),1+(1-$AU120))</f>
        <v/>
      </c>
      <c r="BG120" s="172">
        <f>MIN(IF($AU120=100%,1,1+VLOOKUP(($AJ120-$AI120-$AH120-$AG120-$AF120-$AE120*(1+BG$3))/$AJ120,'Технический лист'!$I:$J,2,1)-VLOOKUP($AO120,'Технический лист'!$I:$J,2,1)),1+(1-$AU120))</f>
        <v/>
      </c>
      <c r="BH120" s="172">
        <f>MIN(IF($AU120=100%,1,1+VLOOKUP(($AJ120-$AI120-$AH120-$AG120-$AF120-$AE120*(1+BH$3))/$AJ120,'Технический лист'!$I:$J,2,1)-VLOOKUP($AO120,'Технический лист'!$I:$J,2,1)),1+(1-$AU120))</f>
        <v/>
      </c>
      <c r="BI120" s="172">
        <f>MIN(IF($AU120=100%,1,1+VLOOKUP(($AJ120-$AI120-$AH120-$AG120-$AF120-$AE120*(1+BI$3))/$AJ120,'Технический лист'!$I:$J,2,1)-VLOOKUP($AO120,'Технический лист'!$I:$J,2,1)),1+(1-$AU120))</f>
        <v/>
      </c>
      <c r="BJ120" s="172">
        <f>MIN(IF($AU120=100%,1,1+VLOOKUP(($AJ120-$AI120-$AH120-$AG120-$AF120-$AE120*(1+BJ$3))/$AJ120,'Технический лист'!$I:$J,2,1)-VLOOKUP($AO120,'Технический лист'!$I:$J,2,1)),1+(1-$AU120))</f>
        <v/>
      </c>
      <c r="BK120" s="172">
        <f>MIN(IF($AU120=100%,1,1+VLOOKUP(($AJ120-$AI120-$AH120-$AG120-$AF120-$AE120*(1+BK$3))/$AJ120,'Технический лист'!$I:$J,2,1)-VLOOKUP($AO120,'Технический лист'!$I:$J,2,1)),1+(1-$AU120))</f>
        <v/>
      </c>
      <c r="BL120" s="172">
        <f>MIN(IF($AU120=100%,1,1+VLOOKUP(($AJ120-$AI120-$AH120-$AG120-$AF120-$AE120*(1+BL$3))/$AJ120,'Технический лист'!$I:$J,2,1)-VLOOKUP($AO120,'Технический лист'!$I:$J,2,1)),1+(1-$AU120))</f>
        <v/>
      </c>
      <c r="BM120" s="172">
        <f>MIN(IF($AU120=100%,1,1+VLOOKUP(($AJ120-$AI120-$AH120-$AG120-$AF120-$AE120*(1+BM$3))/$AJ120,'Технический лист'!$I:$J,2,1)-VLOOKUP($AO120,'Технический лист'!$I:$J,2,1)),1+(1-$AU120))</f>
        <v/>
      </c>
      <c r="BN120" s="172">
        <f>MIN(IF($AU120=100%,1,1+VLOOKUP(($AJ120-$AI120-$AH120-$AG120-$AF120-$AE120*(1+BN$3))/$AJ120,'Технический лист'!$I:$J,2,1)-VLOOKUP($AO120,'Технический лист'!$I:$J,2,1)),1+(1-$AU120))</f>
        <v/>
      </c>
      <c r="BO120" s="172">
        <f>MIN(IF($AU120=100%,1,1+VLOOKUP(($AJ120-$AI120-$AH120-$AG120-$AF120-$AE120*(1+BO$3))/$AJ120,'Технический лист'!$I:$J,2,1)-VLOOKUP($AO120,'Технический лист'!$I:$J,2,1)),1+(1-$AU120))</f>
        <v/>
      </c>
      <c r="BP120" s="172">
        <f>MIN(IF($AU120=100%,1,1+VLOOKUP(($AJ120-$AI120-$AH120-$AG120-$AF120-$AE120*(1+BP$3))/$AJ120,'Технический лист'!$I:$J,2,1)-VLOOKUP($AO120,'Технический лист'!$I:$J,2,1)),1+(1-$AU120))</f>
        <v/>
      </c>
      <c r="BQ120" s="172">
        <f>MIN(IF($AU120=100%,1,1+VLOOKUP(($AJ120-$AI120-$AH120-$AG120-$AF120-$AE120*(1+BQ$3))/$AJ120,'Технический лист'!$I:$J,2,1)-VLOOKUP($AO120,'Технический лист'!$I:$J,2,1)),1+(1-$AU120))</f>
        <v/>
      </c>
      <c r="BR120" s="172">
        <f>MIN(IF($AU120=100%,1,1+VLOOKUP(($AJ120-$AI120-$AH120-$AG120-$AF120-$AE120*(1+BR$3))/$AJ120,'Технический лист'!$I:$J,2,1)-VLOOKUP($AO120,'Технический лист'!$I:$J,2,1)),1+(1-$AU120))</f>
        <v/>
      </c>
      <c r="BS120" s="172">
        <f>MIN(IF($AU120=100%,1,1+VLOOKUP(($AJ120-$AI120-$AH120-$AG120-$AF120-$AE120*(1+BS$3))/$AJ120,'Технический лист'!$I:$J,2,1)-VLOOKUP($AO120,'Технический лист'!$I:$J,2,1)),1+(1-$AU120))</f>
        <v/>
      </c>
      <c r="BT120" s="172">
        <f>MIN(IF($AU120=100%,1,1+VLOOKUP(($AJ120-$AI120-$AH120-$AG120-$AF120-$AE120*(1+BT$3))/$AJ120,'Технический лист'!$I:$J,2,1)-VLOOKUP($AO120,'Технический лист'!$I:$J,2,1)),1+(1-$AU120))</f>
        <v/>
      </c>
      <c r="BU120" s="172">
        <f>MIN(IF($AU120=100%,1,1+VLOOKUP(($AJ120-$AI120-$AH120-$AG120-$AF120-$AE120*(1+BU$3))/$AJ120,'Технический лист'!$I:$J,2,1)-VLOOKUP($AO120,'Технический лист'!$I:$J,2,1)),1+(1-$AU120))</f>
        <v/>
      </c>
      <c r="BV120" s="172">
        <f>MIN(IF($AU120=100%,1,1+VLOOKUP(($AJ120-$AI120-$AH120-$AG120-$AF120-$AE120*(1+BV$3))/$AJ120,'Технический лист'!$I:$J,2,1)-VLOOKUP($AO120,'Технический лист'!$I:$J,2,1)),1+(1-$AU120))</f>
        <v/>
      </c>
      <c r="BW120" s="172">
        <f>MIN(IF($AU120=100%,1,1+VLOOKUP(($AJ120-$AI120-$AH120-$AG120-$AF120-$AE120*(1+BW$3))/$AJ120,'Технический лист'!$I:$J,2,1)-VLOOKUP($AO120,'Технический лист'!$I:$J,2,1)),1+(1-$AU120))</f>
        <v/>
      </c>
      <c r="BX120" s="172">
        <f>MIN(IF($AU120=100%,1,1+VLOOKUP(($AJ120-$AI120-$AH120-$AG120-$AF120-$AE120*(1+BX$3))/$AJ120,'Технический лист'!$I:$J,2,1)-VLOOKUP($AO120,'Технический лист'!$I:$J,2,1)),1+(1-$AU120))</f>
        <v/>
      </c>
      <c r="BY120" s="172">
        <f>MIN(IF($AU120=100%,1,1+VLOOKUP(($AJ120-$AI120-$AH120-$AG120-$AF120-$AE120*(1+BY$3))/$AJ120,'Технический лист'!$I:$J,2,1)-VLOOKUP($AO120,'Технический лист'!$I:$J,2,1)),1+(1-$AU120))</f>
        <v/>
      </c>
      <c r="BZ120" s="172">
        <f>MIN(IF($AU120=100%,1,1+VLOOKUP(($AJ120-$AI120-$AH120-$AG120-$AF120-$AE120*(1+BZ$3))/$AJ120,'Технический лист'!$I:$J,2,1)-VLOOKUP($AO120,'Технический лист'!$I:$J,2,1)),1+(1-$AU120))</f>
        <v/>
      </c>
      <c r="CA120" s="172">
        <f>MIN(IF($AU120=100%,1,1+VLOOKUP(($AJ120-$AI120-$AH120-$AG120-$AF120-$AE120*(1+CA$3))/$AJ120,'Технический лист'!$I:$J,2,1)-VLOOKUP($AO120,'Технический лист'!$I:$J,2,1)),1+(1-$AU120))</f>
        <v/>
      </c>
      <c r="CB120" s="172">
        <f>MIN(IF($AU120=100%,1,1+VLOOKUP(($AJ120-$AI120-$AH120-$AG120-$AF120-$AE120*(1+CB$3))/$AJ120,'Технический лист'!$I:$J,2,1)-VLOOKUP($AO120,'Технический лист'!$I:$J,2,1)),1+(1-$AU120))</f>
        <v/>
      </c>
      <c r="CC120" s="172">
        <f>MIN(IF($AU120=100%,1,1+VLOOKUP(($AJ120-$AI120-$AH120-$AG120-$AF120-$AE120*(1+CC$3))/$AJ120,'Технический лист'!$I:$J,2,1)-VLOOKUP($AO120,'Технический лист'!$I:$J,2,1)),1+(1-$AU120))</f>
        <v/>
      </c>
      <c r="CD120" s="172">
        <f>MIN(IF($AU120=100%,1,1+VLOOKUP(($AJ120-$AI120-$AH120-$AG120-$AF120-$AE120*(1+CD$3))/$AJ120,'Технический лист'!$I:$J,2,1)-VLOOKUP($AO120,'Технический лист'!$I:$J,2,1)),1+(1-$AU120))</f>
        <v/>
      </c>
      <c r="CE120" s="172">
        <f>MIN(IF($AU120=100%,1,1+VLOOKUP(($AJ120-$AI120-$AH120-$AG120-$AF120-$AE120*(1+CE$3))/$AJ120,'Технический лист'!$I:$J,2,1)-VLOOKUP($AO120,'Технический лист'!$I:$J,2,1)),1+(1-$AU120))</f>
        <v/>
      </c>
      <c r="CF120" s="172">
        <f>MIN(IF($AU120=100%,1,1+VLOOKUP(($AJ120-$AI120-$AH120-$AG120-$AF120-$AE120*(1+CF$3))/$AJ120,'Технический лист'!$I:$J,2,1)-VLOOKUP($AO120,'Технический лист'!$I:$J,2,1)),1+(1-$AU120))</f>
        <v/>
      </c>
      <c r="CG120" s="172">
        <f>MIN(IF($AU120=100%,1,1+VLOOKUP(($AJ120-$AI120-$AH120-$AG120-$AF120-$AE120*(1+CG$3))/$AJ120,'Технический лист'!$I:$J,2,1)-VLOOKUP($AO120,'Технический лист'!$I:$J,2,1)),1+(1-$AU120))</f>
        <v/>
      </c>
      <c r="CH120" s="172">
        <f>MIN(IF($AU120=100%,1,1+VLOOKUP(($AJ120-$AI120-$AH120-$AG120-$AF120-$AE120*(1+CH$3))/$AJ120,'Технический лист'!$I:$J,2,1)-VLOOKUP($AO120,'Технический лист'!$I:$J,2,1)),1+(1-$AU120))</f>
        <v/>
      </c>
      <c r="CI120" s="172">
        <f>MIN(IF($AU120=100%,1,1+VLOOKUP(($AJ120-$AI120-$AH120-$AG120-$AF120-$AE120*(1+CI$3))/$AJ120,'Технический лист'!$I:$J,2,1)-VLOOKUP($AO120,'Технический лист'!$I:$J,2,1)),1+(1-$AU120))</f>
        <v/>
      </c>
      <c r="CJ120" s="172">
        <f>MIN(IF($AU120=100%,1,1+VLOOKUP(($AJ120-$AI120-$AH120-$AG120-$AF120-$AE120*(1+CJ$3))/$AJ120,'Технический лист'!$I:$J,2,1)-VLOOKUP($AO120,'Технический лист'!$I:$J,2,1)),1+(1-$AU120))</f>
        <v/>
      </c>
      <c r="CK120" s="172">
        <f>MIN(IF($AU120=100%,1,1+VLOOKUP(($AJ120-$AI120-$AH120-$AG120-$AF120-$AE120*(1+CK$3))/$AJ120,'Технический лист'!$I:$J,2,1)-VLOOKUP($AO120,'Технический лист'!$I:$J,2,1)),1+(1-$AU120))</f>
        <v/>
      </c>
      <c r="CL120" s="172">
        <f>MIN(IF($AU120=100%,1,1+VLOOKUP(($AJ120-$AI120-$AH120-$AG120-$AF120-$AE120*(1+CL$3))/$AJ120,'Технический лист'!$I:$J,2,1)-VLOOKUP($AO120,'Технический лист'!$I:$J,2,1)),1+(1-$AU120))</f>
        <v/>
      </c>
      <c r="CM120" s="172">
        <f>MIN(IF($AU120=100%,1,1+VLOOKUP(($AJ120-$AI120-$AH120-$AG120-$AF120-$AE120*(1+CM$3))/$AJ120,'Технический лист'!$I:$J,2,1)-VLOOKUP($AO120,'Технический лист'!$I:$J,2,1)),1+(1-$AU120))</f>
        <v/>
      </c>
      <c r="CN120" s="172">
        <f>MIN(IF($AU120=100%,1,1+VLOOKUP(($AJ120-$AI120-$AH120-$AG120-$AF120-$AE120*(1+CN$3))/$AJ120,'Технический лист'!$I:$J,2,1)-VLOOKUP($AO120,'Технический лист'!$I:$J,2,1)),1+(1-$AU120))</f>
        <v/>
      </c>
      <c r="CO120" s="172">
        <f>MIN(IF($AU120=100%,1,1+VLOOKUP(($AJ120-$AI120-$AH120-$AG120-$AF120-$AE120*(1+CO$3))/$AJ120,'Технический лист'!$I:$J,2,1)-VLOOKUP($AO120,'Технический лист'!$I:$J,2,1)),1+(1-$AU120))</f>
        <v/>
      </c>
      <c r="CP120" s="172">
        <f>MIN(IF($AU120=100%,1,1+VLOOKUP(($AJ120-$AI120-$AH120-$AG120-$AF120-$AE120*(1+CP$3))/$AJ120,'Технический лист'!$I:$J,2,1)-VLOOKUP($AO120,'Технический лист'!$I:$J,2,1)),1+(1-$AU120))</f>
        <v/>
      </c>
      <c r="CQ120" s="172">
        <f>MIN(IF($AU120=100%,1,1+VLOOKUP(($AJ120-$AI120-$AH120-$AG120-$AF120-$AE120*(1+CQ$3))/$AJ120,'Технический лист'!$I:$J,2,1)-VLOOKUP($AO120,'Технический лист'!$I:$J,2,1)),1+(1-$AU120))</f>
        <v/>
      </c>
      <c r="CR120" s="172">
        <f>MIN(IF($AU120=100%,1,1+VLOOKUP(($AJ120-$AI120-$AH120-$AG120-$AF120-$AE120*(1+CR$3))/$AJ120,'Технический лист'!$I:$J,2,1)-VLOOKUP($AO120,'Технический лист'!$I:$J,2,1)),1+(1-$AU120))</f>
        <v/>
      </c>
      <c r="CS120" s="172">
        <f>MIN(IF($AU120=100%,1,1+VLOOKUP(($AJ120-$AI120-$AH120-$AG120-$AF120-$AE120*(1+CS$3))/$AJ120,'Технический лист'!$I:$J,2,1)-VLOOKUP($AO120,'Технический лист'!$I:$J,2,1)),1+(1-$AU120))</f>
        <v/>
      </c>
      <c r="CT120" s="172">
        <f>MIN(IF($AU120=100%,1,1+VLOOKUP(($AJ120-$AI120-$AH120-$AG120-$AF120-$AE120*(1+CT$3))/$AJ120,'Технический лист'!$I:$J,2,1)-VLOOKUP($AO120,'Технический лист'!$I:$J,2,1)),1+(1-$AU120))</f>
        <v/>
      </c>
      <c r="CU120" s="172">
        <f>MIN(IF($AU120=100%,1,1+VLOOKUP(($AJ120-$AI120-$AH120-$AG120-$AF120-$AE120*(1+CU$3))/$AJ120,'Технический лист'!$I:$J,2,1)-VLOOKUP($AO120,'Технический лист'!$I:$J,2,1)),1+(1-$AU120))</f>
        <v/>
      </c>
      <c r="CV120" s="172">
        <f>MIN(IF($AU120=100%,1,1+VLOOKUP(($AJ120-$AI120-$AH120-$AG120-$AF120-$AE120*(1+CV$3))/$AJ120,'Технический лист'!$I:$J,2,1)-VLOOKUP($AO120,'Технический лист'!$I:$J,2,1)),1+(1-$AU120))</f>
        <v/>
      </c>
      <c r="CW120" s="172">
        <f>MIN(IF($AU120=100%,1,1+VLOOKUP(($AJ120-$AI120-$AH120-$AG120-$AF120-$AE120*(1+CW$3))/$AJ120,'Технический лист'!$I:$J,2,1)-VLOOKUP($AO120,'Технический лист'!$I:$J,2,1)),1+(1-$AU120))</f>
        <v/>
      </c>
      <c r="CX120" s="172">
        <f>MIN(IF($AU120=100%,1,1+VLOOKUP(($AJ120-$AI120-$AH120-$AG120-$AF120-$AE120*(1+CX$3))/$AJ120,'Технический лист'!$I:$J,2,1)-VLOOKUP($AO120,'Технический лист'!$I:$J,2,1)),1+(1-$AU120))</f>
        <v/>
      </c>
      <c r="CY120" s="172">
        <f>MIN(IF($AU120=100%,1,1+VLOOKUP(($AJ120-$AI120-$AH120-$AG120-$AF120-$AE120*(1+CY$3))/$AJ120,'Технический лист'!$I:$J,2,1)-VLOOKUP($AO120,'Технический лист'!$I:$J,2,1)),1+(1-$AU120))</f>
        <v/>
      </c>
      <c r="CZ120" s="172">
        <f>MIN(IF($AU120=100%,1,1+VLOOKUP(($AJ120-$AI120-$AH120-$AG120-$AF120-$AE120*(1+CZ$3))/$AJ120,'Технический лист'!$I:$J,2,1)-VLOOKUP($AO120,'Технический лист'!$I:$J,2,1)),1+(1-$AU120))</f>
        <v/>
      </c>
      <c r="DA120" s="172">
        <f>MIN(IF($AU120=100%,1,1+VLOOKUP(($AJ120-$AI120-$AH120-$AG120-$AF120-$AE120*(1+DA$3))/$AJ120,'Технический лист'!$I:$J,2,1)-VLOOKUP($AO120,'Технический лист'!$I:$J,2,1)),1+(1-$AU120))</f>
        <v/>
      </c>
      <c r="DB120" s="172">
        <f>MIN(IF($AU120=100%,1,1+VLOOKUP(($AJ120-$AI120-$AH120-$AG120-$AF120-$AE120*(1+DB$3))/$AJ120,'Технический лист'!$I:$J,2,1)-VLOOKUP($AO120,'Технический лист'!$I:$J,2,1)),1+(1-$AU120))</f>
        <v/>
      </c>
      <c r="DC120" s="172">
        <f>MIN(IF($AU120=100%,1,1+VLOOKUP(($AJ120-$AI120-$AH120-$AG120-$AF120-$AE120*(1+DC$3))/$AJ120,'Технический лист'!$I:$J,2,1)-VLOOKUP($AO120,'Технический лист'!$I:$J,2,1)),1+(1-$AU120))</f>
        <v/>
      </c>
      <c r="DD120" s="172">
        <f>MIN(IF($AU120=100%,1,1+VLOOKUP(($AJ120-$AI120-$AH120-$AG120-$AF120-$AE120*(1+DD$3))/$AJ120,'Технический лист'!$I:$J,2,1)-VLOOKUP($AO120,'Технический лист'!$I:$J,2,1)),1+(1-$AU120))</f>
        <v/>
      </c>
      <c r="DE120" s="172">
        <f>MIN(IF($AU120=100%,1,1+VLOOKUP(($AJ120-$AI120-$AH120-$AG120-$AF120-$AE120*(1+DE$3))/$AJ120,'Технический лист'!$I:$J,2,1)-VLOOKUP($AO120,'Технический лист'!$I:$J,2,1)),1+(1-$AU120))</f>
        <v/>
      </c>
      <c r="DF120" s="172">
        <f>MIN(IF($AU120=100%,1,1+VLOOKUP(($AJ120-$AI120-$AH120-$AG120-$AF120-$AE120*(1+DF$3))/$AJ120,'Технический лист'!$I:$J,2,1)-VLOOKUP($AO120,'Технический лист'!$I:$J,2,1)),1+(1-$AU120))</f>
        <v/>
      </c>
      <c r="DG120" s="172">
        <f>MIN(IF($AU120=100%,1,1+VLOOKUP(($AJ120-$AI120-$AH120-$AG120-$AF120-$AE120*(1+DG$3))/$AJ120,'Технический лист'!$I:$J,2,1)-VLOOKUP($AO120,'Технический лист'!$I:$J,2,1)),1+(1-$AU120))</f>
        <v/>
      </c>
      <c r="DH120" s="172">
        <f>MIN(IF($AU120=100%,1,1+VLOOKUP(($AJ120-$AI120-$AH120-$AG120-$AF120-$AE120*(1+DH$3))/$AJ120,'Технический лист'!$I:$J,2,1)-VLOOKUP($AO120,'Технический лист'!$I:$J,2,1)),1+(1-$AU120))</f>
        <v/>
      </c>
      <c r="DI120" s="172">
        <f>MIN(IF($AU120=100%,1,1+VLOOKUP(($AJ120-$AI120-$AH120-$AG120-$AF120-$AE120*(1+DI$3))/$AJ120,'Технический лист'!$I:$J,2,1)-VLOOKUP($AO120,'Технический лист'!$I:$J,2,1)),1+(1-$AU120))</f>
        <v/>
      </c>
      <c r="DJ120" s="172">
        <f>MIN(IF($AU120=100%,1,1+VLOOKUP(($AJ120-$AI120-$AH120-$AG120-$AF120-$AE120*(1+DJ$3))/$AJ120,'Технический лист'!$I:$J,2,1)-VLOOKUP($AO120,'Технический лист'!$I:$J,2,1)),1+(1-$AU120))</f>
        <v/>
      </c>
      <c r="DK120" s="172">
        <f>MIN(IF($AU120=100%,1,1+VLOOKUP(($AJ120-$AI120-$AH120-$AG120-$AF120-$AE120*(1+DK$3))/$AJ120,'Технический лист'!$I:$J,2,1)-VLOOKUP($AO120,'Технический лист'!$I:$J,2,1)),1+(1-$AU120))</f>
        <v/>
      </c>
      <c r="DL120" s="172">
        <f>MIN(IF($AU120=100%,1,1+VLOOKUP(($AJ120-$AI120-$AH120-$AG120-$AF120-$AE120*(1+DL$3))/$AJ120,'Технический лист'!$I:$J,2,1)-VLOOKUP($AO120,'Технический лист'!$I:$J,2,1)),1+(1-$AU120))</f>
        <v/>
      </c>
      <c r="DM120" s="172">
        <f>MIN(IF($AU120=100%,1,1+VLOOKUP(($AJ120-$AI120-$AH120-$AG120-$AF120-$AE120*(1+DM$3))/$AJ120,'Технический лист'!$I:$J,2,1)-VLOOKUP($AO120,'Технический лист'!$I:$J,2,1)),1+(1-$AU120))</f>
        <v/>
      </c>
      <c r="DN120" s="172">
        <f>MIN(IF($AU120=100%,1,1+VLOOKUP(($AJ120-$AI120-$AH120-$AG120-$AF120-$AE120*(1+DN$3))/$AJ120,'Технический лист'!$I:$J,2,1)-VLOOKUP($AO120,'Технический лист'!$I:$J,2,1)),1+(1-$AU120))</f>
        <v/>
      </c>
      <c r="DO120" s="172">
        <f>MIN(IF($AU120=100%,1,1+VLOOKUP(($AJ120-$AI120-$AH120-$AG120-$AF120-$AE120*(1+DO$3))/$AJ120,'Технический лист'!$I:$J,2,1)-VLOOKUP($AO120,'Технический лист'!$I:$J,2,1)),1+(1-$AU120))</f>
        <v/>
      </c>
      <c r="DP120" s="172">
        <f>MIN(IF($AU120=100%,1,1+VLOOKUP(($AJ120-$AI120-$AH120-$AG120-$AF120-$AE120*(1+DP$3))/$AJ120,'Технический лист'!$I:$J,2,1)-VLOOKUP($AO120,'Технический лист'!$I:$J,2,1)),1+(1-$AU120))</f>
        <v/>
      </c>
      <c r="DQ120" s="172">
        <f>MIN(IF($AU120=100%,1,1+VLOOKUP(($AJ120-$AI120-$AH120-$AG120-$AF120-$AE120*(1+DQ$3))/$AJ120,'Технический лист'!$I:$J,2,1)-VLOOKUP($AO120,'Технический лист'!$I:$J,2,1)),1+(1-$AU120))</f>
        <v/>
      </c>
      <c r="DR120" s="172">
        <f>MIN(IF($AU120=100%,1,1+VLOOKUP(($AJ120-$AI120-$AH120-$AG120-$AF120-$AE120*(1+DR$3))/$AJ120,'Технический лист'!$I:$J,2,1)-VLOOKUP($AO120,'Технический лист'!$I:$J,2,1)),1+(1-$AU120))</f>
        <v/>
      </c>
      <c r="DS120" s="172">
        <f>MIN(IF($AU120=100%,1,1+VLOOKUP(($AJ120-$AI120-$AH120-$AG120-$AF120-$AE120*(1+DS$3))/$AJ120,'Технический лист'!$I:$J,2,1)-VLOOKUP($AO120,'Технический лист'!$I:$J,2,1)),1+(1-$AU120))</f>
        <v/>
      </c>
      <c r="DT120" s="172">
        <f>MIN(IF($AU120=100%,1,1+VLOOKUP(($AJ120-$AI120-$AH120-$AG120-$AF120-$AE120*(1+DT$3))/$AJ120,'Технический лист'!$I:$J,2,1)-VLOOKUP($AO120,'Технический лист'!$I:$J,2,1)),1+(1-$AU120))</f>
        <v/>
      </c>
      <c r="DU120" s="172">
        <f>MIN(IF($AU120=100%,1,1+VLOOKUP(($AJ120-$AI120-$AH120-$AG120-$AF120-$AE120*(1+DU$3))/$AJ120,'Технический лист'!$I:$J,2,1)-VLOOKUP($AO120,'Технический лист'!$I:$J,2,1)),1+(1-$AU120))</f>
        <v/>
      </c>
      <c r="DV120" s="172">
        <f>MIN(IF($AU120=100%,1,1+VLOOKUP(($AJ120-$AI120-$AH120-$AG120-$AF120-$AE120*(1+DV$3))/$AJ120,'Технический лист'!$I:$J,2,1)-VLOOKUP($AO120,'Технический лист'!$I:$J,2,1)),1+(1-$AU120))</f>
        <v/>
      </c>
      <c r="DW120" s="172">
        <f>MIN(IF($AU120=100%,1,1+VLOOKUP(($AJ120-$AI120-$AH120-$AG120-$AF120-$AE120*(1+DW$3))/$AJ120,'Технический лист'!$I:$J,2,1)-VLOOKUP($AO120,'Технический лист'!$I:$J,2,1)),1+(1-$AU120))</f>
        <v/>
      </c>
      <c r="DX120" s="172">
        <f>MIN(IF($AU120=100%,1,1+VLOOKUP(($AJ120-$AI120-$AH120-$AG120-$AF120-$AE120*(1+DX$3))/$AJ120,'Технический лист'!$I:$J,2,1)-VLOOKUP($AO120,'Технический лист'!$I:$J,2,1)),1+(1-$AU120))</f>
        <v/>
      </c>
      <c r="DY120" s="172">
        <f>MIN(IF($AU120=100%,1,1+VLOOKUP(($AJ120-$AI120-$AH120-$AG120-$AF120-$AE120*(1+DY$3))/$AJ120,'Технический лист'!$I:$J,2,1)-VLOOKUP($AO120,'Технический лист'!$I:$J,2,1)),1+(1-$AU120))</f>
        <v/>
      </c>
      <c r="DZ120" s="172">
        <f>MIN(IF($AU120=100%,1,1+VLOOKUP(($AJ120-$AI120-$AH120-$AG120-$AF120-$AE120*(1+DZ$3))/$AJ120,'Технический лист'!$I:$J,2,1)-VLOOKUP($AO120,'Технический лист'!$I:$J,2,1)),1+(1-$AU120))</f>
        <v/>
      </c>
      <c r="EA120" s="172">
        <f>MIN(IF($AU120=100%,1,1+VLOOKUP(($AJ120-$AI120-$AH120-$AG120-$AF120-$AE120*(1+EA$3))/$AJ120,'Технический лист'!$I:$J,2,1)-VLOOKUP($AO120,'Технический лист'!$I:$J,2,1)),1+(1-$AU120))</f>
        <v/>
      </c>
      <c r="EB120" s="172">
        <f>MIN(IF($AU120=100%,1,1+VLOOKUP(($AJ120-$AI120-$AH120-$AG120-$AF120-$AE120*(1+EB$3))/$AJ120,'Технический лист'!$I:$J,2,1)-VLOOKUP($AO120,'Технический лист'!$I:$J,2,1)),1+(1-$AU120))</f>
        <v/>
      </c>
      <c r="EC120" s="172">
        <f>MIN(IF($AU120=100%,1,1+VLOOKUP(($AJ120-$AI120-$AH120-$AG120-$AF120-$AE120*(1+EC$3))/$AJ120,'Технический лист'!$I:$J,2,1)-VLOOKUP($AO120,'Технический лист'!$I:$J,2,1)),1+(1-$AU120))</f>
        <v/>
      </c>
      <c r="ED120" s="172">
        <f>MIN(IF($AU120=100%,1,1+VLOOKUP(($AJ120-$AI120-$AH120-$AG120-$AF120-$AE120*(1+ED$3))/$AJ120,'Технический лист'!$I:$J,2,1)-VLOOKUP($AO120,'Технический лист'!$I:$J,2,1)),1+(1-$AU120))</f>
        <v/>
      </c>
      <c r="EE120" s="172">
        <f>MIN(IF($AU120=100%,1,1+VLOOKUP(($AJ120-$AI120-$AH120-$AG120-$AF120-$AE120*(1+EE$3))/$AJ120,'Технический лист'!$I:$J,2,1)-VLOOKUP($AO120,'Технический лист'!$I:$J,2,1)),1+(1-$AU120))</f>
        <v/>
      </c>
      <c r="EF120" s="172">
        <f>MIN(IF($AU120=100%,1,1+VLOOKUP(($AJ120-$AI120-$AH120-$AG120-$AF120-$AE120*(1+EF$3))/$AJ120,'Технический лист'!$I:$J,2,1)-VLOOKUP($AO120,'Технический лист'!$I:$J,2,1)),1+(1-$AU120))</f>
        <v/>
      </c>
      <c r="EG120" s="172">
        <f>MIN(IF($AU120=100%,1,1+VLOOKUP(($AJ120-$AI120-$AH120-$AG120-$AF120-$AE120*(1+EG$3))/$AJ120,'Технический лист'!$I:$J,2,1)-VLOOKUP($AO120,'Технический лист'!$I:$J,2,1)),1+(1-$AU120))</f>
        <v/>
      </c>
      <c r="EH120" s="172">
        <f>MIN(IF($AU120=100%,1,1+VLOOKUP(($AJ120-$AI120-$AH120-$AG120-$AF120-$AE120*(1+EH$3))/$AJ120,'Технический лист'!$I:$J,2,1)-VLOOKUP($AO120,'Технический лист'!$I:$J,2,1)),1+(1-$AU120))</f>
        <v/>
      </c>
      <c r="EI120" s="172">
        <f>MIN(IF($AU120=100%,1,1+VLOOKUP(($AJ120-$AI120-$AH120-$AG120-$AF120-$AE120*(1+EI$3))/$AJ120,'Технический лист'!$I:$J,2,1)-VLOOKUP($AO120,'Технический лист'!$I:$J,2,1)),1+(1-$AU120))</f>
        <v/>
      </c>
      <c r="EJ120" s="172">
        <f>MIN(IF($AU120=100%,1,1+VLOOKUP(($AJ120-$AI120-$AH120-$AG120-$AF120-$AE120*(1+EJ$3))/$AJ120,'Технический лист'!$I:$J,2,1)-VLOOKUP($AO120,'Технический лист'!$I:$J,2,1)),1+(1-$AU120))</f>
        <v/>
      </c>
      <c r="EK120" s="172">
        <f>MIN(IF($AU120=100%,1,1+VLOOKUP(($AJ120-$AI120-$AH120-$AG120-$AF120-$AE120*(1+EK$3))/$AJ120,'Технический лист'!$I:$J,2,1)-VLOOKUP($AO120,'Технический лист'!$I:$J,2,1)),1+(1-$AU120))</f>
        <v/>
      </c>
      <c r="EL120" s="172">
        <f>MIN(IF($AU120=100%,1,1+VLOOKUP(($AJ120-$AI120-$AH120-$AG120-$AF120-$AE120*(1+EL$3))/$AJ120,'Технический лист'!$I:$J,2,1)-VLOOKUP($AO120,'Технический лист'!$I:$J,2,1)),1+(1-$AU120))</f>
        <v/>
      </c>
      <c r="EM120" s="172">
        <f>MIN(IF($AU120=100%,1,1+VLOOKUP(($AJ120-$AI120-$AH120-$AG120-$AF120-$AE120*(1+EM$3))/$AJ120,'Технический лист'!$I:$J,2,1)-VLOOKUP($AO120,'Технический лист'!$I:$J,2,1)),1+(1-$AU120))</f>
        <v/>
      </c>
      <c r="EN120" s="172">
        <f>MIN(IF($AU120=100%,1,1+VLOOKUP(($AJ120-$AI120-$AH120-$AG120-$AF120-$AE120*(1+EN$3))/$AJ120,'Технический лист'!$I:$J,2,1)-VLOOKUP($AO120,'Технический лист'!$I:$J,2,1)),1+(1-$AU120))</f>
        <v/>
      </c>
      <c r="EO120" s="172">
        <f>MIN(IF($AU120=100%,1,1+VLOOKUP(($AJ120-$AI120-$AH120-$AG120-$AF120-$AE120*(1+EO$3))/$AJ120,'Технический лист'!$I:$J,2,1)-VLOOKUP($AO120,'Технический лист'!$I:$J,2,1)),1+(1-$AU120))</f>
        <v/>
      </c>
      <c r="EP120" s="172">
        <f>MIN(IF($AU120=100%,1,1+VLOOKUP(($AJ120-$AI120-$AH120-$AG120-$AF120-$AE120*(1+EP$3))/$AJ120,'Технический лист'!$I:$J,2,1)-VLOOKUP($AO120,'Технический лист'!$I:$J,2,1)),1+(1-$AU120))</f>
        <v/>
      </c>
      <c r="EQ120" s="172">
        <f>MIN(IF($AU120=100%,1,1+VLOOKUP(($AJ120-$AI120-$AH120-$AG120-$AF120-$AE120*(1+EQ$3))/$AJ120,'Технический лист'!$I:$J,2,1)-VLOOKUP($AO120,'Технический лист'!$I:$J,2,1)),1+(1-$AU120))</f>
        <v/>
      </c>
      <c r="ER120" s="172">
        <f>MIN(IF($AU120=100%,1,1+VLOOKUP(($AJ120-$AI120-$AH120-$AG120-$AF120-$AE120*(1+ER$3))/$AJ120,'Технический лист'!$I:$J,2,1)-VLOOKUP($AO120,'Технический лист'!$I:$J,2,1)),1+(1-$AU120))</f>
        <v/>
      </c>
      <c r="ES120" s="172">
        <f>MIN(IF($AU120=100%,1,1+VLOOKUP(($AJ120-$AI120-$AH120-$AG120-$AF120-$AE120*(1+ES$3))/$AJ120,'Технический лист'!$I:$J,2,1)-VLOOKUP($AO120,'Технический лист'!$I:$J,2,1)),1+(1-$AU120))</f>
        <v/>
      </c>
      <c r="ET120" s="172">
        <f>MIN(IF($AU120=100%,1,1+VLOOKUP(($AJ120-$AI120-$AH120-$AG120-$AF120-$AE120*(1+ET$3))/$AJ120,'Технический лист'!$I:$J,2,1)-VLOOKUP($AO120,'Технический лист'!$I:$J,2,1)),1+(1-$AU120))</f>
        <v/>
      </c>
      <c r="EU120" s="172">
        <f>MIN(IF($AU120=100%,1,1+VLOOKUP(($AJ120-$AI120-$AH120-$AG120-$AF120-$AE120*(1+EU$3))/$AJ120,'Технический лист'!$I:$J,2,1)-VLOOKUP($AO120,'Технический лист'!$I:$J,2,1)),1+(1-$AU120))</f>
        <v/>
      </c>
      <c r="EV120" s="173" t="n">
        <v>1</v>
      </c>
      <c r="EW120" s="172">
        <f>MIN(1,MAX(VLOOKUP(($AJ120-$AI120-$AH120-$AG120-$AF120-$AE120*(1+EW$3))/$AJ120,'Технический лист'!$A:$B,2,1),(EV120-0.05)))</f>
        <v/>
      </c>
      <c r="EX120" s="172">
        <f>MIN(1,MAX(VLOOKUP(($AJ120-$AI120-$AH120-$AG120-$AF120-$AE120*(1+EX$3))/$AJ120,'Технический лист'!$A:$B,2,1),(EW120-0.05)))</f>
        <v/>
      </c>
      <c r="EY120" s="172">
        <f>MIN(1,MAX(VLOOKUP(($AJ120-$AI120-$AH120-$AG120-$AF120-$AE120*(1+EY$3))/$AJ120,'Технический лист'!$A:$B,2,1),(EX120-0.05)))</f>
        <v/>
      </c>
      <c r="EZ120" s="172">
        <f>MIN(1,MAX(VLOOKUP(($AJ120-$AI120-$AH120-$AG120-$AF120-$AE120*(1+EZ$3))/$AJ120,'Технический лист'!$A:$B,2,1),(EY120-0.05)))</f>
        <v/>
      </c>
      <c r="FA120" s="172">
        <f>MIN(1,MAX(VLOOKUP(($AJ120-$AI120-$AH120-$AG120-$AF120-$AE120*(1+FA$3))/$AJ120,'Технический лист'!$A:$B,2,1),(EZ120-0.05)))</f>
        <v/>
      </c>
      <c r="FB120" s="172">
        <f>MIN(1,MAX(VLOOKUP(($AJ120-$AI120-$AH120-$AG120-$AF120-$AE120*(1+FB$3))/$AJ120,'Технический лист'!$A:$B,2,1),(FA120-0.05)))</f>
        <v/>
      </c>
      <c r="FC120" s="172">
        <f>MIN(1,MAX(VLOOKUP(($AJ120-$AI120-$AH120-$AG120-$AF120-$AE120*(1+FC$3))/$AJ120,'Технический лист'!$A:$B,2,1),(FB120-0.05)))</f>
        <v/>
      </c>
      <c r="FD120" s="172">
        <f>MIN(1,MAX(VLOOKUP(($AJ120-$AI120-$AH120-$AG120-$AF120-$AE120*(1+FD$3))/$AJ120,'Технический лист'!$A:$B,2,1),(FC120-0.05)))</f>
        <v/>
      </c>
      <c r="FE120" s="172">
        <f>MIN(1,MAX(VLOOKUP(($AJ120-$AI120-$AH120-$AG120-$AF120-$AE120*(1+FE$3))/$AJ120,'Технический лист'!$A:$B,2,1),(FD120-0.05)))</f>
        <v/>
      </c>
      <c r="FF120" s="172">
        <f>MIN(1,MAX(VLOOKUP(($AJ120-$AI120-$AH120-$AG120-$AF120-$AE120*(1+FF$3))/$AJ120,'Технический лист'!$A:$B,2,1),(FE120-0.05)))</f>
        <v/>
      </c>
      <c r="FG120" s="172">
        <f>MIN(1,MAX(VLOOKUP(($AJ120-$AI120-$AH120-$AG120-$AF120-$AE120*(1+FG$3))/$AJ120,'Технический лист'!$A:$B,2,1),(FF120-0.05)))</f>
        <v/>
      </c>
      <c r="FH120" s="172">
        <f>MIN(1,MAX(VLOOKUP(($AJ120-$AI120-$AH120-$AG120-$AF120-$AE120*(1+FH$3))/$AJ120,'Технический лист'!$A:$B,2,1),(FG120-0.05)))</f>
        <v/>
      </c>
      <c r="FI120" s="172">
        <f>MIN(1,MAX(VLOOKUP(($AJ120-$AI120-$AH120-$AG120-$AF120-$AE120*(1+FI$3))/$AJ120,'Технический лист'!$A:$B,2,1),(FH120-0.05)))</f>
        <v/>
      </c>
      <c r="FJ120" s="172">
        <f>MIN(1,MAX(VLOOKUP(($AJ120-$AI120-$AH120-$AG120-$AF120-$AE120*(1+FJ$3))/$AJ120,'Технический лист'!$A:$B,2,1),(FI120-0.05)))</f>
        <v/>
      </c>
      <c r="FK120" s="172">
        <f>MIN(1,MAX(VLOOKUP(($AJ120-$AI120-$AH120-$AG120-$AF120-$AE120*(1+FK$3))/$AJ120,'Технический лист'!$A:$B,2,1),(FJ120-0.05)))</f>
        <v/>
      </c>
      <c r="FL120" s="172">
        <f>MIN(1,MAX(VLOOKUP(($AJ120-$AI120-$AH120-$AG120-$AF120-$AE120*(1+FL$3))/$AJ120,'Технический лист'!$A:$B,2,1),(FK120-0.05)))</f>
        <v/>
      </c>
      <c r="FM120" s="172">
        <f>MIN(1,MAX(VLOOKUP(($AJ120-$AI120-$AH120-$AG120-$AF120-$AE120*(1+FM$3))/$AJ120,'Технический лист'!$A:$B,2,1),(FL120-0.05)))</f>
        <v/>
      </c>
      <c r="FN120" s="172">
        <f>MIN(1,MAX(VLOOKUP(($AJ120-$AI120-$AH120-$AG120-$AF120-$AE120*(1+FN$3))/$AJ120,'Технический лист'!$A:$B,2,1),(FM120-0.05)))</f>
        <v/>
      </c>
      <c r="FO120" s="172">
        <f>MIN(1,MAX(VLOOKUP(($AJ120-$AI120-$AH120-$AG120-$AF120-$AE120*(1+FO$3))/$AJ120,'Технический лист'!$A:$B,2,1),(FN120-0.05)))</f>
        <v/>
      </c>
      <c r="FP120" s="172">
        <f>MIN(1,MAX(VLOOKUP(($AJ120-$AI120-$AH120-$AG120-$AF120-$AE120*(1+FP$3))/$AJ120,'Технический лист'!$A:$B,2,1),(FO120-0.05)))</f>
        <v/>
      </c>
      <c r="FQ120" s="172">
        <f>MIN(1,MAX(VLOOKUP(($AJ120-$AI120-$AH120-$AG120-$AF120-$AE120*(1+FQ$3))/$AJ120,'Технический лист'!$A:$B,2,1),(FP120-0.05)))</f>
        <v/>
      </c>
      <c r="FR120" s="172">
        <f>MIN(1,MAX(VLOOKUP(($AJ120-$AI120-$AH120-$AG120-$AF120-$AE120*(1+FR$3))/$AJ120,'Технический лист'!$A:$B,2,1),(FQ120-0.05)))</f>
        <v/>
      </c>
      <c r="FS120" s="172">
        <f>MIN(1,MAX(VLOOKUP(($AJ120-$AI120-$AH120-$AG120-$AF120-$AE120*(1+FS$3))/$AJ120,'Технический лист'!$A:$B,2,1),(FR120-0.05)))</f>
        <v/>
      </c>
      <c r="FT120" s="172">
        <f>MIN(1,MAX(VLOOKUP(($AJ120-$AI120-$AH120-$AG120-$AF120-$AE120*(1+FT$3))/$AJ120,'Технический лист'!$A:$B,2,1),(FS120-0.05)))</f>
        <v/>
      </c>
      <c r="FU120" s="172">
        <f>MIN(1,MAX(VLOOKUP(($AJ120-$AI120-$AH120-$AG120-$AF120-$AE120*(1+FU$3))/$AJ120,'Технический лист'!$A:$B,2,1),(FT120-0.05)))</f>
        <v/>
      </c>
      <c r="FV120" s="172">
        <f>MIN(1,MAX(VLOOKUP(($AJ120-$AI120-$AH120-$AG120-$AF120-$AE120*(1+FV$3))/$AJ120,'Технический лист'!$A:$B,2,1),(FU120-0.05)))</f>
        <v/>
      </c>
      <c r="FW120" s="172">
        <f>MIN(1,MAX(VLOOKUP(($AJ120-$AI120-$AH120-$AG120-$AF120-$AE120*(1+FW$3))/$AJ120,'Технический лист'!$A:$B,2,1),(FV120-0.05)))</f>
        <v/>
      </c>
      <c r="FX120" s="172">
        <f>MIN(1,MAX(VLOOKUP(($AJ120-$AI120-$AH120-$AG120-$AF120-$AE120*(1+FX$3))/$AJ120,'Технический лист'!$A:$B,2,1),(FW120-0.05)))</f>
        <v/>
      </c>
      <c r="FY120" s="172">
        <f>MIN(1,MAX(VLOOKUP(($AJ120-$AI120-$AH120-$AG120-$AF120-$AE120*(1+FY$3))/$AJ120,'Технический лист'!$A:$B,2,1),(FX120-0.05)))</f>
        <v/>
      </c>
      <c r="FZ120" s="172">
        <f>MIN(1,MAX(VLOOKUP(($AJ120-$AI120-$AH120-$AG120-$AF120-$AE120*(1+FZ$3))/$AJ120,'Технический лист'!$A:$B,2,1),(FY120-0.05)))</f>
        <v/>
      </c>
      <c r="GA120" s="172">
        <f>MIN(1,MAX(VLOOKUP(($AJ120-$AI120-$AH120-$AG120-$AF120-$AE120*(1+GA$3))/$AJ120,'Технический лист'!$A:$B,2,1),(FZ120-0.05)))</f>
        <v/>
      </c>
      <c r="GB120" s="172">
        <f>MIN(1,MAX(VLOOKUP(($AJ120-$AI120-$AH120-$AG120-$AF120-$AE120*(1+GB$3))/$AJ120,'Технический лист'!$A:$B,2,1),(GA120-0.05)))</f>
        <v/>
      </c>
      <c r="GC120" s="172">
        <f>MIN(1,MAX(VLOOKUP(($AJ120-$AI120-$AH120-$AG120-$AF120-$AE120*(1+GC$3))/$AJ120,'Технический лист'!$A:$B,2,1),(GB120-0.05)))</f>
        <v/>
      </c>
      <c r="GD120" s="172">
        <f>MIN(1,MAX(VLOOKUP(($AJ120-$AI120-$AH120-$AG120-$AF120-$AE120*(1+GD$3))/$AJ120,'Технический лист'!$A:$B,2,1),(GC120-0.05)))</f>
        <v/>
      </c>
      <c r="GE120" s="172">
        <f>MIN(1,MAX(VLOOKUP(($AJ120-$AI120-$AH120-$AG120-$AF120-$AE120*(1+GE$3))/$AJ120,'Технический лист'!$A:$B,2,1),(GD120-0.05)))</f>
        <v/>
      </c>
      <c r="GF120" s="172">
        <f>MIN(1,MAX(VLOOKUP(($AJ120-$AI120-$AH120-$AG120-$AF120-$AE120*(1+GF$3))/$AJ120,'Технический лист'!$A:$B,2,1),(GE120-0.05)))</f>
        <v/>
      </c>
      <c r="GG120" s="172">
        <f>MIN(1,MAX(VLOOKUP(($AJ120-$AI120-$AH120-$AG120-$AF120-$AE120*(1+GG$3))/$AJ120,'Технический лист'!$A:$B,2,1),(GF120-0.05)))</f>
        <v/>
      </c>
      <c r="GH120" s="172">
        <f>MIN(1,MAX(VLOOKUP(($AJ120-$AI120-$AH120-$AG120-$AF120-$AE120*(1+GH$3))/$AJ120,'Технический лист'!$A:$B,2,1),(GG120-0.05)))</f>
        <v/>
      </c>
      <c r="GI120" s="172">
        <f>MIN(1,MAX(VLOOKUP(($AJ120-$AI120-$AH120-$AG120-$AF120-$AE120*(1+GI$3))/$AJ120,'Технический лист'!$A:$B,2,1),(GH120-0.05)))</f>
        <v/>
      </c>
      <c r="GJ120" s="172">
        <f>MIN(1,MAX(VLOOKUP(($AJ120-$AI120-$AH120-$AG120-$AF120-$AE120*(1+GJ$3))/$AJ120,'Технический лист'!$A:$B,2,1),(GI120-0.05)))</f>
        <v/>
      </c>
      <c r="GK120" s="172">
        <f>MIN(1,MAX(VLOOKUP(($AJ120-$AI120-$AH120-$AG120-$AF120-$AE120*(1+GK$3))/$AJ120,'Технический лист'!$A:$B,2,1),(GJ120-0.05)))</f>
        <v/>
      </c>
      <c r="GL120" s="172">
        <f>MIN(1,MAX(VLOOKUP(($AJ120-$AI120-$AH120-$AG120-$AF120-$AE120*(1+GL$3))/$AJ120,'Технический лист'!$A:$B,2,1),(GK120-0.05)))</f>
        <v/>
      </c>
      <c r="GM120" s="172">
        <f>MIN(1,MAX(VLOOKUP(($AJ120-$AI120-$AH120-$AG120-$AF120-$AE120*(1+GM$3))/$AJ120,'Технический лист'!$A:$B,2,1),(GL120-0.05)))</f>
        <v/>
      </c>
      <c r="GN120" s="172">
        <f>MIN(1,MAX(VLOOKUP(($AJ120-$AI120-$AH120-$AG120-$AF120-$AE120*(1+GN$3))/$AJ120,'Технический лист'!$A:$B,2,1),(GM120-0.05)))</f>
        <v/>
      </c>
      <c r="GO120" s="172">
        <f>MIN(1,MAX(VLOOKUP(($AJ120-$AI120-$AH120-$AG120-$AF120-$AE120*(1+GO$3))/$AJ120,'Технический лист'!$A:$B,2,1),(GN120-0.05)))</f>
        <v/>
      </c>
      <c r="GP120" s="172">
        <f>MIN(1,MAX(VLOOKUP(($AJ120-$AI120-$AH120-$AG120-$AF120-$AE120*(1+GP$3))/$AJ120,'Технический лист'!$A:$B,2,1),(GO120-0.05)))</f>
        <v/>
      </c>
      <c r="GQ120" s="172">
        <f>MIN(1,MAX(VLOOKUP(($AJ120-$AI120-$AH120-$AG120-$AF120-$AE120*(1+GQ$3))/$AJ120,'Технический лист'!$A:$B,2,1),(GP120-0.05)))</f>
        <v/>
      </c>
      <c r="GR120" s="172">
        <f>MIN(1,MAX(VLOOKUP(($AJ120-$AI120-$AH120-$AG120-$AF120-$AE120*(1+GR$3))/$AJ120,'Технический лист'!$A:$B,2,1),(GQ120-0.05)))</f>
        <v/>
      </c>
      <c r="GS120" s="172">
        <f>MIN(1,MAX(VLOOKUP(($AJ120-$AI120-$AH120-$AG120-$AF120-$AE120*(1+GS$3))/$AJ120,'Технический лист'!$A:$B,2,1),(GR120-0.05)))</f>
        <v/>
      </c>
      <c r="GT120" s="172">
        <f>MIN(1,MAX(VLOOKUP(($AJ120-$AI120-$AH120-$AG120-$AF120-$AE120*(1+GT$3))/$AJ120,'Технический лист'!$A:$B,2,1),(GS120-0.05)))</f>
        <v/>
      </c>
      <c r="GU120" s="172">
        <f>MIN(1,MAX(VLOOKUP(($AJ120-$AI120-$AH120-$AG120-$AF120-$AE120*(1+GU$3))/$AJ120,'Технический лист'!$A:$B,2,1),(GT120-0.05)))</f>
        <v/>
      </c>
      <c r="GV120" s="172">
        <f>MIN(1,MAX(VLOOKUP(($AJ120-$AI120-$AH120-$AG120-$AF120-$AE120*(1+GV$3))/$AJ120,'Технический лист'!$A:$B,2,1),(GU120-0.05)))</f>
        <v/>
      </c>
      <c r="GW120" s="172">
        <f>MIN(1,MAX(VLOOKUP(($AJ120-$AI120-$AH120-$AG120-$AF120-$AE120*(1+GW$3))/$AJ120,'Технический лист'!$A:$B,2,1),(GV120-0.05)))</f>
        <v/>
      </c>
      <c r="GX120" s="172">
        <f>MIN(1,MAX(VLOOKUP(($AJ120-$AI120-$AH120-$AG120-$AF120-$AE120*(1+GX$3))/$AJ120,'Технический лист'!$A:$B,2,1),(GW120-0.05)))</f>
        <v/>
      </c>
      <c r="GY120" s="172">
        <f>MIN(1,MAX(VLOOKUP(($AJ120-$AI120-$AH120-$AG120-$AF120-$AE120*(1+GY$3))/$AJ120,'Технический лист'!$A:$B,2,1),(GX120-0.05)))</f>
        <v/>
      </c>
      <c r="GZ120" s="172">
        <f>MIN(1,MAX(VLOOKUP(($AJ120-$AI120-$AH120-$AG120-$AF120-$AE120*(1+GZ$3))/$AJ120,'Технический лист'!$A:$B,2,1),(GY120-0.05)))</f>
        <v/>
      </c>
      <c r="HA120" s="172">
        <f>MIN(1,MAX(VLOOKUP(($AJ120-$AI120-$AH120-$AG120-$AF120-$AE120*(1+HA$3))/$AJ120,'Технический лист'!$A:$B,2,1),(GZ120-0.05)))</f>
        <v/>
      </c>
      <c r="HB120" s="172">
        <f>MIN(1,MAX(VLOOKUP(($AJ120-$AI120-$AH120-$AG120-$AF120-$AE120*(1+HB$3))/$AJ120,'Технический лист'!$A:$B,2,1),(HA120-0.05)))</f>
        <v/>
      </c>
      <c r="HC120" s="172">
        <f>MIN(1,MAX(VLOOKUP(($AJ120-$AI120-$AH120-$AG120-$AF120-$AE120*(1+HC$3))/$AJ120,'Технический лист'!$A:$B,2,1),(HB120-0.05)))</f>
        <v/>
      </c>
      <c r="HD120" s="172">
        <f>MIN(1,MAX(VLOOKUP(($AJ120-$AI120-$AH120-$AG120-$AF120-$AE120*(1+HD$3))/$AJ120,'Технический лист'!$A:$B,2,1),(HC120-0.05)))</f>
        <v/>
      </c>
      <c r="HE120" s="172">
        <f>MIN(1,MAX(VLOOKUP(($AJ120-$AI120-$AH120-$AG120-$AF120-$AE120*(1+HE$3))/$AJ120,'Технический лист'!$A:$B,2,1),(HD120-0.05)))</f>
        <v/>
      </c>
      <c r="HF120" s="172">
        <f>MIN(1,MAX(VLOOKUP(($AJ120-$AI120-$AH120-$AG120-$AF120-$AE120*(1+HF$3))/$AJ120,'Технический лист'!$A:$B,2,1),(HE120-0.05)))</f>
        <v/>
      </c>
      <c r="HG120" s="172">
        <f>MIN(1,MAX(VLOOKUP(($AJ120-$AI120-$AH120-$AG120-$AF120-$AE120*(1+HG$3))/$AJ120,'Технический лист'!$A:$B,2,1),(HF120-0.05)))</f>
        <v/>
      </c>
      <c r="HH120" s="172">
        <f>MIN(1,MAX(VLOOKUP(($AJ120-$AI120-$AH120-$AG120-$AF120-$AE120*(1+HH$3))/$AJ120,'Технический лист'!$A:$B,2,1),(HG120-0.05)))</f>
        <v/>
      </c>
      <c r="HI120" s="172">
        <f>MIN(1,MAX(VLOOKUP(($AJ120-$AI120-$AH120-$AG120-$AF120-$AE120*(1+HI$3))/$AJ120,'Технический лист'!$A:$B,2,1),(HH120-0.05)))</f>
        <v/>
      </c>
      <c r="HJ120" s="172">
        <f>MIN(1,MAX(VLOOKUP(($AJ120-$AI120-$AH120-$AG120-$AF120-$AE120*(1+HJ$3))/$AJ120,'Технический лист'!$A:$B,2,1),(HI120-0.05)))</f>
        <v/>
      </c>
      <c r="HK120" s="172">
        <f>MIN(1,MAX(VLOOKUP(($AJ120-$AI120-$AH120-$AG120-$AF120-$AE120*(1+HK$3))/$AJ120,'Технический лист'!$A:$B,2,1),(HJ120-0.05)))</f>
        <v/>
      </c>
      <c r="HL120" s="172">
        <f>MIN(1,MAX(VLOOKUP(($AJ120-$AI120-$AH120-$AG120-$AF120-$AE120*(1+HL$3))/$AJ120,'Технический лист'!$A:$B,2,1),(HK120-0.05)))</f>
        <v/>
      </c>
      <c r="HM120" s="172">
        <f>MIN(1,MAX(VLOOKUP(($AJ120-$AI120-$AH120-$AG120-$AF120-$AE120*(1+HM$3))/$AJ120,'Технический лист'!$A:$B,2,1),(HL120-0.05)))</f>
        <v/>
      </c>
      <c r="HN120" s="172">
        <f>MIN(1,MAX(VLOOKUP(($AJ120-$AI120-$AH120-$AG120-$AF120-$AE120*(1+HN$3))/$AJ120,'Технический лист'!$A:$B,2,1),(HM120-0.05)))</f>
        <v/>
      </c>
      <c r="HO120" s="172">
        <f>MIN(1,MAX(VLOOKUP(($AJ120-$AI120-$AH120-$AG120-$AF120-$AE120*(1+HO$3))/$AJ120,'Технический лист'!$A:$B,2,1),(HN120-0.05)))</f>
        <v/>
      </c>
      <c r="HP120" s="172">
        <f>MIN(1,MAX(VLOOKUP(($AJ120-$AI120-$AH120-$AG120-$AF120-$AE120*(1+HP$3))/$AJ120,'Технический лист'!$A:$B,2,1),(HO120-0.05)))</f>
        <v/>
      </c>
      <c r="HQ120" s="172">
        <f>MIN(1,MAX(VLOOKUP(($AJ120-$AI120-$AH120-$AG120-$AF120-$AE120*(1+HQ$3))/$AJ120,'Технический лист'!$A:$B,2,1),(HP120-0.05)))</f>
        <v/>
      </c>
      <c r="HR120" s="172">
        <f>MIN(1,MAX(VLOOKUP(($AJ120-$AI120-$AH120-$AG120-$AF120-$AE120*(1+HR$3))/$AJ120,'Технический лист'!$A:$B,2,1),(HQ120-0.05)))</f>
        <v/>
      </c>
      <c r="HS120" s="172">
        <f>MIN(1,MAX(VLOOKUP(($AJ120-$AI120-$AH120-$AG120-$AF120-$AE120*(1+HS$3))/$AJ120,'Технический лист'!$A:$B,2,1),(HR120-0.05)))</f>
        <v/>
      </c>
      <c r="HT120" s="172">
        <f>MIN(1,MAX(VLOOKUP(($AJ120-$AI120-$AH120-$AG120-$AF120-$AE120*(1+HT$3))/$AJ120,'Технический лист'!$A:$B,2,1),(HS120-0.05)))</f>
        <v/>
      </c>
      <c r="HU120" s="172">
        <f>MIN(1,MAX(VLOOKUP(($AJ120-$AI120-$AH120-$AG120-$AF120-$AE120*(1+HU$3))/$AJ120,'Технический лист'!$A:$B,2,1),(HT120-0.05)))</f>
        <v/>
      </c>
      <c r="HV120" s="172">
        <f>MIN(1,MAX(VLOOKUP(($AJ120-$AI120-$AH120-$AG120-$AF120-$AE120*(1+HV$3))/$AJ120,'Технический лист'!$A:$B,2,1),(HU120-0.05)))</f>
        <v/>
      </c>
      <c r="HW120" s="172">
        <f>MIN(1,MAX(VLOOKUP(($AJ120-$AI120-$AH120-$AG120-$AF120-$AE120*(1+HW$3))/$AJ120,'Технический лист'!$A:$B,2,1),(HV120-0.05)))</f>
        <v/>
      </c>
      <c r="HX120" s="172">
        <f>MIN(1,MAX(VLOOKUP(($AJ120-$AI120-$AH120-$AG120-$AF120-$AE120*(1+HX$3))/$AJ120,'Технический лист'!$A:$B,2,1),(HW120-0.05)))</f>
        <v/>
      </c>
      <c r="HY120" s="172">
        <f>MIN(1,MAX(VLOOKUP(($AJ120-$AI120-$AH120-$AG120-$AF120-$AE120*(1+HY$3))/$AJ120,'Технический лист'!$A:$B,2,1),(HX120-0.05)))</f>
        <v/>
      </c>
      <c r="HZ120" s="172">
        <f>MIN(1,MAX(VLOOKUP(($AJ120-$AI120-$AH120-$AG120-$AF120-$AE120*(1+HZ$3))/$AJ120,'Технический лист'!$A:$B,2,1),(HY120-0.05)))</f>
        <v/>
      </c>
      <c r="IA120" s="172">
        <f>MIN(1,MAX(VLOOKUP(($AJ120-$AI120-$AH120-$AG120-$AF120-$AE120*(1+IA$3))/$AJ120,'Технический лист'!$A:$B,2,1),(HZ120-0.05)))</f>
        <v/>
      </c>
      <c r="IB120" s="172">
        <f>MIN(1,MAX(VLOOKUP(($AJ120-$AI120-$AH120-$AG120-$AF120-$AE120*(1+IB$3))/$AJ120,'Технический лист'!$A:$B,2,1),(IA120-0.05)))</f>
        <v/>
      </c>
      <c r="IC120" s="172">
        <f>MIN(1,MAX(VLOOKUP(($AJ120-$AI120-$AH120-$AG120-$AF120-$AE120*(1+IC$3))/$AJ120,'Технический лист'!$A:$B,2,1),(IB120-0.05)))</f>
        <v/>
      </c>
      <c r="ID120" s="172">
        <f>MIN(1,MAX(VLOOKUP(($AJ120-$AI120-$AH120-$AG120-$AF120-$AE120*(1+ID$3))/$AJ120,'Технический лист'!$A:$B,2,1),(IC120-0.05)))</f>
        <v/>
      </c>
      <c r="IE120" s="172">
        <f>MIN(1,MAX(VLOOKUP(($AJ120-$AI120-$AH120-$AG120-$AF120-$AE120*(1+IE$3))/$AJ120,'Технический лист'!$A:$B,2,1),(ID120-0.05)))</f>
        <v/>
      </c>
      <c r="IF120" s="172">
        <f>MIN(1,MAX(VLOOKUP(($AJ120-$AI120-$AH120-$AG120-$AF120-$AE120*(1+IF$3))/$AJ120,'Технический лист'!$A:$B,2,1),(IE120-0.05)))</f>
        <v/>
      </c>
      <c r="IG120" s="172">
        <f>MIN(1,MAX(VLOOKUP(($AJ120-$AI120-$AH120-$AG120-$AF120-$AE120*(1+IG$3))/$AJ120,'Технический лист'!$A:$B,2,1),(IF120-0.05)))</f>
        <v/>
      </c>
      <c r="IH120" s="172">
        <f>MIN(1,MAX(VLOOKUP(($AJ120-$AI120-$AH120-$AG120-$AF120-$AE120*(1+IH$3))/$AJ120,'Технический лист'!$A:$B,2,1),(IG120-0.05)))</f>
        <v/>
      </c>
      <c r="II120" s="172">
        <f>MIN(1,MAX(VLOOKUP(($AJ120-$AI120-$AH120-$AG120-$AF120-$AE120*(1+II$3))/$AJ120,'Технический лист'!$A:$B,2,1),(IH120-0.05)))</f>
        <v/>
      </c>
      <c r="IJ120" s="172">
        <f>MIN(1,MAX(VLOOKUP(($AJ120-$AI120-$AH120-$AG120-$AF120-$AE120*(1+IJ$3))/$AJ120,'Технический лист'!$A:$B,2,1),(II120-0.05)))</f>
        <v/>
      </c>
      <c r="IK120" s="172">
        <f>MIN(1,MAX(VLOOKUP(($AJ120-$AI120-$AH120-$AG120-$AF120-$AE120*(1+IK$3))/$AJ120,'Технический лист'!$A:$B,2,1),(IJ120-0.05)))</f>
        <v/>
      </c>
      <c r="IL120" s="172">
        <f>MIN(1,MAX(VLOOKUP(($AJ120-$AI120-$AH120-$AG120-$AF120-$AE120*(1+IL$3))/$AJ120,'Технический лист'!$A:$B,2,1),(IK120-0.05)))</f>
        <v/>
      </c>
      <c r="IM120" s="172">
        <f>MIN(1,MAX(VLOOKUP(($AJ120-$AI120-$AH120-$AG120-$AF120-$AE120*(1+IM$3))/$AJ120,'Технический лист'!$A:$B,2,1),(IL120-0.05)))</f>
        <v/>
      </c>
      <c r="IN120" s="172">
        <f>MIN(1,MAX(VLOOKUP(($AJ120-$AI120-$AH120-$AG120-$AF120-$AE120*(1+IN$3))/$AJ120,'Технический лист'!$A:$B,2,1),(IM120-0.05)))</f>
        <v/>
      </c>
      <c r="IO120" s="172">
        <f>MIN(1,MAX(VLOOKUP(($AJ120-$AI120-$AH120-$AG120-$AF120-$AE120*(1+IO$3))/$AJ120,'Технический лист'!$A:$B,2,1),(IN120-0.05)))</f>
        <v/>
      </c>
      <c r="IP120" s="172">
        <f>MIN(1,MAX(VLOOKUP(($AJ120-$AI120-$AH120-$AG120-$AF120-$AE120*(1+IP$3))/$AJ120,'Технический лист'!$A:$B,2,1),(IO120-0.05)))</f>
        <v/>
      </c>
      <c r="IQ120" s="172">
        <f>MIN(1,MAX(VLOOKUP(($AJ120-$AI120-$AH120-$AG120-$AF120-$AE120*(1+IQ$3))/$AJ120,'Технический лист'!$A:$B,2,1),(IP120-0.05)))</f>
        <v/>
      </c>
      <c r="IR120" s="172">
        <f>MIN(1,MAX(VLOOKUP(($AJ120-$AI120-$AH120-$AG120-$AF120-$AE120*(1+IR$3))/$AJ120,'Технический лист'!$A:$B,2,1),(IQ120-0.05)))</f>
        <v/>
      </c>
    </row>
    <row r="121" ht="43.75" customHeight="1" s="123">
      <c r="A121" s="89" t="inlineStr">
        <is>
          <t>ЧМ (продукция)</t>
        </is>
      </c>
      <c r="B121" s="90" t="n">
        <v>5</v>
      </c>
      <c r="C121" s="5" t="inlineStr">
        <is>
          <t>Черные металлы</t>
        </is>
      </c>
      <c r="D121" s="91" t="n">
        <v>32416</v>
      </c>
      <c r="E121" s="91" t="inlineStr">
        <is>
          <t xml:space="preserve">Сталь листовая, не поименованная в алфавите </t>
        </is>
      </c>
      <c r="F121" s="92" t="inlineStr">
        <is>
          <t>ПРОЧИЕ ВИДЫ ПРОКАТА ЧЕРНЫ</t>
        </is>
      </c>
      <c r="G121" s="91" t="inlineStr">
        <is>
          <t>СЕВ</t>
        </is>
      </c>
      <c r="H121" s="91" t="inlineStr">
        <is>
          <t>ЮУР</t>
        </is>
      </c>
      <c r="I121" s="91" t="inlineStr">
        <is>
          <t>ЧЕРЕПОВЕЦ 2</t>
        </is>
      </c>
      <c r="J121" s="91" t="inlineStr">
        <is>
          <t>КАНИСАЙ-Э(Р)</t>
        </is>
      </c>
      <c r="K121" s="91" t="n">
        <v>2182</v>
      </c>
      <c r="L121" s="77" t="inlineStr">
        <is>
          <t>Платформы</t>
        </is>
      </c>
      <c r="M121" s="91" t="inlineStr">
        <is>
          <t>Экспорт</t>
        </is>
      </c>
      <c r="N121" s="91" t="inlineStr">
        <is>
          <t>контейнерная</t>
        </is>
      </c>
      <c r="O121" s="91" t="inlineStr">
        <is>
          <t xml:space="preserve">Южное </t>
        </is>
      </c>
      <c r="P121" s="89" t="inlineStr">
        <is>
          <t>'000049183851</t>
        </is>
      </c>
      <c r="Q121" s="91" t="inlineStr">
        <is>
          <t>ПАО "СЕВЕРСТАЛЬ"</t>
        </is>
      </c>
      <c r="R121" s="91" t="inlineStr">
        <is>
          <t>ПАО "СЕВЕРСТАЛЬ"</t>
        </is>
      </c>
      <c r="S121" s="87" t="n">
        <v>94039</v>
      </c>
      <c r="T121" s="87" t="n">
        <v>205161621</v>
      </c>
      <c r="U121" s="88" t="n">
        <v>1399</v>
      </c>
      <c r="V121" s="88" t="n">
        <v>2798</v>
      </c>
      <c r="W121" s="87" t="n">
        <v>338588737</v>
      </c>
      <c r="X121" s="112" t="n">
        <v>68</v>
      </c>
      <c r="Y121" s="112" t="inlineStr">
        <is>
          <t>контейнерная</t>
        </is>
      </c>
      <c r="Z121" s="113" t="n">
        <v>15</v>
      </c>
      <c r="AA121" s="113" t="n">
        <v>0</v>
      </c>
      <c r="AB121" s="113" t="n">
        <v>4</v>
      </c>
      <c r="AC121" s="161">
        <f>120890/X121</f>
        <v/>
      </c>
      <c r="AD121" s="161" t="n">
        <v>0</v>
      </c>
      <c r="AE121" s="161">
        <f>AC121</f>
        <v/>
      </c>
      <c r="AF121" s="162">
        <f>(AB121+AA121+Z121)*'Ставки аренды'!$B$6/X121</f>
        <v/>
      </c>
      <c r="AG121" s="164" t="n">
        <v>0</v>
      </c>
      <c r="AH121" s="164" t="n">
        <v>0</v>
      </c>
      <c r="AI121" s="174">
        <f>507353/712157*AVERAGE(AJ120,AJ122)</f>
        <v/>
      </c>
      <c r="AJ121" s="166">
        <f>Цены!C17*'Курсы валют'!B2</f>
        <v/>
      </c>
      <c r="AK121" s="164">
        <f>AJ121/Цены!$B$1</f>
        <v/>
      </c>
      <c r="AL121" s="164">
        <f>AE121+AF121+AG121</f>
        <v/>
      </c>
      <c r="AM121" s="164">
        <f>AJ121-AL121</f>
        <v/>
      </c>
      <c r="AN121" s="164">
        <f>AI121+AH121+AG121+AF121+AE121</f>
        <v/>
      </c>
      <c r="AO121" s="167">
        <f>(AJ121-AN121)/AJ121</f>
        <v/>
      </c>
      <c r="AP121" s="168">
        <f>AL121/AJ121</f>
        <v/>
      </c>
      <c r="AQ121" s="168">
        <f>AE121/AJ121</f>
        <v/>
      </c>
      <c r="AR121" s="168">
        <f>AE121/AL121</f>
        <v/>
      </c>
      <c r="AS121" s="169" t="n">
        <v>1</v>
      </c>
      <c r="AT121" s="121">
        <f>S121*AS121</f>
        <v/>
      </c>
      <c r="AU121" s="83" t="n">
        <v>0.95</v>
      </c>
      <c r="AV121" s="170">
        <f>(AJ121-(AE121*(1+$IS$2)+AF121+AG121+AH121+AI121))/AJ121</f>
        <v/>
      </c>
      <c r="AW121" s="171">
        <f>(AE121*(1+$IS$2)+AF121+AG121)/AJ121</f>
        <v/>
      </c>
      <c r="AX121" s="171">
        <f>(AE121*(1+$IS$2))/AJ121</f>
        <v/>
      </c>
      <c r="AY121" s="171">
        <f>(AE121*(1+$IS$2))/(AE121*(1+$IS$2)+AF121+AG121)</f>
        <v/>
      </c>
      <c r="AZ121" s="172">
        <f>MIN(IF($AU121=100%,1,1+VLOOKUP(($AJ121-$AI121-$AH121-$AG121-$AF121-$AE121*(1+AZ$3))/$AJ121,'Технический лист'!$I:$J,2,1)-VLOOKUP($AO121,'Технический лист'!$I:$J,2,1)),1+(1-$AU121))</f>
        <v/>
      </c>
      <c r="BA121" s="172">
        <f>MIN(IF($AU121=100%,1,1+VLOOKUP(($AJ121-$AI121-$AH121-$AG121-$AF121-$AE121*(1+BA$3))/$AJ121,'Технический лист'!$I:$J,2,1)-VLOOKUP($AO121,'Технический лист'!$I:$J,2,1)),1+(1-$AU121))</f>
        <v/>
      </c>
      <c r="BB121" s="172">
        <f>MIN(IF($AU121=100%,1,1+VLOOKUP(($AJ121-$AI121-$AH121-$AG121-$AF121-$AE121*(1+BB$3))/$AJ121,'Технический лист'!$I:$J,2,1)-VLOOKUP($AO121,'Технический лист'!$I:$J,2,1)),1+(1-$AU121))</f>
        <v/>
      </c>
      <c r="BC121" s="172">
        <f>MIN(IF($AU121=100%,1,1+VLOOKUP(($AJ121-$AI121-$AH121-$AG121-$AF121-$AE121*(1+BC$3))/$AJ121,'Технический лист'!$I:$J,2,1)-VLOOKUP($AO121,'Технический лист'!$I:$J,2,1)),1+(1-$AU121))</f>
        <v/>
      </c>
      <c r="BD121" s="172">
        <f>MIN(IF($AU121=100%,1,1+VLOOKUP(($AJ121-$AI121-$AH121-$AG121-$AF121-$AE121*(1+BD$3))/$AJ121,'Технический лист'!$I:$J,2,1)-VLOOKUP($AO121,'Технический лист'!$I:$J,2,1)),1+(1-$AU121))</f>
        <v/>
      </c>
      <c r="BE121" s="172">
        <f>MIN(IF($AU121=100%,1,1+VLOOKUP(($AJ121-$AI121-$AH121-$AG121-$AF121-$AE121*(1+BE$3))/$AJ121,'Технический лист'!$I:$J,2,1)-VLOOKUP($AO121,'Технический лист'!$I:$J,2,1)),1+(1-$AU121))</f>
        <v/>
      </c>
      <c r="BF121" s="172">
        <f>MIN(IF($AU121=100%,1,1+VLOOKUP(($AJ121-$AI121-$AH121-$AG121-$AF121-$AE121*(1+BF$3))/$AJ121,'Технический лист'!$I:$J,2,1)-VLOOKUP($AO121,'Технический лист'!$I:$J,2,1)),1+(1-$AU121))</f>
        <v/>
      </c>
      <c r="BG121" s="172">
        <f>MIN(IF($AU121=100%,1,1+VLOOKUP(($AJ121-$AI121-$AH121-$AG121-$AF121-$AE121*(1+BG$3))/$AJ121,'Технический лист'!$I:$J,2,1)-VLOOKUP($AO121,'Технический лист'!$I:$J,2,1)),1+(1-$AU121))</f>
        <v/>
      </c>
      <c r="BH121" s="172">
        <f>MIN(IF($AU121=100%,1,1+VLOOKUP(($AJ121-$AI121-$AH121-$AG121-$AF121-$AE121*(1+BH$3))/$AJ121,'Технический лист'!$I:$J,2,1)-VLOOKUP($AO121,'Технический лист'!$I:$J,2,1)),1+(1-$AU121))</f>
        <v/>
      </c>
      <c r="BI121" s="172">
        <f>MIN(IF($AU121=100%,1,1+VLOOKUP(($AJ121-$AI121-$AH121-$AG121-$AF121-$AE121*(1+BI$3))/$AJ121,'Технический лист'!$I:$J,2,1)-VLOOKUP($AO121,'Технический лист'!$I:$J,2,1)),1+(1-$AU121))</f>
        <v/>
      </c>
      <c r="BJ121" s="172">
        <f>MIN(IF($AU121=100%,1,1+VLOOKUP(($AJ121-$AI121-$AH121-$AG121-$AF121-$AE121*(1+BJ$3))/$AJ121,'Технический лист'!$I:$J,2,1)-VLOOKUP($AO121,'Технический лист'!$I:$J,2,1)),1+(1-$AU121))</f>
        <v/>
      </c>
      <c r="BK121" s="172">
        <f>MIN(IF($AU121=100%,1,1+VLOOKUP(($AJ121-$AI121-$AH121-$AG121-$AF121-$AE121*(1+BK$3))/$AJ121,'Технический лист'!$I:$J,2,1)-VLOOKUP($AO121,'Технический лист'!$I:$J,2,1)),1+(1-$AU121))</f>
        <v/>
      </c>
      <c r="BL121" s="172">
        <f>MIN(IF($AU121=100%,1,1+VLOOKUP(($AJ121-$AI121-$AH121-$AG121-$AF121-$AE121*(1+BL$3))/$AJ121,'Технический лист'!$I:$J,2,1)-VLOOKUP($AO121,'Технический лист'!$I:$J,2,1)),1+(1-$AU121))</f>
        <v/>
      </c>
      <c r="BM121" s="172">
        <f>MIN(IF($AU121=100%,1,1+VLOOKUP(($AJ121-$AI121-$AH121-$AG121-$AF121-$AE121*(1+BM$3))/$AJ121,'Технический лист'!$I:$J,2,1)-VLOOKUP($AO121,'Технический лист'!$I:$J,2,1)),1+(1-$AU121))</f>
        <v/>
      </c>
      <c r="BN121" s="172">
        <f>MIN(IF($AU121=100%,1,1+VLOOKUP(($AJ121-$AI121-$AH121-$AG121-$AF121-$AE121*(1+BN$3))/$AJ121,'Технический лист'!$I:$J,2,1)-VLOOKUP($AO121,'Технический лист'!$I:$J,2,1)),1+(1-$AU121))</f>
        <v/>
      </c>
      <c r="BO121" s="172">
        <f>MIN(IF($AU121=100%,1,1+VLOOKUP(($AJ121-$AI121-$AH121-$AG121-$AF121-$AE121*(1+BO$3))/$AJ121,'Технический лист'!$I:$J,2,1)-VLOOKUP($AO121,'Технический лист'!$I:$J,2,1)),1+(1-$AU121))</f>
        <v/>
      </c>
      <c r="BP121" s="172">
        <f>MIN(IF($AU121=100%,1,1+VLOOKUP(($AJ121-$AI121-$AH121-$AG121-$AF121-$AE121*(1+BP$3))/$AJ121,'Технический лист'!$I:$J,2,1)-VLOOKUP($AO121,'Технический лист'!$I:$J,2,1)),1+(1-$AU121))</f>
        <v/>
      </c>
      <c r="BQ121" s="172">
        <f>MIN(IF($AU121=100%,1,1+VLOOKUP(($AJ121-$AI121-$AH121-$AG121-$AF121-$AE121*(1+BQ$3))/$AJ121,'Технический лист'!$I:$J,2,1)-VLOOKUP($AO121,'Технический лист'!$I:$J,2,1)),1+(1-$AU121))</f>
        <v/>
      </c>
      <c r="BR121" s="172">
        <f>MIN(IF($AU121=100%,1,1+VLOOKUP(($AJ121-$AI121-$AH121-$AG121-$AF121-$AE121*(1+BR$3))/$AJ121,'Технический лист'!$I:$J,2,1)-VLOOKUP($AO121,'Технический лист'!$I:$J,2,1)),1+(1-$AU121))</f>
        <v/>
      </c>
      <c r="BS121" s="172">
        <f>MIN(IF($AU121=100%,1,1+VLOOKUP(($AJ121-$AI121-$AH121-$AG121-$AF121-$AE121*(1+BS$3))/$AJ121,'Технический лист'!$I:$J,2,1)-VLOOKUP($AO121,'Технический лист'!$I:$J,2,1)),1+(1-$AU121))</f>
        <v/>
      </c>
      <c r="BT121" s="172">
        <f>MIN(IF($AU121=100%,1,1+VLOOKUP(($AJ121-$AI121-$AH121-$AG121-$AF121-$AE121*(1+BT$3))/$AJ121,'Технический лист'!$I:$J,2,1)-VLOOKUP($AO121,'Технический лист'!$I:$J,2,1)),1+(1-$AU121))</f>
        <v/>
      </c>
      <c r="BU121" s="172">
        <f>MIN(IF($AU121=100%,1,1+VLOOKUP(($AJ121-$AI121-$AH121-$AG121-$AF121-$AE121*(1+BU$3))/$AJ121,'Технический лист'!$I:$J,2,1)-VLOOKUP($AO121,'Технический лист'!$I:$J,2,1)),1+(1-$AU121))</f>
        <v/>
      </c>
      <c r="BV121" s="172">
        <f>MIN(IF($AU121=100%,1,1+VLOOKUP(($AJ121-$AI121-$AH121-$AG121-$AF121-$AE121*(1+BV$3))/$AJ121,'Технический лист'!$I:$J,2,1)-VLOOKUP($AO121,'Технический лист'!$I:$J,2,1)),1+(1-$AU121))</f>
        <v/>
      </c>
      <c r="BW121" s="172">
        <f>MIN(IF($AU121=100%,1,1+VLOOKUP(($AJ121-$AI121-$AH121-$AG121-$AF121-$AE121*(1+BW$3))/$AJ121,'Технический лист'!$I:$J,2,1)-VLOOKUP($AO121,'Технический лист'!$I:$J,2,1)),1+(1-$AU121))</f>
        <v/>
      </c>
      <c r="BX121" s="172">
        <f>MIN(IF($AU121=100%,1,1+VLOOKUP(($AJ121-$AI121-$AH121-$AG121-$AF121-$AE121*(1+BX$3))/$AJ121,'Технический лист'!$I:$J,2,1)-VLOOKUP($AO121,'Технический лист'!$I:$J,2,1)),1+(1-$AU121))</f>
        <v/>
      </c>
      <c r="BY121" s="172">
        <f>MIN(IF($AU121=100%,1,1+VLOOKUP(($AJ121-$AI121-$AH121-$AG121-$AF121-$AE121*(1+BY$3))/$AJ121,'Технический лист'!$I:$J,2,1)-VLOOKUP($AO121,'Технический лист'!$I:$J,2,1)),1+(1-$AU121))</f>
        <v/>
      </c>
      <c r="BZ121" s="172">
        <f>MIN(IF($AU121=100%,1,1+VLOOKUP(($AJ121-$AI121-$AH121-$AG121-$AF121-$AE121*(1+BZ$3))/$AJ121,'Технический лист'!$I:$J,2,1)-VLOOKUP($AO121,'Технический лист'!$I:$J,2,1)),1+(1-$AU121))</f>
        <v/>
      </c>
      <c r="CA121" s="172">
        <f>MIN(IF($AU121=100%,1,1+VLOOKUP(($AJ121-$AI121-$AH121-$AG121-$AF121-$AE121*(1+CA$3))/$AJ121,'Технический лист'!$I:$J,2,1)-VLOOKUP($AO121,'Технический лист'!$I:$J,2,1)),1+(1-$AU121))</f>
        <v/>
      </c>
      <c r="CB121" s="172">
        <f>MIN(IF($AU121=100%,1,1+VLOOKUP(($AJ121-$AI121-$AH121-$AG121-$AF121-$AE121*(1+CB$3))/$AJ121,'Технический лист'!$I:$J,2,1)-VLOOKUP($AO121,'Технический лист'!$I:$J,2,1)),1+(1-$AU121))</f>
        <v/>
      </c>
      <c r="CC121" s="172">
        <f>MIN(IF($AU121=100%,1,1+VLOOKUP(($AJ121-$AI121-$AH121-$AG121-$AF121-$AE121*(1+CC$3))/$AJ121,'Технический лист'!$I:$J,2,1)-VLOOKUP($AO121,'Технический лист'!$I:$J,2,1)),1+(1-$AU121))</f>
        <v/>
      </c>
      <c r="CD121" s="172">
        <f>MIN(IF($AU121=100%,1,1+VLOOKUP(($AJ121-$AI121-$AH121-$AG121-$AF121-$AE121*(1+CD$3))/$AJ121,'Технический лист'!$I:$J,2,1)-VLOOKUP($AO121,'Технический лист'!$I:$J,2,1)),1+(1-$AU121))</f>
        <v/>
      </c>
      <c r="CE121" s="172">
        <f>MIN(IF($AU121=100%,1,1+VLOOKUP(($AJ121-$AI121-$AH121-$AG121-$AF121-$AE121*(1+CE$3))/$AJ121,'Технический лист'!$I:$J,2,1)-VLOOKUP($AO121,'Технический лист'!$I:$J,2,1)),1+(1-$AU121))</f>
        <v/>
      </c>
      <c r="CF121" s="172">
        <f>MIN(IF($AU121=100%,1,1+VLOOKUP(($AJ121-$AI121-$AH121-$AG121-$AF121-$AE121*(1+CF$3))/$AJ121,'Технический лист'!$I:$J,2,1)-VLOOKUP($AO121,'Технический лист'!$I:$J,2,1)),1+(1-$AU121))</f>
        <v/>
      </c>
      <c r="CG121" s="172">
        <f>MIN(IF($AU121=100%,1,1+VLOOKUP(($AJ121-$AI121-$AH121-$AG121-$AF121-$AE121*(1+CG$3))/$AJ121,'Технический лист'!$I:$J,2,1)-VLOOKUP($AO121,'Технический лист'!$I:$J,2,1)),1+(1-$AU121))</f>
        <v/>
      </c>
      <c r="CH121" s="172">
        <f>MIN(IF($AU121=100%,1,1+VLOOKUP(($AJ121-$AI121-$AH121-$AG121-$AF121-$AE121*(1+CH$3))/$AJ121,'Технический лист'!$I:$J,2,1)-VLOOKUP($AO121,'Технический лист'!$I:$J,2,1)),1+(1-$AU121))</f>
        <v/>
      </c>
      <c r="CI121" s="172">
        <f>MIN(IF($AU121=100%,1,1+VLOOKUP(($AJ121-$AI121-$AH121-$AG121-$AF121-$AE121*(1+CI$3))/$AJ121,'Технический лист'!$I:$J,2,1)-VLOOKUP($AO121,'Технический лист'!$I:$J,2,1)),1+(1-$AU121))</f>
        <v/>
      </c>
      <c r="CJ121" s="172">
        <f>MIN(IF($AU121=100%,1,1+VLOOKUP(($AJ121-$AI121-$AH121-$AG121-$AF121-$AE121*(1+CJ$3))/$AJ121,'Технический лист'!$I:$J,2,1)-VLOOKUP($AO121,'Технический лист'!$I:$J,2,1)),1+(1-$AU121))</f>
        <v/>
      </c>
      <c r="CK121" s="172">
        <f>MIN(IF($AU121=100%,1,1+VLOOKUP(($AJ121-$AI121-$AH121-$AG121-$AF121-$AE121*(1+CK$3))/$AJ121,'Технический лист'!$I:$J,2,1)-VLOOKUP($AO121,'Технический лист'!$I:$J,2,1)),1+(1-$AU121))</f>
        <v/>
      </c>
      <c r="CL121" s="172">
        <f>MIN(IF($AU121=100%,1,1+VLOOKUP(($AJ121-$AI121-$AH121-$AG121-$AF121-$AE121*(1+CL$3))/$AJ121,'Технический лист'!$I:$J,2,1)-VLOOKUP($AO121,'Технический лист'!$I:$J,2,1)),1+(1-$AU121))</f>
        <v/>
      </c>
      <c r="CM121" s="172">
        <f>MIN(IF($AU121=100%,1,1+VLOOKUP(($AJ121-$AI121-$AH121-$AG121-$AF121-$AE121*(1+CM$3))/$AJ121,'Технический лист'!$I:$J,2,1)-VLOOKUP($AO121,'Технический лист'!$I:$J,2,1)),1+(1-$AU121))</f>
        <v/>
      </c>
      <c r="CN121" s="172">
        <f>MIN(IF($AU121=100%,1,1+VLOOKUP(($AJ121-$AI121-$AH121-$AG121-$AF121-$AE121*(1+CN$3))/$AJ121,'Технический лист'!$I:$J,2,1)-VLOOKUP($AO121,'Технический лист'!$I:$J,2,1)),1+(1-$AU121))</f>
        <v/>
      </c>
      <c r="CO121" s="172">
        <f>MIN(IF($AU121=100%,1,1+VLOOKUP(($AJ121-$AI121-$AH121-$AG121-$AF121-$AE121*(1+CO$3))/$AJ121,'Технический лист'!$I:$J,2,1)-VLOOKUP($AO121,'Технический лист'!$I:$J,2,1)),1+(1-$AU121))</f>
        <v/>
      </c>
      <c r="CP121" s="172">
        <f>MIN(IF($AU121=100%,1,1+VLOOKUP(($AJ121-$AI121-$AH121-$AG121-$AF121-$AE121*(1+CP$3))/$AJ121,'Технический лист'!$I:$J,2,1)-VLOOKUP($AO121,'Технический лист'!$I:$J,2,1)),1+(1-$AU121))</f>
        <v/>
      </c>
      <c r="CQ121" s="172">
        <f>MIN(IF($AU121=100%,1,1+VLOOKUP(($AJ121-$AI121-$AH121-$AG121-$AF121-$AE121*(1+CQ$3))/$AJ121,'Технический лист'!$I:$J,2,1)-VLOOKUP($AO121,'Технический лист'!$I:$J,2,1)),1+(1-$AU121))</f>
        <v/>
      </c>
      <c r="CR121" s="172">
        <f>MIN(IF($AU121=100%,1,1+VLOOKUP(($AJ121-$AI121-$AH121-$AG121-$AF121-$AE121*(1+CR$3))/$AJ121,'Технический лист'!$I:$J,2,1)-VLOOKUP($AO121,'Технический лист'!$I:$J,2,1)),1+(1-$AU121))</f>
        <v/>
      </c>
      <c r="CS121" s="172">
        <f>MIN(IF($AU121=100%,1,1+VLOOKUP(($AJ121-$AI121-$AH121-$AG121-$AF121-$AE121*(1+CS$3))/$AJ121,'Технический лист'!$I:$J,2,1)-VLOOKUP($AO121,'Технический лист'!$I:$J,2,1)),1+(1-$AU121))</f>
        <v/>
      </c>
      <c r="CT121" s="172">
        <f>MIN(IF($AU121=100%,1,1+VLOOKUP(($AJ121-$AI121-$AH121-$AG121-$AF121-$AE121*(1+CT$3))/$AJ121,'Технический лист'!$I:$J,2,1)-VLOOKUP($AO121,'Технический лист'!$I:$J,2,1)),1+(1-$AU121))</f>
        <v/>
      </c>
      <c r="CU121" s="172">
        <f>MIN(IF($AU121=100%,1,1+VLOOKUP(($AJ121-$AI121-$AH121-$AG121-$AF121-$AE121*(1+CU$3))/$AJ121,'Технический лист'!$I:$J,2,1)-VLOOKUP($AO121,'Технический лист'!$I:$J,2,1)),1+(1-$AU121))</f>
        <v/>
      </c>
      <c r="CV121" s="172">
        <f>MIN(IF($AU121=100%,1,1+VLOOKUP(($AJ121-$AI121-$AH121-$AG121-$AF121-$AE121*(1+CV$3))/$AJ121,'Технический лист'!$I:$J,2,1)-VLOOKUP($AO121,'Технический лист'!$I:$J,2,1)),1+(1-$AU121))</f>
        <v/>
      </c>
      <c r="CW121" s="172">
        <f>MIN(IF($AU121=100%,1,1+VLOOKUP(($AJ121-$AI121-$AH121-$AG121-$AF121-$AE121*(1+CW$3))/$AJ121,'Технический лист'!$I:$J,2,1)-VLOOKUP($AO121,'Технический лист'!$I:$J,2,1)),1+(1-$AU121))</f>
        <v/>
      </c>
      <c r="CX121" s="172">
        <f>MIN(IF($AU121=100%,1,1+VLOOKUP(($AJ121-$AI121-$AH121-$AG121-$AF121-$AE121*(1+CX$3))/$AJ121,'Технический лист'!$I:$J,2,1)-VLOOKUP($AO121,'Технический лист'!$I:$J,2,1)),1+(1-$AU121))</f>
        <v/>
      </c>
      <c r="CY121" s="172">
        <f>MIN(IF($AU121=100%,1,1+VLOOKUP(($AJ121-$AI121-$AH121-$AG121-$AF121-$AE121*(1+CY$3))/$AJ121,'Технический лист'!$I:$J,2,1)-VLOOKUP($AO121,'Технический лист'!$I:$J,2,1)),1+(1-$AU121))</f>
        <v/>
      </c>
      <c r="CZ121" s="172">
        <f>MIN(IF($AU121=100%,1,1+VLOOKUP(($AJ121-$AI121-$AH121-$AG121-$AF121-$AE121*(1+CZ$3))/$AJ121,'Технический лист'!$I:$J,2,1)-VLOOKUP($AO121,'Технический лист'!$I:$J,2,1)),1+(1-$AU121))</f>
        <v/>
      </c>
      <c r="DA121" s="172">
        <f>MIN(IF($AU121=100%,1,1+VLOOKUP(($AJ121-$AI121-$AH121-$AG121-$AF121-$AE121*(1+DA$3))/$AJ121,'Технический лист'!$I:$J,2,1)-VLOOKUP($AO121,'Технический лист'!$I:$J,2,1)),1+(1-$AU121))</f>
        <v/>
      </c>
      <c r="DB121" s="172">
        <f>MIN(IF($AU121=100%,1,1+VLOOKUP(($AJ121-$AI121-$AH121-$AG121-$AF121-$AE121*(1+DB$3))/$AJ121,'Технический лист'!$I:$J,2,1)-VLOOKUP($AO121,'Технический лист'!$I:$J,2,1)),1+(1-$AU121))</f>
        <v/>
      </c>
      <c r="DC121" s="172">
        <f>MIN(IF($AU121=100%,1,1+VLOOKUP(($AJ121-$AI121-$AH121-$AG121-$AF121-$AE121*(1+DC$3))/$AJ121,'Технический лист'!$I:$J,2,1)-VLOOKUP($AO121,'Технический лист'!$I:$J,2,1)),1+(1-$AU121))</f>
        <v/>
      </c>
      <c r="DD121" s="172">
        <f>MIN(IF($AU121=100%,1,1+VLOOKUP(($AJ121-$AI121-$AH121-$AG121-$AF121-$AE121*(1+DD$3))/$AJ121,'Технический лист'!$I:$J,2,1)-VLOOKUP($AO121,'Технический лист'!$I:$J,2,1)),1+(1-$AU121))</f>
        <v/>
      </c>
      <c r="DE121" s="172">
        <f>MIN(IF($AU121=100%,1,1+VLOOKUP(($AJ121-$AI121-$AH121-$AG121-$AF121-$AE121*(1+DE$3))/$AJ121,'Технический лист'!$I:$J,2,1)-VLOOKUP($AO121,'Технический лист'!$I:$J,2,1)),1+(1-$AU121))</f>
        <v/>
      </c>
      <c r="DF121" s="172">
        <f>MIN(IF($AU121=100%,1,1+VLOOKUP(($AJ121-$AI121-$AH121-$AG121-$AF121-$AE121*(1+DF$3))/$AJ121,'Технический лист'!$I:$J,2,1)-VLOOKUP($AO121,'Технический лист'!$I:$J,2,1)),1+(1-$AU121))</f>
        <v/>
      </c>
      <c r="DG121" s="172">
        <f>MIN(IF($AU121=100%,1,1+VLOOKUP(($AJ121-$AI121-$AH121-$AG121-$AF121-$AE121*(1+DG$3))/$AJ121,'Технический лист'!$I:$J,2,1)-VLOOKUP($AO121,'Технический лист'!$I:$J,2,1)),1+(1-$AU121))</f>
        <v/>
      </c>
      <c r="DH121" s="172">
        <f>MIN(IF($AU121=100%,1,1+VLOOKUP(($AJ121-$AI121-$AH121-$AG121-$AF121-$AE121*(1+DH$3))/$AJ121,'Технический лист'!$I:$J,2,1)-VLOOKUP($AO121,'Технический лист'!$I:$J,2,1)),1+(1-$AU121))</f>
        <v/>
      </c>
      <c r="DI121" s="172">
        <f>MIN(IF($AU121=100%,1,1+VLOOKUP(($AJ121-$AI121-$AH121-$AG121-$AF121-$AE121*(1+DI$3))/$AJ121,'Технический лист'!$I:$J,2,1)-VLOOKUP($AO121,'Технический лист'!$I:$J,2,1)),1+(1-$AU121))</f>
        <v/>
      </c>
      <c r="DJ121" s="172">
        <f>MIN(IF($AU121=100%,1,1+VLOOKUP(($AJ121-$AI121-$AH121-$AG121-$AF121-$AE121*(1+DJ$3))/$AJ121,'Технический лист'!$I:$J,2,1)-VLOOKUP($AO121,'Технический лист'!$I:$J,2,1)),1+(1-$AU121))</f>
        <v/>
      </c>
      <c r="DK121" s="172">
        <f>MIN(IF($AU121=100%,1,1+VLOOKUP(($AJ121-$AI121-$AH121-$AG121-$AF121-$AE121*(1+DK$3))/$AJ121,'Технический лист'!$I:$J,2,1)-VLOOKUP($AO121,'Технический лист'!$I:$J,2,1)),1+(1-$AU121))</f>
        <v/>
      </c>
      <c r="DL121" s="172">
        <f>MIN(IF($AU121=100%,1,1+VLOOKUP(($AJ121-$AI121-$AH121-$AG121-$AF121-$AE121*(1+DL$3))/$AJ121,'Технический лист'!$I:$J,2,1)-VLOOKUP($AO121,'Технический лист'!$I:$J,2,1)),1+(1-$AU121))</f>
        <v/>
      </c>
      <c r="DM121" s="172">
        <f>MIN(IF($AU121=100%,1,1+VLOOKUP(($AJ121-$AI121-$AH121-$AG121-$AF121-$AE121*(1+DM$3))/$AJ121,'Технический лист'!$I:$J,2,1)-VLOOKUP($AO121,'Технический лист'!$I:$J,2,1)),1+(1-$AU121))</f>
        <v/>
      </c>
      <c r="DN121" s="172">
        <f>MIN(IF($AU121=100%,1,1+VLOOKUP(($AJ121-$AI121-$AH121-$AG121-$AF121-$AE121*(1+DN$3))/$AJ121,'Технический лист'!$I:$J,2,1)-VLOOKUP($AO121,'Технический лист'!$I:$J,2,1)),1+(1-$AU121))</f>
        <v/>
      </c>
      <c r="DO121" s="172">
        <f>MIN(IF($AU121=100%,1,1+VLOOKUP(($AJ121-$AI121-$AH121-$AG121-$AF121-$AE121*(1+DO$3))/$AJ121,'Технический лист'!$I:$J,2,1)-VLOOKUP($AO121,'Технический лист'!$I:$J,2,1)),1+(1-$AU121))</f>
        <v/>
      </c>
      <c r="DP121" s="172">
        <f>MIN(IF($AU121=100%,1,1+VLOOKUP(($AJ121-$AI121-$AH121-$AG121-$AF121-$AE121*(1+DP$3))/$AJ121,'Технический лист'!$I:$J,2,1)-VLOOKUP($AO121,'Технический лист'!$I:$J,2,1)),1+(1-$AU121))</f>
        <v/>
      </c>
      <c r="DQ121" s="172">
        <f>MIN(IF($AU121=100%,1,1+VLOOKUP(($AJ121-$AI121-$AH121-$AG121-$AF121-$AE121*(1+DQ$3))/$AJ121,'Технический лист'!$I:$J,2,1)-VLOOKUP($AO121,'Технический лист'!$I:$J,2,1)),1+(1-$AU121))</f>
        <v/>
      </c>
      <c r="DR121" s="172">
        <f>MIN(IF($AU121=100%,1,1+VLOOKUP(($AJ121-$AI121-$AH121-$AG121-$AF121-$AE121*(1+DR$3))/$AJ121,'Технический лист'!$I:$J,2,1)-VLOOKUP($AO121,'Технический лист'!$I:$J,2,1)),1+(1-$AU121))</f>
        <v/>
      </c>
      <c r="DS121" s="172">
        <f>MIN(IF($AU121=100%,1,1+VLOOKUP(($AJ121-$AI121-$AH121-$AG121-$AF121-$AE121*(1+DS$3))/$AJ121,'Технический лист'!$I:$J,2,1)-VLOOKUP($AO121,'Технический лист'!$I:$J,2,1)),1+(1-$AU121))</f>
        <v/>
      </c>
      <c r="DT121" s="172">
        <f>MIN(IF($AU121=100%,1,1+VLOOKUP(($AJ121-$AI121-$AH121-$AG121-$AF121-$AE121*(1+DT$3))/$AJ121,'Технический лист'!$I:$J,2,1)-VLOOKUP($AO121,'Технический лист'!$I:$J,2,1)),1+(1-$AU121))</f>
        <v/>
      </c>
      <c r="DU121" s="172">
        <f>MIN(IF($AU121=100%,1,1+VLOOKUP(($AJ121-$AI121-$AH121-$AG121-$AF121-$AE121*(1+DU$3))/$AJ121,'Технический лист'!$I:$J,2,1)-VLOOKUP($AO121,'Технический лист'!$I:$J,2,1)),1+(1-$AU121))</f>
        <v/>
      </c>
      <c r="DV121" s="172">
        <f>MIN(IF($AU121=100%,1,1+VLOOKUP(($AJ121-$AI121-$AH121-$AG121-$AF121-$AE121*(1+DV$3))/$AJ121,'Технический лист'!$I:$J,2,1)-VLOOKUP($AO121,'Технический лист'!$I:$J,2,1)),1+(1-$AU121))</f>
        <v/>
      </c>
      <c r="DW121" s="172">
        <f>MIN(IF($AU121=100%,1,1+VLOOKUP(($AJ121-$AI121-$AH121-$AG121-$AF121-$AE121*(1+DW$3))/$AJ121,'Технический лист'!$I:$J,2,1)-VLOOKUP($AO121,'Технический лист'!$I:$J,2,1)),1+(1-$AU121))</f>
        <v/>
      </c>
      <c r="DX121" s="172">
        <f>MIN(IF($AU121=100%,1,1+VLOOKUP(($AJ121-$AI121-$AH121-$AG121-$AF121-$AE121*(1+DX$3))/$AJ121,'Технический лист'!$I:$J,2,1)-VLOOKUP($AO121,'Технический лист'!$I:$J,2,1)),1+(1-$AU121))</f>
        <v/>
      </c>
      <c r="DY121" s="172">
        <f>MIN(IF($AU121=100%,1,1+VLOOKUP(($AJ121-$AI121-$AH121-$AG121-$AF121-$AE121*(1+DY$3))/$AJ121,'Технический лист'!$I:$J,2,1)-VLOOKUP($AO121,'Технический лист'!$I:$J,2,1)),1+(1-$AU121))</f>
        <v/>
      </c>
      <c r="DZ121" s="172">
        <f>MIN(IF($AU121=100%,1,1+VLOOKUP(($AJ121-$AI121-$AH121-$AG121-$AF121-$AE121*(1+DZ$3))/$AJ121,'Технический лист'!$I:$J,2,1)-VLOOKUP($AO121,'Технический лист'!$I:$J,2,1)),1+(1-$AU121))</f>
        <v/>
      </c>
      <c r="EA121" s="172">
        <f>MIN(IF($AU121=100%,1,1+VLOOKUP(($AJ121-$AI121-$AH121-$AG121-$AF121-$AE121*(1+EA$3))/$AJ121,'Технический лист'!$I:$J,2,1)-VLOOKUP($AO121,'Технический лист'!$I:$J,2,1)),1+(1-$AU121))</f>
        <v/>
      </c>
      <c r="EB121" s="172">
        <f>MIN(IF($AU121=100%,1,1+VLOOKUP(($AJ121-$AI121-$AH121-$AG121-$AF121-$AE121*(1+EB$3))/$AJ121,'Технический лист'!$I:$J,2,1)-VLOOKUP($AO121,'Технический лист'!$I:$J,2,1)),1+(1-$AU121))</f>
        <v/>
      </c>
      <c r="EC121" s="172">
        <f>MIN(IF($AU121=100%,1,1+VLOOKUP(($AJ121-$AI121-$AH121-$AG121-$AF121-$AE121*(1+EC$3))/$AJ121,'Технический лист'!$I:$J,2,1)-VLOOKUP($AO121,'Технический лист'!$I:$J,2,1)),1+(1-$AU121))</f>
        <v/>
      </c>
      <c r="ED121" s="172">
        <f>MIN(IF($AU121=100%,1,1+VLOOKUP(($AJ121-$AI121-$AH121-$AG121-$AF121-$AE121*(1+ED$3))/$AJ121,'Технический лист'!$I:$J,2,1)-VLOOKUP($AO121,'Технический лист'!$I:$J,2,1)),1+(1-$AU121))</f>
        <v/>
      </c>
      <c r="EE121" s="172">
        <f>MIN(IF($AU121=100%,1,1+VLOOKUP(($AJ121-$AI121-$AH121-$AG121-$AF121-$AE121*(1+EE$3))/$AJ121,'Технический лист'!$I:$J,2,1)-VLOOKUP($AO121,'Технический лист'!$I:$J,2,1)),1+(1-$AU121))</f>
        <v/>
      </c>
      <c r="EF121" s="172">
        <f>MIN(IF($AU121=100%,1,1+VLOOKUP(($AJ121-$AI121-$AH121-$AG121-$AF121-$AE121*(1+EF$3))/$AJ121,'Технический лист'!$I:$J,2,1)-VLOOKUP($AO121,'Технический лист'!$I:$J,2,1)),1+(1-$AU121))</f>
        <v/>
      </c>
      <c r="EG121" s="172">
        <f>MIN(IF($AU121=100%,1,1+VLOOKUP(($AJ121-$AI121-$AH121-$AG121-$AF121-$AE121*(1+EG$3))/$AJ121,'Технический лист'!$I:$J,2,1)-VLOOKUP($AO121,'Технический лист'!$I:$J,2,1)),1+(1-$AU121))</f>
        <v/>
      </c>
      <c r="EH121" s="172">
        <f>MIN(IF($AU121=100%,1,1+VLOOKUP(($AJ121-$AI121-$AH121-$AG121-$AF121-$AE121*(1+EH$3))/$AJ121,'Технический лист'!$I:$J,2,1)-VLOOKUP($AO121,'Технический лист'!$I:$J,2,1)),1+(1-$AU121))</f>
        <v/>
      </c>
      <c r="EI121" s="172">
        <f>MIN(IF($AU121=100%,1,1+VLOOKUP(($AJ121-$AI121-$AH121-$AG121-$AF121-$AE121*(1+EI$3))/$AJ121,'Технический лист'!$I:$J,2,1)-VLOOKUP($AO121,'Технический лист'!$I:$J,2,1)),1+(1-$AU121))</f>
        <v/>
      </c>
      <c r="EJ121" s="172">
        <f>MIN(IF($AU121=100%,1,1+VLOOKUP(($AJ121-$AI121-$AH121-$AG121-$AF121-$AE121*(1+EJ$3))/$AJ121,'Технический лист'!$I:$J,2,1)-VLOOKUP($AO121,'Технический лист'!$I:$J,2,1)),1+(1-$AU121))</f>
        <v/>
      </c>
      <c r="EK121" s="172">
        <f>MIN(IF($AU121=100%,1,1+VLOOKUP(($AJ121-$AI121-$AH121-$AG121-$AF121-$AE121*(1+EK$3))/$AJ121,'Технический лист'!$I:$J,2,1)-VLOOKUP($AO121,'Технический лист'!$I:$J,2,1)),1+(1-$AU121))</f>
        <v/>
      </c>
      <c r="EL121" s="172">
        <f>MIN(IF($AU121=100%,1,1+VLOOKUP(($AJ121-$AI121-$AH121-$AG121-$AF121-$AE121*(1+EL$3))/$AJ121,'Технический лист'!$I:$J,2,1)-VLOOKUP($AO121,'Технический лист'!$I:$J,2,1)),1+(1-$AU121))</f>
        <v/>
      </c>
      <c r="EM121" s="172">
        <f>MIN(IF($AU121=100%,1,1+VLOOKUP(($AJ121-$AI121-$AH121-$AG121-$AF121-$AE121*(1+EM$3))/$AJ121,'Технический лист'!$I:$J,2,1)-VLOOKUP($AO121,'Технический лист'!$I:$J,2,1)),1+(1-$AU121))</f>
        <v/>
      </c>
      <c r="EN121" s="172">
        <f>MIN(IF($AU121=100%,1,1+VLOOKUP(($AJ121-$AI121-$AH121-$AG121-$AF121-$AE121*(1+EN$3))/$AJ121,'Технический лист'!$I:$J,2,1)-VLOOKUP($AO121,'Технический лист'!$I:$J,2,1)),1+(1-$AU121))</f>
        <v/>
      </c>
      <c r="EO121" s="172">
        <f>MIN(IF($AU121=100%,1,1+VLOOKUP(($AJ121-$AI121-$AH121-$AG121-$AF121-$AE121*(1+EO$3))/$AJ121,'Технический лист'!$I:$J,2,1)-VLOOKUP($AO121,'Технический лист'!$I:$J,2,1)),1+(1-$AU121))</f>
        <v/>
      </c>
      <c r="EP121" s="172">
        <f>MIN(IF($AU121=100%,1,1+VLOOKUP(($AJ121-$AI121-$AH121-$AG121-$AF121-$AE121*(1+EP$3))/$AJ121,'Технический лист'!$I:$J,2,1)-VLOOKUP($AO121,'Технический лист'!$I:$J,2,1)),1+(1-$AU121))</f>
        <v/>
      </c>
      <c r="EQ121" s="172">
        <f>MIN(IF($AU121=100%,1,1+VLOOKUP(($AJ121-$AI121-$AH121-$AG121-$AF121-$AE121*(1+EQ$3))/$AJ121,'Технический лист'!$I:$J,2,1)-VLOOKUP($AO121,'Технический лист'!$I:$J,2,1)),1+(1-$AU121))</f>
        <v/>
      </c>
      <c r="ER121" s="172">
        <f>MIN(IF($AU121=100%,1,1+VLOOKUP(($AJ121-$AI121-$AH121-$AG121-$AF121-$AE121*(1+ER$3))/$AJ121,'Технический лист'!$I:$J,2,1)-VLOOKUP($AO121,'Технический лист'!$I:$J,2,1)),1+(1-$AU121))</f>
        <v/>
      </c>
      <c r="ES121" s="172">
        <f>MIN(IF($AU121=100%,1,1+VLOOKUP(($AJ121-$AI121-$AH121-$AG121-$AF121-$AE121*(1+ES$3))/$AJ121,'Технический лист'!$I:$J,2,1)-VLOOKUP($AO121,'Технический лист'!$I:$J,2,1)),1+(1-$AU121))</f>
        <v/>
      </c>
      <c r="ET121" s="172">
        <f>MIN(IF($AU121=100%,1,1+VLOOKUP(($AJ121-$AI121-$AH121-$AG121-$AF121-$AE121*(1+ET$3))/$AJ121,'Технический лист'!$I:$J,2,1)-VLOOKUP($AO121,'Технический лист'!$I:$J,2,1)),1+(1-$AU121))</f>
        <v/>
      </c>
      <c r="EU121" s="172">
        <f>MIN(IF($AU121=100%,1,1+VLOOKUP(($AJ121-$AI121-$AH121-$AG121-$AF121-$AE121*(1+EU$3))/$AJ121,'Технический лист'!$I:$J,2,1)-VLOOKUP($AO121,'Технический лист'!$I:$J,2,1)),1+(1-$AU121))</f>
        <v/>
      </c>
      <c r="EV121" s="173" t="n">
        <v>1</v>
      </c>
      <c r="EW121" s="172">
        <f>MIN(1,MAX(VLOOKUP(($AJ121-$AI121-$AH121-$AG121-$AF121-$AE121*(1+EW$3))/$AJ121,'Технический лист'!$A:$B,2,1),(EV121-0.05)))</f>
        <v/>
      </c>
      <c r="EX121" s="172">
        <f>MIN(1,MAX(VLOOKUP(($AJ121-$AI121-$AH121-$AG121-$AF121-$AE121*(1+EX$3))/$AJ121,'Технический лист'!$A:$B,2,1),(EW121-0.05)))</f>
        <v/>
      </c>
      <c r="EY121" s="172">
        <f>MIN(1,MAX(VLOOKUP(($AJ121-$AI121-$AH121-$AG121-$AF121-$AE121*(1+EY$3))/$AJ121,'Технический лист'!$A:$B,2,1),(EX121-0.05)))</f>
        <v/>
      </c>
      <c r="EZ121" s="172">
        <f>MIN(1,MAX(VLOOKUP(($AJ121-$AI121-$AH121-$AG121-$AF121-$AE121*(1+EZ$3))/$AJ121,'Технический лист'!$A:$B,2,1),(EY121-0.05)))</f>
        <v/>
      </c>
      <c r="FA121" s="172">
        <f>MIN(1,MAX(VLOOKUP(($AJ121-$AI121-$AH121-$AG121-$AF121-$AE121*(1+FA$3))/$AJ121,'Технический лист'!$A:$B,2,1),(EZ121-0.05)))</f>
        <v/>
      </c>
      <c r="FB121" s="172">
        <f>MIN(1,MAX(VLOOKUP(($AJ121-$AI121-$AH121-$AG121-$AF121-$AE121*(1+FB$3))/$AJ121,'Технический лист'!$A:$B,2,1),(FA121-0.05)))</f>
        <v/>
      </c>
      <c r="FC121" s="172">
        <f>MIN(1,MAX(VLOOKUP(($AJ121-$AI121-$AH121-$AG121-$AF121-$AE121*(1+FC$3))/$AJ121,'Технический лист'!$A:$B,2,1),(FB121-0.05)))</f>
        <v/>
      </c>
      <c r="FD121" s="172">
        <f>MIN(1,MAX(VLOOKUP(($AJ121-$AI121-$AH121-$AG121-$AF121-$AE121*(1+FD$3))/$AJ121,'Технический лист'!$A:$B,2,1),(FC121-0.05)))</f>
        <v/>
      </c>
      <c r="FE121" s="172">
        <f>MIN(1,MAX(VLOOKUP(($AJ121-$AI121-$AH121-$AG121-$AF121-$AE121*(1+FE$3))/$AJ121,'Технический лист'!$A:$B,2,1),(FD121-0.05)))</f>
        <v/>
      </c>
      <c r="FF121" s="172">
        <f>MIN(1,MAX(VLOOKUP(($AJ121-$AI121-$AH121-$AG121-$AF121-$AE121*(1+FF$3))/$AJ121,'Технический лист'!$A:$B,2,1),(FE121-0.05)))</f>
        <v/>
      </c>
      <c r="FG121" s="172">
        <f>MIN(1,MAX(VLOOKUP(($AJ121-$AI121-$AH121-$AG121-$AF121-$AE121*(1+FG$3))/$AJ121,'Технический лист'!$A:$B,2,1),(FF121-0.05)))</f>
        <v/>
      </c>
      <c r="FH121" s="172">
        <f>MIN(1,MAX(VLOOKUP(($AJ121-$AI121-$AH121-$AG121-$AF121-$AE121*(1+FH$3))/$AJ121,'Технический лист'!$A:$B,2,1),(FG121-0.05)))</f>
        <v/>
      </c>
      <c r="FI121" s="172">
        <f>MIN(1,MAX(VLOOKUP(($AJ121-$AI121-$AH121-$AG121-$AF121-$AE121*(1+FI$3))/$AJ121,'Технический лист'!$A:$B,2,1),(FH121-0.05)))</f>
        <v/>
      </c>
      <c r="FJ121" s="172">
        <f>MIN(1,MAX(VLOOKUP(($AJ121-$AI121-$AH121-$AG121-$AF121-$AE121*(1+FJ$3))/$AJ121,'Технический лист'!$A:$B,2,1),(FI121-0.05)))</f>
        <v/>
      </c>
      <c r="FK121" s="172">
        <f>MIN(1,MAX(VLOOKUP(($AJ121-$AI121-$AH121-$AG121-$AF121-$AE121*(1+FK$3))/$AJ121,'Технический лист'!$A:$B,2,1),(FJ121-0.05)))</f>
        <v/>
      </c>
      <c r="FL121" s="172">
        <f>MIN(1,MAX(VLOOKUP(($AJ121-$AI121-$AH121-$AG121-$AF121-$AE121*(1+FL$3))/$AJ121,'Технический лист'!$A:$B,2,1),(FK121-0.05)))</f>
        <v/>
      </c>
      <c r="FM121" s="172">
        <f>MIN(1,MAX(VLOOKUP(($AJ121-$AI121-$AH121-$AG121-$AF121-$AE121*(1+FM$3))/$AJ121,'Технический лист'!$A:$B,2,1),(FL121-0.05)))</f>
        <v/>
      </c>
      <c r="FN121" s="172">
        <f>MIN(1,MAX(VLOOKUP(($AJ121-$AI121-$AH121-$AG121-$AF121-$AE121*(1+FN$3))/$AJ121,'Технический лист'!$A:$B,2,1),(FM121-0.05)))</f>
        <v/>
      </c>
      <c r="FO121" s="172">
        <f>MIN(1,MAX(VLOOKUP(($AJ121-$AI121-$AH121-$AG121-$AF121-$AE121*(1+FO$3))/$AJ121,'Технический лист'!$A:$B,2,1),(FN121-0.05)))</f>
        <v/>
      </c>
      <c r="FP121" s="172">
        <f>MIN(1,MAX(VLOOKUP(($AJ121-$AI121-$AH121-$AG121-$AF121-$AE121*(1+FP$3))/$AJ121,'Технический лист'!$A:$B,2,1),(FO121-0.05)))</f>
        <v/>
      </c>
      <c r="FQ121" s="172">
        <f>MIN(1,MAX(VLOOKUP(($AJ121-$AI121-$AH121-$AG121-$AF121-$AE121*(1+FQ$3))/$AJ121,'Технический лист'!$A:$B,2,1),(FP121-0.05)))</f>
        <v/>
      </c>
      <c r="FR121" s="172">
        <f>MIN(1,MAX(VLOOKUP(($AJ121-$AI121-$AH121-$AG121-$AF121-$AE121*(1+FR$3))/$AJ121,'Технический лист'!$A:$B,2,1),(FQ121-0.05)))</f>
        <v/>
      </c>
      <c r="FS121" s="172">
        <f>MIN(1,MAX(VLOOKUP(($AJ121-$AI121-$AH121-$AG121-$AF121-$AE121*(1+FS$3))/$AJ121,'Технический лист'!$A:$B,2,1),(FR121-0.05)))</f>
        <v/>
      </c>
      <c r="FT121" s="172">
        <f>MIN(1,MAX(VLOOKUP(($AJ121-$AI121-$AH121-$AG121-$AF121-$AE121*(1+FT$3))/$AJ121,'Технический лист'!$A:$B,2,1),(FS121-0.05)))</f>
        <v/>
      </c>
      <c r="FU121" s="172">
        <f>MIN(1,MAX(VLOOKUP(($AJ121-$AI121-$AH121-$AG121-$AF121-$AE121*(1+FU$3))/$AJ121,'Технический лист'!$A:$B,2,1),(FT121-0.05)))</f>
        <v/>
      </c>
      <c r="FV121" s="172">
        <f>MIN(1,MAX(VLOOKUP(($AJ121-$AI121-$AH121-$AG121-$AF121-$AE121*(1+FV$3))/$AJ121,'Технический лист'!$A:$B,2,1),(FU121-0.05)))</f>
        <v/>
      </c>
      <c r="FW121" s="172">
        <f>MIN(1,MAX(VLOOKUP(($AJ121-$AI121-$AH121-$AG121-$AF121-$AE121*(1+FW$3))/$AJ121,'Технический лист'!$A:$B,2,1),(FV121-0.05)))</f>
        <v/>
      </c>
      <c r="FX121" s="172">
        <f>MIN(1,MAX(VLOOKUP(($AJ121-$AI121-$AH121-$AG121-$AF121-$AE121*(1+FX$3))/$AJ121,'Технический лист'!$A:$B,2,1),(FW121-0.05)))</f>
        <v/>
      </c>
      <c r="FY121" s="172">
        <f>MIN(1,MAX(VLOOKUP(($AJ121-$AI121-$AH121-$AG121-$AF121-$AE121*(1+FY$3))/$AJ121,'Технический лист'!$A:$B,2,1),(FX121-0.05)))</f>
        <v/>
      </c>
      <c r="FZ121" s="172">
        <f>MIN(1,MAX(VLOOKUP(($AJ121-$AI121-$AH121-$AG121-$AF121-$AE121*(1+FZ$3))/$AJ121,'Технический лист'!$A:$B,2,1),(FY121-0.05)))</f>
        <v/>
      </c>
      <c r="GA121" s="172">
        <f>MIN(1,MAX(VLOOKUP(($AJ121-$AI121-$AH121-$AG121-$AF121-$AE121*(1+GA$3))/$AJ121,'Технический лист'!$A:$B,2,1),(FZ121-0.05)))</f>
        <v/>
      </c>
      <c r="GB121" s="172">
        <f>MIN(1,MAX(VLOOKUP(($AJ121-$AI121-$AH121-$AG121-$AF121-$AE121*(1+GB$3))/$AJ121,'Технический лист'!$A:$B,2,1),(GA121-0.05)))</f>
        <v/>
      </c>
      <c r="GC121" s="172">
        <f>MIN(1,MAX(VLOOKUP(($AJ121-$AI121-$AH121-$AG121-$AF121-$AE121*(1+GC$3))/$AJ121,'Технический лист'!$A:$B,2,1),(GB121-0.05)))</f>
        <v/>
      </c>
      <c r="GD121" s="172">
        <f>MIN(1,MAX(VLOOKUP(($AJ121-$AI121-$AH121-$AG121-$AF121-$AE121*(1+GD$3))/$AJ121,'Технический лист'!$A:$B,2,1),(GC121-0.05)))</f>
        <v/>
      </c>
      <c r="GE121" s="172">
        <f>MIN(1,MAX(VLOOKUP(($AJ121-$AI121-$AH121-$AG121-$AF121-$AE121*(1+GE$3))/$AJ121,'Технический лист'!$A:$B,2,1),(GD121-0.05)))</f>
        <v/>
      </c>
      <c r="GF121" s="172">
        <f>MIN(1,MAX(VLOOKUP(($AJ121-$AI121-$AH121-$AG121-$AF121-$AE121*(1+GF$3))/$AJ121,'Технический лист'!$A:$B,2,1),(GE121-0.05)))</f>
        <v/>
      </c>
      <c r="GG121" s="172">
        <f>MIN(1,MAX(VLOOKUP(($AJ121-$AI121-$AH121-$AG121-$AF121-$AE121*(1+GG$3))/$AJ121,'Технический лист'!$A:$B,2,1),(GF121-0.05)))</f>
        <v/>
      </c>
      <c r="GH121" s="172">
        <f>MIN(1,MAX(VLOOKUP(($AJ121-$AI121-$AH121-$AG121-$AF121-$AE121*(1+GH$3))/$AJ121,'Технический лист'!$A:$B,2,1),(GG121-0.05)))</f>
        <v/>
      </c>
      <c r="GI121" s="172">
        <f>MIN(1,MAX(VLOOKUP(($AJ121-$AI121-$AH121-$AG121-$AF121-$AE121*(1+GI$3))/$AJ121,'Технический лист'!$A:$B,2,1),(GH121-0.05)))</f>
        <v/>
      </c>
      <c r="GJ121" s="172">
        <f>MIN(1,MAX(VLOOKUP(($AJ121-$AI121-$AH121-$AG121-$AF121-$AE121*(1+GJ$3))/$AJ121,'Технический лист'!$A:$B,2,1),(GI121-0.05)))</f>
        <v/>
      </c>
      <c r="GK121" s="172">
        <f>MIN(1,MAX(VLOOKUP(($AJ121-$AI121-$AH121-$AG121-$AF121-$AE121*(1+GK$3))/$AJ121,'Технический лист'!$A:$B,2,1),(GJ121-0.05)))</f>
        <v/>
      </c>
      <c r="GL121" s="172">
        <f>MIN(1,MAX(VLOOKUP(($AJ121-$AI121-$AH121-$AG121-$AF121-$AE121*(1+GL$3))/$AJ121,'Технический лист'!$A:$B,2,1),(GK121-0.05)))</f>
        <v/>
      </c>
      <c r="GM121" s="172">
        <f>MIN(1,MAX(VLOOKUP(($AJ121-$AI121-$AH121-$AG121-$AF121-$AE121*(1+GM$3))/$AJ121,'Технический лист'!$A:$B,2,1),(GL121-0.05)))</f>
        <v/>
      </c>
      <c r="GN121" s="172">
        <f>MIN(1,MAX(VLOOKUP(($AJ121-$AI121-$AH121-$AG121-$AF121-$AE121*(1+GN$3))/$AJ121,'Технический лист'!$A:$B,2,1),(GM121-0.05)))</f>
        <v/>
      </c>
      <c r="GO121" s="172">
        <f>MIN(1,MAX(VLOOKUP(($AJ121-$AI121-$AH121-$AG121-$AF121-$AE121*(1+GO$3))/$AJ121,'Технический лист'!$A:$B,2,1),(GN121-0.05)))</f>
        <v/>
      </c>
      <c r="GP121" s="172">
        <f>MIN(1,MAX(VLOOKUP(($AJ121-$AI121-$AH121-$AG121-$AF121-$AE121*(1+GP$3))/$AJ121,'Технический лист'!$A:$B,2,1),(GO121-0.05)))</f>
        <v/>
      </c>
      <c r="GQ121" s="172">
        <f>MIN(1,MAX(VLOOKUP(($AJ121-$AI121-$AH121-$AG121-$AF121-$AE121*(1+GQ$3))/$AJ121,'Технический лист'!$A:$B,2,1),(GP121-0.05)))</f>
        <v/>
      </c>
      <c r="GR121" s="172">
        <f>MIN(1,MAX(VLOOKUP(($AJ121-$AI121-$AH121-$AG121-$AF121-$AE121*(1+GR$3))/$AJ121,'Технический лист'!$A:$B,2,1),(GQ121-0.05)))</f>
        <v/>
      </c>
      <c r="GS121" s="172">
        <f>MIN(1,MAX(VLOOKUP(($AJ121-$AI121-$AH121-$AG121-$AF121-$AE121*(1+GS$3))/$AJ121,'Технический лист'!$A:$B,2,1),(GR121-0.05)))</f>
        <v/>
      </c>
      <c r="GT121" s="172">
        <f>MIN(1,MAX(VLOOKUP(($AJ121-$AI121-$AH121-$AG121-$AF121-$AE121*(1+GT$3))/$AJ121,'Технический лист'!$A:$B,2,1),(GS121-0.05)))</f>
        <v/>
      </c>
      <c r="GU121" s="172">
        <f>MIN(1,MAX(VLOOKUP(($AJ121-$AI121-$AH121-$AG121-$AF121-$AE121*(1+GU$3))/$AJ121,'Технический лист'!$A:$B,2,1),(GT121-0.05)))</f>
        <v/>
      </c>
      <c r="GV121" s="172">
        <f>MIN(1,MAX(VLOOKUP(($AJ121-$AI121-$AH121-$AG121-$AF121-$AE121*(1+GV$3))/$AJ121,'Технический лист'!$A:$B,2,1),(GU121-0.05)))</f>
        <v/>
      </c>
      <c r="GW121" s="172">
        <f>MIN(1,MAX(VLOOKUP(($AJ121-$AI121-$AH121-$AG121-$AF121-$AE121*(1+GW$3))/$AJ121,'Технический лист'!$A:$B,2,1),(GV121-0.05)))</f>
        <v/>
      </c>
      <c r="GX121" s="172">
        <f>MIN(1,MAX(VLOOKUP(($AJ121-$AI121-$AH121-$AG121-$AF121-$AE121*(1+GX$3))/$AJ121,'Технический лист'!$A:$B,2,1),(GW121-0.05)))</f>
        <v/>
      </c>
      <c r="GY121" s="172">
        <f>MIN(1,MAX(VLOOKUP(($AJ121-$AI121-$AH121-$AG121-$AF121-$AE121*(1+GY$3))/$AJ121,'Технический лист'!$A:$B,2,1),(GX121-0.05)))</f>
        <v/>
      </c>
      <c r="GZ121" s="172">
        <f>MIN(1,MAX(VLOOKUP(($AJ121-$AI121-$AH121-$AG121-$AF121-$AE121*(1+GZ$3))/$AJ121,'Технический лист'!$A:$B,2,1),(GY121-0.05)))</f>
        <v/>
      </c>
      <c r="HA121" s="172">
        <f>MIN(1,MAX(VLOOKUP(($AJ121-$AI121-$AH121-$AG121-$AF121-$AE121*(1+HA$3))/$AJ121,'Технический лист'!$A:$B,2,1),(GZ121-0.05)))</f>
        <v/>
      </c>
      <c r="HB121" s="172">
        <f>MIN(1,MAX(VLOOKUP(($AJ121-$AI121-$AH121-$AG121-$AF121-$AE121*(1+HB$3))/$AJ121,'Технический лист'!$A:$B,2,1),(HA121-0.05)))</f>
        <v/>
      </c>
      <c r="HC121" s="172">
        <f>MIN(1,MAX(VLOOKUP(($AJ121-$AI121-$AH121-$AG121-$AF121-$AE121*(1+HC$3))/$AJ121,'Технический лист'!$A:$B,2,1),(HB121-0.05)))</f>
        <v/>
      </c>
      <c r="HD121" s="172">
        <f>MIN(1,MAX(VLOOKUP(($AJ121-$AI121-$AH121-$AG121-$AF121-$AE121*(1+HD$3))/$AJ121,'Технический лист'!$A:$B,2,1),(HC121-0.05)))</f>
        <v/>
      </c>
      <c r="HE121" s="172">
        <f>MIN(1,MAX(VLOOKUP(($AJ121-$AI121-$AH121-$AG121-$AF121-$AE121*(1+HE$3))/$AJ121,'Технический лист'!$A:$B,2,1),(HD121-0.05)))</f>
        <v/>
      </c>
      <c r="HF121" s="172">
        <f>MIN(1,MAX(VLOOKUP(($AJ121-$AI121-$AH121-$AG121-$AF121-$AE121*(1+HF$3))/$AJ121,'Технический лист'!$A:$B,2,1),(HE121-0.05)))</f>
        <v/>
      </c>
      <c r="HG121" s="172">
        <f>MIN(1,MAX(VLOOKUP(($AJ121-$AI121-$AH121-$AG121-$AF121-$AE121*(1+HG$3))/$AJ121,'Технический лист'!$A:$B,2,1),(HF121-0.05)))</f>
        <v/>
      </c>
      <c r="HH121" s="172">
        <f>MIN(1,MAX(VLOOKUP(($AJ121-$AI121-$AH121-$AG121-$AF121-$AE121*(1+HH$3))/$AJ121,'Технический лист'!$A:$B,2,1),(HG121-0.05)))</f>
        <v/>
      </c>
      <c r="HI121" s="172">
        <f>MIN(1,MAX(VLOOKUP(($AJ121-$AI121-$AH121-$AG121-$AF121-$AE121*(1+HI$3))/$AJ121,'Технический лист'!$A:$B,2,1),(HH121-0.05)))</f>
        <v/>
      </c>
      <c r="HJ121" s="172">
        <f>MIN(1,MAX(VLOOKUP(($AJ121-$AI121-$AH121-$AG121-$AF121-$AE121*(1+HJ$3))/$AJ121,'Технический лист'!$A:$B,2,1),(HI121-0.05)))</f>
        <v/>
      </c>
      <c r="HK121" s="172">
        <f>MIN(1,MAX(VLOOKUP(($AJ121-$AI121-$AH121-$AG121-$AF121-$AE121*(1+HK$3))/$AJ121,'Технический лист'!$A:$B,2,1),(HJ121-0.05)))</f>
        <v/>
      </c>
      <c r="HL121" s="172">
        <f>MIN(1,MAX(VLOOKUP(($AJ121-$AI121-$AH121-$AG121-$AF121-$AE121*(1+HL$3))/$AJ121,'Технический лист'!$A:$B,2,1),(HK121-0.05)))</f>
        <v/>
      </c>
      <c r="HM121" s="172">
        <f>MIN(1,MAX(VLOOKUP(($AJ121-$AI121-$AH121-$AG121-$AF121-$AE121*(1+HM$3))/$AJ121,'Технический лист'!$A:$B,2,1),(HL121-0.05)))</f>
        <v/>
      </c>
      <c r="HN121" s="172">
        <f>MIN(1,MAX(VLOOKUP(($AJ121-$AI121-$AH121-$AG121-$AF121-$AE121*(1+HN$3))/$AJ121,'Технический лист'!$A:$B,2,1),(HM121-0.05)))</f>
        <v/>
      </c>
      <c r="HO121" s="172">
        <f>MIN(1,MAX(VLOOKUP(($AJ121-$AI121-$AH121-$AG121-$AF121-$AE121*(1+HO$3))/$AJ121,'Технический лист'!$A:$B,2,1),(HN121-0.05)))</f>
        <v/>
      </c>
      <c r="HP121" s="172">
        <f>MIN(1,MAX(VLOOKUP(($AJ121-$AI121-$AH121-$AG121-$AF121-$AE121*(1+HP$3))/$AJ121,'Технический лист'!$A:$B,2,1),(HO121-0.05)))</f>
        <v/>
      </c>
      <c r="HQ121" s="172">
        <f>MIN(1,MAX(VLOOKUP(($AJ121-$AI121-$AH121-$AG121-$AF121-$AE121*(1+HQ$3))/$AJ121,'Технический лист'!$A:$B,2,1),(HP121-0.05)))</f>
        <v/>
      </c>
      <c r="HR121" s="172">
        <f>MIN(1,MAX(VLOOKUP(($AJ121-$AI121-$AH121-$AG121-$AF121-$AE121*(1+HR$3))/$AJ121,'Технический лист'!$A:$B,2,1),(HQ121-0.05)))</f>
        <v/>
      </c>
      <c r="HS121" s="172">
        <f>MIN(1,MAX(VLOOKUP(($AJ121-$AI121-$AH121-$AG121-$AF121-$AE121*(1+HS$3))/$AJ121,'Технический лист'!$A:$B,2,1),(HR121-0.05)))</f>
        <v/>
      </c>
      <c r="HT121" s="172">
        <f>MIN(1,MAX(VLOOKUP(($AJ121-$AI121-$AH121-$AG121-$AF121-$AE121*(1+HT$3))/$AJ121,'Технический лист'!$A:$B,2,1),(HS121-0.05)))</f>
        <v/>
      </c>
      <c r="HU121" s="172">
        <f>MIN(1,MAX(VLOOKUP(($AJ121-$AI121-$AH121-$AG121-$AF121-$AE121*(1+HU$3))/$AJ121,'Технический лист'!$A:$B,2,1),(HT121-0.05)))</f>
        <v/>
      </c>
      <c r="HV121" s="172">
        <f>MIN(1,MAX(VLOOKUP(($AJ121-$AI121-$AH121-$AG121-$AF121-$AE121*(1+HV$3))/$AJ121,'Технический лист'!$A:$B,2,1),(HU121-0.05)))</f>
        <v/>
      </c>
      <c r="HW121" s="172">
        <f>MIN(1,MAX(VLOOKUP(($AJ121-$AI121-$AH121-$AG121-$AF121-$AE121*(1+HW$3))/$AJ121,'Технический лист'!$A:$B,2,1),(HV121-0.05)))</f>
        <v/>
      </c>
      <c r="HX121" s="172">
        <f>MIN(1,MAX(VLOOKUP(($AJ121-$AI121-$AH121-$AG121-$AF121-$AE121*(1+HX$3))/$AJ121,'Технический лист'!$A:$B,2,1),(HW121-0.05)))</f>
        <v/>
      </c>
      <c r="HY121" s="172">
        <f>MIN(1,MAX(VLOOKUP(($AJ121-$AI121-$AH121-$AG121-$AF121-$AE121*(1+HY$3))/$AJ121,'Технический лист'!$A:$B,2,1),(HX121-0.05)))</f>
        <v/>
      </c>
      <c r="HZ121" s="172">
        <f>MIN(1,MAX(VLOOKUP(($AJ121-$AI121-$AH121-$AG121-$AF121-$AE121*(1+HZ$3))/$AJ121,'Технический лист'!$A:$B,2,1),(HY121-0.05)))</f>
        <v/>
      </c>
      <c r="IA121" s="172">
        <f>MIN(1,MAX(VLOOKUP(($AJ121-$AI121-$AH121-$AG121-$AF121-$AE121*(1+IA$3))/$AJ121,'Технический лист'!$A:$B,2,1),(HZ121-0.05)))</f>
        <v/>
      </c>
      <c r="IB121" s="172">
        <f>MIN(1,MAX(VLOOKUP(($AJ121-$AI121-$AH121-$AG121-$AF121-$AE121*(1+IB$3))/$AJ121,'Технический лист'!$A:$B,2,1),(IA121-0.05)))</f>
        <v/>
      </c>
      <c r="IC121" s="172">
        <f>MIN(1,MAX(VLOOKUP(($AJ121-$AI121-$AH121-$AG121-$AF121-$AE121*(1+IC$3))/$AJ121,'Технический лист'!$A:$B,2,1),(IB121-0.05)))</f>
        <v/>
      </c>
      <c r="ID121" s="172">
        <f>MIN(1,MAX(VLOOKUP(($AJ121-$AI121-$AH121-$AG121-$AF121-$AE121*(1+ID$3))/$AJ121,'Технический лист'!$A:$B,2,1),(IC121-0.05)))</f>
        <v/>
      </c>
      <c r="IE121" s="172">
        <f>MIN(1,MAX(VLOOKUP(($AJ121-$AI121-$AH121-$AG121-$AF121-$AE121*(1+IE$3))/$AJ121,'Технический лист'!$A:$B,2,1),(ID121-0.05)))</f>
        <v/>
      </c>
      <c r="IF121" s="172">
        <f>MIN(1,MAX(VLOOKUP(($AJ121-$AI121-$AH121-$AG121-$AF121-$AE121*(1+IF$3))/$AJ121,'Технический лист'!$A:$B,2,1),(IE121-0.05)))</f>
        <v/>
      </c>
      <c r="IG121" s="172">
        <f>MIN(1,MAX(VLOOKUP(($AJ121-$AI121-$AH121-$AG121-$AF121-$AE121*(1+IG$3))/$AJ121,'Технический лист'!$A:$B,2,1),(IF121-0.05)))</f>
        <v/>
      </c>
      <c r="IH121" s="172">
        <f>MIN(1,MAX(VLOOKUP(($AJ121-$AI121-$AH121-$AG121-$AF121-$AE121*(1+IH$3))/$AJ121,'Технический лист'!$A:$B,2,1),(IG121-0.05)))</f>
        <v/>
      </c>
      <c r="II121" s="172">
        <f>MIN(1,MAX(VLOOKUP(($AJ121-$AI121-$AH121-$AG121-$AF121-$AE121*(1+II$3))/$AJ121,'Технический лист'!$A:$B,2,1),(IH121-0.05)))</f>
        <v/>
      </c>
      <c r="IJ121" s="172">
        <f>MIN(1,MAX(VLOOKUP(($AJ121-$AI121-$AH121-$AG121-$AF121-$AE121*(1+IJ$3))/$AJ121,'Технический лист'!$A:$B,2,1),(II121-0.05)))</f>
        <v/>
      </c>
      <c r="IK121" s="172">
        <f>MIN(1,MAX(VLOOKUP(($AJ121-$AI121-$AH121-$AG121-$AF121-$AE121*(1+IK$3))/$AJ121,'Технический лист'!$A:$B,2,1),(IJ121-0.05)))</f>
        <v/>
      </c>
      <c r="IL121" s="172">
        <f>MIN(1,MAX(VLOOKUP(($AJ121-$AI121-$AH121-$AG121-$AF121-$AE121*(1+IL$3))/$AJ121,'Технический лист'!$A:$B,2,1),(IK121-0.05)))</f>
        <v/>
      </c>
      <c r="IM121" s="172">
        <f>MIN(1,MAX(VLOOKUP(($AJ121-$AI121-$AH121-$AG121-$AF121-$AE121*(1+IM$3))/$AJ121,'Технический лист'!$A:$B,2,1),(IL121-0.05)))</f>
        <v/>
      </c>
      <c r="IN121" s="172">
        <f>MIN(1,MAX(VLOOKUP(($AJ121-$AI121-$AH121-$AG121-$AF121-$AE121*(1+IN$3))/$AJ121,'Технический лист'!$A:$B,2,1),(IM121-0.05)))</f>
        <v/>
      </c>
      <c r="IO121" s="172">
        <f>MIN(1,MAX(VLOOKUP(($AJ121-$AI121-$AH121-$AG121-$AF121-$AE121*(1+IO$3))/$AJ121,'Технический лист'!$A:$B,2,1),(IN121-0.05)))</f>
        <v/>
      </c>
      <c r="IP121" s="172">
        <f>MIN(1,MAX(VLOOKUP(($AJ121-$AI121-$AH121-$AG121-$AF121-$AE121*(1+IP$3))/$AJ121,'Технический лист'!$A:$B,2,1),(IO121-0.05)))</f>
        <v/>
      </c>
      <c r="IQ121" s="172">
        <f>MIN(1,MAX(VLOOKUP(($AJ121-$AI121-$AH121-$AG121-$AF121-$AE121*(1+IQ$3))/$AJ121,'Технический лист'!$A:$B,2,1),(IP121-0.05)))</f>
        <v/>
      </c>
      <c r="IR121" s="172">
        <f>MIN(1,MAX(VLOOKUP(($AJ121-$AI121-$AH121-$AG121-$AF121-$AE121*(1+IR$3))/$AJ121,'Технический лист'!$A:$B,2,1),(IQ121-0.05)))</f>
        <v/>
      </c>
    </row>
    <row r="122" ht="43.75" customHeight="1" s="123">
      <c r="A122" s="89" t="inlineStr">
        <is>
          <t>ЧМ (продукция)</t>
        </is>
      </c>
      <c r="B122" s="90" t="n">
        <v>5</v>
      </c>
      <c r="C122" s="5" t="inlineStr">
        <is>
          <t>Черные металлы</t>
        </is>
      </c>
      <c r="D122" s="91" t="n">
        <v>32416</v>
      </c>
      <c r="E122" s="91" t="inlineStr">
        <is>
          <t xml:space="preserve">Сталь листовая, не поименованная в алфавите </t>
        </is>
      </c>
      <c r="F122" s="92" t="inlineStr">
        <is>
          <t>ПРОЧИЕ ВИДЫ ПРОКАТА ЧЕРНЫ</t>
        </is>
      </c>
      <c r="G122" s="91" t="inlineStr">
        <is>
          <t>СЕВ</t>
        </is>
      </c>
      <c r="H122" s="91" t="inlineStr">
        <is>
          <t>ГОР</t>
        </is>
      </c>
      <c r="I122" s="91" t="inlineStr">
        <is>
          <t>ЧЕРЕПОВЕЦ 2</t>
        </is>
      </c>
      <c r="J122" s="91" t="inlineStr">
        <is>
          <t>ЙОШКАР-ОЛА</t>
        </is>
      </c>
      <c r="K122" s="91" t="n">
        <v>1418</v>
      </c>
      <c r="L122" s="91" t="inlineStr">
        <is>
          <t>Полувагоны</t>
        </is>
      </c>
      <c r="M122" s="91" t="inlineStr">
        <is>
          <t>Внутр. перевозки</t>
        </is>
      </c>
      <c r="N122" s="91" t="inlineStr">
        <is>
          <t>вагонная</t>
        </is>
      </c>
      <c r="O122" s="91" t="inlineStr">
        <is>
          <t xml:space="preserve">Южное </t>
        </is>
      </c>
      <c r="P122" s="89" t="inlineStr">
        <is>
          <t>'000000186217</t>
        </is>
      </c>
      <c r="Q122" s="91" t="inlineStr">
        <is>
          <t>ПАО "Северсталь"</t>
        </is>
      </c>
      <c r="R122" s="91" t="inlineStr">
        <is>
          <t>ПАО "СЕВЕРСТАЛЬ"</t>
        </is>
      </c>
      <c r="S122" s="87" t="n">
        <v>51767</v>
      </c>
      <c r="T122" s="87" t="n">
        <v>73391712</v>
      </c>
      <c r="U122" s="88" t="n">
        <v>801</v>
      </c>
      <c r="V122" s="88" t="n">
        <v>0</v>
      </c>
      <c r="W122" s="87" t="n">
        <v>140838042</v>
      </c>
      <c r="X122" s="112" t="n">
        <v>62</v>
      </c>
      <c r="Y122" s="112" t="inlineStr">
        <is>
          <t>повагонная</t>
        </is>
      </c>
      <c r="Z122" s="113" t="n">
        <v>7</v>
      </c>
      <c r="AA122" s="113" t="n">
        <v>6</v>
      </c>
      <c r="AB122" s="113" t="n">
        <v>4</v>
      </c>
      <c r="AC122" s="161" t="n">
        <v>3140.15</v>
      </c>
      <c r="AD122" s="161">
        <f>AE122-AC122</f>
        <v/>
      </c>
      <c r="AE122" s="161" t="n">
        <v>3600.95</v>
      </c>
      <c r="AF122" s="162">
        <f>(Z122+AA122+AB122)*'Ставки аренды'!$B$3/X122</f>
        <v/>
      </c>
      <c r="AG122" s="164" t="n">
        <v>0</v>
      </c>
      <c r="AH122" s="164" t="n">
        <v>0</v>
      </c>
      <c r="AI122" s="174">
        <f>507353/712157*AVERAGE(AJ120,AJ122)</f>
        <v/>
      </c>
      <c r="AJ122" s="166">
        <f>Цены!$D$16</f>
        <v/>
      </c>
      <c r="AK122" s="164">
        <f>AJ122/Цены!$B$1</f>
        <v/>
      </c>
      <c r="AL122" s="164">
        <f>AE122+AF122+AG122</f>
        <v/>
      </c>
      <c r="AM122" s="164">
        <f>AJ122-AL122</f>
        <v/>
      </c>
      <c r="AN122" s="164">
        <f>AI122+AH122+AG122+AF122+AE122</f>
        <v/>
      </c>
      <c r="AO122" s="167">
        <f>(AJ122-AN122)/AJ122</f>
        <v/>
      </c>
      <c r="AP122" s="168">
        <f>AL122/AJ122</f>
        <v/>
      </c>
      <c r="AQ122" s="168">
        <f>AE122/AJ122</f>
        <v/>
      </c>
      <c r="AR122" s="168">
        <f>AE122/AL122</f>
        <v/>
      </c>
      <c r="AS122" s="169" t="n">
        <v>1</v>
      </c>
      <c r="AT122" s="121">
        <f>S122*AS122</f>
        <v/>
      </c>
      <c r="AU122" s="83" t="n">
        <v>0.95</v>
      </c>
      <c r="AV122" s="170">
        <f>(AJ122-(AE122*(1+$IS$2)+AF122+AG122+AH122+AI122))/AJ122</f>
        <v/>
      </c>
      <c r="AW122" s="171">
        <f>(AE122*(1+$IS$2)+AF122+AG122)/AJ122</f>
        <v/>
      </c>
      <c r="AX122" s="171">
        <f>(AE122*(1+$IS$2))/AJ122</f>
        <v/>
      </c>
      <c r="AY122" s="171">
        <f>(AE122*(1+$IS$2))/(AE122*(1+$IS$2)+AF122+AG122)</f>
        <v/>
      </c>
      <c r="AZ122" s="172">
        <f>MIN(IF($AU122=100%,1,1+VLOOKUP(($AJ122-$AI122-$AH122-$AG122-$AF122-$AE122*(1+AZ$3))/$AJ122,'Технический лист'!$I:$J,2,1)-VLOOKUP($AO122,'Технический лист'!$I:$J,2,1)),1+(1-$AU122))</f>
        <v/>
      </c>
      <c r="BA122" s="172">
        <f>MIN(IF($AU122=100%,1,1+VLOOKUP(($AJ122-$AI122-$AH122-$AG122-$AF122-$AE122*(1+BA$3))/$AJ122,'Технический лист'!$I:$J,2,1)-VLOOKUP($AO122,'Технический лист'!$I:$J,2,1)),1+(1-$AU122))</f>
        <v/>
      </c>
      <c r="BB122" s="172">
        <f>MIN(IF($AU122=100%,1,1+VLOOKUP(($AJ122-$AI122-$AH122-$AG122-$AF122-$AE122*(1+BB$3))/$AJ122,'Технический лист'!$I:$J,2,1)-VLOOKUP($AO122,'Технический лист'!$I:$J,2,1)),1+(1-$AU122))</f>
        <v/>
      </c>
      <c r="BC122" s="172">
        <f>MIN(IF($AU122=100%,1,1+VLOOKUP(($AJ122-$AI122-$AH122-$AG122-$AF122-$AE122*(1+BC$3))/$AJ122,'Технический лист'!$I:$J,2,1)-VLOOKUP($AO122,'Технический лист'!$I:$J,2,1)),1+(1-$AU122))</f>
        <v/>
      </c>
      <c r="BD122" s="172">
        <f>MIN(IF($AU122=100%,1,1+VLOOKUP(($AJ122-$AI122-$AH122-$AG122-$AF122-$AE122*(1+BD$3))/$AJ122,'Технический лист'!$I:$J,2,1)-VLOOKUP($AO122,'Технический лист'!$I:$J,2,1)),1+(1-$AU122))</f>
        <v/>
      </c>
      <c r="BE122" s="172">
        <f>MIN(IF($AU122=100%,1,1+VLOOKUP(($AJ122-$AI122-$AH122-$AG122-$AF122-$AE122*(1+BE$3))/$AJ122,'Технический лист'!$I:$J,2,1)-VLOOKUP($AO122,'Технический лист'!$I:$J,2,1)),1+(1-$AU122))</f>
        <v/>
      </c>
      <c r="BF122" s="172">
        <f>MIN(IF($AU122=100%,1,1+VLOOKUP(($AJ122-$AI122-$AH122-$AG122-$AF122-$AE122*(1+BF$3))/$AJ122,'Технический лист'!$I:$J,2,1)-VLOOKUP($AO122,'Технический лист'!$I:$J,2,1)),1+(1-$AU122))</f>
        <v/>
      </c>
      <c r="BG122" s="172">
        <f>MIN(IF($AU122=100%,1,1+VLOOKUP(($AJ122-$AI122-$AH122-$AG122-$AF122-$AE122*(1+BG$3))/$AJ122,'Технический лист'!$I:$J,2,1)-VLOOKUP($AO122,'Технический лист'!$I:$J,2,1)),1+(1-$AU122))</f>
        <v/>
      </c>
      <c r="BH122" s="172">
        <f>MIN(IF($AU122=100%,1,1+VLOOKUP(($AJ122-$AI122-$AH122-$AG122-$AF122-$AE122*(1+BH$3))/$AJ122,'Технический лист'!$I:$J,2,1)-VLOOKUP($AO122,'Технический лист'!$I:$J,2,1)),1+(1-$AU122))</f>
        <v/>
      </c>
      <c r="BI122" s="172">
        <f>MIN(IF($AU122=100%,1,1+VLOOKUP(($AJ122-$AI122-$AH122-$AG122-$AF122-$AE122*(1+BI$3))/$AJ122,'Технический лист'!$I:$J,2,1)-VLOOKUP($AO122,'Технический лист'!$I:$J,2,1)),1+(1-$AU122))</f>
        <v/>
      </c>
      <c r="BJ122" s="172">
        <f>MIN(IF($AU122=100%,1,1+VLOOKUP(($AJ122-$AI122-$AH122-$AG122-$AF122-$AE122*(1+BJ$3))/$AJ122,'Технический лист'!$I:$J,2,1)-VLOOKUP($AO122,'Технический лист'!$I:$J,2,1)),1+(1-$AU122))</f>
        <v/>
      </c>
      <c r="BK122" s="172">
        <f>MIN(IF($AU122=100%,1,1+VLOOKUP(($AJ122-$AI122-$AH122-$AG122-$AF122-$AE122*(1+BK$3))/$AJ122,'Технический лист'!$I:$J,2,1)-VLOOKUP($AO122,'Технический лист'!$I:$J,2,1)),1+(1-$AU122))</f>
        <v/>
      </c>
      <c r="BL122" s="172">
        <f>MIN(IF($AU122=100%,1,1+VLOOKUP(($AJ122-$AI122-$AH122-$AG122-$AF122-$AE122*(1+BL$3))/$AJ122,'Технический лист'!$I:$J,2,1)-VLOOKUP($AO122,'Технический лист'!$I:$J,2,1)),1+(1-$AU122))</f>
        <v/>
      </c>
      <c r="BM122" s="172">
        <f>MIN(IF($AU122=100%,1,1+VLOOKUP(($AJ122-$AI122-$AH122-$AG122-$AF122-$AE122*(1+BM$3))/$AJ122,'Технический лист'!$I:$J,2,1)-VLOOKUP($AO122,'Технический лист'!$I:$J,2,1)),1+(1-$AU122))</f>
        <v/>
      </c>
      <c r="BN122" s="172">
        <f>MIN(IF($AU122=100%,1,1+VLOOKUP(($AJ122-$AI122-$AH122-$AG122-$AF122-$AE122*(1+BN$3))/$AJ122,'Технический лист'!$I:$J,2,1)-VLOOKUP($AO122,'Технический лист'!$I:$J,2,1)),1+(1-$AU122))</f>
        <v/>
      </c>
      <c r="BO122" s="172">
        <f>MIN(IF($AU122=100%,1,1+VLOOKUP(($AJ122-$AI122-$AH122-$AG122-$AF122-$AE122*(1+BO$3))/$AJ122,'Технический лист'!$I:$J,2,1)-VLOOKUP($AO122,'Технический лист'!$I:$J,2,1)),1+(1-$AU122))</f>
        <v/>
      </c>
      <c r="BP122" s="172">
        <f>MIN(IF($AU122=100%,1,1+VLOOKUP(($AJ122-$AI122-$AH122-$AG122-$AF122-$AE122*(1+BP$3))/$AJ122,'Технический лист'!$I:$J,2,1)-VLOOKUP($AO122,'Технический лист'!$I:$J,2,1)),1+(1-$AU122))</f>
        <v/>
      </c>
      <c r="BQ122" s="172">
        <f>MIN(IF($AU122=100%,1,1+VLOOKUP(($AJ122-$AI122-$AH122-$AG122-$AF122-$AE122*(1+BQ$3))/$AJ122,'Технический лист'!$I:$J,2,1)-VLOOKUP($AO122,'Технический лист'!$I:$J,2,1)),1+(1-$AU122))</f>
        <v/>
      </c>
      <c r="BR122" s="172">
        <f>MIN(IF($AU122=100%,1,1+VLOOKUP(($AJ122-$AI122-$AH122-$AG122-$AF122-$AE122*(1+BR$3))/$AJ122,'Технический лист'!$I:$J,2,1)-VLOOKUP($AO122,'Технический лист'!$I:$J,2,1)),1+(1-$AU122))</f>
        <v/>
      </c>
      <c r="BS122" s="172">
        <f>MIN(IF($AU122=100%,1,1+VLOOKUP(($AJ122-$AI122-$AH122-$AG122-$AF122-$AE122*(1+BS$3))/$AJ122,'Технический лист'!$I:$J,2,1)-VLOOKUP($AO122,'Технический лист'!$I:$J,2,1)),1+(1-$AU122))</f>
        <v/>
      </c>
      <c r="BT122" s="172">
        <f>MIN(IF($AU122=100%,1,1+VLOOKUP(($AJ122-$AI122-$AH122-$AG122-$AF122-$AE122*(1+BT$3))/$AJ122,'Технический лист'!$I:$J,2,1)-VLOOKUP($AO122,'Технический лист'!$I:$J,2,1)),1+(1-$AU122))</f>
        <v/>
      </c>
      <c r="BU122" s="172">
        <f>MIN(IF($AU122=100%,1,1+VLOOKUP(($AJ122-$AI122-$AH122-$AG122-$AF122-$AE122*(1+BU$3))/$AJ122,'Технический лист'!$I:$J,2,1)-VLOOKUP($AO122,'Технический лист'!$I:$J,2,1)),1+(1-$AU122))</f>
        <v/>
      </c>
      <c r="BV122" s="172">
        <f>MIN(IF($AU122=100%,1,1+VLOOKUP(($AJ122-$AI122-$AH122-$AG122-$AF122-$AE122*(1+BV$3))/$AJ122,'Технический лист'!$I:$J,2,1)-VLOOKUP($AO122,'Технический лист'!$I:$J,2,1)),1+(1-$AU122))</f>
        <v/>
      </c>
      <c r="BW122" s="172">
        <f>MIN(IF($AU122=100%,1,1+VLOOKUP(($AJ122-$AI122-$AH122-$AG122-$AF122-$AE122*(1+BW$3))/$AJ122,'Технический лист'!$I:$J,2,1)-VLOOKUP($AO122,'Технический лист'!$I:$J,2,1)),1+(1-$AU122))</f>
        <v/>
      </c>
      <c r="BX122" s="172">
        <f>MIN(IF($AU122=100%,1,1+VLOOKUP(($AJ122-$AI122-$AH122-$AG122-$AF122-$AE122*(1+BX$3))/$AJ122,'Технический лист'!$I:$J,2,1)-VLOOKUP($AO122,'Технический лист'!$I:$J,2,1)),1+(1-$AU122))</f>
        <v/>
      </c>
      <c r="BY122" s="172">
        <f>MIN(IF($AU122=100%,1,1+VLOOKUP(($AJ122-$AI122-$AH122-$AG122-$AF122-$AE122*(1+BY$3))/$AJ122,'Технический лист'!$I:$J,2,1)-VLOOKUP($AO122,'Технический лист'!$I:$J,2,1)),1+(1-$AU122))</f>
        <v/>
      </c>
      <c r="BZ122" s="172">
        <f>MIN(IF($AU122=100%,1,1+VLOOKUP(($AJ122-$AI122-$AH122-$AG122-$AF122-$AE122*(1+BZ$3))/$AJ122,'Технический лист'!$I:$J,2,1)-VLOOKUP($AO122,'Технический лист'!$I:$J,2,1)),1+(1-$AU122))</f>
        <v/>
      </c>
      <c r="CA122" s="172">
        <f>MIN(IF($AU122=100%,1,1+VLOOKUP(($AJ122-$AI122-$AH122-$AG122-$AF122-$AE122*(1+CA$3))/$AJ122,'Технический лист'!$I:$J,2,1)-VLOOKUP($AO122,'Технический лист'!$I:$J,2,1)),1+(1-$AU122))</f>
        <v/>
      </c>
      <c r="CB122" s="172">
        <f>MIN(IF($AU122=100%,1,1+VLOOKUP(($AJ122-$AI122-$AH122-$AG122-$AF122-$AE122*(1+CB$3))/$AJ122,'Технический лист'!$I:$J,2,1)-VLOOKUP($AO122,'Технический лист'!$I:$J,2,1)),1+(1-$AU122))</f>
        <v/>
      </c>
      <c r="CC122" s="172">
        <f>MIN(IF($AU122=100%,1,1+VLOOKUP(($AJ122-$AI122-$AH122-$AG122-$AF122-$AE122*(1+CC$3))/$AJ122,'Технический лист'!$I:$J,2,1)-VLOOKUP($AO122,'Технический лист'!$I:$J,2,1)),1+(1-$AU122))</f>
        <v/>
      </c>
      <c r="CD122" s="172">
        <f>MIN(IF($AU122=100%,1,1+VLOOKUP(($AJ122-$AI122-$AH122-$AG122-$AF122-$AE122*(1+CD$3))/$AJ122,'Технический лист'!$I:$J,2,1)-VLOOKUP($AO122,'Технический лист'!$I:$J,2,1)),1+(1-$AU122))</f>
        <v/>
      </c>
      <c r="CE122" s="172">
        <f>MIN(IF($AU122=100%,1,1+VLOOKUP(($AJ122-$AI122-$AH122-$AG122-$AF122-$AE122*(1+CE$3))/$AJ122,'Технический лист'!$I:$J,2,1)-VLOOKUP($AO122,'Технический лист'!$I:$J,2,1)),1+(1-$AU122))</f>
        <v/>
      </c>
      <c r="CF122" s="172">
        <f>MIN(IF($AU122=100%,1,1+VLOOKUP(($AJ122-$AI122-$AH122-$AG122-$AF122-$AE122*(1+CF$3))/$AJ122,'Технический лист'!$I:$J,2,1)-VLOOKUP($AO122,'Технический лист'!$I:$J,2,1)),1+(1-$AU122))</f>
        <v/>
      </c>
      <c r="CG122" s="172">
        <f>MIN(IF($AU122=100%,1,1+VLOOKUP(($AJ122-$AI122-$AH122-$AG122-$AF122-$AE122*(1+CG$3))/$AJ122,'Технический лист'!$I:$J,2,1)-VLOOKUP($AO122,'Технический лист'!$I:$J,2,1)),1+(1-$AU122))</f>
        <v/>
      </c>
      <c r="CH122" s="172">
        <f>MIN(IF($AU122=100%,1,1+VLOOKUP(($AJ122-$AI122-$AH122-$AG122-$AF122-$AE122*(1+CH$3))/$AJ122,'Технический лист'!$I:$J,2,1)-VLOOKUP($AO122,'Технический лист'!$I:$J,2,1)),1+(1-$AU122))</f>
        <v/>
      </c>
      <c r="CI122" s="172">
        <f>MIN(IF($AU122=100%,1,1+VLOOKUP(($AJ122-$AI122-$AH122-$AG122-$AF122-$AE122*(1+CI$3))/$AJ122,'Технический лист'!$I:$J,2,1)-VLOOKUP($AO122,'Технический лист'!$I:$J,2,1)),1+(1-$AU122))</f>
        <v/>
      </c>
      <c r="CJ122" s="172">
        <f>MIN(IF($AU122=100%,1,1+VLOOKUP(($AJ122-$AI122-$AH122-$AG122-$AF122-$AE122*(1+CJ$3))/$AJ122,'Технический лист'!$I:$J,2,1)-VLOOKUP($AO122,'Технический лист'!$I:$J,2,1)),1+(1-$AU122))</f>
        <v/>
      </c>
      <c r="CK122" s="172">
        <f>MIN(IF($AU122=100%,1,1+VLOOKUP(($AJ122-$AI122-$AH122-$AG122-$AF122-$AE122*(1+CK$3))/$AJ122,'Технический лист'!$I:$J,2,1)-VLOOKUP($AO122,'Технический лист'!$I:$J,2,1)),1+(1-$AU122))</f>
        <v/>
      </c>
      <c r="CL122" s="172">
        <f>MIN(IF($AU122=100%,1,1+VLOOKUP(($AJ122-$AI122-$AH122-$AG122-$AF122-$AE122*(1+CL$3))/$AJ122,'Технический лист'!$I:$J,2,1)-VLOOKUP($AO122,'Технический лист'!$I:$J,2,1)),1+(1-$AU122))</f>
        <v/>
      </c>
      <c r="CM122" s="172">
        <f>MIN(IF($AU122=100%,1,1+VLOOKUP(($AJ122-$AI122-$AH122-$AG122-$AF122-$AE122*(1+CM$3))/$AJ122,'Технический лист'!$I:$J,2,1)-VLOOKUP($AO122,'Технический лист'!$I:$J,2,1)),1+(1-$AU122))</f>
        <v/>
      </c>
      <c r="CN122" s="172">
        <f>MIN(IF($AU122=100%,1,1+VLOOKUP(($AJ122-$AI122-$AH122-$AG122-$AF122-$AE122*(1+CN$3))/$AJ122,'Технический лист'!$I:$J,2,1)-VLOOKUP($AO122,'Технический лист'!$I:$J,2,1)),1+(1-$AU122))</f>
        <v/>
      </c>
      <c r="CO122" s="172">
        <f>MIN(IF($AU122=100%,1,1+VLOOKUP(($AJ122-$AI122-$AH122-$AG122-$AF122-$AE122*(1+CO$3))/$AJ122,'Технический лист'!$I:$J,2,1)-VLOOKUP($AO122,'Технический лист'!$I:$J,2,1)),1+(1-$AU122))</f>
        <v/>
      </c>
      <c r="CP122" s="172">
        <f>MIN(IF($AU122=100%,1,1+VLOOKUP(($AJ122-$AI122-$AH122-$AG122-$AF122-$AE122*(1+CP$3))/$AJ122,'Технический лист'!$I:$J,2,1)-VLOOKUP($AO122,'Технический лист'!$I:$J,2,1)),1+(1-$AU122))</f>
        <v/>
      </c>
      <c r="CQ122" s="172">
        <f>MIN(IF($AU122=100%,1,1+VLOOKUP(($AJ122-$AI122-$AH122-$AG122-$AF122-$AE122*(1+CQ$3))/$AJ122,'Технический лист'!$I:$J,2,1)-VLOOKUP($AO122,'Технический лист'!$I:$J,2,1)),1+(1-$AU122))</f>
        <v/>
      </c>
      <c r="CR122" s="172">
        <f>MIN(IF($AU122=100%,1,1+VLOOKUP(($AJ122-$AI122-$AH122-$AG122-$AF122-$AE122*(1+CR$3))/$AJ122,'Технический лист'!$I:$J,2,1)-VLOOKUP($AO122,'Технический лист'!$I:$J,2,1)),1+(1-$AU122))</f>
        <v/>
      </c>
      <c r="CS122" s="172">
        <f>MIN(IF($AU122=100%,1,1+VLOOKUP(($AJ122-$AI122-$AH122-$AG122-$AF122-$AE122*(1+CS$3))/$AJ122,'Технический лист'!$I:$J,2,1)-VLOOKUP($AO122,'Технический лист'!$I:$J,2,1)),1+(1-$AU122))</f>
        <v/>
      </c>
      <c r="CT122" s="172">
        <f>MIN(IF($AU122=100%,1,1+VLOOKUP(($AJ122-$AI122-$AH122-$AG122-$AF122-$AE122*(1+CT$3))/$AJ122,'Технический лист'!$I:$J,2,1)-VLOOKUP($AO122,'Технический лист'!$I:$J,2,1)),1+(1-$AU122))</f>
        <v/>
      </c>
      <c r="CU122" s="172">
        <f>MIN(IF($AU122=100%,1,1+VLOOKUP(($AJ122-$AI122-$AH122-$AG122-$AF122-$AE122*(1+CU$3))/$AJ122,'Технический лист'!$I:$J,2,1)-VLOOKUP($AO122,'Технический лист'!$I:$J,2,1)),1+(1-$AU122))</f>
        <v/>
      </c>
      <c r="CV122" s="172">
        <f>MIN(IF($AU122=100%,1,1+VLOOKUP(($AJ122-$AI122-$AH122-$AG122-$AF122-$AE122*(1+CV$3))/$AJ122,'Технический лист'!$I:$J,2,1)-VLOOKUP($AO122,'Технический лист'!$I:$J,2,1)),1+(1-$AU122))</f>
        <v/>
      </c>
      <c r="CW122" s="172">
        <f>MIN(IF($AU122=100%,1,1+VLOOKUP(($AJ122-$AI122-$AH122-$AG122-$AF122-$AE122*(1+CW$3))/$AJ122,'Технический лист'!$I:$J,2,1)-VLOOKUP($AO122,'Технический лист'!$I:$J,2,1)),1+(1-$AU122))</f>
        <v/>
      </c>
      <c r="CX122" s="172">
        <f>MIN(IF($AU122=100%,1,1+VLOOKUP(($AJ122-$AI122-$AH122-$AG122-$AF122-$AE122*(1+CX$3))/$AJ122,'Технический лист'!$I:$J,2,1)-VLOOKUP($AO122,'Технический лист'!$I:$J,2,1)),1+(1-$AU122))</f>
        <v/>
      </c>
      <c r="CY122" s="172">
        <f>MIN(IF($AU122=100%,1,1+VLOOKUP(($AJ122-$AI122-$AH122-$AG122-$AF122-$AE122*(1+CY$3))/$AJ122,'Технический лист'!$I:$J,2,1)-VLOOKUP($AO122,'Технический лист'!$I:$J,2,1)),1+(1-$AU122))</f>
        <v/>
      </c>
      <c r="CZ122" s="172">
        <f>MIN(IF($AU122=100%,1,1+VLOOKUP(($AJ122-$AI122-$AH122-$AG122-$AF122-$AE122*(1+CZ$3))/$AJ122,'Технический лист'!$I:$J,2,1)-VLOOKUP($AO122,'Технический лист'!$I:$J,2,1)),1+(1-$AU122))</f>
        <v/>
      </c>
      <c r="DA122" s="172">
        <f>MIN(IF($AU122=100%,1,1+VLOOKUP(($AJ122-$AI122-$AH122-$AG122-$AF122-$AE122*(1+DA$3))/$AJ122,'Технический лист'!$I:$J,2,1)-VLOOKUP($AO122,'Технический лист'!$I:$J,2,1)),1+(1-$AU122))</f>
        <v/>
      </c>
      <c r="DB122" s="172">
        <f>MIN(IF($AU122=100%,1,1+VLOOKUP(($AJ122-$AI122-$AH122-$AG122-$AF122-$AE122*(1+DB$3))/$AJ122,'Технический лист'!$I:$J,2,1)-VLOOKUP($AO122,'Технический лист'!$I:$J,2,1)),1+(1-$AU122))</f>
        <v/>
      </c>
      <c r="DC122" s="172">
        <f>MIN(IF($AU122=100%,1,1+VLOOKUP(($AJ122-$AI122-$AH122-$AG122-$AF122-$AE122*(1+DC$3))/$AJ122,'Технический лист'!$I:$J,2,1)-VLOOKUP($AO122,'Технический лист'!$I:$J,2,1)),1+(1-$AU122))</f>
        <v/>
      </c>
      <c r="DD122" s="172">
        <f>MIN(IF($AU122=100%,1,1+VLOOKUP(($AJ122-$AI122-$AH122-$AG122-$AF122-$AE122*(1+DD$3))/$AJ122,'Технический лист'!$I:$J,2,1)-VLOOKUP($AO122,'Технический лист'!$I:$J,2,1)),1+(1-$AU122))</f>
        <v/>
      </c>
      <c r="DE122" s="172">
        <f>MIN(IF($AU122=100%,1,1+VLOOKUP(($AJ122-$AI122-$AH122-$AG122-$AF122-$AE122*(1+DE$3))/$AJ122,'Технический лист'!$I:$J,2,1)-VLOOKUP($AO122,'Технический лист'!$I:$J,2,1)),1+(1-$AU122))</f>
        <v/>
      </c>
      <c r="DF122" s="172">
        <f>MIN(IF($AU122=100%,1,1+VLOOKUP(($AJ122-$AI122-$AH122-$AG122-$AF122-$AE122*(1+DF$3))/$AJ122,'Технический лист'!$I:$J,2,1)-VLOOKUP($AO122,'Технический лист'!$I:$J,2,1)),1+(1-$AU122))</f>
        <v/>
      </c>
      <c r="DG122" s="172">
        <f>MIN(IF($AU122=100%,1,1+VLOOKUP(($AJ122-$AI122-$AH122-$AG122-$AF122-$AE122*(1+DG$3))/$AJ122,'Технический лист'!$I:$J,2,1)-VLOOKUP($AO122,'Технический лист'!$I:$J,2,1)),1+(1-$AU122))</f>
        <v/>
      </c>
      <c r="DH122" s="172">
        <f>MIN(IF($AU122=100%,1,1+VLOOKUP(($AJ122-$AI122-$AH122-$AG122-$AF122-$AE122*(1+DH$3))/$AJ122,'Технический лист'!$I:$J,2,1)-VLOOKUP($AO122,'Технический лист'!$I:$J,2,1)),1+(1-$AU122))</f>
        <v/>
      </c>
      <c r="DI122" s="172">
        <f>MIN(IF($AU122=100%,1,1+VLOOKUP(($AJ122-$AI122-$AH122-$AG122-$AF122-$AE122*(1+DI$3))/$AJ122,'Технический лист'!$I:$J,2,1)-VLOOKUP($AO122,'Технический лист'!$I:$J,2,1)),1+(1-$AU122))</f>
        <v/>
      </c>
      <c r="DJ122" s="172">
        <f>MIN(IF($AU122=100%,1,1+VLOOKUP(($AJ122-$AI122-$AH122-$AG122-$AF122-$AE122*(1+DJ$3))/$AJ122,'Технический лист'!$I:$J,2,1)-VLOOKUP($AO122,'Технический лист'!$I:$J,2,1)),1+(1-$AU122))</f>
        <v/>
      </c>
      <c r="DK122" s="172">
        <f>MIN(IF($AU122=100%,1,1+VLOOKUP(($AJ122-$AI122-$AH122-$AG122-$AF122-$AE122*(1+DK$3))/$AJ122,'Технический лист'!$I:$J,2,1)-VLOOKUP($AO122,'Технический лист'!$I:$J,2,1)),1+(1-$AU122))</f>
        <v/>
      </c>
      <c r="DL122" s="172">
        <f>MIN(IF($AU122=100%,1,1+VLOOKUP(($AJ122-$AI122-$AH122-$AG122-$AF122-$AE122*(1+DL$3))/$AJ122,'Технический лист'!$I:$J,2,1)-VLOOKUP($AO122,'Технический лист'!$I:$J,2,1)),1+(1-$AU122))</f>
        <v/>
      </c>
      <c r="DM122" s="172">
        <f>MIN(IF($AU122=100%,1,1+VLOOKUP(($AJ122-$AI122-$AH122-$AG122-$AF122-$AE122*(1+DM$3))/$AJ122,'Технический лист'!$I:$J,2,1)-VLOOKUP($AO122,'Технический лист'!$I:$J,2,1)),1+(1-$AU122))</f>
        <v/>
      </c>
      <c r="DN122" s="172">
        <f>MIN(IF($AU122=100%,1,1+VLOOKUP(($AJ122-$AI122-$AH122-$AG122-$AF122-$AE122*(1+DN$3))/$AJ122,'Технический лист'!$I:$J,2,1)-VLOOKUP($AO122,'Технический лист'!$I:$J,2,1)),1+(1-$AU122))</f>
        <v/>
      </c>
      <c r="DO122" s="172">
        <f>MIN(IF($AU122=100%,1,1+VLOOKUP(($AJ122-$AI122-$AH122-$AG122-$AF122-$AE122*(1+DO$3))/$AJ122,'Технический лист'!$I:$J,2,1)-VLOOKUP($AO122,'Технический лист'!$I:$J,2,1)),1+(1-$AU122))</f>
        <v/>
      </c>
      <c r="DP122" s="172">
        <f>MIN(IF($AU122=100%,1,1+VLOOKUP(($AJ122-$AI122-$AH122-$AG122-$AF122-$AE122*(1+DP$3))/$AJ122,'Технический лист'!$I:$J,2,1)-VLOOKUP($AO122,'Технический лист'!$I:$J,2,1)),1+(1-$AU122))</f>
        <v/>
      </c>
      <c r="DQ122" s="172">
        <f>MIN(IF($AU122=100%,1,1+VLOOKUP(($AJ122-$AI122-$AH122-$AG122-$AF122-$AE122*(1+DQ$3))/$AJ122,'Технический лист'!$I:$J,2,1)-VLOOKUP($AO122,'Технический лист'!$I:$J,2,1)),1+(1-$AU122))</f>
        <v/>
      </c>
      <c r="DR122" s="172">
        <f>MIN(IF($AU122=100%,1,1+VLOOKUP(($AJ122-$AI122-$AH122-$AG122-$AF122-$AE122*(1+DR$3))/$AJ122,'Технический лист'!$I:$J,2,1)-VLOOKUP($AO122,'Технический лист'!$I:$J,2,1)),1+(1-$AU122))</f>
        <v/>
      </c>
      <c r="DS122" s="172">
        <f>MIN(IF($AU122=100%,1,1+VLOOKUP(($AJ122-$AI122-$AH122-$AG122-$AF122-$AE122*(1+DS$3))/$AJ122,'Технический лист'!$I:$J,2,1)-VLOOKUP($AO122,'Технический лист'!$I:$J,2,1)),1+(1-$AU122))</f>
        <v/>
      </c>
      <c r="DT122" s="172">
        <f>MIN(IF($AU122=100%,1,1+VLOOKUP(($AJ122-$AI122-$AH122-$AG122-$AF122-$AE122*(1+DT$3))/$AJ122,'Технический лист'!$I:$J,2,1)-VLOOKUP($AO122,'Технический лист'!$I:$J,2,1)),1+(1-$AU122))</f>
        <v/>
      </c>
      <c r="DU122" s="172">
        <f>MIN(IF($AU122=100%,1,1+VLOOKUP(($AJ122-$AI122-$AH122-$AG122-$AF122-$AE122*(1+DU$3))/$AJ122,'Технический лист'!$I:$J,2,1)-VLOOKUP($AO122,'Технический лист'!$I:$J,2,1)),1+(1-$AU122))</f>
        <v/>
      </c>
      <c r="DV122" s="172">
        <f>MIN(IF($AU122=100%,1,1+VLOOKUP(($AJ122-$AI122-$AH122-$AG122-$AF122-$AE122*(1+DV$3))/$AJ122,'Технический лист'!$I:$J,2,1)-VLOOKUP($AO122,'Технический лист'!$I:$J,2,1)),1+(1-$AU122))</f>
        <v/>
      </c>
      <c r="DW122" s="172">
        <f>MIN(IF($AU122=100%,1,1+VLOOKUP(($AJ122-$AI122-$AH122-$AG122-$AF122-$AE122*(1+DW$3))/$AJ122,'Технический лист'!$I:$J,2,1)-VLOOKUP($AO122,'Технический лист'!$I:$J,2,1)),1+(1-$AU122))</f>
        <v/>
      </c>
      <c r="DX122" s="172">
        <f>MIN(IF($AU122=100%,1,1+VLOOKUP(($AJ122-$AI122-$AH122-$AG122-$AF122-$AE122*(1+DX$3))/$AJ122,'Технический лист'!$I:$J,2,1)-VLOOKUP($AO122,'Технический лист'!$I:$J,2,1)),1+(1-$AU122))</f>
        <v/>
      </c>
      <c r="DY122" s="172">
        <f>MIN(IF($AU122=100%,1,1+VLOOKUP(($AJ122-$AI122-$AH122-$AG122-$AF122-$AE122*(1+DY$3))/$AJ122,'Технический лист'!$I:$J,2,1)-VLOOKUP($AO122,'Технический лист'!$I:$J,2,1)),1+(1-$AU122))</f>
        <v/>
      </c>
      <c r="DZ122" s="172">
        <f>MIN(IF($AU122=100%,1,1+VLOOKUP(($AJ122-$AI122-$AH122-$AG122-$AF122-$AE122*(1+DZ$3))/$AJ122,'Технический лист'!$I:$J,2,1)-VLOOKUP($AO122,'Технический лист'!$I:$J,2,1)),1+(1-$AU122))</f>
        <v/>
      </c>
      <c r="EA122" s="172">
        <f>MIN(IF($AU122=100%,1,1+VLOOKUP(($AJ122-$AI122-$AH122-$AG122-$AF122-$AE122*(1+EA$3))/$AJ122,'Технический лист'!$I:$J,2,1)-VLOOKUP($AO122,'Технический лист'!$I:$J,2,1)),1+(1-$AU122))</f>
        <v/>
      </c>
      <c r="EB122" s="172">
        <f>MIN(IF($AU122=100%,1,1+VLOOKUP(($AJ122-$AI122-$AH122-$AG122-$AF122-$AE122*(1+EB$3))/$AJ122,'Технический лист'!$I:$J,2,1)-VLOOKUP($AO122,'Технический лист'!$I:$J,2,1)),1+(1-$AU122))</f>
        <v/>
      </c>
      <c r="EC122" s="172">
        <f>MIN(IF($AU122=100%,1,1+VLOOKUP(($AJ122-$AI122-$AH122-$AG122-$AF122-$AE122*(1+EC$3))/$AJ122,'Технический лист'!$I:$J,2,1)-VLOOKUP($AO122,'Технический лист'!$I:$J,2,1)),1+(1-$AU122))</f>
        <v/>
      </c>
      <c r="ED122" s="172">
        <f>MIN(IF($AU122=100%,1,1+VLOOKUP(($AJ122-$AI122-$AH122-$AG122-$AF122-$AE122*(1+ED$3))/$AJ122,'Технический лист'!$I:$J,2,1)-VLOOKUP($AO122,'Технический лист'!$I:$J,2,1)),1+(1-$AU122))</f>
        <v/>
      </c>
      <c r="EE122" s="172">
        <f>MIN(IF($AU122=100%,1,1+VLOOKUP(($AJ122-$AI122-$AH122-$AG122-$AF122-$AE122*(1+EE$3))/$AJ122,'Технический лист'!$I:$J,2,1)-VLOOKUP($AO122,'Технический лист'!$I:$J,2,1)),1+(1-$AU122))</f>
        <v/>
      </c>
      <c r="EF122" s="172">
        <f>MIN(IF($AU122=100%,1,1+VLOOKUP(($AJ122-$AI122-$AH122-$AG122-$AF122-$AE122*(1+EF$3))/$AJ122,'Технический лист'!$I:$J,2,1)-VLOOKUP($AO122,'Технический лист'!$I:$J,2,1)),1+(1-$AU122))</f>
        <v/>
      </c>
      <c r="EG122" s="172">
        <f>MIN(IF($AU122=100%,1,1+VLOOKUP(($AJ122-$AI122-$AH122-$AG122-$AF122-$AE122*(1+EG$3))/$AJ122,'Технический лист'!$I:$J,2,1)-VLOOKUP($AO122,'Технический лист'!$I:$J,2,1)),1+(1-$AU122))</f>
        <v/>
      </c>
      <c r="EH122" s="172">
        <f>MIN(IF($AU122=100%,1,1+VLOOKUP(($AJ122-$AI122-$AH122-$AG122-$AF122-$AE122*(1+EH$3))/$AJ122,'Технический лист'!$I:$J,2,1)-VLOOKUP($AO122,'Технический лист'!$I:$J,2,1)),1+(1-$AU122))</f>
        <v/>
      </c>
      <c r="EI122" s="172">
        <f>MIN(IF($AU122=100%,1,1+VLOOKUP(($AJ122-$AI122-$AH122-$AG122-$AF122-$AE122*(1+EI$3))/$AJ122,'Технический лист'!$I:$J,2,1)-VLOOKUP($AO122,'Технический лист'!$I:$J,2,1)),1+(1-$AU122))</f>
        <v/>
      </c>
      <c r="EJ122" s="172">
        <f>MIN(IF($AU122=100%,1,1+VLOOKUP(($AJ122-$AI122-$AH122-$AG122-$AF122-$AE122*(1+EJ$3))/$AJ122,'Технический лист'!$I:$J,2,1)-VLOOKUP($AO122,'Технический лист'!$I:$J,2,1)),1+(1-$AU122))</f>
        <v/>
      </c>
      <c r="EK122" s="172">
        <f>MIN(IF($AU122=100%,1,1+VLOOKUP(($AJ122-$AI122-$AH122-$AG122-$AF122-$AE122*(1+EK$3))/$AJ122,'Технический лист'!$I:$J,2,1)-VLOOKUP($AO122,'Технический лист'!$I:$J,2,1)),1+(1-$AU122))</f>
        <v/>
      </c>
      <c r="EL122" s="172">
        <f>MIN(IF($AU122=100%,1,1+VLOOKUP(($AJ122-$AI122-$AH122-$AG122-$AF122-$AE122*(1+EL$3))/$AJ122,'Технический лист'!$I:$J,2,1)-VLOOKUP($AO122,'Технический лист'!$I:$J,2,1)),1+(1-$AU122))</f>
        <v/>
      </c>
      <c r="EM122" s="172">
        <f>MIN(IF($AU122=100%,1,1+VLOOKUP(($AJ122-$AI122-$AH122-$AG122-$AF122-$AE122*(1+EM$3))/$AJ122,'Технический лист'!$I:$J,2,1)-VLOOKUP($AO122,'Технический лист'!$I:$J,2,1)),1+(1-$AU122))</f>
        <v/>
      </c>
      <c r="EN122" s="172">
        <f>MIN(IF($AU122=100%,1,1+VLOOKUP(($AJ122-$AI122-$AH122-$AG122-$AF122-$AE122*(1+EN$3))/$AJ122,'Технический лист'!$I:$J,2,1)-VLOOKUP($AO122,'Технический лист'!$I:$J,2,1)),1+(1-$AU122))</f>
        <v/>
      </c>
      <c r="EO122" s="172">
        <f>MIN(IF($AU122=100%,1,1+VLOOKUP(($AJ122-$AI122-$AH122-$AG122-$AF122-$AE122*(1+EO$3))/$AJ122,'Технический лист'!$I:$J,2,1)-VLOOKUP($AO122,'Технический лист'!$I:$J,2,1)),1+(1-$AU122))</f>
        <v/>
      </c>
      <c r="EP122" s="172">
        <f>MIN(IF($AU122=100%,1,1+VLOOKUP(($AJ122-$AI122-$AH122-$AG122-$AF122-$AE122*(1+EP$3))/$AJ122,'Технический лист'!$I:$J,2,1)-VLOOKUP($AO122,'Технический лист'!$I:$J,2,1)),1+(1-$AU122))</f>
        <v/>
      </c>
      <c r="EQ122" s="172">
        <f>MIN(IF($AU122=100%,1,1+VLOOKUP(($AJ122-$AI122-$AH122-$AG122-$AF122-$AE122*(1+EQ$3))/$AJ122,'Технический лист'!$I:$J,2,1)-VLOOKUP($AO122,'Технический лист'!$I:$J,2,1)),1+(1-$AU122))</f>
        <v/>
      </c>
      <c r="ER122" s="172">
        <f>MIN(IF($AU122=100%,1,1+VLOOKUP(($AJ122-$AI122-$AH122-$AG122-$AF122-$AE122*(1+ER$3))/$AJ122,'Технический лист'!$I:$J,2,1)-VLOOKUP($AO122,'Технический лист'!$I:$J,2,1)),1+(1-$AU122))</f>
        <v/>
      </c>
      <c r="ES122" s="172">
        <f>MIN(IF($AU122=100%,1,1+VLOOKUP(($AJ122-$AI122-$AH122-$AG122-$AF122-$AE122*(1+ES$3))/$AJ122,'Технический лист'!$I:$J,2,1)-VLOOKUP($AO122,'Технический лист'!$I:$J,2,1)),1+(1-$AU122))</f>
        <v/>
      </c>
      <c r="ET122" s="172">
        <f>MIN(IF($AU122=100%,1,1+VLOOKUP(($AJ122-$AI122-$AH122-$AG122-$AF122-$AE122*(1+ET$3))/$AJ122,'Технический лист'!$I:$J,2,1)-VLOOKUP($AO122,'Технический лист'!$I:$J,2,1)),1+(1-$AU122))</f>
        <v/>
      </c>
      <c r="EU122" s="172">
        <f>MIN(IF($AU122=100%,1,1+VLOOKUP(($AJ122-$AI122-$AH122-$AG122-$AF122-$AE122*(1+EU$3))/$AJ122,'Технический лист'!$I:$J,2,1)-VLOOKUP($AO122,'Технический лист'!$I:$J,2,1)),1+(1-$AU122))</f>
        <v/>
      </c>
      <c r="EV122" s="173" t="n">
        <v>1</v>
      </c>
      <c r="EW122" s="172">
        <f>MIN(1,MAX(VLOOKUP(($AJ122-$AI122-$AH122-$AG122-$AF122-$AE122*(1+EW$3))/$AJ122,'Технический лист'!$A:$B,2,1),(EV122-0.05)))</f>
        <v/>
      </c>
      <c r="EX122" s="172">
        <f>MIN(1,MAX(VLOOKUP(($AJ122-$AI122-$AH122-$AG122-$AF122-$AE122*(1+EX$3))/$AJ122,'Технический лист'!$A:$B,2,1),(EW122-0.05)))</f>
        <v/>
      </c>
      <c r="EY122" s="172">
        <f>MIN(1,MAX(VLOOKUP(($AJ122-$AI122-$AH122-$AG122-$AF122-$AE122*(1+EY$3))/$AJ122,'Технический лист'!$A:$B,2,1),(EX122-0.05)))</f>
        <v/>
      </c>
      <c r="EZ122" s="172">
        <f>MIN(1,MAX(VLOOKUP(($AJ122-$AI122-$AH122-$AG122-$AF122-$AE122*(1+EZ$3))/$AJ122,'Технический лист'!$A:$B,2,1),(EY122-0.05)))</f>
        <v/>
      </c>
      <c r="FA122" s="172">
        <f>MIN(1,MAX(VLOOKUP(($AJ122-$AI122-$AH122-$AG122-$AF122-$AE122*(1+FA$3))/$AJ122,'Технический лист'!$A:$B,2,1),(EZ122-0.05)))</f>
        <v/>
      </c>
      <c r="FB122" s="172">
        <f>MIN(1,MAX(VLOOKUP(($AJ122-$AI122-$AH122-$AG122-$AF122-$AE122*(1+FB$3))/$AJ122,'Технический лист'!$A:$B,2,1),(FA122-0.05)))</f>
        <v/>
      </c>
      <c r="FC122" s="172">
        <f>MIN(1,MAX(VLOOKUP(($AJ122-$AI122-$AH122-$AG122-$AF122-$AE122*(1+FC$3))/$AJ122,'Технический лист'!$A:$B,2,1),(FB122-0.05)))</f>
        <v/>
      </c>
      <c r="FD122" s="172">
        <f>MIN(1,MAX(VLOOKUP(($AJ122-$AI122-$AH122-$AG122-$AF122-$AE122*(1+FD$3))/$AJ122,'Технический лист'!$A:$B,2,1),(FC122-0.05)))</f>
        <v/>
      </c>
      <c r="FE122" s="172">
        <f>MIN(1,MAX(VLOOKUP(($AJ122-$AI122-$AH122-$AG122-$AF122-$AE122*(1+FE$3))/$AJ122,'Технический лист'!$A:$B,2,1),(FD122-0.05)))</f>
        <v/>
      </c>
      <c r="FF122" s="172">
        <f>MIN(1,MAX(VLOOKUP(($AJ122-$AI122-$AH122-$AG122-$AF122-$AE122*(1+FF$3))/$AJ122,'Технический лист'!$A:$B,2,1),(FE122-0.05)))</f>
        <v/>
      </c>
      <c r="FG122" s="172">
        <f>MIN(1,MAX(VLOOKUP(($AJ122-$AI122-$AH122-$AG122-$AF122-$AE122*(1+FG$3))/$AJ122,'Технический лист'!$A:$B,2,1),(FF122-0.05)))</f>
        <v/>
      </c>
      <c r="FH122" s="172">
        <f>MIN(1,MAX(VLOOKUP(($AJ122-$AI122-$AH122-$AG122-$AF122-$AE122*(1+FH$3))/$AJ122,'Технический лист'!$A:$B,2,1),(FG122-0.05)))</f>
        <v/>
      </c>
      <c r="FI122" s="172">
        <f>MIN(1,MAX(VLOOKUP(($AJ122-$AI122-$AH122-$AG122-$AF122-$AE122*(1+FI$3))/$AJ122,'Технический лист'!$A:$B,2,1),(FH122-0.05)))</f>
        <v/>
      </c>
      <c r="FJ122" s="172">
        <f>MIN(1,MAX(VLOOKUP(($AJ122-$AI122-$AH122-$AG122-$AF122-$AE122*(1+FJ$3))/$AJ122,'Технический лист'!$A:$B,2,1),(FI122-0.05)))</f>
        <v/>
      </c>
      <c r="FK122" s="172">
        <f>MIN(1,MAX(VLOOKUP(($AJ122-$AI122-$AH122-$AG122-$AF122-$AE122*(1+FK$3))/$AJ122,'Технический лист'!$A:$B,2,1),(FJ122-0.05)))</f>
        <v/>
      </c>
      <c r="FL122" s="172">
        <f>MIN(1,MAX(VLOOKUP(($AJ122-$AI122-$AH122-$AG122-$AF122-$AE122*(1+FL$3))/$AJ122,'Технический лист'!$A:$B,2,1),(FK122-0.05)))</f>
        <v/>
      </c>
      <c r="FM122" s="172">
        <f>MIN(1,MAX(VLOOKUP(($AJ122-$AI122-$AH122-$AG122-$AF122-$AE122*(1+FM$3))/$AJ122,'Технический лист'!$A:$B,2,1),(FL122-0.05)))</f>
        <v/>
      </c>
      <c r="FN122" s="172">
        <f>MIN(1,MAX(VLOOKUP(($AJ122-$AI122-$AH122-$AG122-$AF122-$AE122*(1+FN$3))/$AJ122,'Технический лист'!$A:$B,2,1),(FM122-0.05)))</f>
        <v/>
      </c>
      <c r="FO122" s="172">
        <f>MIN(1,MAX(VLOOKUP(($AJ122-$AI122-$AH122-$AG122-$AF122-$AE122*(1+FO$3))/$AJ122,'Технический лист'!$A:$B,2,1),(FN122-0.05)))</f>
        <v/>
      </c>
      <c r="FP122" s="172">
        <f>MIN(1,MAX(VLOOKUP(($AJ122-$AI122-$AH122-$AG122-$AF122-$AE122*(1+FP$3))/$AJ122,'Технический лист'!$A:$B,2,1),(FO122-0.05)))</f>
        <v/>
      </c>
      <c r="FQ122" s="172">
        <f>MIN(1,MAX(VLOOKUP(($AJ122-$AI122-$AH122-$AG122-$AF122-$AE122*(1+FQ$3))/$AJ122,'Технический лист'!$A:$B,2,1),(FP122-0.05)))</f>
        <v/>
      </c>
      <c r="FR122" s="172">
        <f>MIN(1,MAX(VLOOKUP(($AJ122-$AI122-$AH122-$AG122-$AF122-$AE122*(1+FR$3))/$AJ122,'Технический лист'!$A:$B,2,1),(FQ122-0.05)))</f>
        <v/>
      </c>
      <c r="FS122" s="172">
        <f>MIN(1,MAX(VLOOKUP(($AJ122-$AI122-$AH122-$AG122-$AF122-$AE122*(1+FS$3))/$AJ122,'Технический лист'!$A:$B,2,1),(FR122-0.05)))</f>
        <v/>
      </c>
      <c r="FT122" s="172">
        <f>MIN(1,MAX(VLOOKUP(($AJ122-$AI122-$AH122-$AG122-$AF122-$AE122*(1+FT$3))/$AJ122,'Технический лист'!$A:$B,2,1),(FS122-0.05)))</f>
        <v/>
      </c>
      <c r="FU122" s="172">
        <f>MIN(1,MAX(VLOOKUP(($AJ122-$AI122-$AH122-$AG122-$AF122-$AE122*(1+FU$3))/$AJ122,'Технический лист'!$A:$B,2,1),(FT122-0.05)))</f>
        <v/>
      </c>
      <c r="FV122" s="172">
        <f>MIN(1,MAX(VLOOKUP(($AJ122-$AI122-$AH122-$AG122-$AF122-$AE122*(1+FV$3))/$AJ122,'Технический лист'!$A:$B,2,1),(FU122-0.05)))</f>
        <v/>
      </c>
      <c r="FW122" s="172">
        <f>MIN(1,MAX(VLOOKUP(($AJ122-$AI122-$AH122-$AG122-$AF122-$AE122*(1+FW$3))/$AJ122,'Технический лист'!$A:$B,2,1),(FV122-0.05)))</f>
        <v/>
      </c>
      <c r="FX122" s="172">
        <f>MIN(1,MAX(VLOOKUP(($AJ122-$AI122-$AH122-$AG122-$AF122-$AE122*(1+FX$3))/$AJ122,'Технический лист'!$A:$B,2,1),(FW122-0.05)))</f>
        <v/>
      </c>
      <c r="FY122" s="172">
        <f>MIN(1,MAX(VLOOKUP(($AJ122-$AI122-$AH122-$AG122-$AF122-$AE122*(1+FY$3))/$AJ122,'Технический лист'!$A:$B,2,1),(FX122-0.05)))</f>
        <v/>
      </c>
      <c r="FZ122" s="172">
        <f>MIN(1,MAX(VLOOKUP(($AJ122-$AI122-$AH122-$AG122-$AF122-$AE122*(1+FZ$3))/$AJ122,'Технический лист'!$A:$B,2,1),(FY122-0.05)))</f>
        <v/>
      </c>
      <c r="GA122" s="172">
        <f>MIN(1,MAX(VLOOKUP(($AJ122-$AI122-$AH122-$AG122-$AF122-$AE122*(1+GA$3))/$AJ122,'Технический лист'!$A:$B,2,1),(FZ122-0.05)))</f>
        <v/>
      </c>
      <c r="GB122" s="172">
        <f>MIN(1,MAX(VLOOKUP(($AJ122-$AI122-$AH122-$AG122-$AF122-$AE122*(1+GB$3))/$AJ122,'Технический лист'!$A:$B,2,1),(GA122-0.05)))</f>
        <v/>
      </c>
      <c r="GC122" s="172">
        <f>MIN(1,MAX(VLOOKUP(($AJ122-$AI122-$AH122-$AG122-$AF122-$AE122*(1+GC$3))/$AJ122,'Технический лист'!$A:$B,2,1),(GB122-0.05)))</f>
        <v/>
      </c>
      <c r="GD122" s="172">
        <f>MIN(1,MAX(VLOOKUP(($AJ122-$AI122-$AH122-$AG122-$AF122-$AE122*(1+GD$3))/$AJ122,'Технический лист'!$A:$B,2,1),(GC122-0.05)))</f>
        <v/>
      </c>
      <c r="GE122" s="172">
        <f>MIN(1,MAX(VLOOKUP(($AJ122-$AI122-$AH122-$AG122-$AF122-$AE122*(1+GE$3))/$AJ122,'Технический лист'!$A:$B,2,1),(GD122-0.05)))</f>
        <v/>
      </c>
      <c r="GF122" s="172">
        <f>MIN(1,MAX(VLOOKUP(($AJ122-$AI122-$AH122-$AG122-$AF122-$AE122*(1+GF$3))/$AJ122,'Технический лист'!$A:$B,2,1),(GE122-0.05)))</f>
        <v/>
      </c>
      <c r="GG122" s="172">
        <f>MIN(1,MAX(VLOOKUP(($AJ122-$AI122-$AH122-$AG122-$AF122-$AE122*(1+GG$3))/$AJ122,'Технический лист'!$A:$B,2,1),(GF122-0.05)))</f>
        <v/>
      </c>
      <c r="GH122" s="172">
        <f>MIN(1,MAX(VLOOKUP(($AJ122-$AI122-$AH122-$AG122-$AF122-$AE122*(1+GH$3))/$AJ122,'Технический лист'!$A:$B,2,1),(GG122-0.05)))</f>
        <v/>
      </c>
      <c r="GI122" s="172">
        <f>MIN(1,MAX(VLOOKUP(($AJ122-$AI122-$AH122-$AG122-$AF122-$AE122*(1+GI$3))/$AJ122,'Технический лист'!$A:$B,2,1),(GH122-0.05)))</f>
        <v/>
      </c>
      <c r="GJ122" s="172">
        <f>MIN(1,MAX(VLOOKUP(($AJ122-$AI122-$AH122-$AG122-$AF122-$AE122*(1+GJ$3))/$AJ122,'Технический лист'!$A:$B,2,1),(GI122-0.05)))</f>
        <v/>
      </c>
      <c r="GK122" s="172">
        <f>MIN(1,MAX(VLOOKUP(($AJ122-$AI122-$AH122-$AG122-$AF122-$AE122*(1+GK$3))/$AJ122,'Технический лист'!$A:$B,2,1),(GJ122-0.05)))</f>
        <v/>
      </c>
      <c r="GL122" s="172">
        <f>MIN(1,MAX(VLOOKUP(($AJ122-$AI122-$AH122-$AG122-$AF122-$AE122*(1+GL$3))/$AJ122,'Технический лист'!$A:$B,2,1),(GK122-0.05)))</f>
        <v/>
      </c>
      <c r="GM122" s="172">
        <f>MIN(1,MAX(VLOOKUP(($AJ122-$AI122-$AH122-$AG122-$AF122-$AE122*(1+GM$3))/$AJ122,'Технический лист'!$A:$B,2,1),(GL122-0.05)))</f>
        <v/>
      </c>
      <c r="GN122" s="172">
        <f>MIN(1,MAX(VLOOKUP(($AJ122-$AI122-$AH122-$AG122-$AF122-$AE122*(1+GN$3))/$AJ122,'Технический лист'!$A:$B,2,1),(GM122-0.05)))</f>
        <v/>
      </c>
      <c r="GO122" s="172">
        <f>MIN(1,MAX(VLOOKUP(($AJ122-$AI122-$AH122-$AG122-$AF122-$AE122*(1+GO$3))/$AJ122,'Технический лист'!$A:$B,2,1),(GN122-0.05)))</f>
        <v/>
      </c>
      <c r="GP122" s="172">
        <f>MIN(1,MAX(VLOOKUP(($AJ122-$AI122-$AH122-$AG122-$AF122-$AE122*(1+GP$3))/$AJ122,'Технический лист'!$A:$B,2,1),(GO122-0.05)))</f>
        <v/>
      </c>
      <c r="GQ122" s="172">
        <f>MIN(1,MAX(VLOOKUP(($AJ122-$AI122-$AH122-$AG122-$AF122-$AE122*(1+GQ$3))/$AJ122,'Технический лист'!$A:$B,2,1),(GP122-0.05)))</f>
        <v/>
      </c>
      <c r="GR122" s="172">
        <f>MIN(1,MAX(VLOOKUP(($AJ122-$AI122-$AH122-$AG122-$AF122-$AE122*(1+GR$3))/$AJ122,'Технический лист'!$A:$B,2,1),(GQ122-0.05)))</f>
        <v/>
      </c>
      <c r="GS122" s="172">
        <f>MIN(1,MAX(VLOOKUP(($AJ122-$AI122-$AH122-$AG122-$AF122-$AE122*(1+GS$3))/$AJ122,'Технический лист'!$A:$B,2,1),(GR122-0.05)))</f>
        <v/>
      </c>
      <c r="GT122" s="172">
        <f>MIN(1,MAX(VLOOKUP(($AJ122-$AI122-$AH122-$AG122-$AF122-$AE122*(1+GT$3))/$AJ122,'Технический лист'!$A:$B,2,1),(GS122-0.05)))</f>
        <v/>
      </c>
      <c r="GU122" s="172">
        <f>MIN(1,MAX(VLOOKUP(($AJ122-$AI122-$AH122-$AG122-$AF122-$AE122*(1+GU$3))/$AJ122,'Технический лист'!$A:$B,2,1),(GT122-0.05)))</f>
        <v/>
      </c>
      <c r="GV122" s="172">
        <f>MIN(1,MAX(VLOOKUP(($AJ122-$AI122-$AH122-$AG122-$AF122-$AE122*(1+GV$3))/$AJ122,'Технический лист'!$A:$B,2,1),(GU122-0.05)))</f>
        <v/>
      </c>
      <c r="GW122" s="172">
        <f>MIN(1,MAX(VLOOKUP(($AJ122-$AI122-$AH122-$AG122-$AF122-$AE122*(1+GW$3))/$AJ122,'Технический лист'!$A:$B,2,1),(GV122-0.05)))</f>
        <v/>
      </c>
      <c r="GX122" s="172">
        <f>MIN(1,MAX(VLOOKUP(($AJ122-$AI122-$AH122-$AG122-$AF122-$AE122*(1+GX$3))/$AJ122,'Технический лист'!$A:$B,2,1),(GW122-0.05)))</f>
        <v/>
      </c>
      <c r="GY122" s="172">
        <f>MIN(1,MAX(VLOOKUP(($AJ122-$AI122-$AH122-$AG122-$AF122-$AE122*(1+GY$3))/$AJ122,'Технический лист'!$A:$B,2,1),(GX122-0.05)))</f>
        <v/>
      </c>
      <c r="GZ122" s="172">
        <f>MIN(1,MAX(VLOOKUP(($AJ122-$AI122-$AH122-$AG122-$AF122-$AE122*(1+GZ$3))/$AJ122,'Технический лист'!$A:$B,2,1),(GY122-0.05)))</f>
        <v/>
      </c>
      <c r="HA122" s="172">
        <f>MIN(1,MAX(VLOOKUP(($AJ122-$AI122-$AH122-$AG122-$AF122-$AE122*(1+HA$3))/$AJ122,'Технический лист'!$A:$B,2,1),(GZ122-0.05)))</f>
        <v/>
      </c>
      <c r="HB122" s="172">
        <f>MIN(1,MAX(VLOOKUP(($AJ122-$AI122-$AH122-$AG122-$AF122-$AE122*(1+HB$3))/$AJ122,'Технический лист'!$A:$B,2,1),(HA122-0.05)))</f>
        <v/>
      </c>
      <c r="HC122" s="172">
        <f>MIN(1,MAX(VLOOKUP(($AJ122-$AI122-$AH122-$AG122-$AF122-$AE122*(1+HC$3))/$AJ122,'Технический лист'!$A:$B,2,1),(HB122-0.05)))</f>
        <v/>
      </c>
      <c r="HD122" s="172">
        <f>MIN(1,MAX(VLOOKUP(($AJ122-$AI122-$AH122-$AG122-$AF122-$AE122*(1+HD$3))/$AJ122,'Технический лист'!$A:$B,2,1),(HC122-0.05)))</f>
        <v/>
      </c>
      <c r="HE122" s="172">
        <f>MIN(1,MAX(VLOOKUP(($AJ122-$AI122-$AH122-$AG122-$AF122-$AE122*(1+HE$3))/$AJ122,'Технический лист'!$A:$B,2,1),(HD122-0.05)))</f>
        <v/>
      </c>
      <c r="HF122" s="172">
        <f>MIN(1,MAX(VLOOKUP(($AJ122-$AI122-$AH122-$AG122-$AF122-$AE122*(1+HF$3))/$AJ122,'Технический лист'!$A:$B,2,1),(HE122-0.05)))</f>
        <v/>
      </c>
      <c r="HG122" s="172">
        <f>MIN(1,MAX(VLOOKUP(($AJ122-$AI122-$AH122-$AG122-$AF122-$AE122*(1+HG$3))/$AJ122,'Технический лист'!$A:$B,2,1),(HF122-0.05)))</f>
        <v/>
      </c>
      <c r="HH122" s="172">
        <f>MIN(1,MAX(VLOOKUP(($AJ122-$AI122-$AH122-$AG122-$AF122-$AE122*(1+HH$3))/$AJ122,'Технический лист'!$A:$B,2,1),(HG122-0.05)))</f>
        <v/>
      </c>
      <c r="HI122" s="172">
        <f>MIN(1,MAX(VLOOKUP(($AJ122-$AI122-$AH122-$AG122-$AF122-$AE122*(1+HI$3))/$AJ122,'Технический лист'!$A:$B,2,1),(HH122-0.05)))</f>
        <v/>
      </c>
      <c r="HJ122" s="172">
        <f>MIN(1,MAX(VLOOKUP(($AJ122-$AI122-$AH122-$AG122-$AF122-$AE122*(1+HJ$3))/$AJ122,'Технический лист'!$A:$B,2,1),(HI122-0.05)))</f>
        <v/>
      </c>
      <c r="HK122" s="172">
        <f>MIN(1,MAX(VLOOKUP(($AJ122-$AI122-$AH122-$AG122-$AF122-$AE122*(1+HK$3))/$AJ122,'Технический лист'!$A:$B,2,1),(HJ122-0.05)))</f>
        <v/>
      </c>
      <c r="HL122" s="172">
        <f>MIN(1,MAX(VLOOKUP(($AJ122-$AI122-$AH122-$AG122-$AF122-$AE122*(1+HL$3))/$AJ122,'Технический лист'!$A:$B,2,1),(HK122-0.05)))</f>
        <v/>
      </c>
      <c r="HM122" s="172">
        <f>MIN(1,MAX(VLOOKUP(($AJ122-$AI122-$AH122-$AG122-$AF122-$AE122*(1+HM$3))/$AJ122,'Технический лист'!$A:$B,2,1),(HL122-0.05)))</f>
        <v/>
      </c>
      <c r="HN122" s="172">
        <f>MIN(1,MAX(VLOOKUP(($AJ122-$AI122-$AH122-$AG122-$AF122-$AE122*(1+HN$3))/$AJ122,'Технический лист'!$A:$B,2,1),(HM122-0.05)))</f>
        <v/>
      </c>
      <c r="HO122" s="172">
        <f>MIN(1,MAX(VLOOKUP(($AJ122-$AI122-$AH122-$AG122-$AF122-$AE122*(1+HO$3))/$AJ122,'Технический лист'!$A:$B,2,1),(HN122-0.05)))</f>
        <v/>
      </c>
      <c r="HP122" s="172">
        <f>MIN(1,MAX(VLOOKUP(($AJ122-$AI122-$AH122-$AG122-$AF122-$AE122*(1+HP$3))/$AJ122,'Технический лист'!$A:$B,2,1),(HO122-0.05)))</f>
        <v/>
      </c>
      <c r="HQ122" s="172">
        <f>MIN(1,MAX(VLOOKUP(($AJ122-$AI122-$AH122-$AG122-$AF122-$AE122*(1+HQ$3))/$AJ122,'Технический лист'!$A:$B,2,1),(HP122-0.05)))</f>
        <v/>
      </c>
      <c r="HR122" s="172">
        <f>MIN(1,MAX(VLOOKUP(($AJ122-$AI122-$AH122-$AG122-$AF122-$AE122*(1+HR$3))/$AJ122,'Технический лист'!$A:$B,2,1),(HQ122-0.05)))</f>
        <v/>
      </c>
      <c r="HS122" s="172">
        <f>MIN(1,MAX(VLOOKUP(($AJ122-$AI122-$AH122-$AG122-$AF122-$AE122*(1+HS$3))/$AJ122,'Технический лист'!$A:$B,2,1),(HR122-0.05)))</f>
        <v/>
      </c>
      <c r="HT122" s="172">
        <f>MIN(1,MAX(VLOOKUP(($AJ122-$AI122-$AH122-$AG122-$AF122-$AE122*(1+HT$3))/$AJ122,'Технический лист'!$A:$B,2,1),(HS122-0.05)))</f>
        <v/>
      </c>
      <c r="HU122" s="172">
        <f>MIN(1,MAX(VLOOKUP(($AJ122-$AI122-$AH122-$AG122-$AF122-$AE122*(1+HU$3))/$AJ122,'Технический лист'!$A:$B,2,1),(HT122-0.05)))</f>
        <v/>
      </c>
      <c r="HV122" s="172">
        <f>MIN(1,MAX(VLOOKUP(($AJ122-$AI122-$AH122-$AG122-$AF122-$AE122*(1+HV$3))/$AJ122,'Технический лист'!$A:$B,2,1),(HU122-0.05)))</f>
        <v/>
      </c>
      <c r="HW122" s="172">
        <f>MIN(1,MAX(VLOOKUP(($AJ122-$AI122-$AH122-$AG122-$AF122-$AE122*(1+HW$3))/$AJ122,'Технический лист'!$A:$B,2,1),(HV122-0.05)))</f>
        <v/>
      </c>
      <c r="HX122" s="172">
        <f>MIN(1,MAX(VLOOKUP(($AJ122-$AI122-$AH122-$AG122-$AF122-$AE122*(1+HX$3))/$AJ122,'Технический лист'!$A:$B,2,1),(HW122-0.05)))</f>
        <v/>
      </c>
      <c r="HY122" s="172">
        <f>MIN(1,MAX(VLOOKUP(($AJ122-$AI122-$AH122-$AG122-$AF122-$AE122*(1+HY$3))/$AJ122,'Технический лист'!$A:$B,2,1),(HX122-0.05)))</f>
        <v/>
      </c>
      <c r="HZ122" s="172">
        <f>MIN(1,MAX(VLOOKUP(($AJ122-$AI122-$AH122-$AG122-$AF122-$AE122*(1+HZ$3))/$AJ122,'Технический лист'!$A:$B,2,1),(HY122-0.05)))</f>
        <v/>
      </c>
      <c r="IA122" s="172">
        <f>MIN(1,MAX(VLOOKUP(($AJ122-$AI122-$AH122-$AG122-$AF122-$AE122*(1+IA$3))/$AJ122,'Технический лист'!$A:$B,2,1),(HZ122-0.05)))</f>
        <v/>
      </c>
      <c r="IB122" s="172">
        <f>MIN(1,MAX(VLOOKUP(($AJ122-$AI122-$AH122-$AG122-$AF122-$AE122*(1+IB$3))/$AJ122,'Технический лист'!$A:$B,2,1),(IA122-0.05)))</f>
        <v/>
      </c>
      <c r="IC122" s="172">
        <f>MIN(1,MAX(VLOOKUP(($AJ122-$AI122-$AH122-$AG122-$AF122-$AE122*(1+IC$3))/$AJ122,'Технический лист'!$A:$B,2,1),(IB122-0.05)))</f>
        <v/>
      </c>
      <c r="ID122" s="172">
        <f>MIN(1,MAX(VLOOKUP(($AJ122-$AI122-$AH122-$AG122-$AF122-$AE122*(1+ID$3))/$AJ122,'Технический лист'!$A:$B,2,1),(IC122-0.05)))</f>
        <v/>
      </c>
      <c r="IE122" s="172">
        <f>MIN(1,MAX(VLOOKUP(($AJ122-$AI122-$AH122-$AG122-$AF122-$AE122*(1+IE$3))/$AJ122,'Технический лист'!$A:$B,2,1),(ID122-0.05)))</f>
        <v/>
      </c>
      <c r="IF122" s="172">
        <f>MIN(1,MAX(VLOOKUP(($AJ122-$AI122-$AH122-$AG122-$AF122-$AE122*(1+IF$3))/$AJ122,'Технический лист'!$A:$B,2,1),(IE122-0.05)))</f>
        <v/>
      </c>
      <c r="IG122" s="172">
        <f>MIN(1,MAX(VLOOKUP(($AJ122-$AI122-$AH122-$AG122-$AF122-$AE122*(1+IG$3))/$AJ122,'Технический лист'!$A:$B,2,1),(IF122-0.05)))</f>
        <v/>
      </c>
      <c r="IH122" s="172">
        <f>MIN(1,MAX(VLOOKUP(($AJ122-$AI122-$AH122-$AG122-$AF122-$AE122*(1+IH$3))/$AJ122,'Технический лист'!$A:$B,2,1),(IG122-0.05)))</f>
        <v/>
      </c>
      <c r="II122" s="172">
        <f>MIN(1,MAX(VLOOKUP(($AJ122-$AI122-$AH122-$AG122-$AF122-$AE122*(1+II$3))/$AJ122,'Технический лист'!$A:$B,2,1),(IH122-0.05)))</f>
        <v/>
      </c>
      <c r="IJ122" s="172">
        <f>MIN(1,MAX(VLOOKUP(($AJ122-$AI122-$AH122-$AG122-$AF122-$AE122*(1+IJ$3))/$AJ122,'Технический лист'!$A:$B,2,1),(II122-0.05)))</f>
        <v/>
      </c>
      <c r="IK122" s="172">
        <f>MIN(1,MAX(VLOOKUP(($AJ122-$AI122-$AH122-$AG122-$AF122-$AE122*(1+IK$3))/$AJ122,'Технический лист'!$A:$B,2,1),(IJ122-0.05)))</f>
        <v/>
      </c>
      <c r="IL122" s="172">
        <f>MIN(1,MAX(VLOOKUP(($AJ122-$AI122-$AH122-$AG122-$AF122-$AE122*(1+IL$3))/$AJ122,'Технический лист'!$A:$B,2,1),(IK122-0.05)))</f>
        <v/>
      </c>
      <c r="IM122" s="172">
        <f>MIN(1,MAX(VLOOKUP(($AJ122-$AI122-$AH122-$AG122-$AF122-$AE122*(1+IM$3))/$AJ122,'Технический лист'!$A:$B,2,1),(IL122-0.05)))</f>
        <v/>
      </c>
      <c r="IN122" s="172">
        <f>MIN(1,MAX(VLOOKUP(($AJ122-$AI122-$AH122-$AG122-$AF122-$AE122*(1+IN$3))/$AJ122,'Технический лист'!$A:$B,2,1),(IM122-0.05)))</f>
        <v/>
      </c>
      <c r="IO122" s="172">
        <f>MIN(1,MAX(VLOOKUP(($AJ122-$AI122-$AH122-$AG122-$AF122-$AE122*(1+IO$3))/$AJ122,'Технический лист'!$A:$B,2,1),(IN122-0.05)))</f>
        <v/>
      </c>
      <c r="IP122" s="172">
        <f>MIN(1,MAX(VLOOKUP(($AJ122-$AI122-$AH122-$AG122-$AF122-$AE122*(1+IP$3))/$AJ122,'Технический лист'!$A:$B,2,1),(IO122-0.05)))</f>
        <v/>
      </c>
      <c r="IQ122" s="172">
        <f>MIN(1,MAX(VLOOKUP(($AJ122-$AI122-$AH122-$AG122-$AF122-$AE122*(1+IQ$3))/$AJ122,'Технический лист'!$A:$B,2,1),(IP122-0.05)))</f>
        <v/>
      </c>
      <c r="IR122" s="172">
        <f>MIN(1,MAX(VLOOKUP(($AJ122-$AI122-$AH122-$AG122-$AF122-$AE122*(1+IR$3))/$AJ122,'Технический лист'!$A:$B,2,1),(IQ122-0.05)))</f>
        <v/>
      </c>
    </row>
    <row r="123" ht="58.3" customHeight="1" s="123">
      <c r="A123" s="89" t="inlineStr">
        <is>
          <t>ЧМ (продукция)</t>
        </is>
      </c>
      <c r="B123" s="90" t="n">
        <v>5</v>
      </c>
      <c r="C123" s="5" t="inlineStr">
        <is>
          <t>Черные металлы</t>
        </is>
      </c>
      <c r="D123" s="91" t="n">
        <v>32307</v>
      </c>
      <c r="E123" s="91" t="inlineStr">
        <is>
          <t xml:space="preserve">Трубы стальные сварные большого диаметра (400 - 1420 мм) </t>
        </is>
      </c>
      <c r="F123" s="92" t="inlineStr">
        <is>
          <t>ТРУБЫ ИЗ ЧЕРНЫХ МЕТАЛЛОВ</t>
        </is>
      </c>
      <c r="G123" s="91" t="inlineStr">
        <is>
          <t>ОКТ</t>
        </is>
      </c>
      <c r="H123" s="91" t="inlineStr">
        <is>
          <t>ДВС</t>
        </is>
      </c>
      <c r="I123" s="91" t="inlineStr">
        <is>
          <t>КОЛПИНО</t>
        </is>
      </c>
      <c r="J123" s="91" t="inlineStr">
        <is>
          <t>БИРА</t>
        </is>
      </c>
      <c r="K123" s="91" t="n">
        <v>8711</v>
      </c>
      <c r="L123" s="91" t="inlineStr">
        <is>
          <t>Полувагоны</t>
        </is>
      </c>
      <c r="M123" s="91" t="inlineStr">
        <is>
          <t>Внутр. перевозки</t>
        </is>
      </c>
      <c r="N123" s="91" t="inlineStr">
        <is>
          <t>вагонная</t>
        </is>
      </c>
      <c r="O123" s="91" t="inlineStr">
        <is>
          <t xml:space="preserve">Восточное </t>
        </is>
      </c>
      <c r="P123" s="89" t="inlineStr">
        <is>
          <t>'000000186217</t>
        </is>
      </c>
      <c r="Q123" s="91" t="inlineStr">
        <is>
          <t>ПАО "Северсталь"</t>
        </is>
      </c>
      <c r="R123" s="91" t="inlineStr">
        <is>
          <t>ПАО "СЕВЕРСТАЛЬ"</t>
        </is>
      </c>
      <c r="S123" s="87" t="n">
        <v>31492</v>
      </c>
      <c r="T123" s="87" t="n">
        <v>274340099</v>
      </c>
      <c r="U123" s="88" t="n">
        <v>759</v>
      </c>
      <c r="V123" s="88" t="n">
        <v>0</v>
      </c>
      <c r="W123" s="87" t="n">
        <v>440222272</v>
      </c>
      <c r="X123" s="112" t="n">
        <v>54</v>
      </c>
      <c r="Y123" s="112" t="inlineStr">
        <is>
          <t>повагонная</t>
        </is>
      </c>
      <c r="Z123" s="113" t="n">
        <v>24</v>
      </c>
      <c r="AA123" s="113" t="n">
        <v>18</v>
      </c>
      <c r="AB123" s="113" t="n">
        <v>4</v>
      </c>
      <c r="AC123" s="161" t="n">
        <v>12539.98</v>
      </c>
      <c r="AD123" s="161">
        <f>AE123-AC123</f>
        <v/>
      </c>
      <c r="AE123" s="161" t="n">
        <v>14119.7</v>
      </c>
      <c r="AF123" s="162">
        <f>(Z123+AA123+AB123)*'Ставки аренды'!$B$3/X123</f>
        <v/>
      </c>
      <c r="AG123" s="164" t="n">
        <v>0</v>
      </c>
      <c r="AH123" s="164" t="n">
        <v>0</v>
      </c>
      <c r="AI123" s="174">
        <f>507353/712157*AJ123</f>
        <v/>
      </c>
      <c r="AJ123" s="166">
        <f>Цены!D28</f>
        <v/>
      </c>
      <c r="AK123" s="164">
        <f>AJ123/Цены!$B$1</f>
        <v/>
      </c>
      <c r="AL123" s="164">
        <f>AE123+AF123+AG123</f>
        <v/>
      </c>
      <c r="AM123" s="164">
        <f>AJ123-AL123</f>
        <v/>
      </c>
      <c r="AN123" s="164">
        <f>AI123+AH123+AG123+AF123+AE123</f>
        <v/>
      </c>
      <c r="AO123" s="167">
        <f>(AJ123-AN123)/AJ123</f>
        <v/>
      </c>
      <c r="AP123" s="168">
        <f>AL123/AJ123</f>
        <v/>
      </c>
      <c r="AQ123" s="168">
        <f>AE123/AJ123</f>
        <v/>
      </c>
      <c r="AR123" s="168">
        <f>AE123/AL123</f>
        <v/>
      </c>
      <c r="AS123" s="169" t="n">
        <v>1</v>
      </c>
      <c r="AT123" s="121">
        <f>S123*AS123</f>
        <v/>
      </c>
      <c r="AU123" s="83" t="n">
        <v>0.95</v>
      </c>
      <c r="AV123" s="170">
        <f>(AJ123-(AE123*(1+$IS$2)+AF123+AG123+AH123+AI123))/AJ123</f>
        <v/>
      </c>
      <c r="AW123" s="171">
        <f>(AE123*(1+$IS$2)+AF123+AG123)/AJ123</f>
        <v/>
      </c>
      <c r="AX123" s="171">
        <f>(AE123*(1+$IS$2))/AJ123</f>
        <v/>
      </c>
      <c r="AY123" s="171">
        <f>(AE123*(1+$IS$2))/(AE123*(1+$IS$2)+AF123+AG123)</f>
        <v/>
      </c>
      <c r="AZ123" s="172">
        <f>MIN(IF($AU123=100%,1,1+VLOOKUP(($AJ123-$AI123-$AH123-$AG123-$AF123-$AE123*(1+AZ$3))/$AJ123,'Технический лист'!$I:$J,2,1)-VLOOKUP($AO123,'Технический лист'!$I:$J,2,1)),1+(1-$AU123))</f>
        <v/>
      </c>
      <c r="BA123" s="172">
        <f>MIN(IF($AU123=100%,1,1+VLOOKUP(($AJ123-$AI123-$AH123-$AG123-$AF123-$AE123*(1+BA$3))/$AJ123,'Технический лист'!$I:$J,2,1)-VLOOKUP($AO123,'Технический лист'!$I:$J,2,1)),1+(1-$AU123))</f>
        <v/>
      </c>
      <c r="BB123" s="172">
        <f>MIN(IF($AU123=100%,1,1+VLOOKUP(($AJ123-$AI123-$AH123-$AG123-$AF123-$AE123*(1+BB$3))/$AJ123,'Технический лист'!$I:$J,2,1)-VLOOKUP($AO123,'Технический лист'!$I:$J,2,1)),1+(1-$AU123))</f>
        <v/>
      </c>
      <c r="BC123" s="172">
        <f>MIN(IF($AU123=100%,1,1+VLOOKUP(($AJ123-$AI123-$AH123-$AG123-$AF123-$AE123*(1+BC$3))/$AJ123,'Технический лист'!$I:$J,2,1)-VLOOKUP($AO123,'Технический лист'!$I:$J,2,1)),1+(1-$AU123))</f>
        <v/>
      </c>
      <c r="BD123" s="172">
        <f>MIN(IF($AU123=100%,1,1+VLOOKUP(($AJ123-$AI123-$AH123-$AG123-$AF123-$AE123*(1+BD$3))/$AJ123,'Технический лист'!$I:$J,2,1)-VLOOKUP($AO123,'Технический лист'!$I:$J,2,1)),1+(1-$AU123))</f>
        <v/>
      </c>
      <c r="BE123" s="172">
        <f>MIN(IF($AU123=100%,1,1+VLOOKUP(($AJ123-$AI123-$AH123-$AG123-$AF123-$AE123*(1+BE$3))/$AJ123,'Технический лист'!$I:$J,2,1)-VLOOKUP($AO123,'Технический лист'!$I:$J,2,1)),1+(1-$AU123))</f>
        <v/>
      </c>
      <c r="BF123" s="172">
        <f>MIN(IF($AU123=100%,1,1+VLOOKUP(($AJ123-$AI123-$AH123-$AG123-$AF123-$AE123*(1+BF$3))/$AJ123,'Технический лист'!$I:$J,2,1)-VLOOKUP($AO123,'Технический лист'!$I:$J,2,1)),1+(1-$AU123))</f>
        <v/>
      </c>
      <c r="BG123" s="172">
        <f>MIN(IF($AU123=100%,1,1+VLOOKUP(($AJ123-$AI123-$AH123-$AG123-$AF123-$AE123*(1+BG$3))/$AJ123,'Технический лист'!$I:$J,2,1)-VLOOKUP($AO123,'Технический лист'!$I:$J,2,1)),1+(1-$AU123))</f>
        <v/>
      </c>
      <c r="BH123" s="172">
        <f>MIN(IF($AU123=100%,1,1+VLOOKUP(($AJ123-$AI123-$AH123-$AG123-$AF123-$AE123*(1+BH$3))/$AJ123,'Технический лист'!$I:$J,2,1)-VLOOKUP($AO123,'Технический лист'!$I:$J,2,1)),1+(1-$AU123))</f>
        <v/>
      </c>
      <c r="BI123" s="172">
        <f>MIN(IF($AU123=100%,1,1+VLOOKUP(($AJ123-$AI123-$AH123-$AG123-$AF123-$AE123*(1+BI$3))/$AJ123,'Технический лист'!$I:$J,2,1)-VLOOKUP($AO123,'Технический лист'!$I:$J,2,1)),1+(1-$AU123))</f>
        <v/>
      </c>
      <c r="BJ123" s="172">
        <f>MIN(IF($AU123=100%,1,1+VLOOKUP(($AJ123-$AI123-$AH123-$AG123-$AF123-$AE123*(1+BJ$3))/$AJ123,'Технический лист'!$I:$J,2,1)-VLOOKUP($AO123,'Технический лист'!$I:$J,2,1)),1+(1-$AU123))</f>
        <v/>
      </c>
      <c r="BK123" s="172">
        <f>MIN(IF($AU123=100%,1,1+VLOOKUP(($AJ123-$AI123-$AH123-$AG123-$AF123-$AE123*(1+BK$3))/$AJ123,'Технический лист'!$I:$J,2,1)-VLOOKUP($AO123,'Технический лист'!$I:$J,2,1)),1+(1-$AU123))</f>
        <v/>
      </c>
      <c r="BL123" s="172">
        <f>MIN(IF($AU123=100%,1,1+VLOOKUP(($AJ123-$AI123-$AH123-$AG123-$AF123-$AE123*(1+BL$3))/$AJ123,'Технический лист'!$I:$J,2,1)-VLOOKUP($AO123,'Технический лист'!$I:$J,2,1)),1+(1-$AU123))</f>
        <v/>
      </c>
      <c r="BM123" s="172">
        <f>MIN(IF($AU123=100%,1,1+VLOOKUP(($AJ123-$AI123-$AH123-$AG123-$AF123-$AE123*(1+BM$3))/$AJ123,'Технический лист'!$I:$J,2,1)-VLOOKUP($AO123,'Технический лист'!$I:$J,2,1)),1+(1-$AU123))</f>
        <v/>
      </c>
      <c r="BN123" s="172">
        <f>MIN(IF($AU123=100%,1,1+VLOOKUP(($AJ123-$AI123-$AH123-$AG123-$AF123-$AE123*(1+BN$3))/$AJ123,'Технический лист'!$I:$J,2,1)-VLOOKUP($AO123,'Технический лист'!$I:$J,2,1)),1+(1-$AU123))</f>
        <v/>
      </c>
      <c r="BO123" s="172">
        <f>MIN(IF($AU123=100%,1,1+VLOOKUP(($AJ123-$AI123-$AH123-$AG123-$AF123-$AE123*(1+BO$3))/$AJ123,'Технический лист'!$I:$J,2,1)-VLOOKUP($AO123,'Технический лист'!$I:$J,2,1)),1+(1-$AU123))</f>
        <v/>
      </c>
      <c r="BP123" s="172">
        <f>MIN(IF($AU123=100%,1,1+VLOOKUP(($AJ123-$AI123-$AH123-$AG123-$AF123-$AE123*(1+BP$3))/$AJ123,'Технический лист'!$I:$J,2,1)-VLOOKUP($AO123,'Технический лист'!$I:$J,2,1)),1+(1-$AU123))</f>
        <v/>
      </c>
      <c r="BQ123" s="172">
        <f>MIN(IF($AU123=100%,1,1+VLOOKUP(($AJ123-$AI123-$AH123-$AG123-$AF123-$AE123*(1+BQ$3))/$AJ123,'Технический лист'!$I:$J,2,1)-VLOOKUP($AO123,'Технический лист'!$I:$J,2,1)),1+(1-$AU123))</f>
        <v/>
      </c>
      <c r="BR123" s="172">
        <f>MIN(IF($AU123=100%,1,1+VLOOKUP(($AJ123-$AI123-$AH123-$AG123-$AF123-$AE123*(1+BR$3))/$AJ123,'Технический лист'!$I:$J,2,1)-VLOOKUP($AO123,'Технический лист'!$I:$J,2,1)),1+(1-$AU123))</f>
        <v/>
      </c>
      <c r="BS123" s="172">
        <f>MIN(IF($AU123=100%,1,1+VLOOKUP(($AJ123-$AI123-$AH123-$AG123-$AF123-$AE123*(1+BS$3))/$AJ123,'Технический лист'!$I:$J,2,1)-VLOOKUP($AO123,'Технический лист'!$I:$J,2,1)),1+(1-$AU123))</f>
        <v/>
      </c>
      <c r="BT123" s="172">
        <f>MIN(IF($AU123=100%,1,1+VLOOKUP(($AJ123-$AI123-$AH123-$AG123-$AF123-$AE123*(1+BT$3))/$AJ123,'Технический лист'!$I:$J,2,1)-VLOOKUP($AO123,'Технический лист'!$I:$J,2,1)),1+(1-$AU123))</f>
        <v/>
      </c>
      <c r="BU123" s="172">
        <f>MIN(IF($AU123=100%,1,1+VLOOKUP(($AJ123-$AI123-$AH123-$AG123-$AF123-$AE123*(1+BU$3))/$AJ123,'Технический лист'!$I:$J,2,1)-VLOOKUP($AO123,'Технический лист'!$I:$J,2,1)),1+(1-$AU123))</f>
        <v/>
      </c>
      <c r="BV123" s="172">
        <f>MIN(IF($AU123=100%,1,1+VLOOKUP(($AJ123-$AI123-$AH123-$AG123-$AF123-$AE123*(1+BV$3))/$AJ123,'Технический лист'!$I:$J,2,1)-VLOOKUP($AO123,'Технический лист'!$I:$J,2,1)),1+(1-$AU123))</f>
        <v/>
      </c>
      <c r="BW123" s="172">
        <f>MIN(IF($AU123=100%,1,1+VLOOKUP(($AJ123-$AI123-$AH123-$AG123-$AF123-$AE123*(1+BW$3))/$AJ123,'Технический лист'!$I:$J,2,1)-VLOOKUP($AO123,'Технический лист'!$I:$J,2,1)),1+(1-$AU123))</f>
        <v/>
      </c>
      <c r="BX123" s="172">
        <f>MIN(IF($AU123=100%,1,1+VLOOKUP(($AJ123-$AI123-$AH123-$AG123-$AF123-$AE123*(1+BX$3))/$AJ123,'Технический лист'!$I:$J,2,1)-VLOOKUP($AO123,'Технический лист'!$I:$J,2,1)),1+(1-$AU123))</f>
        <v/>
      </c>
      <c r="BY123" s="172">
        <f>MIN(IF($AU123=100%,1,1+VLOOKUP(($AJ123-$AI123-$AH123-$AG123-$AF123-$AE123*(1+BY$3))/$AJ123,'Технический лист'!$I:$J,2,1)-VLOOKUP($AO123,'Технический лист'!$I:$J,2,1)),1+(1-$AU123))</f>
        <v/>
      </c>
      <c r="BZ123" s="172">
        <f>MIN(IF($AU123=100%,1,1+VLOOKUP(($AJ123-$AI123-$AH123-$AG123-$AF123-$AE123*(1+BZ$3))/$AJ123,'Технический лист'!$I:$J,2,1)-VLOOKUP($AO123,'Технический лист'!$I:$J,2,1)),1+(1-$AU123))</f>
        <v/>
      </c>
      <c r="CA123" s="172">
        <f>MIN(IF($AU123=100%,1,1+VLOOKUP(($AJ123-$AI123-$AH123-$AG123-$AF123-$AE123*(1+CA$3))/$AJ123,'Технический лист'!$I:$J,2,1)-VLOOKUP($AO123,'Технический лист'!$I:$J,2,1)),1+(1-$AU123))</f>
        <v/>
      </c>
      <c r="CB123" s="172">
        <f>MIN(IF($AU123=100%,1,1+VLOOKUP(($AJ123-$AI123-$AH123-$AG123-$AF123-$AE123*(1+CB$3))/$AJ123,'Технический лист'!$I:$J,2,1)-VLOOKUP($AO123,'Технический лист'!$I:$J,2,1)),1+(1-$AU123))</f>
        <v/>
      </c>
      <c r="CC123" s="172">
        <f>MIN(IF($AU123=100%,1,1+VLOOKUP(($AJ123-$AI123-$AH123-$AG123-$AF123-$AE123*(1+CC$3))/$AJ123,'Технический лист'!$I:$J,2,1)-VLOOKUP($AO123,'Технический лист'!$I:$J,2,1)),1+(1-$AU123))</f>
        <v/>
      </c>
      <c r="CD123" s="172">
        <f>MIN(IF($AU123=100%,1,1+VLOOKUP(($AJ123-$AI123-$AH123-$AG123-$AF123-$AE123*(1+CD$3))/$AJ123,'Технический лист'!$I:$J,2,1)-VLOOKUP($AO123,'Технический лист'!$I:$J,2,1)),1+(1-$AU123))</f>
        <v/>
      </c>
      <c r="CE123" s="172">
        <f>MIN(IF($AU123=100%,1,1+VLOOKUP(($AJ123-$AI123-$AH123-$AG123-$AF123-$AE123*(1+CE$3))/$AJ123,'Технический лист'!$I:$J,2,1)-VLOOKUP($AO123,'Технический лист'!$I:$J,2,1)),1+(1-$AU123))</f>
        <v/>
      </c>
      <c r="CF123" s="172">
        <f>MIN(IF($AU123=100%,1,1+VLOOKUP(($AJ123-$AI123-$AH123-$AG123-$AF123-$AE123*(1+CF$3))/$AJ123,'Технический лист'!$I:$J,2,1)-VLOOKUP($AO123,'Технический лист'!$I:$J,2,1)),1+(1-$AU123))</f>
        <v/>
      </c>
      <c r="CG123" s="172">
        <f>MIN(IF($AU123=100%,1,1+VLOOKUP(($AJ123-$AI123-$AH123-$AG123-$AF123-$AE123*(1+CG$3))/$AJ123,'Технический лист'!$I:$J,2,1)-VLOOKUP($AO123,'Технический лист'!$I:$J,2,1)),1+(1-$AU123))</f>
        <v/>
      </c>
      <c r="CH123" s="172">
        <f>MIN(IF($AU123=100%,1,1+VLOOKUP(($AJ123-$AI123-$AH123-$AG123-$AF123-$AE123*(1+CH$3))/$AJ123,'Технический лист'!$I:$J,2,1)-VLOOKUP($AO123,'Технический лист'!$I:$J,2,1)),1+(1-$AU123))</f>
        <v/>
      </c>
      <c r="CI123" s="172">
        <f>MIN(IF($AU123=100%,1,1+VLOOKUP(($AJ123-$AI123-$AH123-$AG123-$AF123-$AE123*(1+CI$3))/$AJ123,'Технический лист'!$I:$J,2,1)-VLOOKUP($AO123,'Технический лист'!$I:$J,2,1)),1+(1-$AU123))</f>
        <v/>
      </c>
      <c r="CJ123" s="172">
        <f>MIN(IF($AU123=100%,1,1+VLOOKUP(($AJ123-$AI123-$AH123-$AG123-$AF123-$AE123*(1+CJ$3))/$AJ123,'Технический лист'!$I:$J,2,1)-VLOOKUP($AO123,'Технический лист'!$I:$J,2,1)),1+(1-$AU123))</f>
        <v/>
      </c>
      <c r="CK123" s="172">
        <f>MIN(IF($AU123=100%,1,1+VLOOKUP(($AJ123-$AI123-$AH123-$AG123-$AF123-$AE123*(1+CK$3))/$AJ123,'Технический лист'!$I:$J,2,1)-VLOOKUP($AO123,'Технический лист'!$I:$J,2,1)),1+(1-$AU123))</f>
        <v/>
      </c>
      <c r="CL123" s="172">
        <f>MIN(IF($AU123=100%,1,1+VLOOKUP(($AJ123-$AI123-$AH123-$AG123-$AF123-$AE123*(1+CL$3))/$AJ123,'Технический лист'!$I:$J,2,1)-VLOOKUP($AO123,'Технический лист'!$I:$J,2,1)),1+(1-$AU123))</f>
        <v/>
      </c>
      <c r="CM123" s="172">
        <f>MIN(IF($AU123=100%,1,1+VLOOKUP(($AJ123-$AI123-$AH123-$AG123-$AF123-$AE123*(1+CM$3))/$AJ123,'Технический лист'!$I:$J,2,1)-VLOOKUP($AO123,'Технический лист'!$I:$J,2,1)),1+(1-$AU123))</f>
        <v/>
      </c>
      <c r="CN123" s="172">
        <f>MIN(IF($AU123=100%,1,1+VLOOKUP(($AJ123-$AI123-$AH123-$AG123-$AF123-$AE123*(1+CN$3))/$AJ123,'Технический лист'!$I:$J,2,1)-VLOOKUP($AO123,'Технический лист'!$I:$J,2,1)),1+(1-$AU123))</f>
        <v/>
      </c>
      <c r="CO123" s="172">
        <f>MIN(IF($AU123=100%,1,1+VLOOKUP(($AJ123-$AI123-$AH123-$AG123-$AF123-$AE123*(1+CO$3))/$AJ123,'Технический лист'!$I:$J,2,1)-VLOOKUP($AO123,'Технический лист'!$I:$J,2,1)),1+(1-$AU123))</f>
        <v/>
      </c>
      <c r="CP123" s="172">
        <f>MIN(IF($AU123=100%,1,1+VLOOKUP(($AJ123-$AI123-$AH123-$AG123-$AF123-$AE123*(1+CP$3))/$AJ123,'Технический лист'!$I:$J,2,1)-VLOOKUP($AO123,'Технический лист'!$I:$J,2,1)),1+(1-$AU123))</f>
        <v/>
      </c>
      <c r="CQ123" s="172">
        <f>MIN(IF($AU123=100%,1,1+VLOOKUP(($AJ123-$AI123-$AH123-$AG123-$AF123-$AE123*(1+CQ$3))/$AJ123,'Технический лист'!$I:$J,2,1)-VLOOKUP($AO123,'Технический лист'!$I:$J,2,1)),1+(1-$AU123))</f>
        <v/>
      </c>
      <c r="CR123" s="172">
        <f>MIN(IF($AU123=100%,1,1+VLOOKUP(($AJ123-$AI123-$AH123-$AG123-$AF123-$AE123*(1+CR$3))/$AJ123,'Технический лист'!$I:$J,2,1)-VLOOKUP($AO123,'Технический лист'!$I:$J,2,1)),1+(1-$AU123))</f>
        <v/>
      </c>
      <c r="CS123" s="172">
        <f>MIN(IF($AU123=100%,1,1+VLOOKUP(($AJ123-$AI123-$AH123-$AG123-$AF123-$AE123*(1+CS$3))/$AJ123,'Технический лист'!$I:$J,2,1)-VLOOKUP($AO123,'Технический лист'!$I:$J,2,1)),1+(1-$AU123))</f>
        <v/>
      </c>
      <c r="CT123" s="172">
        <f>MIN(IF($AU123=100%,1,1+VLOOKUP(($AJ123-$AI123-$AH123-$AG123-$AF123-$AE123*(1+CT$3))/$AJ123,'Технический лист'!$I:$J,2,1)-VLOOKUP($AO123,'Технический лист'!$I:$J,2,1)),1+(1-$AU123))</f>
        <v/>
      </c>
      <c r="CU123" s="172">
        <f>MIN(IF($AU123=100%,1,1+VLOOKUP(($AJ123-$AI123-$AH123-$AG123-$AF123-$AE123*(1+CU$3))/$AJ123,'Технический лист'!$I:$J,2,1)-VLOOKUP($AO123,'Технический лист'!$I:$J,2,1)),1+(1-$AU123))</f>
        <v/>
      </c>
      <c r="CV123" s="172">
        <f>MIN(IF($AU123=100%,1,1+VLOOKUP(($AJ123-$AI123-$AH123-$AG123-$AF123-$AE123*(1+CV$3))/$AJ123,'Технический лист'!$I:$J,2,1)-VLOOKUP($AO123,'Технический лист'!$I:$J,2,1)),1+(1-$AU123))</f>
        <v/>
      </c>
      <c r="CW123" s="172">
        <f>MIN(IF($AU123=100%,1,1+VLOOKUP(($AJ123-$AI123-$AH123-$AG123-$AF123-$AE123*(1+CW$3))/$AJ123,'Технический лист'!$I:$J,2,1)-VLOOKUP($AO123,'Технический лист'!$I:$J,2,1)),1+(1-$AU123))</f>
        <v/>
      </c>
      <c r="CX123" s="172">
        <f>MIN(IF($AU123=100%,1,1+VLOOKUP(($AJ123-$AI123-$AH123-$AG123-$AF123-$AE123*(1+CX$3))/$AJ123,'Технический лист'!$I:$J,2,1)-VLOOKUP($AO123,'Технический лист'!$I:$J,2,1)),1+(1-$AU123))</f>
        <v/>
      </c>
      <c r="CY123" s="172">
        <f>MIN(IF($AU123=100%,1,1+VLOOKUP(($AJ123-$AI123-$AH123-$AG123-$AF123-$AE123*(1+CY$3))/$AJ123,'Технический лист'!$I:$J,2,1)-VLOOKUP($AO123,'Технический лист'!$I:$J,2,1)),1+(1-$AU123))</f>
        <v/>
      </c>
      <c r="CZ123" s="172">
        <f>MIN(IF($AU123=100%,1,1+VLOOKUP(($AJ123-$AI123-$AH123-$AG123-$AF123-$AE123*(1+CZ$3))/$AJ123,'Технический лист'!$I:$J,2,1)-VLOOKUP($AO123,'Технический лист'!$I:$J,2,1)),1+(1-$AU123))</f>
        <v/>
      </c>
      <c r="DA123" s="172">
        <f>MIN(IF($AU123=100%,1,1+VLOOKUP(($AJ123-$AI123-$AH123-$AG123-$AF123-$AE123*(1+DA$3))/$AJ123,'Технический лист'!$I:$J,2,1)-VLOOKUP($AO123,'Технический лист'!$I:$J,2,1)),1+(1-$AU123))</f>
        <v/>
      </c>
      <c r="DB123" s="172">
        <f>MIN(IF($AU123=100%,1,1+VLOOKUP(($AJ123-$AI123-$AH123-$AG123-$AF123-$AE123*(1+DB$3))/$AJ123,'Технический лист'!$I:$J,2,1)-VLOOKUP($AO123,'Технический лист'!$I:$J,2,1)),1+(1-$AU123))</f>
        <v/>
      </c>
      <c r="DC123" s="172">
        <f>MIN(IF($AU123=100%,1,1+VLOOKUP(($AJ123-$AI123-$AH123-$AG123-$AF123-$AE123*(1+DC$3))/$AJ123,'Технический лист'!$I:$J,2,1)-VLOOKUP($AO123,'Технический лист'!$I:$J,2,1)),1+(1-$AU123))</f>
        <v/>
      </c>
      <c r="DD123" s="172">
        <f>MIN(IF($AU123=100%,1,1+VLOOKUP(($AJ123-$AI123-$AH123-$AG123-$AF123-$AE123*(1+DD$3))/$AJ123,'Технический лист'!$I:$J,2,1)-VLOOKUP($AO123,'Технический лист'!$I:$J,2,1)),1+(1-$AU123))</f>
        <v/>
      </c>
      <c r="DE123" s="172">
        <f>MIN(IF($AU123=100%,1,1+VLOOKUP(($AJ123-$AI123-$AH123-$AG123-$AF123-$AE123*(1+DE$3))/$AJ123,'Технический лист'!$I:$J,2,1)-VLOOKUP($AO123,'Технический лист'!$I:$J,2,1)),1+(1-$AU123))</f>
        <v/>
      </c>
      <c r="DF123" s="172">
        <f>MIN(IF($AU123=100%,1,1+VLOOKUP(($AJ123-$AI123-$AH123-$AG123-$AF123-$AE123*(1+DF$3))/$AJ123,'Технический лист'!$I:$J,2,1)-VLOOKUP($AO123,'Технический лист'!$I:$J,2,1)),1+(1-$AU123))</f>
        <v/>
      </c>
      <c r="DG123" s="172">
        <f>MIN(IF($AU123=100%,1,1+VLOOKUP(($AJ123-$AI123-$AH123-$AG123-$AF123-$AE123*(1+DG$3))/$AJ123,'Технический лист'!$I:$J,2,1)-VLOOKUP($AO123,'Технический лист'!$I:$J,2,1)),1+(1-$AU123))</f>
        <v/>
      </c>
      <c r="DH123" s="172">
        <f>MIN(IF($AU123=100%,1,1+VLOOKUP(($AJ123-$AI123-$AH123-$AG123-$AF123-$AE123*(1+DH$3))/$AJ123,'Технический лист'!$I:$J,2,1)-VLOOKUP($AO123,'Технический лист'!$I:$J,2,1)),1+(1-$AU123))</f>
        <v/>
      </c>
      <c r="DI123" s="172">
        <f>MIN(IF($AU123=100%,1,1+VLOOKUP(($AJ123-$AI123-$AH123-$AG123-$AF123-$AE123*(1+DI$3))/$AJ123,'Технический лист'!$I:$J,2,1)-VLOOKUP($AO123,'Технический лист'!$I:$J,2,1)),1+(1-$AU123))</f>
        <v/>
      </c>
      <c r="DJ123" s="172">
        <f>MIN(IF($AU123=100%,1,1+VLOOKUP(($AJ123-$AI123-$AH123-$AG123-$AF123-$AE123*(1+DJ$3))/$AJ123,'Технический лист'!$I:$J,2,1)-VLOOKUP($AO123,'Технический лист'!$I:$J,2,1)),1+(1-$AU123))</f>
        <v/>
      </c>
      <c r="DK123" s="172">
        <f>MIN(IF($AU123=100%,1,1+VLOOKUP(($AJ123-$AI123-$AH123-$AG123-$AF123-$AE123*(1+DK$3))/$AJ123,'Технический лист'!$I:$J,2,1)-VLOOKUP($AO123,'Технический лист'!$I:$J,2,1)),1+(1-$AU123))</f>
        <v/>
      </c>
      <c r="DL123" s="172">
        <f>MIN(IF($AU123=100%,1,1+VLOOKUP(($AJ123-$AI123-$AH123-$AG123-$AF123-$AE123*(1+DL$3))/$AJ123,'Технический лист'!$I:$J,2,1)-VLOOKUP($AO123,'Технический лист'!$I:$J,2,1)),1+(1-$AU123))</f>
        <v/>
      </c>
      <c r="DM123" s="172">
        <f>MIN(IF($AU123=100%,1,1+VLOOKUP(($AJ123-$AI123-$AH123-$AG123-$AF123-$AE123*(1+DM$3))/$AJ123,'Технический лист'!$I:$J,2,1)-VLOOKUP($AO123,'Технический лист'!$I:$J,2,1)),1+(1-$AU123))</f>
        <v/>
      </c>
      <c r="DN123" s="172">
        <f>MIN(IF($AU123=100%,1,1+VLOOKUP(($AJ123-$AI123-$AH123-$AG123-$AF123-$AE123*(1+DN$3))/$AJ123,'Технический лист'!$I:$J,2,1)-VLOOKUP($AO123,'Технический лист'!$I:$J,2,1)),1+(1-$AU123))</f>
        <v/>
      </c>
      <c r="DO123" s="172">
        <f>MIN(IF($AU123=100%,1,1+VLOOKUP(($AJ123-$AI123-$AH123-$AG123-$AF123-$AE123*(1+DO$3))/$AJ123,'Технический лист'!$I:$J,2,1)-VLOOKUP($AO123,'Технический лист'!$I:$J,2,1)),1+(1-$AU123))</f>
        <v/>
      </c>
      <c r="DP123" s="172">
        <f>MIN(IF($AU123=100%,1,1+VLOOKUP(($AJ123-$AI123-$AH123-$AG123-$AF123-$AE123*(1+DP$3))/$AJ123,'Технический лист'!$I:$J,2,1)-VLOOKUP($AO123,'Технический лист'!$I:$J,2,1)),1+(1-$AU123))</f>
        <v/>
      </c>
      <c r="DQ123" s="172">
        <f>MIN(IF($AU123=100%,1,1+VLOOKUP(($AJ123-$AI123-$AH123-$AG123-$AF123-$AE123*(1+DQ$3))/$AJ123,'Технический лист'!$I:$J,2,1)-VLOOKUP($AO123,'Технический лист'!$I:$J,2,1)),1+(1-$AU123))</f>
        <v/>
      </c>
      <c r="DR123" s="172">
        <f>MIN(IF($AU123=100%,1,1+VLOOKUP(($AJ123-$AI123-$AH123-$AG123-$AF123-$AE123*(1+DR$3))/$AJ123,'Технический лист'!$I:$J,2,1)-VLOOKUP($AO123,'Технический лист'!$I:$J,2,1)),1+(1-$AU123))</f>
        <v/>
      </c>
      <c r="DS123" s="172">
        <f>MIN(IF($AU123=100%,1,1+VLOOKUP(($AJ123-$AI123-$AH123-$AG123-$AF123-$AE123*(1+DS$3))/$AJ123,'Технический лист'!$I:$J,2,1)-VLOOKUP($AO123,'Технический лист'!$I:$J,2,1)),1+(1-$AU123))</f>
        <v/>
      </c>
      <c r="DT123" s="172">
        <f>MIN(IF($AU123=100%,1,1+VLOOKUP(($AJ123-$AI123-$AH123-$AG123-$AF123-$AE123*(1+DT$3))/$AJ123,'Технический лист'!$I:$J,2,1)-VLOOKUP($AO123,'Технический лист'!$I:$J,2,1)),1+(1-$AU123))</f>
        <v/>
      </c>
      <c r="DU123" s="172">
        <f>MIN(IF($AU123=100%,1,1+VLOOKUP(($AJ123-$AI123-$AH123-$AG123-$AF123-$AE123*(1+DU$3))/$AJ123,'Технический лист'!$I:$J,2,1)-VLOOKUP($AO123,'Технический лист'!$I:$J,2,1)),1+(1-$AU123))</f>
        <v/>
      </c>
      <c r="DV123" s="172">
        <f>MIN(IF($AU123=100%,1,1+VLOOKUP(($AJ123-$AI123-$AH123-$AG123-$AF123-$AE123*(1+DV$3))/$AJ123,'Технический лист'!$I:$J,2,1)-VLOOKUP($AO123,'Технический лист'!$I:$J,2,1)),1+(1-$AU123))</f>
        <v/>
      </c>
      <c r="DW123" s="172">
        <f>MIN(IF($AU123=100%,1,1+VLOOKUP(($AJ123-$AI123-$AH123-$AG123-$AF123-$AE123*(1+DW$3))/$AJ123,'Технический лист'!$I:$J,2,1)-VLOOKUP($AO123,'Технический лист'!$I:$J,2,1)),1+(1-$AU123))</f>
        <v/>
      </c>
      <c r="DX123" s="172">
        <f>MIN(IF($AU123=100%,1,1+VLOOKUP(($AJ123-$AI123-$AH123-$AG123-$AF123-$AE123*(1+DX$3))/$AJ123,'Технический лист'!$I:$J,2,1)-VLOOKUP($AO123,'Технический лист'!$I:$J,2,1)),1+(1-$AU123))</f>
        <v/>
      </c>
      <c r="DY123" s="172">
        <f>MIN(IF($AU123=100%,1,1+VLOOKUP(($AJ123-$AI123-$AH123-$AG123-$AF123-$AE123*(1+DY$3))/$AJ123,'Технический лист'!$I:$J,2,1)-VLOOKUP($AO123,'Технический лист'!$I:$J,2,1)),1+(1-$AU123))</f>
        <v/>
      </c>
      <c r="DZ123" s="172">
        <f>MIN(IF($AU123=100%,1,1+VLOOKUP(($AJ123-$AI123-$AH123-$AG123-$AF123-$AE123*(1+DZ$3))/$AJ123,'Технический лист'!$I:$J,2,1)-VLOOKUP($AO123,'Технический лист'!$I:$J,2,1)),1+(1-$AU123))</f>
        <v/>
      </c>
      <c r="EA123" s="172">
        <f>MIN(IF($AU123=100%,1,1+VLOOKUP(($AJ123-$AI123-$AH123-$AG123-$AF123-$AE123*(1+EA$3))/$AJ123,'Технический лист'!$I:$J,2,1)-VLOOKUP($AO123,'Технический лист'!$I:$J,2,1)),1+(1-$AU123))</f>
        <v/>
      </c>
      <c r="EB123" s="172">
        <f>MIN(IF($AU123=100%,1,1+VLOOKUP(($AJ123-$AI123-$AH123-$AG123-$AF123-$AE123*(1+EB$3))/$AJ123,'Технический лист'!$I:$J,2,1)-VLOOKUP($AO123,'Технический лист'!$I:$J,2,1)),1+(1-$AU123))</f>
        <v/>
      </c>
      <c r="EC123" s="172">
        <f>MIN(IF($AU123=100%,1,1+VLOOKUP(($AJ123-$AI123-$AH123-$AG123-$AF123-$AE123*(1+EC$3))/$AJ123,'Технический лист'!$I:$J,2,1)-VLOOKUP($AO123,'Технический лист'!$I:$J,2,1)),1+(1-$AU123))</f>
        <v/>
      </c>
      <c r="ED123" s="172">
        <f>MIN(IF($AU123=100%,1,1+VLOOKUP(($AJ123-$AI123-$AH123-$AG123-$AF123-$AE123*(1+ED$3))/$AJ123,'Технический лист'!$I:$J,2,1)-VLOOKUP($AO123,'Технический лист'!$I:$J,2,1)),1+(1-$AU123))</f>
        <v/>
      </c>
      <c r="EE123" s="172">
        <f>MIN(IF($AU123=100%,1,1+VLOOKUP(($AJ123-$AI123-$AH123-$AG123-$AF123-$AE123*(1+EE$3))/$AJ123,'Технический лист'!$I:$J,2,1)-VLOOKUP($AO123,'Технический лист'!$I:$J,2,1)),1+(1-$AU123))</f>
        <v/>
      </c>
      <c r="EF123" s="172">
        <f>MIN(IF($AU123=100%,1,1+VLOOKUP(($AJ123-$AI123-$AH123-$AG123-$AF123-$AE123*(1+EF$3))/$AJ123,'Технический лист'!$I:$J,2,1)-VLOOKUP($AO123,'Технический лист'!$I:$J,2,1)),1+(1-$AU123))</f>
        <v/>
      </c>
      <c r="EG123" s="172">
        <f>MIN(IF($AU123=100%,1,1+VLOOKUP(($AJ123-$AI123-$AH123-$AG123-$AF123-$AE123*(1+EG$3))/$AJ123,'Технический лист'!$I:$J,2,1)-VLOOKUP($AO123,'Технический лист'!$I:$J,2,1)),1+(1-$AU123))</f>
        <v/>
      </c>
      <c r="EH123" s="172">
        <f>MIN(IF($AU123=100%,1,1+VLOOKUP(($AJ123-$AI123-$AH123-$AG123-$AF123-$AE123*(1+EH$3))/$AJ123,'Технический лист'!$I:$J,2,1)-VLOOKUP($AO123,'Технический лист'!$I:$J,2,1)),1+(1-$AU123))</f>
        <v/>
      </c>
      <c r="EI123" s="172">
        <f>MIN(IF($AU123=100%,1,1+VLOOKUP(($AJ123-$AI123-$AH123-$AG123-$AF123-$AE123*(1+EI$3))/$AJ123,'Технический лист'!$I:$J,2,1)-VLOOKUP($AO123,'Технический лист'!$I:$J,2,1)),1+(1-$AU123))</f>
        <v/>
      </c>
      <c r="EJ123" s="172">
        <f>MIN(IF($AU123=100%,1,1+VLOOKUP(($AJ123-$AI123-$AH123-$AG123-$AF123-$AE123*(1+EJ$3))/$AJ123,'Технический лист'!$I:$J,2,1)-VLOOKUP($AO123,'Технический лист'!$I:$J,2,1)),1+(1-$AU123))</f>
        <v/>
      </c>
      <c r="EK123" s="172">
        <f>MIN(IF($AU123=100%,1,1+VLOOKUP(($AJ123-$AI123-$AH123-$AG123-$AF123-$AE123*(1+EK$3))/$AJ123,'Технический лист'!$I:$J,2,1)-VLOOKUP($AO123,'Технический лист'!$I:$J,2,1)),1+(1-$AU123))</f>
        <v/>
      </c>
      <c r="EL123" s="172">
        <f>MIN(IF($AU123=100%,1,1+VLOOKUP(($AJ123-$AI123-$AH123-$AG123-$AF123-$AE123*(1+EL$3))/$AJ123,'Технический лист'!$I:$J,2,1)-VLOOKUP($AO123,'Технический лист'!$I:$J,2,1)),1+(1-$AU123))</f>
        <v/>
      </c>
      <c r="EM123" s="172">
        <f>MIN(IF($AU123=100%,1,1+VLOOKUP(($AJ123-$AI123-$AH123-$AG123-$AF123-$AE123*(1+EM$3))/$AJ123,'Технический лист'!$I:$J,2,1)-VLOOKUP($AO123,'Технический лист'!$I:$J,2,1)),1+(1-$AU123))</f>
        <v/>
      </c>
      <c r="EN123" s="172">
        <f>MIN(IF($AU123=100%,1,1+VLOOKUP(($AJ123-$AI123-$AH123-$AG123-$AF123-$AE123*(1+EN$3))/$AJ123,'Технический лист'!$I:$J,2,1)-VLOOKUP($AO123,'Технический лист'!$I:$J,2,1)),1+(1-$AU123))</f>
        <v/>
      </c>
      <c r="EO123" s="172">
        <f>MIN(IF($AU123=100%,1,1+VLOOKUP(($AJ123-$AI123-$AH123-$AG123-$AF123-$AE123*(1+EO$3))/$AJ123,'Технический лист'!$I:$J,2,1)-VLOOKUP($AO123,'Технический лист'!$I:$J,2,1)),1+(1-$AU123))</f>
        <v/>
      </c>
      <c r="EP123" s="172">
        <f>MIN(IF($AU123=100%,1,1+VLOOKUP(($AJ123-$AI123-$AH123-$AG123-$AF123-$AE123*(1+EP$3))/$AJ123,'Технический лист'!$I:$J,2,1)-VLOOKUP($AO123,'Технический лист'!$I:$J,2,1)),1+(1-$AU123))</f>
        <v/>
      </c>
      <c r="EQ123" s="172">
        <f>MIN(IF($AU123=100%,1,1+VLOOKUP(($AJ123-$AI123-$AH123-$AG123-$AF123-$AE123*(1+EQ$3))/$AJ123,'Технический лист'!$I:$J,2,1)-VLOOKUP($AO123,'Технический лист'!$I:$J,2,1)),1+(1-$AU123))</f>
        <v/>
      </c>
      <c r="ER123" s="172">
        <f>MIN(IF($AU123=100%,1,1+VLOOKUP(($AJ123-$AI123-$AH123-$AG123-$AF123-$AE123*(1+ER$3))/$AJ123,'Технический лист'!$I:$J,2,1)-VLOOKUP($AO123,'Технический лист'!$I:$J,2,1)),1+(1-$AU123))</f>
        <v/>
      </c>
      <c r="ES123" s="172">
        <f>MIN(IF($AU123=100%,1,1+VLOOKUP(($AJ123-$AI123-$AH123-$AG123-$AF123-$AE123*(1+ES$3))/$AJ123,'Технический лист'!$I:$J,2,1)-VLOOKUP($AO123,'Технический лист'!$I:$J,2,1)),1+(1-$AU123))</f>
        <v/>
      </c>
      <c r="ET123" s="172">
        <f>MIN(IF($AU123=100%,1,1+VLOOKUP(($AJ123-$AI123-$AH123-$AG123-$AF123-$AE123*(1+ET$3))/$AJ123,'Технический лист'!$I:$J,2,1)-VLOOKUP($AO123,'Технический лист'!$I:$J,2,1)),1+(1-$AU123))</f>
        <v/>
      </c>
      <c r="EU123" s="172">
        <f>MIN(IF($AU123=100%,1,1+VLOOKUP(($AJ123-$AI123-$AH123-$AG123-$AF123-$AE123*(1+EU$3))/$AJ123,'Технический лист'!$I:$J,2,1)-VLOOKUP($AO123,'Технический лист'!$I:$J,2,1)),1+(1-$AU123))</f>
        <v/>
      </c>
      <c r="EV123" s="173" t="n">
        <v>1</v>
      </c>
      <c r="EW123" s="172">
        <f>MIN(1,MAX(VLOOKUP(($AJ123-$AI123-$AH123-$AG123-$AF123-$AE123*(1+EW$3))/$AJ123,'Технический лист'!$A:$B,2,1),(EV123-0.05)))</f>
        <v/>
      </c>
      <c r="EX123" s="172">
        <f>MIN(1,MAX(VLOOKUP(($AJ123-$AI123-$AH123-$AG123-$AF123-$AE123*(1+EX$3))/$AJ123,'Технический лист'!$A:$B,2,1),(EW123-0.05)))</f>
        <v/>
      </c>
      <c r="EY123" s="172">
        <f>MIN(1,MAX(VLOOKUP(($AJ123-$AI123-$AH123-$AG123-$AF123-$AE123*(1+EY$3))/$AJ123,'Технический лист'!$A:$B,2,1),(EX123-0.05)))</f>
        <v/>
      </c>
      <c r="EZ123" s="172">
        <f>MIN(1,MAX(VLOOKUP(($AJ123-$AI123-$AH123-$AG123-$AF123-$AE123*(1+EZ$3))/$AJ123,'Технический лист'!$A:$B,2,1),(EY123-0.05)))</f>
        <v/>
      </c>
      <c r="FA123" s="172">
        <f>MIN(1,MAX(VLOOKUP(($AJ123-$AI123-$AH123-$AG123-$AF123-$AE123*(1+FA$3))/$AJ123,'Технический лист'!$A:$B,2,1),(EZ123-0.05)))</f>
        <v/>
      </c>
      <c r="FB123" s="172">
        <f>MIN(1,MAX(VLOOKUP(($AJ123-$AI123-$AH123-$AG123-$AF123-$AE123*(1+FB$3))/$AJ123,'Технический лист'!$A:$B,2,1),(FA123-0.05)))</f>
        <v/>
      </c>
      <c r="FC123" s="172">
        <f>MIN(1,MAX(VLOOKUP(($AJ123-$AI123-$AH123-$AG123-$AF123-$AE123*(1+FC$3))/$AJ123,'Технический лист'!$A:$B,2,1),(FB123-0.05)))</f>
        <v/>
      </c>
      <c r="FD123" s="172">
        <f>MIN(1,MAX(VLOOKUP(($AJ123-$AI123-$AH123-$AG123-$AF123-$AE123*(1+FD$3))/$AJ123,'Технический лист'!$A:$B,2,1),(FC123-0.05)))</f>
        <v/>
      </c>
      <c r="FE123" s="172">
        <f>MIN(1,MAX(VLOOKUP(($AJ123-$AI123-$AH123-$AG123-$AF123-$AE123*(1+FE$3))/$AJ123,'Технический лист'!$A:$B,2,1),(FD123-0.05)))</f>
        <v/>
      </c>
      <c r="FF123" s="172">
        <f>MIN(1,MAX(VLOOKUP(($AJ123-$AI123-$AH123-$AG123-$AF123-$AE123*(1+FF$3))/$AJ123,'Технический лист'!$A:$B,2,1),(FE123-0.05)))</f>
        <v/>
      </c>
      <c r="FG123" s="172">
        <f>MIN(1,MAX(VLOOKUP(($AJ123-$AI123-$AH123-$AG123-$AF123-$AE123*(1+FG$3))/$AJ123,'Технический лист'!$A:$B,2,1),(FF123-0.05)))</f>
        <v/>
      </c>
      <c r="FH123" s="172">
        <f>MIN(1,MAX(VLOOKUP(($AJ123-$AI123-$AH123-$AG123-$AF123-$AE123*(1+FH$3))/$AJ123,'Технический лист'!$A:$B,2,1),(FG123-0.05)))</f>
        <v/>
      </c>
      <c r="FI123" s="172">
        <f>MIN(1,MAX(VLOOKUP(($AJ123-$AI123-$AH123-$AG123-$AF123-$AE123*(1+FI$3))/$AJ123,'Технический лист'!$A:$B,2,1),(FH123-0.05)))</f>
        <v/>
      </c>
      <c r="FJ123" s="172">
        <f>MIN(1,MAX(VLOOKUP(($AJ123-$AI123-$AH123-$AG123-$AF123-$AE123*(1+FJ$3))/$AJ123,'Технический лист'!$A:$B,2,1),(FI123-0.05)))</f>
        <v/>
      </c>
      <c r="FK123" s="172">
        <f>MIN(1,MAX(VLOOKUP(($AJ123-$AI123-$AH123-$AG123-$AF123-$AE123*(1+FK$3))/$AJ123,'Технический лист'!$A:$B,2,1),(FJ123-0.05)))</f>
        <v/>
      </c>
      <c r="FL123" s="172">
        <f>MIN(1,MAX(VLOOKUP(($AJ123-$AI123-$AH123-$AG123-$AF123-$AE123*(1+FL$3))/$AJ123,'Технический лист'!$A:$B,2,1),(FK123-0.05)))</f>
        <v/>
      </c>
      <c r="FM123" s="172">
        <f>MIN(1,MAX(VLOOKUP(($AJ123-$AI123-$AH123-$AG123-$AF123-$AE123*(1+FM$3))/$AJ123,'Технический лист'!$A:$B,2,1),(FL123-0.05)))</f>
        <v/>
      </c>
      <c r="FN123" s="172">
        <f>MIN(1,MAX(VLOOKUP(($AJ123-$AI123-$AH123-$AG123-$AF123-$AE123*(1+FN$3))/$AJ123,'Технический лист'!$A:$B,2,1),(FM123-0.05)))</f>
        <v/>
      </c>
      <c r="FO123" s="172">
        <f>MIN(1,MAX(VLOOKUP(($AJ123-$AI123-$AH123-$AG123-$AF123-$AE123*(1+FO$3))/$AJ123,'Технический лист'!$A:$B,2,1),(FN123-0.05)))</f>
        <v/>
      </c>
      <c r="FP123" s="172">
        <f>MIN(1,MAX(VLOOKUP(($AJ123-$AI123-$AH123-$AG123-$AF123-$AE123*(1+FP$3))/$AJ123,'Технический лист'!$A:$B,2,1),(FO123-0.05)))</f>
        <v/>
      </c>
      <c r="FQ123" s="172">
        <f>MIN(1,MAX(VLOOKUP(($AJ123-$AI123-$AH123-$AG123-$AF123-$AE123*(1+FQ$3))/$AJ123,'Технический лист'!$A:$B,2,1),(FP123-0.05)))</f>
        <v/>
      </c>
      <c r="FR123" s="172">
        <f>MIN(1,MAX(VLOOKUP(($AJ123-$AI123-$AH123-$AG123-$AF123-$AE123*(1+FR$3))/$AJ123,'Технический лист'!$A:$B,2,1),(FQ123-0.05)))</f>
        <v/>
      </c>
      <c r="FS123" s="172">
        <f>MIN(1,MAX(VLOOKUP(($AJ123-$AI123-$AH123-$AG123-$AF123-$AE123*(1+FS$3))/$AJ123,'Технический лист'!$A:$B,2,1),(FR123-0.05)))</f>
        <v/>
      </c>
      <c r="FT123" s="172">
        <f>MIN(1,MAX(VLOOKUP(($AJ123-$AI123-$AH123-$AG123-$AF123-$AE123*(1+FT$3))/$AJ123,'Технический лист'!$A:$B,2,1),(FS123-0.05)))</f>
        <v/>
      </c>
      <c r="FU123" s="172">
        <f>MIN(1,MAX(VLOOKUP(($AJ123-$AI123-$AH123-$AG123-$AF123-$AE123*(1+FU$3))/$AJ123,'Технический лист'!$A:$B,2,1),(FT123-0.05)))</f>
        <v/>
      </c>
      <c r="FV123" s="172">
        <f>MIN(1,MAX(VLOOKUP(($AJ123-$AI123-$AH123-$AG123-$AF123-$AE123*(1+FV$3))/$AJ123,'Технический лист'!$A:$B,2,1),(FU123-0.05)))</f>
        <v/>
      </c>
      <c r="FW123" s="172">
        <f>MIN(1,MAX(VLOOKUP(($AJ123-$AI123-$AH123-$AG123-$AF123-$AE123*(1+FW$3))/$AJ123,'Технический лист'!$A:$B,2,1),(FV123-0.05)))</f>
        <v/>
      </c>
      <c r="FX123" s="172">
        <f>MIN(1,MAX(VLOOKUP(($AJ123-$AI123-$AH123-$AG123-$AF123-$AE123*(1+FX$3))/$AJ123,'Технический лист'!$A:$B,2,1),(FW123-0.05)))</f>
        <v/>
      </c>
      <c r="FY123" s="172">
        <f>MIN(1,MAX(VLOOKUP(($AJ123-$AI123-$AH123-$AG123-$AF123-$AE123*(1+FY$3))/$AJ123,'Технический лист'!$A:$B,2,1),(FX123-0.05)))</f>
        <v/>
      </c>
      <c r="FZ123" s="172">
        <f>MIN(1,MAX(VLOOKUP(($AJ123-$AI123-$AH123-$AG123-$AF123-$AE123*(1+FZ$3))/$AJ123,'Технический лист'!$A:$B,2,1),(FY123-0.05)))</f>
        <v/>
      </c>
      <c r="GA123" s="172">
        <f>MIN(1,MAX(VLOOKUP(($AJ123-$AI123-$AH123-$AG123-$AF123-$AE123*(1+GA$3))/$AJ123,'Технический лист'!$A:$B,2,1),(FZ123-0.05)))</f>
        <v/>
      </c>
      <c r="GB123" s="172">
        <f>MIN(1,MAX(VLOOKUP(($AJ123-$AI123-$AH123-$AG123-$AF123-$AE123*(1+GB$3))/$AJ123,'Технический лист'!$A:$B,2,1),(GA123-0.05)))</f>
        <v/>
      </c>
      <c r="GC123" s="172">
        <f>MIN(1,MAX(VLOOKUP(($AJ123-$AI123-$AH123-$AG123-$AF123-$AE123*(1+GC$3))/$AJ123,'Технический лист'!$A:$B,2,1),(GB123-0.05)))</f>
        <v/>
      </c>
      <c r="GD123" s="172">
        <f>MIN(1,MAX(VLOOKUP(($AJ123-$AI123-$AH123-$AG123-$AF123-$AE123*(1+GD$3))/$AJ123,'Технический лист'!$A:$B,2,1),(GC123-0.05)))</f>
        <v/>
      </c>
      <c r="GE123" s="172">
        <f>MIN(1,MAX(VLOOKUP(($AJ123-$AI123-$AH123-$AG123-$AF123-$AE123*(1+GE$3))/$AJ123,'Технический лист'!$A:$B,2,1),(GD123-0.05)))</f>
        <v/>
      </c>
      <c r="GF123" s="172">
        <f>MIN(1,MAX(VLOOKUP(($AJ123-$AI123-$AH123-$AG123-$AF123-$AE123*(1+GF$3))/$AJ123,'Технический лист'!$A:$B,2,1),(GE123-0.05)))</f>
        <v/>
      </c>
      <c r="GG123" s="172">
        <f>MIN(1,MAX(VLOOKUP(($AJ123-$AI123-$AH123-$AG123-$AF123-$AE123*(1+GG$3))/$AJ123,'Технический лист'!$A:$B,2,1),(GF123-0.05)))</f>
        <v/>
      </c>
      <c r="GH123" s="172">
        <f>MIN(1,MAX(VLOOKUP(($AJ123-$AI123-$AH123-$AG123-$AF123-$AE123*(1+GH$3))/$AJ123,'Технический лист'!$A:$B,2,1),(GG123-0.05)))</f>
        <v/>
      </c>
      <c r="GI123" s="172">
        <f>MIN(1,MAX(VLOOKUP(($AJ123-$AI123-$AH123-$AG123-$AF123-$AE123*(1+GI$3))/$AJ123,'Технический лист'!$A:$B,2,1),(GH123-0.05)))</f>
        <v/>
      </c>
      <c r="GJ123" s="172">
        <f>MIN(1,MAX(VLOOKUP(($AJ123-$AI123-$AH123-$AG123-$AF123-$AE123*(1+GJ$3))/$AJ123,'Технический лист'!$A:$B,2,1),(GI123-0.05)))</f>
        <v/>
      </c>
      <c r="GK123" s="172">
        <f>MIN(1,MAX(VLOOKUP(($AJ123-$AI123-$AH123-$AG123-$AF123-$AE123*(1+GK$3))/$AJ123,'Технический лист'!$A:$B,2,1),(GJ123-0.05)))</f>
        <v/>
      </c>
      <c r="GL123" s="172">
        <f>MIN(1,MAX(VLOOKUP(($AJ123-$AI123-$AH123-$AG123-$AF123-$AE123*(1+GL$3))/$AJ123,'Технический лист'!$A:$B,2,1),(GK123-0.05)))</f>
        <v/>
      </c>
      <c r="GM123" s="172">
        <f>MIN(1,MAX(VLOOKUP(($AJ123-$AI123-$AH123-$AG123-$AF123-$AE123*(1+GM$3))/$AJ123,'Технический лист'!$A:$B,2,1),(GL123-0.05)))</f>
        <v/>
      </c>
      <c r="GN123" s="172">
        <f>MIN(1,MAX(VLOOKUP(($AJ123-$AI123-$AH123-$AG123-$AF123-$AE123*(1+GN$3))/$AJ123,'Технический лист'!$A:$B,2,1),(GM123-0.05)))</f>
        <v/>
      </c>
      <c r="GO123" s="172">
        <f>MIN(1,MAX(VLOOKUP(($AJ123-$AI123-$AH123-$AG123-$AF123-$AE123*(1+GO$3))/$AJ123,'Технический лист'!$A:$B,2,1),(GN123-0.05)))</f>
        <v/>
      </c>
      <c r="GP123" s="172">
        <f>MIN(1,MAX(VLOOKUP(($AJ123-$AI123-$AH123-$AG123-$AF123-$AE123*(1+GP$3))/$AJ123,'Технический лист'!$A:$B,2,1),(GO123-0.05)))</f>
        <v/>
      </c>
      <c r="GQ123" s="172">
        <f>MIN(1,MAX(VLOOKUP(($AJ123-$AI123-$AH123-$AG123-$AF123-$AE123*(1+GQ$3))/$AJ123,'Технический лист'!$A:$B,2,1),(GP123-0.05)))</f>
        <v/>
      </c>
      <c r="GR123" s="172">
        <f>MIN(1,MAX(VLOOKUP(($AJ123-$AI123-$AH123-$AG123-$AF123-$AE123*(1+GR$3))/$AJ123,'Технический лист'!$A:$B,2,1),(GQ123-0.05)))</f>
        <v/>
      </c>
      <c r="GS123" s="172">
        <f>MIN(1,MAX(VLOOKUP(($AJ123-$AI123-$AH123-$AG123-$AF123-$AE123*(1+GS$3))/$AJ123,'Технический лист'!$A:$B,2,1),(GR123-0.05)))</f>
        <v/>
      </c>
      <c r="GT123" s="172">
        <f>MIN(1,MAX(VLOOKUP(($AJ123-$AI123-$AH123-$AG123-$AF123-$AE123*(1+GT$3))/$AJ123,'Технический лист'!$A:$B,2,1),(GS123-0.05)))</f>
        <v/>
      </c>
      <c r="GU123" s="172">
        <f>MIN(1,MAX(VLOOKUP(($AJ123-$AI123-$AH123-$AG123-$AF123-$AE123*(1+GU$3))/$AJ123,'Технический лист'!$A:$B,2,1),(GT123-0.05)))</f>
        <v/>
      </c>
      <c r="GV123" s="172">
        <f>MIN(1,MAX(VLOOKUP(($AJ123-$AI123-$AH123-$AG123-$AF123-$AE123*(1+GV$3))/$AJ123,'Технический лист'!$A:$B,2,1),(GU123-0.05)))</f>
        <v/>
      </c>
      <c r="GW123" s="172">
        <f>MIN(1,MAX(VLOOKUP(($AJ123-$AI123-$AH123-$AG123-$AF123-$AE123*(1+GW$3))/$AJ123,'Технический лист'!$A:$B,2,1),(GV123-0.05)))</f>
        <v/>
      </c>
      <c r="GX123" s="172">
        <f>MIN(1,MAX(VLOOKUP(($AJ123-$AI123-$AH123-$AG123-$AF123-$AE123*(1+GX$3))/$AJ123,'Технический лист'!$A:$B,2,1),(GW123-0.05)))</f>
        <v/>
      </c>
      <c r="GY123" s="172">
        <f>MIN(1,MAX(VLOOKUP(($AJ123-$AI123-$AH123-$AG123-$AF123-$AE123*(1+GY$3))/$AJ123,'Технический лист'!$A:$B,2,1),(GX123-0.05)))</f>
        <v/>
      </c>
      <c r="GZ123" s="172">
        <f>MIN(1,MAX(VLOOKUP(($AJ123-$AI123-$AH123-$AG123-$AF123-$AE123*(1+GZ$3))/$AJ123,'Технический лист'!$A:$B,2,1),(GY123-0.05)))</f>
        <v/>
      </c>
      <c r="HA123" s="172">
        <f>MIN(1,MAX(VLOOKUP(($AJ123-$AI123-$AH123-$AG123-$AF123-$AE123*(1+HA$3))/$AJ123,'Технический лист'!$A:$B,2,1),(GZ123-0.05)))</f>
        <v/>
      </c>
      <c r="HB123" s="172">
        <f>MIN(1,MAX(VLOOKUP(($AJ123-$AI123-$AH123-$AG123-$AF123-$AE123*(1+HB$3))/$AJ123,'Технический лист'!$A:$B,2,1),(HA123-0.05)))</f>
        <v/>
      </c>
      <c r="HC123" s="172">
        <f>MIN(1,MAX(VLOOKUP(($AJ123-$AI123-$AH123-$AG123-$AF123-$AE123*(1+HC$3))/$AJ123,'Технический лист'!$A:$B,2,1),(HB123-0.05)))</f>
        <v/>
      </c>
      <c r="HD123" s="172">
        <f>MIN(1,MAX(VLOOKUP(($AJ123-$AI123-$AH123-$AG123-$AF123-$AE123*(1+HD$3))/$AJ123,'Технический лист'!$A:$B,2,1),(HC123-0.05)))</f>
        <v/>
      </c>
      <c r="HE123" s="172">
        <f>MIN(1,MAX(VLOOKUP(($AJ123-$AI123-$AH123-$AG123-$AF123-$AE123*(1+HE$3))/$AJ123,'Технический лист'!$A:$B,2,1),(HD123-0.05)))</f>
        <v/>
      </c>
      <c r="HF123" s="172">
        <f>MIN(1,MAX(VLOOKUP(($AJ123-$AI123-$AH123-$AG123-$AF123-$AE123*(1+HF$3))/$AJ123,'Технический лист'!$A:$B,2,1),(HE123-0.05)))</f>
        <v/>
      </c>
      <c r="HG123" s="172">
        <f>MIN(1,MAX(VLOOKUP(($AJ123-$AI123-$AH123-$AG123-$AF123-$AE123*(1+HG$3))/$AJ123,'Технический лист'!$A:$B,2,1),(HF123-0.05)))</f>
        <v/>
      </c>
      <c r="HH123" s="172">
        <f>MIN(1,MAX(VLOOKUP(($AJ123-$AI123-$AH123-$AG123-$AF123-$AE123*(1+HH$3))/$AJ123,'Технический лист'!$A:$B,2,1),(HG123-0.05)))</f>
        <v/>
      </c>
      <c r="HI123" s="172">
        <f>MIN(1,MAX(VLOOKUP(($AJ123-$AI123-$AH123-$AG123-$AF123-$AE123*(1+HI$3))/$AJ123,'Технический лист'!$A:$B,2,1),(HH123-0.05)))</f>
        <v/>
      </c>
      <c r="HJ123" s="172">
        <f>MIN(1,MAX(VLOOKUP(($AJ123-$AI123-$AH123-$AG123-$AF123-$AE123*(1+HJ$3))/$AJ123,'Технический лист'!$A:$B,2,1),(HI123-0.05)))</f>
        <v/>
      </c>
      <c r="HK123" s="172">
        <f>MIN(1,MAX(VLOOKUP(($AJ123-$AI123-$AH123-$AG123-$AF123-$AE123*(1+HK$3))/$AJ123,'Технический лист'!$A:$B,2,1),(HJ123-0.05)))</f>
        <v/>
      </c>
      <c r="HL123" s="172">
        <f>MIN(1,MAX(VLOOKUP(($AJ123-$AI123-$AH123-$AG123-$AF123-$AE123*(1+HL$3))/$AJ123,'Технический лист'!$A:$B,2,1),(HK123-0.05)))</f>
        <v/>
      </c>
      <c r="HM123" s="172">
        <f>MIN(1,MAX(VLOOKUP(($AJ123-$AI123-$AH123-$AG123-$AF123-$AE123*(1+HM$3))/$AJ123,'Технический лист'!$A:$B,2,1),(HL123-0.05)))</f>
        <v/>
      </c>
      <c r="HN123" s="172">
        <f>MIN(1,MAX(VLOOKUP(($AJ123-$AI123-$AH123-$AG123-$AF123-$AE123*(1+HN$3))/$AJ123,'Технический лист'!$A:$B,2,1),(HM123-0.05)))</f>
        <v/>
      </c>
      <c r="HO123" s="172">
        <f>MIN(1,MAX(VLOOKUP(($AJ123-$AI123-$AH123-$AG123-$AF123-$AE123*(1+HO$3))/$AJ123,'Технический лист'!$A:$B,2,1),(HN123-0.05)))</f>
        <v/>
      </c>
      <c r="HP123" s="172">
        <f>MIN(1,MAX(VLOOKUP(($AJ123-$AI123-$AH123-$AG123-$AF123-$AE123*(1+HP$3))/$AJ123,'Технический лист'!$A:$B,2,1),(HO123-0.05)))</f>
        <v/>
      </c>
      <c r="HQ123" s="172">
        <f>MIN(1,MAX(VLOOKUP(($AJ123-$AI123-$AH123-$AG123-$AF123-$AE123*(1+HQ$3))/$AJ123,'Технический лист'!$A:$B,2,1),(HP123-0.05)))</f>
        <v/>
      </c>
      <c r="HR123" s="172">
        <f>MIN(1,MAX(VLOOKUP(($AJ123-$AI123-$AH123-$AG123-$AF123-$AE123*(1+HR$3))/$AJ123,'Технический лист'!$A:$B,2,1),(HQ123-0.05)))</f>
        <v/>
      </c>
      <c r="HS123" s="172">
        <f>MIN(1,MAX(VLOOKUP(($AJ123-$AI123-$AH123-$AG123-$AF123-$AE123*(1+HS$3))/$AJ123,'Технический лист'!$A:$B,2,1),(HR123-0.05)))</f>
        <v/>
      </c>
      <c r="HT123" s="172">
        <f>MIN(1,MAX(VLOOKUP(($AJ123-$AI123-$AH123-$AG123-$AF123-$AE123*(1+HT$3))/$AJ123,'Технический лист'!$A:$B,2,1),(HS123-0.05)))</f>
        <v/>
      </c>
      <c r="HU123" s="172">
        <f>MIN(1,MAX(VLOOKUP(($AJ123-$AI123-$AH123-$AG123-$AF123-$AE123*(1+HU$3))/$AJ123,'Технический лист'!$A:$B,2,1),(HT123-0.05)))</f>
        <v/>
      </c>
      <c r="HV123" s="172">
        <f>MIN(1,MAX(VLOOKUP(($AJ123-$AI123-$AH123-$AG123-$AF123-$AE123*(1+HV$3))/$AJ123,'Технический лист'!$A:$B,2,1),(HU123-0.05)))</f>
        <v/>
      </c>
      <c r="HW123" s="172">
        <f>MIN(1,MAX(VLOOKUP(($AJ123-$AI123-$AH123-$AG123-$AF123-$AE123*(1+HW$3))/$AJ123,'Технический лист'!$A:$B,2,1),(HV123-0.05)))</f>
        <v/>
      </c>
      <c r="HX123" s="172">
        <f>MIN(1,MAX(VLOOKUP(($AJ123-$AI123-$AH123-$AG123-$AF123-$AE123*(1+HX$3))/$AJ123,'Технический лист'!$A:$B,2,1),(HW123-0.05)))</f>
        <v/>
      </c>
      <c r="HY123" s="172">
        <f>MIN(1,MAX(VLOOKUP(($AJ123-$AI123-$AH123-$AG123-$AF123-$AE123*(1+HY$3))/$AJ123,'Технический лист'!$A:$B,2,1),(HX123-0.05)))</f>
        <v/>
      </c>
      <c r="HZ123" s="172">
        <f>MIN(1,MAX(VLOOKUP(($AJ123-$AI123-$AH123-$AG123-$AF123-$AE123*(1+HZ$3))/$AJ123,'Технический лист'!$A:$B,2,1),(HY123-0.05)))</f>
        <v/>
      </c>
      <c r="IA123" s="172">
        <f>MIN(1,MAX(VLOOKUP(($AJ123-$AI123-$AH123-$AG123-$AF123-$AE123*(1+IA$3))/$AJ123,'Технический лист'!$A:$B,2,1),(HZ123-0.05)))</f>
        <v/>
      </c>
      <c r="IB123" s="172">
        <f>MIN(1,MAX(VLOOKUP(($AJ123-$AI123-$AH123-$AG123-$AF123-$AE123*(1+IB$3))/$AJ123,'Технический лист'!$A:$B,2,1),(IA123-0.05)))</f>
        <v/>
      </c>
      <c r="IC123" s="172">
        <f>MIN(1,MAX(VLOOKUP(($AJ123-$AI123-$AH123-$AG123-$AF123-$AE123*(1+IC$3))/$AJ123,'Технический лист'!$A:$B,2,1),(IB123-0.05)))</f>
        <v/>
      </c>
      <c r="ID123" s="172">
        <f>MIN(1,MAX(VLOOKUP(($AJ123-$AI123-$AH123-$AG123-$AF123-$AE123*(1+ID$3))/$AJ123,'Технический лист'!$A:$B,2,1),(IC123-0.05)))</f>
        <v/>
      </c>
      <c r="IE123" s="172">
        <f>MIN(1,MAX(VLOOKUP(($AJ123-$AI123-$AH123-$AG123-$AF123-$AE123*(1+IE$3))/$AJ123,'Технический лист'!$A:$B,2,1),(ID123-0.05)))</f>
        <v/>
      </c>
      <c r="IF123" s="172">
        <f>MIN(1,MAX(VLOOKUP(($AJ123-$AI123-$AH123-$AG123-$AF123-$AE123*(1+IF$3))/$AJ123,'Технический лист'!$A:$B,2,1),(IE123-0.05)))</f>
        <v/>
      </c>
      <c r="IG123" s="172">
        <f>MIN(1,MAX(VLOOKUP(($AJ123-$AI123-$AH123-$AG123-$AF123-$AE123*(1+IG$3))/$AJ123,'Технический лист'!$A:$B,2,1),(IF123-0.05)))</f>
        <v/>
      </c>
      <c r="IH123" s="172">
        <f>MIN(1,MAX(VLOOKUP(($AJ123-$AI123-$AH123-$AG123-$AF123-$AE123*(1+IH$3))/$AJ123,'Технический лист'!$A:$B,2,1),(IG123-0.05)))</f>
        <v/>
      </c>
      <c r="II123" s="172">
        <f>MIN(1,MAX(VLOOKUP(($AJ123-$AI123-$AH123-$AG123-$AF123-$AE123*(1+II$3))/$AJ123,'Технический лист'!$A:$B,2,1),(IH123-0.05)))</f>
        <v/>
      </c>
      <c r="IJ123" s="172">
        <f>MIN(1,MAX(VLOOKUP(($AJ123-$AI123-$AH123-$AG123-$AF123-$AE123*(1+IJ$3))/$AJ123,'Технический лист'!$A:$B,2,1),(II123-0.05)))</f>
        <v/>
      </c>
      <c r="IK123" s="172">
        <f>MIN(1,MAX(VLOOKUP(($AJ123-$AI123-$AH123-$AG123-$AF123-$AE123*(1+IK$3))/$AJ123,'Технический лист'!$A:$B,2,1),(IJ123-0.05)))</f>
        <v/>
      </c>
      <c r="IL123" s="172">
        <f>MIN(1,MAX(VLOOKUP(($AJ123-$AI123-$AH123-$AG123-$AF123-$AE123*(1+IL$3))/$AJ123,'Технический лист'!$A:$B,2,1),(IK123-0.05)))</f>
        <v/>
      </c>
      <c r="IM123" s="172">
        <f>MIN(1,MAX(VLOOKUP(($AJ123-$AI123-$AH123-$AG123-$AF123-$AE123*(1+IM$3))/$AJ123,'Технический лист'!$A:$B,2,1),(IL123-0.05)))</f>
        <v/>
      </c>
      <c r="IN123" s="172">
        <f>MIN(1,MAX(VLOOKUP(($AJ123-$AI123-$AH123-$AG123-$AF123-$AE123*(1+IN$3))/$AJ123,'Технический лист'!$A:$B,2,1),(IM123-0.05)))</f>
        <v/>
      </c>
      <c r="IO123" s="172">
        <f>MIN(1,MAX(VLOOKUP(($AJ123-$AI123-$AH123-$AG123-$AF123-$AE123*(1+IO$3))/$AJ123,'Технический лист'!$A:$B,2,1),(IN123-0.05)))</f>
        <v/>
      </c>
      <c r="IP123" s="172">
        <f>MIN(1,MAX(VLOOKUP(($AJ123-$AI123-$AH123-$AG123-$AF123-$AE123*(1+IP$3))/$AJ123,'Технический лист'!$A:$B,2,1),(IO123-0.05)))</f>
        <v/>
      </c>
      <c r="IQ123" s="172">
        <f>MIN(1,MAX(VLOOKUP(($AJ123-$AI123-$AH123-$AG123-$AF123-$AE123*(1+IQ$3))/$AJ123,'Технический лист'!$A:$B,2,1),(IP123-0.05)))</f>
        <v/>
      </c>
      <c r="IR123" s="172">
        <f>MIN(1,MAX(VLOOKUP(($AJ123-$AI123-$AH123-$AG123-$AF123-$AE123*(1+IR$3))/$AJ123,'Технический лист'!$A:$B,2,1),(IQ123-0.05)))</f>
        <v/>
      </c>
    </row>
    <row r="124" ht="29.15" customHeight="1" s="123">
      <c r="A124" s="89" t="inlineStr">
        <is>
          <t>ЧМ (продукция)</t>
        </is>
      </c>
      <c r="B124" s="90" t="n">
        <v>5</v>
      </c>
      <c r="C124" s="5" t="inlineStr">
        <is>
          <t>Черные металлы</t>
        </is>
      </c>
      <c r="D124" s="91" t="n">
        <v>31406</v>
      </c>
      <c r="E124" s="91" t="inlineStr">
        <is>
          <t xml:space="preserve">Заготовка трубная </t>
        </is>
      </c>
      <c r="F124" s="92" t="inlineStr">
        <is>
          <t>ЗАГОТОВКИ СТАЛЬНЫЕ</t>
        </is>
      </c>
      <c r="G124" s="91" t="inlineStr">
        <is>
          <t>СВР</t>
        </is>
      </c>
      <c r="H124" s="91" t="inlineStr">
        <is>
          <t>СВР</t>
        </is>
      </c>
      <c r="I124" s="91" t="inlineStr">
        <is>
          <t>ПОЛЕВСКОЙ</t>
        </is>
      </c>
      <c r="J124" s="91" t="inlineStr">
        <is>
          <t>КАМЕНСК-УРЛС</t>
        </is>
      </c>
      <c r="K124" s="91" t="n">
        <v>148</v>
      </c>
      <c r="L124" s="91" t="inlineStr">
        <is>
          <t>Полувагоны</t>
        </is>
      </c>
      <c r="M124" s="91" t="inlineStr">
        <is>
          <t>Внутр. перевозки</t>
        </is>
      </c>
      <c r="N124" s="91" t="inlineStr">
        <is>
          <t>вагонная</t>
        </is>
      </c>
      <c r="O124" s="91" t="inlineStr">
        <is>
          <t xml:space="preserve">Южное </t>
        </is>
      </c>
      <c r="P124" s="89" t="inlineStr">
        <is>
          <t>'000000186625</t>
        </is>
      </c>
      <c r="Q124" s="91" t="inlineStr">
        <is>
          <t>'ПАО "Северский трубный завод"</t>
        </is>
      </c>
      <c r="R124" s="91" t="inlineStr">
        <is>
          <t>ПАО "ТМК"</t>
        </is>
      </c>
      <c r="S124" s="87" t="n">
        <v>151625</v>
      </c>
      <c r="T124" s="87" t="n">
        <v>22440558</v>
      </c>
      <c r="U124" s="88" t="n">
        <v>2211</v>
      </c>
      <c r="V124" s="88" t="n">
        <v>0</v>
      </c>
      <c r="W124" s="87" t="n">
        <v>58706279</v>
      </c>
      <c r="X124" s="112" t="n">
        <v>69</v>
      </c>
      <c r="Y124" s="112" t="inlineStr">
        <is>
          <t>групповая</t>
        </is>
      </c>
      <c r="Z124" s="113" t="n">
        <v>4</v>
      </c>
      <c r="AA124" s="113" t="n">
        <v>3</v>
      </c>
      <c r="AB124" s="113" t="n">
        <v>4</v>
      </c>
      <c r="AC124" s="161" t="n">
        <v>787.77</v>
      </c>
      <c r="AD124" s="161">
        <f>AE124-AC124</f>
        <v/>
      </c>
      <c r="AE124" s="161" t="n">
        <v>838.33</v>
      </c>
      <c r="AF124" s="162">
        <f>(Z124+AA124+AB124)*'Ставки аренды'!$B$3/X124</f>
        <v/>
      </c>
      <c r="AG124" s="164" t="n">
        <v>0</v>
      </c>
      <c r="AH124" s="164" t="n">
        <v>0</v>
      </c>
      <c r="AI124" s="165">
        <f>314456/404359*AJ124</f>
        <v/>
      </c>
      <c r="AJ124" s="166">
        <f>Цены!D26</f>
        <v/>
      </c>
      <c r="AK124" s="164">
        <f>AJ124/Цены!$B$1</f>
        <v/>
      </c>
      <c r="AL124" s="164">
        <f>AE124+AF124+AG124</f>
        <v/>
      </c>
      <c r="AM124" s="164">
        <f>AJ124-AL124</f>
        <v/>
      </c>
      <c r="AN124" s="164">
        <f>AI124+AH124+AG124+AF124+AE124</f>
        <v/>
      </c>
      <c r="AO124" s="167">
        <f>(AJ124-AN124)/AJ124</f>
        <v/>
      </c>
      <c r="AP124" s="168">
        <f>AL124/AJ124</f>
        <v/>
      </c>
      <c r="AQ124" s="168">
        <f>AE124/AJ124</f>
        <v/>
      </c>
      <c r="AR124" s="168">
        <f>AE124/AL124</f>
        <v/>
      </c>
      <c r="AS124" s="169" t="n">
        <v>1</v>
      </c>
      <c r="AT124" s="121">
        <f>S124*AS124</f>
        <v/>
      </c>
      <c r="AU124" s="7" t="inlineStr">
        <is>
          <t>Внутренняя логистика</t>
        </is>
      </c>
      <c r="AV124" s="170">
        <f>(AJ124-(AE124*(1+$IS$2)+AF124+AG124+AH124+AI124))/AJ124</f>
        <v/>
      </c>
      <c r="AW124" s="171">
        <f>(AE124*(1+$IS$2)+AF124+AG124)/AJ124</f>
        <v/>
      </c>
      <c r="AX124" s="171">
        <f>(AE124*(1+$IS$2))/AJ124</f>
        <v/>
      </c>
      <c r="AY124" s="171">
        <f>(AE124*(1+$IS$2))/(AE124*(1+$IS$2)+AF124+AG124)</f>
        <v/>
      </c>
      <c r="AZ124" s="172" t="n">
        <v>1</v>
      </c>
      <c r="BA124" s="172" t="n">
        <v>1</v>
      </c>
      <c r="BB124" s="172" t="n">
        <v>1</v>
      </c>
      <c r="BC124" s="172" t="n">
        <v>1</v>
      </c>
      <c r="BD124" s="172" t="n">
        <v>1</v>
      </c>
      <c r="BE124" s="172" t="n">
        <v>1</v>
      </c>
      <c r="BF124" s="172" t="n">
        <v>1</v>
      </c>
      <c r="BG124" s="172" t="n">
        <v>1</v>
      </c>
      <c r="BH124" s="172" t="n">
        <v>1</v>
      </c>
      <c r="BI124" s="172" t="n">
        <v>1</v>
      </c>
      <c r="BJ124" s="172" t="n">
        <v>1</v>
      </c>
      <c r="BK124" s="172" t="n">
        <v>1</v>
      </c>
      <c r="BL124" s="172" t="n">
        <v>1</v>
      </c>
      <c r="BM124" s="172" t="n">
        <v>1</v>
      </c>
      <c r="BN124" s="172" t="n">
        <v>1</v>
      </c>
      <c r="BO124" s="172" t="n">
        <v>1</v>
      </c>
      <c r="BP124" s="172" t="n">
        <v>1</v>
      </c>
      <c r="BQ124" s="172" t="n">
        <v>1</v>
      </c>
      <c r="BR124" s="172" t="n">
        <v>1</v>
      </c>
      <c r="BS124" s="172" t="n">
        <v>1</v>
      </c>
      <c r="BT124" s="172" t="n">
        <v>1</v>
      </c>
      <c r="BU124" s="172" t="n">
        <v>1</v>
      </c>
      <c r="BV124" s="172" t="n">
        <v>1</v>
      </c>
      <c r="BW124" s="172" t="n">
        <v>1</v>
      </c>
      <c r="BX124" s="172" t="n">
        <v>1</v>
      </c>
      <c r="BY124" s="172" t="n">
        <v>1</v>
      </c>
      <c r="BZ124" s="172" t="n">
        <v>1</v>
      </c>
      <c r="CA124" s="172" t="n">
        <v>1</v>
      </c>
      <c r="CB124" s="172" t="n">
        <v>1</v>
      </c>
      <c r="CC124" s="172" t="n">
        <v>1</v>
      </c>
      <c r="CD124" s="172" t="n">
        <v>1</v>
      </c>
      <c r="CE124" s="172" t="n">
        <v>1</v>
      </c>
      <c r="CF124" s="172" t="n">
        <v>1</v>
      </c>
      <c r="CG124" s="172" t="n">
        <v>1</v>
      </c>
      <c r="CH124" s="172" t="n">
        <v>1</v>
      </c>
      <c r="CI124" s="172" t="n">
        <v>1</v>
      </c>
      <c r="CJ124" s="172" t="n">
        <v>1</v>
      </c>
      <c r="CK124" s="172" t="n">
        <v>1</v>
      </c>
      <c r="CL124" s="172" t="n">
        <v>1</v>
      </c>
      <c r="CM124" s="172" t="n">
        <v>1</v>
      </c>
      <c r="CN124" s="172" t="n">
        <v>1</v>
      </c>
      <c r="CO124" s="172" t="n">
        <v>1</v>
      </c>
      <c r="CP124" s="172" t="n">
        <v>1</v>
      </c>
      <c r="CQ124" s="172" t="n">
        <v>1</v>
      </c>
      <c r="CR124" s="172" t="n">
        <v>1</v>
      </c>
      <c r="CS124" s="172" t="n">
        <v>1</v>
      </c>
      <c r="CT124" s="172" t="n">
        <v>1</v>
      </c>
      <c r="CU124" s="172" t="n">
        <v>1</v>
      </c>
      <c r="CV124" s="172" t="n">
        <v>1</v>
      </c>
      <c r="CW124" s="172" t="n">
        <v>1</v>
      </c>
      <c r="CX124" s="172" t="n">
        <v>1</v>
      </c>
      <c r="CY124" s="172" t="n">
        <v>1</v>
      </c>
      <c r="CZ124" s="172" t="n">
        <v>1</v>
      </c>
      <c r="DA124" s="172" t="n">
        <v>1</v>
      </c>
      <c r="DB124" s="172" t="n">
        <v>1</v>
      </c>
      <c r="DC124" s="172" t="n">
        <v>1</v>
      </c>
      <c r="DD124" s="172" t="n">
        <v>1</v>
      </c>
      <c r="DE124" s="172" t="n">
        <v>1</v>
      </c>
      <c r="DF124" s="172" t="n">
        <v>1</v>
      </c>
      <c r="DG124" s="172" t="n">
        <v>1</v>
      </c>
      <c r="DH124" s="172" t="n">
        <v>1</v>
      </c>
      <c r="DI124" s="172" t="n">
        <v>1</v>
      </c>
      <c r="DJ124" s="172" t="n">
        <v>1</v>
      </c>
      <c r="DK124" s="172" t="n">
        <v>1</v>
      </c>
      <c r="DL124" s="172" t="n">
        <v>1</v>
      </c>
      <c r="DM124" s="172" t="n">
        <v>1</v>
      </c>
      <c r="DN124" s="172" t="n">
        <v>1</v>
      </c>
      <c r="DO124" s="172" t="n">
        <v>1</v>
      </c>
      <c r="DP124" s="172" t="n">
        <v>1</v>
      </c>
      <c r="DQ124" s="172" t="n">
        <v>1</v>
      </c>
      <c r="DR124" s="172" t="n">
        <v>1</v>
      </c>
      <c r="DS124" s="172" t="n">
        <v>1</v>
      </c>
      <c r="DT124" s="172" t="n">
        <v>1</v>
      </c>
      <c r="DU124" s="172" t="n">
        <v>1</v>
      </c>
      <c r="DV124" s="172" t="n">
        <v>1</v>
      </c>
      <c r="DW124" s="172" t="n">
        <v>1</v>
      </c>
      <c r="DX124" s="172" t="n">
        <v>1</v>
      </c>
      <c r="DY124" s="172" t="n">
        <v>1</v>
      </c>
      <c r="DZ124" s="172" t="n">
        <v>1</v>
      </c>
      <c r="EA124" s="172" t="n">
        <v>1</v>
      </c>
      <c r="EB124" s="172" t="n">
        <v>1</v>
      </c>
      <c r="EC124" s="172" t="n">
        <v>1</v>
      </c>
      <c r="ED124" s="172" t="n">
        <v>1</v>
      </c>
      <c r="EE124" s="172" t="n">
        <v>1</v>
      </c>
      <c r="EF124" s="172" t="n">
        <v>1</v>
      </c>
      <c r="EG124" s="172" t="n">
        <v>1</v>
      </c>
      <c r="EH124" s="172" t="n">
        <v>1</v>
      </c>
      <c r="EI124" s="172" t="n">
        <v>1</v>
      </c>
      <c r="EJ124" s="172" t="n">
        <v>1</v>
      </c>
      <c r="EK124" s="172" t="n">
        <v>1</v>
      </c>
      <c r="EL124" s="172" t="n">
        <v>1</v>
      </c>
      <c r="EM124" s="172" t="n">
        <v>1</v>
      </c>
      <c r="EN124" s="172" t="n">
        <v>1</v>
      </c>
      <c r="EO124" s="172" t="n">
        <v>1</v>
      </c>
      <c r="EP124" s="172" t="n">
        <v>1</v>
      </c>
      <c r="EQ124" s="172" t="n">
        <v>1</v>
      </c>
      <c r="ER124" s="172" t="n">
        <v>1</v>
      </c>
      <c r="ES124" s="172" t="n">
        <v>1</v>
      </c>
      <c r="ET124" s="172" t="n">
        <v>1</v>
      </c>
      <c r="EU124" s="172" t="n">
        <v>1</v>
      </c>
      <c r="EV124" s="173" t="n">
        <v>1</v>
      </c>
      <c r="EW124" s="172" t="n">
        <v>1</v>
      </c>
      <c r="EX124" s="172" t="n">
        <v>1</v>
      </c>
      <c r="EY124" s="172" t="n">
        <v>1</v>
      </c>
      <c r="EZ124" s="172" t="n">
        <v>1</v>
      </c>
      <c r="FA124" s="172" t="n">
        <v>1</v>
      </c>
      <c r="FB124" s="172" t="n">
        <v>1</v>
      </c>
      <c r="FC124" s="172" t="n">
        <v>1</v>
      </c>
      <c r="FD124" s="172" t="n">
        <v>1</v>
      </c>
      <c r="FE124" s="172" t="n">
        <v>1</v>
      </c>
      <c r="FF124" s="172" t="n">
        <v>1</v>
      </c>
      <c r="FG124" s="172" t="n">
        <v>1</v>
      </c>
      <c r="FH124" s="172" t="n">
        <v>1</v>
      </c>
      <c r="FI124" s="172" t="n">
        <v>1</v>
      </c>
      <c r="FJ124" s="172" t="n">
        <v>1</v>
      </c>
      <c r="FK124" s="172" t="n">
        <v>1</v>
      </c>
      <c r="FL124" s="172" t="n">
        <v>1</v>
      </c>
      <c r="FM124" s="172" t="n">
        <v>1</v>
      </c>
      <c r="FN124" s="172" t="n">
        <v>1</v>
      </c>
      <c r="FO124" s="172" t="n">
        <v>1</v>
      </c>
      <c r="FP124" s="172" t="n">
        <v>1</v>
      </c>
      <c r="FQ124" s="172" t="n">
        <v>1</v>
      </c>
      <c r="FR124" s="172" t="n">
        <v>1</v>
      </c>
      <c r="FS124" s="172" t="n">
        <v>1</v>
      </c>
      <c r="FT124" s="172" t="n">
        <v>1</v>
      </c>
      <c r="FU124" s="172" t="n">
        <v>1</v>
      </c>
      <c r="FV124" s="172" t="n">
        <v>1</v>
      </c>
      <c r="FW124" s="172" t="n">
        <v>1</v>
      </c>
      <c r="FX124" s="172" t="n">
        <v>1</v>
      </c>
      <c r="FY124" s="172" t="n">
        <v>1</v>
      </c>
      <c r="FZ124" s="172" t="n">
        <v>1</v>
      </c>
      <c r="GA124" s="172" t="n">
        <v>1</v>
      </c>
      <c r="GB124" s="172" t="n">
        <v>1</v>
      </c>
      <c r="GC124" s="172" t="n">
        <v>1</v>
      </c>
      <c r="GD124" s="172" t="n">
        <v>1</v>
      </c>
      <c r="GE124" s="172" t="n">
        <v>1</v>
      </c>
      <c r="GF124" s="172" t="n">
        <v>1</v>
      </c>
      <c r="GG124" s="172" t="n">
        <v>1</v>
      </c>
      <c r="GH124" s="172" t="n">
        <v>1</v>
      </c>
      <c r="GI124" s="172" t="n">
        <v>1</v>
      </c>
      <c r="GJ124" s="172" t="n">
        <v>1</v>
      </c>
      <c r="GK124" s="172" t="n">
        <v>1</v>
      </c>
      <c r="GL124" s="172" t="n">
        <v>1</v>
      </c>
      <c r="GM124" s="172" t="n">
        <v>1</v>
      </c>
      <c r="GN124" s="172" t="n">
        <v>1</v>
      </c>
      <c r="GO124" s="172" t="n">
        <v>1</v>
      </c>
      <c r="GP124" s="172" t="n">
        <v>1</v>
      </c>
      <c r="GQ124" s="172" t="n">
        <v>1</v>
      </c>
      <c r="GR124" s="172" t="n">
        <v>1</v>
      </c>
      <c r="GS124" s="172" t="n">
        <v>1</v>
      </c>
      <c r="GT124" s="172" t="n">
        <v>1</v>
      </c>
      <c r="GU124" s="172" t="n">
        <v>1</v>
      </c>
      <c r="GV124" s="172" t="n">
        <v>1</v>
      </c>
      <c r="GW124" s="172" t="n">
        <v>1</v>
      </c>
      <c r="GX124" s="172" t="n">
        <v>1</v>
      </c>
      <c r="GY124" s="172" t="n">
        <v>1</v>
      </c>
      <c r="GZ124" s="172" t="n">
        <v>1</v>
      </c>
      <c r="HA124" s="172" t="n">
        <v>1</v>
      </c>
      <c r="HB124" s="172" t="n">
        <v>1</v>
      </c>
      <c r="HC124" s="172" t="n">
        <v>1</v>
      </c>
      <c r="HD124" s="172" t="n">
        <v>1</v>
      </c>
      <c r="HE124" s="172" t="n">
        <v>1</v>
      </c>
      <c r="HF124" s="172" t="n">
        <v>1</v>
      </c>
      <c r="HG124" s="172" t="n">
        <v>1</v>
      </c>
      <c r="HH124" s="172" t="n">
        <v>1</v>
      </c>
      <c r="HI124" s="172" t="n">
        <v>1</v>
      </c>
      <c r="HJ124" s="172" t="n">
        <v>1</v>
      </c>
      <c r="HK124" s="172" t="n">
        <v>1</v>
      </c>
      <c r="HL124" s="172" t="n">
        <v>1</v>
      </c>
      <c r="HM124" s="172" t="n">
        <v>1</v>
      </c>
      <c r="HN124" s="172" t="n">
        <v>1</v>
      </c>
      <c r="HO124" s="172" t="n">
        <v>1</v>
      </c>
      <c r="HP124" s="172" t="n">
        <v>1</v>
      </c>
      <c r="HQ124" s="172" t="n">
        <v>1</v>
      </c>
      <c r="HR124" s="172" t="n">
        <v>1</v>
      </c>
      <c r="HS124" s="172" t="n">
        <v>1</v>
      </c>
      <c r="HT124" s="172" t="n">
        <v>1</v>
      </c>
      <c r="HU124" s="172" t="n">
        <v>1</v>
      </c>
      <c r="HV124" s="172" t="n">
        <v>1</v>
      </c>
      <c r="HW124" s="172" t="n">
        <v>1</v>
      </c>
      <c r="HX124" s="172" t="n">
        <v>1</v>
      </c>
      <c r="HY124" s="172" t="n">
        <v>1</v>
      </c>
      <c r="HZ124" s="172" t="n">
        <v>1</v>
      </c>
      <c r="IA124" s="172" t="n">
        <v>1</v>
      </c>
      <c r="IB124" s="172" t="n">
        <v>1</v>
      </c>
      <c r="IC124" s="172" t="n">
        <v>1</v>
      </c>
      <c r="ID124" s="172" t="n">
        <v>1</v>
      </c>
      <c r="IE124" s="172" t="n">
        <v>1</v>
      </c>
      <c r="IF124" s="172" t="n">
        <v>1</v>
      </c>
      <c r="IG124" s="172" t="n">
        <v>1</v>
      </c>
      <c r="IH124" s="172" t="n">
        <v>1</v>
      </c>
      <c r="II124" s="172" t="n">
        <v>1</v>
      </c>
      <c r="IJ124" s="172" t="n">
        <v>1</v>
      </c>
      <c r="IK124" s="172" t="n">
        <v>1</v>
      </c>
      <c r="IL124" s="172" t="n">
        <v>1</v>
      </c>
      <c r="IM124" s="172" t="n">
        <v>1</v>
      </c>
      <c r="IN124" s="172" t="n">
        <v>1</v>
      </c>
      <c r="IO124" s="172" t="n">
        <v>1</v>
      </c>
      <c r="IP124" s="172" t="n">
        <v>1</v>
      </c>
      <c r="IQ124" s="172" t="n">
        <v>1</v>
      </c>
      <c r="IR124" s="172" t="n">
        <v>1</v>
      </c>
    </row>
    <row r="125" ht="29.15" customHeight="1" s="123">
      <c r="A125" s="89" t="inlineStr">
        <is>
          <t>ЧМ (продукция)</t>
        </is>
      </c>
      <c r="B125" s="90" t="n">
        <v>5</v>
      </c>
      <c r="C125" s="5" t="inlineStr">
        <is>
          <t>Черные металлы</t>
        </is>
      </c>
      <c r="D125" s="91" t="n">
        <v>31406</v>
      </c>
      <c r="E125" s="91" t="inlineStr">
        <is>
          <t xml:space="preserve">Заготовка трубная </t>
        </is>
      </c>
      <c r="F125" s="92" t="inlineStr">
        <is>
          <t>ЗАГОТОВКИ СТАЛЬНЫЕ</t>
        </is>
      </c>
      <c r="G125" s="91" t="inlineStr">
        <is>
          <t>СКВ</t>
        </is>
      </c>
      <c r="H125" s="91" t="inlineStr">
        <is>
          <t>ПРВ</t>
        </is>
      </c>
      <c r="I125" s="91" t="inlineStr">
        <is>
          <t>ТАГАНРОГ</t>
        </is>
      </c>
      <c r="J125" s="91" t="inlineStr">
        <is>
          <t>КИГАШ-ЭКСПОР</t>
        </is>
      </c>
      <c r="K125" s="91" t="n">
        <v>1327</v>
      </c>
      <c r="L125" s="91" t="inlineStr">
        <is>
          <t>Полувагоны</t>
        </is>
      </c>
      <c r="M125" s="91" t="inlineStr">
        <is>
          <t>Экспорт</t>
        </is>
      </c>
      <c r="N125" s="91" t="inlineStr">
        <is>
          <t>вагонная</t>
        </is>
      </c>
      <c r="O125" s="91" t="inlineStr">
        <is>
          <t xml:space="preserve">Южное </t>
        </is>
      </c>
      <c r="P125" s="89" t="inlineStr">
        <is>
          <t>'000000186602</t>
        </is>
      </c>
      <c r="Q125" s="91" t="inlineStr">
        <is>
          <t>'АО "Таганрогский металлургический завод"</t>
        </is>
      </c>
      <c r="R125" s="91" t="inlineStr">
        <is>
          <t>ПАО "ТМК"</t>
        </is>
      </c>
      <c r="S125" s="87" t="n">
        <v>110199</v>
      </c>
      <c r="T125" s="87" t="n">
        <v>146259206</v>
      </c>
      <c r="U125" s="88" t="n">
        <v>1684</v>
      </c>
      <c r="V125" s="88" t="n">
        <v>0</v>
      </c>
      <c r="W125" s="87" t="n">
        <v>268910128</v>
      </c>
      <c r="X125" s="112" t="n">
        <v>65</v>
      </c>
      <c r="Y125" s="112" t="inlineStr">
        <is>
          <t>групповая</t>
        </is>
      </c>
      <c r="Z125" s="113" t="n">
        <v>7</v>
      </c>
      <c r="AA125" s="113" t="n">
        <v>4</v>
      </c>
      <c r="AB125" s="113" t="n">
        <v>4</v>
      </c>
      <c r="AC125" s="161" t="n">
        <v>2662.25</v>
      </c>
      <c r="AD125" s="161">
        <f>AE125-AC125</f>
        <v/>
      </c>
      <c r="AE125" s="161" t="n">
        <v>3000</v>
      </c>
      <c r="AF125" s="162">
        <f>(Z125+AA125+AB125)*'Ставки аренды'!$B$3/X125</f>
        <v/>
      </c>
      <c r="AG125" s="164" t="n">
        <v>0</v>
      </c>
      <c r="AH125" s="164" t="n">
        <v>0</v>
      </c>
      <c r="AI125" s="165">
        <f>314456/404359*AJ125</f>
        <v/>
      </c>
      <c r="AJ125" s="166">
        <f>Цены!D26</f>
        <v/>
      </c>
      <c r="AK125" s="164">
        <f>AJ125/Цены!$B$1</f>
        <v/>
      </c>
      <c r="AL125" s="164">
        <f>AE125+AF125+AG125</f>
        <v/>
      </c>
      <c r="AM125" s="164">
        <f>AJ125-AL125</f>
        <v/>
      </c>
      <c r="AN125" s="164">
        <f>AI125+AH125+AG125+AF125+AE125</f>
        <v/>
      </c>
      <c r="AO125" s="167">
        <f>(AJ125-AN125)/AJ125</f>
        <v/>
      </c>
      <c r="AP125" s="168">
        <f>AL125/AJ125</f>
        <v/>
      </c>
      <c r="AQ125" s="168">
        <f>AE125/AJ125</f>
        <v/>
      </c>
      <c r="AR125" s="168">
        <f>AE125/AL125</f>
        <v/>
      </c>
      <c r="AS125" s="169" t="n">
        <v>1</v>
      </c>
      <c r="AT125" s="121">
        <f>S125*AS125</f>
        <v/>
      </c>
      <c r="AU125" s="83" t="n">
        <v>0.6</v>
      </c>
      <c r="AV125" s="170">
        <f>(AJ125-(AE125*(1+$IS$2)+AF125+AG125+AH125+AI125))/AJ125</f>
        <v/>
      </c>
      <c r="AW125" s="171">
        <f>(AE125*(1+$IS$2)+AF125+AG125)/AJ125</f>
        <v/>
      </c>
      <c r="AX125" s="171">
        <f>(AE125*(1+$IS$2))/AJ125</f>
        <v/>
      </c>
      <c r="AY125" s="171">
        <f>(AE125*(1+$IS$2))/(AE125*(1+$IS$2)+AF125+AG125)</f>
        <v/>
      </c>
      <c r="AZ125" s="172">
        <f>MIN(IF($AU125=100%,1,1+VLOOKUP(($AJ125-$AI125-$AH125-$AG125-$AF125-$AE125*(1+AZ$3))/$AJ125,'Технический лист'!$I:$J,2,1)-VLOOKUP($AO125,'Технический лист'!$I:$J,2,1)),1+(1-$AU125))</f>
        <v/>
      </c>
      <c r="BA125" s="172">
        <f>MIN(IF($AU125=100%,1,1+VLOOKUP(($AJ125-$AI125-$AH125-$AG125-$AF125-$AE125*(1+BA$3))/$AJ125,'Технический лист'!$I:$J,2,1)-VLOOKUP($AO125,'Технический лист'!$I:$J,2,1)),1+(1-$AU125))</f>
        <v/>
      </c>
      <c r="BB125" s="172">
        <f>MIN(IF($AU125=100%,1,1+VLOOKUP(($AJ125-$AI125-$AH125-$AG125-$AF125-$AE125*(1+BB$3))/$AJ125,'Технический лист'!$I:$J,2,1)-VLOOKUP($AO125,'Технический лист'!$I:$J,2,1)),1+(1-$AU125))</f>
        <v/>
      </c>
      <c r="BC125" s="172">
        <f>MIN(IF($AU125=100%,1,1+VLOOKUP(($AJ125-$AI125-$AH125-$AG125-$AF125-$AE125*(1+BC$3))/$AJ125,'Технический лист'!$I:$J,2,1)-VLOOKUP($AO125,'Технический лист'!$I:$J,2,1)),1+(1-$AU125))</f>
        <v/>
      </c>
      <c r="BD125" s="172">
        <f>MIN(IF($AU125=100%,1,1+VLOOKUP(($AJ125-$AI125-$AH125-$AG125-$AF125-$AE125*(1+BD$3))/$AJ125,'Технический лист'!$I:$J,2,1)-VLOOKUP($AO125,'Технический лист'!$I:$J,2,1)),1+(1-$AU125))</f>
        <v/>
      </c>
      <c r="BE125" s="172">
        <f>MIN(IF($AU125=100%,1,1+VLOOKUP(($AJ125-$AI125-$AH125-$AG125-$AF125-$AE125*(1+BE$3))/$AJ125,'Технический лист'!$I:$J,2,1)-VLOOKUP($AO125,'Технический лист'!$I:$J,2,1)),1+(1-$AU125))</f>
        <v/>
      </c>
      <c r="BF125" s="172">
        <f>MIN(IF($AU125=100%,1,1+VLOOKUP(($AJ125-$AI125-$AH125-$AG125-$AF125-$AE125*(1+BF$3))/$AJ125,'Технический лист'!$I:$J,2,1)-VLOOKUP($AO125,'Технический лист'!$I:$J,2,1)),1+(1-$AU125))</f>
        <v/>
      </c>
      <c r="BG125" s="172">
        <f>MIN(IF($AU125=100%,1,1+VLOOKUP(($AJ125-$AI125-$AH125-$AG125-$AF125-$AE125*(1+BG$3))/$AJ125,'Технический лист'!$I:$J,2,1)-VLOOKUP($AO125,'Технический лист'!$I:$J,2,1)),1+(1-$AU125))</f>
        <v/>
      </c>
      <c r="BH125" s="172">
        <f>MIN(IF($AU125=100%,1,1+VLOOKUP(($AJ125-$AI125-$AH125-$AG125-$AF125-$AE125*(1+BH$3))/$AJ125,'Технический лист'!$I:$J,2,1)-VLOOKUP($AO125,'Технический лист'!$I:$J,2,1)),1+(1-$AU125))</f>
        <v/>
      </c>
      <c r="BI125" s="172">
        <f>MIN(IF($AU125=100%,1,1+VLOOKUP(($AJ125-$AI125-$AH125-$AG125-$AF125-$AE125*(1+BI$3))/$AJ125,'Технический лист'!$I:$J,2,1)-VLOOKUP($AO125,'Технический лист'!$I:$J,2,1)),1+(1-$AU125))</f>
        <v/>
      </c>
      <c r="BJ125" s="172">
        <f>MIN(IF($AU125=100%,1,1+VLOOKUP(($AJ125-$AI125-$AH125-$AG125-$AF125-$AE125*(1+BJ$3))/$AJ125,'Технический лист'!$I:$J,2,1)-VLOOKUP($AO125,'Технический лист'!$I:$J,2,1)),1+(1-$AU125))</f>
        <v/>
      </c>
      <c r="BK125" s="172">
        <f>MIN(IF($AU125=100%,1,1+VLOOKUP(($AJ125-$AI125-$AH125-$AG125-$AF125-$AE125*(1+BK$3))/$AJ125,'Технический лист'!$I:$J,2,1)-VLOOKUP($AO125,'Технический лист'!$I:$J,2,1)),1+(1-$AU125))</f>
        <v/>
      </c>
      <c r="BL125" s="172">
        <f>MIN(IF($AU125=100%,1,1+VLOOKUP(($AJ125-$AI125-$AH125-$AG125-$AF125-$AE125*(1+BL$3))/$AJ125,'Технический лист'!$I:$J,2,1)-VLOOKUP($AO125,'Технический лист'!$I:$J,2,1)),1+(1-$AU125))</f>
        <v/>
      </c>
      <c r="BM125" s="172">
        <f>MIN(IF($AU125=100%,1,1+VLOOKUP(($AJ125-$AI125-$AH125-$AG125-$AF125-$AE125*(1+BM$3))/$AJ125,'Технический лист'!$I:$J,2,1)-VLOOKUP($AO125,'Технический лист'!$I:$J,2,1)),1+(1-$AU125))</f>
        <v/>
      </c>
      <c r="BN125" s="172">
        <f>MIN(IF($AU125=100%,1,1+VLOOKUP(($AJ125-$AI125-$AH125-$AG125-$AF125-$AE125*(1+BN$3))/$AJ125,'Технический лист'!$I:$J,2,1)-VLOOKUP($AO125,'Технический лист'!$I:$J,2,1)),1+(1-$AU125))</f>
        <v/>
      </c>
      <c r="BO125" s="172">
        <f>MIN(IF($AU125=100%,1,1+VLOOKUP(($AJ125-$AI125-$AH125-$AG125-$AF125-$AE125*(1+BO$3))/$AJ125,'Технический лист'!$I:$J,2,1)-VLOOKUP($AO125,'Технический лист'!$I:$J,2,1)),1+(1-$AU125))</f>
        <v/>
      </c>
      <c r="BP125" s="172">
        <f>MIN(IF($AU125=100%,1,1+VLOOKUP(($AJ125-$AI125-$AH125-$AG125-$AF125-$AE125*(1+BP$3))/$AJ125,'Технический лист'!$I:$J,2,1)-VLOOKUP($AO125,'Технический лист'!$I:$J,2,1)),1+(1-$AU125))</f>
        <v/>
      </c>
      <c r="BQ125" s="172">
        <f>MIN(IF($AU125=100%,1,1+VLOOKUP(($AJ125-$AI125-$AH125-$AG125-$AF125-$AE125*(1+BQ$3))/$AJ125,'Технический лист'!$I:$J,2,1)-VLOOKUP($AO125,'Технический лист'!$I:$J,2,1)),1+(1-$AU125))</f>
        <v/>
      </c>
      <c r="BR125" s="172">
        <f>MIN(IF($AU125=100%,1,1+VLOOKUP(($AJ125-$AI125-$AH125-$AG125-$AF125-$AE125*(1+BR$3))/$AJ125,'Технический лист'!$I:$J,2,1)-VLOOKUP($AO125,'Технический лист'!$I:$J,2,1)),1+(1-$AU125))</f>
        <v/>
      </c>
      <c r="BS125" s="172">
        <f>MIN(IF($AU125=100%,1,1+VLOOKUP(($AJ125-$AI125-$AH125-$AG125-$AF125-$AE125*(1+BS$3))/$AJ125,'Технический лист'!$I:$J,2,1)-VLOOKUP($AO125,'Технический лист'!$I:$J,2,1)),1+(1-$AU125))</f>
        <v/>
      </c>
      <c r="BT125" s="172">
        <f>MIN(IF($AU125=100%,1,1+VLOOKUP(($AJ125-$AI125-$AH125-$AG125-$AF125-$AE125*(1+BT$3))/$AJ125,'Технический лист'!$I:$J,2,1)-VLOOKUP($AO125,'Технический лист'!$I:$J,2,1)),1+(1-$AU125))</f>
        <v/>
      </c>
      <c r="BU125" s="172">
        <f>MIN(IF($AU125=100%,1,1+VLOOKUP(($AJ125-$AI125-$AH125-$AG125-$AF125-$AE125*(1+BU$3))/$AJ125,'Технический лист'!$I:$J,2,1)-VLOOKUP($AO125,'Технический лист'!$I:$J,2,1)),1+(1-$AU125))</f>
        <v/>
      </c>
      <c r="BV125" s="172">
        <f>MIN(IF($AU125=100%,1,1+VLOOKUP(($AJ125-$AI125-$AH125-$AG125-$AF125-$AE125*(1+BV$3))/$AJ125,'Технический лист'!$I:$J,2,1)-VLOOKUP($AO125,'Технический лист'!$I:$J,2,1)),1+(1-$AU125))</f>
        <v/>
      </c>
      <c r="BW125" s="172">
        <f>MIN(IF($AU125=100%,1,1+VLOOKUP(($AJ125-$AI125-$AH125-$AG125-$AF125-$AE125*(1+BW$3))/$AJ125,'Технический лист'!$I:$J,2,1)-VLOOKUP($AO125,'Технический лист'!$I:$J,2,1)),1+(1-$AU125))</f>
        <v/>
      </c>
      <c r="BX125" s="172">
        <f>MIN(IF($AU125=100%,1,1+VLOOKUP(($AJ125-$AI125-$AH125-$AG125-$AF125-$AE125*(1+BX$3))/$AJ125,'Технический лист'!$I:$J,2,1)-VLOOKUP($AO125,'Технический лист'!$I:$J,2,1)),1+(1-$AU125))</f>
        <v/>
      </c>
      <c r="BY125" s="172">
        <f>MIN(IF($AU125=100%,1,1+VLOOKUP(($AJ125-$AI125-$AH125-$AG125-$AF125-$AE125*(1+BY$3))/$AJ125,'Технический лист'!$I:$J,2,1)-VLOOKUP($AO125,'Технический лист'!$I:$J,2,1)),1+(1-$AU125))</f>
        <v/>
      </c>
      <c r="BZ125" s="172">
        <f>MIN(IF($AU125=100%,1,1+VLOOKUP(($AJ125-$AI125-$AH125-$AG125-$AF125-$AE125*(1+BZ$3))/$AJ125,'Технический лист'!$I:$J,2,1)-VLOOKUP($AO125,'Технический лист'!$I:$J,2,1)),1+(1-$AU125))</f>
        <v/>
      </c>
      <c r="CA125" s="172">
        <f>MIN(IF($AU125=100%,1,1+VLOOKUP(($AJ125-$AI125-$AH125-$AG125-$AF125-$AE125*(1+CA$3))/$AJ125,'Технический лист'!$I:$J,2,1)-VLOOKUP($AO125,'Технический лист'!$I:$J,2,1)),1+(1-$AU125))</f>
        <v/>
      </c>
      <c r="CB125" s="172">
        <f>MIN(IF($AU125=100%,1,1+VLOOKUP(($AJ125-$AI125-$AH125-$AG125-$AF125-$AE125*(1+CB$3))/$AJ125,'Технический лист'!$I:$J,2,1)-VLOOKUP($AO125,'Технический лист'!$I:$J,2,1)),1+(1-$AU125))</f>
        <v/>
      </c>
      <c r="CC125" s="172">
        <f>MIN(IF($AU125=100%,1,1+VLOOKUP(($AJ125-$AI125-$AH125-$AG125-$AF125-$AE125*(1+CC$3))/$AJ125,'Технический лист'!$I:$J,2,1)-VLOOKUP($AO125,'Технический лист'!$I:$J,2,1)),1+(1-$AU125))</f>
        <v/>
      </c>
      <c r="CD125" s="172">
        <f>MIN(IF($AU125=100%,1,1+VLOOKUP(($AJ125-$AI125-$AH125-$AG125-$AF125-$AE125*(1+CD$3))/$AJ125,'Технический лист'!$I:$J,2,1)-VLOOKUP($AO125,'Технический лист'!$I:$J,2,1)),1+(1-$AU125))</f>
        <v/>
      </c>
      <c r="CE125" s="172">
        <f>MIN(IF($AU125=100%,1,1+VLOOKUP(($AJ125-$AI125-$AH125-$AG125-$AF125-$AE125*(1+CE$3))/$AJ125,'Технический лист'!$I:$J,2,1)-VLOOKUP($AO125,'Технический лист'!$I:$J,2,1)),1+(1-$AU125))</f>
        <v/>
      </c>
      <c r="CF125" s="172">
        <f>MIN(IF($AU125=100%,1,1+VLOOKUP(($AJ125-$AI125-$AH125-$AG125-$AF125-$AE125*(1+CF$3))/$AJ125,'Технический лист'!$I:$J,2,1)-VLOOKUP($AO125,'Технический лист'!$I:$J,2,1)),1+(1-$AU125))</f>
        <v/>
      </c>
      <c r="CG125" s="172">
        <f>MIN(IF($AU125=100%,1,1+VLOOKUP(($AJ125-$AI125-$AH125-$AG125-$AF125-$AE125*(1+CG$3))/$AJ125,'Технический лист'!$I:$J,2,1)-VLOOKUP($AO125,'Технический лист'!$I:$J,2,1)),1+(1-$AU125))</f>
        <v/>
      </c>
      <c r="CH125" s="172">
        <f>MIN(IF($AU125=100%,1,1+VLOOKUP(($AJ125-$AI125-$AH125-$AG125-$AF125-$AE125*(1+CH$3))/$AJ125,'Технический лист'!$I:$J,2,1)-VLOOKUP($AO125,'Технический лист'!$I:$J,2,1)),1+(1-$AU125))</f>
        <v/>
      </c>
      <c r="CI125" s="172">
        <f>MIN(IF($AU125=100%,1,1+VLOOKUP(($AJ125-$AI125-$AH125-$AG125-$AF125-$AE125*(1+CI$3))/$AJ125,'Технический лист'!$I:$J,2,1)-VLOOKUP($AO125,'Технический лист'!$I:$J,2,1)),1+(1-$AU125))</f>
        <v/>
      </c>
      <c r="CJ125" s="172">
        <f>MIN(IF($AU125=100%,1,1+VLOOKUP(($AJ125-$AI125-$AH125-$AG125-$AF125-$AE125*(1+CJ$3))/$AJ125,'Технический лист'!$I:$J,2,1)-VLOOKUP($AO125,'Технический лист'!$I:$J,2,1)),1+(1-$AU125))</f>
        <v/>
      </c>
      <c r="CK125" s="172">
        <f>MIN(IF($AU125=100%,1,1+VLOOKUP(($AJ125-$AI125-$AH125-$AG125-$AF125-$AE125*(1+CK$3))/$AJ125,'Технический лист'!$I:$J,2,1)-VLOOKUP($AO125,'Технический лист'!$I:$J,2,1)),1+(1-$AU125))</f>
        <v/>
      </c>
      <c r="CL125" s="172">
        <f>MIN(IF($AU125=100%,1,1+VLOOKUP(($AJ125-$AI125-$AH125-$AG125-$AF125-$AE125*(1+CL$3))/$AJ125,'Технический лист'!$I:$J,2,1)-VLOOKUP($AO125,'Технический лист'!$I:$J,2,1)),1+(1-$AU125))</f>
        <v/>
      </c>
      <c r="CM125" s="172">
        <f>MIN(IF($AU125=100%,1,1+VLOOKUP(($AJ125-$AI125-$AH125-$AG125-$AF125-$AE125*(1+CM$3))/$AJ125,'Технический лист'!$I:$J,2,1)-VLOOKUP($AO125,'Технический лист'!$I:$J,2,1)),1+(1-$AU125))</f>
        <v/>
      </c>
      <c r="CN125" s="172">
        <f>MIN(IF($AU125=100%,1,1+VLOOKUP(($AJ125-$AI125-$AH125-$AG125-$AF125-$AE125*(1+CN$3))/$AJ125,'Технический лист'!$I:$J,2,1)-VLOOKUP($AO125,'Технический лист'!$I:$J,2,1)),1+(1-$AU125))</f>
        <v/>
      </c>
      <c r="CO125" s="172">
        <f>MIN(IF($AU125=100%,1,1+VLOOKUP(($AJ125-$AI125-$AH125-$AG125-$AF125-$AE125*(1+CO$3))/$AJ125,'Технический лист'!$I:$J,2,1)-VLOOKUP($AO125,'Технический лист'!$I:$J,2,1)),1+(1-$AU125))</f>
        <v/>
      </c>
      <c r="CP125" s="172">
        <f>MIN(IF($AU125=100%,1,1+VLOOKUP(($AJ125-$AI125-$AH125-$AG125-$AF125-$AE125*(1+CP$3))/$AJ125,'Технический лист'!$I:$J,2,1)-VLOOKUP($AO125,'Технический лист'!$I:$J,2,1)),1+(1-$AU125))</f>
        <v/>
      </c>
      <c r="CQ125" s="172">
        <f>MIN(IF($AU125=100%,1,1+VLOOKUP(($AJ125-$AI125-$AH125-$AG125-$AF125-$AE125*(1+CQ$3))/$AJ125,'Технический лист'!$I:$J,2,1)-VLOOKUP($AO125,'Технический лист'!$I:$J,2,1)),1+(1-$AU125))</f>
        <v/>
      </c>
      <c r="CR125" s="172">
        <f>MIN(IF($AU125=100%,1,1+VLOOKUP(($AJ125-$AI125-$AH125-$AG125-$AF125-$AE125*(1+CR$3))/$AJ125,'Технический лист'!$I:$J,2,1)-VLOOKUP($AO125,'Технический лист'!$I:$J,2,1)),1+(1-$AU125))</f>
        <v/>
      </c>
      <c r="CS125" s="172">
        <f>MIN(IF($AU125=100%,1,1+VLOOKUP(($AJ125-$AI125-$AH125-$AG125-$AF125-$AE125*(1+CS$3))/$AJ125,'Технический лист'!$I:$J,2,1)-VLOOKUP($AO125,'Технический лист'!$I:$J,2,1)),1+(1-$AU125))</f>
        <v/>
      </c>
      <c r="CT125" s="172">
        <f>MIN(IF($AU125=100%,1,1+VLOOKUP(($AJ125-$AI125-$AH125-$AG125-$AF125-$AE125*(1+CT$3))/$AJ125,'Технический лист'!$I:$J,2,1)-VLOOKUP($AO125,'Технический лист'!$I:$J,2,1)),1+(1-$AU125))</f>
        <v/>
      </c>
      <c r="CU125" s="172">
        <f>MIN(IF($AU125=100%,1,1+VLOOKUP(($AJ125-$AI125-$AH125-$AG125-$AF125-$AE125*(1+CU$3))/$AJ125,'Технический лист'!$I:$J,2,1)-VLOOKUP($AO125,'Технический лист'!$I:$J,2,1)),1+(1-$AU125))</f>
        <v/>
      </c>
      <c r="CV125" s="172">
        <f>MIN(IF($AU125=100%,1,1+VLOOKUP(($AJ125-$AI125-$AH125-$AG125-$AF125-$AE125*(1+CV$3))/$AJ125,'Технический лист'!$I:$J,2,1)-VLOOKUP($AO125,'Технический лист'!$I:$J,2,1)),1+(1-$AU125))</f>
        <v/>
      </c>
      <c r="CW125" s="172">
        <f>MIN(IF($AU125=100%,1,1+VLOOKUP(($AJ125-$AI125-$AH125-$AG125-$AF125-$AE125*(1+CW$3))/$AJ125,'Технический лист'!$I:$J,2,1)-VLOOKUP($AO125,'Технический лист'!$I:$J,2,1)),1+(1-$AU125))</f>
        <v/>
      </c>
      <c r="CX125" s="172">
        <f>MIN(IF($AU125=100%,1,1+VLOOKUP(($AJ125-$AI125-$AH125-$AG125-$AF125-$AE125*(1+CX$3))/$AJ125,'Технический лист'!$I:$J,2,1)-VLOOKUP($AO125,'Технический лист'!$I:$J,2,1)),1+(1-$AU125))</f>
        <v/>
      </c>
      <c r="CY125" s="172">
        <f>MIN(IF($AU125=100%,1,1+VLOOKUP(($AJ125-$AI125-$AH125-$AG125-$AF125-$AE125*(1+CY$3))/$AJ125,'Технический лист'!$I:$J,2,1)-VLOOKUP($AO125,'Технический лист'!$I:$J,2,1)),1+(1-$AU125))</f>
        <v/>
      </c>
      <c r="CZ125" s="172">
        <f>MIN(IF($AU125=100%,1,1+VLOOKUP(($AJ125-$AI125-$AH125-$AG125-$AF125-$AE125*(1+CZ$3))/$AJ125,'Технический лист'!$I:$J,2,1)-VLOOKUP($AO125,'Технический лист'!$I:$J,2,1)),1+(1-$AU125))</f>
        <v/>
      </c>
      <c r="DA125" s="172">
        <f>MIN(IF($AU125=100%,1,1+VLOOKUP(($AJ125-$AI125-$AH125-$AG125-$AF125-$AE125*(1+DA$3))/$AJ125,'Технический лист'!$I:$J,2,1)-VLOOKUP($AO125,'Технический лист'!$I:$J,2,1)),1+(1-$AU125))</f>
        <v/>
      </c>
      <c r="DB125" s="172">
        <f>MIN(IF($AU125=100%,1,1+VLOOKUP(($AJ125-$AI125-$AH125-$AG125-$AF125-$AE125*(1+DB$3))/$AJ125,'Технический лист'!$I:$J,2,1)-VLOOKUP($AO125,'Технический лист'!$I:$J,2,1)),1+(1-$AU125))</f>
        <v/>
      </c>
      <c r="DC125" s="172">
        <f>MIN(IF($AU125=100%,1,1+VLOOKUP(($AJ125-$AI125-$AH125-$AG125-$AF125-$AE125*(1+DC$3))/$AJ125,'Технический лист'!$I:$J,2,1)-VLOOKUP($AO125,'Технический лист'!$I:$J,2,1)),1+(1-$AU125))</f>
        <v/>
      </c>
      <c r="DD125" s="172">
        <f>MIN(IF($AU125=100%,1,1+VLOOKUP(($AJ125-$AI125-$AH125-$AG125-$AF125-$AE125*(1+DD$3))/$AJ125,'Технический лист'!$I:$J,2,1)-VLOOKUP($AO125,'Технический лист'!$I:$J,2,1)),1+(1-$AU125))</f>
        <v/>
      </c>
      <c r="DE125" s="172">
        <f>MIN(IF($AU125=100%,1,1+VLOOKUP(($AJ125-$AI125-$AH125-$AG125-$AF125-$AE125*(1+DE$3))/$AJ125,'Технический лист'!$I:$J,2,1)-VLOOKUP($AO125,'Технический лист'!$I:$J,2,1)),1+(1-$AU125))</f>
        <v/>
      </c>
      <c r="DF125" s="172">
        <f>MIN(IF($AU125=100%,1,1+VLOOKUP(($AJ125-$AI125-$AH125-$AG125-$AF125-$AE125*(1+DF$3))/$AJ125,'Технический лист'!$I:$J,2,1)-VLOOKUP($AO125,'Технический лист'!$I:$J,2,1)),1+(1-$AU125))</f>
        <v/>
      </c>
      <c r="DG125" s="172">
        <f>MIN(IF($AU125=100%,1,1+VLOOKUP(($AJ125-$AI125-$AH125-$AG125-$AF125-$AE125*(1+DG$3))/$AJ125,'Технический лист'!$I:$J,2,1)-VLOOKUP($AO125,'Технический лист'!$I:$J,2,1)),1+(1-$AU125))</f>
        <v/>
      </c>
      <c r="DH125" s="172">
        <f>MIN(IF($AU125=100%,1,1+VLOOKUP(($AJ125-$AI125-$AH125-$AG125-$AF125-$AE125*(1+DH$3))/$AJ125,'Технический лист'!$I:$J,2,1)-VLOOKUP($AO125,'Технический лист'!$I:$J,2,1)),1+(1-$AU125))</f>
        <v/>
      </c>
      <c r="DI125" s="172">
        <f>MIN(IF($AU125=100%,1,1+VLOOKUP(($AJ125-$AI125-$AH125-$AG125-$AF125-$AE125*(1+DI$3))/$AJ125,'Технический лист'!$I:$J,2,1)-VLOOKUP($AO125,'Технический лист'!$I:$J,2,1)),1+(1-$AU125))</f>
        <v/>
      </c>
      <c r="DJ125" s="172">
        <f>MIN(IF($AU125=100%,1,1+VLOOKUP(($AJ125-$AI125-$AH125-$AG125-$AF125-$AE125*(1+DJ$3))/$AJ125,'Технический лист'!$I:$J,2,1)-VLOOKUP($AO125,'Технический лист'!$I:$J,2,1)),1+(1-$AU125))</f>
        <v/>
      </c>
      <c r="DK125" s="172">
        <f>MIN(IF($AU125=100%,1,1+VLOOKUP(($AJ125-$AI125-$AH125-$AG125-$AF125-$AE125*(1+DK$3))/$AJ125,'Технический лист'!$I:$J,2,1)-VLOOKUP($AO125,'Технический лист'!$I:$J,2,1)),1+(1-$AU125))</f>
        <v/>
      </c>
      <c r="DL125" s="172">
        <f>MIN(IF($AU125=100%,1,1+VLOOKUP(($AJ125-$AI125-$AH125-$AG125-$AF125-$AE125*(1+DL$3))/$AJ125,'Технический лист'!$I:$J,2,1)-VLOOKUP($AO125,'Технический лист'!$I:$J,2,1)),1+(1-$AU125))</f>
        <v/>
      </c>
      <c r="DM125" s="172">
        <f>MIN(IF($AU125=100%,1,1+VLOOKUP(($AJ125-$AI125-$AH125-$AG125-$AF125-$AE125*(1+DM$3))/$AJ125,'Технический лист'!$I:$J,2,1)-VLOOKUP($AO125,'Технический лист'!$I:$J,2,1)),1+(1-$AU125))</f>
        <v/>
      </c>
      <c r="DN125" s="172">
        <f>MIN(IF($AU125=100%,1,1+VLOOKUP(($AJ125-$AI125-$AH125-$AG125-$AF125-$AE125*(1+DN$3))/$AJ125,'Технический лист'!$I:$J,2,1)-VLOOKUP($AO125,'Технический лист'!$I:$J,2,1)),1+(1-$AU125))</f>
        <v/>
      </c>
      <c r="DO125" s="172">
        <f>MIN(IF($AU125=100%,1,1+VLOOKUP(($AJ125-$AI125-$AH125-$AG125-$AF125-$AE125*(1+DO$3))/$AJ125,'Технический лист'!$I:$J,2,1)-VLOOKUP($AO125,'Технический лист'!$I:$J,2,1)),1+(1-$AU125))</f>
        <v/>
      </c>
      <c r="DP125" s="172">
        <f>MIN(IF($AU125=100%,1,1+VLOOKUP(($AJ125-$AI125-$AH125-$AG125-$AF125-$AE125*(1+DP$3))/$AJ125,'Технический лист'!$I:$J,2,1)-VLOOKUP($AO125,'Технический лист'!$I:$J,2,1)),1+(1-$AU125))</f>
        <v/>
      </c>
      <c r="DQ125" s="172">
        <f>MIN(IF($AU125=100%,1,1+VLOOKUP(($AJ125-$AI125-$AH125-$AG125-$AF125-$AE125*(1+DQ$3))/$AJ125,'Технический лист'!$I:$J,2,1)-VLOOKUP($AO125,'Технический лист'!$I:$J,2,1)),1+(1-$AU125))</f>
        <v/>
      </c>
      <c r="DR125" s="172">
        <f>MIN(IF($AU125=100%,1,1+VLOOKUP(($AJ125-$AI125-$AH125-$AG125-$AF125-$AE125*(1+DR$3))/$AJ125,'Технический лист'!$I:$J,2,1)-VLOOKUP($AO125,'Технический лист'!$I:$J,2,1)),1+(1-$AU125))</f>
        <v/>
      </c>
      <c r="DS125" s="172">
        <f>MIN(IF($AU125=100%,1,1+VLOOKUP(($AJ125-$AI125-$AH125-$AG125-$AF125-$AE125*(1+DS$3))/$AJ125,'Технический лист'!$I:$J,2,1)-VLOOKUP($AO125,'Технический лист'!$I:$J,2,1)),1+(1-$AU125))</f>
        <v/>
      </c>
      <c r="DT125" s="172">
        <f>MIN(IF($AU125=100%,1,1+VLOOKUP(($AJ125-$AI125-$AH125-$AG125-$AF125-$AE125*(1+DT$3))/$AJ125,'Технический лист'!$I:$J,2,1)-VLOOKUP($AO125,'Технический лист'!$I:$J,2,1)),1+(1-$AU125))</f>
        <v/>
      </c>
      <c r="DU125" s="172">
        <f>MIN(IF($AU125=100%,1,1+VLOOKUP(($AJ125-$AI125-$AH125-$AG125-$AF125-$AE125*(1+DU$3))/$AJ125,'Технический лист'!$I:$J,2,1)-VLOOKUP($AO125,'Технический лист'!$I:$J,2,1)),1+(1-$AU125))</f>
        <v/>
      </c>
      <c r="DV125" s="172">
        <f>MIN(IF($AU125=100%,1,1+VLOOKUP(($AJ125-$AI125-$AH125-$AG125-$AF125-$AE125*(1+DV$3))/$AJ125,'Технический лист'!$I:$J,2,1)-VLOOKUP($AO125,'Технический лист'!$I:$J,2,1)),1+(1-$AU125))</f>
        <v/>
      </c>
      <c r="DW125" s="172">
        <f>MIN(IF($AU125=100%,1,1+VLOOKUP(($AJ125-$AI125-$AH125-$AG125-$AF125-$AE125*(1+DW$3))/$AJ125,'Технический лист'!$I:$J,2,1)-VLOOKUP($AO125,'Технический лист'!$I:$J,2,1)),1+(1-$AU125))</f>
        <v/>
      </c>
      <c r="DX125" s="172">
        <f>MIN(IF($AU125=100%,1,1+VLOOKUP(($AJ125-$AI125-$AH125-$AG125-$AF125-$AE125*(1+DX$3))/$AJ125,'Технический лист'!$I:$J,2,1)-VLOOKUP($AO125,'Технический лист'!$I:$J,2,1)),1+(1-$AU125))</f>
        <v/>
      </c>
      <c r="DY125" s="172">
        <f>MIN(IF($AU125=100%,1,1+VLOOKUP(($AJ125-$AI125-$AH125-$AG125-$AF125-$AE125*(1+DY$3))/$AJ125,'Технический лист'!$I:$J,2,1)-VLOOKUP($AO125,'Технический лист'!$I:$J,2,1)),1+(1-$AU125))</f>
        <v/>
      </c>
      <c r="DZ125" s="172">
        <f>MIN(IF($AU125=100%,1,1+VLOOKUP(($AJ125-$AI125-$AH125-$AG125-$AF125-$AE125*(1+DZ$3))/$AJ125,'Технический лист'!$I:$J,2,1)-VLOOKUP($AO125,'Технический лист'!$I:$J,2,1)),1+(1-$AU125))</f>
        <v/>
      </c>
      <c r="EA125" s="172">
        <f>MIN(IF($AU125=100%,1,1+VLOOKUP(($AJ125-$AI125-$AH125-$AG125-$AF125-$AE125*(1+EA$3))/$AJ125,'Технический лист'!$I:$J,2,1)-VLOOKUP($AO125,'Технический лист'!$I:$J,2,1)),1+(1-$AU125))</f>
        <v/>
      </c>
      <c r="EB125" s="172">
        <f>MIN(IF($AU125=100%,1,1+VLOOKUP(($AJ125-$AI125-$AH125-$AG125-$AF125-$AE125*(1+EB$3))/$AJ125,'Технический лист'!$I:$J,2,1)-VLOOKUP($AO125,'Технический лист'!$I:$J,2,1)),1+(1-$AU125))</f>
        <v/>
      </c>
      <c r="EC125" s="172">
        <f>MIN(IF($AU125=100%,1,1+VLOOKUP(($AJ125-$AI125-$AH125-$AG125-$AF125-$AE125*(1+EC$3))/$AJ125,'Технический лист'!$I:$J,2,1)-VLOOKUP($AO125,'Технический лист'!$I:$J,2,1)),1+(1-$AU125))</f>
        <v/>
      </c>
      <c r="ED125" s="172">
        <f>MIN(IF($AU125=100%,1,1+VLOOKUP(($AJ125-$AI125-$AH125-$AG125-$AF125-$AE125*(1+ED$3))/$AJ125,'Технический лист'!$I:$J,2,1)-VLOOKUP($AO125,'Технический лист'!$I:$J,2,1)),1+(1-$AU125))</f>
        <v/>
      </c>
      <c r="EE125" s="172">
        <f>MIN(IF($AU125=100%,1,1+VLOOKUP(($AJ125-$AI125-$AH125-$AG125-$AF125-$AE125*(1+EE$3))/$AJ125,'Технический лист'!$I:$J,2,1)-VLOOKUP($AO125,'Технический лист'!$I:$J,2,1)),1+(1-$AU125))</f>
        <v/>
      </c>
      <c r="EF125" s="172">
        <f>MIN(IF($AU125=100%,1,1+VLOOKUP(($AJ125-$AI125-$AH125-$AG125-$AF125-$AE125*(1+EF$3))/$AJ125,'Технический лист'!$I:$J,2,1)-VLOOKUP($AO125,'Технический лист'!$I:$J,2,1)),1+(1-$AU125))</f>
        <v/>
      </c>
      <c r="EG125" s="172">
        <f>MIN(IF($AU125=100%,1,1+VLOOKUP(($AJ125-$AI125-$AH125-$AG125-$AF125-$AE125*(1+EG$3))/$AJ125,'Технический лист'!$I:$J,2,1)-VLOOKUP($AO125,'Технический лист'!$I:$J,2,1)),1+(1-$AU125))</f>
        <v/>
      </c>
      <c r="EH125" s="172">
        <f>MIN(IF($AU125=100%,1,1+VLOOKUP(($AJ125-$AI125-$AH125-$AG125-$AF125-$AE125*(1+EH$3))/$AJ125,'Технический лист'!$I:$J,2,1)-VLOOKUP($AO125,'Технический лист'!$I:$J,2,1)),1+(1-$AU125))</f>
        <v/>
      </c>
      <c r="EI125" s="172">
        <f>MIN(IF($AU125=100%,1,1+VLOOKUP(($AJ125-$AI125-$AH125-$AG125-$AF125-$AE125*(1+EI$3))/$AJ125,'Технический лист'!$I:$J,2,1)-VLOOKUP($AO125,'Технический лист'!$I:$J,2,1)),1+(1-$AU125))</f>
        <v/>
      </c>
      <c r="EJ125" s="172">
        <f>MIN(IF($AU125=100%,1,1+VLOOKUP(($AJ125-$AI125-$AH125-$AG125-$AF125-$AE125*(1+EJ$3))/$AJ125,'Технический лист'!$I:$J,2,1)-VLOOKUP($AO125,'Технический лист'!$I:$J,2,1)),1+(1-$AU125))</f>
        <v/>
      </c>
      <c r="EK125" s="172">
        <f>MIN(IF($AU125=100%,1,1+VLOOKUP(($AJ125-$AI125-$AH125-$AG125-$AF125-$AE125*(1+EK$3))/$AJ125,'Технический лист'!$I:$J,2,1)-VLOOKUP($AO125,'Технический лист'!$I:$J,2,1)),1+(1-$AU125))</f>
        <v/>
      </c>
      <c r="EL125" s="172">
        <f>MIN(IF($AU125=100%,1,1+VLOOKUP(($AJ125-$AI125-$AH125-$AG125-$AF125-$AE125*(1+EL$3))/$AJ125,'Технический лист'!$I:$J,2,1)-VLOOKUP($AO125,'Технический лист'!$I:$J,2,1)),1+(1-$AU125))</f>
        <v/>
      </c>
      <c r="EM125" s="172">
        <f>MIN(IF($AU125=100%,1,1+VLOOKUP(($AJ125-$AI125-$AH125-$AG125-$AF125-$AE125*(1+EM$3))/$AJ125,'Технический лист'!$I:$J,2,1)-VLOOKUP($AO125,'Технический лист'!$I:$J,2,1)),1+(1-$AU125))</f>
        <v/>
      </c>
      <c r="EN125" s="172">
        <f>MIN(IF($AU125=100%,1,1+VLOOKUP(($AJ125-$AI125-$AH125-$AG125-$AF125-$AE125*(1+EN$3))/$AJ125,'Технический лист'!$I:$J,2,1)-VLOOKUP($AO125,'Технический лист'!$I:$J,2,1)),1+(1-$AU125))</f>
        <v/>
      </c>
      <c r="EO125" s="172">
        <f>MIN(IF($AU125=100%,1,1+VLOOKUP(($AJ125-$AI125-$AH125-$AG125-$AF125-$AE125*(1+EO$3))/$AJ125,'Технический лист'!$I:$J,2,1)-VLOOKUP($AO125,'Технический лист'!$I:$J,2,1)),1+(1-$AU125))</f>
        <v/>
      </c>
      <c r="EP125" s="172">
        <f>MIN(IF($AU125=100%,1,1+VLOOKUP(($AJ125-$AI125-$AH125-$AG125-$AF125-$AE125*(1+EP$3))/$AJ125,'Технический лист'!$I:$J,2,1)-VLOOKUP($AO125,'Технический лист'!$I:$J,2,1)),1+(1-$AU125))</f>
        <v/>
      </c>
      <c r="EQ125" s="172">
        <f>MIN(IF($AU125=100%,1,1+VLOOKUP(($AJ125-$AI125-$AH125-$AG125-$AF125-$AE125*(1+EQ$3))/$AJ125,'Технический лист'!$I:$J,2,1)-VLOOKUP($AO125,'Технический лист'!$I:$J,2,1)),1+(1-$AU125))</f>
        <v/>
      </c>
      <c r="ER125" s="172">
        <f>MIN(IF($AU125=100%,1,1+VLOOKUP(($AJ125-$AI125-$AH125-$AG125-$AF125-$AE125*(1+ER$3))/$AJ125,'Технический лист'!$I:$J,2,1)-VLOOKUP($AO125,'Технический лист'!$I:$J,2,1)),1+(1-$AU125))</f>
        <v/>
      </c>
      <c r="ES125" s="172">
        <f>MIN(IF($AU125=100%,1,1+VLOOKUP(($AJ125-$AI125-$AH125-$AG125-$AF125-$AE125*(1+ES$3))/$AJ125,'Технический лист'!$I:$J,2,1)-VLOOKUP($AO125,'Технический лист'!$I:$J,2,1)),1+(1-$AU125))</f>
        <v/>
      </c>
      <c r="ET125" s="172">
        <f>MIN(IF($AU125=100%,1,1+VLOOKUP(($AJ125-$AI125-$AH125-$AG125-$AF125-$AE125*(1+ET$3))/$AJ125,'Технический лист'!$I:$J,2,1)-VLOOKUP($AO125,'Технический лист'!$I:$J,2,1)),1+(1-$AU125))</f>
        <v/>
      </c>
      <c r="EU125" s="172">
        <f>MIN(IF($AU125=100%,1,1+VLOOKUP(($AJ125-$AI125-$AH125-$AG125-$AF125-$AE125*(1+EU$3))/$AJ125,'Технический лист'!$I:$J,2,1)-VLOOKUP($AO125,'Технический лист'!$I:$J,2,1)),1+(1-$AU125))</f>
        <v/>
      </c>
      <c r="EV125" s="173" t="n">
        <v>1</v>
      </c>
      <c r="EW125" s="172">
        <f>MIN(1,MAX(VLOOKUP(($AJ125-$AI125-$AH125-$AG125-$AF125-$AE125*(1+EW$3))/$AJ125,'Технический лист'!$A:$B,2,1),(EV125-0.05)))</f>
        <v/>
      </c>
      <c r="EX125" s="172">
        <f>MIN(1,MAX(VLOOKUP(($AJ125-$AI125-$AH125-$AG125-$AF125-$AE125*(1+EX$3))/$AJ125,'Технический лист'!$A:$B,2,1),(EW125-0.05)))</f>
        <v/>
      </c>
      <c r="EY125" s="172">
        <f>MIN(1,MAX(VLOOKUP(($AJ125-$AI125-$AH125-$AG125-$AF125-$AE125*(1+EY$3))/$AJ125,'Технический лист'!$A:$B,2,1),(EX125-0.05)))</f>
        <v/>
      </c>
      <c r="EZ125" s="172">
        <f>MIN(1,MAX(VLOOKUP(($AJ125-$AI125-$AH125-$AG125-$AF125-$AE125*(1+EZ$3))/$AJ125,'Технический лист'!$A:$B,2,1),(EY125-0.05)))</f>
        <v/>
      </c>
      <c r="FA125" s="172">
        <f>MIN(1,MAX(VLOOKUP(($AJ125-$AI125-$AH125-$AG125-$AF125-$AE125*(1+FA$3))/$AJ125,'Технический лист'!$A:$B,2,1),(EZ125-0.05)))</f>
        <v/>
      </c>
      <c r="FB125" s="172">
        <f>MIN(1,MAX(VLOOKUP(($AJ125-$AI125-$AH125-$AG125-$AF125-$AE125*(1+FB$3))/$AJ125,'Технический лист'!$A:$B,2,1),(FA125-0.05)))</f>
        <v/>
      </c>
      <c r="FC125" s="172">
        <f>MIN(1,MAX(VLOOKUP(($AJ125-$AI125-$AH125-$AG125-$AF125-$AE125*(1+FC$3))/$AJ125,'Технический лист'!$A:$B,2,1),(FB125-0.05)))</f>
        <v/>
      </c>
      <c r="FD125" s="172">
        <f>MIN(1,MAX(VLOOKUP(($AJ125-$AI125-$AH125-$AG125-$AF125-$AE125*(1+FD$3))/$AJ125,'Технический лист'!$A:$B,2,1),(FC125-0.05)))</f>
        <v/>
      </c>
      <c r="FE125" s="172">
        <f>MIN(1,MAX(VLOOKUP(($AJ125-$AI125-$AH125-$AG125-$AF125-$AE125*(1+FE$3))/$AJ125,'Технический лист'!$A:$B,2,1),(FD125-0.05)))</f>
        <v/>
      </c>
      <c r="FF125" s="172">
        <f>MIN(1,MAX(VLOOKUP(($AJ125-$AI125-$AH125-$AG125-$AF125-$AE125*(1+FF$3))/$AJ125,'Технический лист'!$A:$B,2,1),(FE125-0.05)))</f>
        <v/>
      </c>
      <c r="FG125" s="172">
        <f>MIN(1,MAX(VLOOKUP(($AJ125-$AI125-$AH125-$AG125-$AF125-$AE125*(1+FG$3))/$AJ125,'Технический лист'!$A:$B,2,1),(FF125-0.05)))</f>
        <v/>
      </c>
      <c r="FH125" s="172">
        <f>MIN(1,MAX(VLOOKUP(($AJ125-$AI125-$AH125-$AG125-$AF125-$AE125*(1+FH$3))/$AJ125,'Технический лист'!$A:$B,2,1),(FG125-0.05)))</f>
        <v/>
      </c>
      <c r="FI125" s="172">
        <f>MIN(1,MAX(VLOOKUP(($AJ125-$AI125-$AH125-$AG125-$AF125-$AE125*(1+FI$3))/$AJ125,'Технический лист'!$A:$B,2,1),(FH125-0.05)))</f>
        <v/>
      </c>
      <c r="FJ125" s="172">
        <f>MIN(1,MAX(VLOOKUP(($AJ125-$AI125-$AH125-$AG125-$AF125-$AE125*(1+FJ$3))/$AJ125,'Технический лист'!$A:$B,2,1),(FI125-0.05)))</f>
        <v/>
      </c>
      <c r="FK125" s="172">
        <f>MIN(1,MAX(VLOOKUP(($AJ125-$AI125-$AH125-$AG125-$AF125-$AE125*(1+FK$3))/$AJ125,'Технический лист'!$A:$B,2,1),(FJ125-0.05)))</f>
        <v/>
      </c>
      <c r="FL125" s="172">
        <f>MIN(1,MAX(VLOOKUP(($AJ125-$AI125-$AH125-$AG125-$AF125-$AE125*(1+FL$3))/$AJ125,'Технический лист'!$A:$B,2,1),(FK125-0.05)))</f>
        <v/>
      </c>
      <c r="FM125" s="172">
        <f>MIN(1,MAX(VLOOKUP(($AJ125-$AI125-$AH125-$AG125-$AF125-$AE125*(1+FM$3))/$AJ125,'Технический лист'!$A:$B,2,1),(FL125-0.05)))</f>
        <v/>
      </c>
      <c r="FN125" s="172">
        <f>MIN(1,MAX(VLOOKUP(($AJ125-$AI125-$AH125-$AG125-$AF125-$AE125*(1+FN$3))/$AJ125,'Технический лист'!$A:$B,2,1),(FM125-0.05)))</f>
        <v/>
      </c>
      <c r="FO125" s="172">
        <f>MIN(1,MAX(VLOOKUP(($AJ125-$AI125-$AH125-$AG125-$AF125-$AE125*(1+FO$3))/$AJ125,'Технический лист'!$A:$B,2,1),(FN125-0.05)))</f>
        <v/>
      </c>
      <c r="FP125" s="172">
        <f>MIN(1,MAX(VLOOKUP(($AJ125-$AI125-$AH125-$AG125-$AF125-$AE125*(1+FP$3))/$AJ125,'Технический лист'!$A:$B,2,1),(FO125-0.05)))</f>
        <v/>
      </c>
      <c r="FQ125" s="172">
        <f>MIN(1,MAX(VLOOKUP(($AJ125-$AI125-$AH125-$AG125-$AF125-$AE125*(1+FQ$3))/$AJ125,'Технический лист'!$A:$B,2,1),(FP125-0.05)))</f>
        <v/>
      </c>
      <c r="FR125" s="172">
        <f>MIN(1,MAX(VLOOKUP(($AJ125-$AI125-$AH125-$AG125-$AF125-$AE125*(1+FR$3))/$AJ125,'Технический лист'!$A:$B,2,1),(FQ125-0.05)))</f>
        <v/>
      </c>
      <c r="FS125" s="172">
        <f>MIN(1,MAX(VLOOKUP(($AJ125-$AI125-$AH125-$AG125-$AF125-$AE125*(1+FS$3))/$AJ125,'Технический лист'!$A:$B,2,1),(FR125-0.05)))</f>
        <v/>
      </c>
      <c r="FT125" s="172">
        <f>MIN(1,MAX(VLOOKUP(($AJ125-$AI125-$AH125-$AG125-$AF125-$AE125*(1+FT$3))/$AJ125,'Технический лист'!$A:$B,2,1),(FS125-0.05)))</f>
        <v/>
      </c>
      <c r="FU125" s="172">
        <f>MIN(1,MAX(VLOOKUP(($AJ125-$AI125-$AH125-$AG125-$AF125-$AE125*(1+FU$3))/$AJ125,'Технический лист'!$A:$B,2,1),(FT125-0.05)))</f>
        <v/>
      </c>
      <c r="FV125" s="172">
        <f>MIN(1,MAX(VLOOKUP(($AJ125-$AI125-$AH125-$AG125-$AF125-$AE125*(1+FV$3))/$AJ125,'Технический лист'!$A:$B,2,1),(FU125-0.05)))</f>
        <v/>
      </c>
      <c r="FW125" s="172">
        <f>MIN(1,MAX(VLOOKUP(($AJ125-$AI125-$AH125-$AG125-$AF125-$AE125*(1+FW$3))/$AJ125,'Технический лист'!$A:$B,2,1),(FV125-0.05)))</f>
        <v/>
      </c>
      <c r="FX125" s="172">
        <f>MIN(1,MAX(VLOOKUP(($AJ125-$AI125-$AH125-$AG125-$AF125-$AE125*(1+FX$3))/$AJ125,'Технический лист'!$A:$B,2,1),(FW125-0.05)))</f>
        <v/>
      </c>
      <c r="FY125" s="172">
        <f>MIN(1,MAX(VLOOKUP(($AJ125-$AI125-$AH125-$AG125-$AF125-$AE125*(1+FY$3))/$AJ125,'Технический лист'!$A:$B,2,1),(FX125-0.05)))</f>
        <v/>
      </c>
      <c r="FZ125" s="172">
        <f>MIN(1,MAX(VLOOKUP(($AJ125-$AI125-$AH125-$AG125-$AF125-$AE125*(1+FZ$3))/$AJ125,'Технический лист'!$A:$B,2,1),(FY125-0.05)))</f>
        <v/>
      </c>
      <c r="GA125" s="172">
        <f>MIN(1,MAX(VLOOKUP(($AJ125-$AI125-$AH125-$AG125-$AF125-$AE125*(1+GA$3))/$AJ125,'Технический лист'!$A:$B,2,1),(FZ125-0.05)))</f>
        <v/>
      </c>
      <c r="GB125" s="172">
        <f>MIN(1,MAX(VLOOKUP(($AJ125-$AI125-$AH125-$AG125-$AF125-$AE125*(1+GB$3))/$AJ125,'Технический лист'!$A:$B,2,1),(GA125-0.05)))</f>
        <v/>
      </c>
      <c r="GC125" s="172">
        <f>MIN(1,MAX(VLOOKUP(($AJ125-$AI125-$AH125-$AG125-$AF125-$AE125*(1+GC$3))/$AJ125,'Технический лист'!$A:$B,2,1),(GB125-0.05)))</f>
        <v/>
      </c>
      <c r="GD125" s="172">
        <f>MIN(1,MAX(VLOOKUP(($AJ125-$AI125-$AH125-$AG125-$AF125-$AE125*(1+GD$3))/$AJ125,'Технический лист'!$A:$B,2,1),(GC125-0.05)))</f>
        <v/>
      </c>
      <c r="GE125" s="172">
        <f>MIN(1,MAX(VLOOKUP(($AJ125-$AI125-$AH125-$AG125-$AF125-$AE125*(1+GE$3))/$AJ125,'Технический лист'!$A:$B,2,1),(GD125-0.05)))</f>
        <v/>
      </c>
      <c r="GF125" s="172">
        <f>MIN(1,MAX(VLOOKUP(($AJ125-$AI125-$AH125-$AG125-$AF125-$AE125*(1+GF$3))/$AJ125,'Технический лист'!$A:$B,2,1),(GE125-0.05)))</f>
        <v/>
      </c>
      <c r="GG125" s="172">
        <f>MIN(1,MAX(VLOOKUP(($AJ125-$AI125-$AH125-$AG125-$AF125-$AE125*(1+GG$3))/$AJ125,'Технический лист'!$A:$B,2,1),(GF125-0.05)))</f>
        <v/>
      </c>
      <c r="GH125" s="172">
        <f>MIN(1,MAX(VLOOKUP(($AJ125-$AI125-$AH125-$AG125-$AF125-$AE125*(1+GH$3))/$AJ125,'Технический лист'!$A:$B,2,1),(GG125-0.05)))</f>
        <v/>
      </c>
      <c r="GI125" s="172">
        <f>MIN(1,MAX(VLOOKUP(($AJ125-$AI125-$AH125-$AG125-$AF125-$AE125*(1+GI$3))/$AJ125,'Технический лист'!$A:$B,2,1),(GH125-0.05)))</f>
        <v/>
      </c>
      <c r="GJ125" s="172">
        <f>MIN(1,MAX(VLOOKUP(($AJ125-$AI125-$AH125-$AG125-$AF125-$AE125*(1+GJ$3))/$AJ125,'Технический лист'!$A:$B,2,1),(GI125-0.05)))</f>
        <v/>
      </c>
      <c r="GK125" s="172">
        <f>MIN(1,MAX(VLOOKUP(($AJ125-$AI125-$AH125-$AG125-$AF125-$AE125*(1+GK$3))/$AJ125,'Технический лист'!$A:$B,2,1),(GJ125-0.05)))</f>
        <v/>
      </c>
      <c r="GL125" s="172">
        <f>MIN(1,MAX(VLOOKUP(($AJ125-$AI125-$AH125-$AG125-$AF125-$AE125*(1+GL$3))/$AJ125,'Технический лист'!$A:$B,2,1),(GK125-0.05)))</f>
        <v/>
      </c>
      <c r="GM125" s="172">
        <f>MIN(1,MAX(VLOOKUP(($AJ125-$AI125-$AH125-$AG125-$AF125-$AE125*(1+GM$3))/$AJ125,'Технический лист'!$A:$B,2,1),(GL125-0.05)))</f>
        <v/>
      </c>
      <c r="GN125" s="172">
        <f>MIN(1,MAX(VLOOKUP(($AJ125-$AI125-$AH125-$AG125-$AF125-$AE125*(1+GN$3))/$AJ125,'Технический лист'!$A:$B,2,1),(GM125-0.05)))</f>
        <v/>
      </c>
      <c r="GO125" s="172">
        <f>MIN(1,MAX(VLOOKUP(($AJ125-$AI125-$AH125-$AG125-$AF125-$AE125*(1+GO$3))/$AJ125,'Технический лист'!$A:$B,2,1),(GN125-0.05)))</f>
        <v/>
      </c>
      <c r="GP125" s="172">
        <f>MIN(1,MAX(VLOOKUP(($AJ125-$AI125-$AH125-$AG125-$AF125-$AE125*(1+GP$3))/$AJ125,'Технический лист'!$A:$B,2,1),(GO125-0.05)))</f>
        <v/>
      </c>
      <c r="GQ125" s="172">
        <f>MIN(1,MAX(VLOOKUP(($AJ125-$AI125-$AH125-$AG125-$AF125-$AE125*(1+GQ$3))/$AJ125,'Технический лист'!$A:$B,2,1),(GP125-0.05)))</f>
        <v/>
      </c>
      <c r="GR125" s="172">
        <f>MIN(1,MAX(VLOOKUP(($AJ125-$AI125-$AH125-$AG125-$AF125-$AE125*(1+GR$3))/$AJ125,'Технический лист'!$A:$B,2,1),(GQ125-0.05)))</f>
        <v/>
      </c>
      <c r="GS125" s="172">
        <f>MIN(1,MAX(VLOOKUP(($AJ125-$AI125-$AH125-$AG125-$AF125-$AE125*(1+GS$3))/$AJ125,'Технический лист'!$A:$B,2,1),(GR125-0.05)))</f>
        <v/>
      </c>
      <c r="GT125" s="172">
        <f>MIN(1,MAX(VLOOKUP(($AJ125-$AI125-$AH125-$AG125-$AF125-$AE125*(1+GT$3))/$AJ125,'Технический лист'!$A:$B,2,1),(GS125-0.05)))</f>
        <v/>
      </c>
      <c r="GU125" s="172">
        <f>MIN(1,MAX(VLOOKUP(($AJ125-$AI125-$AH125-$AG125-$AF125-$AE125*(1+GU$3))/$AJ125,'Технический лист'!$A:$B,2,1),(GT125-0.05)))</f>
        <v/>
      </c>
      <c r="GV125" s="172">
        <f>MIN(1,MAX(VLOOKUP(($AJ125-$AI125-$AH125-$AG125-$AF125-$AE125*(1+GV$3))/$AJ125,'Технический лист'!$A:$B,2,1),(GU125-0.05)))</f>
        <v/>
      </c>
      <c r="GW125" s="172">
        <f>MIN(1,MAX(VLOOKUP(($AJ125-$AI125-$AH125-$AG125-$AF125-$AE125*(1+GW$3))/$AJ125,'Технический лист'!$A:$B,2,1),(GV125-0.05)))</f>
        <v/>
      </c>
      <c r="GX125" s="172">
        <f>MIN(1,MAX(VLOOKUP(($AJ125-$AI125-$AH125-$AG125-$AF125-$AE125*(1+GX$3))/$AJ125,'Технический лист'!$A:$B,2,1),(GW125-0.05)))</f>
        <v/>
      </c>
      <c r="GY125" s="172">
        <f>MIN(1,MAX(VLOOKUP(($AJ125-$AI125-$AH125-$AG125-$AF125-$AE125*(1+GY$3))/$AJ125,'Технический лист'!$A:$B,2,1),(GX125-0.05)))</f>
        <v/>
      </c>
      <c r="GZ125" s="172">
        <f>MIN(1,MAX(VLOOKUP(($AJ125-$AI125-$AH125-$AG125-$AF125-$AE125*(1+GZ$3))/$AJ125,'Технический лист'!$A:$B,2,1),(GY125-0.05)))</f>
        <v/>
      </c>
      <c r="HA125" s="172">
        <f>MIN(1,MAX(VLOOKUP(($AJ125-$AI125-$AH125-$AG125-$AF125-$AE125*(1+HA$3))/$AJ125,'Технический лист'!$A:$B,2,1),(GZ125-0.05)))</f>
        <v/>
      </c>
      <c r="HB125" s="172">
        <f>MIN(1,MAX(VLOOKUP(($AJ125-$AI125-$AH125-$AG125-$AF125-$AE125*(1+HB$3))/$AJ125,'Технический лист'!$A:$B,2,1),(HA125-0.05)))</f>
        <v/>
      </c>
      <c r="HC125" s="172">
        <f>MIN(1,MAX(VLOOKUP(($AJ125-$AI125-$AH125-$AG125-$AF125-$AE125*(1+HC$3))/$AJ125,'Технический лист'!$A:$B,2,1),(HB125-0.05)))</f>
        <v/>
      </c>
      <c r="HD125" s="172">
        <f>MIN(1,MAX(VLOOKUP(($AJ125-$AI125-$AH125-$AG125-$AF125-$AE125*(1+HD$3))/$AJ125,'Технический лист'!$A:$B,2,1),(HC125-0.05)))</f>
        <v/>
      </c>
      <c r="HE125" s="172">
        <f>MIN(1,MAX(VLOOKUP(($AJ125-$AI125-$AH125-$AG125-$AF125-$AE125*(1+HE$3))/$AJ125,'Технический лист'!$A:$B,2,1),(HD125-0.05)))</f>
        <v/>
      </c>
      <c r="HF125" s="172">
        <f>MIN(1,MAX(VLOOKUP(($AJ125-$AI125-$AH125-$AG125-$AF125-$AE125*(1+HF$3))/$AJ125,'Технический лист'!$A:$B,2,1),(HE125-0.05)))</f>
        <v/>
      </c>
      <c r="HG125" s="172">
        <f>MIN(1,MAX(VLOOKUP(($AJ125-$AI125-$AH125-$AG125-$AF125-$AE125*(1+HG$3))/$AJ125,'Технический лист'!$A:$B,2,1),(HF125-0.05)))</f>
        <v/>
      </c>
      <c r="HH125" s="172">
        <f>MIN(1,MAX(VLOOKUP(($AJ125-$AI125-$AH125-$AG125-$AF125-$AE125*(1+HH$3))/$AJ125,'Технический лист'!$A:$B,2,1),(HG125-0.05)))</f>
        <v/>
      </c>
      <c r="HI125" s="172">
        <f>MIN(1,MAX(VLOOKUP(($AJ125-$AI125-$AH125-$AG125-$AF125-$AE125*(1+HI$3))/$AJ125,'Технический лист'!$A:$B,2,1),(HH125-0.05)))</f>
        <v/>
      </c>
      <c r="HJ125" s="172">
        <f>MIN(1,MAX(VLOOKUP(($AJ125-$AI125-$AH125-$AG125-$AF125-$AE125*(1+HJ$3))/$AJ125,'Технический лист'!$A:$B,2,1),(HI125-0.05)))</f>
        <v/>
      </c>
      <c r="HK125" s="172">
        <f>MIN(1,MAX(VLOOKUP(($AJ125-$AI125-$AH125-$AG125-$AF125-$AE125*(1+HK$3))/$AJ125,'Технический лист'!$A:$B,2,1),(HJ125-0.05)))</f>
        <v/>
      </c>
      <c r="HL125" s="172">
        <f>MIN(1,MAX(VLOOKUP(($AJ125-$AI125-$AH125-$AG125-$AF125-$AE125*(1+HL$3))/$AJ125,'Технический лист'!$A:$B,2,1),(HK125-0.05)))</f>
        <v/>
      </c>
      <c r="HM125" s="172">
        <f>MIN(1,MAX(VLOOKUP(($AJ125-$AI125-$AH125-$AG125-$AF125-$AE125*(1+HM$3))/$AJ125,'Технический лист'!$A:$B,2,1),(HL125-0.05)))</f>
        <v/>
      </c>
      <c r="HN125" s="172">
        <f>MIN(1,MAX(VLOOKUP(($AJ125-$AI125-$AH125-$AG125-$AF125-$AE125*(1+HN$3))/$AJ125,'Технический лист'!$A:$B,2,1),(HM125-0.05)))</f>
        <v/>
      </c>
      <c r="HO125" s="172">
        <f>MIN(1,MAX(VLOOKUP(($AJ125-$AI125-$AH125-$AG125-$AF125-$AE125*(1+HO$3))/$AJ125,'Технический лист'!$A:$B,2,1),(HN125-0.05)))</f>
        <v/>
      </c>
      <c r="HP125" s="172">
        <f>MIN(1,MAX(VLOOKUP(($AJ125-$AI125-$AH125-$AG125-$AF125-$AE125*(1+HP$3))/$AJ125,'Технический лист'!$A:$B,2,1),(HO125-0.05)))</f>
        <v/>
      </c>
      <c r="HQ125" s="172">
        <f>MIN(1,MAX(VLOOKUP(($AJ125-$AI125-$AH125-$AG125-$AF125-$AE125*(1+HQ$3))/$AJ125,'Технический лист'!$A:$B,2,1),(HP125-0.05)))</f>
        <v/>
      </c>
      <c r="HR125" s="172">
        <f>MIN(1,MAX(VLOOKUP(($AJ125-$AI125-$AH125-$AG125-$AF125-$AE125*(1+HR$3))/$AJ125,'Технический лист'!$A:$B,2,1),(HQ125-0.05)))</f>
        <v/>
      </c>
      <c r="HS125" s="172">
        <f>MIN(1,MAX(VLOOKUP(($AJ125-$AI125-$AH125-$AG125-$AF125-$AE125*(1+HS$3))/$AJ125,'Технический лист'!$A:$B,2,1),(HR125-0.05)))</f>
        <v/>
      </c>
      <c r="HT125" s="172">
        <f>MIN(1,MAX(VLOOKUP(($AJ125-$AI125-$AH125-$AG125-$AF125-$AE125*(1+HT$3))/$AJ125,'Технический лист'!$A:$B,2,1),(HS125-0.05)))</f>
        <v/>
      </c>
      <c r="HU125" s="172">
        <f>MIN(1,MAX(VLOOKUP(($AJ125-$AI125-$AH125-$AG125-$AF125-$AE125*(1+HU$3))/$AJ125,'Технический лист'!$A:$B,2,1),(HT125-0.05)))</f>
        <v/>
      </c>
      <c r="HV125" s="172">
        <f>MIN(1,MAX(VLOOKUP(($AJ125-$AI125-$AH125-$AG125-$AF125-$AE125*(1+HV$3))/$AJ125,'Технический лист'!$A:$B,2,1),(HU125-0.05)))</f>
        <v/>
      </c>
      <c r="HW125" s="172">
        <f>MIN(1,MAX(VLOOKUP(($AJ125-$AI125-$AH125-$AG125-$AF125-$AE125*(1+HW$3))/$AJ125,'Технический лист'!$A:$B,2,1),(HV125-0.05)))</f>
        <v/>
      </c>
      <c r="HX125" s="172">
        <f>MIN(1,MAX(VLOOKUP(($AJ125-$AI125-$AH125-$AG125-$AF125-$AE125*(1+HX$3))/$AJ125,'Технический лист'!$A:$B,2,1),(HW125-0.05)))</f>
        <v/>
      </c>
      <c r="HY125" s="172">
        <f>MIN(1,MAX(VLOOKUP(($AJ125-$AI125-$AH125-$AG125-$AF125-$AE125*(1+HY$3))/$AJ125,'Технический лист'!$A:$B,2,1),(HX125-0.05)))</f>
        <v/>
      </c>
      <c r="HZ125" s="172">
        <f>MIN(1,MAX(VLOOKUP(($AJ125-$AI125-$AH125-$AG125-$AF125-$AE125*(1+HZ$3))/$AJ125,'Технический лист'!$A:$B,2,1),(HY125-0.05)))</f>
        <v/>
      </c>
      <c r="IA125" s="172">
        <f>MIN(1,MAX(VLOOKUP(($AJ125-$AI125-$AH125-$AG125-$AF125-$AE125*(1+IA$3))/$AJ125,'Технический лист'!$A:$B,2,1),(HZ125-0.05)))</f>
        <v/>
      </c>
      <c r="IB125" s="172">
        <f>MIN(1,MAX(VLOOKUP(($AJ125-$AI125-$AH125-$AG125-$AF125-$AE125*(1+IB$3))/$AJ125,'Технический лист'!$A:$B,2,1),(IA125-0.05)))</f>
        <v/>
      </c>
      <c r="IC125" s="172">
        <f>MIN(1,MAX(VLOOKUP(($AJ125-$AI125-$AH125-$AG125-$AF125-$AE125*(1+IC$3))/$AJ125,'Технический лист'!$A:$B,2,1),(IB125-0.05)))</f>
        <v/>
      </c>
      <c r="ID125" s="172">
        <f>MIN(1,MAX(VLOOKUP(($AJ125-$AI125-$AH125-$AG125-$AF125-$AE125*(1+ID$3))/$AJ125,'Технический лист'!$A:$B,2,1),(IC125-0.05)))</f>
        <v/>
      </c>
      <c r="IE125" s="172">
        <f>MIN(1,MAX(VLOOKUP(($AJ125-$AI125-$AH125-$AG125-$AF125-$AE125*(1+IE$3))/$AJ125,'Технический лист'!$A:$B,2,1),(ID125-0.05)))</f>
        <v/>
      </c>
      <c r="IF125" s="172">
        <f>MIN(1,MAX(VLOOKUP(($AJ125-$AI125-$AH125-$AG125-$AF125-$AE125*(1+IF$3))/$AJ125,'Технический лист'!$A:$B,2,1),(IE125-0.05)))</f>
        <v/>
      </c>
      <c r="IG125" s="172">
        <f>MIN(1,MAX(VLOOKUP(($AJ125-$AI125-$AH125-$AG125-$AF125-$AE125*(1+IG$3))/$AJ125,'Технический лист'!$A:$B,2,1),(IF125-0.05)))</f>
        <v/>
      </c>
      <c r="IH125" s="172">
        <f>MIN(1,MAX(VLOOKUP(($AJ125-$AI125-$AH125-$AG125-$AF125-$AE125*(1+IH$3))/$AJ125,'Технический лист'!$A:$B,2,1),(IG125-0.05)))</f>
        <v/>
      </c>
      <c r="II125" s="172">
        <f>MIN(1,MAX(VLOOKUP(($AJ125-$AI125-$AH125-$AG125-$AF125-$AE125*(1+II$3))/$AJ125,'Технический лист'!$A:$B,2,1),(IH125-0.05)))</f>
        <v/>
      </c>
      <c r="IJ125" s="172">
        <f>MIN(1,MAX(VLOOKUP(($AJ125-$AI125-$AH125-$AG125-$AF125-$AE125*(1+IJ$3))/$AJ125,'Технический лист'!$A:$B,2,1),(II125-0.05)))</f>
        <v/>
      </c>
      <c r="IK125" s="172">
        <f>MIN(1,MAX(VLOOKUP(($AJ125-$AI125-$AH125-$AG125-$AF125-$AE125*(1+IK$3))/$AJ125,'Технический лист'!$A:$B,2,1),(IJ125-0.05)))</f>
        <v/>
      </c>
      <c r="IL125" s="172">
        <f>MIN(1,MAX(VLOOKUP(($AJ125-$AI125-$AH125-$AG125-$AF125-$AE125*(1+IL$3))/$AJ125,'Технический лист'!$A:$B,2,1),(IK125-0.05)))</f>
        <v/>
      </c>
      <c r="IM125" s="172">
        <f>MIN(1,MAX(VLOOKUP(($AJ125-$AI125-$AH125-$AG125-$AF125-$AE125*(1+IM$3))/$AJ125,'Технический лист'!$A:$B,2,1),(IL125-0.05)))</f>
        <v/>
      </c>
      <c r="IN125" s="172">
        <f>MIN(1,MAX(VLOOKUP(($AJ125-$AI125-$AH125-$AG125-$AF125-$AE125*(1+IN$3))/$AJ125,'Технический лист'!$A:$B,2,1),(IM125-0.05)))</f>
        <v/>
      </c>
      <c r="IO125" s="172">
        <f>MIN(1,MAX(VLOOKUP(($AJ125-$AI125-$AH125-$AG125-$AF125-$AE125*(1+IO$3))/$AJ125,'Технический лист'!$A:$B,2,1),(IN125-0.05)))</f>
        <v/>
      </c>
      <c r="IP125" s="172">
        <f>MIN(1,MAX(VLOOKUP(($AJ125-$AI125-$AH125-$AG125-$AF125-$AE125*(1+IP$3))/$AJ125,'Технический лист'!$A:$B,2,1),(IO125-0.05)))</f>
        <v/>
      </c>
      <c r="IQ125" s="172">
        <f>MIN(1,MAX(VLOOKUP(($AJ125-$AI125-$AH125-$AG125-$AF125-$AE125*(1+IQ$3))/$AJ125,'Технический лист'!$A:$B,2,1),(IP125-0.05)))</f>
        <v/>
      </c>
      <c r="IR125" s="172">
        <f>MIN(1,MAX(VLOOKUP(($AJ125-$AI125-$AH125-$AG125-$AF125-$AE125*(1+IR$3))/$AJ125,'Технический лист'!$A:$B,2,1),(IQ125-0.05)))</f>
        <v/>
      </c>
    </row>
    <row r="126" ht="58.3" customHeight="1" s="123">
      <c r="A126" s="89" t="inlineStr">
        <is>
          <t>ЧМ (продукция)</t>
        </is>
      </c>
      <c r="B126" s="90" t="n">
        <v>5</v>
      </c>
      <c r="C126" s="5" t="inlineStr">
        <is>
          <t>Черные металлы</t>
        </is>
      </c>
      <c r="D126" s="91" t="n">
        <v>32307</v>
      </c>
      <c r="E126" s="91" t="inlineStr">
        <is>
          <t xml:space="preserve">Трубы стальные сварные большого диаметра (400 - 1420 мм) </t>
        </is>
      </c>
      <c r="F126" s="92" t="inlineStr">
        <is>
          <t>ТРУБЫ ИЗ ЧЕРНЫХ МЕТАЛЛОВ</t>
        </is>
      </c>
      <c r="G126" s="91" t="inlineStr">
        <is>
          <t>ЮУР</t>
        </is>
      </c>
      <c r="H126" s="91" t="inlineStr">
        <is>
          <t>ДВС</t>
        </is>
      </c>
      <c r="I126" s="91" t="inlineStr">
        <is>
          <t>ЧЕЛЯБИНСК-ЮЖ</t>
        </is>
      </c>
      <c r="J126" s="91" t="inlineStr">
        <is>
          <t>ОБЛУЧЬЕ</t>
        </is>
      </c>
      <c r="K126" s="91" t="n">
        <v>6293</v>
      </c>
      <c r="L126" s="91" t="inlineStr">
        <is>
          <t>Полувагоны</t>
        </is>
      </c>
      <c r="M126" s="91" t="inlineStr">
        <is>
          <t>Внутр. перевозки</t>
        </is>
      </c>
      <c r="N126" s="91" t="inlineStr">
        <is>
          <t>вагонная</t>
        </is>
      </c>
      <c r="O126" s="91" t="inlineStr">
        <is>
          <t xml:space="preserve">Восточное </t>
        </is>
      </c>
      <c r="P126" s="89" t="inlineStr">
        <is>
          <t>'000000186654</t>
        </is>
      </c>
      <c r="Q126" s="91" t="inlineStr">
        <is>
          <t>'ОАО "ЧТПЗ"</t>
        </is>
      </c>
      <c r="R126" s="91" t="inlineStr">
        <is>
          <t>ПАО "ТМК"</t>
        </is>
      </c>
      <c r="S126" s="87" t="n">
        <v>17683</v>
      </c>
      <c r="T126" s="87" t="n">
        <v>111271809</v>
      </c>
      <c r="U126" s="88" t="n">
        <v>460</v>
      </c>
      <c r="V126" s="88" t="n">
        <v>0</v>
      </c>
      <c r="W126" s="87" t="n">
        <v>224040393</v>
      </c>
      <c r="X126" s="112" t="n">
        <v>54</v>
      </c>
      <c r="Y126" s="112" t="inlineStr">
        <is>
          <t>повагонная</t>
        </is>
      </c>
      <c r="Z126" s="113" t="n">
        <v>18</v>
      </c>
      <c r="AA126" s="113" t="n">
        <v>13</v>
      </c>
      <c r="AB126" s="113" t="n">
        <v>4</v>
      </c>
      <c r="AC126" s="161" t="n">
        <v>10610.65</v>
      </c>
      <c r="AD126" s="161">
        <f>AE126-AC126</f>
        <v/>
      </c>
      <c r="AE126" s="161" t="n">
        <v>11888.39</v>
      </c>
      <c r="AF126" s="162">
        <f>(Z126+AA126+AB126)*'Ставки аренды'!$B$3/X126</f>
        <v/>
      </c>
      <c r="AG126" s="164" t="n">
        <v>0</v>
      </c>
      <c r="AH126" s="164" t="n">
        <v>0</v>
      </c>
      <c r="AI126" s="165">
        <f>314456/404359*AJ126</f>
        <v/>
      </c>
      <c r="AJ126" s="166">
        <f>Цены!D28</f>
        <v/>
      </c>
      <c r="AK126" s="164">
        <f>AJ126/Цены!$B$1</f>
        <v/>
      </c>
      <c r="AL126" s="164">
        <f>AE126+AF126+AG126</f>
        <v/>
      </c>
      <c r="AM126" s="164">
        <f>AJ126-AL126</f>
        <v/>
      </c>
      <c r="AN126" s="164">
        <f>AI126+AH126+AG126+AF126+AE126</f>
        <v/>
      </c>
      <c r="AO126" s="167">
        <f>(AJ126-AN126)/AJ126</f>
        <v/>
      </c>
      <c r="AP126" s="168">
        <f>AL126/AJ126</f>
        <v/>
      </c>
      <c r="AQ126" s="168">
        <f>AE126/AJ126</f>
        <v/>
      </c>
      <c r="AR126" s="168">
        <f>AE126/AL126</f>
        <v/>
      </c>
      <c r="AS126" s="169" t="n">
        <v>1</v>
      </c>
      <c r="AT126" s="121">
        <f>S126*AS126</f>
        <v/>
      </c>
      <c r="AU126" s="83" t="n">
        <v>0.6</v>
      </c>
      <c r="AV126" s="170">
        <f>(AJ126-(AE126*(1+$IS$2)+AF126+AG126+AH126+AI126))/AJ126</f>
        <v/>
      </c>
      <c r="AW126" s="171">
        <f>(AE126*(1+$IS$2)+AF126+AG126)/AJ126</f>
        <v/>
      </c>
      <c r="AX126" s="171">
        <f>(AE126*(1+$IS$2))/AJ126</f>
        <v/>
      </c>
      <c r="AY126" s="171">
        <f>(AE126*(1+$IS$2))/(AE126*(1+$IS$2)+AF126+AG126)</f>
        <v/>
      </c>
      <c r="AZ126" s="172">
        <f>MIN(IF($AU126=100%,1,1+VLOOKUP(($AJ126-$AI126-$AH126-$AG126-$AF126-$AE126*(1+AZ$3))/$AJ126,'Технический лист'!$I:$J,2,1)-VLOOKUP($AO126,'Технический лист'!$I:$J,2,1)),1+(1-$AU126))</f>
        <v/>
      </c>
      <c r="BA126" s="172">
        <f>MIN(IF($AU126=100%,1,1+VLOOKUP(($AJ126-$AI126-$AH126-$AG126-$AF126-$AE126*(1+BA$3))/$AJ126,'Технический лист'!$I:$J,2,1)-VLOOKUP($AO126,'Технический лист'!$I:$J,2,1)),1+(1-$AU126))</f>
        <v/>
      </c>
      <c r="BB126" s="172">
        <f>MIN(IF($AU126=100%,1,1+VLOOKUP(($AJ126-$AI126-$AH126-$AG126-$AF126-$AE126*(1+BB$3))/$AJ126,'Технический лист'!$I:$J,2,1)-VLOOKUP($AO126,'Технический лист'!$I:$J,2,1)),1+(1-$AU126))</f>
        <v/>
      </c>
      <c r="BC126" s="172">
        <f>MIN(IF($AU126=100%,1,1+VLOOKUP(($AJ126-$AI126-$AH126-$AG126-$AF126-$AE126*(1+BC$3))/$AJ126,'Технический лист'!$I:$J,2,1)-VLOOKUP($AO126,'Технический лист'!$I:$J,2,1)),1+(1-$AU126))</f>
        <v/>
      </c>
      <c r="BD126" s="172">
        <f>MIN(IF($AU126=100%,1,1+VLOOKUP(($AJ126-$AI126-$AH126-$AG126-$AF126-$AE126*(1+BD$3))/$AJ126,'Технический лист'!$I:$J,2,1)-VLOOKUP($AO126,'Технический лист'!$I:$J,2,1)),1+(1-$AU126))</f>
        <v/>
      </c>
      <c r="BE126" s="172">
        <f>MIN(IF($AU126=100%,1,1+VLOOKUP(($AJ126-$AI126-$AH126-$AG126-$AF126-$AE126*(1+BE$3))/$AJ126,'Технический лист'!$I:$J,2,1)-VLOOKUP($AO126,'Технический лист'!$I:$J,2,1)),1+(1-$AU126))</f>
        <v/>
      </c>
      <c r="BF126" s="172">
        <f>MIN(IF($AU126=100%,1,1+VLOOKUP(($AJ126-$AI126-$AH126-$AG126-$AF126-$AE126*(1+BF$3))/$AJ126,'Технический лист'!$I:$J,2,1)-VLOOKUP($AO126,'Технический лист'!$I:$J,2,1)),1+(1-$AU126))</f>
        <v/>
      </c>
      <c r="BG126" s="172">
        <f>MIN(IF($AU126=100%,1,1+VLOOKUP(($AJ126-$AI126-$AH126-$AG126-$AF126-$AE126*(1+BG$3))/$AJ126,'Технический лист'!$I:$J,2,1)-VLOOKUP($AO126,'Технический лист'!$I:$J,2,1)),1+(1-$AU126))</f>
        <v/>
      </c>
      <c r="BH126" s="172">
        <f>MIN(IF($AU126=100%,1,1+VLOOKUP(($AJ126-$AI126-$AH126-$AG126-$AF126-$AE126*(1+BH$3))/$AJ126,'Технический лист'!$I:$J,2,1)-VLOOKUP($AO126,'Технический лист'!$I:$J,2,1)),1+(1-$AU126))</f>
        <v/>
      </c>
      <c r="BI126" s="172">
        <f>MIN(IF($AU126=100%,1,1+VLOOKUP(($AJ126-$AI126-$AH126-$AG126-$AF126-$AE126*(1+BI$3))/$AJ126,'Технический лист'!$I:$J,2,1)-VLOOKUP($AO126,'Технический лист'!$I:$J,2,1)),1+(1-$AU126))</f>
        <v/>
      </c>
      <c r="BJ126" s="172">
        <f>MIN(IF($AU126=100%,1,1+VLOOKUP(($AJ126-$AI126-$AH126-$AG126-$AF126-$AE126*(1+BJ$3))/$AJ126,'Технический лист'!$I:$J,2,1)-VLOOKUP($AO126,'Технический лист'!$I:$J,2,1)),1+(1-$AU126))</f>
        <v/>
      </c>
      <c r="BK126" s="172">
        <f>MIN(IF($AU126=100%,1,1+VLOOKUP(($AJ126-$AI126-$AH126-$AG126-$AF126-$AE126*(1+BK$3))/$AJ126,'Технический лист'!$I:$J,2,1)-VLOOKUP($AO126,'Технический лист'!$I:$J,2,1)),1+(1-$AU126))</f>
        <v/>
      </c>
      <c r="BL126" s="172">
        <f>MIN(IF($AU126=100%,1,1+VLOOKUP(($AJ126-$AI126-$AH126-$AG126-$AF126-$AE126*(1+BL$3))/$AJ126,'Технический лист'!$I:$J,2,1)-VLOOKUP($AO126,'Технический лист'!$I:$J,2,1)),1+(1-$AU126))</f>
        <v/>
      </c>
      <c r="BM126" s="172">
        <f>MIN(IF($AU126=100%,1,1+VLOOKUP(($AJ126-$AI126-$AH126-$AG126-$AF126-$AE126*(1+BM$3))/$AJ126,'Технический лист'!$I:$J,2,1)-VLOOKUP($AO126,'Технический лист'!$I:$J,2,1)),1+(1-$AU126))</f>
        <v/>
      </c>
      <c r="BN126" s="172">
        <f>MIN(IF($AU126=100%,1,1+VLOOKUP(($AJ126-$AI126-$AH126-$AG126-$AF126-$AE126*(1+BN$3))/$AJ126,'Технический лист'!$I:$J,2,1)-VLOOKUP($AO126,'Технический лист'!$I:$J,2,1)),1+(1-$AU126))</f>
        <v/>
      </c>
      <c r="BO126" s="172">
        <f>MIN(IF($AU126=100%,1,1+VLOOKUP(($AJ126-$AI126-$AH126-$AG126-$AF126-$AE126*(1+BO$3))/$AJ126,'Технический лист'!$I:$J,2,1)-VLOOKUP($AO126,'Технический лист'!$I:$J,2,1)),1+(1-$AU126))</f>
        <v/>
      </c>
      <c r="BP126" s="172">
        <f>MIN(IF($AU126=100%,1,1+VLOOKUP(($AJ126-$AI126-$AH126-$AG126-$AF126-$AE126*(1+BP$3))/$AJ126,'Технический лист'!$I:$J,2,1)-VLOOKUP($AO126,'Технический лист'!$I:$J,2,1)),1+(1-$AU126))</f>
        <v/>
      </c>
      <c r="BQ126" s="172">
        <f>MIN(IF($AU126=100%,1,1+VLOOKUP(($AJ126-$AI126-$AH126-$AG126-$AF126-$AE126*(1+BQ$3))/$AJ126,'Технический лист'!$I:$J,2,1)-VLOOKUP($AO126,'Технический лист'!$I:$J,2,1)),1+(1-$AU126))</f>
        <v/>
      </c>
      <c r="BR126" s="172">
        <f>MIN(IF($AU126=100%,1,1+VLOOKUP(($AJ126-$AI126-$AH126-$AG126-$AF126-$AE126*(1+BR$3))/$AJ126,'Технический лист'!$I:$J,2,1)-VLOOKUP($AO126,'Технический лист'!$I:$J,2,1)),1+(1-$AU126))</f>
        <v/>
      </c>
      <c r="BS126" s="172">
        <f>MIN(IF($AU126=100%,1,1+VLOOKUP(($AJ126-$AI126-$AH126-$AG126-$AF126-$AE126*(1+BS$3))/$AJ126,'Технический лист'!$I:$J,2,1)-VLOOKUP($AO126,'Технический лист'!$I:$J,2,1)),1+(1-$AU126))</f>
        <v/>
      </c>
      <c r="BT126" s="172">
        <f>MIN(IF($AU126=100%,1,1+VLOOKUP(($AJ126-$AI126-$AH126-$AG126-$AF126-$AE126*(1+BT$3))/$AJ126,'Технический лист'!$I:$J,2,1)-VLOOKUP($AO126,'Технический лист'!$I:$J,2,1)),1+(1-$AU126))</f>
        <v/>
      </c>
      <c r="BU126" s="172">
        <f>MIN(IF($AU126=100%,1,1+VLOOKUP(($AJ126-$AI126-$AH126-$AG126-$AF126-$AE126*(1+BU$3))/$AJ126,'Технический лист'!$I:$J,2,1)-VLOOKUP($AO126,'Технический лист'!$I:$J,2,1)),1+(1-$AU126))</f>
        <v/>
      </c>
      <c r="BV126" s="172">
        <f>MIN(IF($AU126=100%,1,1+VLOOKUP(($AJ126-$AI126-$AH126-$AG126-$AF126-$AE126*(1+BV$3))/$AJ126,'Технический лист'!$I:$J,2,1)-VLOOKUP($AO126,'Технический лист'!$I:$J,2,1)),1+(1-$AU126))</f>
        <v/>
      </c>
      <c r="BW126" s="172">
        <f>MIN(IF($AU126=100%,1,1+VLOOKUP(($AJ126-$AI126-$AH126-$AG126-$AF126-$AE126*(1+BW$3))/$AJ126,'Технический лист'!$I:$J,2,1)-VLOOKUP($AO126,'Технический лист'!$I:$J,2,1)),1+(1-$AU126))</f>
        <v/>
      </c>
      <c r="BX126" s="172">
        <f>MIN(IF($AU126=100%,1,1+VLOOKUP(($AJ126-$AI126-$AH126-$AG126-$AF126-$AE126*(1+BX$3))/$AJ126,'Технический лист'!$I:$J,2,1)-VLOOKUP($AO126,'Технический лист'!$I:$J,2,1)),1+(1-$AU126))</f>
        <v/>
      </c>
      <c r="BY126" s="172">
        <f>MIN(IF($AU126=100%,1,1+VLOOKUP(($AJ126-$AI126-$AH126-$AG126-$AF126-$AE126*(1+BY$3))/$AJ126,'Технический лист'!$I:$J,2,1)-VLOOKUP($AO126,'Технический лист'!$I:$J,2,1)),1+(1-$AU126))</f>
        <v/>
      </c>
      <c r="BZ126" s="172">
        <f>MIN(IF($AU126=100%,1,1+VLOOKUP(($AJ126-$AI126-$AH126-$AG126-$AF126-$AE126*(1+BZ$3))/$AJ126,'Технический лист'!$I:$J,2,1)-VLOOKUP($AO126,'Технический лист'!$I:$J,2,1)),1+(1-$AU126))</f>
        <v/>
      </c>
      <c r="CA126" s="172">
        <f>MIN(IF($AU126=100%,1,1+VLOOKUP(($AJ126-$AI126-$AH126-$AG126-$AF126-$AE126*(1+CA$3))/$AJ126,'Технический лист'!$I:$J,2,1)-VLOOKUP($AO126,'Технический лист'!$I:$J,2,1)),1+(1-$AU126))</f>
        <v/>
      </c>
      <c r="CB126" s="172">
        <f>MIN(IF($AU126=100%,1,1+VLOOKUP(($AJ126-$AI126-$AH126-$AG126-$AF126-$AE126*(1+CB$3))/$AJ126,'Технический лист'!$I:$J,2,1)-VLOOKUP($AO126,'Технический лист'!$I:$J,2,1)),1+(1-$AU126))</f>
        <v/>
      </c>
      <c r="CC126" s="172">
        <f>MIN(IF($AU126=100%,1,1+VLOOKUP(($AJ126-$AI126-$AH126-$AG126-$AF126-$AE126*(1+CC$3))/$AJ126,'Технический лист'!$I:$J,2,1)-VLOOKUP($AO126,'Технический лист'!$I:$J,2,1)),1+(1-$AU126))</f>
        <v/>
      </c>
      <c r="CD126" s="172">
        <f>MIN(IF($AU126=100%,1,1+VLOOKUP(($AJ126-$AI126-$AH126-$AG126-$AF126-$AE126*(1+CD$3))/$AJ126,'Технический лист'!$I:$J,2,1)-VLOOKUP($AO126,'Технический лист'!$I:$J,2,1)),1+(1-$AU126))</f>
        <v/>
      </c>
      <c r="CE126" s="172">
        <f>MIN(IF($AU126=100%,1,1+VLOOKUP(($AJ126-$AI126-$AH126-$AG126-$AF126-$AE126*(1+CE$3))/$AJ126,'Технический лист'!$I:$J,2,1)-VLOOKUP($AO126,'Технический лист'!$I:$J,2,1)),1+(1-$AU126))</f>
        <v/>
      </c>
      <c r="CF126" s="172">
        <f>MIN(IF($AU126=100%,1,1+VLOOKUP(($AJ126-$AI126-$AH126-$AG126-$AF126-$AE126*(1+CF$3))/$AJ126,'Технический лист'!$I:$J,2,1)-VLOOKUP($AO126,'Технический лист'!$I:$J,2,1)),1+(1-$AU126))</f>
        <v/>
      </c>
      <c r="CG126" s="172">
        <f>MIN(IF($AU126=100%,1,1+VLOOKUP(($AJ126-$AI126-$AH126-$AG126-$AF126-$AE126*(1+CG$3))/$AJ126,'Технический лист'!$I:$J,2,1)-VLOOKUP($AO126,'Технический лист'!$I:$J,2,1)),1+(1-$AU126))</f>
        <v/>
      </c>
      <c r="CH126" s="172">
        <f>MIN(IF($AU126=100%,1,1+VLOOKUP(($AJ126-$AI126-$AH126-$AG126-$AF126-$AE126*(1+CH$3))/$AJ126,'Технический лист'!$I:$J,2,1)-VLOOKUP($AO126,'Технический лист'!$I:$J,2,1)),1+(1-$AU126))</f>
        <v/>
      </c>
      <c r="CI126" s="172">
        <f>MIN(IF($AU126=100%,1,1+VLOOKUP(($AJ126-$AI126-$AH126-$AG126-$AF126-$AE126*(1+CI$3))/$AJ126,'Технический лист'!$I:$J,2,1)-VLOOKUP($AO126,'Технический лист'!$I:$J,2,1)),1+(1-$AU126))</f>
        <v/>
      </c>
      <c r="CJ126" s="172">
        <f>MIN(IF($AU126=100%,1,1+VLOOKUP(($AJ126-$AI126-$AH126-$AG126-$AF126-$AE126*(1+CJ$3))/$AJ126,'Технический лист'!$I:$J,2,1)-VLOOKUP($AO126,'Технический лист'!$I:$J,2,1)),1+(1-$AU126))</f>
        <v/>
      </c>
      <c r="CK126" s="172">
        <f>MIN(IF($AU126=100%,1,1+VLOOKUP(($AJ126-$AI126-$AH126-$AG126-$AF126-$AE126*(1+CK$3))/$AJ126,'Технический лист'!$I:$J,2,1)-VLOOKUP($AO126,'Технический лист'!$I:$J,2,1)),1+(1-$AU126))</f>
        <v/>
      </c>
      <c r="CL126" s="172">
        <f>MIN(IF($AU126=100%,1,1+VLOOKUP(($AJ126-$AI126-$AH126-$AG126-$AF126-$AE126*(1+CL$3))/$AJ126,'Технический лист'!$I:$J,2,1)-VLOOKUP($AO126,'Технический лист'!$I:$J,2,1)),1+(1-$AU126))</f>
        <v/>
      </c>
      <c r="CM126" s="172">
        <f>MIN(IF($AU126=100%,1,1+VLOOKUP(($AJ126-$AI126-$AH126-$AG126-$AF126-$AE126*(1+CM$3))/$AJ126,'Технический лист'!$I:$J,2,1)-VLOOKUP($AO126,'Технический лист'!$I:$J,2,1)),1+(1-$AU126))</f>
        <v/>
      </c>
      <c r="CN126" s="172">
        <f>MIN(IF($AU126=100%,1,1+VLOOKUP(($AJ126-$AI126-$AH126-$AG126-$AF126-$AE126*(1+CN$3))/$AJ126,'Технический лист'!$I:$J,2,1)-VLOOKUP($AO126,'Технический лист'!$I:$J,2,1)),1+(1-$AU126))</f>
        <v/>
      </c>
      <c r="CO126" s="172">
        <f>MIN(IF($AU126=100%,1,1+VLOOKUP(($AJ126-$AI126-$AH126-$AG126-$AF126-$AE126*(1+CO$3))/$AJ126,'Технический лист'!$I:$J,2,1)-VLOOKUP($AO126,'Технический лист'!$I:$J,2,1)),1+(1-$AU126))</f>
        <v/>
      </c>
      <c r="CP126" s="172">
        <f>MIN(IF($AU126=100%,1,1+VLOOKUP(($AJ126-$AI126-$AH126-$AG126-$AF126-$AE126*(1+CP$3))/$AJ126,'Технический лист'!$I:$J,2,1)-VLOOKUP($AO126,'Технический лист'!$I:$J,2,1)),1+(1-$AU126))</f>
        <v/>
      </c>
      <c r="CQ126" s="172">
        <f>MIN(IF($AU126=100%,1,1+VLOOKUP(($AJ126-$AI126-$AH126-$AG126-$AF126-$AE126*(1+CQ$3))/$AJ126,'Технический лист'!$I:$J,2,1)-VLOOKUP($AO126,'Технический лист'!$I:$J,2,1)),1+(1-$AU126))</f>
        <v/>
      </c>
      <c r="CR126" s="172">
        <f>MIN(IF($AU126=100%,1,1+VLOOKUP(($AJ126-$AI126-$AH126-$AG126-$AF126-$AE126*(1+CR$3))/$AJ126,'Технический лист'!$I:$J,2,1)-VLOOKUP($AO126,'Технический лист'!$I:$J,2,1)),1+(1-$AU126))</f>
        <v/>
      </c>
      <c r="CS126" s="172">
        <f>MIN(IF($AU126=100%,1,1+VLOOKUP(($AJ126-$AI126-$AH126-$AG126-$AF126-$AE126*(1+CS$3))/$AJ126,'Технический лист'!$I:$J,2,1)-VLOOKUP($AO126,'Технический лист'!$I:$J,2,1)),1+(1-$AU126))</f>
        <v/>
      </c>
      <c r="CT126" s="172">
        <f>MIN(IF($AU126=100%,1,1+VLOOKUP(($AJ126-$AI126-$AH126-$AG126-$AF126-$AE126*(1+CT$3))/$AJ126,'Технический лист'!$I:$J,2,1)-VLOOKUP($AO126,'Технический лист'!$I:$J,2,1)),1+(1-$AU126))</f>
        <v/>
      </c>
      <c r="CU126" s="172">
        <f>MIN(IF($AU126=100%,1,1+VLOOKUP(($AJ126-$AI126-$AH126-$AG126-$AF126-$AE126*(1+CU$3))/$AJ126,'Технический лист'!$I:$J,2,1)-VLOOKUP($AO126,'Технический лист'!$I:$J,2,1)),1+(1-$AU126))</f>
        <v/>
      </c>
      <c r="CV126" s="172">
        <f>MIN(IF($AU126=100%,1,1+VLOOKUP(($AJ126-$AI126-$AH126-$AG126-$AF126-$AE126*(1+CV$3))/$AJ126,'Технический лист'!$I:$J,2,1)-VLOOKUP($AO126,'Технический лист'!$I:$J,2,1)),1+(1-$AU126))</f>
        <v/>
      </c>
      <c r="CW126" s="172">
        <f>MIN(IF($AU126=100%,1,1+VLOOKUP(($AJ126-$AI126-$AH126-$AG126-$AF126-$AE126*(1+CW$3))/$AJ126,'Технический лист'!$I:$J,2,1)-VLOOKUP($AO126,'Технический лист'!$I:$J,2,1)),1+(1-$AU126))</f>
        <v/>
      </c>
      <c r="CX126" s="172">
        <f>MIN(IF($AU126=100%,1,1+VLOOKUP(($AJ126-$AI126-$AH126-$AG126-$AF126-$AE126*(1+CX$3))/$AJ126,'Технический лист'!$I:$J,2,1)-VLOOKUP($AO126,'Технический лист'!$I:$J,2,1)),1+(1-$AU126))</f>
        <v/>
      </c>
      <c r="CY126" s="172">
        <f>MIN(IF($AU126=100%,1,1+VLOOKUP(($AJ126-$AI126-$AH126-$AG126-$AF126-$AE126*(1+CY$3))/$AJ126,'Технический лист'!$I:$J,2,1)-VLOOKUP($AO126,'Технический лист'!$I:$J,2,1)),1+(1-$AU126))</f>
        <v/>
      </c>
      <c r="CZ126" s="172">
        <f>MIN(IF($AU126=100%,1,1+VLOOKUP(($AJ126-$AI126-$AH126-$AG126-$AF126-$AE126*(1+CZ$3))/$AJ126,'Технический лист'!$I:$J,2,1)-VLOOKUP($AO126,'Технический лист'!$I:$J,2,1)),1+(1-$AU126))</f>
        <v/>
      </c>
      <c r="DA126" s="172">
        <f>MIN(IF($AU126=100%,1,1+VLOOKUP(($AJ126-$AI126-$AH126-$AG126-$AF126-$AE126*(1+DA$3))/$AJ126,'Технический лист'!$I:$J,2,1)-VLOOKUP($AO126,'Технический лист'!$I:$J,2,1)),1+(1-$AU126))</f>
        <v/>
      </c>
      <c r="DB126" s="172">
        <f>MIN(IF($AU126=100%,1,1+VLOOKUP(($AJ126-$AI126-$AH126-$AG126-$AF126-$AE126*(1+DB$3))/$AJ126,'Технический лист'!$I:$J,2,1)-VLOOKUP($AO126,'Технический лист'!$I:$J,2,1)),1+(1-$AU126))</f>
        <v/>
      </c>
      <c r="DC126" s="172">
        <f>MIN(IF($AU126=100%,1,1+VLOOKUP(($AJ126-$AI126-$AH126-$AG126-$AF126-$AE126*(1+DC$3))/$AJ126,'Технический лист'!$I:$J,2,1)-VLOOKUP($AO126,'Технический лист'!$I:$J,2,1)),1+(1-$AU126))</f>
        <v/>
      </c>
      <c r="DD126" s="172">
        <f>MIN(IF($AU126=100%,1,1+VLOOKUP(($AJ126-$AI126-$AH126-$AG126-$AF126-$AE126*(1+DD$3))/$AJ126,'Технический лист'!$I:$J,2,1)-VLOOKUP($AO126,'Технический лист'!$I:$J,2,1)),1+(1-$AU126))</f>
        <v/>
      </c>
      <c r="DE126" s="172">
        <f>MIN(IF($AU126=100%,1,1+VLOOKUP(($AJ126-$AI126-$AH126-$AG126-$AF126-$AE126*(1+DE$3))/$AJ126,'Технический лист'!$I:$J,2,1)-VLOOKUP($AO126,'Технический лист'!$I:$J,2,1)),1+(1-$AU126))</f>
        <v/>
      </c>
      <c r="DF126" s="172">
        <f>MIN(IF($AU126=100%,1,1+VLOOKUP(($AJ126-$AI126-$AH126-$AG126-$AF126-$AE126*(1+DF$3))/$AJ126,'Технический лист'!$I:$J,2,1)-VLOOKUP($AO126,'Технический лист'!$I:$J,2,1)),1+(1-$AU126))</f>
        <v/>
      </c>
      <c r="DG126" s="172">
        <f>MIN(IF($AU126=100%,1,1+VLOOKUP(($AJ126-$AI126-$AH126-$AG126-$AF126-$AE126*(1+DG$3))/$AJ126,'Технический лист'!$I:$J,2,1)-VLOOKUP($AO126,'Технический лист'!$I:$J,2,1)),1+(1-$AU126))</f>
        <v/>
      </c>
      <c r="DH126" s="172">
        <f>MIN(IF($AU126=100%,1,1+VLOOKUP(($AJ126-$AI126-$AH126-$AG126-$AF126-$AE126*(1+DH$3))/$AJ126,'Технический лист'!$I:$J,2,1)-VLOOKUP($AO126,'Технический лист'!$I:$J,2,1)),1+(1-$AU126))</f>
        <v/>
      </c>
      <c r="DI126" s="172">
        <f>MIN(IF($AU126=100%,1,1+VLOOKUP(($AJ126-$AI126-$AH126-$AG126-$AF126-$AE126*(1+DI$3))/$AJ126,'Технический лист'!$I:$J,2,1)-VLOOKUP($AO126,'Технический лист'!$I:$J,2,1)),1+(1-$AU126))</f>
        <v/>
      </c>
      <c r="DJ126" s="172">
        <f>MIN(IF($AU126=100%,1,1+VLOOKUP(($AJ126-$AI126-$AH126-$AG126-$AF126-$AE126*(1+DJ$3))/$AJ126,'Технический лист'!$I:$J,2,1)-VLOOKUP($AO126,'Технический лист'!$I:$J,2,1)),1+(1-$AU126))</f>
        <v/>
      </c>
      <c r="DK126" s="172">
        <f>MIN(IF($AU126=100%,1,1+VLOOKUP(($AJ126-$AI126-$AH126-$AG126-$AF126-$AE126*(1+DK$3))/$AJ126,'Технический лист'!$I:$J,2,1)-VLOOKUP($AO126,'Технический лист'!$I:$J,2,1)),1+(1-$AU126))</f>
        <v/>
      </c>
      <c r="DL126" s="172">
        <f>MIN(IF($AU126=100%,1,1+VLOOKUP(($AJ126-$AI126-$AH126-$AG126-$AF126-$AE126*(1+DL$3))/$AJ126,'Технический лист'!$I:$J,2,1)-VLOOKUP($AO126,'Технический лист'!$I:$J,2,1)),1+(1-$AU126))</f>
        <v/>
      </c>
      <c r="DM126" s="172">
        <f>MIN(IF($AU126=100%,1,1+VLOOKUP(($AJ126-$AI126-$AH126-$AG126-$AF126-$AE126*(1+DM$3))/$AJ126,'Технический лист'!$I:$J,2,1)-VLOOKUP($AO126,'Технический лист'!$I:$J,2,1)),1+(1-$AU126))</f>
        <v/>
      </c>
      <c r="DN126" s="172">
        <f>MIN(IF($AU126=100%,1,1+VLOOKUP(($AJ126-$AI126-$AH126-$AG126-$AF126-$AE126*(1+DN$3))/$AJ126,'Технический лист'!$I:$J,2,1)-VLOOKUP($AO126,'Технический лист'!$I:$J,2,1)),1+(1-$AU126))</f>
        <v/>
      </c>
      <c r="DO126" s="172">
        <f>MIN(IF($AU126=100%,1,1+VLOOKUP(($AJ126-$AI126-$AH126-$AG126-$AF126-$AE126*(1+DO$3))/$AJ126,'Технический лист'!$I:$J,2,1)-VLOOKUP($AO126,'Технический лист'!$I:$J,2,1)),1+(1-$AU126))</f>
        <v/>
      </c>
      <c r="DP126" s="172">
        <f>MIN(IF($AU126=100%,1,1+VLOOKUP(($AJ126-$AI126-$AH126-$AG126-$AF126-$AE126*(1+DP$3))/$AJ126,'Технический лист'!$I:$J,2,1)-VLOOKUP($AO126,'Технический лист'!$I:$J,2,1)),1+(1-$AU126))</f>
        <v/>
      </c>
      <c r="DQ126" s="172">
        <f>MIN(IF($AU126=100%,1,1+VLOOKUP(($AJ126-$AI126-$AH126-$AG126-$AF126-$AE126*(1+DQ$3))/$AJ126,'Технический лист'!$I:$J,2,1)-VLOOKUP($AO126,'Технический лист'!$I:$J,2,1)),1+(1-$AU126))</f>
        <v/>
      </c>
      <c r="DR126" s="172">
        <f>MIN(IF($AU126=100%,1,1+VLOOKUP(($AJ126-$AI126-$AH126-$AG126-$AF126-$AE126*(1+DR$3))/$AJ126,'Технический лист'!$I:$J,2,1)-VLOOKUP($AO126,'Технический лист'!$I:$J,2,1)),1+(1-$AU126))</f>
        <v/>
      </c>
      <c r="DS126" s="172">
        <f>MIN(IF($AU126=100%,1,1+VLOOKUP(($AJ126-$AI126-$AH126-$AG126-$AF126-$AE126*(1+DS$3))/$AJ126,'Технический лист'!$I:$J,2,1)-VLOOKUP($AO126,'Технический лист'!$I:$J,2,1)),1+(1-$AU126))</f>
        <v/>
      </c>
      <c r="DT126" s="172">
        <f>MIN(IF($AU126=100%,1,1+VLOOKUP(($AJ126-$AI126-$AH126-$AG126-$AF126-$AE126*(1+DT$3))/$AJ126,'Технический лист'!$I:$J,2,1)-VLOOKUP($AO126,'Технический лист'!$I:$J,2,1)),1+(1-$AU126))</f>
        <v/>
      </c>
      <c r="DU126" s="172">
        <f>MIN(IF($AU126=100%,1,1+VLOOKUP(($AJ126-$AI126-$AH126-$AG126-$AF126-$AE126*(1+DU$3))/$AJ126,'Технический лист'!$I:$J,2,1)-VLOOKUP($AO126,'Технический лист'!$I:$J,2,1)),1+(1-$AU126))</f>
        <v/>
      </c>
      <c r="DV126" s="172">
        <f>MIN(IF($AU126=100%,1,1+VLOOKUP(($AJ126-$AI126-$AH126-$AG126-$AF126-$AE126*(1+DV$3))/$AJ126,'Технический лист'!$I:$J,2,1)-VLOOKUP($AO126,'Технический лист'!$I:$J,2,1)),1+(1-$AU126))</f>
        <v/>
      </c>
      <c r="DW126" s="172">
        <f>MIN(IF($AU126=100%,1,1+VLOOKUP(($AJ126-$AI126-$AH126-$AG126-$AF126-$AE126*(1+DW$3))/$AJ126,'Технический лист'!$I:$J,2,1)-VLOOKUP($AO126,'Технический лист'!$I:$J,2,1)),1+(1-$AU126))</f>
        <v/>
      </c>
      <c r="DX126" s="172">
        <f>MIN(IF($AU126=100%,1,1+VLOOKUP(($AJ126-$AI126-$AH126-$AG126-$AF126-$AE126*(1+DX$3))/$AJ126,'Технический лист'!$I:$J,2,1)-VLOOKUP($AO126,'Технический лист'!$I:$J,2,1)),1+(1-$AU126))</f>
        <v/>
      </c>
      <c r="DY126" s="172">
        <f>MIN(IF($AU126=100%,1,1+VLOOKUP(($AJ126-$AI126-$AH126-$AG126-$AF126-$AE126*(1+DY$3))/$AJ126,'Технический лист'!$I:$J,2,1)-VLOOKUP($AO126,'Технический лист'!$I:$J,2,1)),1+(1-$AU126))</f>
        <v/>
      </c>
      <c r="DZ126" s="172">
        <f>MIN(IF($AU126=100%,1,1+VLOOKUP(($AJ126-$AI126-$AH126-$AG126-$AF126-$AE126*(1+DZ$3))/$AJ126,'Технический лист'!$I:$J,2,1)-VLOOKUP($AO126,'Технический лист'!$I:$J,2,1)),1+(1-$AU126))</f>
        <v/>
      </c>
      <c r="EA126" s="172">
        <f>MIN(IF($AU126=100%,1,1+VLOOKUP(($AJ126-$AI126-$AH126-$AG126-$AF126-$AE126*(1+EA$3))/$AJ126,'Технический лист'!$I:$J,2,1)-VLOOKUP($AO126,'Технический лист'!$I:$J,2,1)),1+(1-$AU126))</f>
        <v/>
      </c>
      <c r="EB126" s="172">
        <f>MIN(IF($AU126=100%,1,1+VLOOKUP(($AJ126-$AI126-$AH126-$AG126-$AF126-$AE126*(1+EB$3))/$AJ126,'Технический лист'!$I:$J,2,1)-VLOOKUP($AO126,'Технический лист'!$I:$J,2,1)),1+(1-$AU126))</f>
        <v/>
      </c>
      <c r="EC126" s="172">
        <f>MIN(IF($AU126=100%,1,1+VLOOKUP(($AJ126-$AI126-$AH126-$AG126-$AF126-$AE126*(1+EC$3))/$AJ126,'Технический лист'!$I:$J,2,1)-VLOOKUP($AO126,'Технический лист'!$I:$J,2,1)),1+(1-$AU126))</f>
        <v/>
      </c>
      <c r="ED126" s="172">
        <f>MIN(IF($AU126=100%,1,1+VLOOKUP(($AJ126-$AI126-$AH126-$AG126-$AF126-$AE126*(1+ED$3))/$AJ126,'Технический лист'!$I:$J,2,1)-VLOOKUP($AO126,'Технический лист'!$I:$J,2,1)),1+(1-$AU126))</f>
        <v/>
      </c>
      <c r="EE126" s="172">
        <f>MIN(IF($AU126=100%,1,1+VLOOKUP(($AJ126-$AI126-$AH126-$AG126-$AF126-$AE126*(1+EE$3))/$AJ126,'Технический лист'!$I:$J,2,1)-VLOOKUP($AO126,'Технический лист'!$I:$J,2,1)),1+(1-$AU126))</f>
        <v/>
      </c>
      <c r="EF126" s="172">
        <f>MIN(IF($AU126=100%,1,1+VLOOKUP(($AJ126-$AI126-$AH126-$AG126-$AF126-$AE126*(1+EF$3))/$AJ126,'Технический лист'!$I:$J,2,1)-VLOOKUP($AO126,'Технический лист'!$I:$J,2,1)),1+(1-$AU126))</f>
        <v/>
      </c>
      <c r="EG126" s="172">
        <f>MIN(IF($AU126=100%,1,1+VLOOKUP(($AJ126-$AI126-$AH126-$AG126-$AF126-$AE126*(1+EG$3))/$AJ126,'Технический лист'!$I:$J,2,1)-VLOOKUP($AO126,'Технический лист'!$I:$J,2,1)),1+(1-$AU126))</f>
        <v/>
      </c>
      <c r="EH126" s="172">
        <f>MIN(IF($AU126=100%,1,1+VLOOKUP(($AJ126-$AI126-$AH126-$AG126-$AF126-$AE126*(1+EH$3))/$AJ126,'Технический лист'!$I:$J,2,1)-VLOOKUP($AO126,'Технический лист'!$I:$J,2,1)),1+(1-$AU126))</f>
        <v/>
      </c>
      <c r="EI126" s="172">
        <f>MIN(IF($AU126=100%,1,1+VLOOKUP(($AJ126-$AI126-$AH126-$AG126-$AF126-$AE126*(1+EI$3))/$AJ126,'Технический лист'!$I:$J,2,1)-VLOOKUP($AO126,'Технический лист'!$I:$J,2,1)),1+(1-$AU126))</f>
        <v/>
      </c>
      <c r="EJ126" s="172">
        <f>MIN(IF($AU126=100%,1,1+VLOOKUP(($AJ126-$AI126-$AH126-$AG126-$AF126-$AE126*(1+EJ$3))/$AJ126,'Технический лист'!$I:$J,2,1)-VLOOKUP($AO126,'Технический лист'!$I:$J,2,1)),1+(1-$AU126))</f>
        <v/>
      </c>
      <c r="EK126" s="172">
        <f>MIN(IF($AU126=100%,1,1+VLOOKUP(($AJ126-$AI126-$AH126-$AG126-$AF126-$AE126*(1+EK$3))/$AJ126,'Технический лист'!$I:$J,2,1)-VLOOKUP($AO126,'Технический лист'!$I:$J,2,1)),1+(1-$AU126))</f>
        <v/>
      </c>
      <c r="EL126" s="172">
        <f>MIN(IF($AU126=100%,1,1+VLOOKUP(($AJ126-$AI126-$AH126-$AG126-$AF126-$AE126*(1+EL$3))/$AJ126,'Технический лист'!$I:$J,2,1)-VLOOKUP($AO126,'Технический лист'!$I:$J,2,1)),1+(1-$AU126))</f>
        <v/>
      </c>
      <c r="EM126" s="172">
        <f>MIN(IF($AU126=100%,1,1+VLOOKUP(($AJ126-$AI126-$AH126-$AG126-$AF126-$AE126*(1+EM$3))/$AJ126,'Технический лист'!$I:$J,2,1)-VLOOKUP($AO126,'Технический лист'!$I:$J,2,1)),1+(1-$AU126))</f>
        <v/>
      </c>
      <c r="EN126" s="172">
        <f>MIN(IF($AU126=100%,1,1+VLOOKUP(($AJ126-$AI126-$AH126-$AG126-$AF126-$AE126*(1+EN$3))/$AJ126,'Технический лист'!$I:$J,2,1)-VLOOKUP($AO126,'Технический лист'!$I:$J,2,1)),1+(1-$AU126))</f>
        <v/>
      </c>
      <c r="EO126" s="172">
        <f>MIN(IF($AU126=100%,1,1+VLOOKUP(($AJ126-$AI126-$AH126-$AG126-$AF126-$AE126*(1+EO$3))/$AJ126,'Технический лист'!$I:$J,2,1)-VLOOKUP($AO126,'Технический лист'!$I:$J,2,1)),1+(1-$AU126))</f>
        <v/>
      </c>
      <c r="EP126" s="172">
        <f>MIN(IF($AU126=100%,1,1+VLOOKUP(($AJ126-$AI126-$AH126-$AG126-$AF126-$AE126*(1+EP$3))/$AJ126,'Технический лист'!$I:$J,2,1)-VLOOKUP($AO126,'Технический лист'!$I:$J,2,1)),1+(1-$AU126))</f>
        <v/>
      </c>
      <c r="EQ126" s="172">
        <f>MIN(IF($AU126=100%,1,1+VLOOKUP(($AJ126-$AI126-$AH126-$AG126-$AF126-$AE126*(1+EQ$3))/$AJ126,'Технический лист'!$I:$J,2,1)-VLOOKUP($AO126,'Технический лист'!$I:$J,2,1)),1+(1-$AU126))</f>
        <v/>
      </c>
      <c r="ER126" s="172">
        <f>MIN(IF($AU126=100%,1,1+VLOOKUP(($AJ126-$AI126-$AH126-$AG126-$AF126-$AE126*(1+ER$3))/$AJ126,'Технический лист'!$I:$J,2,1)-VLOOKUP($AO126,'Технический лист'!$I:$J,2,1)),1+(1-$AU126))</f>
        <v/>
      </c>
      <c r="ES126" s="172">
        <f>MIN(IF($AU126=100%,1,1+VLOOKUP(($AJ126-$AI126-$AH126-$AG126-$AF126-$AE126*(1+ES$3))/$AJ126,'Технический лист'!$I:$J,2,1)-VLOOKUP($AO126,'Технический лист'!$I:$J,2,1)),1+(1-$AU126))</f>
        <v/>
      </c>
      <c r="ET126" s="172">
        <f>MIN(IF($AU126=100%,1,1+VLOOKUP(($AJ126-$AI126-$AH126-$AG126-$AF126-$AE126*(1+ET$3))/$AJ126,'Технический лист'!$I:$J,2,1)-VLOOKUP($AO126,'Технический лист'!$I:$J,2,1)),1+(1-$AU126))</f>
        <v/>
      </c>
      <c r="EU126" s="172">
        <f>MIN(IF($AU126=100%,1,1+VLOOKUP(($AJ126-$AI126-$AH126-$AG126-$AF126-$AE126*(1+EU$3))/$AJ126,'Технический лист'!$I:$J,2,1)-VLOOKUP($AO126,'Технический лист'!$I:$J,2,1)),1+(1-$AU126))</f>
        <v/>
      </c>
      <c r="EV126" s="173" t="n">
        <v>1</v>
      </c>
      <c r="EW126" s="172">
        <f>MIN(1,MAX(VLOOKUP(($AJ126-$AI126-$AH126-$AG126-$AF126-$AE126*(1+EW$3))/$AJ126,'Технический лист'!$A:$B,2,1),(EV126-0.05)))</f>
        <v/>
      </c>
      <c r="EX126" s="172">
        <f>MIN(1,MAX(VLOOKUP(($AJ126-$AI126-$AH126-$AG126-$AF126-$AE126*(1+EX$3))/$AJ126,'Технический лист'!$A:$B,2,1),(EW126-0.05)))</f>
        <v/>
      </c>
      <c r="EY126" s="172">
        <f>MIN(1,MAX(VLOOKUP(($AJ126-$AI126-$AH126-$AG126-$AF126-$AE126*(1+EY$3))/$AJ126,'Технический лист'!$A:$B,2,1),(EX126-0.05)))</f>
        <v/>
      </c>
      <c r="EZ126" s="172">
        <f>MIN(1,MAX(VLOOKUP(($AJ126-$AI126-$AH126-$AG126-$AF126-$AE126*(1+EZ$3))/$AJ126,'Технический лист'!$A:$B,2,1),(EY126-0.05)))</f>
        <v/>
      </c>
      <c r="FA126" s="172">
        <f>MIN(1,MAX(VLOOKUP(($AJ126-$AI126-$AH126-$AG126-$AF126-$AE126*(1+FA$3))/$AJ126,'Технический лист'!$A:$B,2,1),(EZ126-0.05)))</f>
        <v/>
      </c>
      <c r="FB126" s="172">
        <f>MIN(1,MAX(VLOOKUP(($AJ126-$AI126-$AH126-$AG126-$AF126-$AE126*(1+FB$3))/$AJ126,'Технический лист'!$A:$B,2,1),(FA126-0.05)))</f>
        <v/>
      </c>
      <c r="FC126" s="172">
        <f>MIN(1,MAX(VLOOKUP(($AJ126-$AI126-$AH126-$AG126-$AF126-$AE126*(1+FC$3))/$AJ126,'Технический лист'!$A:$B,2,1),(FB126-0.05)))</f>
        <v/>
      </c>
      <c r="FD126" s="172">
        <f>MIN(1,MAX(VLOOKUP(($AJ126-$AI126-$AH126-$AG126-$AF126-$AE126*(1+FD$3))/$AJ126,'Технический лист'!$A:$B,2,1),(FC126-0.05)))</f>
        <v/>
      </c>
      <c r="FE126" s="172">
        <f>MIN(1,MAX(VLOOKUP(($AJ126-$AI126-$AH126-$AG126-$AF126-$AE126*(1+FE$3))/$AJ126,'Технический лист'!$A:$B,2,1),(FD126-0.05)))</f>
        <v/>
      </c>
      <c r="FF126" s="172">
        <f>MIN(1,MAX(VLOOKUP(($AJ126-$AI126-$AH126-$AG126-$AF126-$AE126*(1+FF$3))/$AJ126,'Технический лист'!$A:$B,2,1),(FE126-0.05)))</f>
        <v/>
      </c>
      <c r="FG126" s="172">
        <f>MIN(1,MAX(VLOOKUP(($AJ126-$AI126-$AH126-$AG126-$AF126-$AE126*(1+FG$3))/$AJ126,'Технический лист'!$A:$B,2,1),(FF126-0.05)))</f>
        <v/>
      </c>
      <c r="FH126" s="172">
        <f>MIN(1,MAX(VLOOKUP(($AJ126-$AI126-$AH126-$AG126-$AF126-$AE126*(1+FH$3))/$AJ126,'Технический лист'!$A:$B,2,1),(FG126-0.05)))</f>
        <v/>
      </c>
      <c r="FI126" s="172">
        <f>MIN(1,MAX(VLOOKUP(($AJ126-$AI126-$AH126-$AG126-$AF126-$AE126*(1+FI$3))/$AJ126,'Технический лист'!$A:$B,2,1),(FH126-0.05)))</f>
        <v/>
      </c>
      <c r="FJ126" s="172">
        <f>MIN(1,MAX(VLOOKUP(($AJ126-$AI126-$AH126-$AG126-$AF126-$AE126*(1+FJ$3))/$AJ126,'Технический лист'!$A:$B,2,1),(FI126-0.05)))</f>
        <v/>
      </c>
      <c r="FK126" s="172">
        <f>MIN(1,MAX(VLOOKUP(($AJ126-$AI126-$AH126-$AG126-$AF126-$AE126*(1+FK$3))/$AJ126,'Технический лист'!$A:$B,2,1),(FJ126-0.05)))</f>
        <v/>
      </c>
      <c r="FL126" s="172">
        <f>MIN(1,MAX(VLOOKUP(($AJ126-$AI126-$AH126-$AG126-$AF126-$AE126*(1+FL$3))/$AJ126,'Технический лист'!$A:$B,2,1),(FK126-0.05)))</f>
        <v/>
      </c>
      <c r="FM126" s="172">
        <f>MIN(1,MAX(VLOOKUP(($AJ126-$AI126-$AH126-$AG126-$AF126-$AE126*(1+FM$3))/$AJ126,'Технический лист'!$A:$B,2,1),(FL126-0.05)))</f>
        <v/>
      </c>
      <c r="FN126" s="172">
        <f>MIN(1,MAX(VLOOKUP(($AJ126-$AI126-$AH126-$AG126-$AF126-$AE126*(1+FN$3))/$AJ126,'Технический лист'!$A:$B,2,1),(FM126-0.05)))</f>
        <v/>
      </c>
      <c r="FO126" s="172">
        <f>MIN(1,MAX(VLOOKUP(($AJ126-$AI126-$AH126-$AG126-$AF126-$AE126*(1+FO$3))/$AJ126,'Технический лист'!$A:$B,2,1),(FN126-0.05)))</f>
        <v/>
      </c>
      <c r="FP126" s="172">
        <f>MIN(1,MAX(VLOOKUP(($AJ126-$AI126-$AH126-$AG126-$AF126-$AE126*(1+FP$3))/$AJ126,'Технический лист'!$A:$B,2,1),(FO126-0.05)))</f>
        <v/>
      </c>
      <c r="FQ126" s="172">
        <f>MIN(1,MAX(VLOOKUP(($AJ126-$AI126-$AH126-$AG126-$AF126-$AE126*(1+FQ$3))/$AJ126,'Технический лист'!$A:$B,2,1),(FP126-0.05)))</f>
        <v/>
      </c>
      <c r="FR126" s="172">
        <f>MIN(1,MAX(VLOOKUP(($AJ126-$AI126-$AH126-$AG126-$AF126-$AE126*(1+FR$3))/$AJ126,'Технический лист'!$A:$B,2,1),(FQ126-0.05)))</f>
        <v/>
      </c>
      <c r="FS126" s="172">
        <f>MIN(1,MAX(VLOOKUP(($AJ126-$AI126-$AH126-$AG126-$AF126-$AE126*(1+FS$3))/$AJ126,'Технический лист'!$A:$B,2,1),(FR126-0.05)))</f>
        <v/>
      </c>
      <c r="FT126" s="172">
        <f>MIN(1,MAX(VLOOKUP(($AJ126-$AI126-$AH126-$AG126-$AF126-$AE126*(1+FT$3))/$AJ126,'Технический лист'!$A:$B,2,1),(FS126-0.05)))</f>
        <v/>
      </c>
      <c r="FU126" s="172">
        <f>MIN(1,MAX(VLOOKUP(($AJ126-$AI126-$AH126-$AG126-$AF126-$AE126*(1+FU$3))/$AJ126,'Технический лист'!$A:$B,2,1),(FT126-0.05)))</f>
        <v/>
      </c>
      <c r="FV126" s="172">
        <f>MIN(1,MAX(VLOOKUP(($AJ126-$AI126-$AH126-$AG126-$AF126-$AE126*(1+FV$3))/$AJ126,'Технический лист'!$A:$B,2,1),(FU126-0.05)))</f>
        <v/>
      </c>
      <c r="FW126" s="172">
        <f>MIN(1,MAX(VLOOKUP(($AJ126-$AI126-$AH126-$AG126-$AF126-$AE126*(1+FW$3))/$AJ126,'Технический лист'!$A:$B,2,1),(FV126-0.05)))</f>
        <v/>
      </c>
      <c r="FX126" s="172">
        <f>MIN(1,MAX(VLOOKUP(($AJ126-$AI126-$AH126-$AG126-$AF126-$AE126*(1+FX$3))/$AJ126,'Технический лист'!$A:$B,2,1),(FW126-0.05)))</f>
        <v/>
      </c>
      <c r="FY126" s="172">
        <f>MIN(1,MAX(VLOOKUP(($AJ126-$AI126-$AH126-$AG126-$AF126-$AE126*(1+FY$3))/$AJ126,'Технический лист'!$A:$B,2,1),(FX126-0.05)))</f>
        <v/>
      </c>
      <c r="FZ126" s="172">
        <f>MIN(1,MAX(VLOOKUP(($AJ126-$AI126-$AH126-$AG126-$AF126-$AE126*(1+FZ$3))/$AJ126,'Технический лист'!$A:$B,2,1),(FY126-0.05)))</f>
        <v/>
      </c>
      <c r="GA126" s="172">
        <f>MIN(1,MAX(VLOOKUP(($AJ126-$AI126-$AH126-$AG126-$AF126-$AE126*(1+GA$3))/$AJ126,'Технический лист'!$A:$B,2,1),(FZ126-0.05)))</f>
        <v/>
      </c>
      <c r="GB126" s="172">
        <f>MIN(1,MAX(VLOOKUP(($AJ126-$AI126-$AH126-$AG126-$AF126-$AE126*(1+GB$3))/$AJ126,'Технический лист'!$A:$B,2,1),(GA126-0.05)))</f>
        <v/>
      </c>
      <c r="GC126" s="172">
        <f>MIN(1,MAX(VLOOKUP(($AJ126-$AI126-$AH126-$AG126-$AF126-$AE126*(1+GC$3))/$AJ126,'Технический лист'!$A:$B,2,1),(GB126-0.05)))</f>
        <v/>
      </c>
      <c r="GD126" s="172">
        <f>MIN(1,MAX(VLOOKUP(($AJ126-$AI126-$AH126-$AG126-$AF126-$AE126*(1+GD$3))/$AJ126,'Технический лист'!$A:$B,2,1),(GC126-0.05)))</f>
        <v/>
      </c>
      <c r="GE126" s="172">
        <f>MIN(1,MAX(VLOOKUP(($AJ126-$AI126-$AH126-$AG126-$AF126-$AE126*(1+GE$3))/$AJ126,'Технический лист'!$A:$B,2,1),(GD126-0.05)))</f>
        <v/>
      </c>
      <c r="GF126" s="172">
        <f>MIN(1,MAX(VLOOKUP(($AJ126-$AI126-$AH126-$AG126-$AF126-$AE126*(1+GF$3))/$AJ126,'Технический лист'!$A:$B,2,1),(GE126-0.05)))</f>
        <v/>
      </c>
      <c r="GG126" s="172">
        <f>MIN(1,MAX(VLOOKUP(($AJ126-$AI126-$AH126-$AG126-$AF126-$AE126*(1+GG$3))/$AJ126,'Технический лист'!$A:$B,2,1),(GF126-0.05)))</f>
        <v/>
      </c>
      <c r="GH126" s="172">
        <f>MIN(1,MAX(VLOOKUP(($AJ126-$AI126-$AH126-$AG126-$AF126-$AE126*(1+GH$3))/$AJ126,'Технический лист'!$A:$B,2,1),(GG126-0.05)))</f>
        <v/>
      </c>
      <c r="GI126" s="172">
        <f>MIN(1,MAX(VLOOKUP(($AJ126-$AI126-$AH126-$AG126-$AF126-$AE126*(1+GI$3))/$AJ126,'Технический лист'!$A:$B,2,1),(GH126-0.05)))</f>
        <v/>
      </c>
      <c r="GJ126" s="172">
        <f>MIN(1,MAX(VLOOKUP(($AJ126-$AI126-$AH126-$AG126-$AF126-$AE126*(1+GJ$3))/$AJ126,'Технический лист'!$A:$B,2,1),(GI126-0.05)))</f>
        <v/>
      </c>
      <c r="GK126" s="172">
        <f>MIN(1,MAX(VLOOKUP(($AJ126-$AI126-$AH126-$AG126-$AF126-$AE126*(1+GK$3))/$AJ126,'Технический лист'!$A:$B,2,1),(GJ126-0.05)))</f>
        <v/>
      </c>
      <c r="GL126" s="172">
        <f>MIN(1,MAX(VLOOKUP(($AJ126-$AI126-$AH126-$AG126-$AF126-$AE126*(1+GL$3))/$AJ126,'Технический лист'!$A:$B,2,1),(GK126-0.05)))</f>
        <v/>
      </c>
      <c r="GM126" s="172">
        <f>MIN(1,MAX(VLOOKUP(($AJ126-$AI126-$AH126-$AG126-$AF126-$AE126*(1+GM$3))/$AJ126,'Технический лист'!$A:$B,2,1),(GL126-0.05)))</f>
        <v/>
      </c>
      <c r="GN126" s="172">
        <f>MIN(1,MAX(VLOOKUP(($AJ126-$AI126-$AH126-$AG126-$AF126-$AE126*(1+GN$3))/$AJ126,'Технический лист'!$A:$B,2,1),(GM126-0.05)))</f>
        <v/>
      </c>
      <c r="GO126" s="172">
        <f>MIN(1,MAX(VLOOKUP(($AJ126-$AI126-$AH126-$AG126-$AF126-$AE126*(1+GO$3))/$AJ126,'Технический лист'!$A:$B,2,1),(GN126-0.05)))</f>
        <v/>
      </c>
      <c r="GP126" s="172">
        <f>MIN(1,MAX(VLOOKUP(($AJ126-$AI126-$AH126-$AG126-$AF126-$AE126*(1+GP$3))/$AJ126,'Технический лист'!$A:$B,2,1),(GO126-0.05)))</f>
        <v/>
      </c>
      <c r="GQ126" s="172">
        <f>MIN(1,MAX(VLOOKUP(($AJ126-$AI126-$AH126-$AG126-$AF126-$AE126*(1+GQ$3))/$AJ126,'Технический лист'!$A:$B,2,1),(GP126-0.05)))</f>
        <v/>
      </c>
      <c r="GR126" s="172">
        <f>MIN(1,MAX(VLOOKUP(($AJ126-$AI126-$AH126-$AG126-$AF126-$AE126*(1+GR$3))/$AJ126,'Технический лист'!$A:$B,2,1),(GQ126-0.05)))</f>
        <v/>
      </c>
      <c r="GS126" s="172">
        <f>MIN(1,MAX(VLOOKUP(($AJ126-$AI126-$AH126-$AG126-$AF126-$AE126*(1+GS$3))/$AJ126,'Технический лист'!$A:$B,2,1),(GR126-0.05)))</f>
        <v/>
      </c>
      <c r="GT126" s="172">
        <f>MIN(1,MAX(VLOOKUP(($AJ126-$AI126-$AH126-$AG126-$AF126-$AE126*(1+GT$3))/$AJ126,'Технический лист'!$A:$B,2,1),(GS126-0.05)))</f>
        <v/>
      </c>
      <c r="GU126" s="172">
        <f>MIN(1,MAX(VLOOKUP(($AJ126-$AI126-$AH126-$AG126-$AF126-$AE126*(1+GU$3))/$AJ126,'Технический лист'!$A:$B,2,1),(GT126-0.05)))</f>
        <v/>
      </c>
      <c r="GV126" s="172">
        <f>MIN(1,MAX(VLOOKUP(($AJ126-$AI126-$AH126-$AG126-$AF126-$AE126*(1+GV$3))/$AJ126,'Технический лист'!$A:$B,2,1),(GU126-0.05)))</f>
        <v/>
      </c>
      <c r="GW126" s="172">
        <f>MIN(1,MAX(VLOOKUP(($AJ126-$AI126-$AH126-$AG126-$AF126-$AE126*(1+GW$3))/$AJ126,'Технический лист'!$A:$B,2,1),(GV126-0.05)))</f>
        <v/>
      </c>
      <c r="GX126" s="172">
        <f>MIN(1,MAX(VLOOKUP(($AJ126-$AI126-$AH126-$AG126-$AF126-$AE126*(1+GX$3))/$AJ126,'Технический лист'!$A:$B,2,1),(GW126-0.05)))</f>
        <v/>
      </c>
      <c r="GY126" s="172">
        <f>MIN(1,MAX(VLOOKUP(($AJ126-$AI126-$AH126-$AG126-$AF126-$AE126*(1+GY$3))/$AJ126,'Технический лист'!$A:$B,2,1),(GX126-0.05)))</f>
        <v/>
      </c>
      <c r="GZ126" s="172">
        <f>MIN(1,MAX(VLOOKUP(($AJ126-$AI126-$AH126-$AG126-$AF126-$AE126*(1+GZ$3))/$AJ126,'Технический лист'!$A:$B,2,1),(GY126-0.05)))</f>
        <v/>
      </c>
      <c r="HA126" s="172">
        <f>MIN(1,MAX(VLOOKUP(($AJ126-$AI126-$AH126-$AG126-$AF126-$AE126*(1+HA$3))/$AJ126,'Технический лист'!$A:$B,2,1),(GZ126-0.05)))</f>
        <v/>
      </c>
      <c r="HB126" s="172">
        <f>MIN(1,MAX(VLOOKUP(($AJ126-$AI126-$AH126-$AG126-$AF126-$AE126*(1+HB$3))/$AJ126,'Технический лист'!$A:$B,2,1),(HA126-0.05)))</f>
        <v/>
      </c>
      <c r="HC126" s="172">
        <f>MIN(1,MAX(VLOOKUP(($AJ126-$AI126-$AH126-$AG126-$AF126-$AE126*(1+HC$3))/$AJ126,'Технический лист'!$A:$B,2,1),(HB126-0.05)))</f>
        <v/>
      </c>
      <c r="HD126" s="172">
        <f>MIN(1,MAX(VLOOKUP(($AJ126-$AI126-$AH126-$AG126-$AF126-$AE126*(1+HD$3))/$AJ126,'Технический лист'!$A:$B,2,1),(HC126-0.05)))</f>
        <v/>
      </c>
      <c r="HE126" s="172">
        <f>MIN(1,MAX(VLOOKUP(($AJ126-$AI126-$AH126-$AG126-$AF126-$AE126*(1+HE$3))/$AJ126,'Технический лист'!$A:$B,2,1),(HD126-0.05)))</f>
        <v/>
      </c>
      <c r="HF126" s="172">
        <f>MIN(1,MAX(VLOOKUP(($AJ126-$AI126-$AH126-$AG126-$AF126-$AE126*(1+HF$3))/$AJ126,'Технический лист'!$A:$B,2,1),(HE126-0.05)))</f>
        <v/>
      </c>
      <c r="HG126" s="172">
        <f>MIN(1,MAX(VLOOKUP(($AJ126-$AI126-$AH126-$AG126-$AF126-$AE126*(1+HG$3))/$AJ126,'Технический лист'!$A:$B,2,1),(HF126-0.05)))</f>
        <v/>
      </c>
      <c r="HH126" s="172">
        <f>MIN(1,MAX(VLOOKUP(($AJ126-$AI126-$AH126-$AG126-$AF126-$AE126*(1+HH$3))/$AJ126,'Технический лист'!$A:$B,2,1),(HG126-0.05)))</f>
        <v/>
      </c>
      <c r="HI126" s="172">
        <f>MIN(1,MAX(VLOOKUP(($AJ126-$AI126-$AH126-$AG126-$AF126-$AE126*(1+HI$3))/$AJ126,'Технический лист'!$A:$B,2,1),(HH126-0.05)))</f>
        <v/>
      </c>
      <c r="HJ126" s="172">
        <f>MIN(1,MAX(VLOOKUP(($AJ126-$AI126-$AH126-$AG126-$AF126-$AE126*(1+HJ$3))/$AJ126,'Технический лист'!$A:$B,2,1),(HI126-0.05)))</f>
        <v/>
      </c>
      <c r="HK126" s="172">
        <f>MIN(1,MAX(VLOOKUP(($AJ126-$AI126-$AH126-$AG126-$AF126-$AE126*(1+HK$3))/$AJ126,'Технический лист'!$A:$B,2,1),(HJ126-0.05)))</f>
        <v/>
      </c>
      <c r="HL126" s="172">
        <f>MIN(1,MAX(VLOOKUP(($AJ126-$AI126-$AH126-$AG126-$AF126-$AE126*(1+HL$3))/$AJ126,'Технический лист'!$A:$B,2,1),(HK126-0.05)))</f>
        <v/>
      </c>
      <c r="HM126" s="172">
        <f>MIN(1,MAX(VLOOKUP(($AJ126-$AI126-$AH126-$AG126-$AF126-$AE126*(1+HM$3))/$AJ126,'Технический лист'!$A:$B,2,1),(HL126-0.05)))</f>
        <v/>
      </c>
      <c r="HN126" s="172">
        <f>MIN(1,MAX(VLOOKUP(($AJ126-$AI126-$AH126-$AG126-$AF126-$AE126*(1+HN$3))/$AJ126,'Технический лист'!$A:$B,2,1),(HM126-0.05)))</f>
        <v/>
      </c>
      <c r="HO126" s="172">
        <f>MIN(1,MAX(VLOOKUP(($AJ126-$AI126-$AH126-$AG126-$AF126-$AE126*(1+HO$3))/$AJ126,'Технический лист'!$A:$B,2,1),(HN126-0.05)))</f>
        <v/>
      </c>
      <c r="HP126" s="172">
        <f>MIN(1,MAX(VLOOKUP(($AJ126-$AI126-$AH126-$AG126-$AF126-$AE126*(1+HP$3))/$AJ126,'Технический лист'!$A:$B,2,1),(HO126-0.05)))</f>
        <v/>
      </c>
      <c r="HQ126" s="172">
        <f>MIN(1,MAX(VLOOKUP(($AJ126-$AI126-$AH126-$AG126-$AF126-$AE126*(1+HQ$3))/$AJ126,'Технический лист'!$A:$B,2,1),(HP126-0.05)))</f>
        <v/>
      </c>
      <c r="HR126" s="172">
        <f>MIN(1,MAX(VLOOKUP(($AJ126-$AI126-$AH126-$AG126-$AF126-$AE126*(1+HR$3))/$AJ126,'Технический лист'!$A:$B,2,1),(HQ126-0.05)))</f>
        <v/>
      </c>
      <c r="HS126" s="172">
        <f>MIN(1,MAX(VLOOKUP(($AJ126-$AI126-$AH126-$AG126-$AF126-$AE126*(1+HS$3))/$AJ126,'Технический лист'!$A:$B,2,1),(HR126-0.05)))</f>
        <v/>
      </c>
      <c r="HT126" s="172">
        <f>MIN(1,MAX(VLOOKUP(($AJ126-$AI126-$AH126-$AG126-$AF126-$AE126*(1+HT$3))/$AJ126,'Технический лист'!$A:$B,2,1),(HS126-0.05)))</f>
        <v/>
      </c>
      <c r="HU126" s="172">
        <f>MIN(1,MAX(VLOOKUP(($AJ126-$AI126-$AH126-$AG126-$AF126-$AE126*(1+HU$3))/$AJ126,'Технический лист'!$A:$B,2,1),(HT126-0.05)))</f>
        <v/>
      </c>
      <c r="HV126" s="172">
        <f>MIN(1,MAX(VLOOKUP(($AJ126-$AI126-$AH126-$AG126-$AF126-$AE126*(1+HV$3))/$AJ126,'Технический лист'!$A:$B,2,1),(HU126-0.05)))</f>
        <v/>
      </c>
      <c r="HW126" s="172">
        <f>MIN(1,MAX(VLOOKUP(($AJ126-$AI126-$AH126-$AG126-$AF126-$AE126*(1+HW$3))/$AJ126,'Технический лист'!$A:$B,2,1),(HV126-0.05)))</f>
        <v/>
      </c>
      <c r="HX126" s="172">
        <f>MIN(1,MAX(VLOOKUP(($AJ126-$AI126-$AH126-$AG126-$AF126-$AE126*(1+HX$3))/$AJ126,'Технический лист'!$A:$B,2,1),(HW126-0.05)))</f>
        <v/>
      </c>
      <c r="HY126" s="172">
        <f>MIN(1,MAX(VLOOKUP(($AJ126-$AI126-$AH126-$AG126-$AF126-$AE126*(1+HY$3))/$AJ126,'Технический лист'!$A:$B,2,1),(HX126-0.05)))</f>
        <v/>
      </c>
      <c r="HZ126" s="172">
        <f>MIN(1,MAX(VLOOKUP(($AJ126-$AI126-$AH126-$AG126-$AF126-$AE126*(1+HZ$3))/$AJ126,'Технический лист'!$A:$B,2,1),(HY126-0.05)))</f>
        <v/>
      </c>
      <c r="IA126" s="172">
        <f>MIN(1,MAX(VLOOKUP(($AJ126-$AI126-$AH126-$AG126-$AF126-$AE126*(1+IA$3))/$AJ126,'Технический лист'!$A:$B,2,1),(HZ126-0.05)))</f>
        <v/>
      </c>
      <c r="IB126" s="172">
        <f>MIN(1,MAX(VLOOKUP(($AJ126-$AI126-$AH126-$AG126-$AF126-$AE126*(1+IB$3))/$AJ126,'Технический лист'!$A:$B,2,1),(IA126-0.05)))</f>
        <v/>
      </c>
      <c r="IC126" s="172">
        <f>MIN(1,MAX(VLOOKUP(($AJ126-$AI126-$AH126-$AG126-$AF126-$AE126*(1+IC$3))/$AJ126,'Технический лист'!$A:$B,2,1),(IB126-0.05)))</f>
        <v/>
      </c>
      <c r="ID126" s="172">
        <f>MIN(1,MAX(VLOOKUP(($AJ126-$AI126-$AH126-$AG126-$AF126-$AE126*(1+ID$3))/$AJ126,'Технический лист'!$A:$B,2,1),(IC126-0.05)))</f>
        <v/>
      </c>
      <c r="IE126" s="172">
        <f>MIN(1,MAX(VLOOKUP(($AJ126-$AI126-$AH126-$AG126-$AF126-$AE126*(1+IE$3))/$AJ126,'Технический лист'!$A:$B,2,1),(ID126-0.05)))</f>
        <v/>
      </c>
      <c r="IF126" s="172">
        <f>MIN(1,MAX(VLOOKUP(($AJ126-$AI126-$AH126-$AG126-$AF126-$AE126*(1+IF$3))/$AJ126,'Технический лист'!$A:$B,2,1),(IE126-0.05)))</f>
        <v/>
      </c>
      <c r="IG126" s="172">
        <f>MIN(1,MAX(VLOOKUP(($AJ126-$AI126-$AH126-$AG126-$AF126-$AE126*(1+IG$3))/$AJ126,'Технический лист'!$A:$B,2,1),(IF126-0.05)))</f>
        <v/>
      </c>
      <c r="IH126" s="172">
        <f>MIN(1,MAX(VLOOKUP(($AJ126-$AI126-$AH126-$AG126-$AF126-$AE126*(1+IH$3))/$AJ126,'Технический лист'!$A:$B,2,1),(IG126-0.05)))</f>
        <v/>
      </c>
      <c r="II126" s="172">
        <f>MIN(1,MAX(VLOOKUP(($AJ126-$AI126-$AH126-$AG126-$AF126-$AE126*(1+II$3))/$AJ126,'Технический лист'!$A:$B,2,1),(IH126-0.05)))</f>
        <v/>
      </c>
      <c r="IJ126" s="172">
        <f>MIN(1,MAX(VLOOKUP(($AJ126-$AI126-$AH126-$AG126-$AF126-$AE126*(1+IJ$3))/$AJ126,'Технический лист'!$A:$B,2,1),(II126-0.05)))</f>
        <v/>
      </c>
      <c r="IK126" s="172">
        <f>MIN(1,MAX(VLOOKUP(($AJ126-$AI126-$AH126-$AG126-$AF126-$AE126*(1+IK$3))/$AJ126,'Технический лист'!$A:$B,2,1),(IJ126-0.05)))</f>
        <v/>
      </c>
      <c r="IL126" s="172">
        <f>MIN(1,MAX(VLOOKUP(($AJ126-$AI126-$AH126-$AG126-$AF126-$AE126*(1+IL$3))/$AJ126,'Технический лист'!$A:$B,2,1),(IK126-0.05)))</f>
        <v/>
      </c>
      <c r="IM126" s="172">
        <f>MIN(1,MAX(VLOOKUP(($AJ126-$AI126-$AH126-$AG126-$AF126-$AE126*(1+IM$3))/$AJ126,'Технический лист'!$A:$B,2,1),(IL126-0.05)))</f>
        <v/>
      </c>
      <c r="IN126" s="172">
        <f>MIN(1,MAX(VLOOKUP(($AJ126-$AI126-$AH126-$AG126-$AF126-$AE126*(1+IN$3))/$AJ126,'Технический лист'!$A:$B,2,1),(IM126-0.05)))</f>
        <v/>
      </c>
      <c r="IO126" s="172">
        <f>MIN(1,MAX(VLOOKUP(($AJ126-$AI126-$AH126-$AG126-$AF126-$AE126*(1+IO$3))/$AJ126,'Технический лист'!$A:$B,2,1),(IN126-0.05)))</f>
        <v/>
      </c>
      <c r="IP126" s="172">
        <f>MIN(1,MAX(VLOOKUP(($AJ126-$AI126-$AH126-$AG126-$AF126-$AE126*(1+IP$3))/$AJ126,'Технический лист'!$A:$B,2,1),(IO126-0.05)))</f>
        <v/>
      </c>
      <c r="IQ126" s="172">
        <f>MIN(1,MAX(VLOOKUP(($AJ126-$AI126-$AH126-$AG126-$AF126-$AE126*(1+IQ$3))/$AJ126,'Технический лист'!$A:$B,2,1),(IP126-0.05)))</f>
        <v/>
      </c>
      <c r="IR126" s="172">
        <f>MIN(1,MAX(VLOOKUP(($AJ126-$AI126-$AH126-$AG126-$AF126-$AE126*(1+IR$3))/$AJ126,'Технический лист'!$A:$B,2,1),(IQ126-0.05)))</f>
        <v/>
      </c>
    </row>
    <row r="127" ht="58.3" customHeight="1" s="123">
      <c r="A127" s="89" t="inlineStr">
        <is>
          <t>ЧМ (продукция)</t>
        </is>
      </c>
      <c r="B127" s="90" t="n">
        <v>5</v>
      </c>
      <c r="C127" s="5" t="inlineStr">
        <is>
          <t>Черные металлы</t>
        </is>
      </c>
      <c r="D127" s="91" t="n">
        <v>32307</v>
      </c>
      <c r="E127" s="91" t="inlineStr">
        <is>
          <t xml:space="preserve">Трубы стальные сварные большого диаметра (400 - 1420 мм) </t>
        </is>
      </c>
      <c r="F127" s="92" t="inlineStr">
        <is>
          <t>ТРУБЫ ИЗ ЧЕРНЫХ МЕТАЛЛОВ</t>
        </is>
      </c>
      <c r="G127" s="91" t="inlineStr">
        <is>
          <t>ЮУР</t>
        </is>
      </c>
      <c r="H127" s="91" t="inlineStr">
        <is>
          <t>ОКТ</t>
        </is>
      </c>
      <c r="I127" s="91" t="inlineStr">
        <is>
          <t>ЧЕЛЯБИНСК-ЮЖ</t>
        </is>
      </c>
      <c r="J127" s="91" t="inlineStr">
        <is>
          <t>ЭССОЙЛА</t>
        </is>
      </c>
      <c r="K127" s="91" t="n">
        <v>3259</v>
      </c>
      <c r="L127" s="91" t="inlineStr">
        <is>
          <t>Платформы</t>
        </is>
      </c>
      <c r="M127" s="91" t="inlineStr">
        <is>
          <t>Внутр. перевозки</t>
        </is>
      </c>
      <c r="N127" s="91" t="inlineStr">
        <is>
          <t>вагонная</t>
        </is>
      </c>
      <c r="O127" s="91" t="inlineStr">
        <is>
          <t xml:space="preserve">Северо-Западное </t>
        </is>
      </c>
      <c r="P127" s="89" t="inlineStr">
        <is>
          <t>'000000186654</t>
        </is>
      </c>
      <c r="Q127" s="91" t="inlineStr">
        <is>
          <t>'ОАО "ЧТПЗ"</t>
        </is>
      </c>
      <c r="R127" s="91" t="inlineStr">
        <is>
          <t>ПАО "ТМК"</t>
        </is>
      </c>
      <c r="S127" s="87" t="n">
        <v>14028</v>
      </c>
      <c r="T127" s="87" t="n">
        <v>45717590</v>
      </c>
      <c r="U127" s="88" t="n">
        <v>241</v>
      </c>
      <c r="V127" s="88" t="n">
        <v>0</v>
      </c>
      <c r="W127" s="87" t="n">
        <v>85369997</v>
      </c>
      <c r="X127" s="112" t="n">
        <v>50</v>
      </c>
      <c r="Y127" s="112" t="inlineStr">
        <is>
          <t>повагонная</t>
        </is>
      </c>
      <c r="Z127" s="113" t="n">
        <v>10</v>
      </c>
      <c r="AA127" s="113" t="n">
        <v>10</v>
      </c>
      <c r="AB127" s="113" t="n">
        <v>4</v>
      </c>
      <c r="AC127" s="161" t="n">
        <v>5945.98</v>
      </c>
      <c r="AD127" s="161">
        <f>AE127-AC127</f>
        <v/>
      </c>
      <c r="AE127" s="161" t="n">
        <v>6926.88</v>
      </c>
      <c r="AF127" s="162">
        <f>(AB127+AA127+Z127)*'Ставки аренды'!$B$7/X127</f>
        <v/>
      </c>
      <c r="AG127" s="164" t="n">
        <v>0</v>
      </c>
      <c r="AH127" s="164" t="n">
        <v>0</v>
      </c>
      <c r="AI127" s="165">
        <f>314456/404359*AJ127</f>
        <v/>
      </c>
      <c r="AJ127" s="166">
        <f>Цены!D28</f>
        <v/>
      </c>
      <c r="AK127" s="164">
        <f>AJ127/Цены!$B$1</f>
        <v/>
      </c>
      <c r="AL127" s="164">
        <f>AE127+AF127+AG127</f>
        <v/>
      </c>
      <c r="AM127" s="164">
        <f>AJ127-AL127</f>
        <v/>
      </c>
      <c r="AN127" s="164">
        <f>AI127+AH127+AG127+AF127+AE127</f>
        <v/>
      </c>
      <c r="AO127" s="167">
        <f>(AJ127-AN127)/AJ127</f>
        <v/>
      </c>
      <c r="AP127" s="168">
        <f>AL127/AJ127</f>
        <v/>
      </c>
      <c r="AQ127" s="168">
        <f>AE127/AJ127</f>
        <v/>
      </c>
      <c r="AR127" s="168">
        <f>AE127/AL127</f>
        <v/>
      </c>
      <c r="AS127" s="169" t="n">
        <v>1</v>
      </c>
      <c r="AT127" s="121">
        <f>S127*AS127</f>
        <v/>
      </c>
      <c r="AU127" s="83" t="n">
        <v>0.6</v>
      </c>
      <c r="AV127" s="170">
        <f>(AJ127-(AE127*(1+$IS$2)+AF127+AG127+AH127+AI127))/AJ127</f>
        <v/>
      </c>
      <c r="AW127" s="171">
        <f>(AE127*(1+$IS$2)+AF127+AG127)/AJ127</f>
        <v/>
      </c>
      <c r="AX127" s="171">
        <f>(AE127*(1+$IS$2))/AJ127</f>
        <v/>
      </c>
      <c r="AY127" s="171">
        <f>(AE127*(1+$IS$2))/(AE127*(1+$IS$2)+AF127+AG127)</f>
        <v/>
      </c>
      <c r="AZ127" s="172">
        <f>MIN(IF($AU127=100%,1,1+VLOOKUP(($AJ127-$AI127-$AH127-$AG127-$AF127-$AE127*(1+AZ$3))/$AJ127,'Технический лист'!$I:$J,2,1)-VLOOKUP($AO127,'Технический лист'!$I:$J,2,1)),1+(1-$AU127))</f>
        <v/>
      </c>
      <c r="BA127" s="172">
        <f>MIN(IF($AU127=100%,1,1+VLOOKUP(($AJ127-$AI127-$AH127-$AG127-$AF127-$AE127*(1+BA$3))/$AJ127,'Технический лист'!$I:$J,2,1)-VLOOKUP($AO127,'Технический лист'!$I:$J,2,1)),1+(1-$AU127))</f>
        <v/>
      </c>
      <c r="BB127" s="172">
        <f>MIN(IF($AU127=100%,1,1+VLOOKUP(($AJ127-$AI127-$AH127-$AG127-$AF127-$AE127*(1+BB$3))/$AJ127,'Технический лист'!$I:$J,2,1)-VLOOKUP($AO127,'Технический лист'!$I:$J,2,1)),1+(1-$AU127))</f>
        <v/>
      </c>
      <c r="BC127" s="172">
        <f>MIN(IF($AU127=100%,1,1+VLOOKUP(($AJ127-$AI127-$AH127-$AG127-$AF127-$AE127*(1+BC$3))/$AJ127,'Технический лист'!$I:$J,2,1)-VLOOKUP($AO127,'Технический лист'!$I:$J,2,1)),1+(1-$AU127))</f>
        <v/>
      </c>
      <c r="BD127" s="172">
        <f>MIN(IF($AU127=100%,1,1+VLOOKUP(($AJ127-$AI127-$AH127-$AG127-$AF127-$AE127*(1+BD$3))/$AJ127,'Технический лист'!$I:$J,2,1)-VLOOKUP($AO127,'Технический лист'!$I:$J,2,1)),1+(1-$AU127))</f>
        <v/>
      </c>
      <c r="BE127" s="172">
        <f>MIN(IF($AU127=100%,1,1+VLOOKUP(($AJ127-$AI127-$AH127-$AG127-$AF127-$AE127*(1+BE$3))/$AJ127,'Технический лист'!$I:$J,2,1)-VLOOKUP($AO127,'Технический лист'!$I:$J,2,1)),1+(1-$AU127))</f>
        <v/>
      </c>
      <c r="BF127" s="172">
        <f>MIN(IF($AU127=100%,1,1+VLOOKUP(($AJ127-$AI127-$AH127-$AG127-$AF127-$AE127*(1+BF$3))/$AJ127,'Технический лист'!$I:$J,2,1)-VLOOKUP($AO127,'Технический лист'!$I:$J,2,1)),1+(1-$AU127))</f>
        <v/>
      </c>
      <c r="BG127" s="172">
        <f>MIN(IF($AU127=100%,1,1+VLOOKUP(($AJ127-$AI127-$AH127-$AG127-$AF127-$AE127*(1+BG$3))/$AJ127,'Технический лист'!$I:$J,2,1)-VLOOKUP($AO127,'Технический лист'!$I:$J,2,1)),1+(1-$AU127))</f>
        <v/>
      </c>
      <c r="BH127" s="172">
        <f>MIN(IF($AU127=100%,1,1+VLOOKUP(($AJ127-$AI127-$AH127-$AG127-$AF127-$AE127*(1+BH$3))/$AJ127,'Технический лист'!$I:$J,2,1)-VLOOKUP($AO127,'Технический лист'!$I:$J,2,1)),1+(1-$AU127))</f>
        <v/>
      </c>
      <c r="BI127" s="172">
        <f>MIN(IF($AU127=100%,1,1+VLOOKUP(($AJ127-$AI127-$AH127-$AG127-$AF127-$AE127*(1+BI$3))/$AJ127,'Технический лист'!$I:$J,2,1)-VLOOKUP($AO127,'Технический лист'!$I:$J,2,1)),1+(1-$AU127))</f>
        <v/>
      </c>
      <c r="BJ127" s="172">
        <f>MIN(IF($AU127=100%,1,1+VLOOKUP(($AJ127-$AI127-$AH127-$AG127-$AF127-$AE127*(1+BJ$3))/$AJ127,'Технический лист'!$I:$J,2,1)-VLOOKUP($AO127,'Технический лист'!$I:$J,2,1)),1+(1-$AU127))</f>
        <v/>
      </c>
      <c r="BK127" s="172">
        <f>MIN(IF($AU127=100%,1,1+VLOOKUP(($AJ127-$AI127-$AH127-$AG127-$AF127-$AE127*(1+BK$3))/$AJ127,'Технический лист'!$I:$J,2,1)-VLOOKUP($AO127,'Технический лист'!$I:$J,2,1)),1+(1-$AU127))</f>
        <v/>
      </c>
      <c r="BL127" s="172">
        <f>MIN(IF($AU127=100%,1,1+VLOOKUP(($AJ127-$AI127-$AH127-$AG127-$AF127-$AE127*(1+BL$3))/$AJ127,'Технический лист'!$I:$J,2,1)-VLOOKUP($AO127,'Технический лист'!$I:$J,2,1)),1+(1-$AU127))</f>
        <v/>
      </c>
      <c r="BM127" s="172">
        <f>MIN(IF($AU127=100%,1,1+VLOOKUP(($AJ127-$AI127-$AH127-$AG127-$AF127-$AE127*(1+BM$3))/$AJ127,'Технический лист'!$I:$J,2,1)-VLOOKUP($AO127,'Технический лист'!$I:$J,2,1)),1+(1-$AU127))</f>
        <v/>
      </c>
      <c r="BN127" s="172">
        <f>MIN(IF($AU127=100%,1,1+VLOOKUP(($AJ127-$AI127-$AH127-$AG127-$AF127-$AE127*(1+BN$3))/$AJ127,'Технический лист'!$I:$J,2,1)-VLOOKUP($AO127,'Технический лист'!$I:$J,2,1)),1+(1-$AU127))</f>
        <v/>
      </c>
      <c r="BO127" s="172">
        <f>MIN(IF($AU127=100%,1,1+VLOOKUP(($AJ127-$AI127-$AH127-$AG127-$AF127-$AE127*(1+BO$3))/$AJ127,'Технический лист'!$I:$J,2,1)-VLOOKUP($AO127,'Технический лист'!$I:$J,2,1)),1+(1-$AU127))</f>
        <v/>
      </c>
      <c r="BP127" s="172">
        <f>MIN(IF($AU127=100%,1,1+VLOOKUP(($AJ127-$AI127-$AH127-$AG127-$AF127-$AE127*(1+BP$3))/$AJ127,'Технический лист'!$I:$J,2,1)-VLOOKUP($AO127,'Технический лист'!$I:$J,2,1)),1+(1-$AU127))</f>
        <v/>
      </c>
      <c r="BQ127" s="172">
        <f>MIN(IF($AU127=100%,1,1+VLOOKUP(($AJ127-$AI127-$AH127-$AG127-$AF127-$AE127*(1+BQ$3))/$AJ127,'Технический лист'!$I:$J,2,1)-VLOOKUP($AO127,'Технический лист'!$I:$J,2,1)),1+(1-$AU127))</f>
        <v/>
      </c>
      <c r="BR127" s="172">
        <f>MIN(IF($AU127=100%,1,1+VLOOKUP(($AJ127-$AI127-$AH127-$AG127-$AF127-$AE127*(1+BR$3))/$AJ127,'Технический лист'!$I:$J,2,1)-VLOOKUP($AO127,'Технический лист'!$I:$J,2,1)),1+(1-$AU127))</f>
        <v/>
      </c>
      <c r="BS127" s="172">
        <f>MIN(IF($AU127=100%,1,1+VLOOKUP(($AJ127-$AI127-$AH127-$AG127-$AF127-$AE127*(1+BS$3))/$AJ127,'Технический лист'!$I:$J,2,1)-VLOOKUP($AO127,'Технический лист'!$I:$J,2,1)),1+(1-$AU127))</f>
        <v/>
      </c>
      <c r="BT127" s="172">
        <f>MIN(IF($AU127=100%,1,1+VLOOKUP(($AJ127-$AI127-$AH127-$AG127-$AF127-$AE127*(1+BT$3))/$AJ127,'Технический лист'!$I:$J,2,1)-VLOOKUP($AO127,'Технический лист'!$I:$J,2,1)),1+(1-$AU127))</f>
        <v/>
      </c>
      <c r="BU127" s="172">
        <f>MIN(IF($AU127=100%,1,1+VLOOKUP(($AJ127-$AI127-$AH127-$AG127-$AF127-$AE127*(1+BU$3))/$AJ127,'Технический лист'!$I:$J,2,1)-VLOOKUP($AO127,'Технический лист'!$I:$J,2,1)),1+(1-$AU127))</f>
        <v/>
      </c>
      <c r="BV127" s="172">
        <f>MIN(IF($AU127=100%,1,1+VLOOKUP(($AJ127-$AI127-$AH127-$AG127-$AF127-$AE127*(1+BV$3))/$AJ127,'Технический лист'!$I:$J,2,1)-VLOOKUP($AO127,'Технический лист'!$I:$J,2,1)),1+(1-$AU127))</f>
        <v/>
      </c>
      <c r="BW127" s="172">
        <f>MIN(IF($AU127=100%,1,1+VLOOKUP(($AJ127-$AI127-$AH127-$AG127-$AF127-$AE127*(1+BW$3))/$AJ127,'Технический лист'!$I:$J,2,1)-VLOOKUP($AO127,'Технический лист'!$I:$J,2,1)),1+(1-$AU127))</f>
        <v/>
      </c>
      <c r="BX127" s="172">
        <f>MIN(IF($AU127=100%,1,1+VLOOKUP(($AJ127-$AI127-$AH127-$AG127-$AF127-$AE127*(1+BX$3))/$AJ127,'Технический лист'!$I:$J,2,1)-VLOOKUP($AO127,'Технический лист'!$I:$J,2,1)),1+(1-$AU127))</f>
        <v/>
      </c>
      <c r="BY127" s="172">
        <f>MIN(IF($AU127=100%,1,1+VLOOKUP(($AJ127-$AI127-$AH127-$AG127-$AF127-$AE127*(1+BY$3))/$AJ127,'Технический лист'!$I:$J,2,1)-VLOOKUP($AO127,'Технический лист'!$I:$J,2,1)),1+(1-$AU127))</f>
        <v/>
      </c>
      <c r="BZ127" s="172">
        <f>MIN(IF($AU127=100%,1,1+VLOOKUP(($AJ127-$AI127-$AH127-$AG127-$AF127-$AE127*(1+BZ$3))/$AJ127,'Технический лист'!$I:$J,2,1)-VLOOKUP($AO127,'Технический лист'!$I:$J,2,1)),1+(1-$AU127))</f>
        <v/>
      </c>
      <c r="CA127" s="172">
        <f>MIN(IF($AU127=100%,1,1+VLOOKUP(($AJ127-$AI127-$AH127-$AG127-$AF127-$AE127*(1+CA$3))/$AJ127,'Технический лист'!$I:$J,2,1)-VLOOKUP($AO127,'Технический лист'!$I:$J,2,1)),1+(1-$AU127))</f>
        <v/>
      </c>
      <c r="CB127" s="172">
        <f>MIN(IF($AU127=100%,1,1+VLOOKUP(($AJ127-$AI127-$AH127-$AG127-$AF127-$AE127*(1+CB$3))/$AJ127,'Технический лист'!$I:$J,2,1)-VLOOKUP($AO127,'Технический лист'!$I:$J,2,1)),1+(1-$AU127))</f>
        <v/>
      </c>
      <c r="CC127" s="172">
        <f>MIN(IF($AU127=100%,1,1+VLOOKUP(($AJ127-$AI127-$AH127-$AG127-$AF127-$AE127*(1+CC$3))/$AJ127,'Технический лист'!$I:$J,2,1)-VLOOKUP($AO127,'Технический лист'!$I:$J,2,1)),1+(1-$AU127))</f>
        <v/>
      </c>
      <c r="CD127" s="172">
        <f>MIN(IF($AU127=100%,1,1+VLOOKUP(($AJ127-$AI127-$AH127-$AG127-$AF127-$AE127*(1+CD$3))/$AJ127,'Технический лист'!$I:$J,2,1)-VLOOKUP($AO127,'Технический лист'!$I:$J,2,1)),1+(1-$AU127))</f>
        <v/>
      </c>
      <c r="CE127" s="172">
        <f>MIN(IF($AU127=100%,1,1+VLOOKUP(($AJ127-$AI127-$AH127-$AG127-$AF127-$AE127*(1+CE$3))/$AJ127,'Технический лист'!$I:$J,2,1)-VLOOKUP($AO127,'Технический лист'!$I:$J,2,1)),1+(1-$AU127))</f>
        <v/>
      </c>
      <c r="CF127" s="172">
        <f>MIN(IF($AU127=100%,1,1+VLOOKUP(($AJ127-$AI127-$AH127-$AG127-$AF127-$AE127*(1+CF$3))/$AJ127,'Технический лист'!$I:$J,2,1)-VLOOKUP($AO127,'Технический лист'!$I:$J,2,1)),1+(1-$AU127))</f>
        <v/>
      </c>
      <c r="CG127" s="172">
        <f>MIN(IF($AU127=100%,1,1+VLOOKUP(($AJ127-$AI127-$AH127-$AG127-$AF127-$AE127*(1+CG$3))/$AJ127,'Технический лист'!$I:$J,2,1)-VLOOKUP($AO127,'Технический лист'!$I:$J,2,1)),1+(1-$AU127))</f>
        <v/>
      </c>
      <c r="CH127" s="172">
        <f>MIN(IF($AU127=100%,1,1+VLOOKUP(($AJ127-$AI127-$AH127-$AG127-$AF127-$AE127*(1+CH$3))/$AJ127,'Технический лист'!$I:$J,2,1)-VLOOKUP($AO127,'Технический лист'!$I:$J,2,1)),1+(1-$AU127))</f>
        <v/>
      </c>
      <c r="CI127" s="172">
        <f>MIN(IF($AU127=100%,1,1+VLOOKUP(($AJ127-$AI127-$AH127-$AG127-$AF127-$AE127*(1+CI$3))/$AJ127,'Технический лист'!$I:$J,2,1)-VLOOKUP($AO127,'Технический лист'!$I:$J,2,1)),1+(1-$AU127))</f>
        <v/>
      </c>
      <c r="CJ127" s="172">
        <f>MIN(IF($AU127=100%,1,1+VLOOKUP(($AJ127-$AI127-$AH127-$AG127-$AF127-$AE127*(1+CJ$3))/$AJ127,'Технический лист'!$I:$J,2,1)-VLOOKUP($AO127,'Технический лист'!$I:$J,2,1)),1+(1-$AU127))</f>
        <v/>
      </c>
      <c r="CK127" s="172">
        <f>MIN(IF($AU127=100%,1,1+VLOOKUP(($AJ127-$AI127-$AH127-$AG127-$AF127-$AE127*(1+CK$3))/$AJ127,'Технический лист'!$I:$J,2,1)-VLOOKUP($AO127,'Технический лист'!$I:$J,2,1)),1+(1-$AU127))</f>
        <v/>
      </c>
      <c r="CL127" s="172">
        <f>MIN(IF($AU127=100%,1,1+VLOOKUP(($AJ127-$AI127-$AH127-$AG127-$AF127-$AE127*(1+CL$3))/$AJ127,'Технический лист'!$I:$J,2,1)-VLOOKUP($AO127,'Технический лист'!$I:$J,2,1)),1+(1-$AU127))</f>
        <v/>
      </c>
      <c r="CM127" s="172">
        <f>MIN(IF($AU127=100%,1,1+VLOOKUP(($AJ127-$AI127-$AH127-$AG127-$AF127-$AE127*(1+CM$3))/$AJ127,'Технический лист'!$I:$J,2,1)-VLOOKUP($AO127,'Технический лист'!$I:$J,2,1)),1+(1-$AU127))</f>
        <v/>
      </c>
      <c r="CN127" s="172">
        <f>MIN(IF($AU127=100%,1,1+VLOOKUP(($AJ127-$AI127-$AH127-$AG127-$AF127-$AE127*(1+CN$3))/$AJ127,'Технический лист'!$I:$J,2,1)-VLOOKUP($AO127,'Технический лист'!$I:$J,2,1)),1+(1-$AU127))</f>
        <v/>
      </c>
      <c r="CO127" s="172">
        <f>MIN(IF($AU127=100%,1,1+VLOOKUP(($AJ127-$AI127-$AH127-$AG127-$AF127-$AE127*(1+CO$3))/$AJ127,'Технический лист'!$I:$J,2,1)-VLOOKUP($AO127,'Технический лист'!$I:$J,2,1)),1+(1-$AU127))</f>
        <v/>
      </c>
      <c r="CP127" s="172">
        <f>MIN(IF($AU127=100%,1,1+VLOOKUP(($AJ127-$AI127-$AH127-$AG127-$AF127-$AE127*(1+CP$3))/$AJ127,'Технический лист'!$I:$J,2,1)-VLOOKUP($AO127,'Технический лист'!$I:$J,2,1)),1+(1-$AU127))</f>
        <v/>
      </c>
      <c r="CQ127" s="172">
        <f>MIN(IF($AU127=100%,1,1+VLOOKUP(($AJ127-$AI127-$AH127-$AG127-$AF127-$AE127*(1+CQ$3))/$AJ127,'Технический лист'!$I:$J,2,1)-VLOOKUP($AO127,'Технический лист'!$I:$J,2,1)),1+(1-$AU127))</f>
        <v/>
      </c>
      <c r="CR127" s="172">
        <f>MIN(IF($AU127=100%,1,1+VLOOKUP(($AJ127-$AI127-$AH127-$AG127-$AF127-$AE127*(1+CR$3))/$AJ127,'Технический лист'!$I:$J,2,1)-VLOOKUP($AO127,'Технический лист'!$I:$J,2,1)),1+(1-$AU127))</f>
        <v/>
      </c>
      <c r="CS127" s="172">
        <f>MIN(IF($AU127=100%,1,1+VLOOKUP(($AJ127-$AI127-$AH127-$AG127-$AF127-$AE127*(1+CS$3))/$AJ127,'Технический лист'!$I:$J,2,1)-VLOOKUP($AO127,'Технический лист'!$I:$J,2,1)),1+(1-$AU127))</f>
        <v/>
      </c>
      <c r="CT127" s="172">
        <f>MIN(IF($AU127=100%,1,1+VLOOKUP(($AJ127-$AI127-$AH127-$AG127-$AF127-$AE127*(1+CT$3))/$AJ127,'Технический лист'!$I:$J,2,1)-VLOOKUP($AO127,'Технический лист'!$I:$J,2,1)),1+(1-$AU127))</f>
        <v/>
      </c>
      <c r="CU127" s="172">
        <f>MIN(IF($AU127=100%,1,1+VLOOKUP(($AJ127-$AI127-$AH127-$AG127-$AF127-$AE127*(1+CU$3))/$AJ127,'Технический лист'!$I:$J,2,1)-VLOOKUP($AO127,'Технический лист'!$I:$J,2,1)),1+(1-$AU127))</f>
        <v/>
      </c>
      <c r="CV127" s="172">
        <f>MIN(IF($AU127=100%,1,1+VLOOKUP(($AJ127-$AI127-$AH127-$AG127-$AF127-$AE127*(1+CV$3))/$AJ127,'Технический лист'!$I:$J,2,1)-VLOOKUP($AO127,'Технический лист'!$I:$J,2,1)),1+(1-$AU127))</f>
        <v/>
      </c>
      <c r="CW127" s="172">
        <f>MIN(IF($AU127=100%,1,1+VLOOKUP(($AJ127-$AI127-$AH127-$AG127-$AF127-$AE127*(1+CW$3))/$AJ127,'Технический лист'!$I:$J,2,1)-VLOOKUP($AO127,'Технический лист'!$I:$J,2,1)),1+(1-$AU127))</f>
        <v/>
      </c>
      <c r="CX127" s="172">
        <f>MIN(IF($AU127=100%,1,1+VLOOKUP(($AJ127-$AI127-$AH127-$AG127-$AF127-$AE127*(1+CX$3))/$AJ127,'Технический лист'!$I:$J,2,1)-VLOOKUP($AO127,'Технический лист'!$I:$J,2,1)),1+(1-$AU127))</f>
        <v/>
      </c>
      <c r="CY127" s="172">
        <f>MIN(IF($AU127=100%,1,1+VLOOKUP(($AJ127-$AI127-$AH127-$AG127-$AF127-$AE127*(1+CY$3))/$AJ127,'Технический лист'!$I:$J,2,1)-VLOOKUP($AO127,'Технический лист'!$I:$J,2,1)),1+(1-$AU127))</f>
        <v/>
      </c>
      <c r="CZ127" s="172">
        <f>MIN(IF($AU127=100%,1,1+VLOOKUP(($AJ127-$AI127-$AH127-$AG127-$AF127-$AE127*(1+CZ$3))/$AJ127,'Технический лист'!$I:$J,2,1)-VLOOKUP($AO127,'Технический лист'!$I:$J,2,1)),1+(1-$AU127))</f>
        <v/>
      </c>
      <c r="DA127" s="172">
        <f>MIN(IF($AU127=100%,1,1+VLOOKUP(($AJ127-$AI127-$AH127-$AG127-$AF127-$AE127*(1+DA$3))/$AJ127,'Технический лист'!$I:$J,2,1)-VLOOKUP($AO127,'Технический лист'!$I:$J,2,1)),1+(1-$AU127))</f>
        <v/>
      </c>
      <c r="DB127" s="172">
        <f>MIN(IF($AU127=100%,1,1+VLOOKUP(($AJ127-$AI127-$AH127-$AG127-$AF127-$AE127*(1+DB$3))/$AJ127,'Технический лист'!$I:$J,2,1)-VLOOKUP($AO127,'Технический лист'!$I:$J,2,1)),1+(1-$AU127))</f>
        <v/>
      </c>
      <c r="DC127" s="172">
        <f>MIN(IF($AU127=100%,1,1+VLOOKUP(($AJ127-$AI127-$AH127-$AG127-$AF127-$AE127*(1+DC$3))/$AJ127,'Технический лист'!$I:$J,2,1)-VLOOKUP($AO127,'Технический лист'!$I:$J,2,1)),1+(1-$AU127))</f>
        <v/>
      </c>
      <c r="DD127" s="172">
        <f>MIN(IF($AU127=100%,1,1+VLOOKUP(($AJ127-$AI127-$AH127-$AG127-$AF127-$AE127*(1+DD$3))/$AJ127,'Технический лист'!$I:$J,2,1)-VLOOKUP($AO127,'Технический лист'!$I:$J,2,1)),1+(1-$AU127))</f>
        <v/>
      </c>
      <c r="DE127" s="172">
        <f>MIN(IF($AU127=100%,1,1+VLOOKUP(($AJ127-$AI127-$AH127-$AG127-$AF127-$AE127*(1+DE$3))/$AJ127,'Технический лист'!$I:$J,2,1)-VLOOKUP($AO127,'Технический лист'!$I:$J,2,1)),1+(1-$AU127))</f>
        <v/>
      </c>
      <c r="DF127" s="172">
        <f>MIN(IF($AU127=100%,1,1+VLOOKUP(($AJ127-$AI127-$AH127-$AG127-$AF127-$AE127*(1+DF$3))/$AJ127,'Технический лист'!$I:$J,2,1)-VLOOKUP($AO127,'Технический лист'!$I:$J,2,1)),1+(1-$AU127))</f>
        <v/>
      </c>
      <c r="DG127" s="172">
        <f>MIN(IF($AU127=100%,1,1+VLOOKUP(($AJ127-$AI127-$AH127-$AG127-$AF127-$AE127*(1+DG$3))/$AJ127,'Технический лист'!$I:$J,2,1)-VLOOKUP($AO127,'Технический лист'!$I:$J,2,1)),1+(1-$AU127))</f>
        <v/>
      </c>
      <c r="DH127" s="172">
        <f>MIN(IF($AU127=100%,1,1+VLOOKUP(($AJ127-$AI127-$AH127-$AG127-$AF127-$AE127*(1+DH$3))/$AJ127,'Технический лист'!$I:$J,2,1)-VLOOKUP($AO127,'Технический лист'!$I:$J,2,1)),1+(1-$AU127))</f>
        <v/>
      </c>
      <c r="DI127" s="172">
        <f>MIN(IF($AU127=100%,1,1+VLOOKUP(($AJ127-$AI127-$AH127-$AG127-$AF127-$AE127*(1+DI$3))/$AJ127,'Технический лист'!$I:$J,2,1)-VLOOKUP($AO127,'Технический лист'!$I:$J,2,1)),1+(1-$AU127))</f>
        <v/>
      </c>
      <c r="DJ127" s="172">
        <f>MIN(IF($AU127=100%,1,1+VLOOKUP(($AJ127-$AI127-$AH127-$AG127-$AF127-$AE127*(1+DJ$3))/$AJ127,'Технический лист'!$I:$J,2,1)-VLOOKUP($AO127,'Технический лист'!$I:$J,2,1)),1+(1-$AU127))</f>
        <v/>
      </c>
      <c r="DK127" s="172">
        <f>MIN(IF($AU127=100%,1,1+VLOOKUP(($AJ127-$AI127-$AH127-$AG127-$AF127-$AE127*(1+DK$3))/$AJ127,'Технический лист'!$I:$J,2,1)-VLOOKUP($AO127,'Технический лист'!$I:$J,2,1)),1+(1-$AU127))</f>
        <v/>
      </c>
      <c r="DL127" s="172">
        <f>MIN(IF($AU127=100%,1,1+VLOOKUP(($AJ127-$AI127-$AH127-$AG127-$AF127-$AE127*(1+DL$3))/$AJ127,'Технический лист'!$I:$J,2,1)-VLOOKUP($AO127,'Технический лист'!$I:$J,2,1)),1+(1-$AU127))</f>
        <v/>
      </c>
      <c r="DM127" s="172">
        <f>MIN(IF($AU127=100%,1,1+VLOOKUP(($AJ127-$AI127-$AH127-$AG127-$AF127-$AE127*(1+DM$3))/$AJ127,'Технический лист'!$I:$J,2,1)-VLOOKUP($AO127,'Технический лист'!$I:$J,2,1)),1+(1-$AU127))</f>
        <v/>
      </c>
      <c r="DN127" s="172">
        <f>MIN(IF($AU127=100%,1,1+VLOOKUP(($AJ127-$AI127-$AH127-$AG127-$AF127-$AE127*(1+DN$3))/$AJ127,'Технический лист'!$I:$J,2,1)-VLOOKUP($AO127,'Технический лист'!$I:$J,2,1)),1+(1-$AU127))</f>
        <v/>
      </c>
      <c r="DO127" s="172">
        <f>MIN(IF($AU127=100%,1,1+VLOOKUP(($AJ127-$AI127-$AH127-$AG127-$AF127-$AE127*(1+DO$3))/$AJ127,'Технический лист'!$I:$J,2,1)-VLOOKUP($AO127,'Технический лист'!$I:$J,2,1)),1+(1-$AU127))</f>
        <v/>
      </c>
      <c r="DP127" s="172">
        <f>MIN(IF($AU127=100%,1,1+VLOOKUP(($AJ127-$AI127-$AH127-$AG127-$AF127-$AE127*(1+DP$3))/$AJ127,'Технический лист'!$I:$J,2,1)-VLOOKUP($AO127,'Технический лист'!$I:$J,2,1)),1+(1-$AU127))</f>
        <v/>
      </c>
      <c r="DQ127" s="172">
        <f>MIN(IF($AU127=100%,1,1+VLOOKUP(($AJ127-$AI127-$AH127-$AG127-$AF127-$AE127*(1+DQ$3))/$AJ127,'Технический лист'!$I:$J,2,1)-VLOOKUP($AO127,'Технический лист'!$I:$J,2,1)),1+(1-$AU127))</f>
        <v/>
      </c>
      <c r="DR127" s="172">
        <f>MIN(IF($AU127=100%,1,1+VLOOKUP(($AJ127-$AI127-$AH127-$AG127-$AF127-$AE127*(1+DR$3))/$AJ127,'Технический лист'!$I:$J,2,1)-VLOOKUP($AO127,'Технический лист'!$I:$J,2,1)),1+(1-$AU127))</f>
        <v/>
      </c>
      <c r="DS127" s="172">
        <f>MIN(IF($AU127=100%,1,1+VLOOKUP(($AJ127-$AI127-$AH127-$AG127-$AF127-$AE127*(1+DS$3))/$AJ127,'Технический лист'!$I:$J,2,1)-VLOOKUP($AO127,'Технический лист'!$I:$J,2,1)),1+(1-$AU127))</f>
        <v/>
      </c>
      <c r="DT127" s="172">
        <f>MIN(IF($AU127=100%,1,1+VLOOKUP(($AJ127-$AI127-$AH127-$AG127-$AF127-$AE127*(1+DT$3))/$AJ127,'Технический лист'!$I:$J,2,1)-VLOOKUP($AO127,'Технический лист'!$I:$J,2,1)),1+(1-$AU127))</f>
        <v/>
      </c>
      <c r="DU127" s="172">
        <f>MIN(IF($AU127=100%,1,1+VLOOKUP(($AJ127-$AI127-$AH127-$AG127-$AF127-$AE127*(1+DU$3))/$AJ127,'Технический лист'!$I:$J,2,1)-VLOOKUP($AO127,'Технический лист'!$I:$J,2,1)),1+(1-$AU127))</f>
        <v/>
      </c>
      <c r="DV127" s="172">
        <f>MIN(IF($AU127=100%,1,1+VLOOKUP(($AJ127-$AI127-$AH127-$AG127-$AF127-$AE127*(1+DV$3))/$AJ127,'Технический лист'!$I:$J,2,1)-VLOOKUP($AO127,'Технический лист'!$I:$J,2,1)),1+(1-$AU127))</f>
        <v/>
      </c>
      <c r="DW127" s="172">
        <f>MIN(IF($AU127=100%,1,1+VLOOKUP(($AJ127-$AI127-$AH127-$AG127-$AF127-$AE127*(1+DW$3))/$AJ127,'Технический лист'!$I:$J,2,1)-VLOOKUP($AO127,'Технический лист'!$I:$J,2,1)),1+(1-$AU127))</f>
        <v/>
      </c>
      <c r="DX127" s="172">
        <f>MIN(IF($AU127=100%,1,1+VLOOKUP(($AJ127-$AI127-$AH127-$AG127-$AF127-$AE127*(1+DX$3))/$AJ127,'Технический лист'!$I:$J,2,1)-VLOOKUP($AO127,'Технический лист'!$I:$J,2,1)),1+(1-$AU127))</f>
        <v/>
      </c>
      <c r="DY127" s="172">
        <f>MIN(IF($AU127=100%,1,1+VLOOKUP(($AJ127-$AI127-$AH127-$AG127-$AF127-$AE127*(1+DY$3))/$AJ127,'Технический лист'!$I:$J,2,1)-VLOOKUP($AO127,'Технический лист'!$I:$J,2,1)),1+(1-$AU127))</f>
        <v/>
      </c>
      <c r="DZ127" s="172">
        <f>MIN(IF($AU127=100%,1,1+VLOOKUP(($AJ127-$AI127-$AH127-$AG127-$AF127-$AE127*(1+DZ$3))/$AJ127,'Технический лист'!$I:$J,2,1)-VLOOKUP($AO127,'Технический лист'!$I:$J,2,1)),1+(1-$AU127))</f>
        <v/>
      </c>
      <c r="EA127" s="172">
        <f>MIN(IF($AU127=100%,1,1+VLOOKUP(($AJ127-$AI127-$AH127-$AG127-$AF127-$AE127*(1+EA$3))/$AJ127,'Технический лист'!$I:$J,2,1)-VLOOKUP($AO127,'Технический лист'!$I:$J,2,1)),1+(1-$AU127))</f>
        <v/>
      </c>
      <c r="EB127" s="172">
        <f>MIN(IF($AU127=100%,1,1+VLOOKUP(($AJ127-$AI127-$AH127-$AG127-$AF127-$AE127*(1+EB$3))/$AJ127,'Технический лист'!$I:$J,2,1)-VLOOKUP($AO127,'Технический лист'!$I:$J,2,1)),1+(1-$AU127))</f>
        <v/>
      </c>
      <c r="EC127" s="172">
        <f>MIN(IF($AU127=100%,1,1+VLOOKUP(($AJ127-$AI127-$AH127-$AG127-$AF127-$AE127*(1+EC$3))/$AJ127,'Технический лист'!$I:$J,2,1)-VLOOKUP($AO127,'Технический лист'!$I:$J,2,1)),1+(1-$AU127))</f>
        <v/>
      </c>
      <c r="ED127" s="172">
        <f>MIN(IF($AU127=100%,1,1+VLOOKUP(($AJ127-$AI127-$AH127-$AG127-$AF127-$AE127*(1+ED$3))/$AJ127,'Технический лист'!$I:$J,2,1)-VLOOKUP($AO127,'Технический лист'!$I:$J,2,1)),1+(1-$AU127))</f>
        <v/>
      </c>
      <c r="EE127" s="172">
        <f>MIN(IF($AU127=100%,1,1+VLOOKUP(($AJ127-$AI127-$AH127-$AG127-$AF127-$AE127*(1+EE$3))/$AJ127,'Технический лист'!$I:$J,2,1)-VLOOKUP($AO127,'Технический лист'!$I:$J,2,1)),1+(1-$AU127))</f>
        <v/>
      </c>
      <c r="EF127" s="172">
        <f>MIN(IF($AU127=100%,1,1+VLOOKUP(($AJ127-$AI127-$AH127-$AG127-$AF127-$AE127*(1+EF$3))/$AJ127,'Технический лист'!$I:$J,2,1)-VLOOKUP($AO127,'Технический лист'!$I:$J,2,1)),1+(1-$AU127))</f>
        <v/>
      </c>
      <c r="EG127" s="172">
        <f>MIN(IF($AU127=100%,1,1+VLOOKUP(($AJ127-$AI127-$AH127-$AG127-$AF127-$AE127*(1+EG$3))/$AJ127,'Технический лист'!$I:$J,2,1)-VLOOKUP($AO127,'Технический лист'!$I:$J,2,1)),1+(1-$AU127))</f>
        <v/>
      </c>
      <c r="EH127" s="172">
        <f>MIN(IF($AU127=100%,1,1+VLOOKUP(($AJ127-$AI127-$AH127-$AG127-$AF127-$AE127*(1+EH$3))/$AJ127,'Технический лист'!$I:$J,2,1)-VLOOKUP($AO127,'Технический лист'!$I:$J,2,1)),1+(1-$AU127))</f>
        <v/>
      </c>
      <c r="EI127" s="172">
        <f>MIN(IF($AU127=100%,1,1+VLOOKUP(($AJ127-$AI127-$AH127-$AG127-$AF127-$AE127*(1+EI$3))/$AJ127,'Технический лист'!$I:$J,2,1)-VLOOKUP($AO127,'Технический лист'!$I:$J,2,1)),1+(1-$AU127))</f>
        <v/>
      </c>
      <c r="EJ127" s="172">
        <f>MIN(IF($AU127=100%,1,1+VLOOKUP(($AJ127-$AI127-$AH127-$AG127-$AF127-$AE127*(1+EJ$3))/$AJ127,'Технический лист'!$I:$J,2,1)-VLOOKUP($AO127,'Технический лист'!$I:$J,2,1)),1+(1-$AU127))</f>
        <v/>
      </c>
      <c r="EK127" s="172">
        <f>MIN(IF($AU127=100%,1,1+VLOOKUP(($AJ127-$AI127-$AH127-$AG127-$AF127-$AE127*(1+EK$3))/$AJ127,'Технический лист'!$I:$J,2,1)-VLOOKUP($AO127,'Технический лист'!$I:$J,2,1)),1+(1-$AU127))</f>
        <v/>
      </c>
      <c r="EL127" s="172">
        <f>MIN(IF($AU127=100%,1,1+VLOOKUP(($AJ127-$AI127-$AH127-$AG127-$AF127-$AE127*(1+EL$3))/$AJ127,'Технический лист'!$I:$J,2,1)-VLOOKUP($AO127,'Технический лист'!$I:$J,2,1)),1+(1-$AU127))</f>
        <v/>
      </c>
      <c r="EM127" s="172">
        <f>MIN(IF($AU127=100%,1,1+VLOOKUP(($AJ127-$AI127-$AH127-$AG127-$AF127-$AE127*(1+EM$3))/$AJ127,'Технический лист'!$I:$J,2,1)-VLOOKUP($AO127,'Технический лист'!$I:$J,2,1)),1+(1-$AU127))</f>
        <v/>
      </c>
      <c r="EN127" s="172">
        <f>MIN(IF($AU127=100%,1,1+VLOOKUP(($AJ127-$AI127-$AH127-$AG127-$AF127-$AE127*(1+EN$3))/$AJ127,'Технический лист'!$I:$J,2,1)-VLOOKUP($AO127,'Технический лист'!$I:$J,2,1)),1+(1-$AU127))</f>
        <v/>
      </c>
      <c r="EO127" s="172">
        <f>MIN(IF($AU127=100%,1,1+VLOOKUP(($AJ127-$AI127-$AH127-$AG127-$AF127-$AE127*(1+EO$3))/$AJ127,'Технический лист'!$I:$J,2,1)-VLOOKUP($AO127,'Технический лист'!$I:$J,2,1)),1+(1-$AU127))</f>
        <v/>
      </c>
      <c r="EP127" s="172">
        <f>MIN(IF($AU127=100%,1,1+VLOOKUP(($AJ127-$AI127-$AH127-$AG127-$AF127-$AE127*(1+EP$3))/$AJ127,'Технический лист'!$I:$J,2,1)-VLOOKUP($AO127,'Технический лист'!$I:$J,2,1)),1+(1-$AU127))</f>
        <v/>
      </c>
      <c r="EQ127" s="172">
        <f>MIN(IF($AU127=100%,1,1+VLOOKUP(($AJ127-$AI127-$AH127-$AG127-$AF127-$AE127*(1+EQ$3))/$AJ127,'Технический лист'!$I:$J,2,1)-VLOOKUP($AO127,'Технический лист'!$I:$J,2,1)),1+(1-$AU127))</f>
        <v/>
      </c>
      <c r="ER127" s="172">
        <f>MIN(IF($AU127=100%,1,1+VLOOKUP(($AJ127-$AI127-$AH127-$AG127-$AF127-$AE127*(1+ER$3))/$AJ127,'Технический лист'!$I:$J,2,1)-VLOOKUP($AO127,'Технический лист'!$I:$J,2,1)),1+(1-$AU127))</f>
        <v/>
      </c>
      <c r="ES127" s="172">
        <f>MIN(IF($AU127=100%,1,1+VLOOKUP(($AJ127-$AI127-$AH127-$AG127-$AF127-$AE127*(1+ES$3))/$AJ127,'Технический лист'!$I:$J,2,1)-VLOOKUP($AO127,'Технический лист'!$I:$J,2,1)),1+(1-$AU127))</f>
        <v/>
      </c>
      <c r="ET127" s="172">
        <f>MIN(IF($AU127=100%,1,1+VLOOKUP(($AJ127-$AI127-$AH127-$AG127-$AF127-$AE127*(1+ET$3))/$AJ127,'Технический лист'!$I:$J,2,1)-VLOOKUP($AO127,'Технический лист'!$I:$J,2,1)),1+(1-$AU127))</f>
        <v/>
      </c>
      <c r="EU127" s="172">
        <f>MIN(IF($AU127=100%,1,1+VLOOKUP(($AJ127-$AI127-$AH127-$AG127-$AF127-$AE127*(1+EU$3))/$AJ127,'Технический лист'!$I:$J,2,1)-VLOOKUP($AO127,'Технический лист'!$I:$J,2,1)),1+(1-$AU127))</f>
        <v/>
      </c>
      <c r="EV127" s="173" t="n">
        <v>1</v>
      </c>
      <c r="EW127" s="172">
        <f>MIN(1,MAX(VLOOKUP(($AJ127-$AI127-$AH127-$AG127-$AF127-$AE127*(1+EW$3))/$AJ127,'Технический лист'!$A:$B,2,1),(EV127-0.05)))</f>
        <v/>
      </c>
      <c r="EX127" s="172">
        <f>MIN(1,MAX(VLOOKUP(($AJ127-$AI127-$AH127-$AG127-$AF127-$AE127*(1+EX$3))/$AJ127,'Технический лист'!$A:$B,2,1),(EW127-0.05)))</f>
        <v/>
      </c>
      <c r="EY127" s="172">
        <f>MIN(1,MAX(VLOOKUP(($AJ127-$AI127-$AH127-$AG127-$AF127-$AE127*(1+EY$3))/$AJ127,'Технический лист'!$A:$B,2,1),(EX127-0.05)))</f>
        <v/>
      </c>
      <c r="EZ127" s="172">
        <f>MIN(1,MAX(VLOOKUP(($AJ127-$AI127-$AH127-$AG127-$AF127-$AE127*(1+EZ$3))/$AJ127,'Технический лист'!$A:$B,2,1),(EY127-0.05)))</f>
        <v/>
      </c>
      <c r="FA127" s="172">
        <f>MIN(1,MAX(VLOOKUP(($AJ127-$AI127-$AH127-$AG127-$AF127-$AE127*(1+FA$3))/$AJ127,'Технический лист'!$A:$B,2,1),(EZ127-0.05)))</f>
        <v/>
      </c>
      <c r="FB127" s="172">
        <f>MIN(1,MAX(VLOOKUP(($AJ127-$AI127-$AH127-$AG127-$AF127-$AE127*(1+FB$3))/$AJ127,'Технический лист'!$A:$B,2,1),(FA127-0.05)))</f>
        <v/>
      </c>
      <c r="FC127" s="172">
        <f>MIN(1,MAX(VLOOKUP(($AJ127-$AI127-$AH127-$AG127-$AF127-$AE127*(1+FC$3))/$AJ127,'Технический лист'!$A:$B,2,1),(FB127-0.05)))</f>
        <v/>
      </c>
      <c r="FD127" s="172">
        <f>MIN(1,MAX(VLOOKUP(($AJ127-$AI127-$AH127-$AG127-$AF127-$AE127*(1+FD$3))/$AJ127,'Технический лист'!$A:$B,2,1),(FC127-0.05)))</f>
        <v/>
      </c>
      <c r="FE127" s="172">
        <f>MIN(1,MAX(VLOOKUP(($AJ127-$AI127-$AH127-$AG127-$AF127-$AE127*(1+FE$3))/$AJ127,'Технический лист'!$A:$B,2,1),(FD127-0.05)))</f>
        <v/>
      </c>
      <c r="FF127" s="172">
        <f>MIN(1,MAX(VLOOKUP(($AJ127-$AI127-$AH127-$AG127-$AF127-$AE127*(1+FF$3))/$AJ127,'Технический лист'!$A:$B,2,1),(FE127-0.05)))</f>
        <v/>
      </c>
      <c r="FG127" s="172">
        <f>MIN(1,MAX(VLOOKUP(($AJ127-$AI127-$AH127-$AG127-$AF127-$AE127*(1+FG$3))/$AJ127,'Технический лист'!$A:$B,2,1),(FF127-0.05)))</f>
        <v/>
      </c>
      <c r="FH127" s="172">
        <f>MIN(1,MAX(VLOOKUP(($AJ127-$AI127-$AH127-$AG127-$AF127-$AE127*(1+FH$3))/$AJ127,'Технический лист'!$A:$B,2,1),(FG127-0.05)))</f>
        <v/>
      </c>
      <c r="FI127" s="172">
        <f>MIN(1,MAX(VLOOKUP(($AJ127-$AI127-$AH127-$AG127-$AF127-$AE127*(1+FI$3))/$AJ127,'Технический лист'!$A:$B,2,1),(FH127-0.05)))</f>
        <v/>
      </c>
      <c r="FJ127" s="172">
        <f>MIN(1,MAX(VLOOKUP(($AJ127-$AI127-$AH127-$AG127-$AF127-$AE127*(1+FJ$3))/$AJ127,'Технический лист'!$A:$B,2,1),(FI127-0.05)))</f>
        <v/>
      </c>
      <c r="FK127" s="172">
        <f>MIN(1,MAX(VLOOKUP(($AJ127-$AI127-$AH127-$AG127-$AF127-$AE127*(1+FK$3))/$AJ127,'Технический лист'!$A:$B,2,1),(FJ127-0.05)))</f>
        <v/>
      </c>
      <c r="FL127" s="172">
        <f>MIN(1,MAX(VLOOKUP(($AJ127-$AI127-$AH127-$AG127-$AF127-$AE127*(1+FL$3))/$AJ127,'Технический лист'!$A:$B,2,1),(FK127-0.05)))</f>
        <v/>
      </c>
      <c r="FM127" s="172">
        <f>MIN(1,MAX(VLOOKUP(($AJ127-$AI127-$AH127-$AG127-$AF127-$AE127*(1+FM$3))/$AJ127,'Технический лист'!$A:$B,2,1),(FL127-0.05)))</f>
        <v/>
      </c>
      <c r="FN127" s="172">
        <f>MIN(1,MAX(VLOOKUP(($AJ127-$AI127-$AH127-$AG127-$AF127-$AE127*(1+FN$3))/$AJ127,'Технический лист'!$A:$B,2,1),(FM127-0.05)))</f>
        <v/>
      </c>
      <c r="FO127" s="172">
        <f>MIN(1,MAX(VLOOKUP(($AJ127-$AI127-$AH127-$AG127-$AF127-$AE127*(1+FO$3))/$AJ127,'Технический лист'!$A:$B,2,1),(FN127-0.05)))</f>
        <v/>
      </c>
      <c r="FP127" s="172">
        <f>MIN(1,MAX(VLOOKUP(($AJ127-$AI127-$AH127-$AG127-$AF127-$AE127*(1+FP$3))/$AJ127,'Технический лист'!$A:$B,2,1),(FO127-0.05)))</f>
        <v/>
      </c>
      <c r="FQ127" s="172">
        <f>MIN(1,MAX(VLOOKUP(($AJ127-$AI127-$AH127-$AG127-$AF127-$AE127*(1+FQ$3))/$AJ127,'Технический лист'!$A:$B,2,1),(FP127-0.05)))</f>
        <v/>
      </c>
      <c r="FR127" s="172">
        <f>MIN(1,MAX(VLOOKUP(($AJ127-$AI127-$AH127-$AG127-$AF127-$AE127*(1+FR$3))/$AJ127,'Технический лист'!$A:$B,2,1),(FQ127-0.05)))</f>
        <v/>
      </c>
      <c r="FS127" s="172">
        <f>MIN(1,MAX(VLOOKUP(($AJ127-$AI127-$AH127-$AG127-$AF127-$AE127*(1+FS$3))/$AJ127,'Технический лист'!$A:$B,2,1),(FR127-0.05)))</f>
        <v/>
      </c>
      <c r="FT127" s="172">
        <f>MIN(1,MAX(VLOOKUP(($AJ127-$AI127-$AH127-$AG127-$AF127-$AE127*(1+FT$3))/$AJ127,'Технический лист'!$A:$B,2,1),(FS127-0.05)))</f>
        <v/>
      </c>
      <c r="FU127" s="172">
        <f>MIN(1,MAX(VLOOKUP(($AJ127-$AI127-$AH127-$AG127-$AF127-$AE127*(1+FU$3))/$AJ127,'Технический лист'!$A:$B,2,1),(FT127-0.05)))</f>
        <v/>
      </c>
      <c r="FV127" s="172">
        <f>MIN(1,MAX(VLOOKUP(($AJ127-$AI127-$AH127-$AG127-$AF127-$AE127*(1+FV$3))/$AJ127,'Технический лист'!$A:$B,2,1),(FU127-0.05)))</f>
        <v/>
      </c>
      <c r="FW127" s="172">
        <f>MIN(1,MAX(VLOOKUP(($AJ127-$AI127-$AH127-$AG127-$AF127-$AE127*(1+FW$3))/$AJ127,'Технический лист'!$A:$B,2,1),(FV127-0.05)))</f>
        <v/>
      </c>
      <c r="FX127" s="172">
        <f>MIN(1,MAX(VLOOKUP(($AJ127-$AI127-$AH127-$AG127-$AF127-$AE127*(1+FX$3))/$AJ127,'Технический лист'!$A:$B,2,1),(FW127-0.05)))</f>
        <v/>
      </c>
      <c r="FY127" s="172">
        <f>MIN(1,MAX(VLOOKUP(($AJ127-$AI127-$AH127-$AG127-$AF127-$AE127*(1+FY$3))/$AJ127,'Технический лист'!$A:$B,2,1),(FX127-0.05)))</f>
        <v/>
      </c>
      <c r="FZ127" s="172">
        <f>MIN(1,MAX(VLOOKUP(($AJ127-$AI127-$AH127-$AG127-$AF127-$AE127*(1+FZ$3))/$AJ127,'Технический лист'!$A:$B,2,1),(FY127-0.05)))</f>
        <v/>
      </c>
      <c r="GA127" s="172">
        <f>MIN(1,MAX(VLOOKUP(($AJ127-$AI127-$AH127-$AG127-$AF127-$AE127*(1+GA$3))/$AJ127,'Технический лист'!$A:$B,2,1),(FZ127-0.05)))</f>
        <v/>
      </c>
      <c r="GB127" s="172">
        <f>MIN(1,MAX(VLOOKUP(($AJ127-$AI127-$AH127-$AG127-$AF127-$AE127*(1+GB$3))/$AJ127,'Технический лист'!$A:$B,2,1),(GA127-0.05)))</f>
        <v/>
      </c>
      <c r="GC127" s="172">
        <f>MIN(1,MAX(VLOOKUP(($AJ127-$AI127-$AH127-$AG127-$AF127-$AE127*(1+GC$3))/$AJ127,'Технический лист'!$A:$B,2,1),(GB127-0.05)))</f>
        <v/>
      </c>
      <c r="GD127" s="172">
        <f>MIN(1,MAX(VLOOKUP(($AJ127-$AI127-$AH127-$AG127-$AF127-$AE127*(1+GD$3))/$AJ127,'Технический лист'!$A:$B,2,1),(GC127-0.05)))</f>
        <v/>
      </c>
      <c r="GE127" s="172">
        <f>MIN(1,MAX(VLOOKUP(($AJ127-$AI127-$AH127-$AG127-$AF127-$AE127*(1+GE$3))/$AJ127,'Технический лист'!$A:$B,2,1),(GD127-0.05)))</f>
        <v/>
      </c>
      <c r="GF127" s="172">
        <f>MIN(1,MAX(VLOOKUP(($AJ127-$AI127-$AH127-$AG127-$AF127-$AE127*(1+GF$3))/$AJ127,'Технический лист'!$A:$B,2,1),(GE127-0.05)))</f>
        <v/>
      </c>
      <c r="GG127" s="172">
        <f>MIN(1,MAX(VLOOKUP(($AJ127-$AI127-$AH127-$AG127-$AF127-$AE127*(1+GG$3))/$AJ127,'Технический лист'!$A:$B,2,1),(GF127-0.05)))</f>
        <v/>
      </c>
      <c r="GH127" s="172">
        <f>MIN(1,MAX(VLOOKUP(($AJ127-$AI127-$AH127-$AG127-$AF127-$AE127*(1+GH$3))/$AJ127,'Технический лист'!$A:$B,2,1),(GG127-0.05)))</f>
        <v/>
      </c>
      <c r="GI127" s="172">
        <f>MIN(1,MAX(VLOOKUP(($AJ127-$AI127-$AH127-$AG127-$AF127-$AE127*(1+GI$3))/$AJ127,'Технический лист'!$A:$B,2,1),(GH127-0.05)))</f>
        <v/>
      </c>
      <c r="GJ127" s="172">
        <f>MIN(1,MAX(VLOOKUP(($AJ127-$AI127-$AH127-$AG127-$AF127-$AE127*(1+GJ$3))/$AJ127,'Технический лист'!$A:$B,2,1),(GI127-0.05)))</f>
        <v/>
      </c>
      <c r="GK127" s="172">
        <f>MIN(1,MAX(VLOOKUP(($AJ127-$AI127-$AH127-$AG127-$AF127-$AE127*(1+GK$3))/$AJ127,'Технический лист'!$A:$B,2,1),(GJ127-0.05)))</f>
        <v/>
      </c>
      <c r="GL127" s="172">
        <f>MIN(1,MAX(VLOOKUP(($AJ127-$AI127-$AH127-$AG127-$AF127-$AE127*(1+GL$3))/$AJ127,'Технический лист'!$A:$B,2,1),(GK127-0.05)))</f>
        <v/>
      </c>
      <c r="GM127" s="172">
        <f>MIN(1,MAX(VLOOKUP(($AJ127-$AI127-$AH127-$AG127-$AF127-$AE127*(1+GM$3))/$AJ127,'Технический лист'!$A:$B,2,1),(GL127-0.05)))</f>
        <v/>
      </c>
      <c r="GN127" s="172">
        <f>MIN(1,MAX(VLOOKUP(($AJ127-$AI127-$AH127-$AG127-$AF127-$AE127*(1+GN$3))/$AJ127,'Технический лист'!$A:$B,2,1),(GM127-0.05)))</f>
        <v/>
      </c>
      <c r="GO127" s="172">
        <f>MIN(1,MAX(VLOOKUP(($AJ127-$AI127-$AH127-$AG127-$AF127-$AE127*(1+GO$3))/$AJ127,'Технический лист'!$A:$B,2,1),(GN127-0.05)))</f>
        <v/>
      </c>
      <c r="GP127" s="172">
        <f>MIN(1,MAX(VLOOKUP(($AJ127-$AI127-$AH127-$AG127-$AF127-$AE127*(1+GP$3))/$AJ127,'Технический лист'!$A:$B,2,1),(GO127-0.05)))</f>
        <v/>
      </c>
      <c r="GQ127" s="172">
        <f>MIN(1,MAX(VLOOKUP(($AJ127-$AI127-$AH127-$AG127-$AF127-$AE127*(1+GQ$3))/$AJ127,'Технический лист'!$A:$B,2,1),(GP127-0.05)))</f>
        <v/>
      </c>
      <c r="GR127" s="172">
        <f>MIN(1,MAX(VLOOKUP(($AJ127-$AI127-$AH127-$AG127-$AF127-$AE127*(1+GR$3))/$AJ127,'Технический лист'!$A:$B,2,1),(GQ127-0.05)))</f>
        <v/>
      </c>
      <c r="GS127" s="172">
        <f>MIN(1,MAX(VLOOKUP(($AJ127-$AI127-$AH127-$AG127-$AF127-$AE127*(1+GS$3))/$AJ127,'Технический лист'!$A:$B,2,1),(GR127-0.05)))</f>
        <v/>
      </c>
      <c r="GT127" s="172">
        <f>MIN(1,MAX(VLOOKUP(($AJ127-$AI127-$AH127-$AG127-$AF127-$AE127*(1+GT$3))/$AJ127,'Технический лист'!$A:$B,2,1),(GS127-0.05)))</f>
        <v/>
      </c>
      <c r="GU127" s="172">
        <f>MIN(1,MAX(VLOOKUP(($AJ127-$AI127-$AH127-$AG127-$AF127-$AE127*(1+GU$3))/$AJ127,'Технический лист'!$A:$B,2,1),(GT127-0.05)))</f>
        <v/>
      </c>
      <c r="GV127" s="172">
        <f>MIN(1,MAX(VLOOKUP(($AJ127-$AI127-$AH127-$AG127-$AF127-$AE127*(1+GV$3))/$AJ127,'Технический лист'!$A:$B,2,1),(GU127-0.05)))</f>
        <v/>
      </c>
      <c r="GW127" s="172">
        <f>MIN(1,MAX(VLOOKUP(($AJ127-$AI127-$AH127-$AG127-$AF127-$AE127*(1+GW$3))/$AJ127,'Технический лист'!$A:$B,2,1),(GV127-0.05)))</f>
        <v/>
      </c>
      <c r="GX127" s="172">
        <f>MIN(1,MAX(VLOOKUP(($AJ127-$AI127-$AH127-$AG127-$AF127-$AE127*(1+GX$3))/$AJ127,'Технический лист'!$A:$B,2,1),(GW127-0.05)))</f>
        <v/>
      </c>
      <c r="GY127" s="172">
        <f>MIN(1,MAX(VLOOKUP(($AJ127-$AI127-$AH127-$AG127-$AF127-$AE127*(1+GY$3))/$AJ127,'Технический лист'!$A:$B,2,1),(GX127-0.05)))</f>
        <v/>
      </c>
      <c r="GZ127" s="172">
        <f>MIN(1,MAX(VLOOKUP(($AJ127-$AI127-$AH127-$AG127-$AF127-$AE127*(1+GZ$3))/$AJ127,'Технический лист'!$A:$B,2,1),(GY127-0.05)))</f>
        <v/>
      </c>
      <c r="HA127" s="172">
        <f>MIN(1,MAX(VLOOKUP(($AJ127-$AI127-$AH127-$AG127-$AF127-$AE127*(1+HA$3))/$AJ127,'Технический лист'!$A:$B,2,1),(GZ127-0.05)))</f>
        <v/>
      </c>
      <c r="HB127" s="172">
        <f>MIN(1,MAX(VLOOKUP(($AJ127-$AI127-$AH127-$AG127-$AF127-$AE127*(1+HB$3))/$AJ127,'Технический лист'!$A:$B,2,1),(HA127-0.05)))</f>
        <v/>
      </c>
      <c r="HC127" s="172">
        <f>MIN(1,MAX(VLOOKUP(($AJ127-$AI127-$AH127-$AG127-$AF127-$AE127*(1+HC$3))/$AJ127,'Технический лист'!$A:$B,2,1),(HB127-0.05)))</f>
        <v/>
      </c>
      <c r="HD127" s="172">
        <f>MIN(1,MAX(VLOOKUP(($AJ127-$AI127-$AH127-$AG127-$AF127-$AE127*(1+HD$3))/$AJ127,'Технический лист'!$A:$B,2,1),(HC127-0.05)))</f>
        <v/>
      </c>
      <c r="HE127" s="172">
        <f>MIN(1,MAX(VLOOKUP(($AJ127-$AI127-$AH127-$AG127-$AF127-$AE127*(1+HE$3))/$AJ127,'Технический лист'!$A:$B,2,1),(HD127-0.05)))</f>
        <v/>
      </c>
      <c r="HF127" s="172">
        <f>MIN(1,MAX(VLOOKUP(($AJ127-$AI127-$AH127-$AG127-$AF127-$AE127*(1+HF$3))/$AJ127,'Технический лист'!$A:$B,2,1),(HE127-0.05)))</f>
        <v/>
      </c>
      <c r="HG127" s="172">
        <f>MIN(1,MAX(VLOOKUP(($AJ127-$AI127-$AH127-$AG127-$AF127-$AE127*(1+HG$3))/$AJ127,'Технический лист'!$A:$B,2,1),(HF127-0.05)))</f>
        <v/>
      </c>
      <c r="HH127" s="172">
        <f>MIN(1,MAX(VLOOKUP(($AJ127-$AI127-$AH127-$AG127-$AF127-$AE127*(1+HH$3))/$AJ127,'Технический лист'!$A:$B,2,1),(HG127-0.05)))</f>
        <v/>
      </c>
      <c r="HI127" s="172">
        <f>MIN(1,MAX(VLOOKUP(($AJ127-$AI127-$AH127-$AG127-$AF127-$AE127*(1+HI$3))/$AJ127,'Технический лист'!$A:$B,2,1),(HH127-0.05)))</f>
        <v/>
      </c>
      <c r="HJ127" s="172">
        <f>MIN(1,MAX(VLOOKUP(($AJ127-$AI127-$AH127-$AG127-$AF127-$AE127*(1+HJ$3))/$AJ127,'Технический лист'!$A:$B,2,1),(HI127-0.05)))</f>
        <v/>
      </c>
      <c r="HK127" s="172">
        <f>MIN(1,MAX(VLOOKUP(($AJ127-$AI127-$AH127-$AG127-$AF127-$AE127*(1+HK$3))/$AJ127,'Технический лист'!$A:$B,2,1),(HJ127-0.05)))</f>
        <v/>
      </c>
      <c r="HL127" s="172">
        <f>MIN(1,MAX(VLOOKUP(($AJ127-$AI127-$AH127-$AG127-$AF127-$AE127*(1+HL$3))/$AJ127,'Технический лист'!$A:$B,2,1),(HK127-0.05)))</f>
        <v/>
      </c>
      <c r="HM127" s="172">
        <f>MIN(1,MAX(VLOOKUP(($AJ127-$AI127-$AH127-$AG127-$AF127-$AE127*(1+HM$3))/$AJ127,'Технический лист'!$A:$B,2,1),(HL127-0.05)))</f>
        <v/>
      </c>
      <c r="HN127" s="172">
        <f>MIN(1,MAX(VLOOKUP(($AJ127-$AI127-$AH127-$AG127-$AF127-$AE127*(1+HN$3))/$AJ127,'Технический лист'!$A:$B,2,1),(HM127-0.05)))</f>
        <v/>
      </c>
      <c r="HO127" s="172">
        <f>MIN(1,MAX(VLOOKUP(($AJ127-$AI127-$AH127-$AG127-$AF127-$AE127*(1+HO$3))/$AJ127,'Технический лист'!$A:$B,2,1),(HN127-0.05)))</f>
        <v/>
      </c>
      <c r="HP127" s="172">
        <f>MIN(1,MAX(VLOOKUP(($AJ127-$AI127-$AH127-$AG127-$AF127-$AE127*(1+HP$3))/$AJ127,'Технический лист'!$A:$B,2,1),(HO127-0.05)))</f>
        <v/>
      </c>
      <c r="HQ127" s="172">
        <f>MIN(1,MAX(VLOOKUP(($AJ127-$AI127-$AH127-$AG127-$AF127-$AE127*(1+HQ$3))/$AJ127,'Технический лист'!$A:$B,2,1),(HP127-0.05)))</f>
        <v/>
      </c>
      <c r="HR127" s="172">
        <f>MIN(1,MAX(VLOOKUP(($AJ127-$AI127-$AH127-$AG127-$AF127-$AE127*(1+HR$3))/$AJ127,'Технический лист'!$A:$B,2,1),(HQ127-0.05)))</f>
        <v/>
      </c>
      <c r="HS127" s="172">
        <f>MIN(1,MAX(VLOOKUP(($AJ127-$AI127-$AH127-$AG127-$AF127-$AE127*(1+HS$3))/$AJ127,'Технический лист'!$A:$B,2,1),(HR127-0.05)))</f>
        <v/>
      </c>
      <c r="HT127" s="172">
        <f>MIN(1,MAX(VLOOKUP(($AJ127-$AI127-$AH127-$AG127-$AF127-$AE127*(1+HT$3))/$AJ127,'Технический лист'!$A:$B,2,1),(HS127-0.05)))</f>
        <v/>
      </c>
      <c r="HU127" s="172">
        <f>MIN(1,MAX(VLOOKUP(($AJ127-$AI127-$AH127-$AG127-$AF127-$AE127*(1+HU$3))/$AJ127,'Технический лист'!$A:$B,2,1),(HT127-0.05)))</f>
        <v/>
      </c>
      <c r="HV127" s="172">
        <f>MIN(1,MAX(VLOOKUP(($AJ127-$AI127-$AH127-$AG127-$AF127-$AE127*(1+HV$3))/$AJ127,'Технический лист'!$A:$B,2,1),(HU127-0.05)))</f>
        <v/>
      </c>
      <c r="HW127" s="172">
        <f>MIN(1,MAX(VLOOKUP(($AJ127-$AI127-$AH127-$AG127-$AF127-$AE127*(1+HW$3))/$AJ127,'Технический лист'!$A:$B,2,1),(HV127-0.05)))</f>
        <v/>
      </c>
      <c r="HX127" s="172">
        <f>MIN(1,MAX(VLOOKUP(($AJ127-$AI127-$AH127-$AG127-$AF127-$AE127*(1+HX$3))/$AJ127,'Технический лист'!$A:$B,2,1),(HW127-0.05)))</f>
        <v/>
      </c>
      <c r="HY127" s="172">
        <f>MIN(1,MAX(VLOOKUP(($AJ127-$AI127-$AH127-$AG127-$AF127-$AE127*(1+HY$3))/$AJ127,'Технический лист'!$A:$B,2,1),(HX127-0.05)))</f>
        <v/>
      </c>
      <c r="HZ127" s="172">
        <f>MIN(1,MAX(VLOOKUP(($AJ127-$AI127-$AH127-$AG127-$AF127-$AE127*(1+HZ$3))/$AJ127,'Технический лист'!$A:$B,2,1),(HY127-0.05)))</f>
        <v/>
      </c>
      <c r="IA127" s="172">
        <f>MIN(1,MAX(VLOOKUP(($AJ127-$AI127-$AH127-$AG127-$AF127-$AE127*(1+IA$3))/$AJ127,'Технический лист'!$A:$B,2,1),(HZ127-0.05)))</f>
        <v/>
      </c>
      <c r="IB127" s="172">
        <f>MIN(1,MAX(VLOOKUP(($AJ127-$AI127-$AH127-$AG127-$AF127-$AE127*(1+IB$3))/$AJ127,'Технический лист'!$A:$B,2,1),(IA127-0.05)))</f>
        <v/>
      </c>
      <c r="IC127" s="172">
        <f>MIN(1,MAX(VLOOKUP(($AJ127-$AI127-$AH127-$AG127-$AF127-$AE127*(1+IC$3))/$AJ127,'Технический лист'!$A:$B,2,1),(IB127-0.05)))</f>
        <v/>
      </c>
      <c r="ID127" s="172">
        <f>MIN(1,MAX(VLOOKUP(($AJ127-$AI127-$AH127-$AG127-$AF127-$AE127*(1+ID$3))/$AJ127,'Технический лист'!$A:$B,2,1),(IC127-0.05)))</f>
        <v/>
      </c>
      <c r="IE127" s="172">
        <f>MIN(1,MAX(VLOOKUP(($AJ127-$AI127-$AH127-$AG127-$AF127-$AE127*(1+IE$3))/$AJ127,'Технический лист'!$A:$B,2,1),(ID127-0.05)))</f>
        <v/>
      </c>
      <c r="IF127" s="172">
        <f>MIN(1,MAX(VLOOKUP(($AJ127-$AI127-$AH127-$AG127-$AF127-$AE127*(1+IF$3))/$AJ127,'Технический лист'!$A:$B,2,1),(IE127-0.05)))</f>
        <v/>
      </c>
      <c r="IG127" s="172">
        <f>MIN(1,MAX(VLOOKUP(($AJ127-$AI127-$AH127-$AG127-$AF127-$AE127*(1+IG$3))/$AJ127,'Технический лист'!$A:$B,2,1),(IF127-0.05)))</f>
        <v/>
      </c>
      <c r="IH127" s="172">
        <f>MIN(1,MAX(VLOOKUP(($AJ127-$AI127-$AH127-$AG127-$AF127-$AE127*(1+IH$3))/$AJ127,'Технический лист'!$A:$B,2,1),(IG127-0.05)))</f>
        <v/>
      </c>
      <c r="II127" s="172">
        <f>MIN(1,MAX(VLOOKUP(($AJ127-$AI127-$AH127-$AG127-$AF127-$AE127*(1+II$3))/$AJ127,'Технический лист'!$A:$B,2,1),(IH127-0.05)))</f>
        <v/>
      </c>
      <c r="IJ127" s="172">
        <f>MIN(1,MAX(VLOOKUP(($AJ127-$AI127-$AH127-$AG127-$AF127-$AE127*(1+IJ$3))/$AJ127,'Технический лист'!$A:$B,2,1),(II127-0.05)))</f>
        <v/>
      </c>
      <c r="IK127" s="172">
        <f>MIN(1,MAX(VLOOKUP(($AJ127-$AI127-$AH127-$AG127-$AF127-$AE127*(1+IK$3))/$AJ127,'Технический лист'!$A:$B,2,1),(IJ127-0.05)))</f>
        <v/>
      </c>
      <c r="IL127" s="172">
        <f>MIN(1,MAX(VLOOKUP(($AJ127-$AI127-$AH127-$AG127-$AF127-$AE127*(1+IL$3))/$AJ127,'Технический лист'!$A:$B,2,1),(IK127-0.05)))</f>
        <v/>
      </c>
      <c r="IM127" s="172">
        <f>MIN(1,MAX(VLOOKUP(($AJ127-$AI127-$AH127-$AG127-$AF127-$AE127*(1+IM$3))/$AJ127,'Технический лист'!$A:$B,2,1),(IL127-0.05)))</f>
        <v/>
      </c>
      <c r="IN127" s="172">
        <f>MIN(1,MAX(VLOOKUP(($AJ127-$AI127-$AH127-$AG127-$AF127-$AE127*(1+IN$3))/$AJ127,'Технический лист'!$A:$B,2,1),(IM127-0.05)))</f>
        <v/>
      </c>
      <c r="IO127" s="172">
        <f>MIN(1,MAX(VLOOKUP(($AJ127-$AI127-$AH127-$AG127-$AF127-$AE127*(1+IO$3))/$AJ127,'Технический лист'!$A:$B,2,1),(IN127-0.05)))</f>
        <v/>
      </c>
      <c r="IP127" s="172">
        <f>MIN(1,MAX(VLOOKUP(($AJ127-$AI127-$AH127-$AG127-$AF127-$AE127*(1+IP$3))/$AJ127,'Технический лист'!$A:$B,2,1),(IO127-0.05)))</f>
        <v/>
      </c>
      <c r="IQ127" s="172">
        <f>MIN(1,MAX(VLOOKUP(($AJ127-$AI127-$AH127-$AG127-$AF127-$AE127*(1+IQ$3))/$AJ127,'Технический лист'!$A:$B,2,1),(IP127-0.05)))</f>
        <v/>
      </c>
      <c r="IR127" s="172">
        <f>MIN(1,MAX(VLOOKUP(($AJ127-$AI127-$AH127-$AG127-$AF127-$AE127*(1+IR$3))/$AJ127,'Технический лист'!$A:$B,2,1),(IQ127-0.05)))</f>
        <v/>
      </c>
    </row>
    <row r="128" ht="29.15" customHeight="1" s="123">
      <c r="A128" s="89" t="inlineStr">
        <is>
          <t>ЧМ (продукция)</t>
        </is>
      </c>
      <c r="B128" s="90" t="n">
        <v>5</v>
      </c>
      <c r="C128" s="5" t="inlineStr">
        <is>
          <t>Черные металлы</t>
        </is>
      </c>
      <c r="D128" s="91" t="n">
        <v>32302</v>
      </c>
      <c r="E128" s="91" t="inlineStr">
        <is>
          <t xml:space="preserve">Трубы бесшовные </t>
        </is>
      </c>
      <c r="F128" s="92" t="inlineStr">
        <is>
          <t>ТРУБЫ ИЗ ЧЕРНЫХ МЕТАЛЛОВ</t>
        </is>
      </c>
      <c r="G128" s="91" t="inlineStr">
        <is>
          <t>СКВ</t>
        </is>
      </c>
      <c r="H128" s="91" t="inlineStr">
        <is>
          <t>МСК</t>
        </is>
      </c>
      <c r="I128" s="91" t="inlineStr">
        <is>
          <t>ТАГАНРОГ</t>
        </is>
      </c>
      <c r="J128" s="91" t="inlineStr">
        <is>
          <t>ЗЛЫНКА-ЭКСП</t>
        </is>
      </c>
      <c r="K128" s="91" t="n">
        <v>1939</v>
      </c>
      <c r="L128" s="91" t="inlineStr">
        <is>
          <t>Полувагоны</t>
        </is>
      </c>
      <c r="M128" s="91" t="inlineStr">
        <is>
          <t>Экспорт</t>
        </is>
      </c>
      <c r="N128" s="91" t="inlineStr">
        <is>
          <t>вагонная</t>
        </is>
      </c>
      <c r="O128" s="91" t="inlineStr">
        <is>
          <t xml:space="preserve">Северо-Западное </t>
        </is>
      </c>
      <c r="P128" s="89" t="inlineStr">
        <is>
          <t>'000000186602</t>
        </is>
      </c>
      <c r="Q128" s="91" t="inlineStr">
        <is>
          <t>'АО "Таганрогский металлургический завод"</t>
        </is>
      </c>
      <c r="R128" s="91" t="inlineStr">
        <is>
          <t>ПАО "ТМК"</t>
        </is>
      </c>
      <c r="S128" s="87" t="n">
        <v>4218</v>
      </c>
      <c r="T128" s="87" t="n">
        <v>8178643</v>
      </c>
      <c r="U128" s="88" t="n">
        <v>70</v>
      </c>
      <c r="V128" s="88" t="n">
        <v>0</v>
      </c>
      <c r="W128" s="87" t="n">
        <v>13938164</v>
      </c>
      <c r="X128" s="112" t="n">
        <v>54</v>
      </c>
      <c r="Y128" s="112" t="inlineStr">
        <is>
          <t>повагонная</t>
        </is>
      </c>
      <c r="Z128" s="113" t="n">
        <v>9</v>
      </c>
      <c r="AA128" s="113" t="n">
        <v>5</v>
      </c>
      <c r="AB128" s="113" t="n">
        <v>4</v>
      </c>
      <c r="AC128" s="161" t="n">
        <v>3970.11</v>
      </c>
      <c r="AD128" s="161">
        <f>AE128-AC128</f>
        <v/>
      </c>
      <c r="AE128" s="161" t="n">
        <v>4558.52</v>
      </c>
      <c r="AF128" s="162">
        <f>(Z128+AA128+AB128)*'Ставки аренды'!$B$3/X128</f>
        <v/>
      </c>
      <c r="AG128" s="164" t="n">
        <v>0</v>
      </c>
      <c r="AH128" s="164" t="n">
        <v>0</v>
      </c>
      <c r="AI128" s="165">
        <f>314456/404359*AJ128</f>
        <v/>
      </c>
      <c r="AJ128" s="166">
        <f>Цены!D28</f>
        <v/>
      </c>
      <c r="AK128" s="164">
        <f>AJ128/Цены!$B$1</f>
        <v/>
      </c>
      <c r="AL128" s="164">
        <f>AE128+AF128+AG128</f>
        <v/>
      </c>
      <c r="AM128" s="164">
        <f>AJ128-AL128</f>
        <v/>
      </c>
      <c r="AN128" s="164">
        <f>AI128+AH128+AG128+AF128+AE128</f>
        <v/>
      </c>
      <c r="AO128" s="167">
        <f>(AJ128-AN128)/AJ128</f>
        <v/>
      </c>
      <c r="AP128" s="168">
        <f>AL128/AJ128</f>
        <v/>
      </c>
      <c r="AQ128" s="168">
        <f>AE128/AJ128</f>
        <v/>
      </c>
      <c r="AR128" s="168">
        <f>AE128/AL128</f>
        <v/>
      </c>
      <c r="AS128" s="169" t="n">
        <v>1</v>
      </c>
      <c r="AT128" s="121">
        <f>S128*AS128</f>
        <v/>
      </c>
      <c r="AU128" s="83" t="n">
        <v>0.6</v>
      </c>
      <c r="AV128" s="170">
        <f>(AJ128-(AE128*(1+$IS$2)+AF128+AG128+AH128+AI128))/AJ128</f>
        <v/>
      </c>
      <c r="AW128" s="171">
        <f>(AE128*(1+$IS$2)+AF128+AG128)/AJ128</f>
        <v/>
      </c>
      <c r="AX128" s="171">
        <f>(AE128*(1+$IS$2))/AJ128</f>
        <v/>
      </c>
      <c r="AY128" s="171">
        <f>(AE128*(1+$IS$2))/(AE128*(1+$IS$2)+AF128+AG128)</f>
        <v/>
      </c>
      <c r="AZ128" s="172">
        <f>MIN(IF($AU128=100%,1,1+VLOOKUP(($AJ128-$AI128-$AH128-$AG128-$AF128-$AE128*(1+AZ$3))/$AJ128,'Технический лист'!$I:$J,2,1)-VLOOKUP($AO128,'Технический лист'!$I:$J,2,1)),1+(1-$AU128))</f>
        <v/>
      </c>
      <c r="BA128" s="172">
        <f>MIN(IF($AU128=100%,1,1+VLOOKUP(($AJ128-$AI128-$AH128-$AG128-$AF128-$AE128*(1+BA$3))/$AJ128,'Технический лист'!$I:$J,2,1)-VLOOKUP($AO128,'Технический лист'!$I:$J,2,1)),1+(1-$AU128))</f>
        <v/>
      </c>
      <c r="BB128" s="172">
        <f>MIN(IF($AU128=100%,1,1+VLOOKUP(($AJ128-$AI128-$AH128-$AG128-$AF128-$AE128*(1+BB$3))/$AJ128,'Технический лист'!$I:$J,2,1)-VLOOKUP($AO128,'Технический лист'!$I:$J,2,1)),1+(1-$AU128))</f>
        <v/>
      </c>
      <c r="BC128" s="172">
        <f>MIN(IF($AU128=100%,1,1+VLOOKUP(($AJ128-$AI128-$AH128-$AG128-$AF128-$AE128*(1+BC$3))/$AJ128,'Технический лист'!$I:$J,2,1)-VLOOKUP($AO128,'Технический лист'!$I:$J,2,1)),1+(1-$AU128))</f>
        <v/>
      </c>
      <c r="BD128" s="172">
        <f>MIN(IF($AU128=100%,1,1+VLOOKUP(($AJ128-$AI128-$AH128-$AG128-$AF128-$AE128*(1+BD$3))/$AJ128,'Технический лист'!$I:$J,2,1)-VLOOKUP($AO128,'Технический лист'!$I:$J,2,1)),1+(1-$AU128))</f>
        <v/>
      </c>
      <c r="BE128" s="172">
        <f>MIN(IF($AU128=100%,1,1+VLOOKUP(($AJ128-$AI128-$AH128-$AG128-$AF128-$AE128*(1+BE$3))/$AJ128,'Технический лист'!$I:$J,2,1)-VLOOKUP($AO128,'Технический лист'!$I:$J,2,1)),1+(1-$AU128))</f>
        <v/>
      </c>
      <c r="BF128" s="172">
        <f>MIN(IF($AU128=100%,1,1+VLOOKUP(($AJ128-$AI128-$AH128-$AG128-$AF128-$AE128*(1+BF$3))/$AJ128,'Технический лист'!$I:$J,2,1)-VLOOKUP($AO128,'Технический лист'!$I:$J,2,1)),1+(1-$AU128))</f>
        <v/>
      </c>
      <c r="BG128" s="172">
        <f>MIN(IF($AU128=100%,1,1+VLOOKUP(($AJ128-$AI128-$AH128-$AG128-$AF128-$AE128*(1+BG$3))/$AJ128,'Технический лист'!$I:$J,2,1)-VLOOKUP($AO128,'Технический лист'!$I:$J,2,1)),1+(1-$AU128))</f>
        <v/>
      </c>
      <c r="BH128" s="172">
        <f>MIN(IF($AU128=100%,1,1+VLOOKUP(($AJ128-$AI128-$AH128-$AG128-$AF128-$AE128*(1+BH$3))/$AJ128,'Технический лист'!$I:$J,2,1)-VLOOKUP($AO128,'Технический лист'!$I:$J,2,1)),1+(1-$AU128))</f>
        <v/>
      </c>
      <c r="BI128" s="172">
        <f>MIN(IF($AU128=100%,1,1+VLOOKUP(($AJ128-$AI128-$AH128-$AG128-$AF128-$AE128*(1+BI$3))/$AJ128,'Технический лист'!$I:$J,2,1)-VLOOKUP($AO128,'Технический лист'!$I:$J,2,1)),1+(1-$AU128))</f>
        <v/>
      </c>
      <c r="BJ128" s="172">
        <f>MIN(IF($AU128=100%,1,1+VLOOKUP(($AJ128-$AI128-$AH128-$AG128-$AF128-$AE128*(1+BJ$3))/$AJ128,'Технический лист'!$I:$J,2,1)-VLOOKUP($AO128,'Технический лист'!$I:$J,2,1)),1+(1-$AU128))</f>
        <v/>
      </c>
      <c r="BK128" s="172">
        <f>MIN(IF($AU128=100%,1,1+VLOOKUP(($AJ128-$AI128-$AH128-$AG128-$AF128-$AE128*(1+BK$3))/$AJ128,'Технический лист'!$I:$J,2,1)-VLOOKUP($AO128,'Технический лист'!$I:$J,2,1)),1+(1-$AU128))</f>
        <v/>
      </c>
      <c r="BL128" s="172">
        <f>MIN(IF($AU128=100%,1,1+VLOOKUP(($AJ128-$AI128-$AH128-$AG128-$AF128-$AE128*(1+BL$3))/$AJ128,'Технический лист'!$I:$J,2,1)-VLOOKUP($AO128,'Технический лист'!$I:$J,2,1)),1+(1-$AU128))</f>
        <v/>
      </c>
      <c r="BM128" s="172">
        <f>MIN(IF($AU128=100%,1,1+VLOOKUP(($AJ128-$AI128-$AH128-$AG128-$AF128-$AE128*(1+BM$3))/$AJ128,'Технический лист'!$I:$J,2,1)-VLOOKUP($AO128,'Технический лист'!$I:$J,2,1)),1+(1-$AU128))</f>
        <v/>
      </c>
      <c r="BN128" s="172">
        <f>MIN(IF($AU128=100%,1,1+VLOOKUP(($AJ128-$AI128-$AH128-$AG128-$AF128-$AE128*(1+BN$3))/$AJ128,'Технический лист'!$I:$J,2,1)-VLOOKUP($AO128,'Технический лист'!$I:$J,2,1)),1+(1-$AU128))</f>
        <v/>
      </c>
      <c r="BO128" s="172">
        <f>MIN(IF($AU128=100%,1,1+VLOOKUP(($AJ128-$AI128-$AH128-$AG128-$AF128-$AE128*(1+BO$3))/$AJ128,'Технический лист'!$I:$J,2,1)-VLOOKUP($AO128,'Технический лист'!$I:$J,2,1)),1+(1-$AU128))</f>
        <v/>
      </c>
      <c r="BP128" s="172">
        <f>MIN(IF($AU128=100%,1,1+VLOOKUP(($AJ128-$AI128-$AH128-$AG128-$AF128-$AE128*(1+BP$3))/$AJ128,'Технический лист'!$I:$J,2,1)-VLOOKUP($AO128,'Технический лист'!$I:$J,2,1)),1+(1-$AU128))</f>
        <v/>
      </c>
      <c r="BQ128" s="172">
        <f>MIN(IF($AU128=100%,1,1+VLOOKUP(($AJ128-$AI128-$AH128-$AG128-$AF128-$AE128*(1+BQ$3))/$AJ128,'Технический лист'!$I:$J,2,1)-VLOOKUP($AO128,'Технический лист'!$I:$J,2,1)),1+(1-$AU128))</f>
        <v/>
      </c>
      <c r="BR128" s="172">
        <f>MIN(IF($AU128=100%,1,1+VLOOKUP(($AJ128-$AI128-$AH128-$AG128-$AF128-$AE128*(1+BR$3))/$AJ128,'Технический лист'!$I:$J,2,1)-VLOOKUP($AO128,'Технический лист'!$I:$J,2,1)),1+(1-$AU128))</f>
        <v/>
      </c>
      <c r="BS128" s="172">
        <f>MIN(IF($AU128=100%,1,1+VLOOKUP(($AJ128-$AI128-$AH128-$AG128-$AF128-$AE128*(1+BS$3))/$AJ128,'Технический лист'!$I:$J,2,1)-VLOOKUP($AO128,'Технический лист'!$I:$J,2,1)),1+(1-$AU128))</f>
        <v/>
      </c>
      <c r="BT128" s="172">
        <f>MIN(IF($AU128=100%,1,1+VLOOKUP(($AJ128-$AI128-$AH128-$AG128-$AF128-$AE128*(1+BT$3))/$AJ128,'Технический лист'!$I:$J,2,1)-VLOOKUP($AO128,'Технический лист'!$I:$J,2,1)),1+(1-$AU128))</f>
        <v/>
      </c>
      <c r="BU128" s="172">
        <f>MIN(IF($AU128=100%,1,1+VLOOKUP(($AJ128-$AI128-$AH128-$AG128-$AF128-$AE128*(1+BU$3))/$AJ128,'Технический лист'!$I:$J,2,1)-VLOOKUP($AO128,'Технический лист'!$I:$J,2,1)),1+(1-$AU128))</f>
        <v/>
      </c>
      <c r="BV128" s="172">
        <f>MIN(IF($AU128=100%,1,1+VLOOKUP(($AJ128-$AI128-$AH128-$AG128-$AF128-$AE128*(1+BV$3))/$AJ128,'Технический лист'!$I:$J,2,1)-VLOOKUP($AO128,'Технический лист'!$I:$J,2,1)),1+(1-$AU128))</f>
        <v/>
      </c>
      <c r="BW128" s="172">
        <f>MIN(IF($AU128=100%,1,1+VLOOKUP(($AJ128-$AI128-$AH128-$AG128-$AF128-$AE128*(1+BW$3))/$AJ128,'Технический лист'!$I:$J,2,1)-VLOOKUP($AO128,'Технический лист'!$I:$J,2,1)),1+(1-$AU128))</f>
        <v/>
      </c>
      <c r="BX128" s="172">
        <f>MIN(IF($AU128=100%,1,1+VLOOKUP(($AJ128-$AI128-$AH128-$AG128-$AF128-$AE128*(1+BX$3))/$AJ128,'Технический лист'!$I:$J,2,1)-VLOOKUP($AO128,'Технический лист'!$I:$J,2,1)),1+(1-$AU128))</f>
        <v/>
      </c>
      <c r="BY128" s="172">
        <f>MIN(IF($AU128=100%,1,1+VLOOKUP(($AJ128-$AI128-$AH128-$AG128-$AF128-$AE128*(1+BY$3))/$AJ128,'Технический лист'!$I:$J,2,1)-VLOOKUP($AO128,'Технический лист'!$I:$J,2,1)),1+(1-$AU128))</f>
        <v/>
      </c>
      <c r="BZ128" s="172">
        <f>MIN(IF($AU128=100%,1,1+VLOOKUP(($AJ128-$AI128-$AH128-$AG128-$AF128-$AE128*(1+BZ$3))/$AJ128,'Технический лист'!$I:$J,2,1)-VLOOKUP($AO128,'Технический лист'!$I:$J,2,1)),1+(1-$AU128))</f>
        <v/>
      </c>
      <c r="CA128" s="172">
        <f>MIN(IF($AU128=100%,1,1+VLOOKUP(($AJ128-$AI128-$AH128-$AG128-$AF128-$AE128*(1+CA$3))/$AJ128,'Технический лист'!$I:$J,2,1)-VLOOKUP($AO128,'Технический лист'!$I:$J,2,1)),1+(1-$AU128))</f>
        <v/>
      </c>
      <c r="CB128" s="172">
        <f>MIN(IF($AU128=100%,1,1+VLOOKUP(($AJ128-$AI128-$AH128-$AG128-$AF128-$AE128*(1+CB$3))/$AJ128,'Технический лист'!$I:$J,2,1)-VLOOKUP($AO128,'Технический лист'!$I:$J,2,1)),1+(1-$AU128))</f>
        <v/>
      </c>
      <c r="CC128" s="172">
        <f>MIN(IF($AU128=100%,1,1+VLOOKUP(($AJ128-$AI128-$AH128-$AG128-$AF128-$AE128*(1+CC$3))/$AJ128,'Технический лист'!$I:$J,2,1)-VLOOKUP($AO128,'Технический лист'!$I:$J,2,1)),1+(1-$AU128))</f>
        <v/>
      </c>
      <c r="CD128" s="172">
        <f>MIN(IF($AU128=100%,1,1+VLOOKUP(($AJ128-$AI128-$AH128-$AG128-$AF128-$AE128*(1+CD$3))/$AJ128,'Технический лист'!$I:$J,2,1)-VLOOKUP($AO128,'Технический лист'!$I:$J,2,1)),1+(1-$AU128))</f>
        <v/>
      </c>
      <c r="CE128" s="172">
        <f>MIN(IF($AU128=100%,1,1+VLOOKUP(($AJ128-$AI128-$AH128-$AG128-$AF128-$AE128*(1+CE$3))/$AJ128,'Технический лист'!$I:$J,2,1)-VLOOKUP($AO128,'Технический лист'!$I:$J,2,1)),1+(1-$AU128))</f>
        <v/>
      </c>
      <c r="CF128" s="172">
        <f>MIN(IF($AU128=100%,1,1+VLOOKUP(($AJ128-$AI128-$AH128-$AG128-$AF128-$AE128*(1+CF$3))/$AJ128,'Технический лист'!$I:$J,2,1)-VLOOKUP($AO128,'Технический лист'!$I:$J,2,1)),1+(1-$AU128))</f>
        <v/>
      </c>
      <c r="CG128" s="172">
        <f>MIN(IF($AU128=100%,1,1+VLOOKUP(($AJ128-$AI128-$AH128-$AG128-$AF128-$AE128*(1+CG$3))/$AJ128,'Технический лист'!$I:$J,2,1)-VLOOKUP($AO128,'Технический лист'!$I:$J,2,1)),1+(1-$AU128))</f>
        <v/>
      </c>
      <c r="CH128" s="172">
        <f>MIN(IF($AU128=100%,1,1+VLOOKUP(($AJ128-$AI128-$AH128-$AG128-$AF128-$AE128*(1+CH$3))/$AJ128,'Технический лист'!$I:$J,2,1)-VLOOKUP($AO128,'Технический лист'!$I:$J,2,1)),1+(1-$AU128))</f>
        <v/>
      </c>
      <c r="CI128" s="172">
        <f>MIN(IF($AU128=100%,1,1+VLOOKUP(($AJ128-$AI128-$AH128-$AG128-$AF128-$AE128*(1+CI$3))/$AJ128,'Технический лист'!$I:$J,2,1)-VLOOKUP($AO128,'Технический лист'!$I:$J,2,1)),1+(1-$AU128))</f>
        <v/>
      </c>
      <c r="CJ128" s="172">
        <f>MIN(IF($AU128=100%,1,1+VLOOKUP(($AJ128-$AI128-$AH128-$AG128-$AF128-$AE128*(1+CJ$3))/$AJ128,'Технический лист'!$I:$J,2,1)-VLOOKUP($AO128,'Технический лист'!$I:$J,2,1)),1+(1-$AU128))</f>
        <v/>
      </c>
      <c r="CK128" s="172">
        <f>MIN(IF($AU128=100%,1,1+VLOOKUP(($AJ128-$AI128-$AH128-$AG128-$AF128-$AE128*(1+CK$3))/$AJ128,'Технический лист'!$I:$J,2,1)-VLOOKUP($AO128,'Технический лист'!$I:$J,2,1)),1+(1-$AU128))</f>
        <v/>
      </c>
      <c r="CL128" s="172">
        <f>MIN(IF($AU128=100%,1,1+VLOOKUP(($AJ128-$AI128-$AH128-$AG128-$AF128-$AE128*(1+CL$3))/$AJ128,'Технический лист'!$I:$J,2,1)-VLOOKUP($AO128,'Технический лист'!$I:$J,2,1)),1+(1-$AU128))</f>
        <v/>
      </c>
      <c r="CM128" s="172">
        <f>MIN(IF($AU128=100%,1,1+VLOOKUP(($AJ128-$AI128-$AH128-$AG128-$AF128-$AE128*(1+CM$3))/$AJ128,'Технический лист'!$I:$J,2,1)-VLOOKUP($AO128,'Технический лист'!$I:$J,2,1)),1+(1-$AU128))</f>
        <v/>
      </c>
      <c r="CN128" s="172">
        <f>MIN(IF($AU128=100%,1,1+VLOOKUP(($AJ128-$AI128-$AH128-$AG128-$AF128-$AE128*(1+CN$3))/$AJ128,'Технический лист'!$I:$J,2,1)-VLOOKUP($AO128,'Технический лист'!$I:$J,2,1)),1+(1-$AU128))</f>
        <v/>
      </c>
      <c r="CO128" s="172">
        <f>MIN(IF($AU128=100%,1,1+VLOOKUP(($AJ128-$AI128-$AH128-$AG128-$AF128-$AE128*(1+CO$3))/$AJ128,'Технический лист'!$I:$J,2,1)-VLOOKUP($AO128,'Технический лист'!$I:$J,2,1)),1+(1-$AU128))</f>
        <v/>
      </c>
      <c r="CP128" s="172">
        <f>MIN(IF($AU128=100%,1,1+VLOOKUP(($AJ128-$AI128-$AH128-$AG128-$AF128-$AE128*(1+CP$3))/$AJ128,'Технический лист'!$I:$J,2,1)-VLOOKUP($AO128,'Технический лист'!$I:$J,2,1)),1+(1-$AU128))</f>
        <v/>
      </c>
      <c r="CQ128" s="172">
        <f>MIN(IF($AU128=100%,1,1+VLOOKUP(($AJ128-$AI128-$AH128-$AG128-$AF128-$AE128*(1+CQ$3))/$AJ128,'Технический лист'!$I:$J,2,1)-VLOOKUP($AO128,'Технический лист'!$I:$J,2,1)),1+(1-$AU128))</f>
        <v/>
      </c>
      <c r="CR128" s="172">
        <f>MIN(IF($AU128=100%,1,1+VLOOKUP(($AJ128-$AI128-$AH128-$AG128-$AF128-$AE128*(1+CR$3))/$AJ128,'Технический лист'!$I:$J,2,1)-VLOOKUP($AO128,'Технический лист'!$I:$J,2,1)),1+(1-$AU128))</f>
        <v/>
      </c>
      <c r="CS128" s="172">
        <f>MIN(IF($AU128=100%,1,1+VLOOKUP(($AJ128-$AI128-$AH128-$AG128-$AF128-$AE128*(1+CS$3))/$AJ128,'Технический лист'!$I:$J,2,1)-VLOOKUP($AO128,'Технический лист'!$I:$J,2,1)),1+(1-$AU128))</f>
        <v/>
      </c>
      <c r="CT128" s="172">
        <f>MIN(IF($AU128=100%,1,1+VLOOKUP(($AJ128-$AI128-$AH128-$AG128-$AF128-$AE128*(1+CT$3))/$AJ128,'Технический лист'!$I:$J,2,1)-VLOOKUP($AO128,'Технический лист'!$I:$J,2,1)),1+(1-$AU128))</f>
        <v/>
      </c>
      <c r="CU128" s="172">
        <f>MIN(IF($AU128=100%,1,1+VLOOKUP(($AJ128-$AI128-$AH128-$AG128-$AF128-$AE128*(1+CU$3))/$AJ128,'Технический лист'!$I:$J,2,1)-VLOOKUP($AO128,'Технический лист'!$I:$J,2,1)),1+(1-$AU128))</f>
        <v/>
      </c>
      <c r="CV128" s="172">
        <f>MIN(IF($AU128=100%,1,1+VLOOKUP(($AJ128-$AI128-$AH128-$AG128-$AF128-$AE128*(1+CV$3))/$AJ128,'Технический лист'!$I:$J,2,1)-VLOOKUP($AO128,'Технический лист'!$I:$J,2,1)),1+(1-$AU128))</f>
        <v/>
      </c>
      <c r="CW128" s="172">
        <f>MIN(IF($AU128=100%,1,1+VLOOKUP(($AJ128-$AI128-$AH128-$AG128-$AF128-$AE128*(1+CW$3))/$AJ128,'Технический лист'!$I:$J,2,1)-VLOOKUP($AO128,'Технический лист'!$I:$J,2,1)),1+(1-$AU128))</f>
        <v/>
      </c>
      <c r="CX128" s="172">
        <f>MIN(IF($AU128=100%,1,1+VLOOKUP(($AJ128-$AI128-$AH128-$AG128-$AF128-$AE128*(1+CX$3))/$AJ128,'Технический лист'!$I:$J,2,1)-VLOOKUP($AO128,'Технический лист'!$I:$J,2,1)),1+(1-$AU128))</f>
        <v/>
      </c>
      <c r="CY128" s="172">
        <f>MIN(IF($AU128=100%,1,1+VLOOKUP(($AJ128-$AI128-$AH128-$AG128-$AF128-$AE128*(1+CY$3))/$AJ128,'Технический лист'!$I:$J,2,1)-VLOOKUP($AO128,'Технический лист'!$I:$J,2,1)),1+(1-$AU128))</f>
        <v/>
      </c>
      <c r="CZ128" s="172">
        <f>MIN(IF($AU128=100%,1,1+VLOOKUP(($AJ128-$AI128-$AH128-$AG128-$AF128-$AE128*(1+CZ$3))/$AJ128,'Технический лист'!$I:$J,2,1)-VLOOKUP($AO128,'Технический лист'!$I:$J,2,1)),1+(1-$AU128))</f>
        <v/>
      </c>
      <c r="DA128" s="172">
        <f>MIN(IF($AU128=100%,1,1+VLOOKUP(($AJ128-$AI128-$AH128-$AG128-$AF128-$AE128*(1+DA$3))/$AJ128,'Технический лист'!$I:$J,2,1)-VLOOKUP($AO128,'Технический лист'!$I:$J,2,1)),1+(1-$AU128))</f>
        <v/>
      </c>
      <c r="DB128" s="172">
        <f>MIN(IF($AU128=100%,1,1+VLOOKUP(($AJ128-$AI128-$AH128-$AG128-$AF128-$AE128*(1+DB$3))/$AJ128,'Технический лист'!$I:$J,2,1)-VLOOKUP($AO128,'Технический лист'!$I:$J,2,1)),1+(1-$AU128))</f>
        <v/>
      </c>
      <c r="DC128" s="172">
        <f>MIN(IF($AU128=100%,1,1+VLOOKUP(($AJ128-$AI128-$AH128-$AG128-$AF128-$AE128*(1+DC$3))/$AJ128,'Технический лист'!$I:$J,2,1)-VLOOKUP($AO128,'Технический лист'!$I:$J,2,1)),1+(1-$AU128))</f>
        <v/>
      </c>
      <c r="DD128" s="172">
        <f>MIN(IF($AU128=100%,1,1+VLOOKUP(($AJ128-$AI128-$AH128-$AG128-$AF128-$AE128*(1+DD$3))/$AJ128,'Технический лист'!$I:$J,2,1)-VLOOKUP($AO128,'Технический лист'!$I:$J,2,1)),1+(1-$AU128))</f>
        <v/>
      </c>
      <c r="DE128" s="172">
        <f>MIN(IF($AU128=100%,1,1+VLOOKUP(($AJ128-$AI128-$AH128-$AG128-$AF128-$AE128*(1+DE$3))/$AJ128,'Технический лист'!$I:$J,2,1)-VLOOKUP($AO128,'Технический лист'!$I:$J,2,1)),1+(1-$AU128))</f>
        <v/>
      </c>
      <c r="DF128" s="172">
        <f>MIN(IF($AU128=100%,1,1+VLOOKUP(($AJ128-$AI128-$AH128-$AG128-$AF128-$AE128*(1+DF$3))/$AJ128,'Технический лист'!$I:$J,2,1)-VLOOKUP($AO128,'Технический лист'!$I:$J,2,1)),1+(1-$AU128))</f>
        <v/>
      </c>
      <c r="DG128" s="172">
        <f>MIN(IF($AU128=100%,1,1+VLOOKUP(($AJ128-$AI128-$AH128-$AG128-$AF128-$AE128*(1+DG$3))/$AJ128,'Технический лист'!$I:$J,2,1)-VLOOKUP($AO128,'Технический лист'!$I:$J,2,1)),1+(1-$AU128))</f>
        <v/>
      </c>
      <c r="DH128" s="172">
        <f>MIN(IF($AU128=100%,1,1+VLOOKUP(($AJ128-$AI128-$AH128-$AG128-$AF128-$AE128*(1+DH$3))/$AJ128,'Технический лист'!$I:$J,2,1)-VLOOKUP($AO128,'Технический лист'!$I:$J,2,1)),1+(1-$AU128))</f>
        <v/>
      </c>
      <c r="DI128" s="172">
        <f>MIN(IF($AU128=100%,1,1+VLOOKUP(($AJ128-$AI128-$AH128-$AG128-$AF128-$AE128*(1+DI$3))/$AJ128,'Технический лист'!$I:$J,2,1)-VLOOKUP($AO128,'Технический лист'!$I:$J,2,1)),1+(1-$AU128))</f>
        <v/>
      </c>
      <c r="DJ128" s="172">
        <f>MIN(IF($AU128=100%,1,1+VLOOKUP(($AJ128-$AI128-$AH128-$AG128-$AF128-$AE128*(1+DJ$3))/$AJ128,'Технический лист'!$I:$J,2,1)-VLOOKUP($AO128,'Технический лист'!$I:$J,2,1)),1+(1-$AU128))</f>
        <v/>
      </c>
      <c r="DK128" s="172">
        <f>MIN(IF($AU128=100%,1,1+VLOOKUP(($AJ128-$AI128-$AH128-$AG128-$AF128-$AE128*(1+DK$3))/$AJ128,'Технический лист'!$I:$J,2,1)-VLOOKUP($AO128,'Технический лист'!$I:$J,2,1)),1+(1-$AU128))</f>
        <v/>
      </c>
      <c r="DL128" s="172">
        <f>MIN(IF($AU128=100%,1,1+VLOOKUP(($AJ128-$AI128-$AH128-$AG128-$AF128-$AE128*(1+DL$3))/$AJ128,'Технический лист'!$I:$J,2,1)-VLOOKUP($AO128,'Технический лист'!$I:$J,2,1)),1+(1-$AU128))</f>
        <v/>
      </c>
      <c r="DM128" s="172">
        <f>MIN(IF($AU128=100%,1,1+VLOOKUP(($AJ128-$AI128-$AH128-$AG128-$AF128-$AE128*(1+DM$3))/$AJ128,'Технический лист'!$I:$J,2,1)-VLOOKUP($AO128,'Технический лист'!$I:$J,2,1)),1+(1-$AU128))</f>
        <v/>
      </c>
      <c r="DN128" s="172">
        <f>MIN(IF($AU128=100%,1,1+VLOOKUP(($AJ128-$AI128-$AH128-$AG128-$AF128-$AE128*(1+DN$3))/$AJ128,'Технический лист'!$I:$J,2,1)-VLOOKUP($AO128,'Технический лист'!$I:$J,2,1)),1+(1-$AU128))</f>
        <v/>
      </c>
      <c r="DO128" s="172">
        <f>MIN(IF($AU128=100%,1,1+VLOOKUP(($AJ128-$AI128-$AH128-$AG128-$AF128-$AE128*(1+DO$3))/$AJ128,'Технический лист'!$I:$J,2,1)-VLOOKUP($AO128,'Технический лист'!$I:$J,2,1)),1+(1-$AU128))</f>
        <v/>
      </c>
      <c r="DP128" s="172">
        <f>MIN(IF($AU128=100%,1,1+VLOOKUP(($AJ128-$AI128-$AH128-$AG128-$AF128-$AE128*(1+DP$3))/$AJ128,'Технический лист'!$I:$J,2,1)-VLOOKUP($AO128,'Технический лист'!$I:$J,2,1)),1+(1-$AU128))</f>
        <v/>
      </c>
      <c r="DQ128" s="172">
        <f>MIN(IF($AU128=100%,1,1+VLOOKUP(($AJ128-$AI128-$AH128-$AG128-$AF128-$AE128*(1+DQ$3))/$AJ128,'Технический лист'!$I:$J,2,1)-VLOOKUP($AO128,'Технический лист'!$I:$J,2,1)),1+(1-$AU128))</f>
        <v/>
      </c>
      <c r="DR128" s="172">
        <f>MIN(IF($AU128=100%,1,1+VLOOKUP(($AJ128-$AI128-$AH128-$AG128-$AF128-$AE128*(1+DR$3))/$AJ128,'Технический лист'!$I:$J,2,1)-VLOOKUP($AO128,'Технический лист'!$I:$J,2,1)),1+(1-$AU128))</f>
        <v/>
      </c>
      <c r="DS128" s="172">
        <f>MIN(IF($AU128=100%,1,1+VLOOKUP(($AJ128-$AI128-$AH128-$AG128-$AF128-$AE128*(1+DS$3))/$AJ128,'Технический лист'!$I:$J,2,1)-VLOOKUP($AO128,'Технический лист'!$I:$J,2,1)),1+(1-$AU128))</f>
        <v/>
      </c>
      <c r="DT128" s="172">
        <f>MIN(IF($AU128=100%,1,1+VLOOKUP(($AJ128-$AI128-$AH128-$AG128-$AF128-$AE128*(1+DT$3))/$AJ128,'Технический лист'!$I:$J,2,1)-VLOOKUP($AO128,'Технический лист'!$I:$J,2,1)),1+(1-$AU128))</f>
        <v/>
      </c>
      <c r="DU128" s="172">
        <f>MIN(IF($AU128=100%,1,1+VLOOKUP(($AJ128-$AI128-$AH128-$AG128-$AF128-$AE128*(1+DU$3))/$AJ128,'Технический лист'!$I:$J,2,1)-VLOOKUP($AO128,'Технический лист'!$I:$J,2,1)),1+(1-$AU128))</f>
        <v/>
      </c>
      <c r="DV128" s="172">
        <f>MIN(IF($AU128=100%,1,1+VLOOKUP(($AJ128-$AI128-$AH128-$AG128-$AF128-$AE128*(1+DV$3))/$AJ128,'Технический лист'!$I:$J,2,1)-VLOOKUP($AO128,'Технический лист'!$I:$J,2,1)),1+(1-$AU128))</f>
        <v/>
      </c>
      <c r="DW128" s="172">
        <f>MIN(IF($AU128=100%,1,1+VLOOKUP(($AJ128-$AI128-$AH128-$AG128-$AF128-$AE128*(1+DW$3))/$AJ128,'Технический лист'!$I:$J,2,1)-VLOOKUP($AO128,'Технический лист'!$I:$J,2,1)),1+(1-$AU128))</f>
        <v/>
      </c>
      <c r="DX128" s="172">
        <f>MIN(IF($AU128=100%,1,1+VLOOKUP(($AJ128-$AI128-$AH128-$AG128-$AF128-$AE128*(1+DX$3))/$AJ128,'Технический лист'!$I:$J,2,1)-VLOOKUP($AO128,'Технический лист'!$I:$J,2,1)),1+(1-$AU128))</f>
        <v/>
      </c>
      <c r="DY128" s="172">
        <f>MIN(IF($AU128=100%,1,1+VLOOKUP(($AJ128-$AI128-$AH128-$AG128-$AF128-$AE128*(1+DY$3))/$AJ128,'Технический лист'!$I:$J,2,1)-VLOOKUP($AO128,'Технический лист'!$I:$J,2,1)),1+(1-$AU128))</f>
        <v/>
      </c>
      <c r="DZ128" s="172">
        <f>MIN(IF($AU128=100%,1,1+VLOOKUP(($AJ128-$AI128-$AH128-$AG128-$AF128-$AE128*(1+DZ$3))/$AJ128,'Технический лист'!$I:$J,2,1)-VLOOKUP($AO128,'Технический лист'!$I:$J,2,1)),1+(1-$AU128))</f>
        <v/>
      </c>
      <c r="EA128" s="172">
        <f>MIN(IF($AU128=100%,1,1+VLOOKUP(($AJ128-$AI128-$AH128-$AG128-$AF128-$AE128*(1+EA$3))/$AJ128,'Технический лист'!$I:$J,2,1)-VLOOKUP($AO128,'Технический лист'!$I:$J,2,1)),1+(1-$AU128))</f>
        <v/>
      </c>
      <c r="EB128" s="172">
        <f>MIN(IF($AU128=100%,1,1+VLOOKUP(($AJ128-$AI128-$AH128-$AG128-$AF128-$AE128*(1+EB$3))/$AJ128,'Технический лист'!$I:$J,2,1)-VLOOKUP($AO128,'Технический лист'!$I:$J,2,1)),1+(1-$AU128))</f>
        <v/>
      </c>
      <c r="EC128" s="172">
        <f>MIN(IF($AU128=100%,1,1+VLOOKUP(($AJ128-$AI128-$AH128-$AG128-$AF128-$AE128*(1+EC$3))/$AJ128,'Технический лист'!$I:$J,2,1)-VLOOKUP($AO128,'Технический лист'!$I:$J,2,1)),1+(1-$AU128))</f>
        <v/>
      </c>
      <c r="ED128" s="172">
        <f>MIN(IF($AU128=100%,1,1+VLOOKUP(($AJ128-$AI128-$AH128-$AG128-$AF128-$AE128*(1+ED$3))/$AJ128,'Технический лист'!$I:$J,2,1)-VLOOKUP($AO128,'Технический лист'!$I:$J,2,1)),1+(1-$AU128))</f>
        <v/>
      </c>
      <c r="EE128" s="172">
        <f>MIN(IF($AU128=100%,1,1+VLOOKUP(($AJ128-$AI128-$AH128-$AG128-$AF128-$AE128*(1+EE$3))/$AJ128,'Технический лист'!$I:$J,2,1)-VLOOKUP($AO128,'Технический лист'!$I:$J,2,1)),1+(1-$AU128))</f>
        <v/>
      </c>
      <c r="EF128" s="172">
        <f>MIN(IF($AU128=100%,1,1+VLOOKUP(($AJ128-$AI128-$AH128-$AG128-$AF128-$AE128*(1+EF$3))/$AJ128,'Технический лист'!$I:$J,2,1)-VLOOKUP($AO128,'Технический лист'!$I:$J,2,1)),1+(1-$AU128))</f>
        <v/>
      </c>
      <c r="EG128" s="172">
        <f>MIN(IF($AU128=100%,1,1+VLOOKUP(($AJ128-$AI128-$AH128-$AG128-$AF128-$AE128*(1+EG$3))/$AJ128,'Технический лист'!$I:$J,2,1)-VLOOKUP($AO128,'Технический лист'!$I:$J,2,1)),1+(1-$AU128))</f>
        <v/>
      </c>
      <c r="EH128" s="172">
        <f>MIN(IF($AU128=100%,1,1+VLOOKUP(($AJ128-$AI128-$AH128-$AG128-$AF128-$AE128*(1+EH$3))/$AJ128,'Технический лист'!$I:$J,2,1)-VLOOKUP($AO128,'Технический лист'!$I:$J,2,1)),1+(1-$AU128))</f>
        <v/>
      </c>
      <c r="EI128" s="172">
        <f>MIN(IF($AU128=100%,1,1+VLOOKUP(($AJ128-$AI128-$AH128-$AG128-$AF128-$AE128*(1+EI$3))/$AJ128,'Технический лист'!$I:$J,2,1)-VLOOKUP($AO128,'Технический лист'!$I:$J,2,1)),1+(1-$AU128))</f>
        <v/>
      </c>
      <c r="EJ128" s="172">
        <f>MIN(IF($AU128=100%,1,1+VLOOKUP(($AJ128-$AI128-$AH128-$AG128-$AF128-$AE128*(1+EJ$3))/$AJ128,'Технический лист'!$I:$J,2,1)-VLOOKUP($AO128,'Технический лист'!$I:$J,2,1)),1+(1-$AU128))</f>
        <v/>
      </c>
      <c r="EK128" s="172">
        <f>MIN(IF($AU128=100%,1,1+VLOOKUP(($AJ128-$AI128-$AH128-$AG128-$AF128-$AE128*(1+EK$3))/$AJ128,'Технический лист'!$I:$J,2,1)-VLOOKUP($AO128,'Технический лист'!$I:$J,2,1)),1+(1-$AU128))</f>
        <v/>
      </c>
      <c r="EL128" s="172">
        <f>MIN(IF($AU128=100%,1,1+VLOOKUP(($AJ128-$AI128-$AH128-$AG128-$AF128-$AE128*(1+EL$3))/$AJ128,'Технический лист'!$I:$J,2,1)-VLOOKUP($AO128,'Технический лист'!$I:$J,2,1)),1+(1-$AU128))</f>
        <v/>
      </c>
      <c r="EM128" s="172">
        <f>MIN(IF($AU128=100%,1,1+VLOOKUP(($AJ128-$AI128-$AH128-$AG128-$AF128-$AE128*(1+EM$3))/$AJ128,'Технический лист'!$I:$J,2,1)-VLOOKUP($AO128,'Технический лист'!$I:$J,2,1)),1+(1-$AU128))</f>
        <v/>
      </c>
      <c r="EN128" s="172">
        <f>MIN(IF($AU128=100%,1,1+VLOOKUP(($AJ128-$AI128-$AH128-$AG128-$AF128-$AE128*(1+EN$3))/$AJ128,'Технический лист'!$I:$J,2,1)-VLOOKUP($AO128,'Технический лист'!$I:$J,2,1)),1+(1-$AU128))</f>
        <v/>
      </c>
      <c r="EO128" s="172">
        <f>MIN(IF($AU128=100%,1,1+VLOOKUP(($AJ128-$AI128-$AH128-$AG128-$AF128-$AE128*(1+EO$3))/$AJ128,'Технический лист'!$I:$J,2,1)-VLOOKUP($AO128,'Технический лист'!$I:$J,2,1)),1+(1-$AU128))</f>
        <v/>
      </c>
      <c r="EP128" s="172">
        <f>MIN(IF($AU128=100%,1,1+VLOOKUP(($AJ128-$AI128-$AH128-$AG128-$AF128-$AE128*(1+EP$3))/$AJ128,'Технический лист'!$I:$J,2,1)-VLOOKUP($AO128,'Технический лист'!$I:$J,2,1)),1+(1-$AU128))</f>
        <v/>
      </c>
      <c r="EQ128" s="172">
        <f>MIN(IF($AU128=100%,1,1+VLOOKUP(($AJ128-$AI128-$AH128-$AG128-$AF128-$AE128*(1+EQ$3))/$AJ128,'Технический лист'!$I:$J,2,1)-VLOOKUP($AO128,'Технический лист'!$I:$J,2,1)),1+(1-$AU128))</f>
        <v/>
      </c>
      <c r="ER128" s="172">
        <f>MIN(IF($AU128=100%,1,1+VLOOKUP(($AJ128-$AI128-$AH128-$AG128-$AF128-$AE128*(1+ER$3))/$AJ128,'Технический лист'!$I:$J,2,1)-VLOOKUP($AO128,'Технический лист'!$I:$J,2,1)),1+(1-$AU128))</f>
        <v/>
      </c>
      <c r="ES128" s="172">
        <f>MIN(IF($AU128=100%,1,1+VLOOKUP(($AJ128-$AI128-$AH128-$AG128-$AF128-$AE128*(1+ES$3))/$AJ128,'Технический лист'!$I:$J,2,1)-VLOOKUP($AO128,'Технический лист'!$I:$J,2,1)),1+(1-$AU128))</f>
        <v/>
      </c>
      <c r="ET128" s="172">
        <f>MIN(IF($AU128=100%,1,1+VLOOKUP(($AJ128-$AI128-$AH128-$AG128-$AF128-$AE128*(1+ET$3))/$AJ128,'Технический лист'!$I:$J,2,1)-VLOOKUP($AO128,'Технический лист'!$I:$J,2,1)),1+(1-$AU128))</f>
        <v/>
      </c>
      <c r="EU128" s="172">
        <f>MIN(IF($AU128=100%,1,1+VLOOKUP(($AJ128-$AI128-$AH128-$AG128-$AF128-$AE128*(1+EU$3))/$AJ128,'Технический лист'!$I:$J,2,1)-VLOOKUP($AO128,'Технический лист'!$I:$J,2,1)),1+(1-$AU128))</f>
        <v/>
      </c>
      <c r="EV128" s="173" t="n">
        <v>1</v>
      </c>
      <c r="EW128" s="172">
        <f>MIN(1,MAX(VLOOKUP(($AJ128-$AI128-$AH128-$AG128-$AF128-$AE128*(1+EW$3))/$AJ128,'Технический лист'!$A:$B,2,1),(EV128-0.05)))</f>
        <v/>
      </c>
      <c r="EX128" s="172">
        <f>MIN(1,MAX(VLOOKUP(($AJ128-$AI128-$AH128-$AG128-$AF128-$AE128*(1+EX$3))/$AJ128,'Технический лист'!$A:$B,2,1),(EW128-0.05)))</f>
        <v/>
      </c>
      <c r="EY128" s="172">
        <f>MIN(1,MAX(VLOOKUP(($AJ128-$AI128-$AH128-$AG128-$AF128-$AE128*(1+EY$3))/$AJ128,'Технический лист'!$A:$B,2,1),(EX128-0.05)))</f>
        <v/>
      </c>
      <c r="EZ128" s="172">
        <f>MIN(1,MAX(VLOOKUP(($AJ128-$AI128-$AH128-$AG128-$AF128-$AE128*(1+EZ$3))/$AJ128,'Технический лист'!$A:$B,2,1),(EY128-0.05)))</f>
        <v/>
      </c>
      <c r="FA128" s="172">
        <f>MIN(1,MAX(VLOOKUP(($AJ128-$AI128-$AH128-$AG128-$AF128-$AE128*(1+FA$3))/$AJ128,'Технический лист'!$A:$B,2,1),(EZ128-0.05)))</f>
        <v/>
      </c>
      <c r="FB128" s="172">
        <f>MIN(1,MAX(VLOOKUP(($AJ128-$AI128-$AH128-$AG128-$AF128-$AE128*(1+FB$3))/$AJ128,'Технический лист'!$A:$B,2,1),(FA128-0.05)))</f>
        <v/>
      </c>
      <c r="FC128" s="172">
        <f>MIN(1,MAX(VLOOKUP(($AJ128-$AI128-$AH128-$AG128-$AF128-$AE128*(1+FC$3))/$AJ128,'Технический лист'!$A:$B,2,1),(FB128-0.05)))</f>
        <v/>
      </c>
      <c r="FD128" s="172">
        <f>MIN(1,MAX(VLOOKUP(($AJ128-$AI128-$AH128-$AG128-$AF128-$AE128*(1+FD$3))/$AJ128,'Технический лист'!$A:$B,2,1),(FC128-0.05)))</f>
        <v/>
      </c>
      <c r="FE128" s="172">
        <f>MIN(1,MAX(VLOOKUP(($AJ128-$AI128-$AH128-$AG128-$AF128-$AE128*(1+FE$3))/$AJ128,'Технический лист'!$A:$B,2,1),(FD128-0.05)))</f>
        <v/>
      </c>
      <c r="FF128" s="172">
        <f>MIN(1,MAX(VLOOKUP(($AJ128-$AI128-$AH128-$AG128-$AF128-$AE128*(1+FF$3))/$AJ128,'Технический лист'!$A:$B,2,1),(FE128-0.05)))</f>
        <v/>
      </c>
      <c r="FG128" s="172">
        <f>MIN(1,MAX(VLOOKUP(($AJ128-$AI128-$AH128-$AG128-$AF128-$AE128*(1+FG$3))/$AJ128,'Технический лист'!$A:$B,2,1),(FF128-0.05)))</f>
        <v/>
      </c>
      <c r="FH128" s="172">
        <f>MIN(1,MAX(VLOOKUP(($AJ128-$AI128-$AH128-$AG128-$AF128-$AE128*(1+FH$3))/$AJ128,'Технический лист'!$A:$B,2,1),(FG128-0.05)))</f>
        <v/>
      </c>
      <c r="FI128" s="172">
        <f>MIN(1,MAX(VLOOKUP(($AJ128-$AI128-$AH128-$AG128-$AF128-$AE128*(1+FI$3))/$AJ128,'Технический лист'!$A:$B,2,1),(FH128-0.05)))</f>
        <v/>
      </c>
      <c r="FJ128" s="172">
        <f>MIN(1,MAX(VLOOKUP(($AJ128-$AI128-$AH128-$AG128-$AF128-$AE128*(1+FJ$3))/$AJ128,'Технический лист'!$A:$B,2,1),(FI128-0.05)))</f>
        <v/>
      </c>
      <c r="FK128" s="172">
        <f>MIN(1,MAX(VLOOKUP(($AJ128-$AI128-$AH128-$AG128-$AF128-$AE128*(1+FK$3))/$AJ128,'Технический лист'!$A:$B,2,1),(FJ128-0.05)))</f>
        <v/>
      </c>
      <c r="FL128" s="172">
        <f>MIN(1,MAX(VLOOKUP(($AJ128-$AI128-$AH128-$AG128-$AF128-$AE128*(1+FL$3))/$AJ128,'Технический лист'!$A:$B,2,1),(FK128-0.05)))</f>
        <v/>
      </c>
      <c r="FM128" s="172">
        <f>MIN(1,MAX(VLOOKUP(($AJ128-$AI128-$AH128-$AG128-$AF128-$AE128*(1+FM$3))/$AJ128,'Технический лист'!$A:$B,2,1),(FL128-0.05)))</f>
        <v/>
      </c>
      <c r="FN128" s="172">
        <f>MIN(1,MAX(VLOOKUP(($AJ128-$AI128-$AH128-$AG128-$AF128-$AE128*(1+FN$3))/$AJ128,'Технический лист'!$A:$B,2,1),(FM128-0.05)))</f>
        <v/>
      </c>
      <c r="FO128" s="172">
        <f>MIN(1,MAX(VLOOKUP(($AJ128-$AI128-$AH128-$AG128-$AF128-$AE128*(1+FO$3))/$AJ128,'Технический лист'!$A:$B,2,1),(FN128-0.05)))</f>
        <v/>
      </c>
      <c r="FP128" s="172">
        <f>MIN(1,MAX(VLOOKUP(($AJ128-$AI128-$AH128-$AG128-$AF128-$AE128*(1+FP$3))/$AJ128,'Технический лист'!$A:$B,2,1),(FO128-0.05)))</f>
        <v/>
      </c>
      <c r="FQ128" s="172">
        <f>MIN(1,MAX(VLOOKUP(($AJ128-$AI128-$AH128-$AG128-$AF128-$AE128*(1+FQ$3))/$AJ128,'Технический лист'!$A:$B,2,1),(FP128-0.05)))</f>
        <v/>
      </c>
      <c r="FR128" s="172">
        <f>MIN(1,MAX(VLOOKUP(($AJ128-$AI128-$AH128-$AG128-$AF128-$AE128*(1+FR$3))/$AJ128,'Технический лист'!$A:$B,2,1),(FQ128-0.05)))</f>
        <v/>
      </c>
      <c r="FS128" s="172">
        <f>MIN(1,MAX(VLOOKUP(($AJ128-$AI128-$AH128-$AG128-$AF128-$AE128*(1+FS$3))/$AJ128,'Технический лист'!$A:$B,2,1),(FR128-0.05)))</f>
        <v/>
      </c>
      <c r="FT128" s="172">
        <f>MIN(1,MAX(VLOOKUP(($AJ128-$AI128-$AH128-$AG128-$AF128-$AE128*(1+FT$3))/$AJ128,'Технический лист'!$A:$B,2,1),(FS128-0.05)))</f>
        <v/>
      </c>
      <c r="FU128" s="172">
        <f>MIN(1,MAX(VLOOKUP(($AJ128-$AI128-$AH128-$AG128-$AF128-$AE128*(1+FU$3))/$AJ128,'Технический лист'!$A:$B,2,1),(FT128-0.05)))</f>
        <v/>
      </c>
      <c r="FV128" s="172">
        <f>MIN(1,MAX(VLOOKUP(($AJ128-$AI128-$AH128-$AG128-$AF128-$AE128*(1+FV$3))/$AJ128,'Технический лист'!$A:$B,2,1),(FU128-0.05)))</f>
        <v/>
      </c>
      <c r="FW128" s="172">
        <f>MIN(1,MAX(VLOOKUP(($AJ128-$AI128-$AH128-$AG128-$AF128-$AE128*(1+FW$3))/$AJ128,'Технический лист'!$A:$B,2,1),(FV128-0.05)))</f>
        <v/>
      </c>
      <c r="FX128" s="172">
        <f>MIN(1,MAX(VLOOKUP(($AJ128-$AI128-$AH128-$AG128-$AF128-$AE128*(1+FX$3))/$AJ128,'Технический лист'!$A:$B,2,1),(FW128-0.05)))</f>
        <v/>
      </c>
      <c r="FY128" s="172">
        <f>MIN(1,MAX(VLOOKUP(($AJ128-$AI128-$AH128-$AG128-$AF128-$AE128*(1+FY$3))/$AJ128,'Технический лист'!$A:$B,2,1),(FX128-0.05)))</f>
        <v/>
      </c>
      <c r="FZ128" s="172">
        <f>MIN(1,MAX(VLOOKUP(($AJ128-$AI128-$AH128-$AG128-$AF128-$AE128*(1+FZ$3))/$AJ128,'Технический лист'!$A:$B,2,1),(FY128-0.05)))</f>
        <v/>
      </c>
      <c r="GA128" s="172">
        <f>MIN(1,MAX(VLOOKUP(($AJ128-$AI128-$AH128-$AG128-$AF128-$AE128*(1+GA$3))/$AJ128,'Технический лист'!$A:$B,2,1),(FZ128-0.05)))</f>
        <v/>
      </c>
      <c r="GB128" s="172">
        <f>MIN(1,MAX(VLOOKUP(($AJ128-$AI128-$AH128-$AG128-$AF128-$AE128*(1+GB$3))/$AJ128,'Технический лист'!$A:$B,2,1),(GA128-0.05)))</f>
        <v/>
      </c>
      <c r="GC128" s="172">
        <f>MIN(1,MAX(VLOOKUP(($AJ128-$AI128-$AH128-$AG128-$AF128-$AE128*(1+GC$3))/$AJ128,'Технический лист'!$A:$B,2,1),(GB128-0.05)))</f>
        <v/>
      </c>
      <c r="GD128" s="172">
        <f>MIN(1,MAX(VLOOKUP(($AJ128-$AI128-$AH128-$AG128-$AF128-$AE128*(1+GD$3))/$AJ128,'Технический лист'!$A:$B,2,1),(GC128-0.05)))</f>
        <v/>
      </c>
      <c r="GE128" s="172">
        <f>MIN(1,MAX(VLOOKUP(($AJ128-$AI128-$AH128-$AG128-$AF128-$AE128*(1+GE$3))/$AJ128,'Технический лист'!$A:$B,2,1),(GD128-0.05)))</f>
        <v/>
      </c>
      <c r="GF128" s="172">
        <f>MIN(1,MAX(VLOOKUP(($AJ128-$AI128-$AH128-$AG128-$AF128-$AE128*(1+GF$3))/$AJ128,'Технический лист'!$A:$B,2,1),(GE128-0.05)))</f>
        <v/>
      </c>
      <c r="GG128" s="172">
        <f>MIN(1,MAX(VLOOKUP(($AJ128-$AI128-$AH128-$AG128-$AF128-$AE128*(1+GG$3))/$AJ128,'Технический лист'!$A:$B,2,1),(GF128-0.05)))</f>
        <v/>
      </c>
      <c r="GH128" s="172">
        <f>MIN(1,MAX(VLOOKUP(($AJ128-$AI128-$AH128-$AG128-$AF128-$AE128*(1+GH$3))/$AJ128,'Технический лист'!$A:$B,2,1),(GG128-0.05)))</f>
        <v/>
      </c>
      <c r="GI128" s="172">
        <f>MIN(1,MAX(VLOOKUP(($AJ128-$AI128-$AH128-$AG128-$AF128-$AE128*(1+GI$3))/$AJ128,'Технический лист'!$A:$B,2,1),(GH128-0.05)))</f>
        <v/>
      </c>
      <c r="GJ128" s="172">
        <f>MIN(1,MAX(VLOOKUP(($AJ128-$AI128-$AH128-$AG128-$AF128-$AE128*(1+GJ$3))/$AJ128,'Технический лист'!$A:$B,2,1),(GI128-0.05)))</f>
        <v/>
      </c>
      <c r="GK128" s="172">
        <f>MIN(1,MAX(VLOOKUP(($AJ128-$AI128-$AH128-$AG128-$AF128-$AE128*(1+GK$3))/$AJ128,'Технический лист'!$A:$B,2,1),(GJ128-0.05)))</f>
        <v/>
      </c>
      <c r="GL128" s="172">
        <f>MIN(1,MAX(VLOOKUP(($AJ128-$AI128-$AH128-$AG128-$AF128-$AE128*(1+GL$3))/$AJ128,'Технический лист'!$A:$B,2,1),(GK128-0.05)))</f>
        <v/>
      </c>
      <c r="GM128" s="172">
        <f>MIN(1,MAX(VLOOKUP(($AJ128-$AI128-$AH128-$AG128-$AF128-$AE128*(1+GM$3))/$AJ128,'Технический лист'!$A:$B,2,1),(GL128-0.05)))</f>
        <v/>
      </c>
      <c r="GN128" s="172">
        <f>MIN(1,MAX(VLOOKUP(($AJ128-$AI128-$AH128-$AG128-$AF128-$AE128*(1+GN$3))/$AJ128,'Технический лист'!$A:$B,2,1),(GM128-0.05)))</f>
        <v/>
      </c>
      <c r="GO128" s="172">
        <f>MIN(1,MAX(VLOOKUP(($AJ128-$AI128-$AH128-$AG128-$AF128-$AE128*(1+GO$3))/$AJ128,'Технический лист'!$A:$B,2,1),(GN128-0.05)))</f>
        <v/>
      </c>
      <c r="GP128" s="172">
        <f>MIN(1,MAX(VLOOKUP(($AJ128-$AI128-$AH128-$AG128-$AF128-$AE128*(1+GP$3))/$AJ128,'Технический лист'!$A:$B,2,1),(GO128-0.05)))</f>
        <v/>
      </c>
      <c r="GQ128" s="172">
        <f>MIN(1,MAX(VLOOKUP(($AJ128-$AI128-$AH128-$AG128-$AF128-$AE128*(1+GQ$3))/$AJ128,'Технический лист'!$A:$B,2,1),(GP128-0.05)))</f>
        <v/>
      </c>
      <c r="GR128" s="172">
        <f>MIN(1,MAX(VLOOKUP(($AJ128-$AI128-$AH128-$AG128-$AF128-$AE128*(1+GR$3))/$AJ128,'Технический лист'!$A:$B,2,1),(GQ128-0.05)))</f>
        <v/>
      </c>
      <c r="GS128" s="172">
        <f>MIN(1,MAX(VLOOKUP(($AJ128-$AI128-$AH128-$AG128-$AF128-$AE128*(1+GS$3))/$AJ128,'Технический лист'!$A:$B,2,1),(GR128-0.05)))</f>
        <v/>
      </c>
      <c r="GT128" s="172">
        <f>MIN(1,MAX(VLOOKUP(($AJ128-$AI128-$AH128-$AG128-$AF128-$AE128*(1+GT$3))/$AJ128,'Технический лист'!$A:$B,2,1),(GS128-0.05)))</f>
        <v/>
      </c>
      <c r="GU128" s="172">
        <f>MIN(1,MAX(VLOOKUP(($AJ128-$AI128-$AH128-$AG128-$AF128-$AE128*(1+GU$3))/$AJ128,'Технический лист'!$A:$B,2,1),(GT128-0.05)))</f>
        <v/>
      </c>
      <c r="GV128" s="172">
        <f>MIN(1,MAX(VLOOKUP(($AJ128-$AI128-$AH128-$AG128-$AF128-$AE128*(1+GV$3))/$AJ128,'Технический лист'!$A:$B,2,1),(GU128-0.05)))</f>
        <v/>
      </c>
      <c r="GW128" s="172">
        <f>MIN(1,MAX(VLOOKUP(($AJ128-$AI128-$AH128-$AG128-$AF128-$AE128*(1+GW$3))/$AJ128,'Технический лист'!$A:$B,2,1),(GV128-0.05)))</f>
        <v/>
      </c>
      <c r="GX128" s="172">
        <f>MIN(1,MAX(VLOOKUP(($AJ128-$AI128-$AH128-$AG128-$AF128-$AE128*(1+GX$3))/$AJ128,'Технический лист'!$A:$B,2,1),(GW128-0.05)))</f>
        <v/>
      </c>
      <c r="GY128" s="172">
        <f>MIN(1,MAX(VLOOKUP(($AJ128-$AI128-$AH128-$AG128-$AF128-$AE128*(1+GY$3))/$AJ128,'Технический лист'!$A:$B,2,1),(GX128-0.05)))</f>
        <v/>
      </c>
      <c r="GZ128" s="172">
        <f>MIN(1,MAX(VLOOKUP(($AJ128-$AI128-$AH128-$AG128-$AF128-$AE128*(1+GZ$3))/$AJ128,'Технический лист'!$A:$B,2,1),(GY128-0.05)))</f>
        <v/>
      </c>
      <c r="HA128" s="172">
        <f>MIN(1,MAX(VLOOKUP(($AJ128-$AI128-$AH128-$AG128-$AF128-$AE128*(1+HA$3))/$AJ128,'Технический лист'!$A:$B,2,1),(GZ128-0.05)))</f>
        <v/>
      </c>
      <c r="HB128" s="172">
        <f>MIN(1,MAX(VLOOKUP(($AJ128-$AI128-$AH128-$AG128-$AF128-$AE128*(1+HB$3))/$AJ128,'Технический лист'!$A:$B,2,1),(HA128-0.05)))</f>
        <v/>
      </c>
      <c r="HC128" s="172">
        <f>MIN(1,MAX(VLOOKUP(($AJ128-$AI128-$AH128-$AG128-$AF128-$AE128*(1+HC$3))/$AJ128,'Технический лист'!$A:$B,2,1),(HB128-0.05)))</f>
        <v/>
      </c>
      <c r="HD128" s="172">
        <f>MIN(1,MAX(VLOOKUP(($AJ128-$AI128-$AH128-$AG128-$AF128-$AE128*(1+HD$3))/$AJ128,'Технический лист'!$A:$B,2,1),(HC128-0.05)))</f>
        <v/>
      </c>
      <c r="HE128" s="172">
        <f>MIN(1,MAX(VLOOKUP(($AJ128-$AI128-$AH128-$AG128-$AF128-$AE128*(1+HE$3))/$AJ128,'Технический лист'!$A:$B,2,1),(HD128-0.05)))</f>
        <v/>
      </c>
      <c r="HF128" s="172">
        <f>MIN(1,MAX(VLOOKUP(($AJ128-$AI128-$AH128-$AG128-$AF128-$AE128*(1+HF$3))/$AJ128,'Технический лист'!$A:$B,2,1),(HE128-0.05)))</f>
        <v/>
      </c>
      <c r="HG128" s="172">
        <f>MIN(1,MAX(VLOOKUP(($AJ128-$AI128-$AH128-$AG128-$AF128-$AE128*(1+HG$3))/$AJ128,'Технический лист'!$A:$B,2,1),(HF128-0.05)))</f>
        <v/>
      </c>
      <c r="HH128" s="172">
        <f>MIN(1,MAX(VLOOKUP(($AJ128-$AI128-$AH128-$AG128-$AF128-$AE128*(1+HH$3))/$AJ128,'Технический лист'!$A:$B,2,1),(HG128-0.05)))</f>
        <v/>
      </c>
      <c r="HI128" s="172">
        <f>MIN(1,MAX(VLOOKUP(($AJ128-$AI128-$AH128-$AG128-$AF128-$AE128*(1+HI$3))/$AJ128,'Технический лист'!$A:$B,2,1),(HH128-0.05)))</f>
        <v/>
      </c>
      <c r="HJ128" s="172">
        <f>MIN(1,MAX(VLOOKUP(($AJ128-$AI128-$AH128-$AG128-$AF128-$AE128*(1+HJ$3))/$AJ128,'Технический лист'!$A:$B,2,1),(HI128-0.05)))</f>
        <v/>
      </c>
      <c r="HK128" s="172">
        <f>MIN(1,MAX(VLOOKUP(($AJ128-$AI128-$AH128-$AG128-$AF128-$AE128*(1+HK$3))/$AJ128,'Технический лист'!$A:$B,2,1),(HJ128-0.05)))</f>
        <v/>
      </c>
      <c r="HL128" s="172">
        <f>MIN(1,MAX(VLOOKUP(($AJ128-$AI128-$AH128-$AG128-$AF128-$AE128*(1+HL$3))/$AJ128,'Технический лист'!$A:$B,2,1),(HK128-0.05)))</f>
        <v/>
      </c>
      <c r="HM128" s="172">
        <f>MIN(1,MAX(VLOOKUP(($AJ128-$AI128-$AH128-$AG128-$AF128-$AE128*(1+HM$3))/$AJ128,'Технический лист'!$A:$B,2,1),(HL128-0.05)))</f>
        <v/>
      </c>
      <c r="HN128" s="172">
        <f>MIN(1,MAX(VLOOKUP(($AJ128-$AI128-$AH128-$AG128-$AF128-$AE128*(1+HN$3))/$AJ128,'Технический лист'!$A:$B,2,1),(HM128-0.05)))</f>
        <v/>
      </c>
      <c r="HO128" s="172">
        <f>MIN(1,MAX(VLOOKUP(($AJ128-$AI128-$AH128-$AG128-$AF128-$AE128*(1+HO$3))/$AJ128,'Технический лист'!$A:$B,2,1),(HN128-0.05)))</f>
        <v/>
      </c>
      <c r="HP128" s="172">
        <f>MIN(1,MAX(VLOOKUP(($AJ128-$AI128-$AH128-$AG128-$AF128-$AE128*(1+HP$3))/$AJ128,'Технический лист'!$A:$B,2,1),(HO128-0.05)))</f>
        <v/>
      </c>
      <c r="HQ128" s="172">
        <f>MIN(1,MAX(VLOOKUP(($AJ128-$AI128-$AH128-$AG128-$AF128-$AE128*(1+HQ$3))/$AJ128,'Технический лист'!$A:$B,2,1),(HP128-0.05)))</f>
        <v/>
      </c>
      <c r="HR128" s="172">
        <f>MIN(1,MAX(VLOOKUP(($AJ128-$AI128-$AH128-$AG128-$AF128-$AE128*(1+HR$3))/$AJ128,'Технический лист'!$A:$B,2,1),(HQ128-0.05)))</f>
        <v/>
      </c>
      <c r="HS128" s="172">
        <f>MIN(1,MAX(VLOOKUP(($AJ128-$AI128-$AH128-$AG128-$AF128-$AE128*(1+HS$3))/$AJ128,'Технический лист'!$A:$B,2,1),(HR128-0.05)))</f>
        <v/>
      </c>
      <c r="HT128" s="172">
        <f>MIN(1,MAX(VLOOKUP(($AJ128-$AI128-$AH128-$AG128-$AF128-$AE128*(1+HT$3))/$AJ128,'Технический лист'!$A:$B,2,1),(HS128-0.05)))</f>
        <v/>
      </c>
      <c r="HU128" s="172">
        <f>MIN(1,MAX(VLOOKUP(($AJ128-$AI128-$AH128-$AG128-$AF128-$AE128*(1+HU$3))/$AJ128,'Технический лист'!$A:$B,2,1),(HT128-0.05)))</f>
        <v/>
      </c>
      <c r="HV128" s="172">
        <f>MIN(1,MAX(VLOOKUP(($AJ128-$AI128-$AH128-$AG128-$AF128-$AE128*(1+HV$3))/$AJ128,'Технический лист'!$A:$B,2,1),(HU128-0.05)))</f>
        <v/>
      </c>
      <c r="HW128" s="172">
        <f>MIN(1,MAX(VLOOKUP(($AJ128-$AI128-$AH128-$AG128-$AF128-$AE128*(1+HW$3))/$AJ128,'Технический лист'!$A:$B,2,1),(HV128-0.05)))</f>
        <v/>
      </c>
      <c r="HX128" s="172">
        <f>MIN(1,MAX(VLOOKUP(($AJ128-$AI128-$AH128-$AG128-$AF128-$AE128*(1+HX$3))/$AJ128,'Технический лист'!$A:$B,2,1),(HW128-0.05)))</f>
        <v/>
      </c>
      <c r="HY128" s="172">
        <f>MIN(1,MAX(VLOOKUP(($AJ128-$AI128-$AH128-$AG128-$AF128-$AE128*(1+HY$3))/$AJ128,'Технический лист'!$A:$B,2,1),(HX128-0.05)))</f>
        <v/>
      </c>
      <c r="HZ128" s="172">
        <f>MIN(1,MAX(VLOOKUP(($AJ128-$AI128-$AH128-$AG128-$AF128-$AE128*(1+HZ$3))/$AJ128,'Технический лист'!$A:$B,2,1),(HY128-0.05)))</f>
        <v/>
      </c>
      <c r="IA128" s="172">
        <f>MIN(1,MAX(VLOOKUP(($AJ128-$AI128-$AH128-$AG128-$AF128-$AE128*(1+IA$3))/$AJ128,'Технический лист'!$A:$B,2,1),(HZ128-0.05)))</f>
        <v/>
      </c>
      <c r="IB128" s="172">
        <f>MIN(1,MAX(VLOOKUP(($AJ128-$AI128-$AH128-$AG128-$AF128-$AE128*(1+IB$3))/$AJ128,'Технический лист'!$A:$B,2,1),(IA128-0.05)))</f>
        <v/>
      </c>
      <c r="IC128" s="172">
        <f>MIN(1,MAX(VLOOKUP(($AJ128-$AI128-$AH128-$AG128-$AF128-$AE128*(1+IC$3))/$AJ128,'Технический лист'!$A:$B,2,1),(IB128-0.05)))</f>
        <v/>
      </c>
      <c r="ID128" s="172">
        <f>MIN(1,MAX(VLOOKUP(($AJ128-$AI128-$AH128-$AG128-$AF128-$AE128*(1+ID$3))/$AJ128,'Технический лист'!$A:$B,2,1),(IC128-0.05)))</f>
        <v/>
      </c>
      <c r="IE128" s="172">
        <f>MIN(1,MAX(VLOOKUP(($AJ128-$AI128-$AH128-$AG128-$AF128-$AE128*(1+IE$3))/$AJ128,'Технический лист'!$A:$B,2,1),(ID128-0.05)))</f>
        <v/>
      </c>
      <c r="IF128" s="172">
        <f>MIN(1,MAX(VLOOKUP(($AJ128-$AI128-$AH128-$AG128-$AF128-$AE128*(1+IF$3))/$AJ128,'Технический лист'!$A:$B,2,1),(IE128-0.05)))</f>
        <v/>
      </c>
      <c r="IG128" s="172">
        <f>MIN(1,MAX(VLOOKUP(($AJ128-$AI128-$AH128-$AG128-$AF128-$AE128*(1+IG$3))/$AJ128,'Технический лист'!$A:$B,2,1),(IF128-0.05)))</f>
        <v/>
      </c>
      <c r="IH128" s="172">
        <f>MIN(1,MAX(VLOOKUP(($AJ128-$AI128-$AH128-$AG128-$AF128-$AE128*(1+IH$3))/$AJ128,'Технический лист'!$A:$B,2,1),(IG128-0.05)))</f>
        <v/>
      </c>
      <c r="II128" s="172">
        <f>MIN(1,MAX(VLOOKUP(($AJ128-$AI128-$AH128-$AG128-$AF128-$AE128*(1+II$3))/$AJ128,'Технический лист'!$A:$B,2,1),(IH128-0.05)))</f>
        <v/>
      </c>
      <c r="IJ128" s="172">
        <f>MIN(1,MAX(VLOOKUP(($AJ128-$AI128-$AH128-$AG128-$AF128-$AE128*(1+IJ$3))/$AJ128,'Технический лист'!$A:$B,2,1),(II128-0.05)))</f>
        <v/>
      </c>
      <c r="IK128" s="172">
        <f>MIN(1,MAX(VLOOKUP(($AJ128-$AI128-$AH128-$AG128-$AF128-$AE128*(1+IK$3))/$AJ128,'Технический лист'!$A:$B,2,1),(IJ128-0.05)))</f>
        <v/>
      </c>
      <c r="IL128" s="172">
        <f>MIN(1,MAX(VLOOKUP(($AJ128-$AI128-$AH128-$AG128-$AF128-$AE128*(1+IL$3))/$AJ128,'Технический лист'!$A:$B,2,1),(IK128-0.05)))</f>
        <v/>
      </c>
      <c r="IM128" s="172">
        <f>MIN(1,MAX(VLOOKUP(($AJ128-$AI128-$AH128-$AG128-$AF128-$AE128*(1+IM$3))/$AJ128,'Технический лист'!$A:$B,2,1),(IL128-0.05)))</f>
        <v/>
      </c>
      <c r="IN128" s="172">
        <f>MIN(1,MAX(VLOOKUP(($AJ128-$AI128-$AH128-$AG128-$AF128-$AE128*(1+IN$3))/$AJ128,'Технический лист'!$A:$B,2,1),(IM128-0.05)))</f>
        <v/>
      </c>
      <c r="IO128" s="172">
        <f>MIN(1,MAX(VLOOKUP(($AJ128-$AI128-$AH128-$AG128-$AF128-$AE128*(1+IO$3))/$AJ128,'Технический лист'!$A:$B,2,1),(IN128-0.05)))</f>
        <v/>
      </c>
      <c r="IP128" s="172">
        <f>MIN(1,MAX(VLOOKUP(($AJ128-$AI128-$AH128-$AG128-$AF128-$AE128*(1+IP$3))/$AJ128,'Технический лист'!$A:$B,2,1),(IO128-0.05)))</f>
        <v/>
      </c>
      <c r="IQ128" s="172">
        <f>MIN(1,MAX(VLOOKUP(($AJ128-$AI128-$AH128-$AG128-$AF128-$AE128*(1+IQ$3))/$AJ128,'Технический лист'!$A:$B,2,1),(IP128-0.05)))</f>
        <v/>
      </c>
      <c r="IR128" s="172">
        <f>MIN(1,MAX(VLOOKUP(($AJ128-$AI128-$AH128-$AG128-$AF128-$AE128*(1+IR$3))/$AJ128,'Технический лист'!$A:$B,2,1),(IQ128-0.05)))</f>
        <v/>
      </c>
    </row>
    <row r="129" ht="43.75" customHeight="1" s="123">
      <c r="A129" s="89" t="inlineStr">
        <is>
          <t>ЧМ (продукция)</t>
        </is>
      </c>
      <c r="B129" s="90" t="n">
        <v>5</v>
      </c>
      <c r="C129" s="5" t="inlineStr">
        <is>
          <t>Черные металлы</t>
        </is>
      </c>
      <c r="D129" s="91" t="n">
        <v>32305</v>
      </c>
      <c r="E129" s="91" t="inlineStr">
        <is>
          <t xml:space="preserve">Трубы металлические, не поименованные в алфавите </t>
        </is>
      </c>
      <c r="F129" s="92" t="inlineStr">
        <is>
          <t>ТРУБЫ ИЗ ЧЕРНЫХ МЕТАЛЛОВ</t>
        </is>
      </c>
      <c r="G129" s="91" t="inlineStr">
        <is>
          <t>СВР</t>
        </is>
      </c>
      <c r="H129" s="91" t="inlineStr">
        <is>
          <t>ВСБ</t>
        </is>
      </c>
      <c r="I129" s="91" t="inlineStr">
        <is>
          <t>ПЕРВОУРАЛЬСК</t>
        </is>
      </c>
      <c r="J129" s="91" t="inlineStr">
        <is>
          <t>НАУШКИ МНР 2</t>
        </is>
      </c>
      <c r="K129" s="91" t="n">
        <v>4138</v>
      </c>
      <c r="L129" s="91" t="inlineStr">
        <is>
          <t>Полувагоны</t>
        </is>
      </c>
      <c r="M129" s="91" t="inlineStr">
        <is>
          <t>Экспорт</t>
        </is>
      </c>
      <c r="N129" s="91" t="inlineStr">
        <is>
          <t>вагонная</t>
        </is>
      </c>
      <c r="O129" s="91" t="inlineStr">
        <is>
          <t xml:space="preserve">Восточное </t>
        </is>
      </c>
      <c r="P129" s="89" t="inlineStr">
        <is>
          <t>'000000186619</t>
        </is>
      </c>
      <c r="Q129" s="91" t="inlineStr">
        <is>
          <t>'ОАО "Первоуральский новотрубный завод"</t>
        </is>
      </c>
      <c r="R129" s="91" t="inlineStr">
        <is>
          <t>ПАО "ТМК"</t>
        </is>
      </c>
      <c r="S129" s="87" t="n">
        <v>1991</v>
      </c>
      <c r="T129" s="87" t="n">
        <v>8238329</v>
      </c>
      <c r="U129" s="88" t="n">
        <v>37</v>
      </c>
      <c r="V129" s="88" t="n">
        <v>0</v>
      </c>
      <c r="W129" s="87" t="n">
        <v>16148534</v>
      </c>
      <c r="X129" s="112" t="n">
        <v>54</v>
      </c>
      <c r="Y129" s="112" t="inlineStr">
        <is>
          <t>повагонная</t>
        </is>
      </c>
      <c r="Z129" s="113" t="n">
        <v>13</v>
      </c>
      <c r="AA129" s="113" t="n">
        <v>11</v>
      </c>
      <c r="AB129" s="113" t="n">
        <v>4</v>
      </c>
      <c r="AC129" s="161" t="n">
        <v>8830.76</v>
      </c>
      <c r="AD129" s="161">
        <f>AE129-AC129</f>
        <v/>
      </c>
      <c r="AE129" s="161" t="n">
        <v>9830.059999999999</v>
      </c>
      <c r="AF129" s="162">
        <f>(Z129+AA129+AB129)*'Ставки аренды'!$B$3/X129</f>
        <v/>
      </c>
      <c r="AG129" s="164" t="n">
        <v>0</v>
      </c>
      <c r="AH129" s="164" t="n">
        <v>0</v>
      </c>
      <c r="AI129" s="165">
        <f>314456/404359*AJ129</f>
        <v/>
      </c>
      <c r="AJ129" s="166">
        <f>Цены!D28</f>
        <v/>
      </c>
      <c r="AK129" s="164">
        <f>AJ129/Цены!$B$1</f>
        <v/>
      </c>
      <c r="AL129" s="164">
        <f>AE129+AF129+AG129</f>
        <v/>
      </c>
      <c r="AM129" s="164">
        <f>AJ129-AL129</f>
        <v/>
      </c>
      <c r="AN129" s="164">
        <f>AI129+AH129+AG129+AF129+AE129</f>
        <v/>
      </c>
      <c r="AO129" s="167">
        <f>(AJ129-AN129)/AJ129</f>
        <v/>
      </c>
      <c r="AP129" s="168">
        <f>AL129/AJ129</f>
        <v/>
      </c>
      <c r="AQ129" s="168">
        <f>AE129/AJ129</f>
        <v/>
      </c>
      <c r="AR129" s="168">
        <f>AE129/AL129</f>
        <v/>
      </c>
      <c r="AS129" s="169" t="n">
        <v>1</v>
      </c>
      <c r="AT129" s="121">
        <f>S129*AS129</f>
        <v/>
      </c>
      <c r="AU129" s="83" t="n">
        <v>0.6</v>
      </c>
      <c r="AV129" s="170">
        <f>(AJ129-(AE129*(1+$IS$2)+AF129+AG129+AH129+AI129))/AJ129</f>
        <v/>
      </c>
      <c r="AW129" s="171">
        <f>(AE129*(1+$IS$2)+AF129+AG129)/AJ129</f>
        <v/>
      </c>
      <c r="AX129" s="171">
        <f>(AE129*(1+$IS$2))/AJ129</f>
        <v/>
      </c>
      <c r="AY129" s="171">
        <f>(AE129*(1+$IS$2))/(AE129*(1+$IS$2)+AF129+AG129)</f>
        <v/>
      </c>
      <c r="AZ129" s="172">
        <f>MIN(IF($AU129=100%,1,1+VLOOKUP(($AJ129-$AI129-$AH129-$AG129-$AF129-$AE129*(1+AZ$3))/$AJ129,'Технический лист'!$I:$J,2,1)-VLOOKUP($AO129,'Технический лист'!$I:$J,2,1)),1+(1-$AU129))</f>
        <v/>
      </c>
      <c r="BA129" s="172">
        <f>MIN(IF($AU129=100%,1,1+VLOOKUP(($AJ129-$AI129-$AH129-$AG129-$AF129-$AE129*(1+BA$3))/$AJ129,'Технический лист'!$I:$J,2,1)-VLOOKUP($AO129,'Технический лист'!$I:$J,2,1)),1+(1-$AU129))</f>
        <v/>
      </c>
      <c r="BB129" s="172">
        <f>MIN(IF($AU129=100%,1,1+VLOOKUP(($AJ129-$AI129-$AH129-$AG129-$AF129-$AE129*(1+BB$3))/$AJ129,'Технический лист'!$I:$J,2,1)-VLOOKUP($AO129,'Технический лист'!$I:$J,2,1)),1+(1-$AU129))</f>
        <v/>
      </c>
      <c r="BC129" s="172">
        <f>MIN(IF($AU129=100%,1,1+VLOOKUP(($AJ129-$AI129-$AH129-$AG129-$AF129-$AE129*(1+BC$3))/$AJ129,'Технический лист'!$I:$J,2,1)-VLOOKUP($AO129,'Технический лист'!$I:$J,2,1)),1+(1-$AU129))</f>
        <v/>
      </c>
      <c r="BD129" s="172">
        <f>MIN(IF($AU129=100%,1,1+VLOOKUP(($AJ129-$AI129-$AH129-$AG129-$AF129-$AE129*(1+BD$3))/$AJ129,'Технический лист'!$I:$J,2,1)-VLOOKUP($AO129,'Технический лист'!$I:$J,2,1)),1+(1-$AU129))</f>
        <v/>
      </c>
      <c r="BE129" s="172">
        <f>MIN(IF($AU129=100%,1,1+VLOOKUP(($AJ129-$AI129-$AH129-$AG129-$AF129-$AE129*(1+BE$3))/$AJ129,'Технический лист'!$I:$J,2,1)-VLOOKUP($AO129,'Технический лист'!$I:$J,2,1)),1+(1-$AU129))</f>
        <v/>
      </c>
      <c r="BF129" s="172">
        <f>MIN(IF($AU129=100%,1,1+VLOOKUP(($AJ129-$AI129-$AH129-$AG129-$AF129-$AE129*(1+BF$3))/$AJ129,'Технический лист'!$I:$J,2,1)-VLOOKUP($AO129,'Технический лист'!$I:$J,2,1)),1+(1-$AU129))</f>
        <v/>
      </c>
      <c r="BG129" s="172">
        <f>MIN(IF($AU129=100%,1,1+VLOOKUP(($AJ129-$AI129-$AH129-$AG129-$AF129-$AE129*(1+BG$3))/$AJ129,'Технический лист'!$I:$J,2,1)-VLOOKUP($AO129,'Технический лист'!$I:$J,2,1)),1+(1-$AU129))</f>
        <v/>
      </c>
      <c r="BH129" s="172">
        <f>MIN(IF($AU129=100%,1,1+VLOOKUP(($AJ129-$AI129-$AH129-$AG129-$AF129-$AE129*(1+BH$3))/$AJ129,'Технический лист'!$I:$J,2,1)-VLOOKUP($AO129,'Технический лист'!$I:$J,2,1)),1+(1-$AU129))</f>
        <v/>
      </c>
      <c r="BI129" s="172">
        <f>MIN(IF($AU129=100%,1,1+VLOOKUP(($AJ129-$AI129-$AH129-$AG129-$AF129-$AE129*(1+BI$3))/$AJ129,'Технический лист'!$I:$J,2,1)-VLOOKUP($AO129,'Технический лист'!$I:$J,2,1)),1+(1-$AU129))</f>
        <v/>
      </c>
      <c r="BJ129" s="172">
        <f>MIN(IF($AU129=100%,1,1+VLOOKUP(($AJ129-$AI129-$AH129-$AG129-$AF129-$AE129*(1+BJ$3))/$AJ129,'Технический лист'!$I:$J,2,1)-VLOOKUP($AO129,'Технический лист'!$I:$J,2,1)),1+(1-$AU129))</f>
        <v/>
      </c>
      <c r="BK129" s="172">
        <f>MIN(IF($AU129=100%,1,1+VLOOKUP(($AJ129-$AI129-$AH129-$AG129-$AF129-$AE129*(1+BK$3))/$AJ129,'Технический лист'!$I:$J,2,1)-VLOOKUP($AO129,'Технический лист'!$I:$J,2,1)),1+(1-$AU129))</f>
        <v/>
      </c>
      <c r="BL129" s="172">
        <f>MIN(IF($AU129=100%,1,1+VLOOKUP(($AJ129-$AI129-$AH129-$AG129-$AF129-$AE129*(1+BL$3))/$AJ129,'Технический лист'!$I:$J,2,1)-VLOOKUP($AO129,'Технический лист'!$I:$J,2,1)),1+(1-$AU129))</f>
        <v/>
      </c>
      <c r="BM129" s="172">
        <f>MIN(IF($AU129=100%,1,1+VLOOKUP(($AJ129-$AI129-$AH129-$AG129-$AF129-$AE129*(1+BM$3))/$AJ129,'Технический лист'!$I:$J,2,1)-VLOOKUP($AO129,'Технический лист'!$I:$J,2,1)),1+(1-$AU129))</f>
        <v/>
      </c>
      <c r="BN129" s="172">
        <f>MIN(IF($AU129=100%,1,1+VLOOKUP(($AJ129-$AI129-$AH129-$AG129-$AF129-$AE129*(1+BN$3))/$AJ129,'Технический лист'!$I:$J,2,1)-VLOOKUP($AO129,'Технический лист'!$I:$J,2,1)),1+(1-$AU129))</f>
        <v/>
      </c>
      <c r="BO129" s="172">
        <f>MIN(IF($AU129=100%,1,1+VLOOKUP(($AJ129-$AI129-$AH129-$AG129-$AF129-$AE129*(1+BO$3))/$AJ129,'Технический лист'!$I:$J,2,1)-VLOOKUP($AO129,'Технический лист'!$I:$J,2,1)),1+(1-$AU129))</f>
        <v/>
      </c>
      <c r="BP129" s="172">
        <f>MIN(IF($AU129=100%,1,1+VLOOKUP(($AJ129-$AI129-$AH129-$AG129-$AF129-$AE129*(1+BP$3))/$AJ129,'Технический лист'!$I:$J,2,1)-VLOOKUP($AO129,'Технический лист'!$I:$J,2,1)),1+(1-$AU129))</f>
        <v/>
      </c>
      <c r="BQ129" s="172">
        <f>MIN(IF($AU129=100%,1,1+VLOOKUP(($AJ129-$AI129-$AH129-$AG129-$AF129-$AE129*(1+BQ$3))/$AJ129,'Технический лист'!$I:$J,2,1)-VLOOKUP($AO129,'Технический лист'!$I:$J,2,1)),1+(1-$AU129))</f>
        <v/>
      </c>
      <c r="BR129" s="172">
        <f>MIN(IF($AU129=100%,1,1+VLOOKUP(($AJ129-$AI129-$AH129-$AG129-$AF129-$AE129*(1+BR$3))/$AJ129,'Технический лист'!$I:$J,2,1)-VLOOKUP($AO129,'Технический лист'!$I:$J,2,1)),1+(1-$AU129))</f>
        <v/>
      </c>
      <c r="BS129" s="172">
        <f>MIN(IF($AU129=100%,1,1+VLOOKUP(($AJ129-$AI129-$AH129-$AG129-$AF129-$AE129*(1+BS$3))/$AJ129,'Технический лист'!$I:$J,2,1)-VLOOKUP($AO129,'Технический лист'!$I:$J,2,1)),1+(1-$AU129))</f>
        <v/>
      </c>
      <c r="BT129" s="172">
        <f>MIN(IF($AU129=100%,1,1+VLOOKUP(($AJ129-$AI129-$AH129-$AG129-$AF129-$AE129*(1+BT$3))/$AJ129,'Технический лист'!$I:$J,2,1)-VLOOKUP($AO129,'Технический лист'!$I:$J,2,1)),1+(1-$AU129))</f>
        <v/>
      </c>
      <c r="BU129" s="172">
        <f>MIN(IF($AU129=100%,1,1+VLOOKUP(($AJ129-$AI129-$AH129-$AG129-$AF129-$AE129*(1+BU$3))/$AJ129,'Технический лист'!$I:$J,2,1)-VLOOKUP($AO129,'Технический лист'!$I:$J,2,1)),1+(1-$AU129))</f>
        <v/>
      </c>
      <c r="BV129" s="172">
        <f>MIN(IF($AU129=100%,1,1+VLOOKUP(($AJ129-$AI129-$AH129-$AG129-$AF129-$AE129*(1+BV$3))/$AJ129,'Технический лист'!$I:$J,2,1)-VLOOKUP($AO129,'Технический лист'!$I:$J,2,1)),1+(1-$AU129))</f>
        <v/>
      </c>
      <c r="BW129" s="172">
        <f>MIN(IF($AU129=100%,1,1+VLOOKUP(($AJ129-$AI129-$AH129-$AG129-$AF129-$AE129*(1+BW$3))/$AJ129,'Технический лист'!$I:$J,2,1)-VLOOKUP($AO129,'Технический лист'!$I:$J,2,1)),1+(1-$AU129))</f>
        <v/>
      </c>
      <c r="BX129" s="172">
        <f>MIN(IF($AU129=100%,1,1+VLOOKUP(($AJ129-$AI129-$AH129-$AG129-$AF129-$AE129*(1+BX$3))/$AJ129,'Технический лист'!$I:$J,2,1)-VLOOKUP($AO129,'Технический лист'!$I:$J,2,1)),1+(1-$AU129))</f>
        <v/>
      </c>
      <c r="BY129" s="172">
        <f>MIN(IF($AU129=100%,1,1+VLOOKUP(($AJ129-$AI129-$AH129-$AG129-$AF129-$AE129*(1+BY$3))/$AJ129,'Технический лист'!$I:$J,2,1)-VLOOKUP($AO129,'Технический лист'!$I:$J,2,1)),1+(1-$AU129))</f>
        <v/>
      </c>
      <c r="BZ129" s="172">
        <f>MIN(IF($AU129=100%,1,1+VLOOKUP(($AJ129-$AI129-$AH129-$AG129-$AF129-$AE129*(1+BZ$3))/$AJ129,'Технический лист'!$I:$J,2,1)-VLOOKUP($AO129,'Технический лист'!$I:$J,2,1)),1+(1-$AU129))</f>
        <v/>
      </c>
      <c r="CA129" s="172">
        <f>MIN(IF($AU129=100%,1,1+VLOOKUP(($AJ129-$AI129-$AH129-$AG129-$AF129-$AE129*(1+CA$3))/$AJ129,'Технический лист'!$I:$J,2,1)-VLOOKUP($AO129,'Технический лист'!$I:$J,2,1)),1+(1-$AU129))</f>
        <v/>
      </c>
      <c r="CB129" s="172">
        <f>MIN(IF($AU129=100%,1,1+VLOOKUP(($AJ129-$AI129-$AH129-$AG129-$AF129-$AE129*(1+CB$3))/$AJ129,'Технический лист'!$I:$J,2,1)-VLOOKUP($AO129,'Технический лист'!$I:$J,2,1)),1+(1-$AU129))</f>
        <v/>
      </c>
      <c r="CC129" s="172">
        <f>MIN(IF($AU129=100%,1,1+VLOOKUP(($AJ129-$AI129-$AH129-$AG129-$AF129-$AE129*(1+CC$3))/$AJ129,'Технический лист'!$I:$J,2,1)-VLOOKUP($AO129,'Технический лист'!$I:$J,2,1)),1+(1-$AU129))</f>
        <v/>
      </c>
      <c r="CD129" s="172">
        <f>MIN(IF($AU129=100%,1,1+VLOOKUP(($AJ129-$AI129-$AH129-$AG129-$AF129-$AE129*(1+CD$3))/$AJ129,'Технический лист'!$I:$J,2,1)-VLOOKUP($AO129,'Технический лист'!$I:$J,2,1)),1+(1-$AU129))</f>
        <v/>
      </c>
      <c r="CE129" s="172">
        <f>MIN(IF($AU129=100%,1,1+VLOOKUP(($AJ129-$AI129-$AH129-$AG129-$AF129-$AE129*(1+CE$3))/$AJ129,'Технический лист'!$I:$J,2,1)-VLOOKUP($AO129,'Технический лист'!$I:$J,2,1)),1+(1-$AU129))</f>
        <v/>
      </c>
      <c r="CF129" s="172">
        <f>MIN(IF($AU129=100%,1,1+VLOOKUP(($AJ129-$AI129-$AH129-$AG129-$AF129-$AE129*(1+CF$3))/$AJ129,'Технический лист'!$I:$J,2,1)-VLOOKUP($AO129,'Технический лист'!$I:$J,2,1)),1+(1-$AU129))</f>
        <v/>
      </c>
      <c r="CG129" s="172">
        <f>MIN(IF($AU129=100%,1,1+VLOOKUP(($AJ129-$AI129-$AH129-$AG129-$AF129-$AE129*(1+CG$3))/$AJ129,'Технический лист'!$I:$J,2,1)-VLOOKUP($AO129,'Технический лист'!$I:$J,2,1)),1+(1-$AU129))</f>
        <v/>
      </c>
      <c r="CH129" s="172">
        <f>MIN(IF($AU129=100%,1,1+VLOOKUP(($AJ129-$AI129-$AH129-$AG129-$AF129-$AE129*(1+CH$3))/$AJ129,'Технический лист'!$I:$J,2,1)-VLOOKUP($AO129,'Технический лист'!$I:$J,2,1)),1+(1-$AU129))</f>
        <v/>
      </c>
      <c r="CI129" s="172">
        <f>MIN(IF($AU129=100%,1,1+VLOOKUP(($AJ129-$AI129-$AH129-$AG129-$AF129-$AE129*(1+CI$3))/$AJ129,'Технический лист'!$I:$J,2,1)-VLOOKUP($AO129,'Технический лист'!$I:$J,2,1)),1+(1-$AU129))</f>
        <v/>
      </c>
      <c r="CJ129" s="172">
        <f>MIN(IF($AU129=100%,1,1+VLOOKUP(($AJ129-$AI129-$AH129-$AG129-$AF129-$AE129*(1+CJ$3))/$AJ129,'Технический лист'!$I:$J,2,1)-VLOOKUP($AO129,'Технический лист'!$I:$J,2,1)),1+(1-$AU129))</f>
        <v/>
      </c>
      <c r="CK129" s="172">
        <f>MIN(IF($AU129=100%,1,1+VLOOKUP(($AJ129-$AI129-$AH129-$AG129-$AF129-$AE129*(1+CK$3))/$AJ129,'Технический лист'!$I:$J,2,1)-VLOOKUP($AO129,'Технический лист'!$I:$J,2,1)),1+(1-$AU129))</f>
        <v/>
      </c>
      <c r="CL129" s="172">
        <f>MIN(IF($AU129=100%,1,1+VLOOKUP(($AJ129-$AI129-$AH129-$AG129-$AF129-$AE129*(1+CL$3))/$AJ129,'Технический лист'!$I:$J,2,1)-VLOOKUP($AO129,'Технический лист'!$I:$J,2,1)),1+(1-$AU129))</f>
        <v/>
      </c>
      <c r="CM129" s="172">
        <f>MIN(IF($AU129=100%,1,1+VLOOKUP(($AJ129-$AI129-$AH129-$AG129-$AF129-$AE129*(1+CM$3))/$AJ129,'Технический лист'!$I:$J,2,1)-VLOOKUP($AO129,'Технический лист'!$I:$J,2,1)),1+(1-$AU129))</f>
        <v/>
      </c>
      <c r="CN129" s="172">
        <f>MIN(IF($AU129=100%,1,1+VLOOKUP(($AJ129-$AI129-$AH129-$AG129-$AF129-$AE129*(1+CN$3))/$AJ129,'Технический лист'!$I:$J,2,1)-VLOOKUP($AO129,'Технический лист'!$I:$J,2,1)),1+(1-$AU129))</f>
        <v/>
      </c>
      <c r="CO129" s="172">
        <f>MIN(IF($AU129=100%,1,1+VLOOKUP(($AJ129-$AI129-$AH129-$AG129-$AF129-$AE129*(1+CO$3))/$AJ129,'Технический лист'!$I:$J,2,1)-VLOOKUP($AO129,'Технический лист'!$I:$J,2,1)),1+(1-$AU129))</f>
        <v/>
      </c>
      <c r="CP129" s="172">
        <f>MIN(IF($AU129=100%,1,1+VLOOKUP(($AJ129-$AI129-$AH129-$AG129-$AF129-$AE129*(1+CP$3))/$AJ129,'Технический лист'!$I:$J,2,1)-VLOOKUP($AO129,'Технический лист'!$I:$J,2,1)),1+(1-$AU129))</f>
        <v/>
      </c>
      <c r="CQ129" s="172">
        <f>MIN(IF($AU129=100%,1,1+VLOOKUP(($AJ129-$AI129-$AH129-$AG129-$AF129-$AE129*(1+CQ$3))/$AJ129,'Технический лист'!$I:$J,2,1)-VLOOKUP($AO129,'Технический лист'!$I:$J,2,1)),1+(1-$AU129))</f>
        <v/>
      </c>
      <c r="CR129" s="172">
        <f>MIN(IF($AU129=100%,1,1+VLOOKUP(($AJ129-$AI129-$AH129-$AG129-$AF129-$AE129*(1+CR$3))/$AJ129,'Технический лист'!$I:$J,2,1)-VLOOKUP($AO129,'Технический лист'!$I:$J,2,1)),1+(1-$AU129))</f>
        <v/>
      </c>
      <c r="CS129" s="172">
        <f>MIN(IF($AU129=100%,1,1+VLOOKUP(($AJ129-$AI129-$AH129-$AG129-$AF129-$AE129*(1+CS$3))/$AJ129,'Технический лист'!$I:$J,2,1)-VLOOKUP($AO129,'Технический лист'!$I:$J,2,1)),1+(1-$AU129))</f>
        <v/>
      </c>
      <c r="CT129" s="172">
        <f>MIN(IF($AU129=100%,1,1+VLOOKUP(($AJ129-$AI129-$AH129-$AG129-$AF129-$AE129*(1+CT$3))/$AJ129,'Технический лист'!$I:$J,2,1)-VLOOKUP($AO129,'Технический лист'!$I:$J,2,1)),1+(1-$AU129))</f>
        <v/>
      </c>
      <c r="CU129" s="172">
        <f>MIN(IF($AU129=100%,1,1+VLOOKUP(($AJ129-$AI129-$AH129-$AG129-$AF129-$AE129*(1+CU$3))/$AJ129,'Технический лист'!$I:$J,2,1)-VLOOKUP($AO129,'Технический лист'!$I:$J,2,1)),1+(1-$AU129))</f>
        <v/>
      </c>
      <c r="CV129" s="172">
        <f>MIN(IF($AU129=100%,1,1+VLOOKUP(($AJ129-$AI129-$AH129-$AG129-$AF129-$AE129*(1+CV$3))/$AJ129,'Технический лист'!$I:$J,2,1)-VLOOKUP($AO129,'Технический лист'!$I:$J,2,1)),1+(1-$AU129))</f>
        <v/>
      </c>
      <c r="CW129" s="172">
        <f>MIN(IF($AU129=100%,1,1+VLOOKUP(($AJ129-$AI129-$AH129-$AG129-$AF129-$AE129*(1+CW$3))/$AJ129,'Технический лист'!$I:$J,2,1)-VLOOKUP($AO129,'Технический лист'!$I:$J,2,1)),1+(1-$AU129))</f>
        <v/>
      </c>
      <c r="CX129" s="172">
        <f>MIN(IF($AU129=100%,1,1+VLOOKUP(($AJ129-$AI129-$AH129-$AG129-$AF129-$AE129*(1+CX$3))/$AJ129,'Технический лист'!$I:$J,2,1)-VLOOKUP($AO129,'Технический лист'!$I:$J,2,1)),1+(1-$AU129))</f>
        <v/>
      </c>
      <c r="CY129" s="172">
        <f>MIN(IF($AU129=100%,1,1+VLOOKUP(($AJ129-$AI129-$AH129-$AG129-$AF129-$AE129*(1+CY$3))/$AJ129,'Технический лист'!$I:$J,2,1)-VLOOKUP($AO129,'Технический лист'!$I:$J,2,1)),1+(1-$AU129))</f>
        <v/>
      </c>
      <c r="CZ129" s="172">
        <f>MIN(IF($AU129=100%,1,1+VLOOKUP(($AJ129-$AI129-$AH129-$AG129-$AF129-$AE129*(1+CZ$3))/$AJ129,'Технический лист'!$I:$J,2,1)-VLOOKUP($AO129,'Технический лист'!$I:$J,2,1)),1+(1-$AU129))</f>
        <v/>
      </c>
      <c r="DA129" s="172">
        <f>MIN(IF($AU129=100%,1,1+VLOOKUP(($AJ129-$AI129-$AH129-$AG129-$AF129-$AE129*(1+DA$3))/$AJ129,'Технический лист'!$I:$J,2,1)-VLOOKUP($AO129,'Технический лист'!$I:$J,2,1)),1+(1-$AU129))</f>
        <v/>
      </c>
      <c r="DB129" s="172">
        <f>MIN(IF($AU129=100%,1,1+VLOOKUP(($AJ129-$AI129-$AH129-$AG129-$AF129-$AE129*(1+DB$3))/$AJ129,'Технический лист'!$I:$J,2,1)-VLOOKUP($AO129,'Технический лист'!$I:$J,2,1)),1+(1-$AU129))</f>
        <v/>
      </c>
      <c r="DC129" s="172">
        <f>MIN(IF($AU129=100%,1,1+VLOOKUP(($AJ129-$AI129-$AH129-$AG129-$AF129-$AE129*(1+DC$3))/$AJ129,'Технический лист'!$I:$J,2,1)-VLOOKUP($AO129,'Технический лист'!$I:$J,2,1)),1+(1-$AU129))</f>
        <v/>
      </c>
      <c r="DD129" s="172">
        <f>MIN(IF($AU129=100%,1,1+VLOOKUP(($AJ129-$AI129-$AH129-$AG129-$AF129-$AE129*(1+DD$3))/$AJ129,'Технический лист'!$I:$J,2,1)-VLOOKUP($AO129,'Технический лист'!$I:$J,2,1)),1+(1-$AU129))</f>
        <v/>
      </c>
      <c r="DE129" s="172">
        <f>MIN(IF($AU129=100%,1,1+VLOOKUP(($AJ129-$AI129-$AH129-$AG129-$AF129-$AE129*(1+DE$3))/$AJ129,'Технический лист'!$I:$J,2,1)-VLOOKUP($AO129,'Технический лист'!$I:$J,2,1)),1+(1-$AU129))</f>
        <v/>
      </c>
      <c r="DF129" s="172">
        <f>MIN(IF($AU129=100%,1,1+VLOOKUP(($AJ129-$AI129-$AH129-$AG129-$AF129-$AE129*(1+DF$3))/$AJ129,'Технический лист'!$I:$J,2,1)-VLOOKUP($AO129,'Технический лист'!$I:$J,2,1)),1+(1-$AU129))</f>
        <v/>
      </c>
      <c r="DG129" s="172">
        <f>MIN(IF($AU129=100%,1,1+VLOOKUP(($AJ129-$AI129-$AH129-$AG129-$AF129-$AE129*(1+DG$3))/$AJ129,'Технический лист'!$I:$J,2,1)-VLOOKUP($AO129,'Технический лист'!$I:$J,2,1)),1+(1-$AU129))</f>
        <v/>
      </c>
      <c r="DH129" s="172">
        <f>MIN(IF($AU129=100%,1,1+VLOOKUP(($AJ129-$AI129-$AH129-$AG129-$AF129-$AE129*(1+DH$3))/$AJ129,'Технический лист'!$I:$J,2,1)-VLOOKUP($AO129,'Технический лист'!$I:$J,2,1)),1+(1-$AU129))</f>
        <v/>
      </c>
      <c r="DI129" s="172">
        <f>MIN(IF($AU129=100%,1,1+VLOOKUP(($AJ129-$AI129-$AH129-$AG129-$AF129-$AE129*(1+DI$3))/$AJ129,'Технический лист'!$I:$J,2,1)-VLOOKUP($AO129,'Технический лист'!$I:$J,2,1)),1+(1-$AU129))</f>
        <v/>
      </c>
      <c r="DJ129" s="172">
        <f>MIN(IF($AU129=100%,1,1+VLOOKUP(($AJ129-$AI129-$AH129-$AG129-$AF129-$AE129*(1+DJ$3))/$AJ129,'Технический лист'!$I:$J,2,1)-VLOOKUP($AO129,'Технический лист'!$I:$J,2,1)),1+(1-$AU129))</f>
        <v/>
      </c>
      <c r="DK129" s="172">
        <f>MIN(IF($AU129=100%,1,1+VLOOKUP(($AJ129-$AI129-$AH129-$AG129-$AF129-$AE129*(1+DK$3))/$AJ129,'Технический лист'!$I:$J,2,1)-VLOOKUP($AO129,'Технический лист'!$I:$J,2,1)),1+(1-$AU129))</f>
        <v/>
      </c>
      <c r="DL129" s="172">
        <f>MIN(IF($AU129=100%,1,1+VLOOKUP(($AJ129-$AI129-$AH129-$AG129-$AF129-$AE129*(1+DL$3))/$AJ129,'Технический лист'!$I:$J,2,1)-VLOOKUP($AO129,'Технический лист'!$I:$J,2,1)),1+(1-$AU129))</f>
        <v/>
      </c>
      <c r="DM129" s="172">
        <f>MIN(IF($AU129=100%,1,1+VLOOKUP(($AJ129-$AI129-$AH129-$AG129-$AF129-$AE129*(1+DM$3))/$AJ129,'Технический лист'!$I:$J,2,1)-VLOOKUP($AO129,'Технический лист'!$I:$J,2,1)),1+(1-$AU129))</f>
        <v/>
      </c>
      <c r="DN129" s="172">
        <f>MIN(IF($AU129=100%,1,1+VLOOKUP(($AJ129-$AI129-$AH129-$AG129-$AF129-$AE129*(1+DN$3))/$AJ129,'Технический лист'!$I:$J,2,1)-VLOOKUP($AO129,'Технический лист'!$I:$J,2,1)),1+(1-$AU129))</f>
        <v/>
      </c>
      <c r="DO129" s="172">
        <f>MIN(IF($AU129=100%,1,1+VLOOKUP(($AJ129-$AI129-$AH129-$AG129-$AF129-$AE129*(1+DO$3))/$AJ129,'Технический лист'!$I:$J,2,1)-VLOOKUP($AO129,'Технический лист'!$I:$J,2,1)),1+(1-$AU129))</f>
        <v/>
      </c>
      <c r="DP129" s="172">
        <f>MIN(IF($AU129=100%,1,1+VLOOKUP(($AJ129-$AI129-$AH129-$AG129-$AF129-$AE129*(1+DP$3))/$AJ129,'Технический лист'!$I:$J,2,1)-VLOOKUP($AO129,'Технический лист'!$I:$J,2,1)),1+(1-$AU129))</f>
        <v/>
      </c>
      <c r="DQ129" s="172">
        <f>MIN(IF($AU129=100%,1,1+VLOOKUP(($AJ129-$AI129-$AH129-$AG129-$AF129-$AE129*(1+DQ$3))/$AJ129,'Технический лист'!$I:$J,2,1)-VLOOKUP($AO129,'Технический лист'!$I:$J,2,1)),1+(1-$AU129))</f>
        <v/>
      </c>
      <c r="DR129" s="172">
        <f>MIN(IF($AU129=100%,1,1+VLOOKUP(($AJ129-$AI129-$AH129-$AG129-$AF129-$AE129*(1+DR$3))/$AJ129,'Технический лист'!$I:$J,2,1)-VLOOKUP($AO129,'Технический лист'!$I:$J,2,1)),1+(1-$AU129))</f>
        <v/>
      </c>
      <c r="DS129" s="172">
        <f>MIN(IF($AU129=100%,1,1+VLOOKUP(($AJ129-$AI129-$AH129-$AG129-$AF129-$AE129*(1+DS$3))/$AJ129,'Технический лист'!$I:$J,2,1)-VLOOKUP($AO129,'Технический лист'!$I:$J,2,1)),1+(1-$AU129))</f>
        <v/>
      </c>
      <c r="DT129" s="172">
        <f>MIN(IF($AU129=100%,1,1+VLOOKUP(($AJ129-$AI129-$AH129-$AG129-$AF129-$AE129*(1+DT$3))/$AJ129,'Технический лист'!$I:$J,2,1)-VLOOKUP($AO129,'Технический лист'!$I:$J,2,1)),1+(1-$AU129))</f>
        <v/>
      </c>
      <c r="DU129" s="172">
        <f>MIN(IF($AU129=100%,1,1+VLOOKUP(($AJ129-$AI129-$AH129-$AG129-$AF129-$AE129*(1+DU$3))/$AJ129,'Технический лист'!$I:$J,2,1)-VLOOKUP($AO129,'Технический лист'!$I:$J,2,1)),1+(1-$AU129))</f>
        <v/>
      </c>
      <c r="DV129" s="172">
        <f>MIN(IF($AU129=100%,1,1+VLOOKUP(($AJ129-$AI129-$AH129-$AG129-$AF129-$AE129*(1+DV$3))/$AJ129,'Технический лист'!$I:$J,2,1)-VLOOKUP($AO129,'Технический лист'!$I:$J,2,1)),1+(1-$AU129))</f>
        <v/>
      </c>
      <c r="DW129" s="172">
        <f>MIN(IF($AU129=100%,1,1+VLOOKUP(($AJ129-$AI129-$AH129-$AG129-$AF129-$AE129*(1+DW$3))/$AJ129,'Технический лист'!$I:$J,2,1)-VLOOKUP($AO129,'Технический лист'!$I:$J,2,1)),1+(1-$AU129))</f>
        <v/>
      </c>
      <c r="DX129" s="172">
        <f>MIN(IF($AU129=100%,1,1+VLOOKUP(($AJ129-$AI129-$AH129-$AG129-$AF129-$AE129*(1+DX$3))/$AJ129,'Технический лист'!$I:$J,2,1)-VLOOKUP($AO129,'Технический лист'!$I:$J,2,1)),1+(1-$AU129))</f>
        <v/>
      </c>
      <c r="DY129" s="172">
        <f>MIN(IF($AU129=100%,1,1+VLOOKUP(($AJ129-$AI129-$AH129-$AG129-$AF129-$AE129*(1+DY$3))/$AJ129,'Технический лист'!$I:$J,2,1)-VLOOKUP($AO129,'Технический лист'!$I:$J,2,1)),1+(1-$AU129))</f>
        <v/>
      </c>
      <c r="DZ129" s="172">
        <f>MIN(IF($AU129=100%,1,1+VLOOKUP(($AJ129-$AI129-$AH129-$AG129-$AF129-$AE129*(1+DZ$3))/$AJ129,'Технический лист'!$I:$J,2,1)-VLOOKUP($AO129,'Технический лист'!$I:$J,2,1)),1+(1-$AU129))</f>
        <v/>
      </c>
      <c r="EA129" s="172">
        <f>MIN(IF($AU129=100%,1,1+VLOOKUP(($AJ129-$AI129-$AH129-$AG129-$AF129-$AE129*(1+EA$3))/$AJ129,'Технический лист'!$I:$J,2,1)-VLOOKUP($AO129,'Технический лист'!$I:$J,2,1)),1+(1-$AU129))</f>
        <v/>
      </c>
      <c r="EB129" s="172">
        <f>MIN(IF($AU129=100%,1,1+VLOOKUP(($AJ129-$AI129-$AH129-$AG129-$AF129-$AE129*(1+EB$3))/$AJ129,'Технический лист'!$I:$J,2,1)-VLOOKUP($AO129,'Технический лист'!$I:$J,2,1)),1+(1-$AU129))</f>
        <v/>
      </c>
      <c r="EC129" s="172">
        <f>MIN(IF($AU129=100%,1,1+VLOOKUP(($AJ129-$AI129-$AH129-$AG129-$AF129-$AE129*(1+EC$3))/$AJ129,'Технический лист'!$I:$J,2,1)-VLOOKUP($AO129,'Технический лист'!$I:$J,2,1)),1+(1-$AU129))</f>
        <v/>
      </c>
      <c r="ED129" s="172">
        <f>MIN(IF($AU129=100%,1,1+VLOOKUP(($AJ129-$AI129-$AH129-$AG129-$AF129-$AE129*(1+ED$3))/$AJ129,'Технический лист'!$I:$J,2,1)-VLOOKUP($AO129,'Технический лист'!$I:$J,2,1)),1+(1-$AU129))</f>
        <v/>
      </c>
      <c r="EE129" s="172">
        <f>MIN(IF($AU129=100%,1,1+VLOOKUP(($AJ129-$AI129-$AH129-$AG129-$AF129-$AE129*(1+EE$3))/$AJ129,'Технический лист'!$I:$J,2,1)-VLOOKUP($AO129,'Технический лист'!$I:$J,2,1)),1+(1-$AU129))</f>
        <v/>
      </c>
      <c r="EF129" s="172">
        <f>MIN(IF($AU129=100%,1,1+VLOOKUP(($AJ129-$AI129-$AH129-$AG129-$AF129-$AE129*(1+EF$3))/$AJ129,'Технический лист'!$I:$J,2,1)-VLOOKUP($AO129,'Технический лист'!$I:$J,2,1)),1+(1-$AU129))</f>
        <v/>
      </c>
      <c r="EG129" s="172">
        <f>MIN(IF($AU129=100%,1,1+VLOOKUP(($AJ129-$AI129-$AH129-$AG129-$AF129-$AE129*(1+EG$3))/$AJ129,'Технический лист'!$I:$J,2,1)-VLOOKUP($AO129,'Технический лист'!$I:$J,2,1)),1+(1-$AU129))</f>
        <v/>
      </c>
      <c r="EH129" s="172">
        <f>MIN(IF($AU129=100%,1,1+VLOOKUP(($AJ129-$AI129-$AH129-$AG129-$AF129-$AE129*(1+EH$3))/$AJ129,'Технический лист'!$I:$J,2,1)-VLOOKUP($AO129,'Технический лист'!$I:$J,2,1)),1+(1-$AU129))</f>
        <v/>
      </c>
      <c r="EI129" s="172">
        <f>MIN(IF($AU129=100%,1,1+VLOOKUP(($AJ129-$AI129-$AH129-$AG129-$AF129-$AE129*(1+EI$3))/$AJ129,'Технический лист'!$I:$J,2,1)-VLOOKUP($AO129,'Технический лист'!$I:$J,2,1)),1+(1-$AU129))</f>
        <v/>
      </c>
      <c r="EJ129" s="172">
        <f>MIN(IF($AU129=100%,1,1+VLOOKUP(($AJ129-$AI129-$AH129-$AG129-$AF129-$AE129*(1+EJ$3))/$AJ129,'Технический лист'!$I:$J,2,1)-VLOOKUP($AO129,'Технический лист'!$I:$J,2,1)),1+(1-$AU129))</f>
        <v/>
      </c>
      <c r="EK129" s="172">
        <f>MIN(IF($AU129=100%,1,1+VLOOKUP(($AJ129-$AI129-$AH129-$AG129-$AF129-$AE129*(1+EK$3))/$AJ129,'Технический лист'!$I:$J,2,1)-VLOOKUP($AO129,'Технический лист'!$I:$J,2,1)),1+(1-$AU129))</f>
        <v/>
      </c>
      <c r="EL129" s="172">
        <f>MIN(IF($AU129=100%,1,1+VLOOKUP(($AJ129-$AI129-$AH129-$AG129-$AF129-$AE129*(1+EL$3))/$AJ129,'Технический лист'!$I:$J,2,1)-VLOOKUP($AO129,'Технический лист'!$I:$J,2,1)),1+(1-$AU129))</f>
        <v/>
      </c>
      <c r="EM129" s="172">
        <f>MIN(IF($AU129=100%,1,1+VLOOKUP(($AJ129-$AI129-$AH129-$AG129-$AF129-$AE129*(1+EM$3))/$AJ129,'Технический лист'!$I:$J,2,1)-VLOOKUP($AO129,'Технический лист'!$I:$J,2,1)),1+(1-$AU129))</f>
        <v/>
      </c>
      <c r="EN129" s="172">
        <f>MIN(IF($AU129=100%,1,1+VLOOKUP(($AJ129-$AI129-$AH129-$AG129-$AF129-$AE129*(1+EN$3))/$AJ129,'Технический лист'!$I:$J,2,1)-VLOOKUP($AO129,'Технический лист'!$I:$J,2,1)),1+(1-$AU129))</f>
        <v/>
      </c>
      <c r="EO129" s="172">
        <f>MIN(IF($AU129=100%,1,1+VLOOKUP(($AJ129-$AI129-$AH129-$AG129-$AF129-$AE129*(1+EO$3))/$AJ129,'Технический лист'!$I:$J,2,1)-VLOOKUP($AO129,'Технический лист'!$I:$J,2,1)),1+(1-$AU129))</f>
        <v/>
      </c>
      <c r="EP129" s="172">
        <f>MIN(IF($AU129=100%,1,1+VLOOKUP(($AJ129-$AI129-$AH129-$AG129-$AF129-$AE129*(1+EP$3))/$AJ129,'Технический лист'!$I:$J,2,1)-VLOOKUP($AO129,'Технический лист'!$I:$J,2,1)),1+(1-$AU129))</f>
        <v/>
      </c>
      <c r="EQ129" s="172">
        <f>MIN(IF($AU129=100%,1,1+VLOOKUP(($AJ129-$AI129-$AH129-$AG129-$AF129-$AE129*(1+EQ$3))/$AJ129,'Технический лист'!$I:$J,2,1)-VLOOKUP($AO129,'Технический лист'!$I:$J,2,1)),1+(1-$AU129))</f>
        <v/>
      </c>
      <c r="ER129" s="172">
        <f>MIN(IF($AU129=100%,1,1+VLOOKUP(($AJ129-$AI129-$AH129-$AG129-$AF129-$AE129*(1+ER$3))/$AJ129,'Технический лист'!$I:$J,2,1)-VLOOKUP($AO129,'Технический лист'!$I:$J,2,1)),1+(1-$AU129))</f>
        <v/>
      </c>
      <c r="ES129" s="172">
        <f>MIN(IF($AU129=100%,1,1+VLOOKUP(($AJ129-$AI129-$AH129-$AG129-$AF129-$AE129*(1+ES$3))/$AJ129,'Технический лист'!$I:$J,2,1)-VLOOKUP($AO129,'Технический лист'!$I:$J,2,1)),1+(1-$AU129))</f>
        <v/>
      </c>
      <c r="ET129" s="172">
        <f>MIN(IF($AU129=100%,1,1+VLOOKUP(($AJ129-$AI129-$AH129-$AG129-$AF129-$AE129*(1+ET$3))/$AJ129,'Технический лист'!$I:$J,2,1)-VLOOKUP($AO129,'Технический лист'!$I:$J,2,1)),1+(1-$AU129))</f>
        <v/>
      </c>
      <c r="EU129" s="172">
        <f>MIN(IF($AU129=100%,1,1+VLOOKUP(($AJ129-$AI129-$AH129-$AG129-$AF129-$AE129*(1+EU$3))/$AJ129,'Технический лист'!$I:$J,2,1)-VLOOKUP($AO129,'Технический лист'!$I:$J,2,1)),1+(1-$AU129))</f>
        <v/>
      </c>
      <c r="EV129" s="173" t="n">
        <v>1</v>
      </c>
      <c r="EW129" s="172">
        <f>MIN(1,MAX(VLOOKUP(($AJ129-$AI129-$AH129-$AG129-$AF129-$AE129*(1+EW$3))/$AJ129,'Технический лист'!$A:$B,2,1),(EV129-0.05)))</f>
        <v/>
      </c>
      <c r="EX129" s="172">
        <f>MIN(1,MAX(VLOOKUP(($AJ129-$AI129-$AH129-$AG129-$AF129-$AE129*(1+EX$3))/$AJ129,'Технический лист'!$A:$B,2,1),(EW129-0.05)))</f>
        <v/>
      </c>
      <c r="EY129" s="172">
        <f>MIN(1,MAX(VLOOKUP(($AJ129-$AI129-$AH129-$AG129-$AF129-$AE129*(1+EY$3))/$AJ129,'Технический лист'!$A:$B,2,1),(EX129-0.05)))</f>
        <v/>
      </c>
      <c r="EZ129" s="172">
        <f>MIN(1,MAX(VLOOKUP(($AJ129-$AI129-$AH129-$AG129-$AF129-$AE129*(1+EZ$3))/$AJ129,'Технический лист'!$A:$B,2,1),(EY129-0.05)))</f>
        <v/>
      </c>
      <c r="FA129" s="172">
        <f>MIN(1,MAX(VLOOKUP(($AJ129-$AI129-$AH129-$AG129-$AF129-$AE129*(1+FA$3))/$AJ129,'Технический лист'!$A:$B,2,1),(EZ129-0.05)))</f>
        <v/>
      </c>
      <c r="FB129" s="172">
        <f>MIN(1,MAX(VLOOKUP(($AJ129-$AI129-$AH129-$AG129-$AF129-$AE129*(1+FB$3))/$AJ129,'Технический лист'!$A:$B,2,1),(FA129-0.05)))</f>
        <v/>
      </c>
      <c r="FC129" s="172">
        <f>MIN(1,MAX(VLOOKUP(($AJ129-$AI129-$AH129-$AG129-$AF129-$AE129*(1+FC$3))/$AJ129,'Технический лист'!$A:$B,2,1),(FB129-0.05)))</f>
        <v/>
      </c>
      <c r="FD129" s="172">
        <f>MIN(1,MAX(VLOOKUP(($AJ129-$AI129-$AH129-$AG129-$AF129-$AE129*(1+FD$3))/$AJ129,'Технический лист'!$A:$B,2,1),(FC129-0.05)))</f>
        <v/>
      </c>
      <c r="FE129" s="172">
        <f>MIN(1,MAX(VLOOKUP(($AJ129-$AI129-$AH129-$AG129-$AF129-$AE129*(1+FE$3))/$AJ129,'Технический лист'!$A:$B,2,1),(FD129-0.05)))</f>
        <v/>
      </c>
      <c r="FF129" s="172">
        <f>MIN(1,MAX(VLOOKUP(($AJ129-$AI129-$AH129-$AG129-$AF129-$AE129*(1+FF$3))/$AJ129,'Технический лист'!$A:$B,2,1),(FE129-0.05)))</f>
        <v/>
      </c>
      <c r="FG129" s="172">
        <f>MIN(1,MAX(VLOOKUP(($AJ129-$AI129-$AH129-$AG129-$AF129-$AE129*(1+FG$3))/$AJ129,'Технический лист'!$A:$B,2,1),(FF129-0.05)))</f>
        <v/>
      </c>
      <c r="FH129" s="172">
        <f>MIN(1,MAX(VLOOKUP(($AJ129-$AI129-$AH129-$AG129-$AF129-$AE129*(1+FH$3))/$AJ129,'Технический лист'!$A:$B,2,1),(FG129-0.05)))</f>
        <v/>
      </c>
      <c r="FI129" s="172">
        <f>MIN(1,MAX(VLOOKUP(($AJ129-$AI129-$AH129-$AG129-$AF129-$AE129*(1+FI$3))/$AJ129,'Технический лист'!$A:$B,2,1),(FH129-0.05)))</f>
        <v/>
      </c>
      <c r="FJ129" s="172">
        <f>MIN(1,MAX(VLOOKUP(($AJ129-$AI129-$AH129-$AG129-$AF129-$AE129*(1+FJ$3))/$AJ129,'Технический лист'!$A:$B,2,1),(FI129-0.05)))</f>
        <v/>
      </c>
      <c r="FK129" s="172">
        <f>MIN(1,MAX(VLOOKUP(($AJ129-$AI129-$AH129-$AG129-$AF129-$AE129*(1+FK$3))/$AJ129,'Технический лист'!$A:$B,2,1),(FJ129-0.05)))</f>
        <v/>
      </c>
      <c r="FL129" s="172">
        <f>MIN(1,MAX(VLOOKUP(($AJ129-$AI129-$AH129-$AG129-$AF129-$AE129*(1+FL$3))/$AJ129,'Технический лист'!$A:$B,2,1),(FK129-0.05)))</f>
        <v/>
      </c>
      <c r="FM129" s="172">
        <f>MIN(1,MAX(VLOOKUP(($AJ129-$AI129-$AH129-$AG129-$AF129-$AE129*(1+FM$3))/$AJ129,'Технический лист'!$A:$B,2,1),(FL129-0.05)))</f>
        <v/>
      </c>
      <c r="FN129" s="172">
        <f>MIN(1,MAX(VLOOKUP(($AJ129-$AI129-$AH129-$AG129-$AF129-$AE129*(1+FN$3))/$AJ129,'Технический лист'!$A:$B,2,1),(FM129-0.05)))</f>
        <v/>
      </c>
      <c r="FO129" s="172">
        <f>MIN(1,MAX(VLOOKUP(($AJ129-$AI129-$AH129-$AG129-$AF129-$AE129*(1+FO$3))/$AJ129,'Технический лист'!$A:$B,2,1),(FN129-0.05)))</f>
        <v/>
      </c>
      <c r="FP129" s="172">
        <f>MIN(1,MAX(VLOOKUP(($AJ129-$AI129-$AH129-$AG129-$AF129-$AE129*(1+FP$3))/$AJ129,'Технический лист'!$A:$B,2,1),(FO129-0.05)))</f>
        <v/>
      </c>
      <c r="FQ129" s="172">
        <f>MIN(1,MAX(VLOOKUP(($AJ129-$AI129-$AH129-$AG129-$AF129-$AE129*(1+FQ$3))/$AJ129,'Технический лист'!$A:$B,2,1),(FP129-0.05)))</f>
        <v/>
      </c>
      <c r="FR129" s="172">
        <f>MIN(1,MAX(VLOOKUP(($AJ129-$AI129-$AH129-$AG129-$AF129-$AE129*(1+FR$3))/$AJ129,'Технический лист'!$A:$B,2,1),(FQ129-0.05)))</f>
        <v/>
      </c>
      <c r="FS129" s="172">
        <f>MIN(1,MAX(VLOOKUP(($AJ129-$AI129-$AH129-$AG129-$AF129-$AE129*(1+FS$3))/$AJ129,'Технический лист'!$A:$B,2,1),(FR129-0.05)))</f>
        <v/>
      </c>
      <c r="FT129" s="172">
        <f>MIN(1,MAX(VLOOKUP(($AJ129-$AI129-$AH129-$AG129-$AF129-$AE129*(1+FT$3))/$AJ129,'Технический лист'!$A:$B,2,1),(FS129-0.05)))</f>
        <v/>
      </c>
      <c r="FU129" s="172">
        <f>MIN(1,MAX(VLOOKUP(($AJ129-$AI129-$AH129-$AG129-$AF129-$AE129*(1+FU$3))/$AJ129,'Технический лист'!$A:$B,2,1),(FT129-0.05)))</f>
        <v/>
      </c>
      <c r="FV129" s="172">
        <f>MIN(1,MAX(VLOOKUP(($AJ129-$AI129-$AH129-$AG129-$AF129-$AE129*(1+FV$3))/$AJ129,'Технический лист'!$A:$B,2,1),(FU129-0.05)))</f>
        <v/>
      </c>
      <c r="FW129" s="172">
        <f>MIN(1,MAX(VLOOKUP(($AJ129-$AI129-$AH129-$AG129-$AF129-$AE129*(1+FW$3))/$AJ129,'Технический лист'!$A:$B,2,1),(FV129-0.05)))</f>
        <v/>
      </c>
      <c r="FX129" s="172">
        <f>MIN(1,MAX(VLOOKUP(($AJ129-$AI129-$AH129-$AG129-$AF129-$AE129*(1+FX$3))/$AJ129,'Технический лист'!$A:$B,2,1),(FW129-0.05)))</f>
        <v/>
      </c>
      <c r="FY129" s="172">
        <f>MIN(1,MAX(VLOOKUP(($AJ129-$AI129-$AH129-$AG129-$AF129-$AE129*(1+FY$3))/$AJ129,'Технический лист'!$A:$B,2,1),(FX129-0.05)))</f>
        <v/>
      </c>
      <c r="FZ129" s="172">
        <f>MIN(1,MAX(VLOOKUP(($AJ129-$AI129-$AH129-$AG129-$AF129-$AE129*(1+FZ$3))/$AJ129,'Технический лист'!$A:$B,2,1),(FY129-0.05)))</f>
        <v/>
      </c>
      <c r="GA129" s="172">
        <f>MIN(1,MAX(VLOOKUP(($AJ129-$AI129-$AH129-$AG129-$AF129-$AE129*(1+GA$3))/$AJ129,'Технический лист'!$A:$B,2,1),(FZ129-0.05)))</f>
        <v/>
      </c>
      <c r="GB129" s="172">
        <f>MIN(1,MAX(VLOOKUP(($AJ129-$AI129-$AH129-$AG129-$AF129-$AE129*(1+GB$3))/$AJ129,'Технический лист'!$A:$B,2,1),(GA129-0.05)))</f>
        <v/>
      </c>
      <c r="GC129" s="172">
        <f>MIN(1,MAX(VLOOKUP(($AJ129-$AI129-$AH129-$AG129-$AF129-$AE129*(1+GC$3))/$AJ129,'Технический лист'!$A:$B,2,1),(GB129-0.05)))</f>
        <v/>
      </c>
      <c r="GD129" s="172">
        <f>MIN(1,MAX(VLOOKUP(($AJ129-$AI129-$AH129-$AG129-$AF129-$AE129*(1+GD$3))/$AJ129,'Технический лист'!$A:$B,2,1),(GC129-0.05)))</f>
        <v/>
      </c>
      <c r="GE129" s="172">
        <f>MIN(1,MAX(VLOOKUP(($AJ129-$AI129-$AH129-$AG129-$AF129-$AE129*(1+GE$3))/$AJ129,'Технический лист'!$A:$B,2,1),(GD129-0.05)))</f>
        <v/>
      </c>
      <c r="GF129" s="172">
        <f>MIN(1,MAX(VLOOKUP(($AJ129-$AI129-$AH129-$AG129-$AF129-$AE129*(1+GF$3))/$AJ129,'Технический лист'!$A:$B,2,1),(GE129-0.05)))</f>
        <v/>
      </c>
      <c r="GG129" s="172">
        <f>MIN(1,MAX(VLOOKUP(($AJ129-$AI129-$AH129-$AG129-$AF129-$AE129*(1+GG$3))/$AJ129,'Технический лист'!$A:$B,2,1),(GF129-0.05)))</f>
        <v/>
      </c>
      <c r="GH129" s="172">
        <f>MIN(1,MAX(VLOOKUP(($AJ129-$AI129-$AH129-$AG129-$AF129-$AE129*(1+GH$3))/$AJ129,'Технический лист'!$A:$B,2,1),(GG129-0.05)))</f>
        <v/>
      </c>
      <c r="GI129" s="172">
        <f>MIN(1,MAX(VLOOKUP(($AJ129-$AI129-$AH129-$AG129-$AF129-$AE129*(1+GI$3))/$AJ129,'Технический лист'!$A:$B,2,1),(GH129-0.05)))</f>
        <v/>
      </c>
      <c r="GJ129" s="172">
        <f>MIN(1,MAX(VLOOKUP(($AJ129-$AI129-$AH129-$AG129-$AF129-$AE129*(1+GJ$3))/$AJ129,'Технический лист'!$A:$B,2,1),(GI129-0.05)))</f>
        <v/>
      </c>
      <c r="GK129" s="172">
        <f>MIN(1,MAX(VLOOKUP(($AJ129-$AI129-$AH129-$AG129-$AF129-$AE129*(1+GK$3))/$AJ129,'Технический лист'!$A:$B,2,1),(GJ129-0.05)))</f>
        <v/>
      </c>
      <c r="GL129" s="172">
        <f>MIN(1,MAX(VLOOKUP(($AJ129-$AI129-$AH129-$AG129-$AF129-$AE129*(1+GL$3))/$AJ129,'Технический лист'!$A:$B,2,1),(GK129-0.05)))</f>
        <v/>
      </c>
      <c r="GM129" s="172">
        <f>MIN(1,MAX(VLOOKUP(($AJ129-$AI129-$AH129-$AG129-$AF129-$AE129*(1+GM$3))/$AJ129,'Технический лист'!$A:$B,2,1),(GL129-0.05)))</f>
        <v/>
      </c>
      <c r="GN129" s="172">
        <f>MIN(1,MAX(VLOOKUP(($AJ129-$AI129-$AH129-$AG129-$AF129-$AE129*(1+GN$3))/$AJ129,'Технический лист'!$A:$B,2,1),(GM129-0.05)))</f>
        <v/>
      </c>
      <c r="GO129" s="172">
        <f>MIN(1,MAX(VLOOKUP(($AJ129-$AI129-$AH129-$AG129-$AF129-$AE129*(1+GO$3))/$AJ129,'Технический лист'!$A:$B,2,1),(GN129-0.05)))</f>
        <v/>
      </c>
      <c r="GP129" s="172">
        <f>MIN(1,MAX(VLOOKUP(($AJ129-$AI129-$AH129-$AG129-$AF129-$AE129*(1+GP$3))/$AJ129,'Технический лист'!$A:$B,2,1),(GO129-0.05)))</f>
        <v/>
      </c>
      <c r="GQ129" s="172">
        <f>MIN(1,MAX(VLOOKUP(($AJ129-$AI129-$AH129-$AG129-$AF129-$AE129*(1+GQ$3))/$AJ129,'Технический лист'!$A:$B,2,1),(GP129-0.05)))</f>
        <v/>
      </c>
      <c r="GR129" s="172">
        <f>MIN(1,MAX(VLOOKUP(($AJ129-$AI129-$AH129-$AG129-$AF129-$AE129*(1+GR$3))/$AJ129,'Технический лист'!$A:$B,2,1),(GQ129-0.05)))</f>
        <v/>
      </c>
      <c r="GS129" s="172">
        <f>MIN(1,MAX(VLOOKUP(($AJ129-$AI129-$AH129-$AG129-$AF129-$AE129*(1+GS$3))/$AJ129,'Технический лист'!$A:$B,2,1),(GR129-0.05)))</f>
        <v/>
      </c>
      <c r="GT129" s="172">
        <f>MIN(1,MAX(VLOOKUP(($AJ129-$AI129-$AH129-$AG129-$AF129-$AE129*(1+GT$3))/$AJ129,'Технический лист'!$A:$B,2,1),(GS129-0.05)))</f>
        <v/>
      </c>
      <c r="GU129" s="172">
        <f>MIN(1,MAX(VLOOKUP(($AJ129-$AI129-$AH129-$AG129-$AF129-$AE129*(1+GU$3))/$AJ129,'Технический лист'!$A:$B,2,1),(GT129-0.05)))</f>
        <v/>
      </c>
      <c r="GV129" s="172">
        <f>MIN(1,MAX(VLOOKUP(($AJ129-$AI129-$AH129-$AG129-$AF129-$AE129*(1+GV$3))/$AJ129,'Технический лист'!$A:$B,2,1),(GU129-0.05)))</f>
        <v/>
      </c>
      <c r="GW129" s="172">
        <f>MIN(1,MAX(VLOOKUP(($AJ129-$AI129-$AH129-$AG129-$AF129-$AE129*(1+GW$3))/$AJ129,'Технический лист'!$A:$B,2,1),(GV129-0.05)))</f>
        <v/>
      </c>
      <c r="GX129" s="172">
        <f>MIN(1,MAX(VLOOKUP(($AJ129-$AI129-$AH129-$AG129-$AF129-$AE129*(1+GX$3))/$AJ129,'Технический лист'!$A:$B,2,1),(GW129-0.05)))</f>
        <v/>
      </c>
      <c r="GY129" s="172">
        <f>MIN(1,MAX(VLOOKUP(($AJ129-$AI129-$AH129-$AG129-$AF129-$AE129*(1+GY$3))/$AJ129,'Технический лист'!$A:$B,2,1),(GX129-0.05)))</f>
        <v/>
      </c>
      <c r="GZ129" s="172">
        <f>MIN(1,MAX(VLOOKUP(($AJ129-$AI129-$AH129-$AG129-$AF129-$AE129*(1+GZ$3))/$AJ129,'Технический лист'!$A:$B,2,1),(GY129-0.05)))</f>
        <v/>
      </c>
      <c r="HA129" s="172">
        <f>MIN(1,MAX(VLOOKUP(($AJ129-$AI129-$AH129-$AG129-$AF129-$AE129*(1+HA$3))/$AJ129,'Технический лист'!$A:$B,2,1),(GZ129-0.05)))</f>
        <v/>
      </c>
      <c r="HB129" s="172">
        <f>MIN(1,MAX(VLOOKUP(($AJ129-$AI129-$AH129-$AG129-$AF129-$AE129*(1+HB$3))/$AJ129,'Технический лист'!$A:$B,2,1),(HA129-0.05)))</f>
        <v/>
      </c>
      <c r="HC129" s="172">
        <f>MIN(1,MAX(VLOOKUP(($AJ129-$AI129-$AH129-$AG129-$AF129-$AE129*(1+HC$3))/$AJ129,'Технический лист'!$A:$B,2,1),(HB129-0.05)))</f>
        <v/>
      </c>
      <c r="HD129" s="172">
        <f>MIN(1,MAX(VLOOKUP(($AJ129-$AI129-$AH129-$AG129-$AF129-$AE129*(1+HD$3))/$AJ129,'Технический лист'!$A:$B,2,1),(HC129-0.05)))</f>
        <v/>
      </c>
      <c r="HE129" s="172">
        <f>MIN(1,MAX(VLOOKUP(($AJ129-$AI129-$AH129-$AG129-$AF129-$AE129*(1+HE$3))/$AJ129,'Технический лист'!$A:$B,2,1),(HD129-0.05)))</f>
        <v/>
      </c>
      <c r="HF129" s="172">
        <f>MIN(1,MAX(VLOOKUP(($AJ129-$AI129-$AH129-$AG129-$AF129-$AE129*(1+HF$3))/$AJ129,'Технический лист'!$A:$B,2,1),(HE129-0.05)))</f>
        <v/>
      </c>
      <c r="HG129" s="172">
        <f>MIN(1,MAX(VLOOKUP(($AJ129-$AI129-$AH129-$AG129-$AF129-$AE129*(1+HG$3))/$AJ129,'Технический лист'!$A:$B,2,1),(HF129-0.05)))</f>
        <v/>
      </c>
      <c r="HH129" s="172">
        <f>MIN(1,MAX(VLOOKUP(($AJ129-$AI129-$AH129-$AG129-$AF129-$AE129*(1+HH$3))/$AJ129,'Технический лист'!$A:$B,2,1),(HG129-0.05)))</f>
        <v/>
      </c>
      <c r="HI129" s="172">
        <f>MIN(1,MAX(VLOOKUP(($AJ129-$AI129-$AH129-$AG129-$AF129-$AE129*(1+HI$3))/$AJ129,'Технический лист'!$A:$B,2,1),(HH129-0.05)))</f>
        <v/>
      </c>
      <c r="HJ129" s="172">
        <f>MIN(1,MAX(VLOOKUP(($AJ129-$AI129-$AH129-$AG129-$AF129-$AE129*(1+HJ$3))/$AJ129,'Технический лист'!$A:$B,2,1),(HI129-0.05)))</f>
        <v/>
      </c>
      <c r="HK129" s="172">
        <f>MIN(1,MAX(VLOOKUP(($AJ129-$AI129-$AH129-$AG129-$AF129-$AE129*(1+HK$3))/$AJ129,'Технический лист'!$A:$B,2,1),(HJ129-0.05)))</f>
        <v/>
      </c>
      <c r="HL129" s="172">
        <f>MIN(1,MAX(VLOOKUP(($AJ129-$AI129-$AH129-$AG129-$AF129-$AE129*(1+HL$3))/$AJ129,'Технический лист'!$A:$B,2,1),(HK129-0.05)))</f>
        <v/>
      </c>
      <c r="HM129" s="172">
        <f>MIN(1,MAX(VLOOKUP(($AJ129-$AI129-$AH129-$AG129-$AF129-$AE129*(1+HM$3))/$AJ129,'Технический лист'!$A:$B,2,1),(HL129-0.05)))</f>
        <v/>
      </c>
      <c r="HN129" s="172">
        <f>MIN(1,MAX(VLOOKUP(($AJ129-$AI129-$AH129-$AG129-$AF129-$AE129*(1+HN$3))/$AJ129,'Технический лист'!$A:$B,2,1),(HM129-0.05)))</f>
        <v/>
      </c>
      <c r="HO129" s="172">
        <f>MIN(1,MAX(VLOOKUP(($AJ129-$AI129-$AH129-$AG129-$AF129-$AE129*(1+HO$3))/$AJ129,'Технический лист'!$A:$B,2,1),(HN129-0.05)))</f>
        <v/>
      </c>
      <c r="HP129" s="172">
        <f>MIN(1,MAX(VLOOKUP(($AJ129-$AI129-$AH129-$AG129-$AF129-$AE129*(1+HP$3))/$AJ129,'Технический лист'!$A:$B,2,1),(HO129-0.05)))</f>
        <v/>
      </c>
      <c r="HQ129" s="172">
        <f>MIN(1,MAX(VLOOKUP(($AJ129-$AI129-$AH129-$AG129-$AF129-$AE129*(1+HQ$3))/$AJ129,'Технический лист'!$A:$B,2,1),(HP129-0.05)))</f>
        <v/>
      </c>
      <c r="HR129" s="172">
        <f>MIN(1,MAX(VLOOKUP(($AJ129-$AI129-$AH129-$AG129-$AF129-$AE129*(1+HR$3))/$AJ129,'Технический лист'!$A:$B,2,1),(HQ129-0.05)))</f>
        <v/>
      </c>
      <c r="HS129" s="172">
        <f>MIN(1,MAX(VLOOKUP(($AJ129-$AI129-$AH129-$AG129-$AF129-$AE129*(1+HS$3))/$AJ129,'Технический лист'!$A:$B,2,1),(HR129-0.05)))</f>
        <v/>
      </c>
      <c r="HT129" s="172">
        <f>MIN(1,MAX(VLOOKUP(($AJ129-$AI129-$AH129-$AG129-$AF129-$AE129*(1+HT$3))/$AJ129,'Технический лист'!$A:$B,2,1),(HS129-0.05)))</f>
        <v/>
      </c>
      <c r="HU129" s="172">
        <f>MIN(1,MAX(VLOOKUP(($AJ129-$AI129-$AH129-$AG129-$AF129-$AE129*(1+HU$3))/$AJ129,'Технический лист'!$A:$B,2,1),(HT129-0.05)))</f>
        <v/>
      </c>
      <c r="HV129" s="172">
        <f>MIN(1,MAX(VLOOKUP(($AJ129-$AI129-$AH129-$AG129-$AF129-$AE129*(1+HV$3))/$AJ129,'Технический лист'!$A:$B,2,1),(HU129-0.05)))</f>
        <v/>
      </c>
      <c r="HW129" s="172">
        <f>MIN(1,MAX(VLOOKUP(($AJ129-$AI129-$AH129-$AG129-$AF129-$AE129*(1+HW$3))/$AJ129,'Технический лист'!$A:$B,2,1),(HV129-0.05)))</f>
        <v/>
      </c>
      <c r="HX129" s="172">
        <f>MIN(1,MAX(VLOOKUP(($AJ129-$AI129-$AH129-$AG129-$AF129-$AE129*(1+HX$3))/$AJ129,'Технический лист'!$A:$B,2,1),(HW129-0.05)))</f>
        <v/>
      </c>
      <c r="HY129" s="172">
        <f>MIN(1,MAX(VLOOKUP(($AJ129-$AI129-$AH129-$AG129-$AF129-$AE129*(1+HY$3))/$AJ129,'Технический лист'!$A:$B,2,1),(HX129-0.05)))</f>
        <v/>
      </c>
      <c r="HZ129" s="172">
        <f>MIN(1,MAX(VLOOKUP(($AJ129-$AI129-$AH129-$AG129-$AF129-$AE129*(1+HZ$3))/$AJ129,'Технический лист'!$A:$B,2,1),(HY129-0.05)))</f>
        <v/>
      </c>
      <c r="IA129" s="172">
        <f>MIN(1,MAX(VLOOKUP(($AJ129-$AI129-$AH129-$AG129-$AF129-$AE129*(1+IA$3))/$AJ129,'Технический лист'!$A:$B,2,1),(HZ129-0.05)))</f>
        <v/>
      </c>
      <c r="IB129" s="172">
        <f>MIN(1,MAX(VLOOKUP(($AJ129-$AI129-$AH129-$AG129-$AF129-$AE129*(1+IB$3))/$AJ129,'Технический лист'!$A:$B,2,1),(IA129-0.05)))</f>
        <v/>
      </c>
      <c r="IC129" s="172">
        <f>MIN(1,MAX(VLOOKUP(($AJ129-$AI129-$AH129-$AG129-$AF129-$AE129*(1+IC$3))/$AJ129,'Технический лист'!$A:$B,2,1),(IB129-0.05)))</f>
        <v/>
      </c>
      <c r="ID129" s="172">
        <f>MIN(1,MAX(VLOOKUP(($AJ129-$AI129-$AH129-$AG129-$AF129-$AE129*(1+ID$3))/$AJ129,'Технический лист'!$A:$B,2,1),(IC129-0.05)))</f>
        <v/>
      </c>
      <c r="IE129" s="172">
        <f>MIN(1,MAX(VLOOKUP(($AJ129-$AI129-$AH129-$AG129-$AF129-$AE129*(1+IE$3))/$AJ129,'Технический лист'!$A:$B,2,1),(ID129-0.05)))</f>
        <v/>
      </c>
      <c r="IF129" s="172">
        <f>MIN(1,MAX(VLOOKUP(($AJ129-$AI129-$AH129-$AG129-$AF129-$AE129*(1+IF$3))/$AJ129,'Технический лист'!$A:$B,2,1),(IE129-0.05)))</f>
        <v/>
      </c>
      <c r="IG129" s="172">
        <f>MIN(1,MAX(VLOOKUP(($AJ129-$AI129-$AH129-$AG129-$AF129-$AE129*(1+IG$3))/$AJ129,'Технический лист'!$A:$B,2,1),(IF129-0.05)))</f>
        <v/>
      </c>
      <c r="IH129" s="172">
        <f>MIN(1,MAX(VLOOKUP(($AJ129-$AI129-$AH129-$AG129-$AF129-$AE129*(1+IH$3))/$AJ129,'Технический лист'!$A:$B,2,1),(IG129-0.05)))</f>
        <v/>
      </c>
      <c r="II129" s="172">
        <f>MIN(1,MAX(VLOOKUP(($AJ129-$AI129-$AH129-$AG129-$AF129-$AE129*(1+II$3))/$AJ129,'Технический лист'!$A:$B,2,1),(IH129-0.05)))</f>
        <v/>
      </c>
      <c r="IJ129" s="172">
        <f>MIN(1,MAX(VLOOKUP(($AJ129-$AI129-$AH129-$AG129-$AF129-$AE129*(1+IJ$3))/$AJ129,'Технический лист'!$A:$B,2,1),(II129-0.05)))</f>
        <v/>
      </c>
      <c r="IK129" s="172">
        <f>MIN(1,MAX(VLOOKUP(($AJ129-$AI129-$AH129-$AG129-$AF129-$AE129*(1+IK$3))/$AJ129,'Технический лист'!$A:$B,2,1),(IJ129-0.05)))</f>
        <v/>
      </c>
      <c r="IL129" s="172">
        <f>MIN(1,MAX(VLOOKUP(($AJ129-$AI129-$AH129-$AG129-$AF129-$AE129*(1+IL$3))/$AJ129,'Технический лист'!$A:$B,2,1),(IK129-0.05)))</f>
        <v/>
      </c>
      <c r="IM129" s="172">
        <f>MIN(1,MAX(VLOOKUP(($AJ129-$AI129-$AH129-$AG129-$AF129-$AE129*(1+IM$3))/$AJ129,'Технический лист'!$A:$B,2,1),(IL129-0.05)))</f>
        <v/>
      </c>
      <c r="IN129" s="172">
        <f>MIN(1,MAX(VLOOKUP(($AJ129-$AI129-$AH129-$AG129-$AF129-$AE129*(1+IN$3))/$AJ129,'Технический лист'!$A:$B,2,1),(IM129-0.05)))</f>
        <v/>
      </c>
      <c r="IO129" s="172">
        <f>MIN(1,MAX(VLOOKUP(($AJ129-$AI129-$AH129-$AG129-$AF129-$AE129*(1+IO$3))/$AJ129,'Технический лист'!$A:$B,2,1),(IN129-0.05)))</f>
        <v/>
      </c>
      <c r="IP129" s="172">
        <f>MIN(1,MAX(VLOOKUP(($AJ129-$AI129-$AH129-$AG129-$AF129-$AE129*(1+IP$3))/$AJ129,'Технический лист'!$A:$B,2,1),(IO129-0.05)))</f>
        <v/>
      </c>
      <c r="IQ129" s="172">
        <f>MIN(1,MAX(VLOOKUP(($AJ129-$AI129-$AH129-$AG129-$AF129-$AE129*(1+IQ$3))/$AJ129,'Технический лист'!$A:$B,2,1),(IP129-0.05)))</f>
        <v/>
      </c>
      <c r="IR129" s="172">
        <f>MIN(1,MAX(VLOOKUP(($AJ129-$AI129-$AH129-$AG129-$AF129-$AE129*(1+IR$3))/$AJ129,'Технический лист'!$A:$B,2,1),(IQ129-0.05)))</f>
        <v/>
      </c>
    </row>
    <row r="130" ht="29.15" customHeight="1" s="123">
      <c r="A130" s="89" t="inlineStr">
        <is>
          <t>ЧМ (продукция)</t>
        </is>
      </c>
      <c r="B130" s="90" t="n">
        <v>10</v>
      </c>
      <c r="C130" s="5" t="inlineStr">
        <is>
          <t>Остальные грузы</t>
        </is>
      </c>
      <c r="D130" s="91" t="n">
        <v>31609</v>
      </c>
      <c r="E130" s="91" t="inlineStr">
        <is>
          <t xml:space="preserve">Окалина черных металлов </t>
        </is>
      </c>
      <c r="F130" s="92" t="inlineStr">
        <is>
          <t>ЛОМ ЧЕРНЫХ МЕТАЛЛОВ</t>
        </is>
      </c>
      <c r="G130" s="91" t="inlineStr">
        <is>
          <t>ГОР</t>
        </is>
      </c>
      <c r="H130" s="91" t="inlineStr">
        <is>
          <t>МСК</t>
        </is>
      </c>
      <c r="I130" s="91" t="inlineStr">
        <is>
          <t>НАВАШИНО</t>
        </is>
      </c>
      <c r="J130" s="91" t="inlineStr">
        <is>
          <t>ЛЮБЕРЦЫ 2</t>
        </is>
      </c>
      <c r="K130" s="91" t="n">
        <v>276</v>
      </c>
      <c r="L130" s="91" t="inlineStr">
        <is>
          <t>Полувагоны</t>
        </is>
      </c>
      <c r="M130" s="91" t="inlineStr">
        <is>
          <t>Внутр. перевозки</t>
        </is>
      </c>
      <c r="N130" s="91" t="inlineStr">
        <is>
          <t>вагонная</t>
        </is>
      </c>
      <c r="O130" s="91" t="inlineStr">
        <is>
          <t xml:space="preserve">Северо-Западное </t>
        </is>
      </c>
      <c r="P130" s="89" t="inlineStr">
        <is>
          <t>'000005757848</t>
        </is>
      </c>
      <c r="Q130" s="91" t="inlineStr">
        <is>
          <t>'АО "Выксунский металлургический завод"</t>
        </is>
      </c>
      <c r="R130" s="91" t="inlineStr">
        <is>
          <t>АО "ОМК"</t>
        </is>
      </c>
      <c r="S130" s="87" t="n">
        <v>2262</v>
      </c>
      <c r="T130" s="87" t="n">
        <v>624421</v>
      </c>
      <c r="U130" s="88" t="n">
        <v>34</v>
      </c>
      <c r="V130" s="88" t="n">
        <v>0</v>
      </c>
      <c r="W130" s="87" t="n">
        <v>2128511</v>
      </c>
      <c r="X130" s="112" t="n">
        <v>62</v>
      </c>
      <c r="Y130" s="112" t="inlineStr">
        <is>
          <t>повагонная</t>
        </is>
      </c>
      <c r="Z130" s="113" t="n">
        <v>4</v>
      </c>
      <c r="AA130" s="113" t="n">
        <v>4</v>
      </c>
      <c r="AB130" s="113" t="n">
        <v>4</v>
      </c>
      <c r="AC130" s="161" t="n">
        <v>1211.4</v>
      </c>
      <c r="AD130" s="161">
        <f>AE130-AC130</f>
        <v/>
      </c>
      <c r="AE130" s="161" t="n">
        <v>1332.63</v>
      </c>
      <c r="AF130" s="162">
        <f>(Z130+AA130+AB130)*'Ставки аренды'!$B$3/X130</f>
        <v/>
      </c>
      <c r="AG130" s="164" t="n">
        <v>0</v>
      </c>
      <c r="AH130" s="164" t="n">
        <v>0</v>
      </c>
      <c r="AI130" s="165">
        <f>333374/554614*AJ130</f>
        <v/>
      </c>
      <c r="AJ130" s="166">
        <f>Цены!$D$10</f>
        <v/>
      </c>
      <c r="AK130" s="164">
        <f>AJ130/Цены!$B$1</f>
        <v/>
      </c>
      <c r="AL130" s="164">
        <f>AE130+AF130+AG130</f>
        <v/>
      </c>
      <c r="AM130" s="164">
        <f>AJ130-AL130</f>
        <v/>
      </c>
      <c r="AN130" s="164">
        <f>AI130+AH130+AG130+AF130+AE130</f>
        <v/>
      </c>
      <c r="AO130" s="167">
        <f>(AJ130-AN130)/AJ130</f>
        <v/>
      </c>
      <c r="AP130" s="168">
        <f>AL130/AJ130</f>
        <v/>
      </c>
      <c r="AQ130" s="168">
        <f>AE130/AJ130</f>
        <v/>
      </c>
      <c r="AR130" s="168">
        <f>AE130/AL130</f>
        <v/>
      </c>
      <c r="AS130" s="169" t="n">
        <v>1</v>
      </c>
      <c r="AT130" s="121">
        <f>S130*AS130</f>
        <v/>
      </c>
      <c r="AU130" s="83" t="n">
        <v>1</v>
      </c>
      <c r="AV130" s="170">
        <f>(AJ130-(AE130*(1+$IS$2)+AF130+AG130+AH130+AI130))/AJ130</f>
        <v/>
      </c>
      <c r="AW130" s="171">
        <f>(AE130*(1+$IS$2)+AF130+AG130)/AJ130</f>
        <v/>
      </c>
      <c r="AX130" s="171">
        <f>(AE130*(1+$IS$2))/AJ130</f>
        <v/>
      </c>
      <c r="AY130" s="171">
        <f>(AE130*(1+$IS$2))/(AE130*(1+$IS$2)+AF130+AG130)</f>
        <v/>
      </c>
      <c r="AZ130" s="172">
        <f>MIN(IF($AU130=100%,1,1+VLOOKUP(($AJ130-$AI130-$AH130-$AG130-$AF130-$AE130*(1+AZ$3))/$AJ130,'Технический лист'!$I:$J,2,1)-VLOOKUP($AO130,'Технический лист'!$I:$J,2,1)),1+(1-$AU130))</f>
        <v/>
      </c>
      <c r="BA130" s="172">
        <f>MIN(IF($AU130=100%,1,1+VLOOKUP(($AJ130-$AI130-$AH130-$AG130-$AF130-$AE130*(1+BA$3))/$AJ130,'Технический лист'!$I:$J,2,1)-VLOOKUP($AO130,'Технический лист'!$I:$J,2,1)),1+(1-$AU130))</f>
        <v/>
      </c>
      <c r="BB130" s="172">
        <f>MIN(IF($AU130=100%,1,1+VLOOKUP(($AJ130-$AI130-$AH130-$AG130-$AF130-$AE130*(1+BB$3))/$AJ130,'Технический лист'!$I:$J,2,1)-VLOOKUP($AO130,'Технический лист'!$I:$J,2,1)),1+(1-$AU130))</f>
        <v/>
      </c>
      <c r="BC130" s="172">
        <f>MIN(IF($AU130=100%,1,1+VLOOKUP(($AJ130-$AI130-$AH130-$AG130-$AF130-$AE130*(1+BC$3))/$AJ130,'Технический лист'!$I:$J,2,1)-VLOOKUP($AO130,'Технический лист'!$I:$J,2,1)),1+(1-$AU130))</f>
        <v/>
      </c>
      <c r="BD130" s="172">
        <f>MIN(IF($AU130=100%,1,1+VLOOKUP(($AJ130-$AI130-$AH130-$AG130-$AF130-$AE130*(1+BD$3))/$AJ130,'Технический лист'!$I:$J,2,1)-VLOOKUP($AO130,'Технический лист'!$I:$J,2,1)),1+(1-$AU130))</f>
        <v/>
      </c>
      <c r="BE130" s="172">
        <f>MIN(IF($AU130=100%,1,1+VLOOKUP(($AJ130-$AI130-$AH130-$AG130-$AF130-$AE130*(1+BE$3))/$AJ130,'Технический лист'!$I:$J,2,1)-VLOOKUP($AO130,'Технический лист'!$I:$J,2,1)),1+(1-$AU130))</f>
        <v/>
      </c>
      <c r="BF130" s="172">
        <f>MIN(IF($AU130=100%,1,1+VLOOKUP(($AJ130-$AI130-$AH130-$AG130-$AF130-$AE130*(1+BF$3))/$AJ130,'Технический лист'!$I:$J,2,1)-VLOOKUP($AO130,'Технический лист'!$I:$J,2,1)),1+(1-$AU130))</f>
        <v/>
      </c>
      <c r="BG130" s="172">
        <f>MIN(IF($AU130=100%,1,1+VLOOKUP(($AJ130-$AI130-$AH130-$AG130-$AF130-$AE130*(1+BG$3))/$AJ130,'Технический лист'!$I:$J,2,1)-VLOOKUP($AO130,'Технический лист'!$I:$J,2,1)),1+(1-$AU130))</f>
        <v/>
      </c>
      <c r="BH130" s="172">
        <f>MIN(IF($AU130=100%,1,1+VLOOKUP(($AJ130-$AI130-$AH130-$AG130-$AF130-$AE130*(1+BH$3))/$AJ130,'Технический лист'!$I:$J,2,1)-VLOOKUP($AO130,'Технический лист'!$I:$J,2,1)),1+(1-$AU130))</f>
        <v/>
      </c>
      <c r="BI130" s="172">
        <f>MIN(IF($AU130=100%,1,1+VLOOKUP(($AJ130-$AI130-$AH130-$AG130-$AF130-$AE130*(1+BI$3))/$AJ130,'Технический лист'!$I:$J,2,1)-VLOOKUP($AO130,'Технический лист'!$I:$J,2,1)),1+(1-$AU130))</f>
        <v/>
      </c>
      <c r="BJ130" s="172">
        <f>MIN(IF($AU130=100%,1,1+VLOOKUP(($AJ130-$AI130-$AH130-$AG130-$AF130-$AE130*(1+BJ$3))/$AJ130,'Технический лист'!$I:$J,2,1)-VLOOKUP($AO130,'Технический лист'!$I:$J,2,1)),1+(1-$AU130))</f>
        <v/>
      </c>
      <c r="BK130" s="172">
        <f>MIN(IF($AU130=100%,1,1+VLOOKUP(($AJ130-$AI130-$AH130-$AG130-$AF130-$AE130*(1+BK$3))/$AJ130,'Технический лист'!$I:$J,2,1)-VLOOKUP($AO130,'Технический лист'!$I:$J,2,1)),1+(1-$AU130))</f>
        <v/>
      </c>
      <c r="BL130" s="172">
        <f>MIN(IF($AU130=100%,1,1+VLOOKUP(($AJ130-$AI130-$AH130-$AG130-$AF130-$AE130*(1+BL$3))/$AJ130,'Технический лист'!$I:$J,2,1)-VLOOKUP($AO130,'Технический лист'!$I:$J,2,1)),1+(1-$AU130))</f>
        <v/>
      </c>
      <c r="BM130" s="172">
        <f>MIN(IF($AU130=100%,1,1+VLOOKUP(($AJ130-$AI130-$AH130-$AG130-$AF130-$AE130*(1+BM$3))/$AJ130,'Технический лист'!$I:$J,2,1)-VLOOKUP($AO130,'Технический лист'!$I:$J,2,1)),1+(1-$AU130))</f>
        <v/>
      </c>
      <c r="BN130" s="172">
        <f>MIN(IF($AU130=100%,1,1+VLOOKUP(($AJ130-$AI130-$AH130-$AG130-$AF130-$AE130*(1+BN$3))/$AJ130,'Технический лист'!$I:$J,2,1)-VLOOKUP($AO130,'Технический лист'!$I:$J,2,1)),1+(1-$AU130))</f>
        <v/>
      </c>
      <c r="BO130" s="172">
        <f>MIN(IF($AU130=100%,1,1+VLOOKUP(($AJ130-$AI130-$AH130-$AG130-$AF130-$AE130*(1+BO$3))/$AJ130,'Технический лист'!$I:$J,2,1)-VLOOKUP($AO130,'Технический лист'!$I:$J,2,1)),1+(1-$AU130))</f>
        <v/>
      </c>
      <c r="BP130" s="172">
        <f>MIN(IF($AU130=100%,1,1+VLOOKUP(($AJ130-$AI130-$AH130-$AG130-$AF130-$AE130*(1+BP$3))/$AJ130,'Технический лист'!$I:$J,2,1)-VLOOKUP($AO130,'Технический лист'!$I:$J,2,1)),1+(1-$AU130))</f>
        <v/>
      </c>
      <c r="BQ130" s="172">
        <f>MIN(IF($AU130=100%,1,1+VLOOKUP(($AJ130-$AI130-$AH130-$AG130-$AF130-$AE130*(1+BQ$3))/$AJ130,'Технический лист'!$I:$J,2,1)-VLOOKUP($AO130,'Технический лист'!$I:$J,2,1)),1+(1-$AU130))</f>
        <v/>
      </c>
      <c r="BR130" s="172">
        <f>MIN(IF($AU130=100%,1,1+VLOOKUP(($AJ130-$AI130-$AH130-$AG130-$AF130-$AE130*(1+BR$3))/$AJ130,'Технический лист'!$I:$J,2,1)-VLOOKUP($AO130,'Технический лист'!$I:$J,2,1)),1+(1-$AU130))</f>
        <v/>
      </c>
      <c r="BS130" s="172">
        <f>MIN(IF($AU130=100%,1,1+VLOOKUP(($AJ130-$AI130-$AH130-$AG130-$AF130-$AE130*(1+BS$3))/$AJ130,'Технический лист'!$I:$J,2,1)-VLOOKUP($AO130,'Технический лист'!$I:$J,2,1)),1+(1-$AU130))</f>
        <v/>
      </c>
      <c r="BT130" s="172">
        <f>MIN(IF($AU130=100%,1,1+VLOOKUP(($AJ130-$AI130-$AH130-$AG130-$AF130-$AE130*(1+BT$3))/$AJ130,'Технический лист'!$I:$J,2,1)-VLOOKUP($AO130,'Технический лист'!$I:$J,2,1)),1+(1-$AU130))</f>
        <v/>
      </c>
      <c r="BU130" s="172">
        <f>MIN(IF($AU130=100%,1,1+VLOOKUP(($AJ130-$AI130-$AH130-$AG130-$AF130-$AE130*(1+BU$3))/$AJ130,'Технический лист'!$I:$J,2,1)-VLOOKUP($AO130,'Технический лист'!$I:$J,2,1)),1+(1-$AU130))</f>
        <v/>
      </c>
      <c r="BV130" s="172">
        <f>MIN(IF($AU130=100%,1,1+VLOOKUP(($AJ130-$AI130-$AH130-$AG130-$AF130-$AE130*(1+BV$3))/$AJ130,'Технический лист'!$I:$J,2,1)-VLOOKUP($AO130,'Технический лист'!$I:$J,2,1)),1+(1-$AU130))</f>
        <v/>
      </c>
      <c r="BW130" s="172">
        <f>MIN(IF($AU130=100%,1,1+VLOOKUP(($AJ130-$AI130-$AH130-$AG130-$AF130-$AE130*(1+BW$3))/$AJ130,'Технический лист'!$I:$J,2,1)-VLOOKUP($AO130,'Технический лист'!$I:$J,2,1)),1+(1-$AU130))</f>
        <v/>
      </c>
      <c r="BX130" s="172">
        <f>MIN(IF($AU130=100%,1,1+VLOOKUP(($AJ130-$AI130-$AH130-$AG130-$AF130-$AE130*(1+BX$3))/$AJ130,'Технический лист'!$I:$J,2,1)-VLOOKUP($AO130,'Технический лист'!$I:$J,2,1)),1+(1-$AU130))</f>
        <v/>
      </c>
      <c r="BY130" s="172">
        <f>MIN(IF($AU130=100%,1,1+VLOOKUP(($AJ130-$AI130-$AH130-$AG130-$AF130-$AE130*(1+BY$3))/$AJ130,'Технический лист'!$I:$J,2,1)-VLOOKUP($AO130,'Технический лист'!$I:$J,2,1)),1+(1-$AU130))</f>
        <v/>
      </c>
      <c r="BZ130" s="172">
        <f>MIN(IF($AU130=100%,1,1+VLOOKUP(($AJ130-$AI130-$AH130-$AG130-$AF130-$AE130*(1+BZ$3))/$AJ130,'Технический лист'!$I:$J,2,1)-VLOOKUP($AO130,'Технический лист'!$I:$J,2,1)),1+(1-$AU130))</f>
        <v/>
      </c>
      <c r="CA130" s="172">
        <f>MIN(IF($AU130=100%,1,1+VLOOKUP(($AJ130-$AI130-$AH130-$AG130-$AF130-$AE130*(1+CA$3))/$AJ130,'Технический лист'!$I:$J,2,1)-VLOOKUP($AO130,'Технический лист'!$I:$J,2,1)),1+(1-$AU130))</f>
        <v/>
      </c>
      <c r="CB130" s="172">
        <f>MIN(IF($AU130=100%,1,1+VLOOKUP(($AJ130-$AI130-$AH130-$AG130-$AF130-$AE130*(1+CB$3))/$AJ130,'Технический лист'!$I:$J,2,1)-VLOOKUP($AO130,'Технический лист'!$I:$J,2,1)),1+(1-$AU130))</f>
        <v/>
      </c>
      <c r="CC130" s="172">
        <f>MIN(IF($AU130=100%,1,1+VLOOKUP(($AJ130-$AI130-$AH130-$AG130-$AF130-$AE130*(1+CC$3))/$AJ130,'Технический лист'!$I:$J,2,1)-VLOOKUP($AO130,'Технический лист'!$I:$J,2,1)),1+(1-$AU130))</f>
        <v/>
      </c>
      <c r="CD130" s="172">
        <f>MIN(IF($AU130=100%,1,1+VLOOKUP(($AJ130-$AI130-$AH130-$AG130-$AF130-$AE130*(1+CD$3))/$AJ130,'Технический лист'!$I:$J,2,1)-VLOOKUP($AO130,'Технический лист'!$I:$J,2,1)),1+(1-$AU130))</f>
        <v/>
      </c>
      <c r="CE130" s="172">
        <f>MIN(IF($AU130=100%,1,1+VLOOKUP(($AJ130-$AI130-$AH130-$AG130-$AF130-$AE130*(1+CE$3))/$AJ130,'Технический лист'!$I:$J,2,1)-VLOOKUP($AO130,'Технический лист'!$I:$J,2,1)),1+(1-$AU130))</f>
        <v/>
      </c>
      <c r="CF130" s="172">
        <f>MIN(IF($AU130=100%,1,1+VLOOKUP(($AJ130-$AI130-$AH130-$AG130-$AF130-$AE130*(1+CF$3))/$AJ130,'Технический лист'!$I:$J,2,1)-VLOOKUP($AO130,'Технический лист'!$I:$J,2,1)),1+(1-$AU130))</f>
        <v/>
      </c>
      <c r="CG130" s="172">
        <f>MIN(IF($AU130=100%,1,1+VLOOKUP(($AJ130-$AI130-$AH130-$AG130-$AF130-$AE130*(1+CG$3))/$AJ130,'Технический лист'!$I:$J,2,1)-VLOOKUP($AO130,'Технический лист'!$I:$J,2,1)),1+(1-$AU130))</f>
        <v/>
      </c>
      <c r="CH130" s="172">
        <f>MIN(IF($AU130=100%,1,1+VLOOKUP(($AJ130-$AI130-$AH130-$AG130-$AF130-$AE130*(1+CH$3))/$AJ130,'Технический лист'!$I:$J,2,1)-VLOOKUP($AO130,'Технический лист'!$I:$J,2,1)),1+(1-$AU130))</f>
        <v/>
      </c>
      <c r="CI130" s="172">
        <f>MIN(IF($AU130=100%,1,1+VLOOKUP(($AJ130-$AI130-$AH130-$AG130-$AF130-$AE130*(1+CI$3))/$AJ130,'Технический лист'!$I:$J,2,1)-VLOOKUP($AO130,'Технический лист'!$I:$J,2,1)),1+(1-$AU130))</f>
        <v/>
      </c>
      <c r="CJ130" s="172">
        <f>MIN(IF($AU130=100%,1,1+VLOOKUP(($AJ130-$AI130-$AH130-$AG130-$AF130-$AE130*(1+CJ$3))/$AJ130,'Технический лист'!$I:$J,2,1)-VLOOKUP($AO130,'Технический лист'!$I:$J,2,1)),1+(1-$AU130))</f>
        <v/>
      </c>
      <c r="CK130" s="172">
        <f>MIN(IF($AU130=100%,1,1+VLOOKUP(($AJ130-$AI130-$AH130-$AG130-$AF130-$AE130*(1+CK$3))/$AJ130,'Технический лист'!$I:$J,2,1)-VLOOKUP($AO130,'Технический лист'!$I:$J,2,1)),1+(1-$AU130))</f>
        <v/>
      </c>
      <c r="CL130" s="172">
        <f>MIN(IF($AU130=100%,1,1+VLOOKUP(($AJ130-$AI130-$AH130-$AG130-$AF130-$AE130*(1+CL$3))/$AJ130,'Технический лист'!$I:$J,2,1)-VLOOKUP($AO130,'Технический лист'!$I:$J,2,1)),1+(1-$AU130))</f>
        <v/>
      </c>
      <c r="CM130" s="172">
        <f>MIN(IF($AU130=100%,1,1+VLOOKUP(($AJ130-$AI130-$AH130-$AG130-$AF130-$AE130*(1+CM$3))/$AJ130,'Технический лист'!$I:$J,2,1)-VLOOKUP($AO130,'Технический лист'!$I:$J,2,1)),1+(1-$AU130))</f>
        <v/>
      </c>
      <c r="CN130" s="172">
        <f>MIN(IF($AU130=100%,1,1+VLOOKUP(($AJ130-$AI130-$AH130-$AG130-$AF130-$AE130*(1+CN$3))/$AJ130,'Технический лист'!$I:$J,2,1)-VLOOKUP($AO130,'Технический лист'!$I:$J,2,1)),1+(1-$AU130))</f>
        <v/>
      </c>
      <c r="CO130" s="172">
        <f>MIN(IF($AU130=100%,1,1+VLOOKUP(($AJ130-$AI130-$AH130-$AG130-$AF130-$AE130*(1+CO$3))/$AJ130,'Технический лист'!$I:$J,2,1)-VLOOKUP($AO130,'Технический лист'!$I:$J,2,1)),1+(1-$AU130))</f>
        <v/>
      </c>
      <c r="CP130" s="172">
        <f>MIN(IF($AU130=100%,1,1+VLOOKUP(($AJ130-$AI130-$AH130-$AG130-$AF130-$AE130*(1+CP$3))/$AJ130,'Технический лист'!$I:$J,2,1)-VLOOKUP($AO130,'Технический лист'!$I:$J,2,1)),1+(1-$AU130))</f>
        <v/>
      </c>
      <c r="CQ130" s="172">
        <f>MIN(IF($AU130=100%,1,1+VLOOKUP(($AJ130-$AI130-$AH130-$AG130-$AF130-$AE130*(1+CQ$3))/$AJ130,'Технический лист'!$I:$J,2,1)-VLOOKUP($AO130,'Технический лист'!$I:$J,2,1)),1+(1-$AU130))</f>
        <v/>
      </c>
      <c r="CR130" s="172">
        <f>MIN(IF($AU130=100%,1,1+VLOOKUP(($AJ130-$AI130-$AH130-$AG130-$AF130-$AE130*(1+CR$3))/$AJ130,'Технический лист'!$I:$J,2,1)-VLOOKUP($AO130,'Технический лист'!$I:$J,2,1)),1+(1-$AU130))</f>
        <v/>
      </c>
      <c r="CS130" s="172">
        <f>MIN(IF($AU130=100%,1,1+VLOOKUP(($AJ130-$AI130-$AH130-$AG130-$AF130-$AE130*(1+CS$3))/$AJ130,'Технический лист'!$I:$J,2,1)-VLOOKUP($AO130,'Технический лист'!$I:$J,2,1)),1+(1-$AU130))</f>
        <v/>
      </c>
      <c r="CT130" s="172">
        <f>MIN(IF($AU130=100%,1,1+VLOOKUP(($AJ130-$AI130-$AH130-$AG130-$AF130-$AE130*(1+CT$3))/$AJ130,'Технический лист'!$I:$J,2,1)-VLOOKUP($AO130,'Технический лист'!$I:$J,2,1)),1+(1-$AU130))</f>
        <v/>
      </c>
      <c r="CU130" s="172">
        <f>MIN(IF($AU130=100%,1,1+VLOOKUP(($AJ130-$AI130-$AH130-$AG130-$AF130-$AE130*(1+CU$3))/$AJ130,'Технический лист'!$I:$J,2,1)-VLOOKUP($AO130,'Технический лист'!$I:$J,2,1)),1+(1-$AU130))</f>
        <v/>
      </c>
      <c r="CV130" s="172">
        <f>MIN(IF($AU130=100%,1,1+VLOOKUP(($AJ130-$AI130-$AH130-$AG130-$AF130-$AE130*(1+CV$3))/$AJ130,'Технический лист'!$I:$J,2,1)-VLOOKUP($AO130,'Технический лист'!$I:$J,2,1)),1+(1-$AU130))</f>
        <v/>
      </c>
      <c r="CW130" s="172">
        <f>MIN(IF($AU130=100%,1,1+VLOOKUP(($AJ130-$AI130-$AH130-$AG130-$AF130-$AE130*(1+CW$3))/$AJ130,'Технический лист'!$I:$J,2,1)-VLOOKUP($AO130,'Технический лист'!$I:$J,2,1)),1+(1-$AU130))</f>
        <v/>
      </c>
      <c r="CX130" s="172">
        <f>MIN(IF($AU130=100%,1,1+VLOOKUP(($AJ130-$AI130-$AH130-$AG130-$AF130-$AE130*(1+CX$3))/$AJ130,'Технический лист'!$I:$J,2,1)-VLOOKUP($AO130,'Технический лист'!$I:$J,2,1)),1+(1-$AU130))</f>
        <v/>
      </c>
      <c r="CY130" s="172">
        <f>MIN(IF($AU130=100%,1,1+VLOOKUP(($AJ130-$AI130-$AH130-$AG130-$AF130-$AE130*(1+CY$3))/$AJ130,'Технический лист'!$I:$J,2,1)-VLOOKUP($AO130,'Технический лист'!$I:$J,2,1)),1+(1-$AU130))</f>
        <v/>
      </c>
      <c r="CZ130" s="172">
        <f>MIN(IF($AU130=100%,1,1+VLOOKUP(($AJ130-$AI130-$AH130-$AG130-$AF130-$AE130*(1+CZ$3))/$AJ130,'Технический лист'!$I:$J,2,1)-VLOOKUP($AO130,'Технический лист'!$I:$J,2,1)),1+(1-$AU130))</f>
        <v/>
      </c>
      <c r="DA130" s="172">
        <f>MIN(IF($AU130=100%,1,1+VLOOKUP(($AJ130-$AI130-$AH130-$AG130-$AF130-$AE130*(1+DA$3))/$AJ130,'Технический лист'!$I:$J,2,1)-VLOOKUP($AO130,'Технический лист'!$I:$J,2,1)),1+(1-$AU130))</f>
        <v/>
      </c>
      <c r="DB130" s="172">
        <f>MIN(IF($AU130=100%,1,1+VLOOKUP(($AJ130-$AI130-$AH130-$AG130-$AF130-$AE130*(1+DB$3))/$AJ130,'Технический лист'!$I:$J,2,1)-VLOOKUP($AO130,'Технический лист'!$I:$J,2,1)),1+(1-$AU130))</f>
        <v/>
      </c>
      <c r="DC130" s="172">
        <f>MIN(IF($AU130=100%,1,1+VLOOKUP(($AJ130-$AI130-$AH130-$AG130-$AF130-$AE130*(1+DC$3))/$AJ130,'Технический лист'!$I:$J,2,1)-VLOOKUP($AO130,'Технический лист'!$I:$J,2,1)),1+(1-$AU130))</f>
        <v/>
      </c>
      <c r="DD130" s="172">
        <f>MIN(IF($AU130=100%,1,1+VLOOKUP(($AJ130-$AI130-$AH130-$AG130-$AF130-$AE130*(1+DD$3))/$AJ130,'Технический лист'!$I:$J,2,1)-VLOOKUP($AO130,'Технический лист'!$I:$J,2,1)),1+(1-$AU130))</f>
        <v/>
      </c>
      <c r="DE130" s="172">
        <f>MIN(IF($AU130=100%,1,1+VLOOKUP(($AJ130-$AI130-$AH130-$AG130-$AF130-$AE130*(1+DE$3))/$AJ130,'Технический лист'!$I:$J,2,1)-VLOOKUP($AO130,'Технический лист'!$I:$J,2,1)),1+(1-$AU130))</f>
        <v/>
      </c>
      <c r="DF130" s="172">
        <f>MIN(IF($AU130=100%,1,1+VLOOKUP(($AJ130-$AI130-$AH130-$AG130-$AF130-$AE130*(1+DF$3))/$AJ130,'Технический лист'!$I:$J,2,1)-VLOOKUP($AO130,'Технический лист'!$I:$J,2,1)),1+(1-$AU130))</f>
        <v/>
      </c>
      <c r="DG130" s="172">
        <f>MIN(IF($AU130=100%,1,1+VLOOKUP(($AJ130-$AI130-$AH130-$AG130-$AF130-$AE130*(1+DG$3))/$AJ130,'Технический лист'!$I:$J,2,1)-VLOOKUP($AO130,'Технический лист'!$I:$J,2,1)),1+(1-$AU130))</f>
        <v/>
      </c>
      <c r="DH130" s="172">
        <f>MIN(IF($AU130=100%,1,1+VLOOKUP(($AJ130-$AI130-$AH130-$AG130-$AF130-$AE130*(1+DH$3))/$AJ130,'Технический лист'!$I:$J,2,1)-VLOOKUP($AO130,'Технический лист'!$I:$J,2,1)),1+(1-$AU130))</f>
        <v/>
      </c>
      <c r="DI130" s="172">
        <f>MIN(IF($AU130=100%,1,1+VLOOKUP(($AJ130-$AI130-$AH130-$AG130-$AF130-$AE130*(1+DI$3))/$AJ130,'Технический лист'!$I:$J,2,1)-VLOOKUP($AO130,'Технический лист'!$I:$J,2,1)),1+(1-$AU130))</f>
        <v/>
      </c>
      <c r="DJ130" s="172">
        <f>MIN(IF($AU130=100%,1,1+VLOOKUP(($AJ130-$AI130-$AH130-$AG130-$AF130-$AE130*(1+DJ$3))/$AJ130,'Технический лист'!$I:$J,2,1)-VLOOKUP($AO130,'Технический лист'!$I:$J,2,1)),1+(1-$AU130))</f>
        <v/>
      </c>
      <c r="DK130" s="172">
        <f>MIN(IF($AU130=100%,1,1+VLOOKUP(($AJ130-$AI130-$AH130-$AG130-$AF130-$AE130*(1+DK$3))/$AJ130,'Технический лист'!$I:$J,2,1)-VLOOKUP($AO130,'Технический лист'!$I:$J,2,1)),1+(1-$AU130))</f>
        <v/>
      </c>
      <c r="DL130" s="172">
        <f>MIN(IF($AU130=100%,1,1+VLOOKUP(($AJ130-$AI130-$AH130-$AG130-$AF130-$AE130*(1+DL$3))/$AJ130,'Технический лист'!$I:$J,2,1)-VLOOKUP($AO130,'Технический лист'!$I:$J,2,1)),1+(1-$AU130))</f>
        <v/>
      </c>
      <c r="DM130" s="172">
        <f>MIN(IF($AU130=100%,1,1+VLOOKUP(($AJ130-$AI130-$AH130-$AG130-$AF130-$AE130*(1+DM$3))/$AJ130,'Технический лист'!$I:$J,2,1)-VLOOKUP($AO130,'Технический лист'!$I:$J,2,1)),1+(1-$AU130))</f>
        <v/>
      </c>
      <c r="DN130" s="172">
        <f>MIN(IF($AU130=100%,1,1+VLOOKUP(($AJ130-$AI130-$AH130-$AG130-$AF130-$AE130*(1+DN$3))/$AJ130,'Технический лист'!$I:$J,2,1)-VLOOKUP($AO130,'Технический лист'!$I:$J,2,1)),1+(1-$AU130))</f>
        <v/>
      </c>
      <c r="DO130" s="172">
        <f>MIN(IF($AU130=100%,1,1+VLOOKUP(($AJ130-$AI130-$AH130-$AG130-$AF130-$AE130*(1+DO$3))/$AJ130,'Технический лист'!$I:$J,2,1)-VLOOKUP($AO130,'Технический лист'!$I:$J,2,1)),1+(1-$AU130))</f>
        <v/>
      </c>
      <c r="DP130" s="172">
        <f>MIN(IF($AU130=100%,1,1+VLOOKUP(($AJ130-$AI130-$AH130-$AG130-$AF130-$AE130*(1+DP$3))/$AJ130,'Технический лист'!$I:$J,2,1)-VLOOKUP($AO130,'Технический лист'!$I:$J,2,1)),1+(1-$AU130))</f>
        <v/>
      </c>
      <c r="DQ130" s="172">
        <f>MIN(IF($AU130=100%,1,1+VLOOKUP(($AJ130-$AI130-$AH130-$AG130-$AF130-$AE130*(1+DQ$3))/$AJ130,'Технический лист'!$I:$J,2,1)-VLOOKUP($AO130,'Технический лист'!$I:$J,2,1)),1+(1-$AU130))</f>
        <v/>
      </c>
      <c r="DR130" s="172">
        <f>MIN(IF($AU130=100%,1,1+VLOOKUP(($AJ130-$AI130-$AH130-$AG130-$AF130-$AE130*(1+DR$3))/$AJ130,'Технический лист'!$I:$J,2,1)-VLOOKUP($AO130,'Технический лист'!$I:$J,2,1)),1+(1-$AU130))</f>
        <v/>
      </c>
      <c r="DS130" s="172">
        <f>MIN(IF($AU130=100%,1,1+VLOOKUP(($AJ130-$AI130-$AH130-$AG130-$AF130-$AE130*(1+DS$3))/$AJ130,'Технический лист'!$I:$J,2,1)-VLOOKUP($AO130,'Технический лист'!$I:$J,2,1)),1+(1-$AU130))</f>
        <v/>
      </c>
      <c r="DT130" s="172">
        <f>MIN(IF($AU130=100%,1,1+VLOOKUP(($AJ130-$AI130-$AH130-$AG130-$AF130-$AE130*(1+DT$3))/$AJ130,'Технический лист'!$I:$J,2,1)-VLOOKUP($AO130,'Технический лист'!$I:$J,2,1)),1+(1-$AU130))</f>
        <v/>
      </c>
      <c r="DU130" s="172">
        <f>MIN(IF($AU130=100%,1,1+VLOOKUP(($AJ130-$AI130-$AH130-$AG130-$AF130-$AE130*(1+DU$3))/$AJ130,'Технический лист'!$I:$J,2,1)-VLOOKUP($AO130,'Технический лист'!$I:$J,2,1)),1+(1-$AU130))</f>
        <v/>
      </c>
      <c r="DV130" s="172">
        <f>MIN(IF($AU130=100%,1,1+VLOOKUP(($AJ130-$AI130-$AH130-$AG130-$AF130-$AE130*(1+DV$3))/$AJ130,'Технический лист'!$I:$J,2,1)-VLOOKUP($AO130,'Технический лист'!$I:$J,2,1)),1+(1-$AU130))</f>
        <v/>
      </c>
      <c r="DW130" s="172">
        <f>MIN(IF($AU130=100%,1,1+VLOOKUP(($AJ130-$AI130-$AH130-$AG130-$AF130-$AE130*(1+DW$3))/$AJ130,'Технический лист'!$I:$J,2,1)-VLOOKUP($AO130,'Технический лист'!$I:$J,2,1)),1+(1-$AU130))</f>
        <v/>
      </c>
      <c r="DX130" s="172">
        <f>MIN(IF($AU130=100%,1,1+VLOOKUP(($AJ130-$AI130-$AH130-$AG130-$AF130-$AE130*(1+DX$3))/$AJ130,'Технический лист'!$I:$J,2,1)-VLOOKUP($AO130,'Технический лист'!$I:$J,2,1)),1+(1-$AU130))</f>
        <v/>
      </c>
      <c r="DY130" s="172">
        <f>MIN(IF($AU130=100%,1,1+VLOOKUP(($AJ130-$AI130-$AH130-$AG130-$AF130-$AE130*(1+DY$3))/$AJ130,'Технический лист'!$I:$J,2,1)-VLOOKUP($AO130,'Технический лист'!$I:$J,2,1)),1+(1-$AU130))</f>
        <v/>
      </c>
      <c r="DZ130" s="172">
        <f>MIN(IF($AU130=100%,1,1+VLOOKUP(($AJ130-$AI130-$AH130-$AG130-$AF130-$AE130*(1+DZ$3))/$AJ130,'Технический лист'!$I:$J,2,1)-VLOOKUP($AO130,'Технический лист'!$I:$J,2,1)),1+(1-$AU130))</f>
        <v/>
      </c>
      <c r="EA130" s="172">
        <f>MIN(IF($AU130=100%,1,1+VLOOKUP(($AJ130-$AI130-$AH130-$AG130-$AF130-$AE130*(1+EA$3))/$AJ130,'Технический лист'!$I:$J,2,1)-VLOOKUP($AO130,'Технический лист'!$I:$J,2,1)),1+(1-$AU130))</f>
        <v/>
      </c>
      <c r="EB130" s="172">
        <f>MIN(IF($AU130=100%,1,1+VLOOKUP(($AJ130-$AI130-$AH130-$AG130-$AF130-$AE130*(1+EB$3))/$AJ130,'Технический лист'!$I:$J,2,1)-VLOOKUP($AO130,'Технический лист'!$I:$J,2,1)),1+(1-$AU130))</f>
        <v/>
      </c>
      <c r="EC130" s="172">
        <f>MIN(IF($AU130=100%,1,1+VLOOKUP(($AJ130-$AI130-$AH130-$AG130-$AF130-$AE130*(1+EC$3))/$AJ130,'Технический лист'!$I:$J,2,1)-VLOOKUP($AO130,'Технический лист'!$I:$J,2,1)),1+(1-$AU130))</f>
        <v/>
      </c>
      <c r="ED130" s="172">
        <f>MIN(IF($AU130=100%,1,1+VLOOKUP(($AJ130-$AI130-$AH130-$AG130-$AF130-$AE130*(1+ED$3))/$AJ130,'Технический лист'!$I:$J,2,1)-VLOOKUP($AO130,'Технический лист'!$I:$J,2,1)),1+(1-$AU130))</f>
        <v/>
      </c>
      <c r="EE130" s="172">
        <f>MIN(IF($AU130=100%,1,1+VLOOKUP(($AJ130-$AI130-$AH130-$AG130-$AF130-$AE130*(1+EE$3))/$AJ130,'Технический лист'!$I:$J,2,1)-VLOOKUP($AO130,'Технический лист'!$I:$J,2,1)),1+(1-$AU130))</f>
        <v/>
      </c>
      <c r="EF130" s="172">
        <f>MIN(IF($AU130=100%,1,1+VLOOKUP(($AJ130-$AI130-$AH130-$AG130-$AF130-$AE130*(1+EF$3))/$AJ130,'Технический лист'!$I:$J,2,1)-VLOOKUP($AO130,'Технический лист'!$I:$J,2,1)),1+(1-$AU130))</f>
        <v/>
      </c>
      <c r="EG130" s="172">
        <f>MIN(IF($AU130=100%,1,1+VLOOKUP(($AJ130-$AI130-$AH130-$AG130-$AF130-$AE130*(1+EG$3))/$AJ130,'Технический лист'!$I:$J,2,1)-VLOOKUP($AO130,'Технический лист'!$I:$J,2,1)),1+(1-$AU130))</f>
        <v/>
      </c>
      <c r="EH130" s="172">
        <f>MIN(IF($AU130=100%,1,1+VLOOKUP(($AJ130-$AI130-$AH130-$AG130-$AF130-$AE130*(1+EH$3))/$AJ130,'Технический лист'!$I:$J,2,1)-VLOOKUP($AO130,'Технический лист'!$I:$J,2,1)),1+(1-$AU130))</f>
        <v/>
      </c>
      <c r="EI130" s="172">
        <f>MIN(IF($AU130=100%,1,1+VLOOKUP(($AJ130-$AI130-$AH130-$AG130-$AF130-$AE130*(1+EI$3))/$AJ130,'Технический лист'!$I:$J,2,1)-VLOOKUP($AO130,'Технический лист'!$I:$J,2,1)),1+(1-$AU130))</f>
        <v/>
      </c>
      <c r="EJ130" s="172">
        <f>MIN(IF($AU130=100%,1,1+VLOOKUP(($AJ130-$AI130-$AH130-$AG130-$AF130-$AE130*(1+EJ$3))/$AJ130,'Технический лист'!$I:$J,2,1)-VLOOKUP($AO130,'Технический лист'!$I:$J,2,1)),1+(1-$AU130))</f>
        <v/>
      </c>
      <c r="EK130" s="172">
        <f>MIN(IF($AU130=100%,1,1+VLOOKUP(($AJ130-$AI130-$AH130-$AG130-$AF130-$AE130*(1+EK$3))/$AJ130,'Технический лист'!$I:$J,2,1)-VLOOKUP($AO130,'Технический лист'!$I:$J,2,1)),1+(1-$AU130))</f>
        <v/>
      </c>
      <c r="EL130" s="172">
        <f>MIN(IF($AU130=100%,1,1+VLOOKUP(($AJ130-$AI130-$AH130-$AG130-$AF130-$AE130*(1+EL$3))/$AJ130,'Технический лист'!$I:$J,2,1)-VLOOKUP($AO130,'Технический лист'!$I:$J,2,1)),1+(1-$AU130))</f>
        <v/>
      </c>
      <c r="EM130" s="172">
        <f>MIN(IF($AU130=100%,1,1+VLOOKUP(($AJ130-$AI130-$AH130-$AG130-$AF130-$AE130*(1+EM$3))/$AJ130,'Технический лист'!$I:$J,2,1)-VLOOKUP($AO130,'Технический лист'!$I:$J,2,1)),1+(1-$AU130))</f>
        <v/>
      </c>
      <c r="EN130" s="172">
        <f>MIN(IF($AU130=100%,1,1+VLOOKUP(($AJ130-$AI130-$AH130-$AG130-$AF130-$AE130*(1+EN$3))/$AJ130,'Технический лист'!$I:$J,2,1)-VLOOKUP($AO130,'Технический лист'!$I:$J,2,1)),1+(1-$AU130))</f>
        <v/>
      </c>
      <c r="EO130" s="172">
        <f>MIN(IF($AU130=100%,1,1+VLOOKUP(($AJ130-$AI130-$AH130-$AG130-$AF130-$AE130*(1+EO$3))/$AJ130,'Технический лист'!$I:$J,2,1)-VLOOKUP($AO130,'Технический лист'!$I:$J,2,1)),1+(1-$AU130))</f>
        <v/>
      </c>
      <c r="EP130" s="172">
        <f>MIN(IF($AU130=100%,1,1+VLOOKUP(($AJ130-$AI130-$AH130-$AG130-$AF130-$AE130*(1+EP$3))/$AJ130,'Технический лист'!$I:$J,2,1)-VLOOKUP($AO130,'Технический лист'!$I:$J,2,1)),1+(1-$AU130))</f>
        <v/>
      </c>
      <c r="EQ130" s="172">
        <f>MIN(IF($AU130=100%,1,1+VLOOKUP(($AJ130-$AI130-$AH130-$AG130-$AF130-$AE130*(1+EQ$3))/$AJ130,'Технический лист'!$I:$J,2,1)-VLOOKUP($AO130,'Технический лист'!$I:$J,2,1)),1+(1-$AU130))</f>
        <v/>
      </c>
      <c r="ER130" s="172">
        <f>MIN(IF($AU130=100%,1,1+VLOOKUP(($AJ130-$AI130-$AH130-$AG130-$AF130-$AE130*(1+ER$3))/$AJ130,'Технический лист'!$I:$J,2,1)-VLOOKUP($AO130,'Технический лист'!$I:$J,2,1)),1+(1-$AU130))</f>
        <v/>
      </c>
      <c r="ES130" s="172">
        <f>MIN(IF($AU130=100%,1,1+VLOOKUP(($AJ130-$AI130-$AH130-$AG130-$AF130-$AE130*(1+ES$3))/$AJ130,'Технический лист'!$I:$J,2,1)-VLOOKUP($AO130,'Технический лист'!$I:$J,2,1)),1+(1-$AU130))</f>
        <v/>
      </c>
      <c r="ET130" s="172">
        <f>MIN(IF($AU130=100%,1,1+VLOOKUP(($AJ130-$AI130-$AH130-$AG130-$AF130-$AE130*(1+ET$3))/$AJ130,'Технический лист'!$I:$J,2,1)-VLOOKUP($AO130,'Технический лист'!$I:$J,2,1)),1+(1-$AU130))</f>
        <v/>
      </c>
      <c r="EU130" s="172">
        <f>MIN(IF($AU130=100%,1,1+VLOOKUP(($AJ130-$AI130-$AH130-$AG130-$AF130-$AE130*(1+EU$3))/$AJ130,'Технический лист'!$I:$J,2,1)-VLOOKUP($AO130,'Технический лист'!$I:$J,2,1)),1+(1-$AU130))</f>
        <v/>
      </c>
      <c r="EV130" s="173" t="n">
        <v>1</v>
      </c>
      <c r="EW130" s="172">
        <f>MIN(1,MAX(VLOOKUP(($AJ130-$AI130-$AH130-$AG130-$AF130-$AE130*(1+EW$3))/$AJ130,'Технический лист'!$A:$B,2,1),(EV130-0.05)))</f>
        <v/>
      </c>
      <c r="EX130" s="172">
        <f>MIN(1,MAX(VLOOKUP(($AJ130-$AI130-$AH130-$AG130-$AF130-$AE130*(1+EX$3))/$AJ130,'Технический лист'!$A:$B,2,1),(EW130-0.05)))</f>
        <v/>
      </c>
      <c r="EY130" s="172">
        <f>MIN(1,MAX(VLOOKUP(($AJ130-$AI130-$AH130-$AG130-$AF130-$AE130*(1+EY$3))/$AJ130,'Технический лист'!$A:$B,2,1),(EX130-0.05)))</f>
        <v/>
      </c>
      <c r="EZ130" s="172">
        <f>MIN(1,MAX(VLOOKUP(($AJ130-$AI130-$AH130-$AG130-$AF130-$AE130*(1+EZ$3))/$AJ130,'Технический лист'!$A:$B,2,1),(EY130-0.05)))</f>
        <v/>
      </c>
      <c r="FA130" s="172">
        <f>MIN(1,MAX(VLOOKUP(($AJ130-$AI130-$AH130-$AG130-$AF130-$AE130*(1+FA$3))/$AJ130,'Технический лист'!$A:$B,2,1),(EZ130-0.05)))</f>
        <v/>
      </c>
      <c r="FB130" s="172">
        <f>MIN(1,MAX(VLOOKUP(($AJ130-$AI130-$AH130-$AG130-$AF130-$AE130*(1+FB$3))/$AJ130,'Технический лист'!$A:$B,2,1),(FA130-0.05)))</f>
        <v/>
      </c>
      <c r="FC130" s="172">
        <f>MIN(1,MAX(VLOOKUP(($AJ130-$AI130-$AH130-$AG130-$AF130-$AE130*(1+FC$3))/$AJ130,'Технический лист'!$A:$B,2,1),(FB130-0.05)))</f>
        <v/>
      </c>
      <c r="FD130" s="172">
        <f>MIN(1,MAX(VLOOKUP(($AJ130-$AI130-$AH130-$AG130-$AF130-$AE130*(1+FD$3))/$AJ130,'Технический лист'!$A:$B,2,1),(FC130-0.05)))</f>
        <v/>
      </c>
      <c r="FE130" s="172">
        <f>MIN(1,MAX(VLOOKUP(($AJ130-$AI130-$AH130-$AG130-$AF130-$AE130*(1+FE$3))/$AJ130,'Технический лист'!$A:$B,2,1),(FD130-0.05)))</f>
        <v/>
      </c>
      <c r="FF130" s="172">
        <f>MIN(1,MAX(VLOOKUP(($AJ130-$AI130-$AH130-$AG130-$AF130-$AE130*(1+FF$3))/$AJ130,'Технический лист'!$A:$B,2,1),(FE130-0.05)))</f>
        <v/>
      </c>
      <c r="FG130" s="172">
        <f>MIN(1,MAX(VLOOKUP(($AJ130-$AI130-$AH130-$AG130-$AF130-$AE130*(1+FG$3))/$AJ130,'Технический лист'!$A:$B,2,1),(FF130-0.05)))</f>
        <v/>
      </c>
      <c r="FH130" s="172">
        <f>MIN(1,MAX(VLOOKUP(($AJ130-$AI130-$AH130-$AG130-$AF130-$AE130*(1+FH$3))/$AJ130,'Технический лист'!$A:$B,2,1),(FG130-0.05)))</f>
        <v/>
      </c>
      <c r="FI130" s="172">
        <f>MIN(1,MAX(VLOOKUP(($AJ130-$AI130-$AH130-$AG130-$AF130-$AE130*(1+FI$3))/$AJ130,'Технический лист'!$A:$B,2,1),(FH130-0.05)))</f>
        <v/>
      </c>
      <c r="FJ130" s="172">
        <f>MIN(1,MAX(VLOOKUP(($AJ130-$AI130-$AH130-$AG130-$AF130-$AE130*(1+FJ$3))/$AJ130,'Технический лист'!$A:$B,2,1),(FI130-0.05)))</f>
        <v/>
      </c>
      <c r="FK130" s="172">
        <f>MIN(1,MAX(VLOOKUP(($AJ130-$AI130-$AH130-$AG130-$AF130-$AE130*(1+FK$3))/$AJ130,'Технический лист'!$A:$B,2,1),(FJ130-0.05)))</f>
        <v/>
      </c>
      <c r="FL130" s="172">
        <f>MIN(1,MAX(VLOOKUP(($AJ130-$AI130-$AH130-$AG130-$AF130-$AE130*(1+FL$3))/$AJ130,'Технический лист'!$A:$B,2,1),(FK130-0.05)))</f>
        <v/>
      </c>
      <c r="FM130" s="172">
        <f>MIN(1,MAX(VLOOKUP(($AJ130-$AI130-$AH130-$AG130-$AF130-$AE130*(1+FM$3))/$AJ130,'Технический лист'!$A:$B,2,1),(FL130-0.05)))</f>
        <v/>
      </c>
      <c r="FN130" s="172">
        <f>MIN(1,MAX(VLOOKUP(($AJ130-$AI130-$AH130-$AG130-$AF130-$AE130*(1+FN$3))/$AJ130,'Технический лист'!$A:$B,2,1),(FM130-0.05)))</f>
        <v/>
      </c>
      <c r="FO130" s="172">
        <f>MIN(1,MAX(VLOOKUP(($AJ130-$AI130-$AH130-$AG130-$AF130-$AE130*(1+FO$3))/$AJ130,'Технический лист'!$A:$B,2,1),(FN130-0.05)))</f>
        <v/>
      </c>
      <c r="FP130" s="172">
        <f>MIN(1,MAX(VLOOKUP(($AJ130-$AI130-$AH130-$AG130-$AF130-$AE130*(1+FP$3))/$AJ130,'Технический лист'!$A:$B,2,1),(FO130-0.05)))</f>
        <v/>
      </c>
      <c r="FQ130" s="172">
        <f>MIN(1,MAX(VLOOKUP(($AJ130-$AI130-$AH130-$AG130-$AF130-$AE130*(1+FQ$3))/$AJ130,'Технический лист'!$A:$B,2,1),(FP130-0.05)))</f>
        <v/>
      </c>
      <c r="FR130" s="172">
        <f>MIN(1,MAX(VLOOKUP(($AJ130-$AI130-$AH130-$AG130-$AF130-$AE130*(1+FR$3))/$AJ130,'Технический лист'!$A:$B,2,1),(FQ130-0.05)))</f>
        <v/>
      </c>
      <c r="FS130" s="172">
        <f>MIN(1,MAX(VLOOKUP(($AJ130-$AI130-$AH130-$AG130-$AF130-$AE130*(1+FS$3))/$AJ130,'Технический лист'!$A:$B,2,1),(FR130-0.05)))</f>
        <v/>
      </c>
      <c r="FT130" s="172">
        <f>MIN(1,MAX(VLOOKUP(($AJ130-$AI130-$AH130-$AG130-$AF130-$AE130*(1+FT$3))/$AJ130,'Технический лист'!$A:$B,2,1),(FS130-0.05)))</f>
        <v/>
      </c>
      <c r="FU130" s="172">
        <f>MIN(1,MAX(VLOOKUP(($AJ130-$AI130-$AH130-$AG130-$AF130-$AE130*(1+FU$3))/$AJ130,'Технический лист'!$A:$B,2,1),(FT130-0.05)))</f>
        <v/>
      </c>
      <c r="FV130" s="172">
        <f>MIN(1,MAX(VLOOKUP(($AJ130-$AI130-$AH130-$AG130-$AF130-$AE130*(1+FV$3))/$AJ130,'Технический лист'!$A:$B,2,1),(FU130-0.05)))</f>
        <v/>
      </c>
      <c r="FW130" s="172">
        <f>MIN(1,MAX(VLOOKUP(($AJ130-$AI130-$AH130-$AG130-$AF130-$AE130*(1+FW$3))/$AJ130,'Технический лист'!$A:$B,2,1),(FV130-0.05)))</f>
        <v/>
      </c>
      <c r="FX130" s="172">
        <f>MIN(1,MAX(VLOOKUP(($AJ130-$AI130-$AH130-$AG130-$AF130-$AE130*(1+FX$3))/$AJ130,'Технический лист'!$A:$B,2,1),(FW130-0.05)))</f>
        <v/>
      </c>
      <c r="FY130" s="172">
        <f>MIN(1,MAX(VLOOKUP(($AJ130-$AI130-$AH130-$AG130-$AF130-$AE130*(1+FY$3))/$AJ130,'Технический лист'!$A:$B,2,1),(FX130-0.05)))</f>
        <v/>
      </c>
      <c r="FZ130" s="172">
        <f>MIN(1,MAX(VLOOKUP(($AJ130-$AI130-$AH130-$AG130-$AF130-$AE130*(1+FZ$3))/$AJ130,'Технический лист'!$A:$B,2,1),(FY130-0.05)))</f>
        <v/>
      </c>
      <c r="GA130" s="172">
        <f>MIN(1,MAX(VLOOKUP(($AJ130-$AI130-$AH130-$AG130-$AF130-$AE130*(1+GA$3))/$AJ130,'Технический лист'!$A:$B,2,1),(FZ130-0.05)))</f>
        <v/>
      </c>
      <c r="GB130" s="172">
        <f>MIN(1,MAX(VLOOKUP(($AJ130-$AI130-$AH130-$AG130-$AF130-$AE130*(1+GB$3))/$AJ130,'Технический лист'!$A:$B,2,1),(GA130-0.05)))</f>
        <v/>
      </c>
      <c r="GC130" s="172">
        <f>MIN(1,MAX(VLOOKUP(($AJ130-$AI130-$AH130-$AG130-$AF130-$AE130*(1+GC$3))/$AJ130,'Технический лист'!$A:$B,2,1),(GB130-0.05)))</f>
        <v/>
      </c>
      <c r="GD130" s="172">
        <f>MIN(1,MAX(VLOOKUP(($AJ130-$AI130-$AH130-$AG130-$AF130-$AE130*(1+GD$3))/$AJ130,'Технический лист'!$A:$B,2,1),(GC130-0.05)))</f>
        <v/>
      </c>
      <c r="GE130" s="172">
        <f>MIN(1,MAX(VLOOKUP(($AJ130-$AI130-$AH130-$AG130-$AF130-$AE130*(1+GE$3))/$AJ130,'Технический лист'!$A:$B,2,1),(GD130-0.05)))</f>
        <v/>
      </c>
      <c r="GF130" s="172">
        <f>MIN(1,MAX(VLOOKUP(($AJ130-$AI130-$AH130-$AG130-$AF130-$AE130*(1+GF$3))/$AJ130,'Технический лист'!$A:$B,2,1),(GE130-0.05)))</f>
        <v/>
      </c>
      <c r="GG130" s="172">
        <f>MIN(1,MAX(VLOOKUP(($AJ130-$AI130-$AH130-$AG130-$AF130-$AE130*(1+GG$3))/$AJ130,'Технический лист'!$A:$B,2,1),(GF130-0.05)))</f>
        <v/>
      </c>
      <c r="GH130" s="172">
        <f>MIN(1,MAX(VLOOKUP(($AJ130-$AI130-$AH130-$AG130-$AF130-$AE130*(1+GH$3))/$AJ130,'Технический лист'!$A:$B,2,1),(GG130-0.05)))</f>
        <v/>
      </c>
      <c r="GI130" s="172">
        <f>MIN(1,MAX(VLOOKUP(($AJ130-$AI130-$AH130-$AG130-$AF130-$AE130*(1+GI$3))/$AJ130,'Технический лист'!$A:$B,2,1),(GH130-0.05)))</f>
        <v/>
      </c>
      <c r="GJ130" s="172">
        <f>MIN(1,MAX(VLOOKUP(($AJ130-$AI130-$AH130-$AG130-$AF130-$AE130*(1+GJ$3))/$AJ130,'Технический лист'!$A:$B,2,1),(GI130-0.05)))</f>
        <v/>
      </c>
      <c r="GK130" s="172">
        <f>MIN(1,MAX(VLOOKUP(($AJ130-$AI130-$AH130-$AG130-$AF130-$AE130*(1+GK$3))/$AJ130,'Технический лист'!$A:$B,2,1),(GJ130-0.05)))</f>
        <v/>
      </c>
      <c r="GL130" s="172">
        <f>MIN(1,MAX(VLOOKUP(($AJ130-$AI130-$AH130-$AG130-$AF130-$AE130*(1+GL$3))/$AJ130,'Технический лист'!$A:$B,2,1),(GK130-0.05)))</f>
        <v/>
      </c>
      <c r="GM130" s="172">
        <f>MIN(1,MAX(VLOOKUP(($AJ130-$AI130-$AH130-$AG130-$AF130-$AE130*(1+GM$3))/$AJ130,'Технический лист'!$A:$B,2,1),(GL130-0.05)))</f>
        <v/>
      </c>
      <c r="GN130" s="172">
        <f>MIN(1,MAX(VLOOKUP(($AJ130-$AI130-$AH130-$AG130-$AF130-$AE130*(1+GN$3))/$AJ130,'Технический лист'!$A:$B,2,1),(GM130-0.05)))</f>
        <v/>
      </c>
      <c r="GO130" s="172">
        <f>MIN(1,MAX(VLOOKUP(($AJ130-$AI130-$AH130-$AG130-$AF130-$AE130*(1+GO$3))/$AJ130,'Технический лист'!$A:$B,2,1),(GN130-0.05)))</f>
        <v/>
      </c>
      <c r="GP130" s="172">
        <f>MIN(1,MAX(VLOOKUP(($AJ130-$AI130-$AH130-$AG130-$AF130-$AE130*(1+GP$3))/$AJ130,'Технический лист'!$A:$B,2,1),(GO130-0.05)))</f>
        <v/>
      </c>
      <c r="GQ130" s="172">
        <f>MIN(1,MAX(VLOOKUP(($AJ130-$AI130-$AH130-$AG130-$AF130-$AE130*(1+GQ$3))/$AJ130,'Технический лист'!$A:$B,2,1),(GP130-0.05)))</f>
        <v/>
      </c>
      <c r="GR130" s="172">
        <f>MIN(1,MAX(VLOOKUP(($AJ130-$AI130-$AH130-$AG130-$AF130-$AE130*(1+GR$3))/$AJ130,'Технический лист'!$A:$B,2,1),(GQ130-0.05)))</f>
        <v/>
      </c>
      <c r="GS130" s="172">
        <f>MIN(1,MAX(VLOOKUP(($AJ130-$AI130-$AH130-$AG130-$AF130-$AE130*(1+GS$3))/$AJ130,'Технический лист'!$A:$B,2,1),(GR130-0.05)))</f>
        <v/>
      </c>
      <c r="GT130" s="172">
        <f>MIN(1,MAX(VLOOKUP(($AJ130-$AI130-$AH130-$AG130-$AF130-$AE130*(1+GT$3))/$AJ130,'Технический лист'!$A:$B,2,1),(GS130-0.05)))</f>
        <v/>
      </c>
      <c r="GU130" s="172">
        <f>MIN(1,MAX(VLOOKUP(($AJ130-$AI130-$AH130-$AG130-$AF130-$AE130*(1+GU$3))/$AJ130,'Технический лист'!$A:$B,2,1),(GT130-0.05)))</f>
        <v/>
      </c>
      <c r="GV130" s="172">
        <f>MIN(1,MAX(VLOOKUP(($AJ130-$AI130-$AH130-$AG130-$AF130-$AE130*(1+GV$3))/$AJ130,'Технический лист'!$A:$B,2,1),(GU130-0.05)))</f>
        <v/>
      </c>
      <c r="GW130" s="172">
        <f>MIN(1,MAX(VLOOKUP(($AJ130-$AI130-$AH130-$AG130-$AF130-$AE130*(1+GW$3))/$AJ130,'Технический лист'!$A:$B,2,1),(GV130-0.05)))</f>
        <v/>
      </c>
      <c r="GX130" s="172">
        <f>MIN(1,MAX(VLOOKUP(($AJ130-$AI130-$AH130-$AG130-$AF130-$AE130*(1+GX$3))/$AJ130,'Технический лист'!$A:$B,2,1),(GW130-0.05)))</f>
        <v/>
      </c>
      <c r="GY130" s="172">
        <f>MIN(1,MAX(VLOOKUP(($AJ130-$AI130-$AH130-$AG130-$AF130-$AE130*(1+GY$3))/$AJ130,'Технический лист'!$A:$B,2,1),(GX130-0.05)))</f>
        <v/>
      </c>
      <c r="GZ130" s="172">
        <f>MIN(1,MAX(VLOOKUP(($AJ130-$AI130-$AH130-$AG130-$AF130-$AE130*(1+GZ$3))/$AJ130,'Технический лист'!$A:$B,2,1),(GY130-0.05)))</f>
        <v/>
      </c>
      <c r="HA130" s="172">
        <f>MIN(1,MAX(VLOOKUP(($AJ130-$AI130-$AH130-$AG130-$AF130-$AE130*(1+HA$3))/$AJ130,'Технический лист'!$A:$B,2,1),(GZ130-0.05)))</f>
        <v/>
      </c>
      <c r="HB130" s="172">
        <f>MIN(1,MAX(VLOOKUP(($AJ130-$AI130-$AH130-$AG130-$AF130-$AE130*(1+HB$3))/$AJ130,'Технический лист'!$A:$B,2,1),(HA130-0.05)))</f>
        <v/>
      </c>
      <c r="HC130" s="172">
        <f>MIN(1,MAX(VLOOKUP(($AJ130-$AI130-$AH130-$AG130-$AF130-$AE130*(1+HC$3))/$AJ130,'Технический лист'!$A:$B,2,1),(HB130-0.05)))</f>
        <v/>
      </c>
      <c r="HD130" s="172">
        <f>MIN(1,MAX(VLOOKUP(($AJ130-$AI130-$AH130-$AG130-$AF130-$AE130*(1+HD$3))/$AJ130,'Технический лист'!$A:$B,2,1),(HC130-0.05)))</f>
        <v/>
      </c>
      <c r="HE130" s="172">
        <f>MIN(1,MAX(VLOOKUP(($AJ130-$AI130-$AH130-$AG130-$AF130-$AE130*(1+HE$3))/$AJ130,'Технический лист'!$A:$B,2,1),(HD130-0.05)))</f>
        <v/>
      </c>
      <c r="HF130" s="172">
        <f>MIN(1,MAX(VLOOKUP(($AJ130-$AI130-$AH130-$AG130-$AF130-$AE130*(1+HF$3))/$AJ130,'Технический лист'!$A:$B,2,1),(HE130-0.05)))</f>
        <v/>
      </c>
      <c r="HG130" s="172">
        <f>MIN(1,MAX(VLOOKUP(($AJ130-$AI130-$AH130-$AG130-$AF130-$AE130*(1+HG$3))/$AJ130,'Технический лист'!$A:$B,2,1),(HF130-0.05)))</f>
        <v/>
      </c>
      <c r="HH130" s="172">
        <f>MIN(1,MAX(VLOOKUP(($AJ130-$AI130-$AH130-$AG130-$AF130-$AE130*(1+HH$3))/$AJ130,'Технический лист'!$A:$B,2,1),(HG130-0.05)))</f>
        <v/>
      </c>
      <c r="HI130" s="172">
        <f>MIN(1,MAX(VLOOKUP(($AJ130-$AI130-$AH130-$AG130-$AF130-$AE130*(1+HI$3))/$AJ130,'Технический лист'!$A:$B,2,1),(HH130-0.05)))</f>
        <v/>
      </c>
      <c r="HJ130" s="172">
        <f>MIN(1,MAX(VLOOKUP(($AJ130-$AI130-$AH130-$AG130-$AF130-$AE130*(1+HJ$3))/$AJ130,'Технический лист'!$A:$B,2,1),(HI130-0.05)))</f>
        <v/>
      </c>
      <c r="HK130" s="172">
        <f>MIN(1,MAX(VLOOKUP(($AJ130-$AI130-$AH130-$AG130-$AF130-$AE130*(1+HK$3))/$AJ130,'Технический лист'!$A:$B,2,1),(HJ130-0.05)))</f>
        <v/>
      </c>
      <c r="HL130" s="172">
        <f>MIN(1,MAX(VLOOKUP(($AJ130-$AI130-$AH130-$AG130-$AF130-$AE130*(1+HL$3))/$AJ130,'Технический лист'!$A:$B,2,1),(HK130-0.05)))</f>
        <v/>
      </c>
      <c r="HM130" s="172">
        <f>MIN(1,MAX(VLOOKUP(($AJ130-$AI130-$AH130-$AG130-$AF130-$AE130*(1+HM$3))/$AJ130,'Технический лист'!$A:$B,2,1),(HL130-0.05)))</f>
        <v/>
      </c>
      <c r="HN130" s="172">
        <f>MIN(1,MAX(VLOOKUP(($AJ130-$AI130-$AH130-$AG130-$AF130-$AE130*(1+HN$3))/$AJ130,'Технический лист'!$A:$B,2,1),(HM130-0.05)))</f>
        <v/>
      </c>
      <c r="HO130" s="172">
        <f>MIN(1,MAX(VLOOKUP(($AJ130-$AI130-$AH130-$AG130-$AF130-$AE130*(1+HO$3))/$AJ130,'Технический лист'!$A:$B,2,1),(HN130-0.05)))</f>
        <v/>
      </c>
      <c r="HP130" s="172">
        <f>MIN(1,MAX(VLOOKUP(($AJ130-$AI130-$AH130-$AG130-$AF130-$AE130*(1+HP$3))/$AJ130,'Технический лист'!$A:$B,2,1),(HO130-0.05)))</f>
        <v/>
      </c>
      <c r="HQ130" s="172">
        <f>MIN(1,MAX(VLOOKUP(($AJ130-$AI130-$AH130-$AG130-$AF130-$AE130*(1+HQ$3))/$AJ130,'Технический лист'!$A:$B,2,1),(HP130-0.05)))</f>
        <v/>
      </c>
      <c r="HR130" s="172">
        <f>MIN(1,MAX(VLOOKUP(($AJ130-$AI130-$AH130-$AG130-$AF130-$AE130*(1+HR$3))/$AJ130,'Технический лист'!$A:$B,2,1),(HQ130-0.05)))</f>
        <v/>
      </c>
      <c r="HS130" s="172">
        <f>MIN(1,MAX(VLOOKUP(($AJ130-$AI130-$AH130-$AG130-$AF130-$AE130*(1+HS$3))/$AJ130,'Технический лист'!$A:$B,2,1),(HR130-0.05)))</f>
        <v/>
      </c>
      <c r="HT130" s="172">
        <f>MIN(1,MAX(VLOOKUP(($AJ130-$AI130-$AH130-$AG130-$AF130-$AE130*(1+HT$3))/$AJ130,'Технический лист'!$A:$B,2,1),(HS130-0.05)))</f>
        <v/>
      </c>
      <c r="HU130" s="172">
        <f>MIN(1,MAX(VLOOKUP(($AJ130-$AI130-$AH130-$AG130-$AF130-$AE130*(1+HU$3))/$AJ130,'Технический лист'!$A:$B,2,1),(HT130-0.05)))</f>
        <v/>
      </c>
      <c r="HV130" s="172">
        <f>MIN(1,MAX(VLOOKUP(($AJ130-$AI130-$AH130-$AG130-$AF130-$AE130*(1+HV$3))/$AJ130,'Технический лист'!$A:$B,2,1),(HU130-0.05)))</f>
        <v/>
      </c>
      <c r="HW130" s="172">
        <f>MIN(1,MAX(VLOOKUP(($AJ130-$AI130-$AH130-$AG130-$AF130-$AE130*(1+HW$3))/$AJ130,'Технический лист'!$A:$B,2,1),(HV130-0.05)))</f>
        <v/>
      </c>
      <c r="HX130" s="172">
        <f>MIN(1,MAX(VLOOKUP(($AJ130-$AI130-$AH130-$AG130-$AF130-$AE130*(1+HX$3))/$AJ130,'Технический лист'!$A:$B,2,1),(HW130-0.05)))</f>
        <v/>
      </c>
      <c r="HY130" s="172">
        <f>MIN(1,MAX(VLOOKUP(($AJ130-$AI130-$AH130-$AG130-$AF130-$AE130*(1+HY$3))/$AJ130,'Технический лист'!$A:$B,2,1),(HX130-0.05)))</f>
        <v/>
      </c>
      <c r="HZ130" s="172">
        <f>MIN(1,MAX(VLOOKUP(($AJ130-$AI130-$AH130-$AG130-$AF130-$AE130*(1+HZ$3))/$AJ130,'Технический лист'!$A:$B,2,1),(HY130-0.05)))</f>
        <v/>
      </c>
      <c r="IA130" s="172">
        <f>MIN(1,MAX(VLOOKUP(($AJ130-$AI130-$AH130-$AG130-$AF130-$AE130*(1+IA$3))/$AJ130,'Технический лист'!$A:$B,2,1),(HZ130-0.05)))</f>
        <v/>
      </c>
      <c r="IB130" s="172">
        <f>MIN(1,MAX(VLOOKUP(($AJ130-$AI130-$AH130-$AG130-$AF130-$AE130*(1+IB$3))/$AJ130,'Технический лист'!$A:$B,2,1),(IA130-0.05)))</f>
        <v/>
      </c>
      <c r="IC130" s="172">
        <f>MIN(1,MAX(VLOOKUP(($AJ130-$AI130-$AH130-$AG130-$AF130-$AE130*(1+IC$3))/$AJ130,'Технический лист'!$A:$B,2,1),(IB130-0.05)))</f>
        <v/>
      </c>
      <c r="ID130" s="172">
        <f>MIN(1,MAX(VLOOKUP(($AJ130-$AI130-$AH130-$AG130-$AF130-$AE130*(1+ID$3))/$AJ130,'Технический лист'!$A:$B,2,1),(IC130-0.05)))</f>
        <v/>
      </c>
      <c r="IE130" s="172">
        <f>MIN(1,MAX(VLOOKUP(($AJ130-$AI130-$AH130-$AG130-$AF130-$AE130*(1+IE$3))/$AJ130,'Технический лист'!$A:$B,2,1),(ID130-0.05)))</f>
        <v/>
      </c>
      <c r="IF130" s="172">
        <f>MIN(1,MAX(VLOOKUP(($AJ130-$AI130-$AH130-$AG130-$AF130-$AE130*(1+IF$3))/$AJ130,'Технический лист'!$A:$B,2,1),(IE130-0.05)))</f>
        <v/>
      </c>
      <c r="IG130" s="172">
        <f>MIN(1,MAX(VLOOKUP(($AJ130-$AI130-$AH130-$AG130-$AF130-$AE130*(1+IG$3))/$AJ130,'Технический лист'!$A:$B,2,1),(IF130-0.05)))</f>
        <v/>
      </c>
      <c r="IH130" s="172">
        <f>MIN(1,MAX(VLOOKUP(($AJ130-$AI130-$AH130-$AG130-$AF130-$AE130*(1+IH$3))/$AJ130,'Технический лист'!$A:$B,2,1),(IG130-0.05)))</f>
        <v/>
      </c>
      <c r="II130" s="172">
        <f>MIN(1,MAX(VLOOKUP(($AJ130-$AI130-$AH130-$AG130-$AF130-$AE130*(1+II$3))/$AJ130,'Технический лист'!$A:$B,2,1),(IH130-0.05)))</f>
        <v/>
      </c>
      <c r="IJ130" s="172">
        <f>MIN(1,MAX(VLOOKUP(($AJ130-$AI130-$AH130-$AG130-$AF130-$AE130*(1+IJ$3))/$AJ130,'Технический лист'!$A:$B,2,1),(II130-0.05)))</f>
        <v/>
      </c>
      <c r="IK130" s="172">
        <f>MIN(1,MAX(VLOOKUP(($AJ130-$AI130-$AH130-$AG130-$AF130-$AE130*(1+IK$3))/$AJ130,'Технический лист'!$A:$B,2,1),(IJ130-0.05)))</f>
        <v/>
      </c>
      <c r="IL130" s="172">
        <f>MIN(1,MAX(VLOOKUP(($AJ130-$AI130-$AH130-$AG130-$AF130-$AE130*(1+IL$3))/$AJ130,'Технический лист'!$A:$B,2,1),(IK130-0.05)))</f>
        <v/>
      </c>
      <c r="IM130" s="172">
        <f>MIN(1,MAX(VLOOKUP(($AJ130-$AI130-$AH130-$AG130-$AF130-$AE130*(1+IM$3))/$AJ130,'Технический лист'!$A:$B,2,1),(IL130-0.05)))</f>
        <v/>
      </c>
      <c r="IN130" s="172">
        <f>MIN(1,MAX(VLOOKUP(($AJ130-$AI130-$AH130-$AG130-$AF130-$AE130*(1+IN$3))/$AJ130,'Технический лист'!$A:$B,2,1),(IM130-0.05)))</f>
        <v/>
      </c>
      <c r="IO130" s="172">
        <f>MIN(1,MAX(VLOOKUP(($AJ130-$AI130-$AH130-$AG130-$AF130-$AE130*(1+IO$3))/$AJ130,'Технический лист'!$A:$B,2,1),(IN130-0.05)))</f>
        <v/>
      </c>
      <c r="IP130" s="172">
        <f>MIN(1,MAX(VLOOKUP(($AJ130-$AI130-$AH130-$AG130-$AF130-$AE130*(1+IP$3))/$AJ130,'Технический лист'!$A:$B,2,1),(IO130-0.05)))</f>
        <v/>
      </c>
      <c r="IQ130" s="172">
        <f>MIN(1,MAX(VLOOKUP(($AJ130-$AI130-$AH130-$AG130-$AF130-$AE130*(1+IQ$3))/$AJ130,'Технический лист'!$A:$B,2,1),(IP130-0.05)))</f>
        <v/>
      </c>
      <c r="IR130" s="172">
        <f>MIN(1,MAX(VLOOKUP(($AJ130-$AI130-$AH130-$AG130-$AF130-$AE130*(1+IR$3))/$AJ130,'Технический лист'!$A:$B,2,1),(IQ130-0.05)))</f>
        <v/>
      </c>
    </row>
    <row r="131" ht="29.15" customHeight="1" s="123">
      <c r="A131" s="89" t="inlineStr">
        <is>
          <t>ЧМ (продукция)</t>
        </is>
      </c>
      <c r="B131" s="90" t="n">
        <v>10</v>
      </c>
      <c r="C131" s="5" t="inlineStr">
        <is>
          <t>Остальные грузы</t>
        </is>
      </c>
      <c r="D131" s="91" t="n">
        <v>31609</v>
      </c>
      <c r="E131" s="91" t="inlineStr">
        <is>
          <t xml:space="preserve">Окалина черных металлов </t>
        </is>
      </c>
      <c r="F131" s="92" t="inlineStr">
        <is>
          <t>ЛОМ ЧЕРНЫХ МЕТАЛЛОВ</t>
        </is>
      </c>
      <c r="G131" s="91" t="inlineStr">
        <is>
          <t>ГОР</t>
        </is>
      </c>
      <c r="H131" s="91" t="inlineStr">
        <is>
          <t>СВР</t>
        </is>
      </c>
      <c r="I131" s="91" t="inlineStr">
        <is>
          <t>НАВАШИНО</t>
        </is>
      </c>
      <c r="J131" s="91" t="inlineStr">
        <is>
          <t>СМЫЧКА</t>
        </is>
      </c>
      <c r="K131" s="91" t="n">
        <v>1503</v>
      </c>
      <c r="L131" s="91" t="inlineStr">
        <is>
          <t>Полувагоны</t>
        </is>
      </c>
      <c r="M131" s="91" t="inlineStr">
        <is>
          <t>Внутр. перевозки</t>
        </is>
      </c>
      <c r="N131" s="91" t="inlineStr">
        <is>
          <t>вагонная</t>
        </is>
      </c>
      <c r="O131" s="91" t="inlineStr">
        <is>
          <t xml:space="preserve">Южное </t>
        </is>
      </c>
      <c r="P131" s="89" t="inlineStr">
        <is>
          <t>'000005757848</t>
        </is>
      </c>
      <c r="Q131" s="91" t="inlineStr">
        <is>
          <t>'АО "Выксунский металлургический завод"</t>
        </is>
      </c>
      <c r="R131" s="91" t="inlineStr">
        <is>
          <t>АО "ОМК"</t>
        </is>
      </c>
      <c r="S131" s="87" t="n">
        <v>1515</v>
      </c>
      <c r="T131" s="87" t="n">
        <v>2276739</v>
      </c>
      <c r="U131" s="88" t="n">
        <v>24</v>
      </c>
      <c r="V131" s="88" t="n">
        <v>0</v>
      </c>
      <c r="W131" s="87" t="n">
        <v>4509428</v>
      </c>
      <c r="X131" s="112" t="n">
        <v>62</v>
      </c>
      <c r="Y131" s="112" t="inlineStr">
        <is>
          <t>повагонная</t>
        </is>
      </c>
      <c r="Z131" s="113" t="n">
        <v>7</v>
      </c>
      <c r="AA131" s="113" t="n">
        <v>7</v>
      </c>
      <c r="AB131" s="113" t="n">
        <v>4</v>
      </c>
      <c r="AC131" s="161" t="n">
        <v>3304.74</v>
      </c>
      <c r="AD131" s="161">
        <f>AE131-AC131</f>
        <v/>
      </c>
      <c r="AE131" s="161" t="n">
        <v>3817.23</v>
      </c>
      <c r="AF131" s="162">
        <f>(Z131+AA131+AB131)*'Ставки аренды'!$B$3/X131</f>
        <v/>
      </c>
      <c r="AG131" s="164" t="n">
        <v>0</v>
      </c>
      <c r="AH131" s="164" t="n">
        <v>0</v>
      </c>
      <c r="AI131" s="165">
        <f>333374/554614*AJ131</f>
        <v/>
      </c>
      <c r="AJ131" s="166">
        <f>Цены!$D$10</f>
        <v/>
      </c>
      <c r="AK131" s="164">
        <f>AJ131/Цены!$B$1</f>
        <v/>
      </c>
      <c r="AL131" s="164">
        <f>AE131+AF131+AG131</f>
        <v/>
      </c>
      <c r="AM131" s="164">
        <f>AJ131-AL131</f>
        <v/>
      </c>
      <c r="AN131" s="164">
        <f>AI131+AH131+AG131+AF131+AE131</f>
        <v/>
      </c>
      <c r="AO131" s="167">
        <f>(AJ131-AN131)/AJ131</f>
        <v/>
      </c>
      <c r="AP131" s="168">
        <f>AL131/AJ131</f>
        <v/>
      </c>
      <c r="AQ131" s="168">
        <f>AE131/AJ131</f>
        <v/>
      </c>
      <c r="AR131" s="168">
        <f>AE131/AL131</f>
        <v/>
      </c>
      <c r="AS131" s="169" t="n">
        <v>1</v>
      </c>
      <c r="AT131" s="121">
        <f>S131*AS131</f>
        <v/>
      </c>
      <c r="AU131" s="83" t="n">
        <v>1</v>
      </c>
      <c r="AV131" s="170">
        <f>(AJ131-(AE131*(1+$IS$2)+AF131+AG131+AH131+AI131))/AJ131</f>
        <v/>
      </c>
      <c r="AW131" s="171">
        <f>(AE131*(1+$IS$2)+AF131+AG131)/AJ131</f>
        <v/>
      </c>
      <c r="AX131" s="171">
        <f>(AE131*(1+$IS$2))/AJ131</f>
        <v/>
      </c>
      <c r="AY131" s="171">
        <f>(AE131*(1+$IS$2))/(AE131*(1+$IS$2)+AF131+AG131)</f>
        <v/>
      </c>
      <c r="AZ131" s="172">
        <f>MIN(IF($AU131=100%,1,1+VLOOKUP(($AJ131-$AI131-$AH131-$AG131-$AF131-$AE131*(1+AZ$3))/$AJ131,'Технический лист'!$I:$J,2,1)-VLOOKUP($AO131,'Технический лист'!$I:$J,2,1)),1+(1-$AU131))</f>
        <v/>
      </c>
      <c r="BA131" s="172">
        <f>MIN(IF($AU131=100%,1,1+VLOOKUP(($AJ131-$AI131-$AH131-$AG131-$AF131-$AE131*(1+BA$3))/$AJ131,'Технический лист'!$I:$J,2,1)-VLOOKUP($AO131,'Технический лист'!$I:$J,2,1)),1+(1-$AU131))</f>
        <v/>
      </c>
      <c r="BB131" s="172">
        <f>MIN(IF($AU131=100%,1,1+VLOOKUP(($AJ131-$AI131-$AH131-$AG131-$AF131-$AE131*(1+BB$3))/$AJ131,'Технический лист'!$I:$J,2,1)-VLOOKUP($AO131,'Технический лист'!$I:$J,2,1)),1+(1-$AU131))</f>
        <v/>
      </c>
      <c r="BC131" s="172">
        <f>MIN(IF($AU131=100%,1,1+VLOOKUP(($AJ131-$AI131-$AH131-$AG131-$AF131-$AE131*(1+BC$3))/$AJ131,'Технический лист'!$I:$J,2,1)-VLOOKUP($AO131,'Технический лист'!$I:$J,2,1)),1+(1-$AU131))</f>
        <v/>
      </c>
      <c r="BD131" s="172">
        <f>MIN(IF($AU131=100%,1,1+VLOOKUP(($AJ131-$AI131-$AH131-$AG131-$AF131-$AE131*(1+BD$3))/$AJ131,'Технический лист'!$I:$J,2,1)-VLOOKUP($AO131,'Технический лист'!$I:$J,2,1)),1+(1-$AU131))</f>
        <v/>
      </c>
      <c r="BE131" s="172">
        <f>MIN(IF($AU131=100%,1,1+VLOOKUP(($AJ131-$AI131-$AH131-$AG131-$AF131-$AE131*(1+BE$3))/$AJ131,'Технический лист'!$I:$J,2,1)-VLOOKUP($AO131,'Технический лист'!$I:$J,2,1)),1+(1-$AU131))</f>
        <v/>
      </c>
      <c r="BF131" s="172">
        <f>MIN(IF($AU131=100%,1,1+VLOOKUP(($AJ131-$AI131-$AH131-$AG131-$AF131-$AE131*(1+BF$3))/$AJ131,'Технический лист'!$I:$J,2,1)-VLOOKUP($AO131,'Технический лист'!$I:$J,2,1)),1+(1-$AU131))</f>
        <v/>
      </c>
      <c r="BG131" s="172">
        <f>MIN(IF($AU131=100%,1,1+VLOOKUP(($AJ131-$AI131-$AH131-$AG131-$AF131-$AE131*(1+BG$3))/$AJ131,'Технический лист'!$I:$J,2,1)-VLOOKUP($AO131,'Технический лист'!$I:$J,2,1)),1+(1-$AU131))</f>
        <v/>
      </c>
      <c r="BH131" s="172">
        <f>MIN(IF($AU131=100%,1,1+VLOOKUP(($AJ131-$AI131-$AH131-$AG131-$AF131-$AE131*(1+BH$3))/$AJ131,'Технический лист'!$I:$J,2,1)-VLOOKUP($AO131,'Технический лист'!$I:$J,2,1)),1+(1-$AU131))</f>
        <v/>
      </c>
      <c r="BI131" s="172">
        <f>MIN(IF($AU131=100%,1,1+VLOOKUP(($AJ131-$AI131-$AH131-$AG131-$AF131-$AE131*(1+BI$3))/$AJ131,'Технический лист'!$I:$J,2,1)-VLOOKUP($AO131,'Технический лист'!$I:$J,2,1)),1+(1-$AU131))</f>
        <v/>
      </c>
      <c r="BJ131" s="172">
        <f>MIN(IF($AU131=100%,1,1+VLOOKUP(($AJ131-$AI131-$AH131-$AG131-$AF131-$AE131*(1+BJ$3))/$AJ131,'Технический лист'!$I:$J,2,1)-VLOOKUP($AO131,'Технический лист'!$I:$J,2,1)),1+(1-$AU131))</f>
        <v/>
      </c>
      <c r="BK131" s="172">
        <f>MIN(IF($AU131=100%,1,1+VLOOKUP(($AJ131-$AI131-$AH131-$AG131-$AF131-$AE131*(1+BK$3))/$AJ131,'Технический лист'!$I:$J,2,1)-VLOOKUP($AO131,'Технический лист'!$I:$J,2,1)),1+(1-$AU131))</f>
        <v/>
      </c>
      <c r="BL131" s="172">
        <f>MIN(IF($AU131=100%,1,1+VLOOKUP(($AJ131-$AI131-$AH131-$AG131-$AF131-$AE131*(1+BL$3))/$AJ131,'Технический лист'!$I:$J,2,1)-VLOOKUP($AO131,'Технический лист'!$I:$J,2,1)),1+(1-$AU131))</f>
        <v/>
      </c>
      <c r="BM131" s="172">
        <f>MIN(IF($AU131=100%,1,1+VLOOKUP(($AJ131-$AI131-$AH131-$AG131-$AF131-$AE131*(1+BM$3))/$AJ131,'Технический лист'!$I:$J,2,1)-VLOOKUP($AO131,'Технический лист'!$I:$J,2,1)),1+(1-$AU131))</f>
        <v/>
      </c>
      <c r="BN131" s="172">
        <f>MIN(IF($AU131=100%,1,1+VLOOKUP(($AJ131-$AI131-$AH131-$AG131-$AF131-$AE131*(1+BN$3))/$AJ131,'Технический лист'!$I:$J,2,1)-VLOOKUP($AO131,'Технический лист'!$I:$J,2,1)),1+(1-$AU131))</f>
        <v/>
      </c>
      <c r="BO131" s="172">
        <f>MIN(IF($AU131=100%,1,1+VLOOKUP(($AJ131-$AI131-$AH131-$AG131-$AF131-$AE131*(1+BO$3))/$AJ131,'Технический лист'!$I:$J,2,1)-VLOOKUP($AO131,'Технический лист'!$I:$J,2,1)),1+(1-$AU131))</f>
        <v/>
      </c>
      <c r="BP131" s="172">
        <f>MIN(IF($AU131=100%,1,1+VLOOKUP(($AJ131-$AI131-$AH131-$AG131-$AF131-$AE131*(1+BP$3))/$AJ131,'Технический лист'!$I:$J,2,1)-VLOOKUP($AO131,'Технический лист'!$I:$J,2,1)),1+(1-$AU131))</f>
        <v/>
      </c>
      <c r="BQ131" s="172">
        <f>MIN(IF($AU131=100%,1,1+VLOOKUP(($AJ131-$AI131-$AH131-$AG131-$AF131-$AE131*(1+BQ$3))/$AJ131,'Технический лист'!$I:$J,2,1)-VLOOKUP($AO131,'Технический лист'!$I:$J,2,1)),1+(1-$AU131))</f>
        <v/>
      </c>
      <c r="BR131" s="172">
        <f>MIN(IF($AU131=100%,1,1+VLOOKUP(($AJ131-$AI131-$AH131-$AG131-$AF131-$AE131*(1+BR$3))/$AJ131,'Технический лист'!$I:$J,2,1)-VLOOKUP($AO131,'Технический лист'!$I:$J,2,1)),1+(1-$AU131))</f>
        <v/>
      </c>
      <c r="BS131" s="172">
        <f>MIN(IF($AU131=100%,1,1+VLOOKUP(($AJ131-$AI131-$AH131-$AG131-$AF131-$AE131*(1+BS$3))/$AJ131,'Технический лист'!$I:$J,2,1)-VLOOKUP($AO131,'Технический лист'!$I:$J,2,1)),1+(1-$AU131))</f>
        <v/>
      </c>
      <c r="BT131" s="172">
        <f>MIN(IF($AU131=100%,1,1+VLOOKUP(($AJ131-$AI131-$AH131-$AG131-$AF131-$AE131*(1+BT$3))/$AJ131,'Технический лист'!$I:$J,2,1)-VLOOKUP($AO131,'Технический лист'!$I:$J,2,1)),1+(1-$AU131))</f>
        <v/>
      </c>
      <c r="BU131" s="172">
        <f>MIN(IF($AU131=100%,1,1+VLOOKUP(($AJ131-$AI131-$AH131-$AG131-$AF131-$AE131*(1+BU$3))/$AJ131,'Технический лист'!$I:$J,2,1)-VLOOKUP($AO131,'Технический лист'!$I:$J,2,1)),1+(1-$AU131))</f>
        <v/>
      </c>
      <c r="BV131" s="172">
        <f>MIN(IF($AU131=100%,1,1+VLOOKUP(($AJ131-$AI131-$AH131-$AG131-$AF131-$AE131*(1+BV$3))/$AJ131,'Технический лист'!$I:$J,2,1)-VLOOKUP($AO131,'Технический лист'!$I:$J,2,1)),1+(1-$AU131))</f>
        <v/>
      </c>
      <c r="BW131" s="172">
        <f>MIN(IF($AU131=100%,1,1+VLOOKUP(($AJ131-$AI131-$AH131-$AG131-$AF131-$AE131*(1+BW$3))/$AJ131,'Технический лист'!$I:$J,2,1)-VLOOKUP($AO131,'Технический лист'!$I:$J,2,1)),1+(1-$AU131))</f>
        <v/>
      </c>
      <c r="BX131" s="172">
        <f>MIN(IF($AU131=100%,1,1+VLOOKUP(($AJ131-$AI131-$AH131-$AG131-$AF131-$AE131*(1+BX$3))/$AJ131,'Технический лист'!$I:$J,2,1)-VLOOKUP($AO131,'Технический лист'!$I:$J,2,1)),1+(1-$AU131))</f>
        <v/>
      </c>
      <c r="BY131" s="172">
        <f>MIN(IF($AU131=100%,1,1+VLOOKUP(($AJ131-$AI131-$AH131-$AG131-$AF131-$AE131*(1+BY$3))/$AJ131,'Технический лист'!$I:$J,2,1)-VLOOKUP($AO131,'Технический лист'!$I:$J,2,1)),1+(1-$AU131))</f>
        <v/>
      </c>
      <c r="BZ131" s="172">
        <f>MIN(IF($AU131=100%,1,1+VLOOKUP(($AJ131-$AI131-$AH131-$AG131-$AF131-$AE131*(1+BZ$3))/$AJ131,'Технический лист'!$I:$J,2,1)-VLOOKUP($AO131,'Технический лист'!$I:$J,2,1)),1+(1-$AU131))</f>
        <v/>
      </c>
      <c r="CA131" s="172">
        <f>MIN(IF($AU131=100%,1,1+VLOOKUP(($AJ131-$AI131-$AH131-$AG131-$AF131-$AE131*(1+CA$3))/$AJ131,'Технический лист'!$I:$J,2,1)-VLOOKUP($AO131,'Технический лист'!$I:$J,2,1)),1+(1-$AU131))</f>
        <v/>
      </c>
      <c r="CB131" s="172">
        <f>MIN(IF($AU131=100%,1,1+VLOOKUP(($AJ131-$AI131-$AH131-$AG131-$AF131-$AE131*(1+CB$3))/$AJ131,'Технический лист'!$I:$J,2,1)-VLOOKUP($AO131,'Технический лист'!$I:$J,2,1)),1+(1-$AU131))</f>
        <v/>
      </c>
      <c r="CC131" s="172">
        <f>MIN(IF($AU131=100%,1,1+VLOOKUP(($AJ131-$AI131-$AH131-$AG131-$AF131-$AE131*(1+CC$3))/$AJ131,'Технический лист'!$I:$J,2,1)-VLOOKUP($AO131,'Технический лист'!$I:$J,2,1)),1+(1-$AU131))</f>
        <v/>
      </c>
      <c r="CD131" s="172">
        <f>MIN(IF($AU131=100%,1,1+VLOOKUP(($AJ131-$AI131-$AH131-$AG131-$AF131-$AE131*(1+CD$3))/$AJ131,'Технический лист'!$I:$J,2,1)-VLOOKUP($AO131,'Технический лист'!$I:$J,2,1)),1+(1-$AU131))</f>
        <v/>
      </c>
      <c r="CE131" s="172">
        <f>MIN(IF($AU131=100%,1,1+VLOOKUP(($AJ131-$AI131-$AH131-$AG131-$AF131-$AE131*(1+CE$3))/$AJ131,'Технический лист'!$I:$J,2,1)-VLOOKUP($AO131,'Технический лист'!$I:$J,2,1)),1+(1-$AU131))</f>
        <v/>
      </c>
      <c r="CF131" s="172">
        <f>MIN(IF($AU131=100%,1,1+VLOOKUP(($AJ131-$AI131-$AH131-$AG131-$AF131-$AE131*(1+CF$3))/$AJ131,'Технический лист'!$I:$J,2,1)-VLOOKUP($AO131,'Технический лист'!$I:$J,2,1)),1+(1-$AU131))</f>
        <v/>
      </c>
      <c r="CG131" s="172">
        <f>MIN(IF($AU131=100%,1,1+VLOOKUP(($AJ131-$AI131-$AH131-$AG131-$AF131-$AE131*(1+CG$3))/$AJ131,'Технический лист'!$I:$J,2,1)-VLOOKUP($AO131,'Технический лист'!$I:$J,2,1)),1+(1-$AU131))</f>
        <v/>
      </c>
      <c r="CH131" s="172">
        <f>MIN(IF($AU131=100%,1,1+VLOOKUP(($AJ131-$AI131-$AH131-$AG131-$AF131-$AE131*(1+CH$3))/$AJ131,'Технический лист'!$I:$J,2,1)-VLOOKUP($AO131,'Технический лист'!$I:$J,2,1)),1+(1-$AU131))</f>
        <v/>
      </c>
      <c r="CI131" s="172">
        <f>MIN(IF($AU131=100%,1,1+VLOOKUP(($AJ131-$AI131-$AH131-$AG131-$AF131-$AE131*(1+CI$3))/$AJ131,'Технический лист'!$I:$J,2,1)-VLOOKUP($AO131,'Технический лист'!$I:$J,2,1)),1+(1-$AU131))</f>
        <v/>
      </c>
      <c r="CJ131" s="172">
        <f>MIN(IF($AU131=100%,1,1+VLOOKUP(($AJ131-$AI131-$AH131-$AG131-$AF131-$AE131*(1+CJ$3))/$AJ131,'Технический лист'!$I:$J,2,1)-VLOOKUP($AO131,'Технический лист'!$I:$J,2,1)),1+(1-$AU131))</f>
        <v/>
      </c>
      <c r="CK131" s="172">
        <f>MIN(IF($AU131=100%,1,1+VLOOKUP(($AJ131-$AI131-$AH131-$AG131-$AF131-$AE131*(1+CK$3))/$AJ131,'Технический лист'!$I:$J,2,1)-VLOOKUP($AO131,'Технический лист'!$I:$J,2,1)),1+(1-$AU131))</f>
        <v/>
      </c>
      <c r="CL131" s="172">
        <f>MIN(IF($AU131=100%,1,1+VLOOKUP(($AJ131-$AI131-$AH131-$AG131-$AF131-$AE131*(1+CL$3))/$AJ131,'Технический лист'!$I:$J,2,1)-VLOOKUP($AO131,'Технический лист'!$I:$J,2,1)),1+(1-$AU131))</f>
        <v/>
      </c>
      <c r="CM131" s="172">
        <f>MIN(IF($AU131=100%,1,1+VLOOKUP(($AJ131-$AI131-$AH131-$AG131-$AF131-$AE131*(1+CM$3))/$AJ131,'Технический лист'!$I:$J,2,1)-VLOOKUP($AO131,'Технический лист'!$I:$J,2,1)),1+(1-$AU131))</f>
        <v/>
      </c>
      <c r="CN131" s="172">
        <f>MIN(IF($AU131=100%,1,1+VLOOKUP(($AJ131-$AI131-$AH131-$AG131-$AF131-$AE131*(1+CN$3))/$AJ131,'Технический лист'!$I:$J,2,1)-VLOOKUP($AO131,'Технический лист'!$I:$J,2,1)),1+(1-$AU131))</f>
        <v/>
      </c>
      <c r="CO131" s="172">
        <f>MIN(IF($AU131=100%,1,1+VLOOKUP(($AJ131-$AI131-$AH131-$AG131-$AF131-$AE131*(1+CO$3))/$AJ131,'Технический лист'!$I:$J,2,1)-VLOOKUP($AO131,'Технический лист'!$I:$J,2,1)),1+(1-$AU131))</f>
        <v/>
      </c>
      <c r="CP131" s="172">
        <f>MIN(IF($AU131=100%,1,1+VLOOKUP(($AJ131-$AI131-$AH131-$AG131-$AF131-$AE131*(1+CP$3))/$AJ131,'Технический лист'!$I:$J,2,1)-VLOOKUP($AO131,'Технический лист'!$I:$J,2,1)),1+(1-$AU131))</f>
        <v/>
      </c>
      <c r="CQ131" s="172">
        <f>MIN(IF($AU131=100%,1,1+VLOOKUP(($AJ131-$AI131-$AH131-$AG131-$AF131-$AE131*(1+CQ$3))/$AJ131,'Технический лист'!$I:$J,2,1)-VLOOKUP($AO131,'Технический лист'!$I:$J,2,1)),1+(1-$AU131))</f>
        <v/>
      </c>
      <c r="CR131" s="172">
        <f>MIN(IF($AU131=100%,1,1+VLOOKUP(($AJ131-$AI131-$AH131-$AG131-$AF131-$AE131*(1+CR$3))/$AJ131,'Технический лист'!$I:$J,2,1)-VLOOKUP($AO131,'Технический лист'!$I:$J,2,1)),1+(1-$AU131))</f>
        <v/>
      </c>
      <c r="CS131" s="172">
        <f>MIN(IF($AU131=100%,1,1+VLOOKUP(($AJ131-$AI131-$AH131-$AG131-$AF131-$AE131*(1+CS$3))/$AJ131,'Технический лист'!$I:$J,2,1)-VLOOKUP($AO131,'Технический лист'!$I:$J,2,1)),1+(1-$AU131))</f>
        <v/>
      </c>
      <c r="CT131" s="172">
        <f>MIN(IF($AU131=100%,1,1+VLOOKUP(($AJ131-$AI131-$AH131-$AG131-$AF131-$AE131*(1+CT$3))/$AJ131,'Технический лист'!$I:$J,2,1)-VLOOKUP($AO131,'Технический лист'!$I:$J,2,1)),1+(1-$AU131))</f>
        <v/>
      </c>
      <c r="CU131" s="172">
        <f>MIN(IF($AU131=100%,1,1+VLOOKUP(($AJ131-$AI131-$AH131-$AG131-$AF131-$AE131*(1+CU$3))/$AJ131,'Технический лист'!$I:$J,2,1)-VLOOKUP($AO131,'Технический лист'!$I:$J,2,1)),1+(1-$AU131))</f>
        <v/>
      </c>
      <c r="CV131" s="172">
        <f>MIN(IF($AU131=100%,1,1+VLOOKUP(($AJ131-$AI131-$AH131-$AG131-$AF131-$AE131*(1+CV$3))/$AJ131,'Технический лист'!$I:$J,2,1)-VLOOKUP($AO131,'Технический лист'!$I:$J,2,1)),1+(1-$AU131))</f>
        <v/>
      </c>
      <c r="CW131" s="172">
        <f>MIN(IF($AU131=100%,1,1+VLOOKUP(($AJ131-$AI131-$AH131-$AG131-$AF131-$AE131*(1+CW$3))/$AJ131,'Технический лист'!$I:$J,2,1)-VLOOKUP($AO131,'Технический лист'!$I:$J,2,1)),1+(1-$AU131))</f>
        <v/>
      </c>
      <c r="CX131" s="172">
        <f>MIN(IF($AU131=100%,1,1+VLOOKUP(($AJ131-$AI131-$AH131-$AG131-$AF131-$AE131*(1+CX$3))/$AJ131,'Технический лист'!$I:$J,2,1)-VLOOKUP($AO131,'Технический лист'!$I:$J,2,1)),1+(1-$AU131))</f>
        <v/>
      </c>
      <c r="CY131" s="172">
        <f>MIN(IF($AU131=100%,1,1+VLOOKUP(($AJ131-$AI131-$AH131-$AG131-$AF131-$AE131*(1+CY$3))/$AJ131,'Технический лист'!$I:$J,2,1)-VLOOKUP($AO131,'Технический лист'!$I:$J,2,1)),1+(1-$AU131))</f>
        <v/>
      </c>
      <c r="CZ131" s="172">
        <f>MIN(IF($AU131=100%,1,1+VLOOKUP(($AJ131-$AI131-$AH131-$AG131-$AF131-$AE131*(1+CZ$3))/$AJ131,'Технический лист'!$I:$J,2,1)-VLOOKUP($AO131,'Технический лист'!$I:$J,2,1)),1+(1-$AU131))</f>
        <v/>
      </c>
      <c r="DA131" s="172">
        <f>MIN(IF($AU131=100%,1,1+VLOOKUP(($AJ131-$AI131-$AH131-$AG131-$AF131-$AE131*(1+DA$3))/$AJ131,'Технический лист'!$I:$J,2,1)-VLOOKUP($AO131,'Технический лист'!$I:$J,2,1)),1+(1-$AU131))</f>
        <v/>
      </c>
      <c r="DB131" s="172">
        <f>MIN(IF($AU131=100%,1,1+VLOOKUP(($AJ131-$AI131-$AH131-$AG131-$AF131-$AE131*(1+DB$3))/$AJ131,'Технический лист'!$I:$J,2,1)-VLOOKUP($AO131,'Технический лист'!$I:$J,2,1)),1+(1-$AU131))</f>
        <v/>
      </c>
      <c r="DC131" s="172">
        <f>MIN(IF($AU131=100%,1,1+VLOOKUP(($AJ131-$AI131-$AH131-$AG131-$AF131-$AE131*(1+DC$3))/$AJ131,'Технический лист'!$I:$J,2,1)-VLOOKUP($AO131,'Технический лист'!$I:$J,2,1)),1+(1-$AU131))</f>
        <v/>
      </c>
      <c r="DD131" s="172">
        <f>MIN(IF($AU131=100%,1,1+VLOOKUP(($AJ131-$AI131-$AH131-$AG131-$AF131-$AE131*(1+DD$3))/$AJ131,'Технический лист'!$I:$J,2,1)-VLOOKUP($AO131,'Технический лист'!$I:$J,2,1)),1+(1-$AU131))</f>
        <v/>
      </c>
      <c r="DE131" s="172">
        <f>MIN(IF($AU131=100%,1,1+VLOOKUP(($AJ131-$AI131-$AH131-$AG131-$AF131-$AE131*(1+DE$3))/$AJ131,'Технический лист'!$I:$J,2,1)-VLOOKUP($AO131,'Технический лист'!$I:$J,2,1)),1+(1-$AU131))</f>
        <v/>
      </c>
      <c r="DF131" s="172">
        <f>MIN(IF($AU131=100%,1,1+VLOOKUP(($AJ131-$AI131-$AH131-$AG131-$AF131-$AE131*(1+DF$3))/$AJ131,'Технический лист'!$I:$J,2,1)-VLOOKUP($AO131,'Технический лист'!$I:$J,2,1)),1+(1-$AU131))</f>
        <v/>
      </c>
      <c r="DG131" s="172">
        <f>MIN(IF($AU131=100%,1,1+VLOOKUP(($AJ131-$AI131-$AH131-$AG131-$AF131-$AE131*(1+DG$3))/$AJ131,'Технический лист'!$I:$J,2,1)-VLOOKUP($AO131,'Технический лист'!$I:$J,2,1)),1+(1-$AU131))</f>
        <v/>
      </c>
      <c r="DH131" s="172">
        <f>MIN(IF($AU131=100%,1,1+VLOOKUP(($AJ131-$AI131-$AH131-$AG131-$AF131-$AE131*(1+DH$3))/$AJ131,'Технический лист'!$I:$J,2,1)-VLOOKUP($AO131,'Технический лист'!$I:$J,2,1)),1+(1-$AU131))</f>
        <v/>
      </c>
      <c r="DI131" s="172">
        <f>MIN(IF($AU131=100%,1,1+VLOOKUP(($AJ131-$AI131-$AH131-$AG131-$AF131-$AE131*(1+DI$3))/$AJ131,'Технический лист'!$I:$J,2,1)-VLOOKUP($AO131,'Технический лист'!$I:$J,2,1)),1+(1-$AU131))</f>
        <v/>
      </c>
      <c r="DJ131" s="172">
        <f>MIN(IF($AU131=100%,1,1+VLOOKUP(($AJ131-$AI131-$AH131-$AG131-$AF131-$AE131*(1+DJ$3))/$AJ131,'Технический лист'!$I:$J,2,1)-VLOOKUP($AO131,'Технический лист'!$I:$J,2,1)),1+(1-$AU131))</f>
        <v/>
      </c>
      <c r="DK131" s="172">
        <f>MIN(IF($AU131=100%,1,1+VLOOKUP(($AJ131-$AI131-$AH131-$AG131-$AF131-$AE131*(1+DK$3))/$AJ131,'Технический лист'!$I:$J,2,1)-VLOOKUP($AO131,'Технический лист'!$I:$J,2,1)),1+(1-$AU131))</f>
        <v/>
      </c>
      <c r="DL131" s="172">
        <f>MIN(IF($AU131=100%,1,1+VLOOKUP(($AJ131-$AI131-$AH131-$AG131-$AF131-$AE131*(1+DL$3))/$AJ131,'Технический лист'!$I:$J,2,1)-VLOOKUP($AO131,'Технический лист'!$I:$J,2,1)),1+(1-$AU131))</f>
        <v/>
      </c>
      <c r="DM131" s="172">
        <f>MIN(IF($AU131=100%,1,1+VLOOKUP(($AJ131-$AI131-$AH131-$AG131-$AF131-$AE131*(1+DM$3))/$AJ131,'Технический лист'!$I:$J,2,1)-VLOOKUP($AO131,'Технический лист'!$I:$J,2,1)),1+(1-$AU131))</f>
        <v/>
      </c>
      <c r="DN131" s="172">
        <f>MIN(IF($AU131=100%,1,1+VLOOKUP(($AJ131-$AI131-$AH131-$AG131-$AF131-$AE131*(1+DN$3))/$AJ131,'Технический лист'!$I:$J,2,1)-VLOOKUP($AO131,'Технический лист'!$I:$J,2,1)),1+(1-$AU131))</f>
        <v/>
      </c>
      <c r="DO131" s="172">
        <f>MIN(IF($AU131=100%,1,1+VLOOKUP(($AJ131-$AI131-$AH131-$AG131-$AF131-$AE131*(1+DO$3))/$AJ131,'Технический лист'!$I:$J,2,1)-VLOOKUP($AO131,'Технический лист'!$I:$J,2,1)),1+(1-$AU131))</f>
        <v/>
      </c>
      <c r="DP131" s="172">
        <f>MIN(IF($AU131=100%,1,1+VLOOKUP(($AJ131-$AI131-$AH131-$AG131-$AF131-$AE131*(1+DP$3))/$AJ131,'Технический лист'!$I:$J,2,1)-VLOOKUP($AO131,'Технический лист'!$I:$J,2,1)),1+(1-$AU131))</f>
        <v/>
      </c>
      <c r="DQ131" s="172">
        <f>MIN(IF($AU131=100%,1,1+VLOOKUP(($AJ131-$AI131-$AH131-$AG131-$AF131-$AE131*(1+DQ$3))/$AJ131,'Технический лист'!$I:$J,2,1)-VLOOKUP($AO131,'Технический лист'!$I:$J,2,1)),1+(1-$AU131))</f>
        <v/>
      </c>
      <c r="DR131" s="172">
        <f>MIN(IF($AU131=100%,1,1+VLOOKUP(($AJ131-$AI131-$AH131-$AG131-$AF131-$AE131*(1+DR$3))/$AJ131,'Технический лист'!$I:$J,2,1)-VLOOKUP($AO131,'Технический лист'!$I:$J,2,1)),1+(1-$AU131))</f>
        <v/>
      </c>
      <c r="DS131" s="172">
        <f>MIN(IF($AU131=100%,1,1+VLOOKUP(($AJ131-$AI131-$AH131-$AG131-$AF131-$AE131*(1+DS$3))/$AJ131,'Технический лист'!$I:$J,2,1)-VLOOKUP($AO131,'Технический лист'!$I:$J,2,1)),1+(1-$AU131))</f>
        <v/>
      </c>
      <c r="DT131" s="172">
        <f>MIN(IF($AU131=100%,1,1+VLOOKUP(($AJ131-$AI131-$AH131-$AG131-$AF131-$AE131*(1+DT$3))/$AJ131,'Технический лист'!$I:$J,2,1)-VLOOKUP($AO131,'Технический лист'!$I:$J,2,1)),1+(1-$AU131))</f>
        <v/>
      </c>
      <c r="DU131" s="172">
        <f>MIN(IF($AU131=100%,1,1+VLOOKUP(($AJ131-$AI131-$AH131-$AG131-$AF131-$AE131*(1+DU$3))/$AJ131,'Технический лист'!$I:$J,2,1)-VLOOKUP($AO131,'Технический лист'!$I:$J,2,1)),1+(1-$AU131))</f>
        <v/>
      </c>
      <c r="DV131" s="172">
        <f>MIN(IF($AU131=100%,1,1+VLOOKUP(($AJ131-$AI131-$AH131-$AG131-$AF131-$AE131*(1+DV$3))/$AJ131,'Технический лист'!$I:$J,2,1)-VLOOKUP($AO131,'Технический лист'!$I:$J,2,1)),1+(1-$AU131))</f>
        <v/>
      </c>
      <c r="DW131" s="172">
        <f>MIN(IF($AU131=100%,1,1+VLOOKUP(($AJ131-$AI131-$AH131-$AG131-$AF131-$AE131*(1+DW$3))/$AJ131,'Технический лист'!$I:$J,2,1)-VLOOKUP($AO131,'Технический лист'!$I:$J,2,1)),1+(1-$AU131))</f>
        <v/>
      </c>
      <c r="DX131" s="172">
        <f>MIN(IF($AU131=100%,1,1+VLOOKUP(($AJ131-$AI131-$AH131-$AG131-$AF131-$AE131*(1+DX$3))/$AJ131,'Технический лист'!$I:$J,2,1)-VLOOKUP($AO131,'Технический лист'!$I:$J,2,1)),1+(1-$AU131))</f>
        <v/>
      </c>
      <c r="DY131" s="172">
        <f>MIN(IF($AU131=100%,1,1+VLOOKUP(($AJ131-$AI131-$AH131-$AG131-$AF131-$AE131*(1+DY$3))/$AJ131,'Технический лист'!$I:$J,2,1)-VLOOKUP($AO131,'Технический лист'!$I:$J,2,1)),1+(1-$AU131))</f>
        <v/>
      </c>
      <c r="DZ131" s="172">
        <f>MIN(IF($AU131=100%,1,1+VLOOKUP(($AJ131-$AI131-$AH131-$AG131-$AF131-$AE131*(1+DZ$3))/$AJ131,'Технический лист'!$I:$J,2,1)-VLOOKUP($AO131,'Технический лист'!$I:$J,2,1)),1+(1-$AU131))</f>
        <v/>
      </c>
      <c r="EA131" s="172">
        <f>MIN(IF($AU131=100%,1,1+VLOOKUP(($AJ131-$AI131-$AH131-$AG131-$AF131-$AE131*(1+EA$3))/$AJ131,'Технический лист'!$I:$J,2,1)-VLOOKUP($AO131,'Технический лист'!$I:$J,2,1)),1+(1-$AU131))</f>
        <v/>
      </c>
      <c r="EB131" s="172">
        <f>MIN(IF($AU131=100%,1,1+VLOOKUP(($AJ131-$AI131-$AH131-$AG131-$AF131-$AE131*(1+EB$3))/$AJ131,'Технический лист'!$I:$J,2,1)-VLOOKUP($AO131,'Технический лист'!$I:$J,2,1)),1+(1-$AU131))</f>
        <v/>
      </c>
      <c r="EC131" s="172">
        <f>MIN(IF($AU131=100%,1,1+VLOOKUP(($AJ131-$AI131-$AH131-$AG131-$AF131-$AE131*(1+EC$3))/$AJ131,'Технический лист'!$I:$J,2,1)-VLOOKUP($AO131,'Технический лист'!$I:$J,2,1)),1+(1-$AU131))</f>
        <v/>
      </c>
      <c r="ED131" s="172">
        <f>MIN(IF($AU131=100%,1,1+VLOOKUP(($AJ131-$AI131-$AH131-$AG131-$AF131-$AE131*(1+ED$3))/$AJ131,'Технический лист'!$I:$J,2,1)-VLOOKUP($AO131,'Технический лист'!$I:$J,2,1)),1+(1-$AU131))</f>
        <v/>
      </c>
      <c r="EE131" s="172">
        <f>MIN(IF($AU131=100%,1,1+VLOOKUP(($AJ131-$AI131-$AH131-$AG131-$AF131-$AE131*(1+EE$3))/$AJ131,'Технический лист'!$I:$J,2,1)-VLOOKUP($AO131,'Технический лист'!$I:$J,2,1)),1+(1-$AU131))</f>
        <v/>
      </c>
      <c r="EF131" s="172">
        <f>MIN(IF($AU131=100%,1,1+VLOOKUP(($AJ131-$AI131-$AH131-$AG131-$AF131-$AE131*(1+EF$3))/$AJ131,'Технический лист'!$I:$J,2,1)-VLOOKUP($AO131,'Технический лист'!$I:$J,2,1)),1+(1-$AU131))</f>
        <v/>
      </c>
      <c r="EG131" s="172">
        <f>MIN(IF($AU131=100%,1,1+VLOOKUP(($AJ131-$AI131-$AH131-$AG131-$AF131-$AE131*(1+EG$3))/$AJ131,'Технический лист'!$I:$J,2,1)-VLOOKUP($AO131,'Технический лист'!$I:$J,2,1)),1+(1-$AU131))</f>
        <v/>
      </c>
      <c r="EH131" s="172">
        <f>MIN(IF($AU131=100%,1,1+VLOOKUP(($AJ131-$AI131-$AH131-$AG131-$AF131-$AE131*(1+EH$3))/$AJ131,'Технический лист'!$I:$J,2,1)-VLOOKUP($AO131,'Технический лист'!$I:$J,2,1)),1+(1-$AU131))</f>
        <v/>
      </c>
      <c r="EI131" s="172">
        <f>MIN(IF($AU131=100%,1,1+VLOOKUP(($AJ131-$AI131-$AH131-$AG131-$AF131-$AE131*(1+EI$3))/$AJ131,'Технический лист'!$I:$J,2,1)-VLOOKUP($AO131,'Технический лист'!$I:$J,2,1)),1+(1-$AU131))</f>
        <v/>
      </c>
      <c r="EJ131" s="172">
        <f>MIN(IF($AU131=100%,1,1+VLOOKUP(($AJ131-$AI131-$AH131-$AG131-$AF131-$AE131*(1+EJ$3))/$AJ131,'Технический лист'!$I:$J,2,1)-VLOOKUP($AO131,'Технический лист'!$I:$J,2,1)),1+(1-$AU131))</f>
        <v/>
      </c>
      <c r="EK131" s="172">
        <f>MIN(IF($AU131=100%,1,1+VLOOKUP(($AJ131-$AI131-$AH131-$AG131-$AF131-$AE131*(1+EK$3))/$AJ131,'Технический лист'!$I:$J,2,1)-VLOOKUP($AO131,'Технический лист'!$I:$J,2,1)),1+(1-$AU131))</f>
        <v/>
      </c>
      <c r="EL131" s="172">
        <f>MIN(IF($AU131=100%,1,1+VLOOKUP(($AJ131-$AI131-$AH131-$AG131-$AF131-$AE131*(1+EL$3))/$AJ131,'Технический лист'!$I:$J,2,1)-VLOOKUP($AO131,'Технический лист'!$I:$J,2,1)),1+(1-$AU131))</f>
        <v/>
      </c>
      <c r="EM131" s="172">
        <f>MIN(IF($AU131=100%,1,1+VLOOKUP(($AJ131-$AI131-$AH131-$AG131-$AF131-$AE131*(1+EM$3))/$AJ131,'Технический лист'!$I:$J,2,1)-VLOOKUP($AO131,'Технический лист'!$I:$J,2,1)),1+(1-$AU131))</f>
        <v/>
      </c>
      <c r="EN131" s="172">
        <f>MIN(IF($AU131=100%,1,1+VLOOKUP(($AJ131-$AI131-$AH131-$AG131-$AF131-$AE131*(1+EN$3))/$AJ131,'Технический лист'!$I:$J,2,1)-VLOOKUP($AO131,'Технический лист'!$I:$J,2,1)),1+(1-$AU131))</f>
        <v/>
      </c>
      <c r="EO131" s="172">
        <f>MIN(IF($AU131=100%,1,1+VLOOKUP(($AJ131-$AI131-$AH131-$AG131-$AF131-$AE131*(1+EO$3))/$AJ131,'Технический лист'!$I:$J,2,1)-VLOOKUP($AO131,'Технический лист'!$I:$J,2,1)),1+(1-$AU131))</f>
        <v/>
      </c>
      <c r="EP131" s="172">
        <f>MIN(IF($AU131=100%,1,1+VLOOKUP(($AJ131-$AI131-$AH131-$AG131-$AF131-$AE131*(1+EP$3))/$AJ131,'Технический лист'!$I:$J,2,1)-VLOOKUP($AO131,'Технический лист'!$I:$J,2,1)),1+(1-$AU131))</f>
        <v/>
      </c>
      <c r="EQ131" s="172">
        <f>MIN(IF($AU131=100%,1,1+VLOOKUP(($AJ131-$AI131-$AH131-$AG131-$AF131-$AE131*(1+EQ$3))/$AJ131,'Технический лист'!$I:$J,2,1)-VLOOKUP($AO131,'Технический лист'!$I:$J,2,1)),1+(1-$AU131))</f>
        <v/>
      </c>
      <c r="ER131" s="172">
        <f>MIN(IF($AU131=100%,1,1+VLOOKUP(($AJ131-$AI131-$AH131-$AG131-$AF131-$AE131*(1+ER$3))/$AJ131,'Технический лист'!$I:$J,2,1)-VLOOKUP($AO131,'Технический лист'!$I:$J,2,1)),1+(1-$AU131))</f>
        <v/>
      </c>
      <c r="ES131" s="172">
        <f>MIN(IF($AU131=100%,1,1+VLOOKUP(($AJ131-$AI131-$AH131-$AG131-$AF131-$AE131*(1+ES$3))/$AJ131,'Технический лист'!$I:$J,2,1)-VLOOKUP($AO131,'Технический лист'!$I:$J,2,1)),1+(1-$AU131))</f>
        <v/>
      </c>
      <c r="ET131" s="172">
        <f>MIN(IF($AU131=100%,1,1+VLOOKUP(($AJ131-$AI131-$AH131-$AG131-$AF131-$AE131*(1+ET$3))/$AJ131,'Технический лист'!$I:$J,2,1)-VLOOKUP($AO131,'Технический лист'!$I:$J,2,1)),1+(1-$AU131))</f>
        <v/>
      </c>
      <c r="EU131" s="172">
        <f>MIN(IF($AU131=100%,1,1+VLOOKUP(($AJ131-$AI131-$AH131-$AG131-$AF131-$AE131*(1+EU$3))/$AJ131,'Технический лист'!$I:$J,2,1)-VLOOKUP($AO131,'Технический лист'!$I:$J,2,1)),1+(1-$AU131))</f>
        <v/>
      </c>
      <c r="EV131" s="173" t="n">
        <v>1</v>
      </c>
      <c r="EW131" s="172">
        <f>MIN(1,MAX(VLOOKUP(($AJ131-$AI131-$AH131-$AG131-$AF131-$AE131*(1+EW$3))/$AJ131,'Технический лист'!$A:$B,2,1),(EV131-0.05)))</f>
        <v/>
      </c>
      <c r="EX131" s="172">
        <f>MIN(1,MAX(VLOOKUP(($AJ131-$AI131-$AH131-$AG131-$AF131-$AE131*(1+EX$3))/$AJ131,'Технический лист'!$A:$B,2,1),(EW131-0.05)))</f>
        <v/>
      </c>
      <c r="EY131" s="172">
        <f>MIN(1,MAX(VLOOKUP(($AJ131-$AI131-$AH131-$AG131-$AF131-$AE131*(1+EY$3))/$AJ131,'Технический лист'!$A:$B,2,1),(EX131-0.05)))</f>
        <v/>
      </c>
      <c r="EZ131" s="172">
        <f>MIN(1,MAX(VLOOKUP(($AJ131-$AI131-$AH131-$AG131-$AF131-$AE131*(1+EZ$3))/$AJ131,'Технический лист'!$A:$B,2,1),(EY131-0.05)))</f>
        <v/>
      </c>
      <c r="FA131" s="172">
        <f>MIN(1,MAX(VLOOKUP(($AJ131-$AI131-$AH131-$AG131-$AF131-$AE131*(1+FA$3))/$AJ131,'Технический лист'!$A:$B,2,1),(EZ131-0.05)))</f>
        <v/>
      </c>
      <c r="FB131" s="172">
        <f>MIN(1,MAX(VLOOKUP(($AJ131-$AI131-$AH131-$AG131-$AF131-$AE131*(1+FB$3))/$AJ131,'Технический лист'!$A:$B,2,1),(FA131-0.05)))</f>
        <v/>
      </c>
      <c r="FC131" s="172">
        <f>MIN(1,MAX(VLOOKUP(($AJ131-$AI131-$AH131-$AG131-$AF131-$AE131*(1+FC$3))/$AJ131,'Технический лист'!$A:$B,2,1),(FB131-0.05)))</f>
        <v/>
      </c>
      <c r="FD131" s="172">
        <f>MIN(1,MAX(VLOOKUP(($AJ131-$AI131-$AH131-$AG131-$AF131-$AE131*(1+FD$3))/$AJ131,'Технический лист'!$A:$B,2,1),(FC131-0.05)))</f>
        <v/>
      </c>
      <c r="FE131" s="172">
        <f>MIN(1,MAX(VLOOKUP(($AJ131-$AI131-$AH131-$AG131-$AF131-$AE131*(1+FE$3))/$AJ131,'Технический лист'!$A:$B,2,1),(FD131-0.05)))</f>
        <v/>
      </c>
      <c r="FF131" s="172">
        <f>MIN(1,MAX(VLOOKUP(($AJ131-$AI131-$AH131-$AG131-$AF131-$AE131*(1+FF$3))/$AJ131,'Технический лист'!$A:$B,2,1),(FE131-0.05)))</f>
        <v/>
      </c>
      <c r="FG131" s="172">
        <f>MIN(1,MAX(VLOOKUP(($AJ131-$AI131-$AH131-$AG131-$AF131-$AE131*(1+FG$3))/$AJ131,'Технический лист'!$A:$B,2,1),(FF131-0.05)))</f>
        <v/>
      </c>
      <c r="FH131" s="172">
        <f>MIN(1,MAX(VLOOKUP(($AJ131-$AI131-$AH131-$AG131-$AF131-$AE131*(1+FH$3))/$AJ131,'Технический лист'!$A:$B,2,1),(FG131-0.05)))</f>
        <v/>
      </c>
      <c r="FI131" s="172">
        <f>MIN(1,MAX(VLOOKUP(($AJ131-$AI131-$AH131-$AG131-$AF131-$AE131*(1+FI$3))/$AJ131,'Технический лист'!$A:$B,2,1),(FH131-0.05)))</f>
        <v/>
      </c>
      <c r="FJ131" s="172">
        <f>MIN(1,MAX(VLOOKUP(($AJ131-$AI131-$AH131-$AG131-$AF131-$AE131*(1+FJ$3))/$AJ131,'Технический лист'!$A:$B,2,1),(FI131-0.05)))</f>
        <v/>
      </c>
      <c r="FK131" s="172">
        <f>MIN(1,MAX(VLOOKUP(($AJ131-$AI131-$AH131-$AG131-$AF131-$AE131*(1+FK$3))/$AJ131,'Технический лист'!$A:$B,2,1),(FJ131-0.05)))</f>
        <v/>
      </c>
      <c r="FL131" s="172">
        <f>MIN(1,MAX(VLOOKUP(($AJ131-$AI131-$AH131-$AG131-$AF131-$AE131*(1+FL$3))/$AJ131,'Технический лист'!$A:$B,2,1),(FK131-0.05)))</f>
        <v/>
      </c>
      <c r="FM131" s="172">
        <f>MIN(1,MAX(VLOOKUP(($AJ131-$AI131-$AH131-$AG131-$AF131-$AE131*(1+FM$3))/$AJ131,'Технический лист'!$A:$B,2,1),(FL131-0.05)))</f>
        <v/>
      </c>
      <c r="FN131" s="172">
        <f>MIN(1,MAX(VLOOKUP(($AJ131-$AI131-$AH131-$AG131-$AF131-$AE131*(1+FN$3))/$AJ131,'Технический лист'!$A:$B,2,1),(FM131-0.05)))</f>
        <v/>
      </c>
      <c r="FO131" s="172">
        <f>MIN(1,MAX(VLOOKUP(($AJ131-$AI131-$AH131-$AG131-$AF131-$AE131*(1+FO$3))/$AJ131,'Технический лист'!$A:$B,2,1),(FN131-0.05)))</f>
        <v/>
      </c>
      <c r="FP131" s="172">
        <f>MIN(1,MAX(VLOOKUP(($AJ131-$AI131-$AH131-$AG131-$AF131-$AE131*(1+FP$3))/$AJ131,'Технический лист'!$A:$B,2,1),(FO131-0.05)))</f>
        <v/>
      </c>
      <c r="FQ131" s="172">
        <f>MIN(1,MAX(VLOOKUP(($AJ131-$AI131-$AH131-$AG131-$AF131-$AE131*(1+FQ$3))/$AJ131,'Технический лист'!$A:$B,2,1),(FP131-0.05)))</f>
        <v/>
      </c>
      <c r="FR131" s="172">
        <f>MIN(1,MAX(VLOOKUP(($AJ131-$AI131-$AH131-$AG131-$AF131-$AE131*(1+FR$3))/$AJ131,'Технический лист'!$A:$B,2,1),(FQ131-0.05)))</f>
        <v/>
      </c>
      <c r="FS131" s="172">
        <f>MIN(1,MAX(VLOOKUP(($AJ131-$AI131-$AH131-$AG131-$AF131-$AE131*(1+FS$3))/$AJ131,'Технический лист'!$A:$B,2,1),(FR131-0.05)))</f>
        <v/>
      </c>
      <c r="FT131" s="172">
        <f>MIN(1,MAX(VLOOKUP(($AJ131-$AI131-$AH131-$AG131-$AF131-$AE131*(1+FT$3))/$AJ131,'Технический лист'!$A:$B,2,1),(FS131-0.05)))</f>
        <v/>
      </c>
      <c r="FU131" s="172">
        <f>MIN(1,MAX(VLOOKUP(($AJ131-$AI131-$AH131-$AG131-$AF131-$AE131*(1+FU$3))/$AJ131,'Технический лист'!$A:$B,2,1),(FT131-0.05)))</f>
        <v/>
      </c>
      <c r="FV131" s="172">
        <f>MIN(1,MAX(VLOOKUP(($AJ131-$AI131-$AH131-$AG131-$AF131-$AE131*(1+FV$3))/$AJ131,'Технический лист'!$A:$B,2,1),(FU131-0.05)))</f>
        <v/>
      </c>
      <c r="FW131" s="172">
        <f>MIN(1,MAX(VLOOKUP(($AJ131-$AI131-$AH131-$AG131-$AF131-$AE131*(1+FW$3))/$AJ131,'Технический лист'!$A:$B,2,1),(FV131-0.05)))</f>
        <v/>
      </c>
      <c r="FX131" s="172">
        <f>MIN(1,MAX(VLOOKUP(($AJ131-$AI131-$AH131-$AG131-$AF131-$AE131*(1+FX$3))/$AJ131,'Технический лист'!$A:$B,2,1),(FW131-0.05)))</f>
        <v/>
      </c>
      <c r="FY131" s="172">
        <f>MIN(1,MAX(VLOOKUP(($AJ131-$AI131-$AH131-$AG131-$AF131-$AE131*(1+FY$3))/$AJ131,'Технический лист'!$A:$B,2,1),(FX131-0.05)))</f>
        <v/>
      </c>
      <c r="FZ131" s="172">
        <f>MIN(1,MAX(VLOOKUP(($AJ131-$AI131-$AH131-$AG131-$AF131-$AE131*(1+FZ$3))/$AJ131,'Технический лист'!$A:$B,2,1),(FY131-0.05)))</f>
        <v/>
      </c>
      <c r="GA131" s="172">
        <f>MIN(1,MAX(VLOOKUP(($AJ131-$AI131-$AH131-$AG131-$AF131-$AE131*(1+GA$3))/$AJ131,'Технический лист'!$A:$B,2,1),(FZ131-0.05)))</f>
        <v/>
      </c>
      <c r="GB131" s="172">
        <f>MIN(1,MAX(VLOOKUP(($AJ131-$AI131-$AH131-$AG131-$AF131-$AE131*(1+GB$3))/$AJ131,'Технический лист'!$A:$B,2,1),(GA131-0.05)))</f>
        <v/>
      </c>
      <c r="GC131" s="172">
        <f>MIN(1,MAX(VLOOKUP(($AJ131-$AI131-$AH131-$AG131-$AF131-$AE131*(1+GC$3))/$AJ131,'Технический лист'!$A:$B,2,1),(GB131-0.05)))</f>
        <v/>
      </c>
      <c r="GD131" s="172">
        <f>MIN(1,MAX(VLOOKUP(($AJ131-$AI131-$AH131-$AG131-$AF131-$AE131*(1+GD$3))/$AJ131,'Технический лист'!$A:$B,2,1),(GC131-0.05)))</f>
        <v/>
      </c>
      <c r="GE131" s="172">
        <f>MIN(1,MAX(VLOOKUP(($AJ131-$AI131-$AH131-$AG131-$AF131-$AE131*(1+GE$3))/$AJ131,'Технический лист'!$A:$B,2,1),(GD131-0.05)))</f>
        <v/>
      </c>
      <c r="GF131" s="172">
        <f>MIN(1,MAX(VLOOKUP(($AJ131-$AI131-$AH131-$AG131-$AF131-$AE131*(1+GF$3))/$AJ131,'Технический лист'!$A:$B,2,1),(GE131-0.05)))</f>
        <v/>
      </c>
      <c r="GG131" s="172">
        <f>MIN(1,MAX(VLOOKUP(($AJ131-$AI131-$AH131-$AG131-$AF131-$AE131*(1+GG$3))/$AJ131,'Технический лист'!$A:$B,2,1),(GF131-0.05)))</f>
        <v/>
      </c>
      <c r="GH131" s="172">
        <f>MIN(1,MAX(VLOOKUP(($AJ131-$AI131-$AH131-$AG131-$AF131-$AE131*(1+GH$3))/$AJ131,'Технический лист'!$A:$B,2,1),(GG131-0.05)))</f>
        <v/>
      </c>
      <c r="GI131" s="172">
        <f>MIN(1,MAX(VLOOKUP(($AJ131-$AI131-$AH131-$AG131-$AF131-$AE131*(1+GI$3))/$AJ131,'Технический лист'!$A:$B,2,1),(GH131-0.05)))</f>
        <v/>
      </c>
      <c r="GJ131" s="172">
        <f>MIN(1,MAX(VLOOKUP(($AJ131-$AI131-$AH131-$AG131-$AF131-$AE131*(1+GJ$3))/$AJ131,'Технический лист'!$A:$B,2,1),(GI131-0.05)))</f>
        <v/>
      </c>
      <c r="GK131" s="172">
        <f>MIN(1,MAX(VLOOKUP(($AJ131-$AI131-$AH131-$AG131-$AF131-$AE131*(1+GK$3))/$AJ131,'Технический лист'!$A:$B,2,1),(GJ131-0.05)))</f>
        <v/>
      </c>
      <c r="GL131" s="172">
        <f>MIN(1,MAX(VLOOKUP(($AJ131-$AI131-$AH131-$AG131-$AF131-$AE131*(1+GL$3))/$AJ131,'Технический лист'!$A:$B,2,1),(GK131-0.05)))</f>
        <v/>
      </c>
      <c r="GM131" s="172">
        <f>MIN(1,MAX(VLOOKUP(($AJ131-$AI131-$AH131-$AG131-$AF131-$AE131*(1+GM$3))/$AJ131,'Технический лист'!$A:$B,2,1),(GL131-0.05)))</f>
        <v/>
      </c>
      <c r="GN131" s="172">
        <f>MIN(1,MAX(VLOOKUP(($AJ131-$AI131-$AH131-$AG131-$AF131-$AE131*(1+GN$3))/$AJ131,'Технический лист'!$A:$B,2,1),(GM131-0.05)))</f>
        <v/>
      </c>
      <c r="GO131" s="172">
        <f>MIN(1,MAX(VLOOKUP(($AJ131-$AI131-$AH131-$AG131-$AF131-$AE131*(1+GO$3))/$AJ131,'Технический лист'!$A:$B,2,1),(GN131-0.05)))</f>
        <v/>
      </c>
      <c r="GP131" s="172">
        <f>MIN(1,MAX(VLOOKUP(($AJ131-$AI131-$AH131-$AG131-$AF131-$AE131*(1+GP$3))/$AJ131,'Технический лист'!$A:$B,2,1),(GO131-0.05)))</f>
        <v/>
      </c>
      <c r="GQ131" s="172">
        <f>MIN(1,MAX(VLOOKUP(($AJ131-$AI131-$AH131-$AG131-$AF131-$AE131*(1+GQ$3))/$AJ131,'Технический лист'!$A:$B,2,1),(GP131-0.05)))</f>
        <v/>
      </c>
      <c r="GR131" s="172">
        <f>MIN(1,MAX(VLOOKUP(($AJ131-$AI131-$AH131-$AG131-$AF131-$AE131*(1+GR$3))/$AJ131,'Технический лист'!$A:$B,2,1),(GQ131-0.05)))</f>
        <v/>
      </c>
      <c r="GS131" s="172">
        <f>MIN(1,MAX(VLOOKUP(($AJ131-$AI131-$AH131-$AG131-$AF131-$AE131*(1+GS$3))/$AJ131,'Технический лист'!$A:$B,2,1),(GR131-0.05)))</f>
        <v/>
      </c>
      <c r="GT131" s="172">
        <f>MIN(1,MAX(VLOOKUP(($AJ131-$AI131-$AH131-$AG131-$AF131-$AE131*(1+GT$3))/$AJ131,'Технический лист'!$A:$B,2,1),(GS131-0.05)))</f>
        <v/>
      </c>
      <c r="GU131" s="172">
        <f>MIN(1,MAX(VLOOKUP(($AJ131-$AI131-$AH131-$AG131-$AF131-$AE131*(1+GU$3))/$AJ131,'Технический лист'!$A:$B,2,1),(GT131-0.05)))</f>
        <v/>
      </c>
      <c r="GV131" s="172">
        <f>MIN(1,MAX(VLOOKUP(($AJ131-$AI131-$AH131-$AG131-$AF131-$AE131*(1+GV$3))/$AJ131,'Технический лист'!$A:$B,2,1),(GU131-0.05)))</f>
        <v/>
      </c>
      <c r="GW131" s="172">
        <f>MIN(1,MAX(VLOOKUP(($AJ131-$AI131-$AH131-$AG131-$AF131-$AE131*(1+GW$3))/$AJ131,'Технический лист'!$A:$B,2,1),(GV131-0.05)))</f>
        <v/>
      </c>
      <c r="GX131" s="172">
        <f>MIN(1,MAX(VLOOKUP(($AJ131-$AI131-$AH131-$AG131-$AF131-$AE131*(1+GX$3))/$AJ131,'Технический лист'!$A:$B,2,1),(GW131-0.05)))</f>
        <v/>
      </c>
      <c r="GY131" s="172">
        <f>MIN(1,MAX(VLOOKUP(($AJ131-$AI131-$AH131-$AG131-$AF131-$AE131*(1+GY$3))/$AJ131,'Технический лист'!$A:$B,2,1),(GX131-0.05)))</f>
        <v/>
      </c>
      <c r="GZ131" s="172">
        <f>MIN(1,MAX(VLOOKUP(($AJ131-$AI131-$AH131-$AG131-$AF131-$AE131*(1+GZ$3))/$AJ131,'Технический лист'!$A:$B,2,1),(GY131-0.05)))</f>
        <v/>
      </c>
      <c r="HA131" s="172">
        <f>MIN(1,MAX(VLOOKUP(($AJ131-$AI131-$AH131-$AG131-$AF131-$AE131*(1+HA$3))/$AJ131,'Технический лист'!$A:$B,2,1),(GZ131-0.05)))</f>
        <v/>
      </c>
      <c r="HB131" s="172">
        <f>MIN(1,MAX(VLOOKUP(($AJ131-$AI131-$AH131-$AG131-$AF131-$AE131*(1+HB$3))/$AJ131,'Технический лист'!$A:$B,2,1),(HA131-0.05)))</f>
        <v/>
      </c>
      <c r="HC131" s="172">
        <f>MIN(1,MAX(VLOOKUP(($AJ131-$AI131-$AH131-$AG131-$AF131-$AE131*(1+HC$3))/$AJ131,'Технический лист'!$A:$B,2,1),(HB131-0.05)))</f>
        <v/>
      </c>
      <c r="HD131" s="172">
        <f>MIN(1,MAX(VLOOKUP(($AJ131-$AI131-$AH131-$AG131-$AF131-$AE131*(1+HD$3))/$AJ131,'Технический лист'!$A:$B,2,1),(HC131-0.05)))</f>
        <v/>
      </c>
      <c r="HE131" s="172">
        <f>MIN(1,MAX(VLOOKUP(($AJ131-$AI131-$AH131-$AG131-$AF131-$AE131*(1+HE$3))/$AJ131,'Технический лист'!$A:$B,2,1),(HD131-0.05)))</f>
        <v/>
      </c>
      <c r="HF131" s="172">
        <f>MIN(1,MAX(VLOOKUP(($AJ131-$AI131-$AH131-$AG131-$AF131-$AE131*(1+HF$3))/$AJ131,'Технический лист'!$A:$B,2,1),(HE131-0.05)))</f>
        <v/>
      </c>
      <c r="HG131" s="172">
        <f>MIN(1,MAX(VLOOKUP(($AJ131-$AI131-$AH131-$AG131-$AF131-$AE131*(1+HG$3))/$AJ131,'Технический лист'!$A:$B,2,1),(HF131-0.05)))</f>
        <v/>
      </c>
      <c r="HH131" s="172">
        <f>MIN(1,MAX(VLOOKUP(($AJ131-$AI131-$AH131-$AG131-$AF131-$AE131*(1+HH$3))/$AJ131,'Технический лист'!$A:$B,2,1),(HG131-0.05)))</f>
        <v/>
      </c>
      <c r="HI131" s="172">
        <f>MIN(1,MAX(VLOOKUP(($AJ131-$AI131-$AH131-$AG131-$AF131-$AE131*(1+HI$3))/$AJ131,'Технический лист'!$A:$B,2,1),(HH131-0.05)))</f>
        <v/>
      </c>
      <c r="HJ131" s="172">
        <f>MIN(1,MAX(VLOOKUP(($AJ131-$AI131-$AH131-$AG131-$AF131-$AE131*(1+HJ$3))/$AJ131,'Технический лист'!$A:$B,2,1),(HI131-0.05)))</f>
        <v/>
      </c>
      <c r="HK131" s="172">
        <f>MIN(1,MAX(VLOOKUP(($AJ131-$AI131-$AH131-$AG131-$AF131-$AE131*(1+HK$3))/$AJ131,'Технический лист'!$A:$B,2,1),(HJ131-0.05)))</f>
        <v/>
      </c>
      <c r="HL131" s="172">
        <f>MIN(1,MAX(VLOOKUP(($AJ131-$AI131-$AH131-$AG131-$AF131-$AE131*(1+HL$3))/$AJ131,'Технический лист'!$A:$B,2,1),(HK131-0.05)))</f>
        <v/>
      </c>
      <c r="HM131" s="172">
        <f>MIN(1,MAX(VLOOKUP(($AJ131-$AI131-$AH131-$AG131-$AF131-$AE131*(1+HM$3))/$AJ131,'Технический лист'!$A:$B,2,1),(HL131-0.05)))</f>
        <v/>
      </c>
      <c r="HN131" s="172">
        <f>MIN(1,MAX(VLOOKUP(($AJ131-$AI131-$AH131-$AG131-$AF131-$AE131*(1+HN$3))/$AJ131,'Технический лист'!$A:$B,2,1),(HM131-0.05)))</f>
        <v/>
      </c>
      <c r="HO131" s="172">
        <f>MIN(1,MAX(VLOOKUP(($AJ131-$AI131-$AH131-$AG131-$AF131-$AE131*(1+HO$3))/$AJ131,'Технический лист'!$A:$B,2,1),(HN131-0.05)))</f>
        <v/>
      </c>
      <c r="HP131" s="172">
        <f>MIN(1,MAX(VLOOKUP(($AJ131-$AI131-$AH131-$AG131-$AF131-$AE131*(1+HP$3))/$AJ131,'Технический лист'!$A:$B,2,1),(HO131-0.05)))</f>
        <v/>
      </c>
      <c r="HQ131" s="172">
        <f>MIN(1,MAX(VLOOKUP(($AJ131-$AI131-$AH131-$AG131-$AF131-$AE131*(1+HQ$3))/$AJ131,'Технический лист'!$A:$B,2,1),(HP131-0.05)))</f>
        <v/>
      </c>
      <c r="HR131" s="172">
        <f>MIN(1,MAX(VLOOKUP(($AJ131-$AI131-$AH131-$AG131-$AF131-$AE131*(1+HR$3))/$AJ131,'Технический лист'!$A:$B,2,1),(HQ131-0.05)))</f>
        <v/>
      </c>
      <c r="HS131" s="172">
        <f>MIN(1,MAX(VLOOKUP(($AJ131-$AI131-$AH131-$AG131-$AF131-$AE131*(1+HS$3))/$AJ131,'Технический лист'!$A:$B,2,1),(HR131-0.05)))</f>
        <v/>
      </c>
      <c r="HT131" s="172">
        <f>MIN(1,MAX(VLOOKUP(($AJ131-$AI131-$AH131-$AG131-$AF131-$AE131*(1+HT$3))/$AJ131,'Технический лист'!$A:$B,2,1),(HS131-0.05)))</f>
        <v/>
      </c>
      <c r="HU131" s="172">
        <f>MIN(1,MAX(VLOOKUP(($AJ131-$AI131-$AH131-$AG131-$AF131-$AE131*(1+HU$3))/$AJ131,'Технический лист'!$A:$B,2,1),(HT131-0.05)))</f>
        <v/>
      </c>
      <c r="HV131" s="172">
        <f>MIN(1,MAX(VLOOKUP(($AJ131-$AI131-$AH131-$AG131-$AF131-$AE131*(1+HV$3))/$AJ131,'Технический лист'!$A:$B,2,1),(HU131-0.05)))</f>
        <v/>
      </c>
      <c r="HW131" s="172">
        <f>MIN(1,MAX(VLOOKUP(($AJ131-$AI131-$AH131-$AG131-$AF131-$AE131*(1+HW$3))/$AJ131,'Технический лист'!$A:$B,2,1),(HV131-0.05)))</f>
        <v/>
      </c>
      <c r="HX131" s="172">
        <f>MIN(1,MAX(VLOOKUP(($AJ131-$AI131-$AH131-$AG131-$AF131-$AE131*(1+HX$3))/$AJ131,'Технический лист'!$A:$B,2,1),(HW131-0.05)))</f>
        <v/>
      </c>
      <c r="HY131" s="172">
        <f>MIN(1,MAX(VLOOKUP(($AJ131-$AI131-$AH131-$AG131-$AF131-$AE131*(1+HY$3))/$AJ131,'Технический лист'!$A:$B,2,1),(HX131-0.05)))</f>
        <v/>
      </c>
      <c r="HZ131" s="172">
        <f>MIN(1,MAX(VLOOKUP(($AJ131-$AI131-$AH131-$AG131-$AF131-$AE131*(1+HZ$3))/$AJ131,'Технический лист'!$A:$B,2,1),(HY131-0.05)))</f>
        <v/>
      </c>
      <c r="IA131" s="172">
        <f>MIN(1,MAX(VLOOKUP(($AJ131-$AI131-$AH131-$AG131-$AF131-$AE131*(1+IA$3))/$AJ131,'Технический лист'!$A:$B,2,1),(HZ131-0.05)))</f>
        <v/>
      </c>
      <c r="IB131" s="172">
        <f>MIN(1,MAX(VLOOKUP(($AJ131-$AI131-$AH131-$AG131-$AF131-$AE131*(1+IB$3))/$AJ131,'Технический лист'!$A:$B,2,1),(IA131-0.05)))</f>
        <v/>
      </c>
      <c r="IC131" s="172">
        <f>MIN(1,MAX(VLOOKUP(($AJ131-$AI131-$AH131-$AG131-$AF131-$AE131*(1+IC$3))/$AJ131,'Технический лист'!$A:$B,2,1),(IB131-0.05)))</f>
        <v/>
      </c>
      <c r="ID131" s="172">
        <f>MIN(1,MAX(VLOOKUP(($AJ131-$AI131-$AH131-$AG131-$AF131-$AE131*(1+ID$3))/$AJ131,'Технический лист'!$A:$B,2,1),(IC131-0.05)))</f>
        <v/>
      </c>
      <c r="IE131" s="172">
        <f>MIN(1,MAX(VLOOKUP(($AJ131-$AI131-$AH131-$AG131-$AF131-$AE131*(1+IE$3))/$AJ131,'Технический лист'!$A:$B,2,1),(ID131-0.05)))</f>
        <v/>
      </c>
      <c r="IF131" s="172">
        <f>MIN(1,MAX(VLOOKUP(($AJ131-$AI131-$AH131-$AG131-$AF131-$AE131*(1+IF$3))/$AJ131,'Технический лист'!$A:$B,2,1),(IE131-0.05)))</f>
        <v/>
      </c>
      <c r="IG131" s="172">
        <f>MIN(1,MAX(VLOOKUP(($AJ131-$AI131-$AH131-$AG131-$AF131-$AE131*(1+IG$3))/$AJ131,'Технический лист'!$A:$B,2,1),(IF131-0.05)))</f>
        <v/>
      </c>
      <c r="IH131" s="172">
        <f>MIN(1,MAX(VLOOKUP(($AJ131-$AI131-$AH131-$AG131-$AF131-$AE131*(1+IH$3))/$AJ131,'Технический лист'!$A:$B,2,1),(IG131-0.05)))</f>
        <v/>
      </c>
      <c r="II131" s="172">
        <f>MIN(1,MAX(VLOOKUP(($AJ131-$AI131-$AH131-$AG131-$AF131-$AE131*(1+II$3))/$AJ131,'Технический лист'!$A:$B,2,1),(IH131-0.05)))</f>
        <v/>
      </c>
      <c r="IJ131" s="172">
        <f>MIN(1,MAX(VLOOKUP(($AJ131-$AI131-$AH131-$AG131-$AF131-$AE131*(1+IJ$3))/$AJ131,'Технический лист'!$A:$B,2,1),(II131-0.05)))</f>
        <v/>
      </c>
      <c r="IK131" s="172">
        <f>MIN(1,MAX(VLOOKUP(($AJ131-$AI131-$AH131-$AG131-$AF131-$AE131*(1+IK$3))/$AJ131,'Технический лист'!$A:$B,2,1),(IJ131-0.05)))</f>
        <v/>
      </c>
      <c r="IL131" s="172">
        <f>MIN(1,MAX(VLOOKUP(($AJ131-$AI131-$AH131-$AG131-$AF131-$AE131*(1+IL$3))/$AJ131,'Технический лист'!$A:$B,2,1),(IK131-0.05)))</f>
        <v/>
      </c>
      <c r="IM131" s="172">
        <f>MIN(1,MAX(VLOOKUP(($AJ131-$AI131-$AH131-$AG131-$AF131-$AE131*(1+IM$3))/$AJ131,'Технический лист'!$A:$B,2,1),(IL131-0.05)))</f>
        <v/>
      </c>
      <c r="IN131" s="172">
        <f>MIN(1,MAX(VLOOKUP(($AJ131-$AI131-$AH131-$AG131-$AF131-$AE131*(1+IN$3))/$AJ131,'Технический лист'!$A:$B,2,1),(IM131-0.05)))</f>
        <v/>
      </c>
      <c r="IO131" s="172">
        <f>MIN(1,MAX(VLOOKUP(($AJ131-$AI131-$AH131-$AG131-$AF131-$AE131*(1+IO$3))/$AJ131,'Технический лист'!$A:$B,2,1),(IN131-0.05)))</f>
        <v/>
      </c>
      <c r="IP131" s="172">
        <f>MIN(1,MAX(VLOOKUP(($AJ131-$AI131-$AH131-$AG131-$AF131-$AE131*(1+IP$3))/$AJ131,'Технический лист'!$A:$B,2,1),(IO131-0.05)))</f>
        <v/>
      </c>
      <c r="IQ131" s="172">
        <f>MIN(1,MAX(VLOOKUP(($AJ131-$AI131-$AH131-$AG131-$AF131-$AE131*(1+IQ$3))/$AJ131,'Технический лист'!$A:$B,2,1),(IP131-0.05)))</f>
        <v/>
      </c>
      <c r="IR131" s="172">
        <f>MIN(1,MAX(VLOOKUP(($AJ131-$AI131-$AH131-$AG131-$AF131-$AE131*(1+IR$3))/$AJ131,'Технический лист'!$A:$B,2,1),(IQ131-0.05)))</f>
        <v/>
      </c>
    </row>
    <row r="132" ht="29.15" customHeight="1" s="123">
      <c r="A132" s="89" t="inlineStr">
        <is>
          <t>ЦМ (продукция)</t>
        </is>
      </c>
      <c r="B132" s="90" t="n">
        <v>10</v>
      </c>
      <c r="C132" s="5" t="inlineStr">
        <is>
          <t>Остальные грузы</t>
        </is>
      </c>
      <c r="D132" s="91" t="n">
        <v>33201</v>
      </c>
      <c r="E132" s="91" t="inlineStr">
        <is>
          <t xml:space="preserve">Катанка алюминиевая, латунная, медная </t>
        </is>
      </c>
      <c r="F132" s="92" t="inlineStr">
        <is>
          <t>ПРОКАТ ЦВЕТНЫХ МЕТАЛЛОВ</t>
        </is>
      </c>
      <c r="G132" s="91" t="inlineStr">
        <is>
          <t>ЮУР</t>
        </is>
      </c>
      <c r="H132" s="91" t="inlineStr">
        <is>
          <t>ЮУР</t>
        </is>
      </c>
      <c r="I132" s="91" t="inlineStr">
        <is>
          <t>КЫШТЫМ</t>
        </is>
      </c>
      <c r="J132" s="91" t="inlineStr">
        <is>
          <t>КАРТ1-ЭК-РОС</t>
        </is>
      </c>
      <c r="K132" s="91" t="n">
        <v>388</v>
      </c>
      <c r="L132" s="77" t="inlineStr">
        <is>
          <t>Платформы</t>
        </is>
      </c>
      <c r="M132" s="91" t="inlineStr">
        <is>
          <t>Экспорт</t>
        </is>
      </c>
      <c r="N132" s="91" t="inlineStr">
        <is>
          <t>контейнерная</t>
        </is>
      </c>
      <c r="O132" s="91" t="inlineStr">
        <is>
          <t xml:space="preserve">Южное </t>
        </is>
      </c>
      <c r="P132" s="89" t="inlineStr">
        <is>
          <t>'000005774969</t>
        </is>
      </c>
      <c r="Q132" s="91" t="inlineStr">
        <is>
          <t>'ЗАО "Кыштымский медеэлектролитный завод"</t>
        </is>
      </c>
      <c r="R132" s="91" t="inlineStr">
        <is>
          <t>АО "Русская медная компания"</t>
        </is>
      </c>
      <c r="S132" s="87" t="n">
        <v>33314</v>
      </c>
      <c r="T132" s="87" t="n">
        <v>12925751</v>
      </c>
      <c r="U132" s="88" t="n">
        <v>0</v>
      </c>
      <c r="V132" s="88" t="n">
        <v>1116</v>
      </c>
      <c r="W132" s="87" t="n">
        <v>12778882</v>
      </c>
      <c r="X132" s="112" t="n">
        <v>60</v>
      </c>
      <c r="Y132" s="112" t="inlineStr">
        <is>
          <t>контейнерная</t>
        </is>
      </c>
      <c r="Z132" s="113" t="n">
        <v>4</v>
      </c>
      <c r="AA132" s="113" t="n">
        <v>0</v>
      </c>
      <c r="AB132" s="113" t="n">
        <v>4</v>
      </c>
      <c r="AC132" s="161">
        <f>41398/X132</f>
        <v/>
      </c>
      <c r="AD132" s="161" t="n">
        <v>0</v>
      </c>
      <c r="AE132" s="161">
        <f>AC132</f>
        <v/>
      </c>
      <c r="AF132" s="162">
        <f>(AB132+AA132+Z132)*'Ставки аренды'!$B$6/X132</f>
        <v/>
      </c>
      <c r="AG132" s="164" t="n">
        <v>0</v>
      </c>
      <c r="AH132" s="164" t="n">
        <v>0</v>
      </c>
      <c r="AI132" s="165">
        <f>AJ132*0.35</f>
        <v/>
      </c>
      <c r="AJ132" s="166">
        <f>Цены!D38</f>
        <v/>
      </c>
      <c r="AK132" s="164">
        <f>AJ132/Цены!$B$1</f>
        <v/>
      </c>
      <c r="AL132" s="164">
        <f>AE132+AF132+AG132</f>
        <v/>
      </c>
      <c r="AM132" s="164">
        <f>AJ132-AL132</f>
        <v/>
      </c>
      <c r="AN132" s="164">
        <f>AI132+AH132+AG132+AF132+AE132</f>
        <v/>
      </c>
      <c r="AO132" s="167">
        <f>(AJ132-AN132)/AJ132</f>
        <v/>
      </c>
      <c r="AP132" s="168">
        <f>AL132/AJ132</f>
        <v/>
      </c>
      <c r="AQ132" s="168">
        <f>AE132/AJ132</f>
        <v/>
      </c>
      <c r="AR132" s="168">
        <f>AE132/AL132</f>
        <v/>
      </c>
      <c r="AS132" s="169" t="n">
        <v>1</v>
      </c>
      <c r="AT132" s="121">
        <f>S132*AS132</f>
        <v/>
      </c>
      <c r="AU132" s="83" t="n">
        <v>1</v>
      </c>
      <c r="AV132" s="170">
        <f>(AJ132-(AE132*(1+$IS$2)+AF132+AG132+AH132+AI132))/AJ132</f>
        <v/>
      </c>
      <c r="AW132" s="171">
        <f>(AE132*(1+$IS$2)+AF132+AG132)/AJ132</f>
        <v/>
      </c>
      <c r="AX132" s="171">
        <f>(AE132*(1+$IS$2))/AJ132</f>
        <v/>
      </c>
      <c r="AY132" s="171">
        <f>(AE132*(1+$IS$2))/(AE132*(1+$IS$2)+AF132+AG132)</f>
        <v/>
      </c>
      <c r="AZ132" s="172">
        <f>MIN(IF($AU132=100%,1,1+VLOOKUP(($AJ132-$AI132-$AH132-$AG132-$AF132-$AE132*(1+AZ$3))/$AJ132,'Технический лист'!$I:$J,2,1)-VLOOKUP($AO132,'Технический лист'!$I:$J,2,1)),1+(1-$AU132))</f>
        <v/>
      </c>
      <c r="BA132" s="172">
        <f>MIN(IF($AU132=100%,1,1+VLOOKUP(($AJ132-$AI132-$AH132-$AG132-$AF132-$AE132*(1+BA$3))/$AJ132,'Технический лист'!$I:$J,2,1)-VLOOKUP($AO132,'Технический лист'!$I:$J,2,1)),1+(1-$AU132))</f>
        <v/>
      </c>
      <c r="BB132" s="172">
        <f>MIN(IF($AU132=100%,1,1+VLOOKUP(($AJ132-$AI132-$AH132-$AG132-$AF132-$AE132*(1+BB$3))/$AJ132,'Технический лист'!$I:$J,2,1)-VLOOKUP($AO132,'Технический лист'!$I:$J,2,1)),1+(1-$AU132))</f>
        <v/>
      </c>
      <c r="BC132" s="172">
        <f>MIN(IF($AU132=100%,1,1+VLOOKUP(($AJ132-$AI132-$AH132-$AG132-$AF132-$AE132*(1+BC$3))/$AJ132,'Технический лист'!$I:$J,2,1)-VLOOKUP($AO132,'Технический лист'!$I:$J,2,1)),1+(1-$AU132))</f>
        <v/>
      </c>
      <c r="BD132" s="172">
        <f>MIN(IF($AU132=100%,1,1+VLOOKUP(($AJ132-$AI132-$AH132-$AG132-$AF132-$AE132*(1+BD$3))/$AJ132,'Технический лист'!$I:$J,2,1)-VLOOKUP($AO132,'Технический лист'!$I:$J,2,1)),1+(1-$AU132))</f>
        <v/>
      </c>
      <c r="BE132" s="172">
        <f>MIN(IF($AU132=100%,1,1+VLOOKUP(($AJ132-$AI132-$AH132-$AG132-$AF132-$AE132*(1+BE$3))/$AJ132,'Технический лист'!$I:$J,2,1)-VLOOKUP($AO132,'Технический лист'!$I:$J,2,1)),1+(1-$AU132))</f>
        <v/>
      </c>
      <c r="BF132" s="172">
        <f>MIN(IF($AU132=100%,1,1+VLOOKUP(($AJ132-$AI132-$AH132-$AG132-$AF132-$AE132*(1+BF$3))/$AJ132,'Технический лист'!$I:$J,2,1)-VLOOKUP($AO132,'Технический лист'!$I:$J,2,1)),1+(1-$AU132))</f>
        <v/>
      </c>
      <c r="BG132" s="172">
        <f>MIN(IF($AU132=100%,1,1+VLOOKUP(($AJ132-$AI132-$AH132-$AG132-$AF132-$AE132*(1+BG$3))/$AJ132,'Технический лист'!$I:$J,2,1)-VLOOKUP($AO132,'Технический лист'!$I:$J,2,1)),1+(1-$AU132))</f>
        <v/>
      </c>
      <c r="BH132" s="172">
        <f>MIN(IF($AU132=100%,1,1+VLOOKUP(($AJ132-$AI132-$AH132-$AG132-$AF132-$AE132*(1+BH$3))/$AJ132,'Технический лист'!$I:$J,2,1)-VLOOKUP($AO132,'Технический лист'!$I:$J,2,1)),1+(1-$AU132))</f>
        <v/>
      </c>
      <c r="BI132" s="172">
        <f>MIN(IF($AU132=100%,1,1+VLOOKUP(($AJ132-$AI132-$AH132-$AG132-$AF132-$AE132*(1+BI$3))/$AJ132,'Технический лист'!$I:$J,2,1)-VLOOKUP($AO132,'Технический лист'!$I:$J,2,1)),1+(1-$AU132))</f>
        <v/>
      </c>
      <c r="BJ132" s="172">
        <f>MIN(IF($AU132=100%,1,1+VLOOKUP(($AJ132-$AI132-$AH132-$AG132-$AF132-$AE132*(1+BJ$3))/$AJ132,'Технический лист'!$I:$J,2,1)-VLOOKUP($AO132,'Технический лист'!$I:$J,2,1)),1+(1-$AU132))</f>
        <v/>
      </c>
      <c r="BK132" s="172">
        <f>MIN(IF($AU132=100%,1,1+VLOOKUP(($AJ132-$AI132-$AH132-$AG132-$AF132-$AE132*(1+BK$3))/$AJ132,'Технический лист'!$I:$J,2,1)-VLOOKUP($AO132,'Технический лист'!$I:$J,2,1)),1+(1-$AU132))</f>
        <v/>
      </c>
      <c r="BL132" s="172">
        <f>MIN(IF($AU132=100%,1,1+VLOOKUP(($AJ132-$AI132-$AH132-$AG132-$AF132-$AE132*(1+BL$3))/$AJ132,'Технический лист'!$I:$J,2,1)-VLOOKUP($AO132,'Технический лист'!$I:$J,2,1)),1+(1-$AU132))</f>
        <v/>
      </c>
      <c r="BM132" s="172">
        <f>MIN(IF($AU132=100%,1,1+VLOOKUP(($AJ132-$AI132-$AH132-$AG132-$AF132-$AE132*(1+BM$3))/$AJ132,'Технический лист'!$I:$J,2,1)-VLOOKUP($AO132,'Технический лист'!$I:$J,2,1)),1+(1-$AU132))</f>
        <v/>
      </c>
      <c r="BN132" s="172">
        <f>MIN(IF($AU132=100%,1,1+VLOOKUP(($AJ132-$AI132-$AH132-$AG132-$AF132-$AE132*(1+BN$3))/$AJ132,'Технический лист'!$I:$J,2,1)-VLOOKUP($AO132,'Технический лист'!$I:$J,2,1)),1+(1-$AU132))</f>
        <v/>
      </c>
      <c r="BO132" s="172">
        <f>MIN(IF($AU132=100%,1,1+VLOOKUP(($AJ132-$AI132-$AH132-$AG132-$AF132-$AE132*(1+BO$3))/$AJ132,'Технический лист'!$I:$J,2,1)-VLOOKUP($AO132,'Технический лист'!$I:$J,2,1)),1+(1-$AU132))</f>
        <v/>
      </c>
      <c r="BP132" s="172">
        <f>MIN(IF($AU132=100%,1,1+VLOOKUP(($AJ132-$AI132-$AH132-$AG132-$AF132-$AE132*(1+BP$3))/$AJ132,'Технический лист'!$I:$J,2,1)-VLOOKUP($AO132,'Технический лист'!$I:$J,2,1)),1+(1-$AU132))</f>
        <v/>
      </c>
      <c r="BQ132" s="172">
        <f>MIN(IF($AU132=100%,1,1+VLOOKUP(($AJ132-$AI132-$AH132-$AG132-$AF132-$AE132*(1+BQ$3))/$AJ132,'Технический лист'!$I:$J,2,1)-VLOOKUP($AO132,'Технический лист'!$I:$J,2,1)),1+(1-$AU132))</f>
        <v/>
      </c>
      <c r="BR132" s="172">
        <f>MIN(IF($AU132=100%,1,1+VLOOKUP(($AJ132-$AI132-$AH132-$AG132-$AF132-$AE132*(1+BR$3))/$AJ132,'Технический лист'!$I:$J,2,1)-VLOOKUP($AO132,'Технический лист'!$I:$J,2,1)),1+(1-$AU132))</f>
        <v/>
      </c>
      <c r="BS132" s="172">
        <f>MIN(IF($AU132=100%,1,1+VLOOKUP(($AJ132-$AI132-$AH132-$AG132-$AF132-$AE132*(1+BS$3))/$AJ132,'Технический лист'!$I:$J,2,1)-VLOOKUP($AO132,'Технический лист'!$I:$J,2,1)),1+(1-$AU132))</f>
        <v/>
      </c>
      <c r="BT132" s="172">
        <f>MIN(IF($AU132=100%,1,1+VLOOKUP(($AJ132-$AI132-$AH132-$AG132-$AF132-$AE132*(1+BT$3))/$AJ132,'Технический лист'!$I:$J,2,1)-VLOOKUP($AO132,'Технический лист'!$I:$J,2,1)),1+(1-$AU132))</f>
        <v/>
      </c>
      <c r="BU132" s="172">
        <f>MIN(IF($AU132=100%,1,1+VLOOKUP(($AJ132-$AI132-$AH132-$AG132-$AF132-$AE132*(1+BU$3))/$AJ132,'Технический лист'!$I:$J,2,1)-VLOOKUP($AO132,'Технический лист'!$I:$J,2,1)),1+(1-$AU132))</f>
        <v/>
      </c>
      <c r="BV132" s="172">
        <f>MIN(IF($AU132=100%,1,1+VLOOKUP(($AJ132-$AI132-$AH132-$AG132-$AF132-$AE132*(1+BV$3))/$AJ132,'Технический лист'!$I:$J,2,1)-VLOOKUP($AO132,'Технический лист'!$I:$J,2,1)),1+(1-$AU132))</f>
        <v/>
      </c>
      <c r="BW132" s="172">
        <f>MIN(IF($AU132=100%,1,1+VLOOKUP(($AJ132-$AI132-$AH132-$AG132-$AF132-$AE132*(1+BW$3))/$AJ132,'Технический лист'!$I:$J,2,1)-VLOOKUP($AO132,'Технический лист'!$I:$J,2,1)),1+(1-$AU132))</f>
        <v/>
      </c>
      <c r="BX132" s="172">
        <f>MIN(IF($AU132=100%,1,1+VLOOKUP(($AJ132-$AI132-$AH132-$AG132-$AF132-$AE132*(1+BX$3))/$AJ132,'Технический лист'!$I:$J,2,1)-VLOOKUP($AO132,'Технический лист'!$I:$J,2,1)),1+(1-$AU132))</f>
        <v/>
      </c>
      <c r="BY132" s="172">
        <f>MIN(IF($AU132=100%,1,1+VLOOKUP(($AJ132-$AI132-$AH132-$AG132-$AF132-$AE132*(1+BY$3))/$AJ132,'Технический лист'!$I:$J,2,1)-VLOOKUP($AO132,'Технический лист'!$I:$J,2,1)),1+(1-$AU132))</f>
        <v/>
      </c>
      <c r="BZ132" s="172">
        <f>MIN(IF($AU132=100%,1,1+VLOOKUP(($AJ132-$AI132-$AH132-$AG132-$AF132-$AE132*(1+BZ$3))/$AJ132,'Технический лист'!$I:$J,2,1)-VLOOKUP($AO132,'Технический лист'!$I:$J,2,1)),1+(1-$AU132))</f>
        <v/>
      </c>
      <c r="CA132" s="172">
        <f>MIN(IF($AU132=100%,1,1+VLOOKUP(($AJ132-$AI132-$AH132-$AG132-$AF132-$AE132*(1+CA$3))/$AJ132,'Технический лист'!$I:$J,2,1)-VLOOKUP($AO132,'Технический лист'!$I:$J,2,1)),1+(1-$AU132))</f>
        <v/>
      </c>
      <c r="CB132" s="172">
        <f>MIN(IF($AU132=100%,1,1+VLOOKUP(($AJ132-$AI132-$AH132-$AG132-$AF132-$AE132*(1+CB$3))/$AJ132,'Технический лист'!$I:$J,2,1)-VLOOKUP($AO132,'Технический лист'!$I:$J,2,1)),1+(1-$AU132))</f>
        <v/>
      </c>
      <c r="CC132" s="172">
        <f>MIN(IF($AU132=100%,1,1+VLOOKUP(($AJ132-$AI132-$AH132-$AG132-$AF132-$AE132*(1+CC$3))/$AJ132,'Технический лист'!$I:$J,2,1)-VLOOKUP($AO132,'Технический лист'!$I:$J,2,1)),1+(1-$AU132))</f>
        <v/>
      </c>
      <c r="CD132" s="172">
        <f>MIN(IF($AU132=100%,1,1+VLOOKUP(($AJ132-$AI132-$AH132-$AG132-$AF132-$AE132*(1+CD$3))/$AJ132,'Технический лист'!$I:$J,2,1)-VLOOKUP($AO132,'Технический лист'!$I:$J,2,1)),1+(1-$AU132))</f>
        <v/>
      </c>
      <c r="CE132" s="172">
        <f>MIN(IF($AU132=100%,1,1+VLOOKUP(($AJ132-$AI132-$AH132-$AG132-$AF132-$AE132*(1+CE$3))/$AJ132,'Технический лист'!$I:$J,2,1)-VLOOKUP($AO132,'Технический лист'!$I:$J,2,1)),1+(1-$AU132))</f>
        <v/>
      </c>
      <c r="CF132" s="172">
        <f>MIN(IF($AU132=100%,1,1+VLOOKUP(($AJ132-$AI132-$AH132-$AG132-$AF132-$AE132*(1+CF$3))/$AJ132,'Технический лист'!$I:$J,2,1)-VLOOKUP($AO132,'Технический лист'!$I:$J,2,1)),1+(1-$AU132))</f>
        <v/>
      </c>
      <c r="CG132" s="172">
        <f>MIN(IF($AU132=100%,1,1+VLOOKUP(($AJ132-$AI132-$AH132-$AG132-$AF132-$AE132*(1+CG$3))/$AJ132,'Технический лист'!$I:$J,2,1)-VLOOKUP($AO132,'Технический лист'!$I:$J,2,1)),1+(1-$AU132))</f>
        <v/>
      </c>
      <c r="CH132" s="172">
        <f>MIN(IF($AU132=100%,1,1+VLOOKUP(($AJ132-$AI132-$AH132-$AG132-$AF132-$AE132*(1+CH$3))/$AJ132,'Технический лист'!$I:$J,2,1)-VLOOKUP($AO132,'Технический лист'!$I:$J,2,1)),1+(1-$AU132))</f>
        <v/>
      </c>
      <c r="CI132" s="172">
        <f>MIN(IF($AU132=100%,1,1+VLOOKUP(($AJ132-$AI132-$AH132-$AG132-$AF132-$AE132*(1+CI$3))/$AJ132,'Технический лист'!$I:$J,2,1)-VLOOKUP($AO132,'Технический лист'!$I:$J,2,1)),1+(1-$AU132))</f>
        <v/>
      </c>
      <c r="CJ132" s="172">
        <f>MIN(IF($AU132=100%,1,1+VLOOKUP(($AJ132-$AI132-$AH132-$AG132-$AF132-$AE132*(1+CJ$3))/$AJ132,'Технический лист'!$I:$J,2,1)-VLOOKUP($AO132,'Технический лист'!$I:$J,2,1)),1+(1-$AU132))</f>
        <v/>
      </c>
      <c r="CK132" s="172">
        <f>MIN(IF($AU132=100%,1,1+VLOOKUP(($AJ132-$AI132-$AH132-$AG132-$AF132-$AE132*(1+CK$3))/$AJ132,'Технический лист'!$I:$J,2,1)-VLOOKUP($AO132,'Технический лист'!$I:$J,2,1)),1+(1-$AU132))</f>
        <v/>
      </c>
      <c r="CL132" s="172">
        <f>MIN(IF($AU132=100%,1,1+VLOOKUP(($AJ132-$AI132-$AH132-$AG132-$AF132-$AE132*(1+CL$3))/$AJ132,'Технический лист'!$I:$J,2,1)-VLOOKUP($AO132,'Технический лист'!$I:$J,2,1)),1+(1-$AU132))</f>
        <v/>
      </c>
      <c r="CM132" s="172">
        <f>MIN(IF($AU132=100%,1,1+VLOOKUP(($AJ132-$AI132-$AH132-$AG132-$AF132-$AE132*(1+CM$3))/$AJ132,'Технический лист'!$I:$J,2,1)-VLOOKUP($AO132,'Технический лист'!$I:$J,2,1)),1+(1-$AU132))</f>
        <v/>
      </c>
      <c r="CN132" s="172">
        <f>MIN(IF($AU132=100%,1,1+VLOOKUP(($AJ132-$AI132-$AH132-$AG132-$AF132-$AE132*(1+CN$3))/$AJ132,'Технический лист'!$I:$J,2,1)-VLOOKUP($AO132,'Технический лист'!$I:$J,2,1)),1+(1-$AU132))</f>
        <v/>
      </c>
      <c r="CO132" s="172">
        <f>MIN(IF($AU132=100%,1,1+VLOOKUP(($AJ132-$AI132-$AH132-$AG132-$AF132-$AE132*(1+CO$3))/$AJ132,'Технический лист'!$I:$J,2,1)-VLOOKUP($AO132,'Технический лист'!$I:$J,2,1)),1+(1-$AU132))</f>
        <v/>
      </c>
      <c r="CP132" s="172">
        <f>MIN(IF($AU132=100%,1,1+VLOOKUP(($AJ132-$AI132-$AH132-$AG132-$AF132-$AE132*(1+CP$3))/$AJ132,'Технический лист'!$I:$J,2,1)-VLOOKUP($AO132,'Технический лист'!$I:$J,2,1)),1+(1-$AU132))</f>
        <v/>
      </c>
      <c r="CQ132" s="172">
        <f>MIN(IF($AU132=100%,1,1+VLOOKUP(($AJ132-$AI132-$AH132-$AG132-$AF132-$AE132*(1+CQ$3))/$AJ132,'Технический лист'!$I:$J,2,1)-VLOOKUP($AO132,'Технический лист'!$I:$J,2,1)),1+(1-$AU132))</f>
        <v/>
      </c>
      <c r="CR132" s="172">
        <f>MIN(IF($AU132=100%,1,1+VLOOKUP(($AJ132-$AI132-$AH132-$AG132-$AF132-$AE132*(1+CR$3))/$AJ132,'Технический лист'!$I:$J,2,1)-VLOOKUP($AO132,'Технический лист'!$I:$J,2,1)),1+(1-$AU132))</f>
        <v/>
      </c>
      <c r="CS132" s="172">
        <f>MIN(IF($AU132=100%,1,1+VLOOKUP(($AJ132-$AI132-$AH132-$AG132-$AF132-$AE132*(1+CS$3))/$AJ132,'Технический лист'!$I:$J,2,1)-VLOOKUP($AO132,'Технический лист'!$I:$J,2,1)),1+(1-$AU132))</f>
        <v/>
      </c>
      <c r="CT132" s="172">
        <f>MIN(IF($AU132=100%,1,1+VLOOKUP(($AJ132-$AI132-$AH132-$AG132-$AF132-$AE132*(1+CT$3))/$AJ132,'Технический лист'!$I:$J,2,1)-VLOOKUP($AO132,'Технический лист'!$I:$J,2,1)),1+(1-$AU132))</f>
        <v/>
      </c>
      <c r="CU132" s="172">
        <f>MIN(IF($AU132=100%,1,1+VLOOKUP(($AJ132-$AI132-$AH132-$AG132-$AF132-$AE132*(1+CU$3))/$AJ132,'Технический лист'!$I:$J,2,1)-VLOOKUP($AO132,'Технический лист'!$I:$J,2,1)),1+(1-$AU132))</f>
        <v/>
      </c>
      <c r="CV132" s="172">
        <f>MIN(IF($AU132=100%,1,1+VLOOKUP(($AJ132-$AI132-$AH132-$AG132-$AF132-$AE132*(1+CV$3))/$AJ132,'Технический лист'!$I:$J,2,1)-VLOOKUP($AO132,'Технический лист'!$I:$J,2,1)),1+(1-$AU132))</f>
        <v/>
      </c>
      <c r="CW132" s="172">
        <f>MIN(IF($AU132=100%,1,1+VLOOKUP(($AJ132-$AI132-$AH132-$AG132-$AF132-$AE132*(1+CW$3))/$AJ132,'Технический лист'!$I:$J,2,1)-VLOOKUP($AO132,'Технический лист'!$I:$J,2,1)),1+(1-$AU132))</f>
        <v/>
      </c>
      <c r="CX132" s="172">
        <f>MIN(IF($AU132=100%,1,1+VLOOKUP(($AJ132-$AI132-$AH132-$AG132-$AF132-$AE132*(1+CX$3))/$AJ132,'Технический лист'!$I:$J,2,1)-VLOOKUP($AO132,'Технический лист'!$I:$J,2,1)),1+(1-$AU132))</f>
        <v/>
      </c>
      <c r="CY132" s="172">
        <f>MIN(IF($AU132=100%,1,1+VLOOKUP(($AJ132-$AI132-$AH132-$AG132-$AF132-$AE132*(1+CY$3))/$AJ132,'Технический лист'!$I:$J,2,1)-VLOOKUP($AO132,'Технический лист'!$I:$J,2,1)),1+(1-$AU132))</f>
        <v/>
      </c>
      <c r="CZ132" s="172">
        <f>MIN(IF($AU132=100%,1,1+VLOOKUP(($AJ132-$AI132-$AH132-$AG132-$AF132-$AE132*(1+CZ$3))/$AJ132,'Технический лист'!$I:$J,2,1)-VLOOKUP($AO132,'Технический лист'!$I:$J,2,1)),1+(1-$AU132))</f>
        <v/>
      </c>
      <c r="DA132" s="172">
        <f>MIN(IF($AU132=100%,1,1+VLOOKUP(($AJ132-$AI132-$AH132-$AG132-$AF132-$AE132*(1+DA$3))/$AJ132,'Технический лист'!$I:$J,2,1)-VLOOKUP($AO132,'Технический лист'!$I:$J,2,1)),1+(1-$AU132))</f>
        <v/>
      </c>
      <c r="DB132" s="172">
        <f>MIN(IF($AU132=100%,1,1+VLOOKUP(($AJ132-$AI132-$AH132-$AG132-$AF132-$AE132*(1+DB$3))/$AJ132,'Технический лист'!$I:$J,2,1)-VLOOKUP($AO132,'Технический лист'!$I:$J,2,1)),1+(1-$AU132))</f>
        <v/>
      </c>
      <c r="DC132" s="172">
        <f>MIN(IF($AU132=100%,1,1+VLOOKUP(($AJ132-$AI132-$AH132-$AG132-$AF132-$AE132*(1+DC$3))/$AJ132,'Технический лист'!$I:$J,2,1)-VLOOKUP($AO132,'Технический лист'!$I:$J,2,1)),1+(1-$AU132))</f>
        <v/>
      </c>
      <c r="DD132" s="172">
        <f>MIN(IF($AU132=100%,1,1+VLOOKUP(($AJ132-$AI132-$AH132-$AG132-$AF132-$AE132*(1+DD$3))/$AJ132,'Технический лист'!$I:$J,2,1)-VLOOKUP($AO132,'Технический лист'!$I:$J,2,1)),1+(1-$AU132))</f>
        <v/>
      </c>
      <c r="DE132" s="172">
        <f>MIN(IF($AU132=100%,1,1+VLOOKUP(($AJ132-$AI132-$AH132-$AG132-$AF132-$AE132*(1+DE$3))/$AJ132,'Технический лист'!$I:$J,2,1)-VLOOKUP($AO132,'Технический лист'!$I:$J,2,1)),1+(1-$AU132))</f>
        <v/>
      </c>
      <c r="DF132" s="172">
        <f>MIN(IF($AU132=100%,1,1+VLOOKUP(($AJ132-$AI132-$AH132-$AG132-$AF132-$AE132*(1+DF$3))/$AJ132,'Технический лист'!$I:$J,2,1)-VLOOKUP($AO132,'Технический лист'!$I:$J,2,1)),1+(1-$AU132))</f>
        <v/>
      </c>
      <c r="DG132" s="172">
        <f>MIN(IF($AU132=100%,1,1+VLOOKUP(($AJ132-$AI132-$AH132-$AG132-$AF132-$AE132*(1+DG$3))/$AJ132,'Технический лист'!$I:$J,2,1)-VLOOKUP($AO132,'Технический лист'!$I:$J,2,1)),1+(1-$AU132))</f>
        <v/>
      </c>
      <c r="DH132" s="172">
        <f>MIN(IF($AU132=100%,1,1+VLOOKUP(($AJ132-$AI132-$AH132-$AG132-$AF132-$AE132*(1+DH$3))/$AJ132,'Технический лист'!$I:$J,2,1)-VLOOKUP($AO132,'Технический лист'!$I:$J,2,1)),1+(1-$AU132))</f>
        <v/>
      </c>
      <c r="DI132" s="172">
        <f>MIN(IF($AU132=100%,1,1+VLOOKUP(($AJ132-$AI132-$AH132-$AG132-$AF132-$AE132*(1+DI$3))/$AJ132,'Технический лист'!$I:$J,2,1)-VLOOKUP($AO132,'Технический лист'!$I:$J,2,1)),1+(1-$AU132))</f>
        <v/>
      </c>
      <c r="DJ132" s="172">
        <f>MIN(IF($AU132=100%,1,1+VLOOKUP(($AJ132-$AI132-$AH132-$AG132-$AF132-$AE132*(1+DJ$3))/$AJ132,'Технический лист'!$I:$J,2,1)-VLOOKUP($AO132,'Технический лист'!$I:$J,2,1)),1+(1-$AU132))</f>
        <v/>
      </c>
      <c r="DK132" s="172">
        <f>MIN(IF($AU132=100%,1,1+VLOOKUP(($AJ132-$AI132-$AH132-$AG132-$AF132-$AE132*(1+DK$3))/$AJ132,'Технический лист'!$I:$J,2,1)-VLOOKUP($AO132,'Технический лист'!$I:$J,2,1)),1+(1-$AU132))</f>
        <v/>
      </c>
      <c r="DL132" s="172">
        <f>MIN(IF($AU132=100%,1,1+VLOOKUP(($AJ132-$AI132-$AH132-$AG132-$AF132-$AE132*(1+DL$3))/$AJ132,'Технический лист'!$I:$J,2,1)-VLOOKUP($AO132,'Технический лист'!$I:$J,2,1)),1+(1-$AU132))</f>
        <v/>
      </c>
      <c r="DM132" s="172">
        <f>MIN(IF($AU132=100%,1,1+VLOOKUP(($AJ132-$AI132-$AH132-$AG132-$AF132-$AE132*(1+DM$3))/$AJ132,'Технический лист'!$I:$J,2,1)-VLOOKUP($AO132,'Технический лист'!$I:$J,2,1)),1+(1-$AU132))</f>
        <v/>
      </c>
      <c r="DN132" s="172">
        <f>MIN(IF($AU132=100%,1,1+VLOOKUP(($AJ132-$AI132-$AH132-$AG132-$AF132-$AE132*(1+DN$3))/$AJ132,'Технический лист'!$I:$J,2,1)-VLOOKUP($AO132,'Технический лист'!$I:$J,2,1)),1+(1-$AU132))</f>
        <v/>
      </c>
      <c r="DO132" s="172">
        <f>MIN(IF($AU132=100%,1,1+VLOOKUP(($AJ132-$AI132-$AH132-$AG132-$AF132-$AE132*(1+DO$3))/$AJ132,'Технический лист'!$I:$J,2,1)-VLOOKUP($AO132,'Технический лист'!$I:$J,2,1)),1+(1-$AU132))</f>
        <v/>
      </c>
      <c r="DP132" s="172">
        <f>MIN(IF($AU132=100%,1,1+VLOOKUP(($AJ132-$AI132-$AH132-$AG132-$AF132-$AE132*(1+DP$3))/$AJ132,'Технический лист'!$I:$J,2,1)-VLOOKUP($AO132,'Технический лист'!$I:$J,2,1)),1+(1-$AU132))</f>
        <v/>
      </c>
      <c r="DQ132" s="172">
        <f>MIN(IF($AU132=100%,1,1+VLOOKUP(($AJ132-$AI132-$AH132-$AG132-$AF132-$AE132*(1+DQ$3))/$AJ132,'Технический лист'!$I:$J,2,1)-VLOOKUP($AO132,'Технический лист'!$I:$J,2,1)),1+(1-$AU132))</f>
        <v/>
      </c>
      <c r="DR132" s="172">
        <f>MIN(IF($AU132=100%,1,1+VLOOKUP(($AJ132-$AI132-$AH132-$AG132-$AF132-$AE132*(1+DR$3))/$AJ132,'Технический лист'!$I:$J,2,1)-VLOOKUP($AO132,'Технический лист'!$I:$J,2,1)),1+(1-$AU132))</f>
        <v/>
      </c>
      <c r="DS132" s="172">
        <f>MIN(IF($AU132=100%,1,1+VLOOKUP(($AJ132-$AI132-$AH132-$AG132-$AF132-$AE132*(1+DS$3))/$AJ132,'Технический лист'!$I:$J,2,1)-VLOOKUP($AO132,'Технический лист'!$I:$J,2,1)),1+(1-$AU132))</f>
        <v/>
      </c>
      <c r="DT132" s="172">
        <f>MIN(IF($AU132=100%,1,1+VLOOKUP(($AJ132-$AI132-$AH132-$AG132-$AF132-$AE132*(1+DT$3))/$AJ132,'Технический лист'!$I:$J,2,1)-VLOOKUP($AO132,'Технический лист'!$I:$J,2,1)),1+(1-$AU132))</f>
        <v/>
      </c>
      <c r="DU132" s="172">
        <f>MIN(IF($AU132=100%,1,1+VLOOKUP(($AJ132-$AI132-$AH132-$AG132-$AF132-$AE132*(1+DU$3))/$AJ132,'Технический лист'!$I:$J,2,1)-VLOOKUP($AO132,'Технический лист'!$I:$J,2,1)),1+(1-$AU132))</f>
        <v/>
      </c>
      <c r="DV132" s="172">
        <f>MIN(IF($AU132=100%,1,1+VLOOKUP(($AJ132-$AI132-$AH132-$AG132-$AF132-$AE132*(1+DV$3))/$AJ132,'Технический лист'!$I:$J,2,1)-VLOOKUP($AO132,'Технический лист'!$I:$J,2,1)),1+(1-$AU132))</f>
        <v/>
      </c>
      <c r="DW132" s="172">
        <f>MIN(IF($AU132=100%,1,1+VLOOKUP(($AJ132-$AI132-$AH132-$AG132-$AF132-$AE132*(1+DW$3))/$AJ132,'Технический лист'!$I:$J,2,1)-VLOOKUP($AO132,'Технический лист'!$I:$J,2,1)),1+(1-$AU132))</f>
        <v/>
      </c>
      <c r="DX132" s="172">
        <f>MIN(IF($AU132=100%,1,1+VLOOKUP(($AJ132-$AI132-$AH132-$AG132-$AF132-$AE132*(1+DX$3))/$AJ132,'Технический лист'!$I:$J,2,1)-VLOOKUP($AO132,'Технический лист'!$I:$J,2,1)),1+(1-$AU132))</f>
        <v/>
      </c>
      <c r="DY132" s="172">
        <f>MIN(IF($AU132=100%,1,1+VLOOKUP(($AJ132-$AI132-$AH132-$AG132-$AF132-$AE132*(1+DY$3))/$AJ132,'Технический лист'!$I:$J,2,1)-VLOOKUP($AO132,'Технический лист'!$I:$J,2,1)),1+(1-$AU132))</f>
        <v/>
      </c>
      <c r="DZ132" s="172">
        <f>MIN(IF($AU132=100%,1,1+VLOOKUP(($AJ132-$AI132-$AH132-$AG132-$AF132-$AE132*(1+DZ$3))/$AJ132,'Технический лист'!$I:$J,2,1)-VLOOKUP($AO132,'Технический лист'!$I:$J,2,1)),1+(1-$AU132))</f>
        <v/>
      </c>
      <c r="EA132" s="172">
        <f>MIN(IF($AU132=100%,1,1+VLOOKUP(($AJ132-$AI132-$AH132-$AG132-$AF132-$AE132*(1+EA$3))/$AJ132,'Технический лист'!$I:$J,2,1)-VLOOKUP($AO132,'Технический лист'!$I:$J,2,1)),1+(1-$AU132))</f>
        <v/>
      </c>
      <c r="EB132" s="172">
        <f>MIN(IF($AU132=100%,1,1+VLOOKUP(($AJ132-$AI132-$AH132-$AG132-$AF132-$AE132*(1+EB$3))/$AJ132,'Технический лист'!$I:$J,2,1)-VLOOKUP($AO132,'Технический лист'!$I:$J,2,1)),1+(1-$AU132))</f>
        <v/>
      </c>
      <c r="EC132" s="172">
        <f>MIN(IF($AU132=100%,1,1+VLOOKUP(($AJ132-$AI132-$AH132-$AG132-$AF132-$AE132*(1+EC$3))/$AJ132,'Технический лист'!$I:$J,2,1)-VLOOKUP($AO132,'Технический лист'!$I:$J,2,1)),1+(1-$AU132))</f>
        <v/>
      </c>
      <c r="ED132" s="172">
        <f>MIN(IF($AU132=100%,1,1+VLOOKUP(($AJ132-$AI132-$AH132-$AG132-$AF132-$AE132*(1+ED$3))/$AJ132,'Технический лист'!$I:$J,2,1)-VLOOKUP($AO132,'Технический лист'!$I:$J,2,1)),1+(1-$AU132))</f>
        <v/>
      </c>
      <c r="EE132" s="172">
        <f>MIN(IF($AU132=100%,1,1+VLOOKUP(($AJ132-$AI132-$AH132-$AG132-$AF132-$AE132*(1+EE$3))/$AJ132,'Технический лист'!$I:$J,2,1)-VLOOKUP($AO132,'Технический лист'!$I:$J,2,1)),1+(1-$AU132))</f>
        <v/>
      </c>
      <c r="EF132" s="172">
        <f>MIN(IF($AU132=100%,1,1+VLOOKUP(($AJ132-$AI132-$AH132-$AG132-$AF132-$AE132*(1+EF$3))/$AJ132,'Технический лист'!$I:$J,2,1)-VLOOKUP($AO132,'Технический лист'!$I:$J,2,1)),1+(1-$AU132))</f>
        <v/>
      </c>
      <c r="EG132" s="172">
        <f>MIN(IF($AU132=100%,1,1+VLOOKUP(($AJ132-$AI132-$AH132-$AG132-$AF132-$AE132*(1+EG$3))/$AJ132,'Технический лист'!$I:$J,2,1)-VLOOKUP($AO132,'Технический лист'!$I:$J,2,1)),1+(1-$AU132))</f>
        <v/>
      </c>
      <c r="EH132" s="172">
        <f>MIN(IF($AU132=100%,1,1+VLOOKUP(($AJ132-$AI132-$AH132-$AG132-$AF132-$AE132*(1+EH$3))/$AJ132,'Технический лист'!$I:$J,2,1)-VLOOKUP($AO132,'Технический лист'!$I:$J,2,1)),1+(1-$AU132))</f>
        <v/>
      </c>
      <c r="EI132" s="172">
        <f>MIN(IF($AU132=100%,1,1+VLOOKUP(($AJ132-$AI132-$AH132-$AG132-$AF132-$AE132*(1+EI$3))/$AJ132,'Технический лист'!$I:$J,2,1)-VLOOKUP($AO132,'Технический лист'!$I:$J,2,1)),1+(1-$AU132))</f>
        <v/>
      </c>
      <c r="EJ132" s="172">
        <f>MIN(IF($AU132=100%,1,1+VLOOKUP(($AJ132-$AI132-$AH132-$AG132-$AF132-$AE132*(1+EJ$3))/$AJ132,'Технический лист'!$I:$J,2,1)-VLOOKUP($AO132,'Технический лист'!$I:$J,2,1)),1+(1-$AU132))</f>
        <v/>
      </c>
      <c r="EK132" s="172">
        <f>MIN(IF($AU132=100%,1,1+VLOOKUP(($AJ132-$AI132-$AH132-$AG132-$AF132-$AE132*(1+EK$3))/$AJ132,'Технический лист'!$I:$J,2,1)-VLOOKUP($AO132,'Технический лист'!$I:$J,2,1)),1+(1-$AU132))</f>
        <v/>
      </c>
      <c r="EL132" s="172">
        <f>MIN(IF($AU132=100%,1,1+VLOOKUP(($AJ132-$AI132-$AH132-$AG132-$AF132-$AE132*(1+EL$3))/$AJ132,'Технический лист'!$I:$J,2,1)-VLOOKUP($AO132,'Технический лист'!$I:$J,2,1)),1+(1-$AU132))</f>
        <v/>
      </c>
      <c r="EM132" s="172">
        <f>MIN(IF($AU132=100%,1,1+VLOOKUP(($AJ132-$AI132-$AH132-$AG132-$AF132-$AE132*(1+EM$3))/$AJ132,'Технический лист'!$I:$J,2,1)-VLOOKUP($AO132,'Технический лист'!$I:$J,2,1)),1+(1-$AU132))</f>
        <v/>
      </c>
      <c r="EN132" s="172">
        <f>MIN(IF($AU132=100%,1,1+VLOOKUP(($AJ132-$AI132-$AH132-$AG132-$AF132-$AE132*(1+EN$3))/$AJ132,'Технический лист'!$I:$J,2,1)-VLOOKUP($AO132,'Технический лист'!$I:$J,2,1)),1+(1-$AU132))</f>
        <v/>
      </c>
      <c r="EO132" s="172">
        <f>MIN(IF($AU132=100%,1,1+VLOOKUP(($AJ132-$AI132-$AH132-$AG132-$AF132-$AE132*(1+EO$3))/$AJ132,'Технический лист'!$I:$J,2,1)-VLOOKUP($AO132,'Технический лист'!$I:$J,2,1)),1+(1-$AU132))</f>
        <v/>
      </c>
      <c r="EP132" s="172">
        <f>MIN(IF($AU132=100%,1,1+VLOOKUP(($AJ132-$AI132-$AH132-$AG132-$AF132-$AE132*(1+EP$3))/$AJ132,'Технический лист'!$I:$J,2,1)-VLOOKUP($AO132,'Технический лист'!$I:$J,2,1)),1+(1-$AU132))</f>
        <v/>
      </c>
      <c r="EQ132" s="172">
        <f>MIN(IF($AU132=100%,1,1+VLOOKUP(($AJ132-$AI132-$AH132-$AG132-$AF132-$AE132*(1+EQ$3))/$AJ132,'Технический лист'!$I:$J,2,1)-VLOOKUP($AO132,'Технический лист'!$I:$J,2,1)),1+(1-$AU132))</f>
        <v/>
      </c>
      <c r="ER132" s="172">
        <f>MIN(IF($AU132=100%,1,1+VLOOKUP(($AJ132-$AI132-$AH132-$AG132-$AF132-$AE132*(1+ER$3))/$AJ132,'Технический лист'!$I:$J,2,1)-VLOOKUP($AO132,'Технический лист'!$I:$J,2,1)),1+(1-$AU132))</f>
        <v/>
      </c>
      <c r="ES132" s="172">
        <f>MIN(IF($AU132=100%,1,1+VLOOKUP(($AJ132-$AI132-$AH132-$AG132-$AF132-$AE132*(1+ES$3))/$AJ132,'Технический лист'!$I:$J,2,1)-VLOOKUP($AO132,'Технический лист'!$I:$J,2,1)),1+(1-$AU132))</f>
        <v/>
      </c>
      <c r="ET132" s="172">
        <f>MIN(IF($AU132=100%,1,1+VLOOKUP(($AJ132-$AI132-$AH132-$AG132-$AF132-$AE132*(1+ET$3))/$AJ132,'Технический лист'!$I:$J,2,1)-VLOOKUP($AO132,'Технический лист'!$I:$J,2,1)),1+(1-$AU132))</f>
        <v/>
      </c>
      <c r="EU132" s="172">
        <f>MIN(IF($AU132=100%,1,1+VLOOKUP(($AJ132-$AI132-$AH132-$AG132-$AF132-$AE132*(1+EU$3))/$AJ132,'Технический лист'!$I:$J,2,1)-VLOOKUP($AO132,'Технический лист'!$I:$J,2,1)),1+(1-$AU132))</f>
        <v/>
      </c>
      <c r="EV132" s="173" t="n">
        <v>1</v>
      </c>
      <c r="EW132" s="172">
        <f>MIN(1,MAX(VLOOKUP(($AJ132-$AI132-$AH132-$AG132-$AF132-$AE132*(1+EW$3))/$AJ132,'Технический лист'!$A:$B,2,1),(EV132-0.05)))</f>
        <v/>
      </c>
      <c r="EX132" s="172">
        <f>MIN(1,MAX(VLOOKUP(($AJ132-$AI132-$AH132-$AG132-$AF132-$AE132*(1+EX$3))/$AJ132,'Технический лист'!$A:$B,2,1),(EW132-0.05)))</f>
        <v/>
      </c>
      <c r="EY132" s="172">
        <f>MIN(1,MAX(VLOOKUP(($AJ132-$AI132-$AH132-$AG132-$AF132-$AE132*(1+EY$3))/$AJ132,'Технический лист'!$A:$B,2,1),(EX132-0.05)))</f>
        <v/>
      </c>
      <c r="EZ132" s="172">
        <f>MIN(1,MAX(VLOOKUP(($AJ132-$AI132-$AH132-$AG132-$AF132-$AE132*(1+EZ$3))/$AJ132,'Технический лист'!$A:$B,2,1),(EY132-0.05)))</f>
        <v/>
      </c>
      <c r="FA132" s="172">
        <f>MIN(1,MAX(VLOOKUP(($AJ132-$AI132-$AH132-$AG132-$AF132-$AE132*(1+FA$3))/$AJ132,'Технический лист'!$A:$B,2,1),(EZ132-0.05)))</f>
        <v/>
      </c>
      <c r="FB132" s="172">
        <f>MIN(1,MAX(VLOOKUP(($AJ132-$AI132-$AH132-$AG132-$AF132-$AE132*(1+FB$3))/$AJ132,'Технический лист'!$A:$B,2,1),(FA132-0.05)))</f>
        <v/>
      </c>
      <c r="FC132" s="172">
        <f>MIN(1,MAX(VLOOKUP(($AJ132-$AI132-$AH132-$AG132-$AF132-$AE132*(1+FC$3))/$AJ132,'Технический лист'!$A:$B,2,1),(FB132-0.05)))</f>
        <v/>
      </c>
      <c r="FD132" s="172">
        <f>MIN(1,MAX(VLOOKUP(($AJ132-$AI132-$AH132-$AG132-$AF132-$AE132*(1+FD$3))/$AJ132,'Технический лист'!$A:$B,2,1),(FC132-0.05)))</f>
        <v/>
      </c>
      <c r="FE132" s="172">
        <f>MIN(1,MAX(VLOOKUP(($AJ132-$AI132-$AH132-$AG132-$AF132-$AE132*(1+FE$3))/$AJ132,'Технический лист'!$A:$B,2,1),(FD132-0.05)))</f>
        <v/>
      </c>
      <c r="FF132" s="172">
        <f>MIN(1,MAX(VLOOKUP(($AJ132-$AI132-$AH132-$AG132-$AF132-$AE132*(1+FF$3))/$AJ132,'Технический лист'!$A:$B,2,1),(FE132-0.05)))</f>
        <v/>
      </c>
      <c r="FG132" s="172">
        <f>MIN(1,MAX(VLOOKUP(($AJ132-$AI132-$AH132-$AG132-$AF132-$AE132*(1+FG$3))/$AJ132,'Технический лист'!$A:$B,2,1),(FF132-0.05)))</f>
        <v/>
      </c>
      <c r="FH132" s="172">
        <f>MIN(1,MAX(VLOOKUP(($AJ132-$AI132-$AH132-$AG132-$AF132-$AE132*(1+FH$3))/$AJ132,'Технический лист'!$A:$B,2,1),(FG132-0.05)))</f>
        <v/>
      </c>
      <c r="FI132" s="172">
        <f>MIN(1,MAX(VLOOKUP(($AJ132-$AI132-$AH132-$AG132-$AF132-$AE132*(1+FI$3))/$AJ132,'Технический лист'!$A:$B,2,1),(FH132-0.05)))</f>
        <v/>
      </c>
      <c r="FJ132" s="172">
        <f>MIN(1,MAX(VLOOKUP(($AJ132-$AI132-$AH132-$AG132-$AF132-$AE132*(1+FJ$3))/$AJ132,'Технический лист'!$A:$B,2,1),(FI132-0.05)))</f>
        <v/>
      </c>
      <c r="FK132" s="172">
        <f>MIN(1,MAX(VLOOKUP(($AJ132-$AI132-$AH132-$AG132-$AF132-$AE132*(1+FK$3))/$AJ132,'Технический лист'!$A:$B,2,1),(FJ132-0.05)))</f>
        <v/>
      </c>
      <c r="FL132" s="172">
        <f>MIN(1,MAX(VLOOKUP(($AJ132-$AI132-$AH132-$AG132-$AF132-$AE132*(1+FL$3))/$AJ132,'Технический лист'!$A:$B,2,1),(FK132-0.05)))</f>
        <v/>
      </c>
      <c r="FM132" s="172">
        <f>MIN(1,MAX(VLOOKUP(($AJ132-$AI132-$AH132-$AG132-$AF132-$AE132*(1+FM$3))/$AJ132,'Технический лист'!$A:$B,2,1),(FL132-0.05)))</f>
        <v/>
      </c>
      <c r="FN132" s="172">
        <f>MIN(1,MAX(VLOOKUP(($AJ132-$AI132-$AH132-$AG132-$AF132-$AE132*(1+FN$3))/$AJ132,'Технический лист'!$A:$B,2,1),(FM132-0.05)))</f>
        <v/>
      </c>
      <c r="FO132" s="172">
        <f>MIN(1,MAX(VLOOKUP(($AJ132-$AI132-$AH132-$AG132-$AF132-$AE132*(1+FO$3))/$AJ132,'Технический лист'!$A:$B,2,1),(FN132-0.05)))</f>
        <v/>
      </c>
      <c r="FP132" s="172">
        <f>MIN(1,MAX(VLOOKUP(($AJ132-$AI132-$AH132-$AG132-$AF132-$AE132*(1+FP$3))/$AJ132,'Технический лист'!$A:$B,2,1),(FO132-0.05)))</f>
        <v/>
      </c>
      <c r="FQ132" s="172">
        <f>MIN(1,MAX(VLOOKUP(($AJ132-$AI132-$AH132-$AG132-$AF132-$AE132*(1+FQ$3))/$AJ132,'Технический лист'!$A:$B,2,1),(FP132-0.05)))</f>
        <v/>
      </c>
      <c r="FR132" s="172">
        <f>MIN(1,MAX(VLOOKUP(($AJ132-$AI132-$AH132-$AG132-$AF132-$AE132*(1+FR$3))/$AJ132,'Технический лист'!$A:$B,2,1),(FQ132-0.05)))</f>
        <v/>
      </c>
      <c r="FS132" s="172">
        <f>MIN(1,MAX(VLOOKUP(($AJ132-$AI132-$AH132-$AG132-$AF132-$AE132*(1+FS$3))/$AJ132,'Технический лист'!$A:$B,2,1),(FR132-0.05)))</f>
        <v/>
      </c>
      <c r="FT132" s="172">
        <f>MIN(1,MAX(VLOOKUP(($AJ132-$AI132-$AH132-$AG132-$AF132-$AE132*(1+FT$3))/$AJ132,'Технический лист'!$A:$B,2,1),(FS132-0.05)))</f>
        <v/>
      </c>
      <c r="FU132" s="172">
        <f>MIN(1,MAX(VLOOKUP(($AJ132-$AI132-$AH132-$AG132-$AF132-$AE132*(1+FU$3))/$AJ132,'Технический лист'!$A:$B,2,1),(FT132-0.05)))</f>
        <v/>
      </c>
      <c r="FV132" s="172">
        <f>MIN(1,MAX(VLOOKUP(($AJ132-$AI132-$AH132-$AG132-$AF132-$AE132*(1+FV$3))/$AJ132,'Технический лист'!$A:$B,2,1),(FU132-0.05)))</f>
        <v/>
      </c>
      <c r="FW132" s="172">
        <f>MIN(1,MAX(VLOOKUP(($AJ132-$AI132-$AH132-$AG132-$AF132-$AE132*(1+FW$3))/$AJ132,'Технический лист'!$A:$B,2,1),(FV132-0.05)))</f>
        <v/>
      </c>
      <c r="FX132" s="172">
        <f>MIN(1,MAX(VLOOKUP(($AJ132-$AI132-$AH132-$AG132-$AF132-$AE132*(1+FX$3))/$AJ132,'Технический лист'!$A:$B,2,1),(FW132-0.05)))</f>
        <v/>
      </c>
      <c r="FY132" s="172">
        <f>MIN(1,MAX(VLOOKUP(($AJ132-$AI132-$AH132-$AG132-$AF132-$AE132*(1+FY$3))/$AJ132,'Технический лист'!$A:$B,2,1),(FX132-0.05)))</f>
        <v/>
      </c>
      <c r="FZ132" s="172">
        <f>MIN(1,MAX(VLOOKUP(($AJ132-$AI132-$AH132-$AG132-$AF132-$AE132*(1+FZ$3))/$AJ132,'Технический лист'!$A:$B,2,1),(FY132-0.05)))</f>
        <v/>
      </c>
      <c r="GA132" s="172">
        <f>MIN(1,MAX(VLOOKUP(($AJ132-$AI132-$AH132-$AG132-$AF132-$AE132*(1+GA$3))/$AJ132,'Технический лист'!$A:$B,2,1),(FZ132-0.05)))</f>
        <v/>
      </c>
      <c r="GB132" s="172">
        <f>MIN(1,MAX(VLOOKUP(($AJ132-$AI132-$AH132-$AG132-$AF132-$AE132*(1+GB$3))/$AJ132,'Технический лист'!$A:$B,2,1),(GA132-0.05)))</f>
        <v/>
      </c>
      <c r="GC132" s="172">
        <f>MIN(1,MAX(VLOOKUP(($AJ132-$AI132-$AH132-$AG132-$AF132-$AE132*(1+GC$3))/$AJ132,'Технический лист'!$A:$B,2,1),(GB132-0.05)))</f>
        <v/>
      </c>
      <c r="GD132" s="172">
        <f>MIN(1,MAX(VLOOKUP(($AJ132-$AI132-$AH132-$AG132-$AF132-$AE132*(1+GD$3))/$AJ132,'Технический лист'!$A:$B,2,1),(GC132-0.05)))</f>
        <v/>
      </c>
      <c r="GE132" s="172">
        <f>MIN(1,MAX(VLOOKUP(($AJ132-$AI132-$AH132-$AG132-$AF132-$AE132*(1+GE$3))/$AJ132,'Технический лист'!$A:$B,2,1),(GD132-0.05)))</f>
        <v/>
      </c>
      <c r="GF132" s="172">
        <f>MIN(1,MAX(VLOOKUP(($AJ132-$AI132-$AH132-$AG132-$AF132-$AE132*(1+GF$3))/$AJ132,'Технический лист'!$A:$B,2,1),(GE132-0.05)))</f>
        <v/>
      </c>
      <c r="GG132" s="172">
        <f>MIN(1,MAX(VLOOKUP(($AJ132-$AI132-$AH132-$AG132-$AF132-$AE132*(1+GG$3))/$AJ132,'Технический лист'!$A:$B,2,1),(GF132-0.05)))</f>
        <v/>
      </c>
      <c r="GH132" s="172">
        <f>MIN(1,MAX(VLOOKUP(($AJ132-$AI132-$AH132-$AG132-$AF132-$AE132*(1+GH$3))/$AJ132,'Технический лист'!$A:$B,2,1),(GG132-0.05)))</f>
        <v/>
      </c>
      <c r="GI132" s="172">
        <f>MIN(1,MAX(VLOOKUP(($AJ132-$AI132-$AH132-$AG132-$AF132-$AE132*(1+GI$3))/$AJ132,'Технический лист'!$A:$B,2,1),(GH132-0.05)))</f>
        <v/>
      </c>
      <c r="GJ132" s="172">
        <f>MIN(1,MAX(VLOOKUP(($AJ132-$AI132-$AH132-$AG132-$AF132-$AE132*(1+GJ$3))/$AJ132,'Технический лист'!$A:$B,2,1),(GI132-0.05)))</f>
        <v/>
      </c>
      <c r="GK132" s="172">
        <f>MIN(1,MAX(VLOOKUP(($AJ132-$AI132-$AH132-$AG132-$AF132-$AE132*(1+GK$3))/$AJ132,'Технический лист'!$A:$B,2,1),(GJ132-0.05)))</f>
        <v/>
      </c>
      <c r="GL132" s="172">
        <f>MIN(1,MAX(VLOOKUP(($AJ132-$AI132-$AH132-$AG132-$AF132-$AE132*(1+GL$3))/$AJ132,'Технический лист'!$A:$B,2,1),(GK132-0.05)))</f>
        <v/>
      </c>
      <c r="GM132" s="172">
        <f>MIN(1,MAX(VLOOKUP(($AJ132-$AI132-$AH132-$AG132-$AF132-$AE132*(1+GM$3))/$AJ132,'Технический лист'!$A:$B,2,1),(GL132-0.05)))</f>
        <v/>
      </c>
      <c r="GN132" s="172">
        <f>MIN(1,MAX(VLOOKUP(($AJ132-$AI132-$AH132-$AG132-$AF132-$AE132*(1+GN$3))/$AJ132,'Технический лист'!$A:$B,2,1),(GM132-0.05)))</f>
        <v/>
      </c>
      <c r="GO132" s="172">
        <f>MIN(1,MAX(VLOOKUP(($AJ132-$AI132-$AH132-$AG132-$AF132-$AE132*(1+GO$3))/$AJ132,'Технический лист'!$A:$B,2,1),(GN132-0.05)))</f>
        <v/>
      </c>
      <c r="GP132" s="172">
        <f>MIN(1,MAX(VLOOKUP(($AJ132-$AI132-$AH132-$AG132-$AF132-$AE132*(1+GP$3))/$AJ132,'Технический лист'!$A:$B,2,1),(GO132-0.05)))</f>
        <v/>
      </c>
      <c r="GQ132" s="172">
        <f>MIN(1,MAX(VLOOKUP(($AJ132-$AI132-$AH132-$AG132-$AF132-$AE132*(1+GQ$3))/$AJ132,'Технический лист'!$A:$B,2,1),(GP132-0.05)))</f>
        <v/>
      </c>
      <c r="GR132" s="172">
        <f>MIN(1,MAX(VLOOKUP(($AJ132-$AI132-$AH132-$AG132-$AF132-$AE132*(1+GR$3))/$AJ132,'Технический лист'!$A:$B,2,1),(GQ132-0.05)))</f>
        <v/>
      </c>
      <c r="GS132" s="172">
        <f>MIN(1,MAX(VLOOKUP(($AJ132-$AI132-$AH132-$AG132-$AF132-$AE132*(1+GS$3))/$AJ132,'Технический лист'!$A:$B,2,1),(GR132-0.05)))</f>
        <v/>
      </c>
      <c r="GT132" s="172">
        <f>MIN(1,MAX(VLOOKUP(($AJ132-$AI132-$AH132-$AG132-$AF132-$AE132*(1+GT$3))/$AJ132,'Технический лист'!$A:$B,2,1),(GS132-0.05)))</f>
        <v/>
      </c>
      <c r="GU132" s="172">
        <f>MIN(1,MAX(VLOOKUP(($AJ132-$AI132-$AH132-$AG132-$AF132-$AE132*(1+GU$3))/$AJ132,'Технический лист'!$A:$B,2,1),(GT132-0.05)))</f>
        <v/>
      </c>
      <c r="GV132" s="172">
        <f>MIN(1,MAX(VLOOKUP(($AJ132-$AI132-$AH132-$AG132-$AF132-$AE132*(1+GV$3))/$AJ132,'Технический лист'!$A:$B,2,1),(GU132-0.05)))</f>
        <v/>
      </c>
      <c r="GW132" s="172">
        <f>MIN(1,MAX(VLOOKUP(($AJ132-$AI132-$AH132-$AG132-$AF132-$AE132*(1+GW$3))/$AJ132,'Технический лист'!$A:$B,2,1),(GV132-0.05)))</f>
        <v/>
      </c>
      <c r="GX132" s="172">
        <f>MIN(1,MAX(VLOOKUP(($AJ132-$AI132-$AH132-$AG132-$AF132-$AE132*(1+GX$3))/$AJ132,'Технический лист'!$A:$B,2,1),(GW132-0.05)))</f>
        <v/>
      </c>
      <c r="GY132" s="172">
        <f>MIN(1,MAX(VLOOKUP(($AJ132-$AI132-$AH132-$AG132-$AF132-$AE132*(1+GY$3))/$AJ132,'Технический лист'!$A:$B,2,1),(GX132-0.05)))</f>
        <v/>
      </c>
      <c r="GZ132" s="172">
        <f>MIN(1,MAX(VLOOKUP(($AJ132-$AI132-$AH132-$AG132-$AF132-$AE132*(1+GZ$3))/$AJ132,'Технический лист'!$A:$B,2,1),(GY132-0.05)))</f>
        <v/>
      </c>
      <c r="HA132" s="172">
        <f>MIN(1,MAX(VLOOKUP(($AJ132-$AI132-$AH132-$AG132-$AF132-$AE132*(1+HA$3))/$AJ132,'Технический лист'!$A:$B,2,1),(GZ132-0.05)))</f>
        <v/>
      </c>
      <c r="HB132" s="172">
        <f>MIN(1,MAX(VLOOKUP(($AJ132-$AI132-$AH132-$AG132-$AF132-$AE132*(1+HB$3))/$AJ132,'Технический лист'!$A:$B,2,1),(HA132-0.05)))</f>
        <v/>
      </c>
      <c r="HC132" s="172">
        <f>MIN(1,MAX(VLOOKUP(($AJ132-$AI132-$AH132-$AG132-$AF132-$AE132*(1+HC$3))/$AJ132,'Технический лист'!$A:$B,2,1),(HB132-0.05)))</f>
        <v/>
      </c>
      <c r="HD132" s="172">
        <f>MIN(1,MAX(VLOOKUP(($AJ132-$AI132-$AH132-$AG132-$AF132-$AE132*(1+HD$3))/$AJ132,'Технический лист'!$A:$B,2,1),(HC132-0.05)))</f>
        <v/>
      </c>
      <c r="HE132" s="172">
        <f>MIN(1,MAX(VLOOKUP(($AJ132-$AI132-$AH132-$AG132-$AF132-$AE132*(1+HE$3))/$AJ132,'Технический лист'!$A:$B,2,1),(HD132-0.05)))</f>
        <v/>
      </c>
      <c r="HF132" s="172">
        <f>MIN(1,MAX(VLOOKUP(($AJ132-$AI132-$AH132-$AG132-$AF132-$AE132*(1+HF$3))/$AJ132,'Технический лист'!$A:$B,2,1),(HE132-0.05)))</f>
        <v/>
      </c>
      <c r="HG132" s="172">
        <f>MIN(1,MAX(VLOOKUP(($AJ132-$AI132-$AH132-$AG132-$AF132-$AE132*(1+HG$3))/$AJ132,'Технический лист'!$A:$B,2,1),(HF132-0.05)))</f>
        <v/>
      </c>
      <c r="HH132" s="172">
        <f>MIN(1,MAX(VLOOKUP(($AJ132-$AI132-$AH132-$AG132-$AF132-$AE132*(1+HH$3))/$AJ132,'Технический лист'!$A:$B,2,1),(HG132-0.05)))</f>
        <v/>
      </c>
      <c r="HI132" s="172">
        <f>MIN(1,MAX(VLOOKUP(($AJ132-$AI132-$AH132-$AG132-$AF132-$AE132*(1+HI$3))/$AJ132,'Технический лист'!$A:$B,2,1),(HH132-0.05)))</f>
        <v/>
      </c>
      <c r="HJ132" s="172">
        <f>MIN(1,MAX(VLOOKUP(($AJ132-$AI132-$AH132-$AG132-$AF132-$AE132*(1+HJ$3))/$AJ132,'Технический лист'!$A:$B,2,1),(HI132-0.05)))</f>
        <v/>
      </c>
      <c r="HK132" s="172">
        <f>MIN(1,MAX(VLOOKUP(($AJ132-$AI132-$AH132-$AG132-$AF132-$AE132*(1+HK$3))/$AJ132,'Технический лист'!$A:$B,2,1),(HJ132-0.05)))</f>
        <v/>
      </c>
      <c r="HL132" s="172">
        <f>MIN(1,MAX(VLOOKUP(($AJ132-$AI132-$AH132-$AG132-$AF132-$AE132*(1+HL$3))/$AJ132,'Технический лист'!$A:$B,2,1),(HK132-0.05)))</f>
        <v/>
      </c>
      <c r="HM132" s="172">
        <f>MIN(1,MAX(VLOOKUP(($AJ132-$AI132-$AH132-$AG132-$AF132-$AE132*(1+HM$3))/$AJ132,'Технический лист'!$A:$B,2,1),(HL132-0.05)))</f>
        <v/>
      </c>
      <c r="HN132" s="172">
        <f>MIN(1,MAX(VLOOKUP(($AJ132-$AI132-$AH132-$AG132-$AF132-$AE132*(1+HN$3))/$AJ132,'Технический лист'!$A:$B,2,1),(HM132-0.05)))</f>
        <v/>
      </c>
      <c r="HO132" s="172">
        <f>MIN(1,MAX(VLOOKUP(($AJ132-$AI132-$AH132-$AG132-$AF132-$AE132*(1+HO$3))/$AJ132,'Технический лист'!$A:$B,2,1),(HN132-0.05)))</f>
        <v/>
      </c>
      <c r="HP132" s="172">
        <f>MIN(1,MAX(VLOOKUP(($AJ132-$AI132-$AH132-$AG132-$AF132-$AE132*(1+HP$3))/$AJ132,'Технический лист'!$A:$B,2,1),(HO132-0.05)))</f>
        <v/>
      </c>
      <c r="HQ132" s="172">
        <f>MIN(1,MAX(VLOOKUP(($AJ132-$AI132-$AH132-$AG132-$AF132-$AE132*(1+HQ$3))/$AJ132,'Технический лист'!$A:$B,2,1),(HP132-0.05)))</f>
        <v/>
      </c>
      <c r="HR132" s="172">
        <f>MIN(1,MAX(VLOOKUP(($AJ132-$AI132-$AH132-$AG132-$AF132-$AE132*(1+HR$3))/$AJ132,'Технический лист'!$A:$B,2,1),(HQ132-0.05)))</f>
        <v/>
      </c>
      <c r="HS132" s="172">
        <f>MIN(1,MAX(VLOOKUP(($AJ132-$AI132-$AH132-$AG132-$AF132-$AE132*(1+HS$3))/$AJ132,'Технический лист'!$A:$B,2,1),(HR132-0.05)))</f>
        <v/>
      </c>
      <c r="HT132" s="172">
        <f>MIN(1,MAX(VLOOKUP(($AJ132-$AI132-$AH132-$AG132-$AF132-$AE132*(1+HT$3))/$AJ132,'Технический лист'!$A:$B,2,1),(HS132-0.05)))</f>
        <v/>
      </c>
      <c r="HU132" s="172">
        <f>MIN(1,MAX(VLOOKUP(($AJ132-$AI132-$AH132-$AG132-$AF132-$AE132*(1+HU$3))/$AJ132,'Технический лист'!$A:$B,2,1),(HT132-0.05)))</f>
        <v/>
      </c>
      <c r="HV132" s="172">
        <f>MIN(1,MAX(VLOOKUP(($AJ132-$AI132-$AH132-$AG132-$AF132-$AE132*(1+HV$3))/$AJ132,'Технический лист'!$A:$B,2,1),(HU132-0.05)))</f>
        <v/>
      </c>
      <c r="HW132" s="172">
        <f>MIN(1,MAX(VLOOKUP(($AJ132-$AI132-$AH132-$AG132-$AF132-$AE132*(1+HW$3))/$AJ132,'Технический лист'!$A:$B,2,1),(HV132-0.05)))</f>
        <v/>
      </c>
      <c r="HX132" s="172">
        <f>MIN(1,MAX(VLOOKUP(($AJ132-$AI132-$AH132-$AG132-$AF132-$AE132*(1+HX$3))/$AJ132,'Технический лист'!$A:$B,2,1),(HW132-0.05)))</f>
        <v/>
      </c>
      <c r="HY132" s="172">
        <f>MIN(1,MAX(VLOOKUP(($AJ132-$AI132-$AH132-$AG132-$AF132-$AE132*(1+HY$3))/$AJ132,'Технический лист'!$A:$B,2,1),(HX132-0.05)))</f>
        <v/>
      </c>
      <c r="HZ132" s="172">
        <f>MIN(1,MAX(VLOOKUP(($AJ132-$AI132-$AH132-$AG132-$AF132-$AE132*(1+HZ$3))/$AJ132,'Технический лист'!$A:$B,2,1),(HY132-0.05)))</f>
        <v/>
      </c>
      <c r="IA132" s="172">
        <f>MIN(1,MAX(VLOOKUP(($AJ132-$AI132-$AH132-$AG132-$AF132-$AE132*(1+IA$3))/$AJ132,'Технический лист'!$A:$B,2,1),(HZ132-0.05)))</f>
        <v/>
      </c>
      <c r="IB132" s="172">
        <f>MIN(1,MAX(VLOOKUP(($AJ132-$AI132-$AH132-$AG132-$AF132-$AE132*(1+IB$3))/$AJ132,'Технический лист'!$A:$B,2,1),(IA132-0.05)))</f>
        <v/>
      </c>
      <c r="IC132" s="172">
        <f>MIN(1,MAX(VLOOKUP(($AJ132-$AI132-$AH132-$AG132-$AF132-$AE132*(1+IC$3))/$AJ132,'Технический лист'!$A:$B,2,1),(IB132-0.05)))</f>
        <v/>
      </c>
      <c r="ID132" s="172">
        <f>MIN(1,MAX(VLOOKUP(($AJ132-$AI132-$AH132-$AG132-$AF132-$AE132*(1+ID$3))/$AJ132,'Технический лист'!$A:$B,2,1),(IC132-0.05)))</f>
        <v/>
      </c>
      <c r="IE132" s="172">
        <f>MIN(1,MAX(VLOOKUP(($AJ132-$AI132-$AH132-$AG132-$AF132-$AE132*(1+IE$3))/$AJ132,'Технический лист'!$A:$B,2,1),(ID132-0.05)))</f>
        <v/>
      </c>
      <c r="IF132" s="172">
        <f>MIN(1,MAX(VLOOKUP(($AJ132-$AI132-$AH132-$AG132-$AF132-$AE132*(1+IF$3))/$AJ132,'Технический лист'!$A:$B,2,1),(IE132-0.05)))</f>
        <v/>
      </c>
      <c r="IG132" s="172">
        <f>MIN(1,MAX(VLOOKUP(($AJ132-$AI132-$AH132-$AG132-$AF132-$AE132*(1+IG$3))/$AJ132,'Технический лист'!$A:$B,2,1),(IF132-0.05)))</f>
        <v/>
      </c>
      <c r="IH132" s="172">
        <f>MIN(1,MAX(VLOOKUP(($AJ132-$AI132-$AH132-$AG132-$AF132-$AE132*(1+IH$3))/$AJ132,'Технический лист'!$A:$B,2,1),(IG132-0.05)))</f>
        <v/>
      </c>
      <c r="II132" s="172">
        <f>MIN(1,MAX(VLOOKUP(($AJ132-$AI132-$AH132-$AG132-$AF132-$AE132*(1+II$3))/$AJ132,'Технический лист'!$A:$B,2,1),(IH132-0.05)))</f>
        <v/>
      </c>
      <c r="IJ132" s="172">
        <f>MIN(1,MAX(VLOOKUP(($AJ132-$AI132-$AH132-$AG132-$AF132-$AE132*(1+IJ$3))/$AJ132,'Технический лист'!$A:$B,2,1),(II132-0.05)))</f>
        <v/>
      </c>
      <c r="IK132" s="172">
        <f>MIN(1,MAX(VLOOKUP(($AJ132-$AI132-$AH132-$AG132-$AF132-$AE132*(1+IK$3))/$AJ132,'Технический лист'!$A:$B,2,1),(IJ132-0.05)))</f>
        <v/>
      </c>
      <c r="IL132" s="172">
        <f>MIN(1,MAX(VLOOKUP(($AJ132-$AI132-$AH132-$AG132-$AF132-$AE132*(1+IL$3))/$AJ132,'Технический лист'!$A:$B,2,1),(IK132-0.05)))</f>
        <v/>
      </c>
      <c r="IM132" s="172">
        <f>MIN(1,MAX(VLOOKUP(($AJ132-$AI132-$AH132-$AG132-$AF132-$AE132*(1+IM$3))/$AJ132,'Технический лист'!$A:$B,2,1),(IL132-0.05)))</f>
        <v/>
      </c>
      <c r="IN132" s="172">
        <f>MIN(1,MAX(VLOOKUP(($AJ132-$AI132-$AH132-$AG132-$AF132-$AE132*(1+IN$3))/$AJ132,'Технический лист'!$A:$B,2,1),(IM132-0.05)))</f>
        <v/>
      </c>
      <c r="IO132" s="172">
        <f>MIN(1,MAX(VLOOKUP(($AJ132-$AI132-$AH132-$AG132-$AF132-$AE132*(1+IO$3))/$AJ132,'Технический лист'!$A:$B,2,1),(IN132-0.05)))</f>
        <v/>
      </c>
      <c r="IP132" s="172">
        <f>MIN(1,MAX(VLOOKUP(($AJ132-$AI132-$AH132-$AG132-$AF132-$AE132*(1+IP$3))/$AJ132,'Технический лист'!$A:$B,2,1),(IO132-0.05)))</f>
        <v/>
      </c>
      <c r="IQ132" s="172">
        <f>MIN(1,MAX(VLOOKUP(($AJ132-$AI132-$AH132-$AG132-$AF132-$AE132*(1+IQ$3))/$AJ132,'Технический лист'!$A:$B,2,1),(IP132-0.05)))</f>
        <v/>
      </c>
      <c r="IR132" s="172">
        <f>MIN(1,MAX(VLOOKUP(($AJ132-$AI132-$AH132-$AG132-$AF132-$AE132*(1+IR$3))/$AJ132,'Технический лист'!$A:$B,2,1),(IQ132-0.05)))</f>
        <v/>
      </c>
    </row>
    <row r="133" ht="29.15" customHeight="1" s="123">
      <c r="A133" s="89" t="inlineStr">
        <is>
          <t>ЦМ (продукция)</t>
        </is>
      </c>
      <c r="B133" s="90" t="n">
        <v>10</v>
      </c>
      <c r="C133" s="5" t="inlineStr">
        <is>
          <t>Остальные грузы</t>
        </is>
      </c>
      <c r="D133" s="91" t="n">
        <v>33101</v>
      </c>
      <c r="E133" s="91" t="inlineStr">
        <is>
          <t xml:space="preserve">Алюминий </t>
        </is>
      </c>
      <c r="F133" s="92" t="inlineStr">
        <is>
          <t>МЕТАЛЛЫ ЦВЕТНЫЕ И ИХ СПЛА</t>
        </is>
      </c>
      <c r="G133" s="91" t="inlineStr">
        <is>
          <t>КРС</t>
        </is>
      </c>
      <c r="H133" s="91" t="inlineStr">
        <is>
          <t>КБШ</t>
        </is>
      </c>
      <c r="I133" s="91" t="inlineStr">
        <is>
          <t>КРАСНОЯРСК-С</t>
        </is>
      </c>
      <c r="J133" s="91" t="inlineStr">
        <is>
          <t>СРЕДНЕВОЛЖСК</t>
        </is>
      </c>
      <c r="K133" s="91" t="n">
        <v>3219</v>
      </c>
      <c r="L133" s="91" t="inlineStr">
        <is>
          <t>Полувагоны</t>
        </is>
      </c>
      <c r="M133" s="91" t="inlineStr">
        <is>
          <t>Внутр. перевозки</t>
        </is>
      </c>
      <c r="N133" s="91" t="inlineStr">
        <is>
          <t>вагонная</t>
        </is>
      </c>
      <c r="O133" s="91" t="inlineStr">
        <is>
          <t xml:space="preserve">Южное </t>
        </is>
      </c>
      <c r="P133" s="89" t="inlineStr">
        <is>
          <t>'000005785218</t>
        </is>
      </c>
      <c r="Q133" s="91" t="inlineStr">
        <is>
          <t>'АО "РУСАЛ Красноярский алюминиевый Завод"</t>
        </is>
      </c>
      <c r="R133" s="91" t="inlineStr">
        <is>
          <t>ОК РУСАЛ</t>
        </is>
      </c>
      <c r="S133" s="87" t="n">
        <v>81264</v>
      </c>
      <c r="T133" s="87" t="n">
        <v>261606168</v>
      </c>
      <c r="U133" s="88" t="n">
        <v>1237</v>
      </c>
      <c r="V133" s="88" t="n">
        <v>0</v>
      </c>
      <c r="W133" s="87" t="n">
        <v>331358163</v>
      </c>
      <c r="X133" s="112" t="n">
        <v>66</v>
      </c>
      <c r="Y133" s="112" t="inlineStr">
        <is>
          <t>повагонная</t>
        </is>
      </c>
      <c r="Z133" s="113" t="n">
        <v>11</v>
      </c>
      <c r="AA133" s="113" t="n">
        <v>9</v>
      </c>
      <c r="AB133" s="113" t="n">
        <v>4</v>
      </c>
      <c r="AC133" s="161" t="n">
        <v>4600.73</v>
      </c>
      <c r="AD133" s="161">
        <f>AE133-AC133</f>
        <v/>
      </c>
      <c r="AE133" s="161" t="n">
        <v>5330.55</v>
      </c>
      <c r="AF133" s="162">
        <f>(Z133+AA133+AB133)*'Ставки аренды'!$B$3/X133</f>
        <v/>
      </c>
      <c r="AG133" s="164" t="n">
        <v>0</v>
      </c>
      <c r="AH133" s="164" t="n">
        <v>0</v>
      </c>
      <c r="AI133" s="165">
        <f>12254/14812*AVERAGE(AJ134,AJ137)</f>
        <v/>
      </c>
      <c r="AJ133" s="166">
        <f>Цены!D19</f>
        <v/>
      </c>
      <c r="AK133" s="164">
        <f>AJ133/Цены!$B$1</f>
        <v/>
      </c>
      <c r="AL133" s="164">
        <f>AE133+AF133+AG133</f>
        <v/>
      </c>
      <c r="AM133" s="164">
        <f>AJ133-AL133</f>
        <v/>
      </c>
      <c r="AN133" s="164">
        <f>AI133+AH133+AG133+AF133+AE133</f>
        <v/>
      </c>
      <c r="AO133" s="167">
        <f>(AJ133-AN133)/AJ133</f>
        <v/>
      </c>
      <c r="AP133" s="168">
        <f>AL133/AJ133</f>
        <v/>
      </c>
      <c r="AQ133" s="168">
        <f>AE133/AJ133</f>
        <v/>
      </c>
      <c r="AR133" s="168">
        <f>AE133/AL133</f>
        <v/>
      </c>
      <c r="AS133" s="169" t="n">
        <v>1</v>
      </c>
      <c r="AT133" s="121">
        <f>S133*AS133</f>
        <v/>
      </c>
      <c r="AU133" s="83" t="n">
        <v>0.95</v>
      </c>
      <c r="AV133" s="170">
        <f>(AJ133-(AE133*(1+$IS$2)+AF133+AG133+AH133+AI133))/AJ133</f>
        <v/>
      </c>
      <c r="AW133" s="171">
        <f>(AE133*(1+$IS$2)+AF133+AG133)/AJ133</f>
        <v/>
      </c>
      <c r="AX133" s="171">
        <f>(AE133*(1+$IS$2))/AJ133</f>
        <v/>
      </c>
      <c r="AY133" s="171">
        <f>(AE133*(1+$IS$2))/(AE133*(1+$IS$2)+AF133+AG133)</f>
        <v/>
      </c>
      <c r="AZ133" s="172">
        <f>MIN(IF($AU133=100%,1,1+VLOOKUP(($AJ133-$AI133-$AH133-$AG133-$AF133-$AE133*(1+AZ$3))/$AJ133,'Технический лист'!$I:$J,2,1)-VLOOKUP($AO133,'Технический лист'!$I:$J,2,1)),1+(1-$AU133))</f>
        <v/>
      </c>
      <c r="BA133" s="172">
        <f>MIN(IF($AU133=100%,1,1+VLOOKUP(($AJ133-$AI133-$AH133-$AG133-$AF133-$AE133*(1+BA$3))/$AJ133,'Технический лист'!$I:$J,2,1)-VLOOKUP($AO133,'Технический лист'!$I:$J,2,1)),1+(1-$AU133))</f>
        <v/>
      </c>
      <c r="BB133" s="172">
        <f>MIN(IF($AU133=100%,1,1+VLOOKUP(($AJ133-$AI133-$AH133-$AG133-$AF133-$AE133*(1+BB$3))/$AJ133,'Технический лист'!$I:$J,2,1)-VLOOKUP($AO133,'Технический лист'!$I:$J,2,1)),1+(1-$AU133))</f>
        <v/>
      </c>
      <c r="BC133" s="172">
        <f>MIN(IF($AU133=100%,1,1+VLOOKUP(($AJ133-$AI133-$AH133-$AG133-$AF133-$AE133*(1+BC$3))/$AJ133,'Технический лист'!$I:$J,2,1)-VLOOKUP($AO133,'Технический лист'!$I:$J,2,1)),1+(1-$AU133))</f>
        <v/>
      </c>
      <c r="BD133" s="172">
        <f>MIN(IF($AU133=100%,1,1+VLOOKUP(($AJ133-$AI133-$AH133-$AG133-$AF133-$AE133*(1+BD$3))/$AJ133,'Технический лист'!$I:$J,2,1)-VLOOKUP($AO133,'Технический лист'!$I:$J,2,1)),1+(1-$AU133))</f>
        <v/>
      </c>
      <c r="BE133" s="172">
        <f>MIN(IF($AU133=100%,1,1+VLOOKUP(($AJ133-$AI133-$AH133-$AG133-$AF133-$AE133*(1+BE$3))/$AJ133,'Технический лист'!$I:$J,2,1)-VLOOKUP($AO133,'Технический лист'!$I:$J,2,1)),1+(1-$AU133))</f>
        <v/>
      </c>
      <c r="BF133" s="172">
        <f>MIN(IF($AU133=100%,1,1+VLOOKUP(($AJ133-$AI133-$AH133-$AG133-$AF133-$AE133*(1+BF$3))/$AJ133,'Технический лист'!$I:$J,2,1)-VLOOKUP($AO133,'Технический лист'!$I:$J,2,1)),1+(1-$AU133))</f>
        <v/>
      </c>
      <c r="BG133" s="172">
        <f>MIN(IF($AU133=100%,1,1+VLOOKUP(($AJ133-$AI133-$AH133-$AG133-$AF133-$AE133*(1+BG$3))/$AJ133,'Технический лист'!$I:$J,2,1)-VLOOKUP($AO133,'Технический лист'!$I:$J,2,1)),1+(1-$AU133))</f>
        <v/>
      </c>
      <c r="BH133" s="172">
        <f>MIN(IF($AU133=100%,1,1+VLOOKUP(($AJ133-$AI133-$AH133-$AG133-$AF133-$AE133*(1+BH$3))/$AJ133,'Технический лист'!$I:$J,2,1)-VLOOKUP($AO133,'Технический лист'!$I:$J,2,1)),1+(1-$AU133))</f>
        <v/>
      </c>
      <c r="BI133" s="172">
        <f>MIN(IF($AU133=100%,1,1+VLOOKUP(($AJ133-$AI133-$AH133-$AG133-$AF133-$AE133*(1+BI$3))/$AJ133,'Технический лист'!$I:$J,2,1)-VLOOKUP($AO133,'Технический лист'!$I:$J,2,1)),1+(1-$AU133))</f>
        <v/>
      </c>
      <c r="BJ133" s="172">
        <f>MIN(IF($AU133=100%,1,1+VLOOKUP(($AJ133-$AI133-$AH133-$AG133-$AF133-$AE133*(1+BJ$3))/$AJ133,'Технический лист'!$I:$J,2,1)-VLOOKUP($AO133,'Технический лист'!$I:$J,2,1)),1+(1-$AU133))</f>
        <v/>
      </c>
      <c r="BK133" s="172">
        <f>MIN(IF($AU133=100%,1,1+VLOOKUP(($AJ133-$AI133-$AH133-$AG133-$AF133-$AE133*(1+BK$3))/$AJ133,'Технический лист'!$I:$J,2,1)-VLOOKUP($AO133,'Технический лист'!$I:$J,2,1)),1+(1-$AU133))</f>
        <v/>
      </c>
      <c r="BL133" s="172">
        <f>MIN(IF($AU133=100%,1,1+VLOOKUP(($AJ133-$AI133-$AH133-$AG133-$AF133-$AE133*(1+BL$3))/$AJ133,'Технический лист'!$I:$J,2,1)-VLOOKUP($AO133,'Технический лист'!$I:$J,2,1)),1+(1-$AU133))</f>
        <v/>
      </c>
      <c r="BM133" s="172">
        <f>MIN(IF($AU133=100%,1,1+VLOOKUP(($AJ133-$AI133-$AH133-$AG133-$AF133-$AE133*(1+BM$3))/$AJ133,'Технический лист'!$I:$J,2,1)-VLOOKUP($AO133,'Технический лист'!$I:$J,2,1)),1+(1-$AU133))</f>
        <v/>
      </c>
      <c r="BN133" s="172">
        <f>MIN(IF($AU133=100%,1,1+VLOOKUP(($AJ133-$AI133-$AH133-$AG133-$AF133-$AE133*(1+BN$3))/$AJ133,'Технический лист'!$I:$J,2,1)-VLOOKUP($AO133,'Технический лист'!$I:$J,2,1)),1+(1-$AU133))</f>
        <v/>
      </c>
      <c r="BO133" s="172">
        <f>MIN(IF($AU133=100%,1,1+VLOOKUP(($AJ133-$AI133-$AH133-$AG133-$AF133-$AE133*(1+BO$3))/$AJ133,'Технический лист'!$I:$J,2,1)-VLOOKUP($AO133,'Технический лист'!$I:$J,2,1)),1+(1-$AU133))</f>
        <v/>
      </c>
      <c r="BP133" s="172">
        <f>MIN(IF($AU133=100%,1,1+VLOOKUP(($AJ133-$AI133-$AH133-$AG133-$AF133-$AE133*(1+BP$3))/$AJ133,'Технический лист'!$I:$J,2,1)-VLOOKUP($AO133,'Технический лист'!$I:$J,2,1)),1+(1-$AU133))</f>
        <v/>
      </c>
      <c r="BQ133" s="172">
        <f>MIN(IF($AU133=100%,1,1+VLOOKUP(($AJ133-$AI133-$AH133-$AG133-$AF133-$AE133*(1+BQ$3))/$AJ133,'Технический лист'!$I:$J,2,1)-VLOOKUP($AO133,'Технический лист'!$I:$J,2,1)),1+(1-$AU133))</f>
        <v/>
      </c>
      <c r="BR133" s="172">
        <f>MIN(IF($AU133=100%,1,1+VLOOKUP(($AJ133-$AI133-$AH133-$AG133-$AF133-$AE133*(1+BR$3))/$AJ133,'Технический лист'!$I:$J,2,1)-VLOOKUP($AO133,'Технический лист'!$I:$J,2,1)),1+(1-$AU133))</f>
        <v/>
      </c>
      <c r="BS133" s="172">
        <f>MIN(IF($AU133=100%,1,1+VLOOKUP(($AJ133-$AI133-$AH133-$AG133-$AF133-$AE133*(1+BS$3))/$AJ133,'Технический лист'!$I:$J,2,1)-VLOOKUP($AO133,'Технический лист'!$I:$J,2,1)),1+(1-$AU133))</f>
        <v/>
      </c>
      <c r="BT133" s="172">
        <f>MIN(IF($AU133=100%,1,1+VLOOKUP(($AJ133-$AI133-$AH133-$AG133-$AF133-$AE133*(1+BT$3))/$AJ133,'Технический лист'!$I:$J,2,1)-VLOOKUP($AO133,'Технический лист'!$I:$J,2,1)),1+(1-$AU133))</f>
        <v/>
      </c>
      <c r="BU133" s="172">
        <f>MIN(IF($AU133=100%,1,1+VLOOKUP(($AJ133-$AI133-$AH133-$AG133-$AF133-$AE133*(1+BU$3))/$AJ133,'Технический лист'!$I:$J,2,1)-VLOOKUP($AO133,'Технический лист'!$I:$J,2,1)),1+(1-$AU133))</f>
        <v/>
      </c>
      <c r="BV133" s="172">
        <f>MIN(IF($AU133=100%,1,1+VLOOKUP(($AJ133-$AI133-$AH133-$AG133-$AF133-$AE133*(1+BV$3))/$AJ133,'Технический лист'!$I:$J,2,1)-VLOOKUP($AO133,'Технический лист'!$I:$J,2,1)),1+(1-$AU133))</f>
        <v/>
      </c>
      <c r="BW133" s="172">
        <f>MIN(IF($AU133=100%,1,1+VLOOKUP(($AJ133-$AI133-$AH133-$AG133-$AF133-$AE133*(1+BW$3))/$AJ133,'Технический лист'!$I:$J,2,1)-VLOOKUP($AO133,'Технический лист'!$I:$J,2,1)),1+(1-$AU133))</f>
        <v/>
      </c>
      <c r="BX133" s="172">
        <f>MIN(IF($AU133=100%,1,1+VLOOKUP(($AJ133-$AI133-$AH133-$AG133-$AF133-$AE133*(1+BX$3))/$AJ133,'Технический лист'!$I:$J,2,1)-VLOOKUP($AO133,'Технический лист'!$I:$J,2,1)),1+(1-$AU133))</f>
        <v/>
      </c>
      <c r="BY133" s="172">
        <f>MIN(IF($AU133=100%,1,1+VLOOKUP(($AJ133-$AI133-$AH133-$AG133-$AF133-$AE133*(1+BY$3))/$AJ133,'Технический лист'!$I:$J,2,1)-VLOOKUP($AO133,'Технический лист'!$I:$J,2,1)),1+(1-$AU133))</f>
        <v/>
      </c>
      <c r="BZ133" s="172">
        <f>MIN(IF($AU133=100%,1,1+VLOOKUP(($AJ133-$AI133-$AH133-$AG133-$AF133-$AE133*(1+BZ$3))/$AJ133,'Технический лист'!$I:$J,2,1)-VLOOKUP($AO133,'Технический лист'!$I:$J,2,1)),1+(1-$AU133))</f>
        <v/>
      </c>
      <c r="CA133" s="172">
        <f>MIN(IF($AU133=100%,1,1+VLOOKUP(($AJ133-$AI133-$AH133-$AG133-$AF133-$AE133*(1+CA$3))/$AJ133,'Технический лист'!$I:$J,2,1)-VLOOKUP($AO133,'Технический лист'!$I:$J,2,1)),1+(1-$AU133))</f>
        <v/>
      </c>
      <c r="CB133" s="172">
        <f>MIN(IF($AU133=100%,1,1+VLOOKUP(($AJ133-$AI133-$AH133-$AG133-$AF133-$AE133*(1+CB$3))/$AJ133,'Технический лист'!$I:$J,2,1)-VLOOKUP($AO133,'Технический лист'!$I:$J,2,1)),1+(1-$AU133))</f>
        <v/>
      </c>
      <c r="CC133" s="172">
        <f>MIN(IF($AU133=100%,1,1+VLOOKUP(($AJ133-$AI133-$AH133-$AG133-$AF133-$AE133*(1+CC$3))/$AJ133,'Технический лист'!$I:$J,2,1)-VLOOKUP($AO133,'Технический лист'!$I:$J,2,1)),1+(1-$AU133))</f>
        <v/>
      </c>
      <c r="CD133" s="172">
        <f>MIN(IF($AU133=100%,1,1+VLOOKUP(($AJ133-$AI133-$AH133-$AG133-$AF133-$AE133*(1+CD$3))/$AJ133,'Технический лист'!$I:$J,2,1)-VLOOKUP($AO133,'Технический лист'!$I:$J,2,1)),1+(1-$AU133))</f>
        <v/>
      </c>
      <c r="CE133" s="172">
        <f>MIN(IF($AU133=100%,1,1+VLOOKUP(($AJ133-$AI133-$AH133-$AG133-$AF133-$AE133*(1+CE$3))/$AJ133,'Технический лист'!$I:$J,2,1)-VLOOKUP($AO133,'Технический лист'!$I:$J,2,1)),1+(1-$AU133))</f>
        <v/>
      </c>
      <c r="CF133" s="172">
        <f>MIN(IF($AU133=100%,1,1+VLOOKUP(($AJ133-$AI133-$AH133-$AG133-$AF133-$AE133*(1+CF$3))/$AJ133,'Технический лист'!$I:$J,2,1)-VLOOKUP($AO133,'Технический лист'!$I:$J,2,1)),1+(1-$AU133))</f>
        <v/>
      </c>
      <c r="CG133" s="172">
        <f>MIN(IF($AU133=100%,1,1+VLOOKUP(($AJ133-$AI133-$AH133-$AG133-$AF133-$AE133*(1+CG$3))/$AJ133,'Технический лист'!$I:$J,2,1)-VLOOKUP($AO133,'Технический лист'!$I:$J,2,1)),1+(1-$AU133))</f>
        <v/>
      </c>
      <c r="CH133" s="172">
        <f>MIN(IF($AU133=100%,1,1+VLOOKUP(($AJ133-$AI133-$AH133-$AG133-$AF133-$AE133*(1+CH$3))/$AJ133,'Технический лист'!$I:$J,2,1)-VLOOKUP($AO133,'Технический лист'!$I:$J,2,1)),1+(1-$AU133))</f>
        <v/>
      </c>
      <c r="CI133" s="172">
        <f>MIN(IF($AU133=100%,1,1+VLOOKUP(($AJ133-$AI133-$AH133-$AG133-$AF133-$AE133*(1+CI$3))/$AJ133,'Технический лист'!$I:$J,2,1)-VLOOKUP($AO133,'Технический лист'!$I:$J,2,1)),1+(1-$AU133))</f>
        <v/>
      </c>
      <c r="CJ133" s="172">
        <f>MIN(IF($AU133=100%,1,1+VLOOKUP(($AJ133-$AI133-$AH133-$AG133-$AF133-$AE133*(1+CJ$3))/$AJ133,'Технический лист'!$I:$J,2,1)-VLOOKUP($AO133,'Технический лист'!$I:$J,2,1)),1+(1-$AU133))</f>
        <v/>
      </c>
      <c r="CK133" s="172">
        <f>MIN(IF($AU133=100%,1,1+VLOOKUP(($AJ133-$AI133-$AH133-$AG133-$AF133-$AE133*(1+CK$3))/$AJ133,'Технический лист'!$I:$J,2,1)-VLOOKUP($AO133,'Технический лист'!$I:$J,2,1)),1+(1-$AU133))</f>
        <v/>
      </c>
      <c r="CL133" s="172">
        <f>MIN(IF($AU133=100%,1,1+VLOOKUP(($AJ133-$AI133-$AH133-$AG133-$AF133-$AE133*(1+CL$3))/$AJ133,'Технический лист'!$I:$J,2,1)-VLOOKUP($AO133,'Технический лист'!$I:$J,2,1)),1+(1-$AU133))</f>
        <v/>
      </c>
      <c r="CM133" s="172">
        <f>MIN(IF($AU133=100%,1,1+VLOOKUP(($AJ133-$AI133-$AH133-$AG133-$AF133-$AE133*(1+CM$3))/$AJ133,'Технический лист'!$I:$J,2,1)-VLOOKUP($AO133,'Технический лист'!$I:$J,2,1)),1+(1-$AU133))</f>
        <v/>
      </c>
      <c r="CN133" s="172">
        <f>MIN(IF($AU133=100%,1,1+VLOOKUP(($AJ133-$AI133-$AH133-$AG133-$AF133-$AE133*(1+CN$3))/$AJ133,'Технический лист'!$I:$J,2,1)-VLOOKUP($AO133,'Технический лист'!$I:$J,2,1)),1+(1-$AU133))</f>
        <v/>
      </c>
      <c r="CO133" s="172">
        <f>MIN(IF($AU133=100%,1,1+VLOOKUP(($AJ133-$AI133-$AH133-$AG133-$AF133-$AE133*(1+CO$3))/$AJ133,'Технический лист'!$I:$J,2,1)-VLOOKUP($AO133,'Технический лист'!$I:$J,2,1)),1+(1-$AU133))</f>
        <v/>
      </c>
      <c r="CP133" s="172">
        <f>MIN(IF($AU133=100%,1,1+VLOOKUP(($AJ133-$AI133-$AH133-$AG133-$AF133-$AE133*(1+CP$3))/$AJ133,'Технический лист'!$I:$J,2,1)-VLOOKUP($AO133,'Технический лист'!$I:$J,2,1)),1+(1-$AU133))</f>
        <v/>
      </c>
      <c r="CQ133" s="172">
        <f>MIN(IF($AU133=100%,1,1+VLOOKUP(($AJ133-$AI133-$AH133-$AG133-$AF133-$AE133*(1+CQ$3))/$AJ133,'Технический лист'!$I:$J,2,1)-VLOOKUP($AO133,'Технический лист'!$I:$J,2,1)),1+(1-$AU133))</f>
        <v/>
      </c>
      <c r="CR133" s="172">
        <f>MIN(IF($AU133=100%,1,1+VLOOKUP(($AJ133-$AI133-$AH133-$AG133-$AF133-$AE133*(1+CR$3))/$AJ133,'Технический лист'!$I:$J,2,1)-VLOOKUP($AO133,'Технический лист'!$I:$J,2,1)),1+(1-$AU133))</f>
        <v/>
      </c>
      <c r="CS133" s="172">
        <f>MIN(IF($AU133=100%,1,1+VLOOKUP(($AJ133-$AI133-$AH133-$AG133-$AF133-$AE133*(1+CS$3))/$AJ133,'Технический лист'!$I:$J,2,1)-VLOOKUP($AO133,'Технический лист'!$I:$J,2,1)),1+(1-$AU133))</f>
        <v/>
      </c>
      <c r="CT133" s="172">
        <f>MIN(IF($AU133=100%,1,1+VLOOKUP(($AJ133-$AI133-$AH133-$AG133-$AF133-$AE133*(1+CT$3))/$AJ133,'Технический лист'!$I:$J,2,1)-VLOOKUP($AO133,'Технический лист'!$I:$J,2,1)),1+(1-$AU133))</f>
        <v/>
      </c>
      <c r="CU133" s="172">
        <f>MIN(IF($AU133=100%,1,1+VLOOKUP(($AJ133-$AI133-$AH133-$AG133-$AF133-$AE133*(1+CU$3))/$AJ133,'Технический лист'!$I:$J,2,1)-VLOOKUP($AO133,'Технический лист'!$I:$J,2,1)),1+(1-$AU133))</f>
        <v/>
      </c>
      <c r="CV133" s="172">
        <f>MIN(IF($AU133=100%,1,1+VLOOKUP(($AJ133-$AI133-$AH133-$AG133-$AF133-$AE133*(1+CV$3))/$AJ133,'Технический лист'!$I:$J,2,1)-VLOOKUP($AO133,'Технический лист'!$I:$J,2,1)),1+(1-$AU133))</f>
        <v/>
      </c>
      <c r="CW133" s="172">
        <f>MIN(IF($AU133=100%,1,1+VLOOKUP(($AJ133-$AI133-$AH133-$AG133-$AF133-$AE133*(1+CW$3))/$AJ133,'Технический лист'!$I:$J,2,1)-VLOOKUP($AO133,'Технический лист'!$I:$J,2,1)),1+(1-$AU133))</f>
        <v/>
      </c>
      <c r="CX133" s="172">
        <f>MIN(IF($AU133=100%,1,1+VLOOKUP(($AJ133-$AI133-$AH133-$AG133-$AF133-$AE133*(1+CX$3))/$AJ133,'Технический лист'!$I:$J,2,1)-VLOOKUP($AO133,'Технический лист'!$I:$J,2,1)),1+(1-$AU133))</f>
        <v/>
      </c>
      <c r="CY133" s="172">
        <f>MIN(IF($AU133=100%,1,1+VLOOKUP(($AJ133-$AI133-$AH133-$AG133-$AF133-$AE133*(1+CY$3))/$AJ133,'Технический лист'!$I:$J,2,1)-VLOOKUP($AO133,'Технический лист'!$I:$J,2,1)),1+(1-$AU133))</f>
        <v/>
      </c>
      <c r="CZ133" s="172">
        <f>MIN(IF($AU133=100%,1,1+VLOOKUP(($AJ133-$AI133-$AH133-$AG133-$AF133-$AE133*(1+CZ$3))/$AJ133,'Технический лист'!$I:$J,2,1)-VLOOKUP($AO133,'Технический лист'!$I:$J,2,1)),1+(1-$AU133))</f>
        <v/>
      </c>
      <c r="DA133" s="172">
        <f>MIN(IF($AU133=100%,1,1+VLOOKUP(($AJ133-$AI133-$AH133-$AG133-$AF133-$AE133*(1+DA$3))/$AJ133,'Технический лист'!$I:$J,2,1)-VLOOKUP($AO133,'Технический лист'!$I:$J,2,1)),1+(1-$AU133))</f>
        <v/>
      </c>
      <c r="DB133" s="172">
        <f>MIN(IF($AU133=100%,1,1+VLOOKUP(($AJ133-$AI133-$AH133-$AG133-$AF133-$AE133*(1+DB$3))/$AJ133,'Технический лист'!$I:$J,2,1)-VLOOKUP($AO133,'Технический лист'!$I:$J,2,1)),1+(1-$AU133))</f>
        <v/>
      </c>
      <c r="DC133" s="172">
        <f>MIN(IF($AU133=100%,1,1+VLOOKUP(($AJ133-$AI133-$AH133-$AG133-$AF133-$AE133*(1+DC$3))/$AJ133,'Технический лист'!$I:$J,2,1)-VLOOKUP($AO133,'Технический лист'!$I:$J,2,1)),1+(1-$AU133))</f>
        <v/>
      </c>
      <c r="DD133" s="172">
        <f>MIN(IF($AU133=100%,1,1+VLOOKUP(($AJ133-$AI133-$AH133-$AG133-$AF133-$AE133*(1+DD$3))/$AJ133,'Технический лист'!$I:$J,2,1)-VLOOKUP($AO133,'Технический лист'!$I:$J,2,1)),1+(1-$AU133))</f>
        <v/>
      </c>
      <c r="DE133" s="172">
        <f>MIN(IF($AU133=100%,1,1+VLOOKUP(($AJ133-$AI133-$AH133-$AG133-$AF133-$AE133*(1+DE$3))/$AJ133,'Технический лист'!$I:$J,2,1)-VLOOKUP($AO133,'Технический лист'!$I:$J,2,1)),1+(1-$AU133))</f>
        <v/>
      </c>
      <c r="DF133" s="172">
        <f>MIN(IF($AU133=100%,1,1+VLOOKUP(($AJ133-$AI133-$AH133-$AG133-$AF133-$AE133*(1+DF$3))/$AJ133,'Технический лист'!$I:$J,2,1)-VLOOKUP($AO133,'Технический лист'!$I:$J,2,1)),1+(1-$AU133))</f>
        <v/>
      </c>
      <c r="DG133" s="172">
        <f>MIN(IF($AU133=100%,1,1+VLOOKUP(($AJ133-$AI133-$AH133-$AG133-$AF133-$AE133*(1+DG$3))/$AJ133,'Технический лист'!$I:$J,2,1)-VLOOKUP($AO133,'Технический лист'!$I:$J,2,1)),1+(1-$AU133))</f>
        <v/>
      </c>
      <c r="DH133" s="172">
        <f>MIN(IF($AU133=100%,1,1+VLOOKUP(($AJ133-$AI133-$AH133-$AG133-$AF133-$AE133*(1+DH$3))/$AJ133,'Технический лист'!$I:$J,2,1)-VLOOKUP($AO133,'Технический лист'!$I:$J,2,1)),1+(1-$AU133))</f>
        <v/>
      </c>
      <c r="DI133" s="172">
        <f>MIN(IF($AU133=100%,1,1+VLOOKUP(($AJ133-$AI133-$AH133-$AG133-$AF133-$AE133*(1+DI$3))/$AJ133,'Технический лист'!$I:$J,2,1)-VLOOKUP($AO133,'Технический лист'!$I:$J,2,1)),1+(1-$AU133))</f>
        <v/>
      </c>
      <c r="DJ133" s="172">
        <f>MIN(IF($AU133=100%,1,1+VLOOKUP(($AJ133-$AI133-$AH133-$AG133-$AF133-$AE133*(1+DJ$3))/$AJ133,'Технический лист'!$I:$J,2,1)-VLOOKUP($AO133,'Технический лист'!$I:$J,2,1)),1+(1-$AU133))</f>
        <v/>
      </c>
      <c r="DK133" s="172">
        <f>MIN(IF($AU133=100%,1,1+VLOOKUP(($AJ133-$AI133-$AH133-$AG133-$AF133-$AE133*(1+DK$3))/$AJ133,'Технический лист'!$I:$J,2,1)-VLOOKUP($AO133,'Технический лист'!$I:$J,2,1)),1+(1-$AU133))</f>
        <v/>
      </c>
      <c r="DL133" s="172">
        <f>MIN(IF($AU133=100%,1,1+VLOOKUP(($AJ133-$AI133-$AH133-$AG133-$AF133-$AE133*(1+DL$3))/$AJ133,'Технический лист'!$I:$J,2,1)-VLOOKUP($AO133,'Технический лист'!$I:$J,2,1)),1+(1-$AU133))</f>
        <v/>
      </c>
      <c r="DM133" s="172">
        <f>MIN(IF($AU133=100%,1,1+VLOOKUP(($AJ133-$AI133-$AH133-$AG133-$AF133-$AE133*(1+DM$3))/$AJ133,'Технический лист'!$I:$J,2,1)-VLOOKUP($AO133,'Технический лист'!$I:$J,2,1)),1+(1-$AU133))</f>
        <v/>
      </c>
      <c r="DN133" s="172">
        <f>MIN(IF($AU133=100%,1,1+VLOOKUP(($AJ133-$AI133-$AH133-$AG133-$AF133-$AE133*(1+DN$3))/$AJ133,'Технический лист'!$I:$J,2,1)-VLOOKUP($AO133,'Технический лист'!$I:$J,2,1)),1+(1-$AU133))</f>
        <v/>
      </c>
      <c r="DO133" s="172">
        <f>MIN(IF($AU133=100%,1,1+VLOOKUP(($AJ133-$AI133-$AH133-$AG133-$AF133-$AE133*(1+DO$3))/$AJ133,'Технический лист'!$I:$J,2,1)-VLOOKUP($AO133,'Технический лист'!$I:$J,2,1)),1+(1-$AU133))</f>
        <v/>
      </c>
      <c r="DP133" s="172">
        <f>MIN(IF($AU133=100%,1,1+VLOOKUP(($AJ133-$AI133-$AH133-$AG133-$AF133-$AE133*(1+DP$3))/$AJ133,'Технический лист'!$I:$J,2,1)-VLOOKUP($AO133,'Технический лист'!$I:$J,2,1)),1+(1-$AU133))</f>
        <v/>
      </c>
      <c r="DQ133" s="172">
        <f>MIN(IF($AU133=100%,1,1+VLOOKUP(($AJ133-$AI133-$AH133-$AG133-$AF133-$AE133*(1+DQ$3))/$AJ133,'Технический лист'!$I:$J,2,1)-VLOOKUP($AO133,'Технический лист'!$I:$J,2,1)),1+(1-$AU133))</f>
        <v/>
      </c>
      <c r="DR133" s="172">
        <f>MIN(IF($AU133=100%,1,1+VLOOKUP(($AJ133-$AI133-$AH133-$AG133-$AF133-$AE133*(1+DR$3))/$AJ133,'Технический лист'!$I:$J,2,1)-VLOOKUP($AO133,'Технический лист'!$I:$J,2,1)),1+(1-$AU133))</f>
        <v/>
      </c>
      <c r="DS133" s="172">
        <f>MIN(IF($AU133=100%,1,1+VLOOKUP(($AJ133-$AI133-$AH133-$AG133-$AF133-$AE133*(1+DS$3))/$AJ133,'Технический лист'!$I:$J,2,1)-VLOOKUP($AO133,'Технический лист'!$I:$J,2,1)),1+(1-$AU133))</f>
        <v/>
      </c>
      <c r="DT133" s="172">
        <f>MIN(IF($AU133=100%,1,1+VLOOKUP(($AJ133-$AI133-$AH133-$AG133-$AF133-$AE133*(1+DT$3))/$AJ133,'Технический лист'!$I:$J,2,1)-VLOOKUP($AO133,'Технический лист'!$I:$J,2,1)),1+(1-$AU133))</f>
        <v/>
      </c>
      <c r="DU133" s="172">
        <f>MIN(IF($AU133=100%,1,1+VLOOKUP(($AJ133-$AI133-$AH133-$AG133-$AF133-$AE133*(1+DU$3))/$AJ133,'Технический лист'!$I:$J,2,1)-VLOOKUP($AO133,'Технический лист'!$I:$J,2,1)),1+(1-$AU133))</f>
        <v/>
      </c>
      <c r="DV133" s="172">
        <f>MIN(IF($AU133=100%,1,1+VLOOKUP(($AJ133-$AI133-$AH133-$AG133-$AF133-$AE133*(1+DV$3))/$AJ133,'Технический лист'!$I:$J,2,1)-VLOOKUP($AO133,'Технический лист'!$I:$J,2,1)),1+(1-$AU133))</f>
        <v/>
      </c>
      <c r="DW133" s="172">
        <f>MIN(IF($AU133=100%,1,1+VLOOKUP(($AJ133-$AI133-$AH133-$AG133-$AF133-$AE133*(1+DW$3))/$AJ133,'Технический лист'!$I:$J,2,1)-VLOOKUP($AO133,'Технический лист'!$I:$J,2,1)),1+(1-$AU133))</f>
        <v/>
      </c>
      <c r="DX133" s="172">
        <f>MIN(IF($AU133=100%,1,1+VLOOKUP(($AJ133-$AI133-$AH133-$AG133-$AF133-$AE133*(1+DX$3))/$AJ133,'Технический лист'!$I:$J,2,1)-VLOOKUP($AO133,'Технический лист'!$I:$J,2,1)),1+(1-$AU133))</f>
        <v/>
      </c>
      <c r="DY133" s="172">
        <f>MIN(IF($AU133=100%,1,1+VLOOKUP(($AJ133-$AI133-$AH133-$AG133-$AF133-$AE133*(1+DY$3))/$AJ133,'Технический лист'!$I:$J,2,1)-VLOOKUP($AO133,'Технический лист'!$I:$J,2,1)),1+(1-$AU133))</f>
        <v/>
      </c>
      <c r="DZ133" s="172">
        <f>MIN(IF($AU133=100%,1,1+VLOOKUP(($AJ133-$AI133-$AH133-$AG133-$AF133-$AE133*(1+DZ$3))/$AJ133,'Технический лист'!$I:$J,2,1)-VLOOKUP($AO133,'Технический лист'!$I:$J,2,1)),1+(1-$AU133))</f>
        <v/>
      </c>
      <c r="EA133" s="172">
        <f>MIN(IF($AU133=100%,1,1+VLOOKUP(($AJ133-$AI133-$AH133-$AG133-$AF133-$AE133*(1+EA$3))/$AJ133,'Технический лист'!$I:$J,2,1)-VLOOKUP($AO133,'Технический лист'!$I:$J,2,1)),1+(1-$AU133))</f>
        <v/>
      </c>
      <c r="EB133" s="172">
        <f>MIN(IF($AU133=100%,1,1+VLOOKUP(($AJ133-$AI133-$AH133-$AG133-$AF133-$AE133*(1+EB$3))/$AJ133,'Технический лист'!$I:$J,2,1)-VLOOKUP($AO133,'Технический лист'!$I:$J,2,1)),1+(1-$AU133))</f>
        <v/>
      </c>
      <c r="EC133" s="172">
        <f>MIN(IF($AU133=100%,1,1+VLOOKUP(($AJ133-$AI133-$AH133-$AG133-$AF133-$AE133*(1+EC$3))/$AJ133,'Технический лист'!$I:$J,2,1)-VLOOKUP($AO133,'Технический лист'!$I:$J,2,1)),1+(1-$AU133))</f>
        <v/>
      </c>
      <c r="ED133" s="172">
        <f>MIN(IF($AU133=100%,1,1+VLOOKUP(($AJ133-$AI133-$AH133-$AG133-$AF133-$AE133*(1+ED$3))/$AJ133,'Технический лист'!$I:$J,2,1)-VLOOKUP($AO133,'Технический лист'!$I:$J,2,1)),1+(1-$AU133))</f>
        <v/>
      </c>
      <c r="EE133" s="172">
        <f>MIN(IF($AU133=100%,1,1+VLOOKUP(($AJ133-$AI133-$AH133-$AG133-$AF133-$AE133*(1+EE$3))/$AJ133,'Технический лист'!$I:$J,2,1)-VLOOKUP($AO133,'Технический лист'!$I:$J,2,1)),1+(1-$AU133))</f>
        <v/>
      </c>
      <c r="EF133" s="172">
        <f>MIN(IF($AU133=100%,1,1+VLOOKUP(($AJ133-$AI133-$AH133-$AG133-$AF133-$AE133*(1+EF$3))/$AJ133,'Технический лист'!$I:$J,2,1)-VLOOKUP($AO133,'Технический лист'!$I:$J,2,1)),1+(1-$AU133))</f>
        <v/>
      </c>
      <c r="EG133" s="172">
        <f>MIN(IF($AU133=100%,1,1+VLOOKUP(($AJ133-$AI133-$AH133-$AG133-$AF133-$AE133*(1+EG$3))/$AJ133,'Технический лист'!$I:$J,2,1)-VLOOKUP($AO133,'Технический лист'!$I:$J,2,1)),1+(1-$AU133))</f>
        <v/>
      </c>
      <c r="EH133" s="172">
        <f>MIN(IF($AU133=100%,1,1+VLOOKUP(($AJ133-$AI133-$AH133-$AG133-$AF133-$AE133*(1+EH$3))/$AJ133,'Технический лист'!$I:$J,2,1)-VLOOKUP($AO133,'Технический лист'!$I:$J,2,1)),1+(1-$AU133))</f>
        <v/>
      </c>
      <c r="EI133" s="172">
        <f>MIN(IF($AU133=100%,1,1+VLOOKUP(($AJ133-$AI133-$AH133-$AG133-$AF133-$AE133*(1+EI$3))/$AJ133,'Технический лист'!$I:$J,2,1)-VLOOKUP($AO133,'Технический лист'!$I:$J,2,1)),1+(1-$AU133))</f>
        <v/>
      </c>
      <c r="EJ133" s="172">
        <f>MIN(IF($AU133=100%,1,1+VLOOKUP(($AJ133-$AI133-$AH133-$AG133-$AF133-$AE133*(1+EJ$3))/$AJ133,'Технический лист'!$I:$J,2,1)-VLOOKUP($AO133,'Технический лист'!$I:$J,2,1)),1+(1-$AU133))</f>
        <v/>
      </c>
      <c r="EK133" s="172">
        <f>MIN(IF($AU133=100%,1,1+VLOOKUP(($AJ133-$AI133-$AH133-$AG133-$AF133-$AE133*(1+EK$3))/$AJ133,'Технический лист'!$I:$J,2,1)-VLOOKUP($AO133,'Технический лист'!$I:$J,2,1)),1+(1-$AU133))</f>
        <v/>
      </c>
      <c r="EL133" s="172">
        <f>MIN(IF($AU133=100%,1,1+VLOOKUP(($AJ133-$AI133-$AH133-$AG133-$AF133-$AE133*(1+EL$3))/$AJ133,'Технический лист'!$I:$J,2,1)-VLOOKUP($AO133,'Технический лист'!$I:$J,2,1)),1+(1-$AU133))</f>
        <v/>
      </c>
      <c r="EM133" s="172">
        <f>MIN(IF($AU133=100%,1,1+VLOOKUP(($AJ133-$AI133-$AH133-$AG133-$AF133-$AE133*(1+EM$3))/$AJ133,'Технический лист'!$I:$J,2,1)-VLOOKUP($AO133,'Технический лист'!$I:$J,2,1)),1+(1-$AU133))</f>
        <v/>
      </c>
      <c r="EN133" s="172">
        <f>MIN(IF($AU133=100%,1,1+VLOOKUP(($AJ133-$AI133-$AH133-$AG133-$AF133-$AE133*(1+EN$3))/$AJ133,'Технический лист'!$I:$J,2,1)-VLOOKUP($AO133,'Технический лист'!$I:$J,2,1)),1+(1-$AU133))</f>
        <v/>
      </c>
      <c r="EO133" s="172">
        <f>MIN(IF($AU133=100%,1,1+VLOOKUP(($AJ133-$AI133-$AH133-$AG133-$AF133-$AE133*(1+EO$3))/$AJ133,'Технический лист'!$I:$J,2,1)-VLOOKUP($AO133,'Технический лист'!$I:$J,2,1)),1+(1-$AU133))</f>
        <v/>
      </c>
      <c r="EP133" s="172">
        <f>MIN(IF($AU133=100%,1,1+VLOOKUP(($AJ133-$AI133-$AH133-$AG133-$AF133-$AE133*(1+EP$3))/$AJ133,'Технический лист'!$I:$J,2,1)-VLOOKUP($AO133,'Технический лист'!$I:$J,2,1)),1+(1-$AU133))</f>
        <v/>
      </c>
      <c r="EQ133" s="172">
        <f>MIN(IF($AU133=100%,1,1+VLOOKUP(($AJ133-$AI133-$AH133-$AG133-$AF133-$AE133*(1+EQ$3))/$AJ133,'Технический лист'!$I:$J,2,1)-VLOOKUP($AO133,'Технический лист'!$I:$J,2,1)),1+(1-$AU133))</f>
        <v/>
      </c>
      <c r="ER133" s="172">
        <f>MIN(IF($AU133=100%,1,1+VLOOKUP(($AJ133-$AI133-$AH133-$AG133-$AF133-$AE133*(1+ER$3))/$AJ133,'Технический лист'!$I:$J,2,1)-VLOOKUP($AO133,'Технический лист'!$I:$J,2,1)),1+(1-$AU133))</f>
        <v/>
      </c>
      <c r="ES133" s="172">
        <f>MIN(IF($AU133=100%,1,1+VLOOKUP(($AJ133-$AI133-$AH133-$AG133-$AF133-$AE133*(1+ES$3))/$AJ133,'Технический лист'!$I:$J,2,1)-VLOOKUP($AO133,'Технический лист'!$I:$J,2,1)),1+(1-$AU133))</f>
        <v/>
      </c>
      <c r="ET133" s="172">
        <f>MIN(IF($AU133=100%,1,1+VLOOKUP(($AJ133-$AI133-$AH133-$AG133-$AF133-$AE133*(1+ET$3))/$AJ133,'Технический лист'!$I:$J,2,1)-VLOOKUP($AO133,'Технический лист'!$I:$J,2,1)),1+(1-$AU133))</f>
        <v/>
      </c>
      <c r="EU133" s="172">
        <f>MIN(IF($AU133=100%,1,1+VLOOKUP(($AJ133-$AI133-$AH133-$AG133-$AF133-$AE133*(1+EU$3))/$AJ133,'Технический лист'!$I:$J,2,1)-VLOOKUP($AO133,'Технический лист'!$I:$J,2,1)),1+(1-$AU133))</f>
        <v/>
      </c>
      <c r="EV133" s="173" t="n">
        <v>1</v>
      </c>
      <c r="EW133" s="172">
        <f>MIN(1,MAX(VLOOKUP(($AJ133-$AI133-$AH133-$AG133-$AF133-$AE133*(1+EW$3))/$AJ133,'Технический лист'!$A:$B,2,1),(EV133-0.05)))</f>
        <v/>
      </c>
      <c r="EX133" s="172">
        <f>MIN(1,MAX(VLOOKUP(($AJ133-$AI133-$AH133-$AG133-$AF133-$AE133*(1+EX$3))/$AJ133,'Технический лист'!$A:$B,2,1),(EW133-0.05)))</f>
        <v/>
      </c>
      <c r="EY133" s="172">
        <f>MIN(1,MAX(VLOOKUP(($AJ133-$AI133-$AH133-$AG133-$AF133-$AE133*(1+EY$3))/$AJ133,'Технический лист'!$A:$B,2,1),(EX133-0.05)))</f>
        <v/>
      </c>
      <c r="EZ133" s="172">
        <f>MIN(1,MAX(VLOOKUP(($AJ133-$AI133-$AH133-$AG133-$AF133-$AE133*(1+EZ$3))/$AJ133,'Технический лист'!$A:$B,2,1),(EY133-0.05)))</f>
        <v/>
      </c>
      <c r="FA133" s="172">
        <f>MIN(1,MAX(VLOOKUP(($AJ133-$AI133-$AH133-$AG133-$AF133-$AE133*(1+FA$3))/$AJ133,'Технический лист'!$A:$B,2,1),(EZ133-0.05)))</f>
        <v/>
      </c>
      <c r="FB133" s="172">
        <f>MIN(1,MAX(VLOOKUP(($AJ133-$AI133-$AH133-$AG133-$AF133-$AE133*(1+FB$3))/$AJ133,'Технический лист'!$A:$B,2,1),(FA133-0.05)))</f>
        <v/>
      </c>
      <c r="FC133" s="172">
        <f>MIN(1,MAX(VLOOKUP(($AJ133-$AI133-$AH133-$AG133-$AF133-$AE133*(1+FC$3))/$AJ133,'Технический лист'!$A:$B,2,1),(FB133-0.05)))</f>
        <v/>
      </c>
      <c r="FD133" s="172">
        <f>MIN(1,MAX(VLOOKUP(($AJ133-$AI133-$AH133-$AG133-$AF133-$AE133*(1+FD$3))/$AJ133,'Технический лист'!$A:$B,2,1),(FC133-0.05)))</f>
        <v/>
      </c>
      <c r="FE133" s="172">
        <f>MIN(1,MAX(VLOOKUP(($AJ133-$AI133-$AH133-$AG133-$AF133-$AE133*(1+FE$3))/$AJ133,'Технический лист'!$A:$B,2,1),(FD133-0.05)))</f>
        <v/>
      </c>
      <c r="FF133" s="172">
        <f>MIN(1,MAX(VLOOKUP(($AJ133-$AI133-$AH133-$AG133-$AF133-$AE133*(1+FF$3))/$AJ133,'Технический лист'!$A:$B,2,1),(FE133-0.05)))</f>
        <v/>
      </c>
      <c r="FG133" s="172">
        <f>MIN(1,MAX(VLOOKUP(($AJ133-$AI133-$AH133-$AG133-$AF133-$AE133*(1+FG$3))/$AJ133,'Технический лист'!$A:$B,2,1),(FF133-0.05)))</f>
        <v/>
      </c>
      <c r="FH133" s="172">
        <f>MIN(1,MAX(VLOOKUP(($AJ133-$AI133-$AH133-$AG133-$AF133-$AE133*(1+FH$3))/$AJ133,'Технический лист'!$A:$B,2,1),(FG133-0.05)))</f>
        <v/>
      </c>
      <c r="FI133" s="172">
        <f>MIN(1,MAX(VLOOKUP(($AJ133-$AI133-$AH133-$AG133-$AF133-$AE133*(1+FI$3))/$AJ133,'Технический лист'!$A:$B,2,1),(FH133-0.05)))</f>
        <v/>
      </c>
      <c r="FJ133" s="172">
        <f>MIN(1,MAX(VLOOKUP(($AJ133-$AI133-$AH133-$AG133-$AF133-$AE133*(1+FJ$3))/$AJ133,'Технический лист'!$A:$B,2,1),(FI133-0.05)))</f>
        <v/>
      </c>
      <c r="FK133" s="172">
        <f>MIN(1,MAX(VLOOKUP(($AJ133-$AI133-$AH133-$AG133-$AF133-$AE133*(1+FK$3))/$AJ133,'Технический лист'!$A:$B,2,1),(FJ133-0.05)))</f>
        <v/>
      </c>
      <c r="FL133" s="172">
        <f>MIN(1,MAX(VLOOKUP(($AJ133-$AI133-$AH133-$AG133-$AF133-$AE133*(1+FL$3))/$AJ133,'Технический лист'!$A:$B,2,1),(FK133-0.05)))</f>
        <v/>
      </c>
      <c r="FM133" s="172">
        <f>MIN(1,MAX(VLOOKUP(($AJ133-$AI133-$AH133-$AG133-$AF133-$AE133*(1+FM$3))/$AJ133,'Технический лист'!$A:$B,2,1),(FL133-0.05)))</f>
        <v/>
      </c>
      <c r="FN133" s="172">
        <f>MIN(1,MAX(VLOOKUP(($AJ133-$AI133-$AH133-$AG133-$AF133-$AE133*(1+FN$3))/$AJ133,'Технический лист'!$A:$B,2,1),(FM133-0.05)))</f>
        <v/>
      </c>
      <c r="FO133" s="172">
        <f>MIN(1,MAX(VLOOKUP(($AJ133-$AI133-$AH133-$AG133-$AF133-$AE133*(1+FO$3))/$AJ133,'Технический лист'!$A:$B,2,1),(FN133-0.05)))</f>
        <v/>
      </c>
      <c r="FP133" s="172">
        <f>MIN(1,MAX(VLOOKUP(($AJ133-$AI133-$AH133-$AG133-$AF133-$AE133*(1+FP$3))/$AJ133,'Технический лист'!$A:$B,2,1),(FO133-0.05)))</f>
        <v/>
      </c>
      <c r="FQ133" s="172">
        <f>MIN(1,MAX(VLOOKUP(($AJ133-$AI133-$AH133-$AG133-$AF133-$AE133*(1+FQ$3))/$AJ133,'Технический лист'!$A:$B,2,1),(FP133-0.05)))</f>
        <v/>
      </c>
      <c r="FR133" s="172">
        <f>MIN(1,MAX(VLOOKUP(($AJ133-$AI133-$AH133-$AG133-$AF133-$AE133*(1+FR$3))/$AJ133,'Технический лист'!$A:$B,2,1),(FQ133-0.05)))</f>
        <v/>
      </c>
      <c r="FS133" s="172">
        <f>MIN(1,MAX(VLOOKUP(($AJ133-$AI133-$AH133-$AG133-$AF133-$AE133*(1+FS$3))/$AJ133,'Технический лист'!$A:$B,2,1),(FR133-0.05)))</f>
        <v/>
      </c>
      <c r="FT133" s="172">
        <f>MIN(1,MAX(VLOOKUP(($AJ133-$AI133-$AH133-$AG133-$AF133-$AE133*(1+FT$3))/$AJ133,'Технический лист'!$A:$B,2,1),(FS133-0.05)))</f>
        <v/>
      </c>
      <c r="FU133" s="172">
        <f>MIN(1,MAX(VLOOKUP(($AJ133-$AI133-$AH133-$AG133-$AF133-$AE133*(1+FU$3))/$AJ133,'Технический лист'!$A:$B,2,1),(FT133-0.05)))</f>
        <v/>
      </c>
      <c r="FV133" s="172">
        <f>MIN(1,MAX(VLOOKUP(($AJ133-$AI133-$AH133-$AG133-$AF133-$AE133*(1+FV$3))/$AJ133,'Технический лист'!$A:$B,2,1),(FU133-0.05)))</f>
        <v/>
      </c>
      <c r="FW133" s="172">
        <f>MIN(1,MAX(VLOOKUP(($AJ133-$AI133-$AH133-$AG133-$AF133-$AE133*(1+FW$3))/$AJ133,'Технический лист'!$A:$B,2,1),(FV133-0.05)))</f>
        <v/>
      </c>
      <c r="FX133" s="172">
        <f>MIN(1,MAX(VLOOKUP(($AJ133-$AI133-$AH133-$AG133-$AF133-$AE133*(1+FX$3))/$AJ133,'Технический лист'!$A:$B,2,1),(FW133-0.05)))</f>
        <v/>
      </c>
      <c r="FY133" s="172">
        <f>MIN(1,MAX(VLOOKUP(($AJ133-$AI133-$AH133-$AG133-$AF133-$AE133*(1+FY$3))/$AJ133,'Технический лист'!$A:$B,2,1),(FX133-0.05)))</f>
        <v/>
      </c>
      <c r="FZ133" s="172">
        <f>MIN(1,MAX(VLOOKUP(($AJ133-$AI133-$AH133-$AG133-$AF133-$AE133*(1+FZ$3))/$AJ133,'Технический лист'!$A:$B,2,1),(FY133-0.05)))</f>
        <v/>
      </c>
      <c r="GA133" s="172">
        <f>MIN(1,MAX(VLOOKUP(($AJ133-$AI133-$AH133-$AG133-$AF133-$AE133*(1+GA$3))/$AJ133,'Технический лист'!$A:$B,2,1),(FZ133-0.05)))</f>
        <v/>
      </c>
      <c r="GB133" s="172">
        <f>MIN(1,MAX(VLOOKUP(($AJ133-$AI133-$AH133-$AG133-$AF133-$AE133*(1+GB$3))/$AJ133,'Технический лист'!$A:$B,2,1),(GA133-0.05)))</f>
        <v/>
      </c>
      <c r="GC133" s="172">
        <f>MIN(1,MAX(VLOOKUP(($AJ133-$AI133-$AH133-$AG133-$AF133-$AE133*(1+GC$3))/$AJ133,'Технический лист'!$A:$B,2,1),(GB133-0.05)))</f>
        <v/>
      </c>
      <c r="GD133" s="172">
        <f>MIN(1,MAX(VLOOKUP(($AJ133-$AI133-$AH133-$AG133-$AF133-$AE133*(1+GD$3))/$AJ133,'Технический лист'!$A:$B,2,1),(GC133-0.05)))</f>
        <v/>
      </c>
      <c r="GE133" s="172">
        <f>MIN(1,MAX(VLOOKUP(($AJ133-$AI133-$AH133-$AG133-$AF133-$AE133*(1+GE$3))/$AJ133,'Технический лист'!$A:$B,2,1),(GD133-0.05)))</f>
        <v/>
      </c>
      <c r="GF133" s="172">
        <f>MIN(1,MAX(VLOOKUP(($AJ133-$AI133-$AH133-$AG133-$AF133-$AE133*(1+GF$3))/$AJ133,'Технический лист'!$A:$B,2,1),(GE133-0.05)))</f>
        <v/>
      </c>
      <c r="GG133" s="172">
        <f>MIN(1,MAX(VLOOKUP(($AJ133-$AI133-$AH133-$AG133-$AF133-$AE133*(1+GG$3))/$AJ133,'Технический лист'!$A:$B,2,1),(GF133-0.05)))</f>
        <v/>
      </c>
      <c r="GH133" s="172">
        <f>MIN(1,MAX(VLOOKUP(($AJ133-$AI133-$AH133-$AG133-$AF133-$AE133*(1+GH$3))/$AJ133,'Технический лист'!$A:$B,2,1),(GG133-0.05)))</f>
        <v/>
      </c>
      <c r="GI133" s="172">
        <f>MIN(1,MAX(VLOOKUP(($AJ133-$AI133-$AH133-$AG133-$AF133-$AE133*(1+GI$3))/$AJ133,'Технический лист'!$A:$B,2,1),(GH133-0.05)))</f>
        <v/>
      </c>
      <c r="GJ133" s="172">
        <f>MIN(1,MAX(VLOOKUP(($AJ133-$AI133-$AH133-$AG133-$AF133-$AE133*(1+GJ$3))/$AJ133,'Технический лист'!$A:$B,2,1),(GI133-0.05)))</f>
        <v/>
      </c>
      <c r="GK133" s="172">
        <f>MIN(1,MAX(VLOOKUP(($AJ133-$AI133-$AH133-$AG133-$AF133-$AE133*(1+GK$3))/$AJ133,'Технический лист'!$A:$B,2,1),(GJ133-0.05)))</f>
        <v/>
      </c>
      <c r="GL133" s="172">
        <f>MIN(1,MAX(VLOOKUP(($AJ133-$AI133-$AH133-$AG133-$AF133-$AE133*(1+GL$3))/$AJ133,'Технический лист'!$A:$B,2,1),(GK133-0.05)))</f>
        <v/>
      </c>
      <c r="GM133" s="172">
        <f>MIN(1,MAX(VLOOKUP(($AJ133-$AI133-$AH133-$AG133-$AF133-$AE133*(1+GM$3))/$AJ133,'Технический лист'!$A:$B,2,1),(GL133-0.05)))</f>
        <v/>
      </c>
      <c r="GN133" s="172">
        <f>MIN(1,MAX(VLOOKUP(($AJ133-$AI133-$AH133-$AG133-$AF133-$AE133*(1+GN$3))/$AJ133,'Технический лист'!$A:$B,2,1),(GM133-0.05)))</f>
        <v/>
      </c>
      <c r="GO133" s="172">
        <f>MIN(1,MAX(VLOOKUP(($AJ133-$AI133-$AH133-$AG133-$AF133-$AE133*(1+GO$3))/$AJ133,'Технический лист'!$A:$B,2,1),(GN133-0.05)))</f>
        <v/>
      </c>
      <c r="GP133" s="172">
        <f>MIN(1,MAX(VLOOKUP(($AJ133-$AI133-$AH133-$AG133-$AF133-$AE133*(1+GP$3))/$AJ133,'Технический лист'!$A:$B,2,1),(GO133-0.05)))</f>
        <v/>
      </c>
      <c r="GQ133" s="172">
        <f>MIN(1,MAX(VLOOKUP(($AJ133-$AI133-$AH133-$AG133-$AF133-$AE133*(1+GQ$3))/$AJ133,'Технический лист'!$A:$B,2,1),(GP133-0.05)))</f>
        <v/>
      </c>
      <c r="GR133" s="172">
        <f>MIN(1,MAX(VLOOKUP(($AJ133-$AI133-$AH133-$AG133-$AF133-$AE133*(1+GR$3))/$AJ133,'Технический лист'!$A:$B,2,1),(GQ133-0.05)))</f>
        <v/>
      </c>
      <c r="GS133" s="172">
        <f>MIN(1,MAX(VLOOKUP(($AJ133-$AI133-$AH133-$AG133-$AF133-$AE133*(1+GS$3))/$AJ133,'Технический лист'!$A:$B,2,1),(GR133-0.05)))</f>
        <v/>
      </c>
      <c r="GT133" s="172">
        <f>MIN(1,MAX(VLOOKUP(($AJ133-$AI133-$AH133-$AG133-$AF133-$AE133*(1+GT$3))/$AJ133,'Технический лист'!$A:$B,2,1),(GS133-0.05)))</f>
        <v/>
      </c>
      <c r="GU133" s="172">
        <f>MIN(1,MAX(VLOOKUP(($AJ133-$AI133-$AH133-$AG133-$AF133-$AE133*(1+GU$3))/$AJ133,'Технический лист'!$A:$B,2,1),(GT133-0.05)))</f>
        <v/>
      </c>
      <c r="GV133" s="172">
        <f>MIN(1,MAX(VLOOKUP(($AJ133-$AI133-$AH133-$AG133-$AF133-$AE133*(1+GV$3))/$AJ133,'Технический лист'!$A:$B,2,1),(GU133-0.05)))</f>
        <v/>
      </c>
      <c r="GW133" s="172">
        <f>MIN(1,MAX(VLOOKUP(($AJ133-$AI133-$AH133-$AG133-$AF133-$AE133*(1+GW$3))/$AJ133,'Технический лист'!$A:$B,2,1),(GV133-0.05)))</f>
        <v/>
      </c>
      <c r="GX133" s="172">
        <f>MIN(1,MAX(VLOOKUP(($AJ133-$AI133-$AH133-$AG133-$AF133-$AE133*(1+GX$3))/$AJ133,'Технический лист'!$A:$B,2,1),(GW133-0.05)))</f>
        <v/>
      </c>
      <c r="GY133" s="172">
        <f>MIN(1,MAX(VLOOKUP(($AJ133-$AI133-$AH133-$AG133-$AF133-$AE133*(1+GY$3))/$AJ133,'Технический лист'!$A:$B,2,1),(GX133-0.05)))</f>
        <v/>
      </c>
      <c r="GZ133" s="172">
        <f>MIN(1,MAX(VLOOKUP(($AJ133-$AI133-$AH133-$AG133-$AF133-$AE133*(1+GZ$3))/$AJ133,'Технический лист'!$A:$B,2,1),(GY133-0.05)))</f>
        <v/>
      </c>
      <c r="HA133" s="172">
        <f>MIN(1,MAX(VLOOKUP(($AJ133-$AI133-$AH133-$AG133-$AF133-$AE133*(1+HA$3))/$AJ133,'Технический лист'!$A:$B,2,1),(GZ133-0.05)))</f>
        <v/>
      </c>
      <c r="HB133" s="172">
        <f>MIN(1,MAX(VLOOKUP(($AJ133-$AI133-$AH133-$AG133-$AF133-$AE133*(1+HB$3))/$AJ133,'Технический лист'!$A:$B,2,1),(HA133-0.05)))</f>
        <v/>
      </c>
      <c r="HC133" s="172">
        <f>MIN(1,MAX(VLOOKUP(($AJ133-$AI133-$AH133-$AG133-$AF133-$AE133*(1+HC$3))/$AJ133,'Технический лист'!$A:$B,2,1),(HB133-0.05)))</f>
        <v/>
      </c>
      <c r="HD133" s="172">
        <f>MIN(1,MAX(VLOOKUP(($AJ133-$AI133-$AH133-$AG133-$AF133-$AE133*(1+HD$3))/$AJ133,'Технический лист'!$A:$B,2,1),(HC133-0.05)))</f>
        <v/>
      </c>
      <c r="HE133" s="172">
        <f>MIN(1,MAX(VLOOKUP(($AJ133-$AI133-$AH133-$AG133-$AF133-$AE133*(1+HE$3))/$AJ133,'Технический лист'!$A:$B,2,1),(HD133-0.05)))</f>
        <v/>
      </c>
      <c r="HF133" s="172">
        <f>MIN(1,MAX(VLOOKUP(($AJ133-$AI133-$AH133-$AG133-$AF133-$AE133*(1+HF$3))/$AJ133,'Технический лист'!$A:$B,2,1),(HE133-0.05)))</f>
        <v/>
      </c>
      <c r="HG133" s="172">
        <f>MIN(1,MAX(VLOOKUP(($AJ133-$AI133-$AH133-$AG133-$AF133-$AE133*(1+HG$3))/$AJ133,'Технический лист'!$A:$B,2,1),(HF133-0.05)))</f>
        <v/>
      </c>
      <c r="HH133" s="172">
        <f>MIN(1,MAX(VLOOKUP(($AJ133-$AI133-$AH133-$AG133-$AF133-$AE133*(1+HH$3))/$AJ133,'Технический лист'!$A:$B,2,1),(HG133-0.05)))</f>
        <v/>
      </c>
      <c r="HI133" s="172">
        <f>MIN(1,MAX(VLOOKUP(($AJ133-$AI133-$AH133-$AG133-$AF133-$AE133*(1+HI$3))/$AJ133,'Технический лист'!$A:$B,2,1),(HH133-0.05)))</f>
        <v/>
      </c>
      <c r="HJ133" s="172">
        <f>MIN(1,MAX(VLOOKUP(($AJ133-$AI133-$AH133-$AG133-$AF133-$AE133*(1+HJ$3))/$AJ133,'Технический лист'!$A:$B,2,1),(HI133-0.05)))</f>
        <v/>
      </c>
      <c r="HK133" s="172">
        <f>MIN(1,MAX(VLOOKUP(($AJ133-$AI133-$AH133-$AG133-$AF133-$AE133*(1+HK$3))/$AJ133,'Технический лист'!$A:$B,2,1),(HJ133-0.05)))</f>
        <v/>
      </c>
      <c r="HL133" s="172">
        <f>MIN(1,MAX(VLOOKUP(($AJ133-$AI133-$AH133-$AG133-$AF133-$AE133*(1+HL$3))/$AJ133,'Технический лист'!$A:$B,2,1),(HK133-0.05)))</f>
        <v/>
      </c>
      <c r="HM133" s="172">
        <f>MIN(1,MAX(VLOOKUP(($AJ133-$AI133-$AH133-$AG133-$AF133-$AE133*(1+HM$3))/$AJ133,'Технический лист'!$A:$B,2,1),(HL133-0.05)))</f>
        <v/>
      </c>
      <c r="HN133" s="172">
        <f>MIN(1,MAX(VLOOKUP(($AJ133-$AI133-$AH133-$AG133-$AF133-$AE133*(1+HN$3))/$AJ133,'Технический лист'!$A:$B,2,1),(HM133-0.05)))</f>
        <v/>
      </c>
      <c r="HO133" s="172">
        <f>MIN(1,MAX(VLOOKUP(($AJ133-$AI133-$AH133-$AG133-$AF133-$AE133*(1+HO$3))/$AJ133,'Технический лист'!$A:$B,2,1),(HN133-0.05)))</f>
        <v/>
      </c>
      <c r="HP133" s="172">
        <f>MIN(1,MAX(VLOOKUP(($AJ133-$AI133-$AH133-$AG133-$AF133-$AE133*(1+HP$3))/$AJ133,'Технический лист'!$A:$B,2,1),(HO133-0.05)))</f>
        <v/>
      </c>
      <c r="HQ133" s="172">
        <f>MIN(1,MAX(VLOOKUP(($AJ133-$AI133-$AH133-$AG133-$AF133-$AE133*(1+HQ$3))/$AJ133,'Технический лист'!$A:$B,2,1),(HP133-0.05)))</f>
        <v/>
      </c>
      <c r="HR133" s="172">
        <f>MIN(1,MAX(VLOOKUP(($AJ133-$AI133-$AH133-$AG133-$AF133-$AE133*(1+HR$3))/$AJ133,'Технический лист'!$A:$B,2,1),(HQ133-0.05)))</f>
        <v/>
      </c>
      <c r="HS133" s="172">
        <f>MIN(1,MAX(VLOOKUP(($AJ133-$AI133-$AH133-$AG133-$AF133-$AE133*(1+HS$3))/$AJ133,'Технический лист'!$A:$B,2,1),(HR133-0.05)))</f>
        <v/>
      </c>
      <c r="HT133" s="172">
        <f>MIN(1,MAX(VLOOKUP(($AJ133-$AI133-$AH133-$AG133-$AF133-$AE133*(1+HT$3))/$AJ133,'Технический лист'!$A:$B,2,1),(HS133-0.05)))</f>
        <v/>
      </c>
      <c r="HU133" s="172">
        <f>MIN(1,MAX(VLOOKUP(($AJ133-$AI133-$AH133-$AG133-$AF133-$AE133*(1+HU$3))/$AJ133,'Технический лист'!$A:$B,2,1),(HT133-0.05)))</f>
        <v/>
      </c>
      <c r="HV133" s="172">
        <f>MIN(1,MAX(VLOOKUP(($AJ133-$AI133-$AH133-$AG133-$AF133-$AE133*(1+HV$3))/$AJ133,'Технический лист'!$A:$B,2,1),(HU133-0.05)))</f>
        <v/>
      </c>
      <c r="HW133" s="172">
        <f>MIN(1,MAX(VLOOKUP(($AJ133-$AI133-$AH133-$AG133-$AF133-$AE133*(1+HW$3))/$AJ133,'Технический лист'!$A:$B,2,1),(HV133-0.05)))</f>
        <v/>
      </c>
      <c r="HX133" s="172">
        <f>MIN(1,MAX(VLOOKUP(($AJ133-$AI133-$AH133-$AG133-$AF133-$AE133*(1+HX$3))/$AJ133,'Технический лист'!$A:$B,2,1),(HW133-0.05)))</f>
        <v/>
      </c>
      <c r="HY133" s="172">
        <f>MIN(1,MAX(VLOOKUP(($AJ133-$AI133-$AH133-$AG133-$AF133-$AE133*(1+HY$3))/$AJ133,'Технический лист'!$A:$B,2,1),(HX133-0.05)))</f>
        <v/>
      </c>
      <c r="HZ133" s="172">
        <f>MIN(1,MAX(VLOOKUP(($AJ133-$AI133-$AH133-$AG133-$AF133-$AE133*(1+HZ$3))/$AJ133,'Технический лист'!$A:$B,2,1),(HY133-0.05)))</f>
        <v/>
      </c>
      <c r="IA133" s="172">
        <f>MIN(1,MAX(VLOOKUP(($AJ133-$AI133-$AH133-$AG133-$AF133-$AE133*(1+IA$3))/$AJ133,'Технический лист'!$A:$B,2,1),(HZ133-0.05)))</f>
        <v/>
      </c>
      <c r="IB133" s="172">
        <f>MIN(1,MAX(VLOOKUP(($AJ133-$AI133-$AH133-$AG133-$AF133-$AE133*(1+IB$3))/$AJ133,'Технический лист'!$A:$B,2,1),(IA133-0.05)))</f>
        <v/>
      </c>
      <c r="IC133" s="172">
        <f>MIN(1,MAX(VLOOKUP(($AJ133-$AI133-$AH133-$AG133-$AF133-$AE133*(1+IC$3))/$AJ133,'Технический лист'!$A:$B,2,1),(IB133-0.05)))</f>
        <v/>
      </c>
      <c r="ID133" s="172">
        <f>MIN(1,MAX(VLOOKUP(($AJ133-$AI133-$AH133-$AG133-$AF133-$AE133*(1+ID$3))/$AJ133,'Технический лист'!$A:$B,2,1),(IC133-0.05)))</f>
        <v/>
      </c>
      <c r="IE133" s="172">
        <f>MIN(1,MAX(VLOOKUP(($AJ133-$AI133-$AH133-$AG133-$AF133-$AE133*(1+IE$3))/$AJ133,'Технический лист'!$A:$B,2,1),(ID133-0.05)))</f>
        <v/>
      </c>
      <c r="IF133" s="172">
        <f>MIN(1,MAX(VLOOKUP(($AJ133-$AI133-$AH133-$AG133-$AF133-$AE133*(1+IF$3))/$AJ133,'Технический лист'!$A:$B,2,1),(IE133-0.05)))</f>
        <v/>
      </c>
      <c r="IG133" s="172">
        <f>MIN(1,MAX(VLOOKUP(($AJ133-$AI133-$AH133-$AG133-$AF133-$AE133*(1+IG$3))/$AJ133,'Технический лист'!$A:$B,2,1),(IF133-0.05)))</f>
        <v/>
      </c>
      <c r="IH133" s="172">
        <f>MIN(1,MAX(VLOOKUP(($AJ133-$AI133-$AH133-$AG133-$AF133-$AE133*(1+IH$3))/$AJ133,'Технический лист'!$A:$B,2,1),(IG133-0.05)))</f>
        <v/>
      </c>
      <c r="II133" s="172">
        <f>MIN(1,MAX(VLOOKUP(($AJ133-$AI133-$AH133-$AG133-$AF133-$AE133*(1+II$3))/$AJ133,'Технический лист'!$A:$B,2,1),(IH133-0.05)))</f>
        <v/>
      </c>
      <c r="IJ133" s="172">
        <f>MIN(1,MAX(VLOOKUP(($AJ133-$AI133-$AH133-$AG133-$AF133-$AE133*(1+IJ$3))/$AJ133,'Технический лист'!$A:$B,2,1),(II133-0.05)))</f>
        <v/>
      </c>
      <c r="IK133" s="172">
        <f>MIN(1,MAX(VLOOKUP(($AJ133-$AI133-$AH133-$AG133-$AF133-$AE133*(1+IK$3))/$AJ133,'Технический лист'!$A:$B,2,1),(IJ133-0.05)))</f>
        <v/>
      </c>
      <c r="IL133" s="172">
        <f>MIN(1,MAX(VLOOKUP(($AJ133-$AI133-$AH133-$AG133-$AF133-$AE133*(1+IL$3))/$AJ133,'Технический лист'!$A:$B,2,1),(IK133-0.05)))</f>
        <v/>
      </c>
      <c r="IM133" s="172">
        <f>MIN(1,MAX(VLOOKUP(($AJ133-$AI133-$AH133-$AG133-$AF133-$AE133*(1+IM$3))/$AJ133,'Технический лист'!$A:$B,2,1),(IL133-0.05)))</f>
        <v/>
      </c>
      <c r="IN133" s="172">
        <f>MIN(1,MAX(VLOOKUP(($AJ133-$AI133-$AH133-$AG133-$AF133-$AE133*(1+IN$3))/$AJ133,'Технический лист'!$A:$B,2,1),(IM133-0.05)))</f>
        <v/>
      </c>
      <c r="IO133" s="172">
        <f>MIN(1,MAX(VLOOKUP(($AJ133-$AI133-$AH133-$AG133-$AF133-$AE133*(1+IO$3))/$AJ133,'Технический лист'!$A:$B,2,1),(IN133-0.05)))</f>
        <v/>
      </c>
      <c r="IP133" s="172">
        <f>MIN(1,MAX(VLOOKUP(($AJ133-$AI133-$AH133-$AG133-$AF133-$AE133*(1+IP$3))/$AJ133,'Технический лист'!$A:$B,2,1),(IO133-0.05)))</f>
        <v/>
      </c>
      <c r="IQ133" s="172">
        <f>MIN(1,MAX(VLOOKUP(($AJ133-$AI133-$AH133-$AG133-$AF133-$AE133*(1+IQ$3))/$AJ133,'Технический лист'!$A:$B,2,1),(IP133-0.05)))</f>
        <v/>
      </c>
      <c r="IR133" s="172">
        <f>MIN(1,MAX(VLOOKUP(($AJ133-$AI133-$AH133-$AG133-$AF133-$AE133*(1+IR$3))/$AJ133,'Технический лист'!$A:$B,2,1),(IQ133-0.05)))</f>
        <v/>
      </c>
    </row>
    <row r="134" ht="29.15" customHeight="1" s="123">
      <c r="A134" s="89" t="inlineStr">
        <is>
          <t>ЦМ (продукция)</t>
        </is>
      </c>
      <c r="B134" s="90" t="n">
        <v>10</v>
      </c>
      <c r="C134" s="5" t="inlineStr">
        <is>
          <t>Остальные грузы</t>
        </is>
      </c>
      <c r="D134" s="91" t="n">
        <v>33101</v>
      </c>
      <c r="E134" s="91" t="inlineStr">
        <is>
          <t xml:space="preserve">Алюминий </t>
        </is>
      </c>
      <c r="F134" s="92" t="inlineStr">
        <is>
          <t>МЕТАЛЛЫ ЦВЕТНЫЕ И ИХ СПЛА</t>
        </is>
      </c>
      <c r="G134" s="91" t="inlineStr">
        <is>
          <t>КРС</t>
        </is>
      </c>
      <c r="H134" s="91" t="inlineStr">
        <is>
          <t>СКВ</t>
        </is>
      </c>
      <c r="I134" s="91" t="inlineStr">
        <is>
          <t>КАМЫШТА</t>
        </is>
      </c>
      <c r="J134" s="91" t="inlineStr">
        <is>
          <t>ТАГАНРОГ-ЭКС</t>
        </is>
      </c>
      <c r="K134" s="91" t="n">
        <v>4795</v>
      </c>
      <c r="L134" s="91" t="inlineStr">
        <is>
          <t>Полувагоны</t>
        </is>
      </c>
      <c r="M134" s="91" t="inlineStr">
        <is>
          <t>Экспорт</t>
        </is>
      </c>
      <c r="N134" s="91" t="inlineStr">
        <is>
          <t>вагонная</t>
        </is>
      </c>
      <c r="O134" s="91" t="inlineStr">
        <is>
          <t xml:space="preserve">Южное </t>
        </is>
      </c>
      <c r="P134" s="89" t="inlineStr">
        <is>
          <t>'000049216289</t>
        </is>
      </c>
      <c r="Q134" s="91" t="inlineStr">
        <is>
          <t>'АО "РУСАЛ Саяногорский алюминиевый завод"</t>
        </is>
      </c>
      <c r="R134" s="91" t="inlineStr">
        <is>
          <t>ОК РУСАЛ</t>
        </is>
      </c>
      <c r="S134" s="87" t="n">
        <v>71708</v>
      </c>
      <c r="T134" s="87" t="n">
        <v>343831724</v>
      </c>
      <c r="U134" s="88" t="n">
        <v>1084</v>
      </c>
      <c r="V134" s="88" t="n">
        <v>0</v>
      </c>
      <c r="W134" s="87" t="n">
        <v>291761919</v>
      </c>
      <c r="X134" s="112" t="n">
        <v>66</v>
      </c>
      <c r="Y134" s="112" t="inlineStr">
        <is>
          <t>повагонная</t>
        </is>
      </c>
      <c r="Z134" s="113" t="n">
        <v>15</v>
      </c>
      <c r="AA134" s="113" t="n">
        <v>11</v>
      </c>
      <c r="AB134" s="113" t="n">
        <v>4</v>
      </c>
      <c r="AC134" s="161" t="n">
        <v>4722.67</v>
      </c>
      <c r="AD134" s="161">
        <f>AE134-AC134</f>
        <v/>
      </c>
      <c r="AE134" s="161" t="n">
        <v>5580.64</v>
      </c>
      <c r="AF134" s="162">
        <f>(Z134+AA134+AB134)*'Ставки аренды'!$B$3/X134</f>
        <v/>
      </c>
      <c r="AG134" s="164">
        <f>'Ставки перевалки'!B9*'Курсы валют'!B2</f>
        <v/>
      </c>
      <c r="AH134" s="164" t="n">
        <v>0</v>
      </c>
      <c r="AI134" s="165">
        <f>12254/14812*AVERAGE(AJ134,AJ137)</f>
        <v/>
      </c>
      <c r="AJ134" s="166">
        <f>Цены!C20*'Курсы валют'!B2</f>
        <v/>
      </c>
      <c r="AK134" s="164">
        <f>AJ134/Цены!$B$1</f>
        <v/>
      </c>
      <c r="AL134" s="164">
        <f>AE134+AF134+AG134</f>
        <v/>
      </c>
      <c r="AM134" s="164">
        <f>AJ134-AL134</f>
        <v/>
      </c>
      <c r="AN134" s="164">
        <f>AI134+AH134+AG134+AF134+AE134</f>
        <v/>
      </c>
      <c r="AO134" s="167">
        <f>(AJ134-AN134)/AJ134</f>
        <v/>
      </c>
      <c r="AP134" s="168">
        <f>AL134/AJ134</f>
        <v/>
      </c>
      <c r="AQ134" s="168">
        <f>AE134/AJ134</f>
        <v/>
      </c>
      <c r="AR134" s="168">
        <f>AE134/AL134</f>
        <v/>
      </c>
      <c r="AS134" s="169" t="n">
        <v>1</v>
      </c>
      <c r="AT134" s="121">
        <f>S134*AS134</f>
        <v/>
      </c>
      <c r="AU134" s="83" t="n">
        <v>0.95</v>
      </c>
      <c r="AV134" s="170">
        <f>(AJ134-(AE134*(1+$IS$2)+AF134+AG134+AH134+AI134))/AJ134</f>
        <v/>
      </c>
      <c r="AW134" s="171">
        <f>(AE134*(1+$IS$2)+AF134+AG134)/AJ134</f>
        <v/>
      </c>
      <c r="AX134" s="171">
        <f>(AE134*(1+$IS$2))/AJ134</f>
        <v/>
      </c>
      <c r="AY134" s="171">
        <f>(AE134*(1+$IS$2))/(AE134*(1+$IS$2)+AF134+AG134)</f>
        <v/>
      </c>
      <c r="AZ134" s="172">
        <f>MIN(IF($AU134=100%,1,1+VLOOKUP(($AJ134-$AI134-$AH134-$AG134-$AF134-$AE134*(1+AZ$3))/$AJ134,'Технический лист'!$I:$J,2,1)-VLOOKUP($AO134,'Технический лист'!$I:$J,2,1)),1+(1-$AU134))</f>
        <v/>
      </c>
      <c r="BA134" s="172">
        <f>MIN(IF($AU134=100%,1,1+VLOOKUP(($AJ134-$AI134-$AH134-$AG134-$AF134-$AE134*(1+BA$3))/$AJ134,'Технический лист'!$I:$J,2,1)-VLOOKUP($AO134,'Технический лист'!$I:$J,2,1)),1+(1-$AU134))</f>
        <v/>
      </c>
      <c r="BB134" s="172">
        <f>MIN(IF($AU134=100%,1,1+VLOOKUP(($AJ134-$AI134-$AH134-$AG134-$AF134-$AE134*(1+BB$3))/$AJ134,'Технический лист'!$I:$J,2,1)-VLOOKUP($AO134,'Технический лист'!$I:$J,2,1)),1+(1-$AU134))</f>
        <v/>
      </c>
      <c r="BC134" s="172">
        <f>MIN(IF($AU134=100%,1,1+VLOOKUP(($AJ134-$AI134-$AH134-$AG134-$AF134-$AE134*(1+BC$3))/$AJ134,'Технический лист'!$I:$J,2,1)-VLOOKUP($AO134,'Технический лист'!$I:$J,2,1)),1+(1-$AU134))</f>
        <v/>
      </c>
      <c r="BD134" s="172">
        <f>MIN(IF($AU134=100%,1,1+VLOOKUP(($AJ134-$AI134-$AH134-$AG134-$AF134-$AE134*(1+BD$3))/$AJ134,'Технический лист'!$I:$J,2,1)-VLOOKUP($AO134,'Технический лист'!$I:$J,2,1)),1+(1-$AU134))</f>
        <v/>
      </c>
      <c r="BE134" s="172">
        <f>MIN(IF($AU134=100%,1,1+VLOOKUP(($AJ134-$AI134-$AH134-$AG134-$AF134-$AE134*(1+BE$3))/$AJ134,'Технический лист'!$I:$J,2,1)-VLOOKUP($AO134,'Технический лист'!$I:$J,2,1)),1+(1-$AU134))</f>
        <v/>
      </c>
      <c r="BF134" s="172">
        <f>MIN(IF($AU134=100%,1,1+VLOOKUP(($AJ134-$AI134-$AH134-$AG134-$AF134-$AE134*(1+BF$3))/$AJ134,'Технический лист'!$I:$J,2,1)-VLOOKUP($AO134,'Технический лист'!$I:$J,2,1)),1+(1-$AU134))</f>
        <v/>
      </c>
      <c r="BG134" s="172">
        <f>MIN(IF($AU134=100%,1,1+VLOOKUP(($AJ134-$AI134-$AH134-$AG134-$AF134-$AE134*(1+BG$3))/$AJ134,'Технический лист'!$I:$J,2,1)-VLOOKUP($AO134,'Технический лист'!$I:$J,2,1)),1+(1-$AU134))</f>
        <v/>
      </c>
      <c r="BH134" s="172">
        <f>MIN(IF($AU134=100%,1,1+VLOOKUP(($AJ134-$AI134-$AH134-$AG134-$AF134-$AE134*(1+BH$3))/$AJ134,'Технический лист'!$I:$J,2,1)-VLOOKUP($AO134,'Технический лист'!$I:$J,2,1)),1+(1-$AU134))</f>
        <v/>
      </c>
      <c r="BI134" s="172">
        <f>MIN(IF($AU134=100%,1,1+VLOOKUP(($AJ134-$AI134-$AH134-$AG134-$AF134-$AE134*(1+BI$3))/$AJ134,'Технический лист'!$I:$J,2,1)-VLOOKUP($AO134,'Технический лист'!$I:$J,2,1)),1+(1-$AU134))</f>
        <v/>
      </c>
      <c r="BJ134" s="172">
        <f>MIN(IF($AU134=100%,1,1+VLOOKUP(($AJ134-$AI134-$AH134-$AG134-$AF134-$AE134*(1+BJ$3))/$AJ134,'Технический лист'!$I:$J,2,1)-VLOOKUP($AO134,'Технический лист'!$I:$J,2,1)),1+(1-$AU134))</f>
        <v/>
      </c>
      <c r="BK134" s="172">
        <f>MIN(IF($AU134=100%,1,1+VLOOKUP(($AJ134-$AI134-$AH134-$AG134-$AF134-$AE134*(1+BK$3))/$AJ134,'Технический лист'!$I:$J,2,1)-VLOOKUP($AO134,'Технический лист'!$I:$J,2,1)),1+(1-$AU134))</f>
        <v/>
      </c>
      <c r="BL134" s="172">
        <f>MIN(IF($AU134=100%,1,1+VLOOKUP(($AJ134-$AI134-$AH134-$AG134-$AF134-$AE134*(1+BL$3))/$AJ134,'Технический лист'!$I:$J,2,1)-VLOOKUP($AO134,'Технический лист'!$I:$J,2,1)),1+(1-$AU134))</f>
        <v/>
      </c>
      <c r="BM134" s="172">
        <f>MIN(IF($AU134=100%,1,1+VLOOKUP(($AJ134-$AI134-$AH134-$AG134-$AF134-$AE134*(1+BM$3))/$AJ134,'Технический лист'!$I:$J,2,1)-VLOOKUP($AO134,'Технический лист'!$I:$J,2,1)),1+(1-$AU134))</f>
        <v/>
      </c>
      <c r="BN134" s="172">
        <f>MIN(IF($AU134=100%,1,1+VLOOKUP(($AJ134-$AI134-$AH134-$AG134-$AF134-$AE134*(1+BN$3))/$AJ134,'Технический лист'!$I:$J,2,1)-VLOOKUP($AO134,'Технический лист'!$I:$J,2,1)),1+(1-$AU134))</f>
        <v/>
      </c>
      <c r="BO134" s="172">
        <f>MIN(IF($AU134=100%,1,1+VLOOKUP(($AJ134-$AI134-$AH134-$AG134-$AF134-$AE134*(1+BO$3))/$AJ134,'Технический лист'!$I:$J,2,1)-VLOOKUP($AO134,'Технический лист'!$I:$J,2,1)),1+(1-$AU134))</f>
        <v/>
      </c>
      <c r="BP134" s="172">
        <f>MIN(IF($AU134=100%,1,1+VLOOKUP(($AJ134-$AI134-$AH134-$AG134-$AF134-$AE134*(1+BP$3))/$AJ134,'Технический лист'!$I:$J,2,1)-VLOOKUP($AO134,'Технический лист'!$I:$J,2,1)),1+(1-$AU134))</f>
        <v/>
      </c>
      <c r="BQ134" s="172">
        <f>MIN(IF($AU134=100%,1,1+VLOOKUP(($AJ134-$AI134-$AH134-$AG134-$AF134-$AE134*(1+BQ$3))/$AJ134,'Технический лист'!$I:$J,2,1)-VLOOKUP($AO134,'Технический лист'!$I:$J,2,1)),1+(1-$AU134))</f>
        <v/>
      </c>
      <c r="BR134" s="172">
        <f>MIN(IF($AU134=100%,1,1+VLOOKUP(($AJ134-$AI134-$AH134-$AG134-$AF134-$AE134*(1+BR$3))/$AJ134,'Технический лист'!$I:$J,2,1)-VLOOKUP($AO134,'Технический лист'!$I:$J,2,1)),1+(1-$AU134))</f>
        <v/>
      </c>
      <c r="BS134" s="172">
        <f>MIN(IF($AU134=100%,1,1+VLOOKUP(($AJ134-$AI134-$AH134-$AG134-$AF134-$AE134*(1+BS$3))/$AJ134,'Технический лист'!$I:$J,2,1)-VLOOKUP($AO134,'Технический лист'!$I:$J,2,1)),1+(1-$AU134))</f>
        <v/>
      </c>
      <c r="BT134" s="172">
        <f>MIN(IF($AU134=100%,1,1+VLOOKUP(($AJ134-$AI134-$AH134-$AG134-$AF134-$AE134*(1+BT$3))/$AJ134,'Технический лист'!$I:$J,2,1)-VLOOKUP($AO134,'Технический лист'!$I:$J,2,1)),1+(1-$AU134))</f>
        <v/>
      </c>
      <c r="BU134" s="172">
        <f>MIN(IF($AU134=100%,1,1+VLOOKUP(($AJ134-$AI134-$AH134-$AG134-$AF134-$AE134*(1+BU$3))/$AJ134,'Технический лист'!$I:$J,2,1)-VLOOKUP($AO134,'Технический лист'!$I:$J,2,1)),1+(1-$AU134))</f>
        <v/>
      </c>
      <c r="BV134" s="172">
        <f>MIN(IF($AU134=100%,1,1+VLOOKUP(($AJ134-$AI134-$AH134-$AG134-$AF134-$AE134*(1+BV$3))/$AJ134,'Технический лист'!$I:$J,2,1)-VLOOKUP($AO134,'Технический лист'!$I:$J,2,1)),1+(1-$AU134))</f>
        <v/>
      </c>
      <c r="BW134" s="172">
        <f>MIN(IF($AU134=100%,1,1+VLOOKUP(($AJ134-$AI134-$AH134-$AG134-$AF134-$AE134*(1+BW$3))/$AJ134,'Технический лист'!$I:$J,2,1)-VLOOKUP($AO134,'Технический лист'!$I:$J,2,1)),1+(1-$AU134))</f>
        <v/>
      </c>
      <c r="BX134" s="172">
        <f>MIN(IF($AU134=100%,1,1+VLOOKUP(($AJ134-$AI134-$AH134-$AG134-$AF134-$AE134*(1+BX$3))/$AJ134,'Технический лист'!$I:$J,2,1)-VLOOKUP($AO134,'Технический лист'!$I:$J,2,1)),1+(1-$AU134))</f>
        <v/>
      </c>
      <c r="BY134" s="172">
        <f>MIN(IF($AU134=100%,1,1+VLOOKUP(($AJ134-$AI134-$AH134-$AG134-$AF134-$AE134*(1+BY$3))/$AJ134,'Технический лист'!$I:$J,2,1)-VLOOKUP($AO134,'Технический лист'!$I:$J,2,1)),1+(1-$AU134))</f>
        <v/>
      </c>
      <c r="BZ134" s="172">
        <f>MIN(IF($AU134=100%,1,1+VLOOKUP(($AJ134-$AI134-$AH134-$AG134-$AF134-$AE134*(1+BZ$3))/$AJ134,'Технический лист'!$I:$J,2,1)-VLOOKUP($AO134,'Технический лист'!$I:$J,2,1)),1+(1-$AU134))</f>
        <v/>
      </c>
      <c r="CA134" s="172">
        <f>MIN(IF($AU134=100%,1,1+VLOOKUP(($AJ134-$AI134-$AH134-$AG134-$AF134-$AE134*(1+CA$3))/$AJ134,'Технический лист'!$I:$J,2,1)-VLOOKUP($AO134,'Технический лист'!$I:$J,2,1)),1+(1-$AU134))</f>
        <v/>
      </c>
      <c r="CB134" s="172">
        <f>MIN(IF($AU134=100%,1,1+VLOOKUP(($AJ134-$AI134-$AH134-$AG134-$AF134-$AE134*(1+CB$3))/$AJ134,'Технический лист'!$I:$J,2,1)-VLOOKUP($AO134,'Технический лист'!$I:$J,2,1)),1+(1-$AU134))</f>
        <v/>
      </c>
      <c r="CC134" s="172">
        <f>MIN(IF($AU134=100%,1,1+VLOOKUP(($AJ134-$AI134-$AH134-$AG134-$AF134-$AE134*(1+CC$3))/$AJ134,'Технический лист'!$I:$J,2,1)-VLOOKUP($AO134,'Технический лист'!$I:$J,2,1)),1+(1-$AU134))</f>
        <v/>
      </c>
      <c r="CD134" s="172">
        <f>MIN(IF($AU134=100%,1,1+VLOOKUP(($AJ134-$AI134-$AH134-$AG134-$AF134-$AE134*(1+CD$3))/$AJ134,'Технический лист'!$I:$J,2,1)-VLOOKUP($AO134,'Технический лист'!$I:$J,2,1)),1+(1-$AU134))</f>
        <v/>
      </c>
      <c r="CE134" s="172">
        <f>MIN(IF($AU134=100%,1,1+VLOOKUP(($AJ134-$AI134-$AH134-$AG134-$AF134-$AE134*(1+CE$3))/$AJ134,'Технический лист'!$I:$J,2,1)-VLOOKUP($AO134,'Технический лист'!$I:$J,2,1)),1+(1-$AU134))</f>
        <v/>
      </c>
      <c r="CF134" s="172">
        <f>MIN(IF($AU134=100%,1,1+VLOOKUP(($AJ134-$AI134-$AH134-$AG134-$AF134-$AE134*(1+CF$3))/$AJ134,'Технический лист'!$I:$J,2,1)-VLOOKUP($AO134,'Технический лист'!$I:$J,2,1)),1+(1-$AU134))</f>
        <v/>
      </c>
      <c r="CG134" s="172">
        <f>MIN(IF($AU134=100%,1,1+VLOOKUP(($AJ134-$AI134-$AH134-$AG134-$AF134-$AE134*(1+CG$3))/$AJ134,'Технический лист'!$I:$J,2,1)-VLOOKUP($AO134,'Технический лист'!$I:$J,2,1)),1+(1-$AU134))</f>
        <v/>
      </c>
      <c r="CH134" s="172">
        <f>MIN(IF($AU134=100%,1,1+VLOOKUP(($AJ134-$AI134-$AH134-$AG134-$AF134-$AE134*(1+CH$3))/$AJ134,'Технический лист'!$I:$J,2,1)-VLOOKUP($AO134,'Технический лист'!$I:$J,2,1)),1+(1-$AU134))</f>
        <v/>
      </c>
      <c r="CI134" s="172">
        <f>MIN(IF($AU134=100%,1,1+VLOOKUP(($AJ134-$AI134-$AH134-$AG134-$AF134-$AE134*(1+CI$3))/$AJ134,'Технический лист'!$I:$J,2,1)-VLOOKUP($AO134,'Технический лист'!$I:$J,2,1)),1+(1-$AU134))</f>
        <v/>
      </c>
      <c r="CJ134" s="172">
        <f>MIN(IF($AU134=100%,1,1+VLOOKUP(($AJ134-$AI134-$AH134-$AG134-$AF134-$AE134*(1+CJ$3))/$AJ134,'Технический лист'!$I:$J,2,1)-VLOOKUP($AO134,'Технический лист'!$I:$J,2,1)),1+(1-$AU134))</f>
        <v/>
      </c>
      <c r="CK134" s="172">
        <f>MIN(IF($AU134=100%,1,1+VLOOKUP(($AJ134-$AI134-$AH134-$AG134-$AF134-$AE134*(1+CK$3))/$AJ134,'Технический лист'!$I:$J,2,1)-VLOOKUP($AO134,'Технический лист'!$I:$J,2,1)),1+(1-$AU134))</f>
        <v/>
      </c>
      <c r="CL134" s="172">
        <f>MIN(IF($AU134=100%,1,1+VLOOKUP(($AJ134-$AI134-$AH134-$AG134-$AF134-$AE134*(1+CL$3))/$AJ134,'Технический лист'!$I:$J,2,1)-VLOOKUP($AO134,'Технический лист'!$I:$J,2,1)),1+(1-$AU134))</f>
        <v/>
      </c>
      <c r="CM134" s="172">
        <f>MIN(IF($AU134=100%,1,1+VLOOKUP(($AJ134-$AI134-$AH134-$AG134-$AF134-$AE134*(1+CM$3))/$AJ134,'Технический лист'!$I:$J,2,1)-VLOOKUP($AO134,'Технический лист'!$I:$J,2,1)),1+(1-$AU134))</f>
        <v/>
      </c>
      <c r="CN134" s="172">
        <f>MIN(IF($AU134=100%,1,1+VLOOKUP(($AJ134-$AI134-$AH134-$AG134-$AF134-$AE134*(1+CN$3))/$AJ134,'Технический лист'!$I:$J,2,1)-VLOOKUP($AO134,'Технический лист'!$I:$J,2,1)),1+(1-$AU134))</f>
        <v/>
      </c>
      <c r="CO134" s="172">
        <f>MIN(IF($AU134=100%,1,1+VLOOKUP(($AJ134-$AI134-$AH134-$AG134-$AF134-$AE134*(1+CO$3))/$AJ134,'Технический лист'!$I:$J,2,1)-VLOOKUP($AO134,'Технический лист'!$I:$J,2,1)),1+(1-$AU134))</f>
        <v/>
      </c>
      <c r="CP134" s="172">
        <f>MIN(IF($AU134=100%,1,1+VLOOKUP(($AJ134-$AI134-$AH134-$AG134-$AF134-$AE134*(1+CP$3))/$AJ134,'Технический лист'!$I:$J,2,1)-VLOOKUP($AO134,'Технический лист'!$I:$J,2,1)),1+(1-$AU134))</f>
        <v/>
      </c>
      <c r="CQ134" s="172">
        <f>MIN(IF($AU134=100%,1,1+VLOOKUP(($AJ134-$AI134-$AH134-$AG134-$AF134-$AE134*(1+CQ$3))/$AJ134,'Технический лист'!$I:$J,2,1)-VLOOKUP($AO134,'Технический лист'!$I:$J,2,1)),1+(1-$AU134))</f>
        <v/>
      </c>
      <c r="CR134" s="172">
        <f>MIN(IF($AU134=100%,1,1+VLOOKUP(($AJ134-$AI134-$AH134-$AG134-$AF134-$AE134*(1+CR$3))/$AJ134,'Технический лист'!$I:$J,2,1)-VLOOKUP($AO134,'Технический лист'!$I:$J,2,1)),1+(1-$AU134))</f>
        <v/>
      </c>
      <c r="CS134" s="172">
        <f>MIN(IF($AU134=100%,1,1+VLOOKUP(($AJ134-$AI134-$AH134-$AG134-$AF134-$AE134*(1+CS$3))/$AJ134,'Технический лист'!$I:$J,2,1)-VLOOKUP($AO134,'Технический лист'!$I:$J,2,1)),1+(1-$AU134))</f>
        <v/>
      </c>
      <c r="CT134" s="172">
        <f>MIN(IF($AU134=100%,1,1+VLOOKUP(($AJ134-$AI134-$AH134-$AG134-$AF134-$AE134*(1+CT$3))/$AJ134,'Технический лист'!$I:$J,2,1)-VLOOKUP($AO134,'Технический лист'!$I:$J,2,1)),1+(1-$AU134))</f>
        <v/>
      </c>
      <c r="CU134" s="172">
        <f>MIN(IF($AU134=100%,1,1+VLOOKUP(($AJ134-$AI134-$AH134-$AG134-$AF134-$AE134*(1+CU$3))/$AJ134,'Технический лист'!$I:$J,2,1)-VLOOKUP($AO134,'Технический лист'!$I:$J,2,1)),1+(1-$AU134))</f>
        <v/>
      </c>
      <c r="CV134" s="172">
        <f>MIN(IF($AU134=100%,1,1+VLOOKUP(($AJ134-$AI134-$AH134-$AG134-$AF134-$AE134*(1+CV$3))/$AJ134,'Технический лист'!$I:$J,2,1)-VLOOKUP($AO134,'Технический лист'!$I:$J,2,1)),1+(1-$AU134))</f>
        <v/>
      </c>
      <c r="CW134" s="172">
        <f>MIN(IF($AU134=100%,1,1+VLOOKUP(($AJ134-$AI134-$AH134-$AG134-$AF134-$AE134*(1+CW$3))/$AJ134,'Технический лист'!$I:$J,2,1)-VLOOKUP($AO134,'Технический лист'!$I:$J,2,1)),1+(1-$AU134))</f>
        <v/>
      </c>
      <c r="CX134" s="172">
        <f>MIN(IF($AU134=100%,1,1+VLOOKUP(($AJ134-$AI134-$AH134-$AG134-$AF134-$AE134*(1+CX$3))/$AJ134,'Технический лист'!$I:$J,2,1)-VLOOKUP($AO134,'Технический лист'!$I:$J,2,1)),1+(1-$AU134))</f>
        <v/>
      </c>
      <c r="CY134" s="172">
        <f>MIN(IF($AU134=100%,1,1+VLOOKUP(($AJ134-$AI134-$AH134-$AG134-$AF134-$AE134*(1+CY$3))/$AJ134,'Технический лист'!$I:$J,2,1)-VLOOKUP($AO134,'Технический лист'!$I:$J,2,1)),1+(1-$AU134))</f>
        <v/>
      </c>
      <c r="CZ134" s="172">
        <f>MIN(IF($AU134=100%,1,1+VLOOKUP(($AJ134-$AI134-$AH134-$AG134-$AF134-$AE134*(1+CZ$3))/$AJ134,'Технический лист'!$I:$J,2,1)-VLOOKUP($AO134,'Технический лист'!$I:$J,2,1)),1+(1-$AU134))</f>
        <v/>
      </c>
      <c r="DA134" s="172">
        <f>MIN(IF($AU134=100%,1,1+VLOOKUP(($AJ134-$AI134-$AH134-$AG134-$AF134-$AE134*(1+DA$3))/$AJ134,'Технический лист'!$I:$J,2,1)-VLOOKUP($AO134,'Технический лист'!$I:$J,2,1)),1+(1-$AU134))</f>
        <v/>
      </c>
      <c r="DB134" s="172">
        <f>MIN(IF($AU134=100%,1,1+VLOOKUP(($AJ134-$AI134-$AH134-$AG134-$AF134-$AE134*(1+DB$3))/$AJ134,'Технический лист'!$I:$J,2,1)-VLOOKUP($AO134,'Технический лист'!$I:$J,2,1)),1+(1-$AU134))</f>
        <v/>
      </c>
      <c r="DC134" s="172">
        <f>MIN(IF($AU134=100%,1,1+VLOOKUP(($AJ134-$AI134-$AH134-$AG134-$AF134-$AE134*(1+DC$3))/$AJ134,'Технический лист'!$I:$J,2,1)-VLOOKUP($AO134,'Технический лист'!$I:$J,2,1)),1+(1-$AU134))</f>
        <v/>
      </c>
      <c r="DD134" s="172">
        <f>MIN(IF($AU134=100%,1,1+VLOOKUP(($AJ134-$AI134-$AH134-$AG134-$AF134-$AE134*(1+DD$3))/$AJ134,'Технический лист'!$I:$J,2,1)-VLOOKUP($AO134,'Технический лист'!$I:$J,2,1)),1+(1-$AU134))</f>
        <v/>
      </c>
      <c r="DE134" s="172">
        <f>MIN(IF($AU134=100%,1,1+VLOOKUP(($AJ134-$AI134-$AH134-$AG134-$AF134-$AE134*(1+DE$3))/$AJ134,'Технический лист'!$I:$J,2,1)-VLOOKUP($AO134,'Технический лист'!$I:$J,2,1)),1+(1-$AU134))</f>
        <v/>
      </c>
      <c r="DF134" s="172">
        <f>MIN(IF($AU134=100%,1,1+VLOOKUP(($AJ134-$AI134-$AH134-$AG134-$AF134-$AE134*(1+DF$3))/$AJ134,'Технический лист'!$I:$J,2,1)-VLOOKUP($AO134,'Технический лист'!$I:$J,2,1)),1+(1-$AU134))</f>
        <v/>
      </c>
      <c r="DG134" s="172">
        <f>MIN(IF($AU134=100%,1,1+VLOOKUP(($AJ134-$AI134-$AH134-$AG134-$AF134-$AE134*(1+DG$3))/$AJ134,'Технический лист'!$I:$J,2,1)-VLOOKUP($AO134,'Технический лист'!$I:$J,2,1)),1+(1-$AU134))</f>
        <v/>
      </c>
      <c r="DH134" s="172">
        <f>MIN(IF($AU134=100%,1,1+VLOOKUP(($AJ134-$AI134-$AH134-$AG134-$AF134-$AE134*(1+DH$3))/$AJ134,'Технический лист'!$I:$J,2,1)-VLOOKUP($AO134,'Технический лист'!$I:$J,2,1)),1+(1-$AU134))</f>
        <v/>
      </c>
      <c r="DI134" s="172">
        <f>MIN(IF($AU134=100%,1,1+VLOOKUP(($AJ134-$AI134-$AH134-$AG134-$AF134-$AE134*(1+DI$3))/$AJ134,'Технический лист'!$I:$J,2,1)-VLOOKUP($AO134,'Технический лист'!$I:$J,2,1)),1+(1-$AU134))</f>
        <v/>
      </c>
      <c r="DJ134" s="172">
        <f>MIN(IF($AU134=100%,1,1+VLOOKUP(($AJ134-$AI134-$AH134-$AG134-$AF134-$AE134*(1+DJ$3))/$AJ134,'Технический лист'!$I:$J,2,1)-VLOOKUP($AO134,'Технический лист'!$I:$J,2,1)),1+(1-$AU134))</f>
        <v/>
      </c>
      <c r="DK134" s="172">
        <f>MIN(IF($AU134=100%,1,1+VLOOKUP(($AJ134-$AI134-$AH134-$AG134-$AF134-$AE134*(1+DK$3))/$AJ134,'Технический лист'!$I:$J,2,1)-VLOOKUP($AO134,'Технический лист'!$I:$J,2,1)),1+(1-$AU134))</f>
        <v/>
      </c>
      <c r="DL134" s="172">
        <f>MIN(IF($AU134=100%,1,1+VLOOKUP(($AJ134-$AI134-$AH134-$AG134-$AF134-$AE134*(1+DL$3))/$AJ134,'Технический лист'!$I:$J,2,1)-VLOOKUP($AO134,'Технический лист'!$I:$J,2,1)),1+(1-$AU134))</f>
        <v/>
      </c>
      <c r="DM134" s="172">
        <f>MIN(IF($AU134=100%,1,1+VLOOKUP(($AJ134-$AI134-$AH134-$AG134-$AF134-$AE134*(1+DM$3))/$AJ134,'Технический лист'!$I:$J,2,1)-VLOOKUP($AO134,'Технический лист'!$I:$J,2,1)),1+(1-$AU134))</f>
        <v/>
      </c>
      <c r="DN134" s="172">
        <f>MIN(IF($AU134=100%,1,1+VLOOKUP(($AJ134-$AI134-$AH134-$AG134-$AF134-$AE134*(1+DN$3))/$AJ134,'Технический лист'!$I:$J,2,1)-VLOOKUP($AO134,'Технический лист'!$I:$J,2,1)),1+(1-$AU134))</f>
        <v/>
      </c>
      <c r="DO134" s="172">
        <f>MIN(IF($AU134=100%,1,1+VLOOKUP(($AJ134-$AI134-$AH134-$AG134-$AF134-$AE134*(1+DO$3))/$AJ134,'Технический лист'!$I:$J,2,1)-VLOOKUP($AO134,'Технический лист'!$I:$J,2,1)),1+(1-$AU134))</f>
        <v/>
      </c>
      <c r="DP134" s="172">
        <f>MIN(IF($AU134=100%,1,1+VLOOKUP(($AJ134-$AI134-$AH134-$AG134-$AF134-$AE134*(1+DP$3))/$AJ134,'Технический лист'!$I:$J,2,1)-VLOOKUP($AO134,'Технический лист'!$I:$J,2,1)),1+(1-$AU134))</f>
        <v/>
      </c>
      <c r="DQ134" s="172">
        <f>MIN(IF($AU134=100%,1,1+VLOOKUP(($AJ134-$AI134-$AH134-$AG134-$AF134-$AE134*(1+DQ$3))/$AJ134,'Технический лист'!$I:$J,2,1)-VLOOKUP($AO134,'Технический лист'!$I:$J,2,1)),1+(1-$AU134))</f>
        <v/>
      </c>
      <c r="DR134" s="172">
        <f>MIN(IF($AU134=100%,1,1+VLOOKUP(($AJ134-$AI134-$AH134-$AG134-$AF134-$AE134*(1+DR$3))/$AJ134,'Технический лист'!$I:$J,2,1)-VLOOKUP($AO134,'Технический лист'!$I:$J,2,1)),1+(1-$AU134))</f>
        <v/>
      </c>
      <c r="DS134" s="172">
        <f>MIN(IF($AU134=100%,1,1+VLOOKUP(($AJ134-$AI134-$AH134-$AG134-$AF134-$AE134*(1+DS$3))/$AJ134,'Технический лист'!$I:$J,2,1)-VLOOKUP($AO134,'Технический лист'!$I:$J,2,1)),1+(1-$AU134))</f>
        <v/>
      </c>
      <c r="DT134" s="172">
        <f>MIN(IF($AU134=100%,1,1+VLOOKUP(($AJ134-$AI134-$AH134-$AG134-$AF134-$AE134*(1+DT$3))/$AJ134,'Технический лист'!$I:$J,2,1)-VLOOKUP($AO134,'Технический лист'!$I:$J,2,1)),1+(1-$AU134))</f>
        <v/>
      </c>
      <c r="DU134" s="172">
        <f>MIN(IF($AU134=100%,1,1+VLOOKUP(($AJ134-$AI134-$AH134-$AG134-$AF134-$AE134*(1+DU$3))/$AJ134,'Технический лист'!$I:$J,2,1)-VLOOKUP($AO134,'Технический лист'!$I:$J,2,1)),1+(1-$AU134))</f>
        <v/>
      </c>
      <c r="DV134" s="172">
        <f>MIN(IF($AU134=100%,1,1+VLOOKUP(($AJ134-$AI134-$AH134-$AG134-$AF134-$AE134*(1+DV$3))/$AJ134,'Технический лист'!$I:$J,2,1)-VLOOKUP($AO134,'Технический лист'!$I:$J,2,1)),1+(1-$AU134))</f>
        <v/>
      </c>
      <c r="DW134" s="172">
        <f>MIN(IF($AU134=100%,1,1+VLOOKUP(($AJ134-$AI134-$AH134-$AG134-$AF134-$AE134*(1+DW$3))/$AJ134,'Технический лист'!$I:$J,2,1)-VLOOKUP($AO134,'Технический лист'!$I:$J,2,1)),1+(1-$AU134))</f>
        <v/>
      </c>
      <c r="DX134" s="172">
        <f>MIN(IF($AU134=100%,1,1+VLOOKUP(($AJ134-$AI134-$AH134-$AG134-$AF134-$AE134*(1+DX$3))/$AJ134,'Технический лист'!$I:$J,2,1)-VLOOKUP($AO134,'Технический лист'!$I:$J,2,1)),1+(1-$AU134))</f>
        <v/>
      </c>
      <c r="DY134" s="172">
        <f>MIN(IF($AU134=100%,1,1+VLOOKUP(($AJ134-$AI134-$AH134-$AG134-$AF134-$AE134*(1+DY$3))/$AJ134,'Технический лист'!$I:$J,2,1)-VLOOKUP($AO134,'Технический лист'!$I:$J,2,1)),1+(1-$AU134))</f>
        <v/>
      </c>
      <c r="DZ134" s="172">
        <f>MIN(IF($AU134=100%,1,1+VLOOKUP(($AJ134-$AI134-$AH134-$AG134-$AF134-$AE134*(1+DZ$3))/$AJ134,'Технический лист'!$I:$J,2,1)-VLOOKUP($AO134,'Технический лист'!$I:$J,2,1)),1+(1-$AU134))</f>
        <v/>
      </c>
      <c r="EA134" s="172">
        <f>MIN(IF($AU134=100%,1,1+VLOOKUP(($AJ134-$AI134-$AH134-$AG134-$AF134-$AE134*(1+EA$3))/$AJ134,'Технический лист'!$I:$J,2,1)-VLOOKUP($AO134,'Технический лист'!$I:$J,2,1)),1+(1-$AU134))</f>
        <v/>
      </c>
      <c r="EB134" s="172">
        <f>MIN(IF($AU134=100%,1,1+VLOOKUP(($AJ134-$AI134-$AH134-$AG134-$AF134-$AE134*(1+EB$3))/$AJ134,'Технический лист'!$I:$J,2,1)-VLOOKUP($AO134,'Технический лист'!$I:$J,2,1)),1+(1-$AU134))</f>
        <v/>
      </c>
      <c r="EC134" s="172">
        <f>MIN(IF($AU134=100%,1,1+VLOOKUP(($AJ134-$AI134-$AH134-$AG134-$AF134-$AE134*(1+EC$3))/$AJ134,'Технический лист'!$I:$J,2,1)-VLOOKUP($AO134,'Технический лист'!$I:$J,2,1)),1+(1-$AU134))</f>
        <v/>
      </c>
      <c r="ED134" s="172">
        <f>MIN(IF($AU134=100%,1,1+VLOOKUP(($AJ134-$AI134-$AH134-$AG134-$AF134-$AE134*(1+ED$3))/$AJ134,'Технический лист'!$I:$J,2,1)-VLOOKUP($AO134,'Технический лист'!$I:$J,2,1)),1+(1-$AU134))</f>
        <v/>
      </c>
      <c r="EE134" s="172">
        <f>MIN(IF($AU134=100%,1,1+VLOOKUP(($AJ134-$AI134-$AH134-$AG134-$AF134-$AE134*(1+EE$3))/$AJ134,'Технический лист'!$I:$J,2,1)-VLOOKUP($AO134,'Технический лист'!$I:$J,2,1)),1+(1-$AU134))</f>
        <v/>
      </c>
      <c r="EF134" s="172">
        <f>MIN(IF($AU134=100%,1,1+VLOOKUP(($AJ134-$AI134-$AH134-$AG134-$AF134-$AE134*(1+EF$3))/$AJ134,'Технический лист'!$I:$J,2,1)-VLOOKUP($AO134,'Технический лист'!$I:$J,2,1)),1+(1-$AU134))</f>
        <v/>
      </c>
      <c r="EG134" s="172">
        <f>MIN(IF($AU134=100%,1,1+VLOOKUP(($AJ134-$AI134-$AH134-$AG134-$AF134-$AE134*(1+EG$3))/$AJ134,'Технический лист'!$I:$J,2,1)-VLOOKUP($AO134,'Технический лист'!$I:$J,2,1)),1+(1-$AU134))</f>
        <v/>
      </c>
      <c r="EH134" s="172">
        <f>MIN(IF($AU134=100%,1,1+VLOOKUP(($AJ134-$AI134-$AH134-$AG134-$AF134-$AE134*(1+EH$3))/$AJ134,'Технический лист'!$I:$J,2,1)-VLOOKUP($AO134,'Технический лист'!$I:$J,2,1)),1+(1-$AU134))</f>
        <v/>
      </c>
      <c r="EI134" s="172">
        <f>MIN(IF($AU134=100%,1,1+VLOOKUP(($AJ134-$AI134-$AH134-$AG134-$AF134-$AE134*(1+EI$3))/$AJ134,'Технический лист'!$I:$J,2,1)-VLOOKUP($AO134,'Технический лист'!$I:$J,2,1)),1+(1-$AU134))</f>
        <v/>
      </c>
      <c r="EJ134" s="172">
        <f>MIN(IF($AU134=100%,1,1+VLOOKUP(($AJ134-$AI134-$AH134-$AG134-$AF134-$AE134*(1+EJ$3))/$AJ134,'Технический лист'!$I:$J,2,1)-VLOOKUP($AO134,'Технический лист'!$I:$J,2,1)),1+(1-$AU134))</f>
        <v/>
      </c>
      <c r="EK134" s="172">
        <f>MIN(IF($AU134=100%,1,1+VLOOKUP(($AJ134-$AI134-$AH134-$AG134-$AF134-$AE134*(1+EK$3))/$AJ134,'Технический лист'!$I:$J,2,1)-VLOOKUP($AO134,'Технический лист'!$I:$J,2,1)),1+(1-$AU134))</f>
        <v/>
      </c>
      <c r="EL134" s="172">
        <f>MIN(IF($AU134=100%,1,1+VLOOKUP(($AJ134-$AI134-$AH134-$AG134-$AF134-$AE134*(1+EL$3))/$AJ134,'Технический лист'!$I:$J,2,1)-VLOOKUP($AO134,'Технический лист'!$I:$J,2,1)),1+(1-$AU134))</f>
        <v/>
      </c>
      <c r="EM134" s="172">
        <f>MIN(IF($AU134=100%,1,1+VLOOKUP(($AJ134-$AI134-$AH134-$AG134-$AF134-$AE134*(1+EM$3))/$AJ134,'Технический лист'!$I:$J,2,1)-VLOOKUP($AO134,'Технический лист'!$I:$J,2,1)),1+(1-$AU134))</f>
        <v/>
      </c>
      <c r="EN134" s="172">
        <f>MIN(IF($AU134=100%,1,1+VLOOKUP(($AJ134-$AI134-$AH134-$AG134-$AF134-$AE134*(1+EN$3))/$AJ134,'Технический лист'!$I:$J,2,1)-VLOOKUP($AO134,'Технический лист'!$I:$J,2,1)),1+(1-$AU134))</f>
        <v/>
      </c>
      <c r="EO134" s="172">
        <f>MIN(IF($AU134=100%,1,1+VLOOKUP(($AJ134-$AI134-$AH134-$AG134-$AF134-$AE134*(1+EO$3))/$AJ134,'Технический лист'!$I:$J,2,1)-VLOOKUP($AO134,'Технический лист'!$I:$J,2,1)),1+(1-$AU134))</f>
        <v/>
      </c>
      <c r="EP134" s="172">
        <f>MIN(IF($AU134=100%,1,1+VLOOKUP(($AJ134-$AI134-$AH134-$AG134-$AF134-$AE134*(1+EP$3))/$AJ134,'Технический лист'!$I:$J,2,1)-VLOOKUP($AO134,'Технический лист'!$I:$J,2,1)),1+(1-$AU134))</f>
        <v/>
      </c>
      <c r="EQ134" s="172">
        <f>MIN(IF($AU134=100%,1,1+VLOOKUP(($AJ134-$AI134-$AH134-$AG134-$AF134-$AE134*(1+EQ$3))/$AJ134,'Технический лист'!$I:$J,2,1)-VLOOKUP($AO134,'Технический лист'!$I:$J,2,1)),1+(1-$AU134))</f>
        <v/>
      </c>
      <c r="ER134" s="172">
        <f>MIN(IF($AU134=100%,1,1+VLOOKUP(($AJ134-$AI134-$AH134-$AG134-$AF134-$AE134*(1+ER$3))/$AJ134,'Технический лист'!$I:$J,2,1)-VLOOKUP($AO134,'Технический лист'!$I:$J,2,1)),1+(1-$AU134))</f>
        <v/>
      </c>
      <c r="ES134" s="172">
        <f>MIN(IF($AU134=100%,1,1+VLOOKUP(($AJ134-$AI134-$AH134-$AG134-$AF134-$AE134*(1+ES$3))/$AJ134,'Технический лист'!$I:$J,2,1)-VLOOKUP($AO134,'Технический лист'!$I:$J,2,1)),1+(1-$AU134))</f>
        <v/>
      </c>
      <c r="ET134" s="172">
        <f>MIN(IF($AU134=100%,1,1+VLOOKUP(($AJ134-$AI134-$AH134-$AG134-$AF134-$AE134*(1+ET$3))/$AJ134,'Технический лист'!$I:$J,2,1)-VLOOKUP($AO134,'Технический лист'!$I:$J,2,1)),1+(1-$AU134))</f>
        <v/>
      </c>
      <c r="EU134" s="172">
        <f>MIN(IF($AU134=100%,1,1+VLOOKUP(($AJ134-$AI134-$AH134-$AG134-$AF134-$AE134*(1+EU$3))/$AJ134,'Технический лист'!$I:$J,2,1)-VLOOKUP($AO134,'Технический лист'!$I:$J,2,1)),1+(1-$AU134))</f>
        <v/>
      </c>
      <c r="EV134" s="173" t="n">
        <v>1</v>
      </c>
      <c r="EW134" s="172">
        <f>MIN(1,MAX(VLOOKUP(($AJ134-$AI134-$AH134-$AG134-$AF134-$AE134*(1+EW$3))/$AJ134,'Технический лист'!$A:$B,2,1),(EV134-0.05)))</f>
        <v/>
      </c>
      <c r="EX134" s="172">
        <f>MIN(1,MAX(VLOOKUP(($AJ134-$AI134-$AH134-$AG134-$AF134-$AE134*(1+EX$3))/$AJ134,'Технический лист'!$A:$B,2,1),(EW134-0.05)))</f>
        <v/>
      </c>
      <c r="EY134" s="172">
        <f>MIN(1,MAX(VLOOKUP(($AJ134-$AI134-$AH134-$AG134-$AF134-$AE134*(1+EY$3))/$AJ134,'Технический лист'!$A:$B,2,1),(EX134-0.05)))</f>
        <v/>
      </c>
      <c r="EZ134" s="172">
        <f>MIN(1,MAX(VLOOKUP(($AJ134-$AI134-$AH134-$AG134-$AF134-$AE134*(1+EZ$3))/$AJ134,'Технический лист'!$A:$B,2,1),(EY134-0.05)))</f>
        <v/>
      </c>
      <c r="FA134" s="172">
        <f>MIN(1,MAX(VLOOKUP(($AJ134-$AI134-$AH134-$AG134-$AF134-$AE134*(1+FA$3))/$AJ134,'Технический лист'!$A:$B,2,1),(EZ134-0.05)))</f>
        <v/>
      </c>
      <c r="FB134" s="172">
        <f>MIN(1,MAX(VLOOKUP(($AJ134-$AI134-$AH134-$AG134-$AF134-$AE134*(1+FB$3))/$AJ134,'Технический лист'!$A:$B,2,1),(FA134-0.05)))</f>
        <v/>
      </c>
      <c r="FC134" s="172">
        <f>MIN(1,MAX(VLOOKUP(($AJ134-$AI134-$AH134-$AG134-$AF134-$AE134*(1+FC$3))/$AJ134,'Технический лист'!$A:$B,2,1),(FB134-0.05)))</f>
        <v/>
      </c>
      <c r="FD134" s="172">
        <f>MIN(1,MAX(VLOOKUP(($AJ134-$AI134-$AH134-$AG134-$AF134-$AE134*(1+FD$3))/$AJ134,'Технический лист'!$A:$B,2,1),(FC134-0.05)))</f>
        <v/>
      </c>
      <c r="FE134" s="172">
        <f>MIN(1,MAX(VLOOKUP(($AJ134-$AI134-$AH134-$AG134-$AF134-$AE134*(1+FE$3))/$AJ134,'Технический лист'!$A:$B,2,1),(FD134-0.05)))</f>
        <v/>
      </c>
      <c r="FF134" s="172">
        <f>MIN(1,MAX(VLOOKUP(($AJ134-$AI134-$AH134-$AG134-$AF134-$AE134*(1+FF$3))/$AJ134,'Технический лист'!$A:$B,2,1),(FE134-0.05)))</f>
        <v/>
      </c>
      <c r="FG134" s="172">
        <f>MIN(1,MAX(VLOOKUP(($AJ134-$AI134-$AH134-$AG134-$AF134-$AE134*(1+FG$3))/$AJ134,'Технический лист'!$A:$B,2,1),(FF134-0.05)))</f>
        <v/>
      </c>
      <c r="FH134" s="172">
        <f>MIN(1,MAX(VLOOKUP(($AJ134-$AI134-$AH134-$AG134-$AF134-$AE134*(1+FH$3))/$AJ134,'Технический лист'!$A:$B,2,1),(FG134-0.05)))</f>
        <v/>
      </c>
      <c r="FI134" s="172">
        <f>MIN(1,MAX(VLOOKUP(($AJ134-$AI134-$AH134-$AG134-$AF134-$AE134*(1+FI$3))/$AJ134,'Технический лист'!$A:$B,2,1),(FH134-0.05)))</f>
        <v/>
      </c>
      <c r="FJ134" s="172">
        <f>MIN(1,MAX(VLOOKUP(($AJ134-$AI134-$AH134-$AG134-$AF134-$AE134*(1+FJ$3))/$AJ134,'Технический лист'!$A:$B,2,1),(FI134-0.05)))</f>
        <v/>
      </c>
      <c r="FK134" s="172">
        <f>MIN(1,MAX(VLOOKUP(($AJ134-$AI134-$AH134-$AG134-$AF134-$AE134*(1+FK$3))/$AJ134,'Технический лист'!$A:$B,2,1),(FJ134-0.05)))</f>
        <v/>
      </c>
      <c r="FL134" s="172">
        <f>MIN(1,MAX(VLOOKUP(($AJ134-$AI134-$AH134-$AG134-$AF134-$AE134*(1+FL$3))/$AJ134,'Технический лист'!$A:$B,2,1),(FK134-0.05)))</f>
        <v/>
      </c>
      <c r="FM134" s="172">
        <f>MIN(1,MAX(VLOOKUP(($AJ134-$AI134-$AH134-$AG134-$AF134-$AE134*(1+FM$3))/$AJ134,'Технический лист'!$A:$B,2,1),(FL134-0.05)))</f>
        <v/>
      </c>
      <c r="FN134" s="172">
        <f>MIN(1,MAX(VLOOKUP(($AJ134-$AI134-$AH134-$AG134-$AF134-$AE134*(1+FN$3))/$AJ134,'Технический лист'!$A:$B,2,1),(FM134-0.05)))</f>
        <v/>
      </c>
      <c r="FO134" s="172">
        <f>MIN(1,MAX(VLOOKUP(($AJ134-$AI134-$AH134-$AG134-$AF134-$AE134*(1+FO$3))/$AJ134,'Технический лист'!$A:$B,2,1),(FN134-0.05)))</f>
        <v/>
      </c>
      <c r="FP134" s="172">
        <f>MIN(1,MAX(VLOOKUP(($AJ134-$AI134-$AH134-$AG134-$AF134-$AE134*(1+FP$3))/$AJ134,'Технический лист'!$A:$B,2,1),(FO134-0.05)))</f>
        <v/>
      </c>
      <c r="FQ134" s="172">
        <f>MIN(1,MAX(VLOOKUP(($AJ134-$AI134-$AH134-$AG134-$AF134-$AE134*(1+FQ$3))/$AJ134,'Технический лист'!$A:$B,2,1),(FP134-0.05)))</f>
        <v/>
      </c>
      <c r="FR134" s="172">
        <f>MIN(1,MAX(VLOOKUP(($AJ134-$AI134-$AH134-$AG134-$AF134-$AE134*(1+FR$3))/$AJ134,'Технический лист'!$A:$B,2,1),(FQ134-0.05)))</f>
        <v/>
      </c>
      <c r="FS134" s="172">
        <f>MIN(1,MAX(VLOOKUP(($AJ134-$AI134-$AH134-$AG134-$AF134-$AE134*(1+FS$3))/$AJ134,'Технический лист'!$A:$B,2,1),(FR134-0.05)))</f>
        <v/>
      </c>
      <c r="FT134" s="172">
        <f>MIN(1,MAX(VLOOKUP(($AJ134-$AI134-$AH134-$AG134-$AF134-$AE134*(1+FT$3))/$AJ134,'Технический лист'!$A:$B,2,1),(FS134-0.05)))</f>
        <v/>
      </c>
      <c r="FU134" s="172">
        <f>MIN(1,MAX(VLOOKUP(($AJ134-$AI134-$AH134-$AG134-$AF134-$AE134*(1+FU$3))/$AJ134,'Технический лист'!$A:$B,2,1),(FT134-0.05)))</f>
        <v/>
      </c>
      <c r="FV134" s="172">
        <f>MIN(1,MAX(VLOOKUP(($AJ134-$AI134-$AH134-$AG134-$AF134-$AE134*(1+FV$3))/$AJ134,'Технический лист'!$A:$B,2,1),(FU134-0.05)))</f>
        <v/>
      </c>
      <c r="FW134" s="172">
        <f>MIN(1,MAX(VLOOKUP(($AJ134-$AI134-$AH134-$AG134-$AF134-$AE134*(1+FW$3))/$AJ134,'Технический лист'!$A:$B,2,1),(FV134-0.05)))</f>
        <v/>
      </c>
      <c r="FX134" s="172">
        <f>MIN(1,MAX(VLOOKUP(($AJ134-$AI134-$AH134-$AG134-$AF134-$AE134*(1+FX$3))/$AJ134,'Технический лист'!$A:$B,2,1),(FW134-0.05)))</f>
        <v/>
      </c>
      <c r="FY134" s="172">
        <f>MIN(1,MAX(VLOOKUP(($AJ134-$AI134-$AH134-$AG134-$AF134-$AE134*(1+FY$3))/$AJ134,'Технический лист'!$A:$B,2,1),(FX134-0.05)))</f>
        <v/>
      </c>
      <c r="FZ134" s="172">
        <f>MIN(1,MAX(VLOOKUP(($AJ134-$AI134-$AH134-$AG134-$AF134-$AE134*(1+FZ$3))/$AJ134,'Технический лист'!$A:$B,2,1),(FY134-0.05)))</f>
        <v/>
      </c>
      <c r="GA134" s="172">
        <f>MIN(1,MAX(VLOOKUP(($AJ134-$AI134-$AH134-$AG134-$AF134-$AE134*(1+GA$3))/$AJ134,'Технический лист'!$A:$B,2,1),(FZ134-0.05)))</f>
        <v/>
      </c>
      <c r="GB134" s="172">
        <f>MIN(1,MAX(VLOOKUP(($AJ134-$AI134-$AH134-$AG134-$AF134-$AE134*(1+GB$3))/$AJ134,'Технический лист'!$A:$B,2,1),(GA134-0.05)))</f>
        <v/>
      </c>
      <c r="GC134" s="172">
        <f>MIN(1,MAX(VLOOKUP(($AJ134-$AI134-$AH134-$AG134-$AF134-$AE134*(1+GC$3))/$AJ134,'Технический лист'!$A:$B,2,1),(GB134-0.05)))</f>
        <v/>
      </c>
      <c r="GD134" s="172">
        <f>MIN(1,MAX(VLOOKUP(($AJ134-$AI134-$AH134-$AG134-$AF134-$AE134*(1+GD$3))/$AJ134,'Технический лист'!$A:$B,2,1),(GC134-0.05)))</f>
        <v/>
      </c>
      <c r="GE134" s="172">
        <f>MIN(1,MAX(VLOOKUP(($AJ134-$AI134-$AH134-$AG134-$AF134-$AE134*(1+GE$3))/$AJ134,'Технический лист'!$A:$B,2,1),(GD134-0.05)))</f>
        <v/>
      </c>
      <c r="GF134" s="172">
        <f>MIN(1,MAX(VLOOKUP(($AJ134-$AI134-$AH134-$AG134-$AF134-$AE134*(1+GF$3))/$AJ134,'Технический лист'!$A:$B,2,1),(GE134-0.05)))</f>
        <v/>
      </c>
      <c r="GG134" s="172">
        <f>MIN(1,MAX(VLOOKUP(($AJ134-$AI134-$AH134-$AG134-$AF134-$AE134*(1+GG$3))/$AJ134,'Технический лист'!$A:$B,2,1),(GF134-0.05)))</f>
        <v/>
      </c>
      <c r="GH134" s="172">
        <f>MIN(1,MAX(VLOOKUP(($AJ134-$AI134-$AH134-$AG134-$AF134-$AE134*(1+GH$3))/$AJ134,'Технический лист'!$A:$B,2,1),(GG134-0.05)))</f>
        <v/>
      </c>
      <c r="GI134" s="172">
        <f>MIN(1,MAX(VLOOKUP(($AJ134-$AI134-$AH134-$AG134-$AF134-$AE134*(1+GI$3))/$AJ134,'Технический лист'!$A:$B,2,1),(GH134-0.05)))</f>
        <v/>
      </c>
      <c r="GJ134" s="172">
        <f>MIN(1,MAX(VLOOKUP(($AJ134-$AI134-$AH134-$AG134-$AF134-$AE134*(1+GJ$3))/$AJ134,'Технический лист'!$A:$B,2,1),(GI134-0.05)))</f>
        <v/>
      </c>
      <c r="GK134" s="172">
        <f>MIN(1,MAX(VLOOKUP(($AJ134-$AI134-$AH134-$AG134-$AF134-$AE134*(1+GK$3))/$AJ134,'Технический лист'!$A:$B,2,1),(GJ134-0.05)))</f>
        <v/>
      </c>
      <c r="GL134" s="172">
        <f>MIN(1,MAX(VLOOKUP(($AJ134-$AI134-$AH134-$AG134-$AF134-$AE134*(1+GL$3))/$AJ134,'Технический лист'!$A:$B,2,1),(GK134-0.05)))</f>
        <v/>
      </c>
      <c r="GM134" s="172">
        <f>MIN(1,MAX(VLOOKUP(($AJ134-$AI134-$AH134-$AG134-$AF134-$AE134*(1+GM$3))/$AJ134,'Технический лист'!$A:$B,2,1),(GL134-0.05)))</f>
        <v/>
      </c>
      <c r="GN134" s="172">
        <f>MIN(1,MAX(VLOOKUP(($AJ134-$AI134-$AH134-$AG134-$AF134-$AE134*(1+GN$3))/$AJ134,'Технический лист'!$A:$B,2,1),(GM134-0.05)))</f>
        <v/>
      </c>
      <c r="GO134" s="172">
        <f>MIN(1,MAX(VLOOKUP(($AJ134-$AI134-$AH134-$AG134-$AF134-$AE134*(1+GO$3))/$AJ134,'Технический лист'!$A:$B,2,1),(GN134-0.05)))</f>
        <v/>
      </c>
      <c r="GP134" s="172">
        <f>MIN(1,MAX(VLOOKUP(($AJ134-$AI134-$AH134-$AG134-$AF134-$AE134*(1+GP$3))/$AJ134,'Технический лист'!$A:$B,2,1),(GO134-0.05)))</f>
        <v/>
      </c>
      <c r="GQ134" s="172">
        <f>MIN(1,MAX(VLOOKUP(($AJ134-$AI134-$AH134-$AG134-$AF134-$AE134*(1+GQ$3))/$AJ134,'Технический лист'!$A:$B,2,1),(GP134-0.05)))</f>
        <v/>
      </c>
      <c r="GR134" s="172">
        <f>MIN(1,MAX(VLOOKUP(($AJ134-$AI134-$AH134-$AG134-$AF134-$AE134*(1+GR$3))/$AJ134,'Технический лист'!$A:$B,2,1),(GQ134-0.05)))</f>
        <v/>
      </c>
      <c r="GS134" s="172">
        <f>MIN(1,MAX(VLOOKUP(($AJ134-$AI134-$AH134-$AG134-$AF134-$AE134*(1+GS$3))/$AJ134,'Технический лист'!$A:$B,2,1),(GR134-0.05)))</f>
        <v/>
      </c>
      <c r="GT134" s="172">
        <f>MIN(1,MAX(VLOOKUP(($AJ134-$AI134-$AH134-$AG134-$AF134-$AE134*(1+GT$3))/$AJ134,'Технический лист'!$A:$B,2,1),(GS134-0.05)))</f>
        <v/>
      </c>
      <c r="GU134" s="172">
        <f>MIN(1,MAX(VLOOKUP(($AJ134-$AI134-$AH134-$AG134-$AF134-$AE134*(1+GU$3))/$AJ134,'Технический лист'!$A:$B,2,1),(GT134-0.05)))</f>
        <v/>
      </c>
      <c r="GV134" s="172">
        <f>MIN(1,MAX(VLOOKUP(($AJ134-$AI134-$AH134-$AG134-$AF134-$AE134*(1+GV$3))/$AJ134,'Технический лист'!$A:$B,2,1),(GU134-0.05)))</f>
        <v/>
      </c>
      <c r="GW134" s="172">
        <f>MIN(1,MAX(VLOOKUP(($AJ134-$AI134-$AH134-$AG134-$AF134-$AE134*(1+GW$3))/$AJ134,'Технический лист'!$A:$B,2,1),(GV134-0.05)))</f>
        <v/>
      </c>
      <c r="GX134" s="172">
        <f>MIN(1,MAX(VLOOKUP(($AJ134-$AI134-$AH134-$AG134-$AF134-$AE134*(1+GX$3))/$AJ134,'Технический лист'!$A:$B,2,1),(GW134-0.05)))</f>
        <v/>
      </c>
      <c r="GY134" s="172">
        <f>MIN(1,MAX(VLOOKUP(($AJ134-$AI134-$AH134-$AG134-$AF134-$AE134*(1+GY$3))/$AJ134,'Технический лист'!$A:$B,2,1),(GX134-0.05)))</f>
        <v/>
      </c>
      <c r="GZ134" s="172">
        <f>MIN(1,MAX(VLOOKUP(($AJ134-$AI134-$AH134-$AG134-$AF134-$AE134*(1+GZ$3))/$AJ134,'Технический лист'!$A:$B,2,1),(GY134-0.05)))</f>
        <v/>
      </c>
      <c r="HA134" s="172">
        <f>MIN(1,MAX(VLOOKUP(($AJ134-$AI134-$AH134-$AG134-$AF134-$AE134*(1+HA$3))/$AJ134,'Технический лист'!$A:$B,2,1),(GZ134-0.05)))</f>
        <v/>
      </c>
      <c r="HB134" s="172">
        <f>MIN(1,MAX(VLOOKUP(($AJ134-$AI134-$AH134-$AG134-$AF134-$AE134*(1+HB$3))/$AJ134,'Технический лист'!$A:$B,2,1),(HA134-0.05)))</f>
        <v/>
      </c>
      <c r="HC134" s="172">
        <f>MIN(1,MAX(VLOOKUP(($AJ134-$AI134-$AH134-$AG134-$AF134-$AE134*(1+HC$3))/$AJ134,'Технический лист'!$A:$B,2,1),(HB134-0.05)))</f>
        <v/>
      </c>
      <c r="HD134" s="172">
        <f>MIN(1,MAX(VLOOKUP(($AJ134-$AI134-$AH134-$AG134-$AF134-$AE134*(1+HD$3))/$AJ134,'Технический лист'!$A:$B,2,1),(HC134-0.05)))</f>
        <v/>
      </c>
      <c r="HE134" s="172">
        <f>MIN(1,MAX(VLOOKUP(($AJ134-$AI134-$AH134-$AG134-$AF134-$AE134*(1+HE$3))/$AJ134,'Технический лист'!$A:$B,2,1),(HD134-0.05)))</f>
        <v/>
      </c>
      <c r="HF134" s="172">
        <f>MIN(1,MAX(VLOOKUP(($AJ134-$AI134-$AH134-$AG134-$AF134-$AE134*(1+HF$3))/$AJ134,'Технический лист'!$A:$B,2,1),(HE134-0.05)))</f>
        <v/>
      </c>
      <c r="HG134" s="172">
        <f>MIN(1,MAX(VLOOKUP(($AJ134-$AI134-$AH134-$AG134-$AF134-$AE134*(1+HG$3))/$AJ134,'Технический лист'!$A:$B,2,1),(HF134-0.05)))</f>
        <v/>
      </c>
      <c r="HH134" s="172">
        <f>MIN(1,MAX(VLOOKUP(($AJ134-$AI134-$AH134-$AG134-$AF134-$AE134*(1+HH$3))/$AJ134,'Технический лист'!$A:$B,2,1),(HG134-0.05)))</f>
        <v/>
      </c>
      <c r="HI134" s="172">
        <f>MIN(1,MAX(VLOOKUP(($AJ134-$AI134-$AH134-$AG134-$AF134-$AE134*(1+HI$3))/$AJ134,'Технический лист'!$A:$B,2,1),(HH134-0.05)))</f>
        <v/>
      </c>
      <c r="HJ134" s="172">
        <f>MIN(1,MAX(VLOOKUP(($AJ134-$AI134-$AH134-$AG134-$AF134-$AE134*(1+HJ$3))/$AJ134,'Технический лист'!$A:$B,2,1),(HI134-0.05)))</f>
        <v/>
      </c>
      <c r="HK134" s="172">
        <f>MIN(1,MAX(VLOOKUP(($AJ134-$AI134-$AH134-$AG134-$AF134-$AE134*(1+HK$3))/$AJ134,'Технический лист'!$A:$B,2,1),(HJ134-0.05)))</f>
        <v/>
      </c>
      <c r="HL134" s="172">
        <f>MIN(1,MAX(VLOOKUP(($AJ134-$AI134-$AH134-$AG134-$AF134-$AE134*(1+HL$3))/$AJ134,'Технический лист'!$A:$B,2,1),(HK134-0.05)))</f>
        <v/>
      </c>
      <c r="HM134" s="172">
        <f>MIN(1,MAX(VLOOKUP(($AJ134-$AI134-$AH134-$AG134-$AF134-$AE134*(1+HM$3))/$AJ134,'Технический лист'!$A:$B,2,1),(HL134-0.05)))</f>
        <v/>
      </c>
      <c r="HN134" s="172">
        <f>MIN(1,MAX(VLOOKUP(($AJ134-$AI134-$AH134-$AG134-$AF134-$AE134*(1+HN$3))/$AJ134,'Технический лист'!$A:$B,2,1),(HM134-0.05)))</f>
        <v/>
      </c>
      <c r="HO134" s="172">
        <f>MIN(1,MAX(VLOOKUP(($AJ134-$AI134-$AH134-$AG134-$AF134-$AE134*(1+HO$3))/$AJ134,'Технический лист'!$A:$B,2,1),(HN134-0.05)))</f>
        <v/>
      </c>
      <c r="HP134" s="172">
        <f>MIN(1,MAX(VLOOKUP(($AJ134-$AI134-$AH134-$AG134-$AF134-$AE134*(1+HP$3))/$AJ134,'Технический лист'!$A:$B,2,1),(HO134-0.05)))</f>
        <v/>
      </c>
      <c r="HQ134" s="172">
        <f>MIN(1,MAX(VLOOKUP(($AJ134-$AI134-$AH134-$AG134-$AF134-$AE134*(1+HQ$3))/$AJ134,'Технический лист'!$A:$B,2,1),(HP134-0.05)))</f>
        <v/>
      </c>
      <c r="HR134" s="172">
        <f>MIN(1,MAX(VLOOKUP(($AJ134-$AI134-$AH134-$AG134-$AF134-$AE134*(1+HR$3))/$AJ134,'Технический лист'!$A:$B,2,1),(HQ134-0.05)))</f>
        <v/>
      </c>
      <c r="HS134" s="172">
        <f>MIN(1,MAX(VLOOKUP(($AJ134-$AI134-$AH134-$AG134-$AF134-$AE134*(1+HS$3))/$AJ134,'Технический лист'!$A:$B,2,1),(HR134-0.05)))</f>
        <v/>
      </c>
      <c r="HT134" s="172">
        <f>MIN(1,MAX(VLOOKUP(($AJ134-$AI134-$AH134-$AG134-$AF134-$AE134*(1+HT$3))/$AJ134,'Технический лист'!$A:$B,2,1),(HS134-0.05)))</f>
        <v/>
      </c>
      <c r="HU134" s="172">
        <f>MIN(1,MAX(VLOOKUP(($AJ134-$AI134-$AH134-$AG134-$AF134-$AE134*(1+HU$3))/$AJ134,'Технический лист'!$A:$B,2,1),(HT134-0.05)))</f>
        <v/>
      </c>
      <c r="HV134" s="172">
        <f>MIN(1,MAX(VLOOKUP(($AJ134-$AI134-$AH134-$AG134-$AF134-$AE134*(1+HV$3))/$AJ134,'Технический лист'!$A:$B,2,1),(HU134-0.05)))</f>
        <v/>
      </c>
      <c r="HW134" s="172">
        <f>MIN(1,MAX(VLOOKUP(($AJ134-$AI134-$AH134-$AG134-$AF134-$AE134*(1+HW$3))/$AJ134,'Технический лист'!$A:$B,2,1),(HV134-0.05)))</f>
        <v/>
      </c>
      <c r="HX134" s="172">
        <f>MIN(1,MAX(VLOOKUP(($AJ134-$AI134-$AH134-$AG134-$AF134-$AE134*(1+HX$3))/$AJ134,'Технический лист'!$A:$B,2,1),(HW134-0.05)))</f>
        <v/>
      </c>
      <c r="HY134" s="172">
        <f>MIN(1,MAX(VLOOKUP(($AJ134-$AI134-$AH134-$AG134-$AF134-$AE134*(1+HY$3))/$AJ134,'Технический лист'!$A:$B,2,1),(HX134-0.05)))</f>
        <v/>
      </c>
      <c r="HZ134" s="172">
        <f>MIN(1,MAX(VLOOKUP(($AJ134-$AI134-$AH134-$AG134-$AF134-$AE134*(1+HZ$3))/$AJ134,'Технический лист'!$A:$B,2,1),(HY134-0.05)))</f>
        <v/>
      </c>
      <c r="IA134" s="172">
        <f>MIN(1,MAX(VLOOKUP(($AJ134-$AI134-$AH134-$AG134-$AF134-$AE134*(1+IA$3))/$AJ134,'Технический лист'!$A:$B,2,1),(HZ134-0.05)))</f>
        <v/>
      </c>
      <c r="IB134" s="172">
        <f>MIN(1,MAX(VLOOKUP(($AJ134-$AI134-$AH134-$AG134-$AF134-$AE134*(1+IB$3))/$AJ134,'Технический лист'!$A:$B,2,1),(IA134-0.05)))</f>
        <v/>
      </c>
      <c r="IC134" s="172">
        <f>MIN(1,MAX(VLOOKUP(($AJ134-$AI134-$AH134-$AG134-$AF134-$AE134*(1+IC$3))/$AJ134,'Технический лист'!$A:$B,2,1),(IB134-0.05)))</f>
        <v/>
      </c>
      <c r="ID134" s="172">
        <f>MIN(1,MAX(VLOOKUP(($AJ134-$AI134-$AH134-$AG134-$AF134-$AE134*(1+ID$3))/$AJ134,'Технический лист'!$A:$B,2,1),(IC134-0.05)))</f>
        <v/>
      </c>
      <c r="IE134" s="172">
        <f>MIN(1,MAX(VLOOKUP(($AJ134-$AI134-$AH134-$AG134-$AF134-$AE134*(1+IE$3))/$AJ134,'Технический лист'!$A:$B,2,1),(ID134-0.05)))</f>
        <v/>
      </c>
      <c r="IF134" s="172">
        <f>MIN(1,MAX(VLOOKUP(($AJ134-$AI134-$AH134-$AG134-$AF134-$AE134*(1+IF$3))/$AJ134,'Технический лист'!$A:$B,2,1),(IE134-0.05)))</f>
        <v/>
      </c>
      <c r="IG134" s="172">
        <f>MIN(1,MAX(VLOOKUP(($AJ134-$AI134-$AH134-$AG134-$AF134-$AE134*(1+IG$3))/$AJ134,'Технический лист'!$A:$B,2,1),(IF134-0.05)))</f>
        <v/>
      </c>
      <c r="IH134" s="172">
        <f>MIN(1,MAX(VLOOKUP(($AJ134-$AI134-$AH134-$AG134-$AF134-$AE134*(1+IH$3))/$AJ134,'Технический лист'!$A:$B,2,1),(IG134-0.05)))</f>
        <v/>
      </c>
      <c r="II134" s="172">
        <f>MIN(1,MAX(VLOOKUP(($AJ134-$AI134-$AH134-$AG134-$AF134-$AE134*(1+II$3))/$AJ134,'Технический лист'!$A:$B,2,1),(IH134-0.05)))</f>
        <v/>
      </c>
      <c r="IJ134" s="172">
        <f>MIN(1,MAX(VLOOKUP(($AJ134-$AI134-$AH134-$AG134-$AF134-$AE134*(1+IJ$3))/$AJ134,'Технический лист'!$A:$B,2,1),(II134-0.05)))</f>
        <v/>
      </c>
      <c r="IK134" s="172">
        <f>MIN(1,MAX(VLOOKUP(($AJ134-$AI134-$AH134-$AG134-$AF134-$AE134*(1+IK$3))/$AJ134,'Технический лист'!$A:$B,2,1),(IJ134-0.05)))</f>
        <v/>
      </c>
      <c r="IL134" s="172">
        <f>MIN(1,MAX(VLOOKUP(($AJ134-$AI134-$AH134-$AG134-$AF134-$AE134*(1+IL$3))/$AJ134,'Технический лист'!$A:$B,2,1),(IK134-0.05)))</f>
        <v/>
      </c>
      <c r="IM134" s="172">
        <f>MIN(1,MAX(VLOOKUP(($AJ134-$AI134-$AH134-$AG134-$AF134-$AE134*(1+IM$3))/$AJ134,'Технический лист'!$A:$B,2,1),(IL134-0.05)))</f>
        <v/>
      </c>
      <c r="IN134" s="172">
        <f>MIN(1,MAX(VLOOKUP(($AJ134-$AI134-$AH134-$AG134-$AF134-$AE134*(1+IN$3))/$AJ134,'Технический лист'!$A:$B,2,1),(IM134-0.05)))</f>
        <v/>
      </c>
      <c r="IO134" s="172">
        <f>MIN(1,MAX(VLOOKUP(($AJ134-$AI134-$AH134-$AG134-$AF134-$AE134*(1+IO$3))/$AJ134,'Технический лист'!$A:$B,2,1),(IN134-0.05)))</f>
        <v/>
      </c>
      <c r="IP134" s="172">
        <f>MIN(1,MAX(VLOOKUP(($AJ134-$AI134-$AH134-$AG134-$AF134-$AE134*(1+IP$3))/$AJ134,'Технический лист'!$A:$B,2,1),(IO134-0.05)))</f>
        <v/>
      </c>
      <c r="IQ134" s="172">
        <f>MIN(1,MAX(VLOOKUP(($AJ134-$AI134-$AH134-$AG134-$AF134-$AE134*(1+IQ$3))/$AJ134,'Технический лист'!$A:$B,2,1),(IP134-0.05)))</f>
        <v/>
      </c>
      <c r="IR134" s="172">
        <f>MIN(1,MAX(VLOOKUP(($AJ134-$AI134-$AH134-$AG134-$AF134-$AE134*(1+IR$3))/$AJ134,'Технический лист'!$A:$B,2,1),(IQ134-0.05)))</f>
        <v/>
      </c>
    </row>
    <row r="135" ht="29.15" customHeight="1" s="123">
      <c r="A135" s="89" t="inlineStr">
        <is>
          <t>ЦМ (продукция)</t>
        </is>
      </c>
      <c r="B135" s="90" t="n">
        <v>10</v>
      </c>
      <c r="C135" s="5" t="inlineStr">
        <is>
          <t>Остальные грузы</t>
        </is>
      </c>
      <c r="D135" s="91" t="n">
        <v>33101</v>
      </c>
      <c r="E135" s="91" t="inlineStr">
        <is>
          <t xml:space="preserve">Алюминий </t>
        </is>
      </c>
      <c r="F135" s="92" t="inlineStr">
        <is>
          <t>МЕТАЛЛЫ ЦВЕТНЫЕ И ИХ СПЛА</t>
        </is>
      </c>
      <c r="G135" s="91" t="inlineStr">
        <is>
          <t>КРС</t>
        </is>
      </c>
      <c r="H135" s="91" t="inlineStr">
        <is>
          <t>ЗАБ</t>
        </is>
      </c>
      <c r="I135" s="91" t="inlineStr">
        <is>
          <t>БАЗАИХА</t>
        </is>
      </c>
      <c r="J135" s="91" t="inlineStr">
        <is>
          <t>ЗАБАЙКАЛ ЭК</t>
        </is>
      </c>
      <c r="K135" s="91" t="n">
        <v>2543</v>
      </c>
      <c r="L135" s="77" t="inlineStr">
        <is>
          <t>Платформы</t>
        </is>
      </c>
      <c r="M135" s="91" t="inlineStr">
        <is>
          <t>Экспорт</t>
        </is>
      </c>
      <c r="N135" s="91" t="inlineStr">
        <is>
          <t>контейнерная</t>
        </is>
      </c>
      <c r="O135" s="91" t="inlineStr">
        <is>
          <t xml:space="preserve">Восточное </t>
        </is>
      </c>
      <c r="P135" s="89" t="inlineStr">
        <is>
          <t>'000005785218</t>
        </is>
      </c>
      <c r="Q135" s="91" t="inlineStr">
        <is>
          <t>'АО "РУСАЛ Красноярский алюминиевый Завод"</t>
        </is>
      </c>
      <c r="R135" s="91" t="inlineStr">
        <is>
          <t>ОК РУСАЛ</t>
        </is>
      </c>
      <c r="S135" s="87" t="n">
        <v>113451</v>
      </c>
      <c r="T135" s="87" t="n">
        <v>288504859</v>
      </c>
      <c r="U135" s="88" t="n">
        <v>0</v>
      </c>
      <c r="V135" s="88" t="n">
        <v>3950</v>
      </c>
      <c r="W135" s="87" t="n">
        <v>221593419</v>
      </c>
      <c r="X135" s="112" t="n">
        <v>58</v>
      </c>
      <c r="Y135" s="112" t="inlineStr">
        <is>
          <t>контейнерная</t>
        </is>
      </c>
      <c r="Z135" s="113" t="n">
        <v>10</v>
      </c>
      <c r="AA135" s="113" t="n">
        <v>0</v>
      </c>
      <c r="AB135" s="113" t="n">
        <v>4</v>
      </c>
      <c r="AC135" s="161">
        <f>141560/X135</f>
        <v/>
      </c>
      <c r="AD135" s="161" t="n">
        <v>0</v>
      </c>
      <c r="AE135" s="161">
        <f>AC135</f>
        <v/>
      </c>
      <c r="AF135" s="162">
        <f>(AB135+AA135+Z135)*'Ставки аренды'!$B$6/X135</f>
        <v/>
      </c>
      <c r="AG135" s="164" t="n">
        <v>0</v>
      </c>
      <c r="AH135" s="164" t="n">
        <v>0</v>
      </c>
      <c r="AI135" s="165">
        <f>12254/14812*AVERAGE(AJ134,AJ137)</f>
        <v/>
      </c>
      <c r="AJ135" s="166">
        <f>Цены!C20*'Курсы валют'!B2</f>
        <v/>
      </c>
      <c r="AK135" s="164">
        <f>AJ135/Цены!$B$1</f>
        <v/>
      </c>
      <c r="AL135" s="164">
        <f>AE135+AF135+AG135</f>
        <v/>
      </c>
      <c r="AM135" s="164">
        <f>AJ135-AL135</f>
        <v/>
      </c>
      <c r="AN135" s="164">
        <f>AI135+AH135+AG135+AF135+AE135</f>
        <v/>
      </c>
      <c r="AO135" s="167">
        <f>(AJ135-AN135)/AJ135</f>
        <v/>
      </c>
      <c r="AP135" s="168">
        <f>AL135/AJ135</f>
        <v/>
      </c>
      <c r="AQ135" s="168">
        <f>AE135/AJ135</f>
        <v/>
      </c>
      <c r="AR135" s="168">
        <f>AE135/AL135</f>
        <v/>
      </c>
      <c r="AS135" s="169" t="n">
        <v>1</v>
      </c>
      <c r="AT135" s="121">
        <f>S135*AS135</f>
        <v/>
      </c>
      <c r="AU135" s="83" t="n">
        <v>0.95</v>
      </c>
      <c r="AV135" s="170">
        <f>(AJ135-(AE135*(1+$IS$2)+AF135+AG135+AH135+AI135))/AJ135</f>
        <v/>
      </c>
      <c r="AW135" s="171">
        <f>(AE135*(1+$IS$2)+AF135+AG135)/AJ135</f>
        <v/>
      </c>
      <c r="AX135" s="171">
        <f>(AE135*(1+$IS$2))/AJ135</f>
        <v/>
      </c>
      <c r="AY135" s="171">
        <f>(AE135*(1+$IS$2))/(AE135*(1+$IS$2)+AF135+AG135)</f>
        <v/>
      </c>
      <c r="AZ135" s="172">
        <f>MIN(IF($AU135=100%,1,1+VLOOKUP(($AJ135-$AI135-$AH135-$AG135-$AF135-$AE135*(1+AZ$3))/$AJ135,'Технический лист'!$I:$J,2,1)-VLOOKUP($AO135,'Технический лист'!$I:$J,2,1)),1+(1-$AU135))</f>
        <v/>
      </c>
      <c r="BA135" s="172">
        <f>MIN(IF($AU135=100%,1,1+VLOOKUP(($AJ135-$AI135-$AH135-$AG135-$AF135-$AE135*(1+BA$3))/$AJ135,'Технический лист'!$I:$J,2,1)-VLOOKUP($AO135,'Технический лист'!$I:$J,2,1)),1+(1-$AU135))</f>
        <v/>
      </c>
      <c r="BB135" s="172">
        <f>MIN(IF($AU135=100%,1,1+VLOOKUP(($AJ135-$AI135-$AH135-$AG135-$AF135-$AE135*(1+BB$3))/$AJ135,'Технический лист'!$I:$J,2,1)-VLOOKUP($AO135,'Технический лист'!$I:$J,2,1)),1+(1-$AU135))</f>
        <v/>
      </c>
      <c r="BC135" s="172">
        <f>MIN(IF($AU135=100%,1,1+VLOOKUP(($AJ135-$AI135-$AH135-$AG135-$AF135-$AE135*(1+BC$3))/$AJ135,'Технический лист'!$I:$J,2,1)-VLOOKUP($AO135,'Технический лист'!$I:$J,2,1)),1+(1-$AU135))</f>
        <v/>
      </c>
      <c r="BD135" s="172">
        <f>MIN(IF($AU135=100%,1,1+VLOOKUP(($AJ135-$AI135-$AH135-$AG135-$AF135-$AE135*(1+BD$3))/$AJ135,'Технический лист'!$I:$J,2,1)-VLOOKUP($AO135,'Технический лист'!$I:$J,2,1)),1+(1-$AU135))</f>
        <v/>
      </c>
      <c r="BE135" s="172">
        <f>MIN(IF($AU135=100%,1,1+VLOOKUP(($AJ135-$AI135-$AH135-$AG135-$AF135-$AE135*(1+BE$3))/$AJ135,'Технический лист'!$I:$J,2,1)-VLOOKUP($AO135,'Технический лист'!$I:$J,2,1)),1+(1-$AU135))</f>
        <v/>
      </c>
      <c r="BF135" s="172">
        <f>MIN(IF($AU135=100%,1,1+VLOOKUP(($AJ135-$AI135-$AH135-$AG135-$AF135-$AE135*(1+BF$3))/$AJ135,'Технический лист'!$I:$J,2,1)-VLOOKUP($AO135,'Технический лист'!$I:$J,2,1)),1+(1-$AU135))</f>
        <v/>
      </c>
      <c r="BG135" s="172">
        <f>MIN(IF($AU135=100%,1,1+VLOOKUP(($AJ135-$AI135-$AH135-$AG135-$AF135-$AE135*(1+BG$3))/$AJ135,'Технический лист'!$I:$J,2,1)-VLOOKUP($AO135,'Технический лист'!$I:$J,2,1)),1+(1-$AU135))</f>
        <v/>
      </c>
      <c r="BH135" s="172">
        <f>MIN(IF($AU135=100%,1,1+VLOOKUP(($AJ135-$AI135-$AH135-$AG135-$AF135-$AE135*(1+BH$3))/$AJ135,'Технический лист'!$I:$J,2,1)-VLOOKUP($AO135,'Технический лист'!$I:$J,2,1)),1+(1-$AU135))</f>
        <v/>
      </c>
      <c r="BI135" s="172">
        <f>MIN(IF($AU135=100%,1,1+VLOOKUP(($AJ135-$AI135-$AH135-$AG135-$AF135-$AE135*(1+BI$3))/$AJ135,'Технический лист'!$I:$J,2,1)-VLOOKUP($AO135,'Технический лист'!$I:$J,2,1)),1+(1-$AU135))</f>
        <v/>
      </c>
      <c r="BJ135" s="172">
        <f>MIN(IF($AU135=100%,1,1+VLOOKUP(($AJ135-$AI135-$AH135-$AG135-$AF135-$AE135*(1+BJ$3))/$AJ135,'Технический лист'!$I:$J,2,1)-VLOOKUP($AO135,'Технический лист'!$I:$J,2,1)),1+(1-$AU135))</f>
        <v/>
      </c>
      <c r="BK135" s="172">
        <f>MIN(IF($AU135=100%,1,1+VLOOKUP(($AJ135-$AI135-$AH135-$AG135-$AF135-$AE135*(1+BK$3))/$AJ135,'Технический лист'!$I:$J,2,1)-VLOOKUP($AO135,'Технический лист'!$I:$J,2,1)),1+(1-$AU135))</f>
        <v/>
      </c>
      <c r="BL135" s="172">
        <f>MIN(IF($AU135=100%,1,1+VLOOKUP(($AJ135-$AI135-$AH135-$AG135-$AF135-$AE135*(1+BL$3))/$AJ135,'Технический лист'!$I:$J,2,1)-VLOOKUP($AO135,'Технический лист'!$I:$J,2,1)),1+(1-$AU135))</f>
        <v/>
      </c>
      <c r="BM135" s="172">
        <f>MIN(IF($AU135=100%,1,1+VLOOKUP(($AJ135-$AI135-$AH135-$AG135-$AF135-$AE135*(1+BM$3))/$AJ135,'Технический лист'!$I:$J,2,1)-VLOOKUP($AO135,'Технический лист'!$I:$J,2,1)),1+(1-$AU135))</f>
        <v/>
      </c>
      <c r="BN135" s="172">
        <f>MIN(IF($AU135=100%,1,1+VLOOKUP(($AJ135-$AI135-$AH135-$AG135-$AF135-$AE135*(1+BN$3))/$AJ135,'Технический лист'!$I:$J,2,1)-VLOOKUP($AO135,'Технический лист'!$I:$J,2,1)),1+(1-$AU135))</f>
        <v/>
      </c>
      <c r="BO135" s="172">
        <f>MIN(IF($AU135=100%,1,1+VLOOKUP(($AJ135-$AI135-$AH135-$AG135-$AF135-$AE135*(1+BO$3))/$AJ135,'Технический лист'!$I:$J,2,1)-VLOOKUP($AO135,'Технический лист'!$I:$J,2,1)),1+(1-$AU135))</f>
        <v/>
      </c>
      <c r="BP135" s="172">
        <f>MIN(IF($AU135=100%,1,1+VLOOKUP(($AJ135-$AI135-$AH135-$AG135-$AF135-$AE135*(1+BP$3))/$AJ135,'Технический лист'!$I:$J,2,1)-VLOOKUP($AO135,'Технический лист'!$I:$J,2,1)),1+(1-$AU135))</f>
        <v/>
      </c>
      <c r="BQ135" s="172">
        <f>MIN(IF($AU135=100%,1,1+VLOOKUP(($AJ135-$AI135-$AH135-$AG135-$AF135-$AE135*(1+BQ$3))/$AJ135,'Технический лист'!$I:$J,2,1)-VLOOKUP($AO135,'Технический лист'!$I:$J,2,1)),1+(1-$AU135))</f>
        <v/>
      </c>
      <c r="BR135" s="172">
        <f>MIN(IF($AU135=100%,1,1+VLOOKUP(($AJ135-$AI135-$AH135-$AG135-$AF135-$AE135*(1+BR$3))/$AJ135,'Технический лист'!$I:$J,2,1)-VLOOKUP($AO135,'Технический лист'!$I:$J,2,1)),1+(1-$AU135))</f>
        <v/>
      </c>
      <c r="BS135" s="172">
        <f>MIN(IF($AU135=100%,1,1+VLOOKUP(($AJ135-$AI135-$AH135-$AG135-$AF135-$AE135*(1+BS$3))/$AJ135,'Технический лист'!$I:$J,2,1)-VLOOKUP($AO135,'Технический лист'!$I:$J,2,1)),1+(1-$AU135))</f>
        <v/>
      </c>
      <c r="BT135" s="172">
        <f>MIN(IF($AU135=100%,1,1+VLOOKUP(($AJ135-$AI135-$AH135-$AG135-$AF135-$AE135*(1+BT$3))/$AJ135,'Технический лист'!$I:$J,2,1)-VLOOKUP($AO135,'Технический лист'!$I:$J,2,1)),1+(1-$AU135))</f>
        <v/>
      </c>
      <c r="BU135" s="172">
        <f>MIN(IF($AU135=100%,1,1+VLOOKUP(($AJ135-$AI135-$AH135-$AG135-$AF135-$AE135*(1+BU$3))/$AJ135,'Технический лист'!$I:$J,2,1)-VLOOKUP($AO135,'Технический лист'!$I:$J,2,1)),1+(1-$AU135))</f>
        <v/>
      </c>
      <c r="BV135" s="172">
        <f>MIN(IF($AU135=100%,1,1+VLOOKUP(($AJ135-$AI135-$AH135-$AG135-$AF135-$AE135*(1+BV$3))/$AJ135,'Технический лист'!$I:$J,2,1)-VLOOKUP($AO135,'Технический лист'!$I:$J,2,1)),1+(1-$AU135))</f>
        <v/>
      </c>
      <c r="BW135" s="172">
        <f>MIN(IF($AU135=100%,1,1+VLOOKUP(($AJ135-$AI135-$AH135-$AG135-$AF135-$AE135*(1+BW$3))/$AJ135,'Технический лист'!$I:$J,2,1)-VLOOKUP($AO135,'Технический лист'!$I:$J,2,1)),1+(1-$AU135))</f>
        <v/>
      </c>
      <c r="BX135" s="172">
        <f>MIN(IF($AU135=100%,1,1+VLOOKUP(($AJ135-$AI135-$AH135-$AG135-$AF135-$AE135*(1+BX$3))/$AJ135,'Технический лист'!$I:$J,2,1)-VLOOKUP($AO135,'Технический лист'!$I:$J,2,1)),1+(1-$AU135))</f>
        <v/>
      </c>
      <c r="BY135" s="172">
        <f>MIN(IF($AU135=100%,1,1+VLOOKUP(($AJ135-$AI135-$AH135-$AG135-$AF135-$AE135*(1+BY$3))/$AJ135,'Технический лист'!$I:$J,2,1)-VLOOKUP($AO135,'Технический лист'!$I:$J,2,1)),1+(1-$AU135))</f>
        <v/>
      </c>
      <c r="BZ135" s="172">
        <f>MIN(IF($AU135=100%,1,1+VLOOKUP(($AJ135-$AI135-$AH135-$AG135-$AF135-$AE135*(1+BZ$3))/$AJ135,'Технический лист'!$I:$J,2,1)-VLOOKUP($AO135,'Технический лист'!$I:$J,2,1)),1+(1-$AU135))</f>
        <v/>
      </c>
      <c r="CA135" s="172">
        <f>MIN(IF($AU135=100%,1,1+VLOOKUP(($AJ135-$AI135-$AH135-$AG135-$AF135-$AE135*(1+CA$3))/$AJ135,'Технический лист'!$I:$J,2,1)-VLOOKUP($AO135,'Технический лист'!$I:$J,2,1)),1+(1-$AU135))</f>
        <v/>
      </c>
      <c r="CB135" s="172">
        <f>MIN(IF($AU135=100%,1,1+VLOOKUP(($AJ135-$AI135-$AH135-$AG135-$AF135-$AE135*(1+CB$3))/$AJ135,'Технический лист'!$I:$J,2,1)-VLOOKUP($AO135,'Технический лист'!$I:$J,2,1)),1+(1-$AU135))</f>
        <v/>
      </c>
      <c r="CC135" s="172">
        <f>MIN(IF($AU135=100%,1,1+VLOOKUP(($AJ135-$AI135-$AH135-$AG135-$AF135-$AE135*(1+CC$3))/$AJ135,'Технический лист'!$I:$J,2,1)-VLOOKUP($AO135,'Технический лист'!$I:$J,2,1)),1+(1-$AU135))</f>
        <v/>
      </c>
      <c r="CD135" s="172">
        <f>MIN(IF($AU135=100%,1,1+VLOOKUP(($AJ135-$AI135-$AH135-$AG135-$AF135-$AE135*(1+CD$3))/$AJ135,'Технический лист'!$I:$J,2,1)-VLOOKUP($AO135,'Технический лист'!$I:$J,2,1)),1+(1-$AU135))</f>
        <v/>
      </c>
      <c r="CE135" s="172">
        <f>MIN(IF($AU135=100%,1,1+VLOOKUP(($AJ135-$AI135-$AH135-$AG135-$AF135-$AE135*(1+CE$3))/$AJ135,'Технический лист'!$I:$J,2,1)-VLOOKUP($AO135,'Технический лист'!$I:$J,2,1)),1+(1-$AU135))</f>
        <v/>
      </c>
      <c r="CF135" s="172">
        <f>MIN(IF($AU135=100%,1,1+VLOOKUP(($AJ135-$AI135-$AH135-$AG135-$AF135-$AE135*(1+CF$3))/$AJ135,'Технический лист'!$I:$J,2,1)-VLOOKUP($AO135,'Технический лист'!$I:$J,2,1)),1+(1-$AU135))</f>
        <v/>
      </c>
      <c r="CG135" s="172">
        <f>MIN(IF($AU135=100%,1,1+VLOOKUP(($AJ135-$AI135-$AH135-$AG135-$AF135-$AE135*(1+CG$3))/$AJ135,'Технический лист'!$I:$J,2,1)-VLOOKUP($AO135,'Технический лист'!$I:$J,2,1)),1+(1-$AU135))</f>
        <v/>
      </c>
      <c r="CH135" s="172">
        <f>MIN(IF($AU135=100%,1,1+VLOOKUP(($AJ135-$AI135-$AH135-$AG135-$AF135-$AE135*(1+CH$3))/$AJ135,'Технический лист'!$I:$J,2,1)-VLOOKUP($AO135,'Технический лист'!$I:$J,2,1)),1+(1-$AU135))</f>
        <v/>
      </c>
      <c r="CI135" s="172">
        <f>MIN(IF($AU135=100%,1,1+VLOOKUP(($AJ135-$AI135-$AH135-$AG135-$AF135-$AE135*(1+CI$3))/$AJ135,'Технический лист'!$I:$J,2,1)-VLOOKUP($AO135,'Технический лист'!$I:$J,2,1)),1+(1-$AU135))</f>
        <v/>
      </c>
      <c r="CJ135" s="172">
        <f>MIN(IF($AU135=100%,1,1+VLOOKUP(($AJ135-$AI135-$AH135-$AG135-$AF135-$AE135*(1+CJ$3))/$AJ135,'Технический лист'!$I:$J,2,1)-VLOOKUP($AO135,'Технический лист'!$I:$J,2,1)),1+(1-$AU135))</f>
        <v/>
      </c>
      <c r="CK135" s="172">
        <f>MIN(IF($AU135=100%,1,1+VLOOKUP(($AJ135-$AI135-$AH135-$AG135-$AF135-$AE135*(1+CK$3))/$AJ135,'Технический лист'!$I:$J,2,1)-VLOOKUP($AO135,'Технический лист'!$I:$J,2,1)),1+(1-$AU135))</f>
        <v/>
      </c>
      <c r="CL135" s="172">
        <f>MIN(IF($AU135=100%,1,1+VLOOKUP(($AJ135-$AI135-$AH135-$AG135-$AF135-$AE135*(1+CL$3))/$AJ135,'Технический лист'!$I:$J,2,1)-VLOOKUP($AO135,'Технический лист'!$I:$J,2,1)),1+(1-$AU135))</f>
        <v/>
      </c>
      <c r="CM135" s="172">
        <f>MIN(IF($AU135=100%,1,1+VLOOKUP(($AJ135-$AI135-$AH135-$AG135-$AF135-$AE135*(1+CM$3))/$AJ135,'Технический лист'!$I:$J,2,1)-VLOOKUP($AO135,'Технический лист'!$I:$J,2,1)),1+(1-$AU135))</f>
        <v/>
      </c>
      <c r="CN135" s="172">
        <f>MIN(IF($AU135=100%,1,1+VLOOKUP(($AJ135-$AI135-$AH135-$AG135-$AF135-$AE135*(1+CN$3))/$AJ135,'Технический лист'!$I:$J,2,1)-VLOOKUP($AO135,'Технический лист'!$I:$J,2,1)),1+(1-$AU135))</f>
        <v/>
      </c>
      <c r="CO135" s="172">
        <f>MIN(IF($AU135=100%,1,1+VLOOKUP(($AJ135-$AI135-$AH135-$AG135-$AF135-$AE135*(1+CO$3))/$AJ135,'Технический лист'!$I:$J,2,1)-VLOOKUP($AO135,'Технический лист'!$I:$J,2,1)),1+(1-$AU135))</f>
        <v/>
      </c>
      <c r="CP135" s="172">
        <f>MIN(IF($AU135=100%,1,1+VLOOKUP(($AJ135-$AI135-$AH135-$AG135-$AF135-$AE135*(1+CP$3))/$AJ135,'Технический лист'!$I:$J,2,1)-VLOOKUP($AO135,'Технический лист'!$I:$J,2,1)),1+(1-$AU135))</f>
        <v/>
      </c>
      <c r="CQ135" s="172">
        <f>MIN(IF($AU135=100%,1,1+VLOOKUP(($AJ135-$AI135-$AH135-$AG135-$AF135-$AE135*(1+CQ$3))/$AJ135,'Технический лист'!$I:$J,2,1)-VLOOKUP($AO135,'Технический лист'!$I:$J,2,1)),1+(1-$AU135))</f>
        <v/>
      </c>
      <c r="CR135" s="172">
        <f>MIN(IF($AU135=100%,1,1+VLOOKUP(($AJ135-$AI135-$AH135-$AG135-$AF135-$AE135*(1+CR$3))/$AJ135,'Технический лист'!$I:$J,2,1)-VLOOKUP($AO135,'Технический лист'!$I:$J,2,1)),1+(1-$AU135))</f>
        <v/>
      </c>
      <c r="CS135" s="172">
        <f>MIN(IF($AU135=100%,1,1+VLOOKUP(($AJ135-$AI135-$AH135-$AG135-$AF135-$AE135*(1+CS$3))/$AJ135,'Технический лист'!$I:$J,2,1)-VLOOKUP($AO135,'Технический лист'!$I:$J,2,1)),1+(1-$AU135))</f>
        <v/>
      </c>
      <c r="CT135" s="172">
        <f>MIN(IF($AU135=100%,1,1+VLOOKUP(($AJ135-$AI135-$AH135-$AG135-$AF135-$AE135*(1+CT$3))/$AJ135,'Технический лист'!$I:$J,2,1)-VLOOKUP($AO135,'Технический лист'!$I:$J,2,1)),1+(1-$AU135))</f>
        <v/>
      </c>
      <c r="CU135" s="172">
        <f>MIN(IF($AU135=100%,1,1+VLOOKUP(($AJ135-$AI135-$AH135-$AG135-$AF135-$AE135*(1+CU$3))/$AJ135,'Технический лист'!$I:$J,2,1)-VLOOKUP($AO135,'Технический лист'!$I:$J,2,1)),1+(1-$AU135))</f>
        <v/>
      </c>
      <c r="CV135" s="172">
        <f>MIN(IF($AU135=100%,1,1+VLOOKUP(($AJ135-$AI135-$AH135-$AG135-$AF135-$AE135*(1+CV$3))/$AJ135,'Технический лист'!$I:$J,2,1)-VLOOKUP($AO135,'Технический лист'!$I:$J,2,1)),1+(1-$AU135))</f>
        <v/>
      </c>
      <c r="CW135" s="172">
        <f>MIN(IF($AU135=100%,1,1+VLOOKUP(($AJ135-$AI135-$AH135-$AG135-$AF135-$AE135*(1+CW$3))/$AJ135,'Технический лист'!$I:$J,2,1)-VLOOKUP($AO135,'Технический лист'!$I:$J,2,1)),1+(1-$AU135))</f>
        <v/>
      </c>
      <c r="CX135" s="172">
        <f>MIN(IF($AU135=100%,1,1+VLOOKUP(($AJ135-$AI135-$AH135-$AG135-$AF135-$AE135*(1+CX$3))/$AJ135,'Технический лист'!$I:$J,2,1)-VLOOKUP($AO135,'Технический лист'!$I:$J,2,1)),1+(1-$AU135))</f>
        <v/>
      </c>
      <c r="CY135" s="172">
        <f>MIN(IF($AU135=100%,1,1+VLOOKUP(($AJ135-$AI135-$AH135-$AG135-$AF135-$AE135*(1+CY$3))/$AJ135,'Технический лист'!$I:$J,2,1)-VLOOKUP($AO135,'Технический лист'!$I:$J,2,1)),1+(1-$AU135))</f>
        <v/>
      </c>
      <c r="CZ135" s="172">
        <f>MIN(IF($AU135=100%,1,1+VLOOKUP(($AJ135-$AI135-$AH135-$AG135-$AF135-$AE135*(1+CZ$3))/$AJ135,'Технический лист'!$I:$J,2,1)-VLOOKUP($AO135,'Технический лист'!$I:$J,2,1)),1+(1-$AU135))</f>
        <v/>
      </c>
      <c r="DA135" s="172">
        <f>MIN(IF($AU135=100%,1,1+VLOOKUP(($AJ135-$AI135-$AH135-$AG135-$AF135-$AE135*(1+DA$3))/$AJ135,'Технический лист'!$I:$J,2,1)-VLOOKUP($AO135,'Технический лист'!$I:$J,2,1)),1+(1-$AU135))</f>
        <v/>
      </c>
      <c r="DB135" s="172">
        <f>MIN(IF($AU135=100%,1,1+VLOOKUP(($AJ135-$AI135-$AH135-$AG135-$AF135-$AE135*(1+DB$3))/$AJ135,'Технический лист'!$I:$J,2,1)-VLOOKUP($AO135,'Технический лист'!$I:$J,2,1)),1+(1-$AU135))</f>
        <v/>
      </c>
      <c r="DC135" s="172">
        <f>MIN(IF($AU135=100%,1,1+VLOOKUP(($AJ135-$AI135-$AH135-$AG135-$AF135-$AE135*(1+DC$3))/$AJ135,'Технический лист'!$I:$J,2,1)-VLOOKUP($AO135,'Технический лист'!$I:$J,2,1)),1+(1-$AU135))</f>
        <v/>
      </c>
      <c r="DD135" s="172">
        <f>MIN(IF($AU135=100%,1,1+VLOOKUP(($AJ135-$AI135-$AH135-$AG135-$AF135-$AE135*(1+DD$3))/$AJ135,'Технический лист'!$I:$J,2,1)-VLOOKUP($AO135,'Технический лист'!$I:$J,2,1)),1+(1-$AU135))</f>
        <v/>
      </c>
      <c r="DE135" s="172">
        <f>MIN(IF($AU135=100%,1,1+VLOOKUP(($AJ135-$AI135-$AH135-$AG135-$AF135-$AE135*(1+DE$3))/$AJ135,'Технический лист'!$I:$J,2,1)-VLOOKUP($AO135,'Технический лист'!$I:$J,2,1)),1+(1-$AU135))</f>
        <v/>
      </c>
      <c r="DF135" s="172">
        <f>MIN(IF($AU135=100%,1,1+VLOOKUP(($AJ135-$AI135-$AH135-$AG135-$AF135-$AE135*(1+DF$3))/$AJ135,'Технический лист'!$I:$J,2,1)-VLOOKUP($AO135,'Технический лист'!$I:$J,2,1)),1+(1-$AU135))</f>
        <v/>
      </c>
      <c r="DG135" s="172">
        <f>MIN(IF($AU135=100%,1,1+VLOOKUP(($AJ135-$AI135-$AH135-$AG135-$AF135-$AE135*(1+DG$3))/$AJ135,'Технический лист'!$I:$J,2,1)-VLOOKUP($AO135,'Технический лист'!$I:$J,2,1)),1+(1-$AU135))</f>
        <v/>
      </c>
      <c r="DH135" s="172">
        <f>MIN(IF($AU135=100%,1,1+VLOOKUP(($AJ135-$AI135-$AH135-$AG135-$AF135-$AE135*(1+DH$3))/$AJ135,'Технический лист'!$I:$J,2,1)-VLOOKUP($AO135,'Технический лист'!$I:$J,2,1)),1+(1-$AU135))</f>
        <v/>
      </c>
      <c r="DI135" s="172">
        <f>MIN(IF($AU135=100%,1,1+VLOOKUP(($AJ135-$AI135-$AH135-$AG135-$AF135-$AE135*(1+DI$3))/$AJ135,'Технический лист'!$I:$J,2,1)-VLOOKUP($AO135,'Технический лист'!$I:$J,2,1)),1+(1-$AU135))</f>
        <v/>
      </c>
      <c r="DJ135" s="172">
        <f>MIN(IF($AU135=100%,1,1+VLOOKUP(($AJ135-$AI135-$AH135-$AG135-$AF135-$AE135*(1+DJ$3))/$AJ135,'Технический лист'!$I:$J,2,1)-VLOOKUP($AO135,'Технический лист'!$I:$J,2,1)),1+(1-$AU135))</f>
        <v/>
      </c>
      <c r="DK135" s="172">
        <f>MIN(IF($AU135=100%,1,1+VLOOKUP(($AJ135-$AI135-$AH135-$AG135-$AF135-$AE135*(1+DK$3))/$AJ135,'Технический лист'!$I:$J,2,1)-VLOOKUP($AO135,'Технический лист'!$I:$J,2,1)),1+(1-$AU135))</f>
        <v/>
      </c>
      <c r="DL135" s="172">
        <f>MIN(IF($AU135=100%,1,1+VLOOKUP(($AJ135-$AI135-$AH135-$AG135-$AF135-$AE135*(1+DL$3))/$AJ135,'Технический лист'!$I:$J,2,1)-VLOOKUP($AO135,'Технический лист'!$I:$J,2,1)),1+(1-$AU135))</f>
        <v/>
      </c>
      <c r="DM135" s="172">
        <f>MIN(IF($AU135=100%,1,1+VLOOKUP(($AJ135-$AI135-$AH135-$AG135-$AF135-$AE135*(1+DM$3))/$AJ135,'Технический лист'!$I:$J,2,1)-VLOOKUP($AO135,'Технический лист'!$I:$J,2,1)),1+(1-$AU135))</f>
        <v/>
      </c>
      <c r="DN135" s="172">
        <f>MIN(IF($AU135=100%,1,1+VLOOKUP(($AJ135-$AI135-$AH135-$AG135-$AF135-$AE135*(1+DN$3))/$AJ135,'Технический лист'!$I:$J,2,1)-VLOOKUP($AO135,'Технический лист'!$I:$J,2,1)),1+(1-$AU135))</f>
        <v/>
      </c>
      <c r="DO135" s="172">
        <f>MIN(IF($AU135=100%,1,1+VLOOKUP(($AJ135-$AI135-$AH135-$AG135-$AF135-$AE135*(1+DO$3))/$AJ135,'Технический лист'!$I:$J,2,1)-VLOOKUP($AO135,'Технический лист'!$I:$J,2,1)),1+(1-$AU135))</f>
        <v/>
      </c>
      <c r="DP135" s="172">
        <f>MIN(IF($AU135=100%,1,1+VLOOKUP(($AJ135-$AI135-$AH135-$AG135-$AF135-$AE135*(1+DP$3))/$AJ135,'Технический лист'!$I:$J,2,1)-VLOOKUP($AO135,'Технический лист'!$I:$J,2,1)),1+(1-$AU135))</f>
        <v/>
      </c>
      <c r="DQ135" s="172">
        <f>MIN(IF($AU135=100%,1,1+VLOOKUP(($AJ135-$AI135-$AH135-$AG135-$AF135-$AE135*(1+DQ$3))/$AJ135,'Технический лист'!$I:$J,2,1)-VLOOKUP($AO135,'Технический лист'!$I:$J,2,1)),1+(1-$AU135))</f>
        <v/>
      </c>
      <c r="DR135" s="172">
        <f>MIN(IF($AU135=100%,1,1+VLOOKUP(($AJ135-$AI135-$AH135-$AG135-$AF135-$AE135*(1+DR$3))/$AJ135,'Технический лист'!$I:$J,2,1)-VLOOKUP($AO135,'Технический лист'!$I:$J,2,1)),1+(1-$AU135))</f>
        <v/>
      </c>
      <c r="DS135" s="172">
        <f>MIN(IF($AU135=100%,1,1+VLOOKUP(($AJ135-$AI135-$AH135-$AG135-$AF135-$AE135*(1+DS$3))/$AJ135,'Технический лист'!$I:$J,2,1)-VLOOKUP($AO135,'Технический лист'!$I:$J,2,1)),1+(1-$AU135))</f>
        <v/>
      </c>
      <c r="DT135" s="172">
        <f>MIN(IF($AU135=100%,1,1+VLOOKUP(($AJ135-$AI135-$AH135-$AG135-$AF135-$AE135*(1+DT$3))/$AJ135,'Технический лист'!$I:$J,2,1)-VLOOKUP($AO135,'Технический лист'!$I:$J,2,1)),1+(1-$AU135))</f>
        <v/>
      </c>
      <c r="DU135" s="172">
        <f>MIN(IF($AU135=100%,1,1+VLOOKUP(($AJ135-$AI135-$AH135-$AG135-$AF135-$AE135*(1+DU$3))/$AJ135,'Технический лист'!$I:$J,2,1)-VLOOKUP($AO135,'Технический лист'!$I:$J,2,1)),1+(1-$AU135))</f>
        <v/>
      </c>
      <c r="DV135" s="172">
        <f>MIN(IF($AU135=100%,1,1+VLOOKUP(($AJ135-$AI135-$AH135-$AG135-$AF135-$AE135*(1+DV$3))/$AJ135,'Технический лист'!$I:$J,2,1)-VLOOKUP($AO135,'Технический лист'!$I:$J,2,1)),1+(1-$AU135))</f>
        <v/>
      </c>
      <c r="DW135" s="172">
        <f>MIN(IF($AU135=100%,1,1+VLOOKUP(($AJ135-$AI135-$AH135-$AG135-$AF135-$AE135*(1+DW$3))/$AJ135,'Технический лист'!$I:$J,2,1)-VLOOKUP($AO135,'Технический лист'!$I:$J,2,1)),1+(1-$AU135))</f>
        <v/>
      </c>
      <c r="DX135" s="172">
        <f>MIN(IF($AU135=100%,1,1+VLOOKUP(($AJ135-$AI135-$AH135-$AG135-$AF135-$AE135*(1+DX$3))/$AJ135,'Технический лист'!$I:$J,2,1)-VLOOKUP($AO135,'Технический лист'!$I:$J,2,1)),1+(1-$AU135))</f>
        <v/>
      </c>
      <c r="DY135" s="172">
        <f>MIN(IF($AU135=100%,1,1+VLOOKUP(($AJ135-$AI135-$AH135-$AG135-$AF135-$AE135*(1+DY$3))/$AJ135,'Технический лист'!$I:$J,2,1)-VLOOKUP($AO135,'Технический лист'!$I:$J,2,1)),1+(1-$AU135))</f>
        <v/>
      </c>
      <c r="DZ135" s="172">
        <f>MIN(IF($AU135=100%,1,1+VLOOKUP(($AJ135-$AI135-$AH135-$AG135-$AF135-$AE135*(1+DZ$3))/$AJ135,'Технический лист'!$I:$J,2,1)-VLOOKUP($AO135,'Технический лист'!$I:$J,2,1)),1+(1-$AU135))</f>
        <v/>
      </c>
      <c r="EA135" s="172">
        <f>MIN(IF($AU135=100%,1,1+VLOOKUP(($AJ135-$AI135-$AH135-$AG135-$AF135-$AE135*(1+EA$3))/$AJ135,'Технический лист'!$I:$J,2,1)-VLOOKUP($AO135,'Технический лист'!$I:$J,2,1)),1+(1-$AU135))</f>
        <v/>
      </c>
      <c r="EB135" s="172">
        <f>MIN(IF($AU135=100%,1,1+VLOOKUP(($AJ135-$AI135-$AH135-$AG135-$AF135-$AE135*(1+EB$3))/$AJ135,'Технический лист'!$I:$J,2,1)-VLOOKUP($AO135,'Технический лист'!$I:$J,2,1)),1+(1-$AU135))</f>
        <v/>
      </c>
      <c r="EC135" s="172">
        <f>MIN(IF($AU135=100%,1,1+VLOOKUP(($AJ135-$AI135-$AH135-$AG135-$AF135-$AE135*(1+EC$3))/$AJ135,'Технический лист'!$I:$J,2,1)-VLOOKUP($AO135,'Технический лист'!$I:$J,2,1)),1+(1-$AU135))</f>
        <v/>
      </c>
      <c r="ED135" s="172">
        <f>MIN(IF($AU135=100%,1,1+VLOOKUP(($AJ135-$AI135-$AH135-$AG135-$AF135-$AE135*(1+ED$3))/$AJ135,'Технический лист'!$I:$J,2,1)-VLOOKUP($AO135,'Технический лист'!$I:$J,2,1)),1+(1-$AU135))</f>
        <v/>
      </c>
      <c r="EE135" s="172">
        <f>MIN(IF($AU135=100%,1,1+VLOOKUP(($AJ135-$AI135-$AH135-$AG135-$AF135-$AE135*(1+EE$3))/$AJ135,'Технический лист'!$I:$J,2,1)-VLOOKUP($AO135,'Технический лист'!$I:$J,2,1)),1+(1-$AU135))</f>
        <v/>
      </c>
      <c r="EF135" s="172">
        <f>MIN(IF($AU135=100%,1,1+VLOOKUP(($AJ135-$AI135-$AH135-$AG135-$AF135-$AE135*(1+EF$3))/$AJ135,'Технический лист'!$I:$J,2,1)-VLOOKUP($AO135,'Технический лист'!$I:$J,2,1)),1+(1-$AU135))</f>
        <v/>
      </c>
      <c r="EG135" s="172">
        <f>MIN(IF($AU135=100%,1,1+VLOOKUP(($AJ135-$AI135-$AH135-$AG135-$AF135-$AE135*(1+EG$3))/$AJ135,'Технический лист'!$I:$J,2,1)-VLOOKUP($AO135,'Технический лист'!$I:$J,2,1)),1+(1-$AU135))</f>
        <v/>
      </c>
      <c r="EH135" s="172">
        <f>MIN(IF($AU135=100%,1,1+VLOOKUP(($AJ135-$AI135-$AH135-$AG135-$AF135-$AE135*(1+EH$3))/$AJ135,'Технический лист'!$I:$J,2,1)-VLOOKUP($AO135,'Технический лист'!$I:$J,2,1)),1+(1-$AU135))</f>
        <v/>
      </c>
      <c r="EI135" s="172">
        <f>MIN(IF($AU135=100%,1,1+VLOOKUP(($AJ135-$AI135-$AH135-$AG135-$AF135-$AE135*(1+EI$3))/$AJ135,'Технический лист'!$I:$J,2,1)-VLOOKUP($AO135,'Технический лист'!$I:$J,2,1)),1+(1-$AU135))</f>
        <v/>
      </c>
      <c r="EJ135" s="172">
        <f>MIN(IF($AU135=100%,1,1+VLOOKUP(($AJ135-$AI135-$AH135-$AG135-$AF135-$AE135*(1+EJ$3))/$AJ135,'Технический лист'!$I:$J,2,1)-VLOOKUP($AO135,'Технический лист'!$I:$J,2,1)),1+(1-$AU135))</f>
        <v/>
      </c>
      <c r="EK135" s="172">
        <f>MIN(IF($AU135=100%,1,1+VLOOKUP(($AJ135-$AI135-$AH135-$AG135-$AF135-$AE135*(1+EK$3))/$AJ135,'Технический лист'!$I:$J,2,1)-VLOOKUP($AO135,'Технический лист'!$I:$J,2,1)),1+(1-$AU135))</f>
        <v/>
      </c>
      <c r="EL135" s="172">
        <f>MIN(IF($AU135=100%,1,1+VLOOKUP(($AJ135-$AI135-$AH135-$AG135-$AF135-$AE135*(1+EL$3))/$AJ135,'Технический лист'!$I:$J,2,1)-VLOOKUP($AO135,'Технический лист'!$I:$J,2,1)),1+(1-$AU135))</f>
        <v/>
      </c>
      <c r="EM135" s="172">
        <f>MIN(IF($AU135=100%,1,1+VLOOKUP(($AJ135-$AI135-$AH135-$AG135-$AF135-$AE135*(1+EM$3))/$AJ135,'Технический лист'!$I:$J,2,1)-VLOOKUP($AO135,'Технический лист'!$I:$J,2,1)),1+(1-$AU135))</f>
        <v/>
      </c>
      <c r="EN135" s="172">
        <f>MIN(IF($AU135=100%,1,1+VLOOKUP(($AJ135-$AI135-$AH135-$AG135-$AF135-$AE135*(1+EN$3))/$AJ135,'Технический лист'!$I:$J,2,1)-VLOOKUP($AO135,'Технический лист'!$I:$J,2,1)),1+(1-$AU135))</f>
        <v/>
      </c>
      <c r="EO135" s="172">
        <f>MIN(IF($AU135=100%,1,1+VLOOKUP(($AJ135-$AI135-$AH135-$AG135-$AF135-$AE135*(1+EO$3))/$AJ135,'Технический лист'!$I:$J,2,1)-VLOOKUP($AO135,'Технический лист'!$I:$J,2,1)),1+(1-$AU135))</f>
        <v/>
      </c>
      <c r="EP135" s="172">
        <f>MIN(IF($AU135=100%,1,1+VLOOKUP(($AJ135-$AI135-$AH135-$AG135-$AF135-$AE135*(1+EP$3))/$AJ135,'Технический лист'!$I:$J,2,1)-VLOOKUP($AO135,'Технический лист'!$I:$J,2,1)),1+(1-$AU135))</f>
        <v/>
      </c>
      <c r="EQ135" s="172">
        <f>MIN(IF($AU135=100%,1,1+VLOOKUP(($AJ135-$AI135-$AH135-$AG135-$AF135-$AE135*(1+EQ$3))/$AJ135,'Технический лист'!$I:$J,2,1)-VLOOKUP($AO135,'Технический лист'!$I:$J,2,1)),1+(1-$AU135))</f>
        <v/>
      </c>
      <c r="ER135" s="172">
        <f>MIN(IF($AU135=100%,1,1+VLOOKUP(($AJ135-$AI135-$AH135-$AG135-$AF135-$AE135*(1+ER$3))/$AJ135,'Технический лист'!$I:$J,2,1)-VLOOKUP($AO135,'Технический лист'!$I:$J,2,1)),1+(1-$AU135))</f>
        <v/>
      </c>
      <c r="ES135" s="172">
        <f>MIN(IF($AU135=100%,1,1+VLOOKUP(($AJ135-$AI135-$AH135-$AG135-$AF135-$AE135*(1+ES$3))/$AJ135,'Технический лист'!$I:$J,2,1)-VLOOKUP($AO135,'Технический лист'!$I:$J,2,1)),1+(1-$AU135))</f>
        <v/>
      </c>
      <c r="ET135" s="172">
        <f>MIN(IF($AU135=100%,1,1+VLOOKUP(($AJ135-$AI135-$AH135-$AG135-$AF135-$AE135*(1+ET$3))/$AJ135,'Технический лист'!$I:$J,2,1)-VLOOKUP($AO135,'Технический лист'!$I:$J,2,1)),1+(1-$AU135))</f>
        <v/>
      </c>
      <c r="EU135" s="172">
        <f>MIN(IF($AU135=100%,1,1+VLOOKUP(($AJ135-$AI135-$AH135-$AG135-$AF135-$AE135*(1+EU$3))/$AJ135,'Технический лист'!$I:$J,2,1)-VLOOKUP($AO135,'Технический лист'!$I:$J,2,1)),1+(1-$AU135))</f>
        <v/>
      </c>
      <c r="EV135" s="173" t="n">
        <v>1</v>
      </c>
      <c r="EW135" s="172">
        <f>MIN(1,MAX(VLOOKUP(($AJ135-$AI135-$AH135-$AG135-$AF135-$AE135*(1+EW$3))/$AJ135,'Технический лист'!$A:$B,2,1),(EV135-0.05)))</f>
        <v/>
      </c>
      <c r="EX135" s="172">
        <f>MIN(1,MAX(VLOOKUP(($AJ135-$AI135-$AH135-$AG135-$AF135-$AE135*(1+EX$3))/$AJ135,'Технический лист'!$A:$B,2,1),(EW135-0.05)))</f>
        <v/>
      </c>
      <c r="EY135" s="172">
        <f>MIN(1,MAX(VLOOKUP(($AJ135-$AI135-$AH135-$AG135-$AF135-$AE135*(1+EY$3))/$AJ135,'Технический лист'!$A:$B,2,1),(EX135-0.05)))</f>
        <v/>
      </c>
      <c r="EZ135" s="172">
        <f>MIN(1,MAX(VLOOKUP(($AJ135-$AI135-$AH135-$AG135-$AF135-$AE135*(1+EZ$3))/$AJ135,'Технический лист'!$A:$B,2,1),(EY135-0.05)))</f>
        <v/>
      </c>
      <c r="FA135" s="172">
        <f>MIN(1,MAX(VLOOKUP(($AJ135-$AI135-$AH135-$AG135-$AF135-$AE135*(1+FA$3))/$AJ135,'Технический лист'!$A:$B,2,1),(EZ135-0.05)))</f>
        <v/>
      </c>
      <c r="FB135" s="172">
        <f>MIN(1,MAX(VLOOKUP(($AJ135-$AI135-$AH135-$AG135-$AF135-$AE135*(1+FB$3))/$AJ135,'Технический лист'!$A:$B,2,1),(FA135-0.05)))</f>
        <v/>
      </c>
      <c r="FC135" s="172">
        <f>MIN(1,MAX(VLOOKUP(($AJ135-$AI135-$AH135-$AG135-$AF135-$AE135*(1+FC$3))/$AJ135,'Технический лист'!$A:$B,2,1),(FB135-0.05)))</f>
        <v/>
      </c>
      <c r="FD135" s="172">
        <f>MIN(1,MAX(VLOOKUP(($AJ135-$AI135-$AH135-$AG135-$AF135-$AE135*(1+FD$3))/$AJ135,'Технический лист'!$A:$B,2,1),(FC135-0.05)))</f>
        <v/>
      </c>
      <c r="FE135" s="172">
        <f>MIN(1,MAX(VLOOKUP(($AJ135-$AI135-$AH135-$AG135-$AF135-$AE135*(1+FE$3))/$AJ135,'Технический лист'!$A:$B,2,1),(FD135-0.05)))</f>
        <v/>
      </c>
      <c r="FF135" s="172">
        <f>MIN(1,MAX(VLOOKUP(($AJ135-$AI135-$AH135-$AG135-$AF135-$AE135*(1+FF$3))/$AJ135,'Технический лист'!$A:$B,2,1),(FE135-0.05)))</f>
        <v/>
      </c>
      <c r="FG135" s="172">
        <f>MIN(1,MAX(VLOOKUP(($AJ135-$AI135-$AH135-$AG135-$AF135-$AE135*(1+FG$3))/$AJ135,'Технический лист'!$A:$B,2,1),(FF135-0.05)))</f>
        <v/>
      </c>
      <c r="FH135" s="172">
        <f>MIN(1,MAX(VLOOKUP(($AJ135-$AI135-$AH135-$AG135-$AF135-$AE135*(1+FH$3))/$AJ135,'Технический лист'!$A:$B,2,1),(FG135-0.05)))</f>
        <v/>
      </c>
      <c r="FI135" s="172">
        <f>MIN(1,MAX(VLOOKUP(($AJ135-$AI135-$AH135-$AG135-$AF135-$AE135*(1+FI$3))/$AJ135,'Технический лист'!$A:$B,2,1),(FH135-0.05)))</f>
        <v/>
      </c>
      <c r="FJ135" s="172">
        <f>MIN(1,MAX(VLOOKUP(($AJ135-$AI135-$AH135-$AG135-$AF135-$AE135*(1+FJ$3))/$AJ135,'Технический лист'!$A:$B,2,1),(FI135-0.05)))</f>
        <v/>
      </c>
      <c r="FK135" s="172">
        <f>MIN(1,MAX(VLOOKUP(($AJ135-$AI135-$AH135-$AG135-$AF135-$AE135*(1+FK$3))/$AJ135,'Технический лист'!$A:$B,2,1),(FJ135-0.05)))</f>
        <v/>
      </c>
      <c r="FL135" s="172">
        <f>MIN(1,MAX(VLOOKUP(($AJ135-$AI135-$AH135-$AG135-$AF135-$AE135*(1+FL$3))/$AJ135,'Технический лист'!$A:$B,2,1),(FK135-0.05)))</f>
        <v/>
      </c>
      <c r="FM135" s="172">
        <f>MIN(1,MAX(VLOOKUP(($AJ135-$AI135-$AH135-$AG135-$AF135-$AE135*(1+FM$3))/$AJ135,'Технический лист'!$A:$B,2,1),(FL135-0.05)))</f>
        <v/>
      </c>
      <c r="FN135" s="172">
        <f>MIN(1,MAX(VLOOKUP(($AJ135-$AI135-$AH135-$AG135-$AF135-$AE135*(1+FN$3))/$AJ135,'Технический лист'!$A:$B,2,1),(FM135-0.05)))</f>
        <v/>
      </c>
      <c r="FO135" s="172">
        <f>MIN(1,MAX(VLOOKUP(($AJ135-$AI135-$AH135-$AG135-$AF135-$AE135*(1+FO$3))/$AJ135,'Технический лист'!$A:$B,2,1),(FN135-0.05)))</f>
        <v/>
      </c>
      <c r="FP135" s="172">
        <f>MIN(1,MAX(VLOOKUP(($AJ135-$AI135-$AH135-$AG135-$AF135-$AE135*(1+FP$3))/$AJ135,'Технический лист'!$A:$B,2,1),(FO135-0.05)))</f>
        <v/>
      </c>
      <c r="FQ135" s="172">
        <f>MIN(1,MAX(VLOOKUP(($AJ135-$AI135-$AH135-$AG135-$AF135-$AE135*(1+FQ$3))/$AJ135,'Технический лист'!$A:$B,2,1),(FP135-0.05)))</f>
        <v/>
      </c>
      <c r="FR135" s="172">
        <f>MIN(1,MAX(VLOOKUP(($AJ135-$AI135-$AH135-$AG135-$AF135-$AE135*(1+FR$3))/$AJ135,'Технический лист'!$A:$B,2,1),(FQ135-0.05)))</f>
        <v/>
      </c>
      <c r="FS135" s="172">
        <f>MIN(1,MAX(VLOOKUP(($AJ135-$AI135-$AH135-$AG135-$AF135-$AE135*(1+FS$3))/$AJ135,'Технический лист'!$A:$B,2,1),(FR135-0.05)))</f>
        <v/>
      </c>
      <c r="FT135" s="172">
        <f>MIN(1,MAX(VLOOKUP(($AJ135-$AI135-$AH135-$AG135-$AF135-$AE135*(1+FT$3))/$AJ135,'Технический лист'!$A:$B,2,1),(FS135-0.05)))</f>
        <v/>
      </c>
      <c r="FU135" s="172">
        <f>MIN(1,MAX(VLOOKUP(($AJ135-$AI135-$AH135-$AG135-$AF135-$AE135*(1+FU$3))/$AJ135,'Технический лист'!$A:$B,2,1),(FT135-0.05)))</f>
        <v/>
      </c>
      <c r="FV135" s="172">
        <f>MIN(1,MAX(VLOOKUP(($AJ135-$AI135-$AH135-$AG135-$AF135-$AE135*(1+FV$3))/$AJ135,'Технический лист'!$A:$B,2,1),(FU135-0.05)))</f>
        <v/>
      </c>
      <c r="FW135" s="172">
        <f>MIN(1,MAX(VLOOKUP(($AJ135-$AI135-$AH135-$AG135-$AF135-$AE135*(1+FW$3))/$AJ135,'Технический лист'!$A:$B,2,1),(FV135-0.05)))</f>
        <v/>
      </c>
      <c r="FX135" s="172">
        <f>MIN(1,MAX(VLOOKUP(($AJ135-$AI135-$AH135-$AG135-$AF135-$AE135*(1+FX$3))/$AJ135,'Технический лист'!$A:$B,2,1),(FW135-0.05)))</f>
        <v/>
      </c>
      <c r="FY135" s="172">
        <f>MIN(1,MAX(VLOOKUP(($AJ135-$AI135-$AH135-$AG135-$AF135-$AE135*(1+FY$3))/$AJ135,'Технический лист'!$A:$B,2,1),(FX135-0.05)))</f>
        <v/>
      </c>
      <c r="FZ135" s="172">
        <f>MIN(1,MAX(VLOOKUP(($AJ135-$AI135-$AH135-$AG135-$AF135-$AE135*(1+FZ$3))/$AJ135,'Технический лист'!$A:$B,2,1),(FY135-0.05)))</f>
        <v/>
      </c>
      <c r="GA135" s="172">
        <f>MIN(1,MAX(VLOOKUP(($AJ135-$AI135-$AH135-$AG135-$AF135-$AE135*(1+GA$3))/$AJ135,'Технический лист'!$A:$B,2,1),(FZ135-0.05)))</f>
        <v/>
      </c>
      <c r="GB135" s="172">
        <f>MIN(1,MAX(VLOOKUP(($AJ135-$AI135-$AH135-$AG135-$AF135-$AE135*(1+GB$3))/$AJ135,'Технический лист'!$A:$B,2,1),(GA135-0.05)))</f>
        <v/>
      </c>
      <c r="GC135" s="172">
        <f>MIN(1,MAX(VLOOKUP(($AJ135-$AI135-$AH135-$AG135-$AF135-$AE135*(1+GC$3))/$AJ135,'Технический лист'!$A:$B,2,1),(GB135-0.05)))</f>
        <v/>
      </c>
      <c r="GD135" s="172">
        <f>MIN(1,MAX(VLOOKUP(($AJ135-$AI135-$AH135-$AG135-$AF135-$AE135*(1+GD$3))/$AJ135,'Технический лист'!$A:$B,2,1),(GC135-0.05)))</f>
        <v/>
      </c>
      <c r="GE135" s="172">
        <f>MIN(1,MAX(VLOOKUP(($AJ135-$AI135-$AH135-$AG135-$AF135-$AE135*(1+GE$3))/$AJ135,'Технический лист'!$A:$B,2,1),(GD135-0.05)))</f>
        <v/>
      </c>
      <c r="GF135" s="172">
        <f>MIN(1,MAX(VLOOKUP(($AJ135-$AI135-$AH135-$AG135-$AF135-$AE135*(1+GF$3))/$AJ135,'Технический лист'!$A:$B,2,1),(GE135-0.05)))</f>
        <v/>
      </c>
      <c r="GG135" s="172">
        <f>MIN(1,MAX(VLOOKUP(($AJ135-$AI135-$AH135-$AG135-$AF135-$AE135*(1+GG$3))/$AJ135,'Технический лист'!$A:$B,2,1),(GF135-0.05)))</f>
        <v/>
      </c>
      <c r="GH135" s="172">
        <f>MIN(1,MAX(VLOOKUP(($AJ135-$AI135-$AH135-$AG135-$AF135-$AE135*(1+GH$3))/$AJ135,'Технический лист'!$A:$B,2,1),(GG135-0.05)))</f>
        <v/>
      </c>
      <c r="GI135" s="172">
        <f>MIN(1,MAX(VLOOKUP(($AJ135-$AI135-$AH135-$AG135-$AF135-$AE135*(1+GI$3))/$AJ135,'Технический лист'!$A:$B,2,1),(GH135-0.05)))</f>
        <v/>
      </c>
      <c r="GJ135" s="172">
        <f>MIN(1,MAX(VLOOKUP(($AJ135-$AI135-$AH135-$AG135-$AF135-$AE135*(1+GJ$3))/$AJ135,'Технический лист'!$A:$B,2,1),(GI135-0.05)))</f>
        <v/>
      </c>
      <c r="GK135" s="172">
        <f>MIN(1,MAX(VLOOKUP(($AJ135-$AI135-$AH135-$AG135-$AF135-$AE135*(1+GK$3))/$AJ135,'Технический лист'!$A:$B,2,1),(GJ135-0.05)))</f>
        <v/>
      </c>
      <c r="GL135" s="172">
        <f>MIN(1,MAX(VLOOKUP(($AJ135-$AI135-$AH135-$AG135-$AF135-$AE135*(1+GL$3))/$AJ135,'Технический лист'!$A:$B,2,1),(GK135-0.05)))</f>
        <v/>
      </c>
      <c r="GM135" s="172">
        <f>MIN(1,MAX(VLOOKUP(($AJ135-$AI135-$AH135-$AG135-$AF135-$AE135*(1+GM$3))/$AJ135,'Технический лист'!$A:$B,2,1),(GL135-0.05)))</f>
        <v/>
      </c>
      <c r="GN135" s="172">
        <f>MIN(1,MAX(VLOOKUP(($AJ135-$AI135-$AH135-$AG135-$AF135-$AE135*(1+GN$3))/$AJ135,'Технический лист'!$A:$B,2,1),(GM135-0.05)))</f>
        <v/>
      </c>
      <c r="GO135" s="172">
        <f>MIN(1,MAX(VLOOKUP(($AJ135-$AI135-$AH135-$AG135-$AF135-$AE135*(1+GO$3))/$AJ135,'Технический лист'!$A:$B,2,1),(GN135-0.05)))</f>
        <v/>
      </c>
      <c r="GP135" s="172">
        <f>MIN(1,MAX(VLOOKUP(($AJ135-$AI135-$AH135-$AG135-$AF135-$AE135*(1+GP$3))/$AJ135,'Технический лист'!$A:$B,2,1),(GO135-0.05)))</f>
        <v/>
      </c>
      <c r="GQ135" s="172">
        <f>MIN(1,MAX(VLOOKUP(($AJ135-$AI135-$AH135-$AG135-$AF135-$AE135*(1+GQ$3))/$AJ135,'Технический лист'!$A:$B,2,1),(GP135-0.05)))</f>
        <v/>
      </c>
      <c r="GR135" s="172">
        <f>MIN(1,MAX(VLOOKUP(($AJ135-$AI135-$AH135-$AG135-$AF135-$AE135*(1+GR$3))/$AJ135,'Технический лист'!$A:$B,2,1),(GQ135-0.05)))</f>
        <v/>
      </c>
      <c r="GS135" s="172">
        <f>MIN(1,MAX(VLOOKUP(($AJ135-$AI135-$AH135-$AG135-$AF135-$AE135*(1+GS$3))/$AJ135,'Технический лист'!$A:$B,2,1),(GR135-0.05)))</f>
        <v/>
      </c>
      <c r="GT135" s="172">
        <f>MIN(1,MAX(VLOOKUP(($AJ135-$AI135-$AH135-$AG135-$AF135-$AE135*(1+GT$3))/$AJ135,'Технический лист'!$A:$B,2,1),(GS135-0.05)))</f>
        <v/>
      </c>
      <c r="GU135" s="172">
        <f>MIN(1,MAX(VLOOKUP(($AJ135-$AI135-$AH135-$AG135-$AF135-$AE135*(1+GU$3))/$AJ135,'Технический лист'!$A:$B,2,1),(GT135-0.05)))</f>
        <v/>
      </c>
      <c r="GV135" s="172">
        <f>MIN(1,MAX(VLOOKUP(($AJ135-$AI135-$AH135-$AG135-$AF135-$AE135*(1+GV$3))/$AJ135,'Технический лист'!$A:$B,2,1),(GU135-0.05)))</f>
        <v/>
      </c>
      <c r="GW135" s="172">
        <f>MIN(1,MAX(VLOOKUP(($AJ135-$AI135-$AH135-$AG135-$AF135-$AE135*(1+GW$3))/$AJ135,'Технический лист'!$A:$B,2,1),(GV135-0.05)))</f>
        <v/>
      </c>
      <c r="GX135" s="172">
        <f>MIN(1,MAX(VLOOKUP(($AJ135-$AI135-$AH135-$AG135-$AF135-$AE135*(1+GX$3))/$AJ135,'Технический лист'!$A:$B,2,1),(GW135-0.05)))</f>
        <v/>
      </c>
      <c r="GY135" s="172">
        <f>MIN(1,MAX(VLOOKUP(($AJ135-$AI135-$AH135-$AG135-$AF135-$AE135*(1+GY$3))/$AJ135,'Технический лист'!$A:$B,2,1),(GX135-0.05)))</f>
        <v/>
      </c>
      <c r="GZ135" s="172">
        <f>MIN(1,MAX(VLOOKUP(($AJ135-$AI135-$AH135-$AG135-$AF135-$AE135*(1+GZ$3))/$AJ135,'Технический лист'!$A:$B,2,1),(GY135-0.05)))</f>
        <v/>
      </c>
      <c r="HA135" s="172">
        <f>MIN(1,MAX(VLOOKUP(($AJ135-$AI135-$AH135-$AG135-$AF135-$AE135*(1+HA$3))/$AJ135,'Технический лист'!$A:$B,2,1),(GZ135-0.05)))</f>
        <v/>
      </c>
      <c r="HB135" s="172">
        <f>MIN(1,MAX(VLOOKUP(($AJ135-$AI135-$AH135-$AG135-$AF135-$AE135*(1+HB$3))/$AJ135,'Технический лист'!$A:$B,2,1),(HA135-0.05)))</f>
        <v/>
      </c>
      <c r="HC135" s="172">
        <f>MIN(1,MAX(VLOOKUP(($AJ135-$AI135-$AH135-$AG135-$AF135-$AE135*(1+HC$3))/$AJ135,'Технический лист'!$A:$B,2,1),(HB135-0.05)))</f>
        <v/>
      </c>
      <c r="HD135" s="172">
        <f>MIN(1,MAX(VLOOKUP(($AJ135-$AI135-$AH135-$AG135-$AF135-$AE135*(1+HD$3))/$AJ135,'Технический лист'!$A:$B,2,1),(HC135-0.05)))</f>
        <v/>
      </c>
      <c r="HE135" s="172">
        <f>MIN(1,MAX(VLOOKUP(($AJ135-$AI135-$AH135-$AG135-$AF135-$AE135*(1+HE$3))/$AJ135,'Технический лист'!$A:$B,2,1),(HD135-0.05)))</f>
        <v/>
      </c>
      <c r="HF135" s="172">
        <f>MIN(1,MAX(VLOOKUP(($AJ135-$AI135-$AH135-$AG135-$AF135-$AE135*(1+HF$3))/$AJ135,'Технический лист'!$A:$B,2,1),(HE135-0.05)))</f>
        <v/>
      </c>
      <c r="HG135" s="172">
        <f>MIN(1,MAX(VLOOKUP(($AJ135-$AI135-$AH135-$AG135-$AF135-$AE135*(1+HG$3))/$AJ135,'Технический лист'!$A:$B,2,1),(HF135-0.05)))</f>
        <v/>
      </c>
      <c r="HH135" s="172">
        <f>MIN(1,MAX(VLOOKUP(($AJ135-$AI135-$AH135-$AG135-$AF135-$AE135*(1+HH$3))/$AJ135,'Технический лист'!$A:$B,2,1),(HG135-0.05)))</f>
        <v/>
      </c>
      <c r="HI135" s="172">
        <f>MIN(1,MAX(VLOOKUP(($AJ135-$AI135-$AH135-$AG135-$AF135-$AE135*(1+HI$3))/$AJ135,'Технический лист'!$A:$B,2,1),(HH135-0.05)))</f>
        <v/>
      </c>
      <c r="HJ135" s="172">
        <f>MIN(1,MAX(VLOOKUP(($AJ135-$AI135-$AH135-$AG135-$AF135-$AE135*(1+HJ$3))/$AJ135,'Технический лист'!$A:$B,2,1),(HI135-0.05)))</f>
        <v/>
      </c>
      <c r="HK135" s="172">
        <f>MIN(1,MAX(VLOOKUP(($AJ135-$AI135-$AH135-$AG135-$AF135-$AE135*(1+HK$3))/$AJ135,'Технический лист'!$A:$B,2,1),(HJ135-0.05)))</f>
        <v/>
      </c>
      <c r="HL135" s="172">
        <f>MIN(1,MAX(VLOOKUP(($AJ135-$AI135-$AH135-$AG135-$AF135-$AE135*(1+HL$3))/$AJ135,'Технический лист'!$A:$B,2,1),(HK135-0.05)))</f>
        <v/>
      </c>
      <c r="HM135" s="172">
        <f>MIN(1,MAX(VLOOKUP(($AJ135-$AI135-$AH135-$AG135-$AF135-$AE135*(1+HM$3))/$AJ135,'Технический лист'!$A:$B,2,1),(HL135-0.05)))</f>
        <v/>
      </c>
      <c r="HN135" s="172">
        <f>MIN(1,MAX(VLOOKUP(($AJ135-$AI135-$AH135-$AG135-$AF135-$AE135*(1+HN$3))/$AJ135,'Технический лист'!$A:$B,2,1),(HM135-0.05)))</f>
        <v/>
      </c>
      <c r="HO135" s="172">
        <f>MIN(1,MAX(VLOOKUP(($AJ135-$AI135-$AH135-$AG135-$AF135-$AE135*(1+HO$3))/$AJ135,'Технический лист'!$A:$B,2,1),(HN135-0.05)))</f>
        <v/>
      </c>
      <c r="HP135" s="172">
        <f>MIN(1,MAX(VLOOKUP(($AJ135-$AI135-$AH135-$AG135-$AF135-$AE135*(1+HP$3))/$AJ135,'Технический лист'!$A:$B,2,1),(HO135-0.05)))</f>
        <v/>
      </c>
      <c r="HQ135" s="172">
        <f>MIN(1,MAX(VLOOKUP(($AJ135-$AI135-$AH135-$AG135-$AF135-$AE135*(1+HQ$3))/$AJ135,'Технический лист'!$A:$B,2,1),(HP135-0.05)))</f>
        <v/>
      </c>
      <c r="HR135" s="172">
        <f>MIN(1,MAX(VLOOKUP(($AJ135-$AI135-$AH135-$AG135-$AF135-$AE135*(1+HR$3))/$AJ135,'Технический лист'!$A:$B,2,1),(HQ135-0.05)))</f>
        <v/>
      </c>
      <c r="HS135" s="172">
        <f>MIN(1,MAX(VLOOKUP(($AJ135-$AI135-$AH135-$AG135-$AF135-$AE135*(1+HS$3))/$AJ135,'Технический лист'!$A:$B,2,1),(HR135-0.05)))</f>
        <v/>
      </c>
      <c r="HT135" s="172">
        <f>MIN(1,MAX(VLOOKUP(($AJ135-$AI135-$AH135-$AG135-$AF135-$AE135*(1+HT$3))/$AJ135,'Технический лист'!$A:$B,2,1),(HS135-0.05)))</f>
        <v/>
      </c>
      <c r="HU135" s="172">
        <f>MIN(1,MAX(VLOOKUP(($AJ135-$AI135-$AH135-$AG135-$AF135-$AE135*(1+HU$3))/$AJ135,'Технический лист'!$A:$B,2,1),(HT135-0.05)))</f>
        <v/>
      </c>
      <c r="HV135" s="172">
        <f>MIN(1,MAX(VLOOKUP(($AJ135-$AI135-$AH135-$AG135-$AF135-$AE135*(1+HV$3))/$AJ135,'Технический лист'!$A:$B,2,1),(HU135-0.05)))</f>
        <v/>
      </c>
      <c r="HW135" s="172">
        <f>MIN(1,MAX(VLOOKUP(($AJ135-$AI135-$AH135-$AG135-$AF135-$AE135*(1+HW$3))/$AJ135,'Технический лист'!$A:$B,2,1),(HV135-0.05)))</f>
        <v/>
      </c>
      <c r="HX135" s="172">
        <f>MIN(1,MAX(VLOOKUP(($AJ135-$AI135-$AH135-$AG135-$AF135-$AE135*(1+HX$3))/$AJ135,'Технический лист'!$A:$B,2,1),(HW135-0.05)))</f>
        <v/>
      </c>
      <c r="HY135" s="172">
        <f>MIN(1,MAX(VLOOKUP(($AJ135-$AI135-$AH135-$AG135-$AF135-$AE135*(1+HY$3))/$AJ135,'Технический лист'!$A:$B,2,1),(HX135-0.05)))</f>
        <v/>
      </c>
      <c r="HZ135" s="172">
        <f>MIN(1,MAX(VLOOKUP(($AJ135-$AI135-$AH135-$AG135-$AF135-$AE135*(1+HZ$3))/$AJ135,'Технический лист'!$A:$B,2,1),(HY135-0.05)))</f>
        <v/>
      </c>
      <c r="IA135" s="172">
        <f>MIN(1,MAX(VLOOKUP(($AJ135-$AI135-$AH135-$AG135-$AF135-$AE135*(1+IA$3))/$AJ135,'Технический лист'!$A:$B,2,1),(HZ135-0.05)))</f>
        <v/>
      </c>
      <c r="IB135" s="172">
        <f>MIN(1,MAX(VLOOKUP(($AJ135-$AI135-$AH135-$AG135-$AF135-$AE135*(1+IB$3))/$AJ135,'Технический лист'!$A:$B,2,1),(IA135-0.05)))</f>
        <v/>
      </c>
      <c r="IC135" s="172">
        <f>MIN(1,MAX(VLOOKUP(($AJ135-$AI135-$AH135-$AG135-$AF135-$AE135*(1+IC$3))/$AJ135,'Технический лист'!$A:$B,2,1),(IB135-0.05)))</f>
        <v/>
      </c>
      <c r="ID135" s="172">
        <f>MIN(1,MAX(VLOOKUP(($AJ135-$AI135-$AH135-$AG135-$AF135-$AE135*(1+ID$3))/$AJ135,'Технический лист'!$A:$B,2,1),(IC135-0.05)))</f>
        <v/>
      </c>
      <c r="IE135" s="172">
        <f>MIN(1,MAX(VLOOKUP(($AJ135-$AI135-$AH135-$AG135-$AF135-$AE135*(1+IE$3))/$AJ135,'Технический лист'!$A:$B,2,1),(ID135-0.05)))</f>
        <v/>
      </c>
      <c r="IF135" s="172">
        <f>MIN(1,MAX(VLOOKUP(($AJ135-$AI135-$AH135-$AG135-$AF135-$AE135*(1+IF$3))/$AJ135,'Технический лист'!$A:$B,2,1),(IE135-0.05)))</f>
        <v/>
      </c>
      <c r="IG135" s="172">
        <f>MIN(1,MAX(VLOOKUP(($AJ135-$AI135-$AH135-$AG135-$AF135-$AE135*(1+IG$3))/$AJ135,'Технический лист'!$A:$B,2,1),(IF135-0.05)))</f>
        <v/>
      </c>
      <c r="IH135" s="172">
        <f>MIN(1,MAX(VLOOKUP(($AJ135-$AI135-$AH135-$AG135-$AF135-$AE135*(1+IH$3))/$AJ135,'Технический лист'!$A:$B,2,1),(IG135-0.05)))</f>
        <v/>
      </c>
      <c r="II135" s="172">
        <f>MIN(1,MAX(VLOOKUP(($AJ135-$AI135-$AH135-$AG135-$AF135-$AE135*(1+II$3))/$AJ135,'Технический лист'!$A:$B,2,1),(IH135-0.05)))</f>
        <v/>
      </c>
      <c r="IJ135" s="172">
        <f>MIN(1,MAX(VLOOKUP(($AJ135-$AI135-$AH135-$AG135-$AF135-$AE135*(1+IJ$3))/$AJ135,'Технический лист'!$A:$B,2,1),(II135-0.05)))</f>
        <v/>
      </c>
      <c r="IK135" s="172">
        <f>MIN(1,MAX(VLOOKUP(($AJ135-$AI135-$AH135-$AG135-$AF135-$AE135*(1+IK$3))/$AJ135,'Технический лист'!$A:$B,2,1),(IJ135-0.05)))</f>
        <v/>
      </c>
      <c r="IL135" s="172">
        <f>MIN(1,MAX(VLOOKUP(($AJ135-$AI135-$AH135-$AG135-$AF135-$AE135*(1+IL$3))/$AJ135,'Технический лист'!$A:$B,2,1),(IK135-0.05)))</f>
        <v/>
      </c>
      <c r="IM135" s="172">
        <f>MIN(1,MAX(VLOOKUP(($AJ135-$AI135-$AH135-$AG135-$AF135-$AE135*(1+IM$3))/$AJ135,'Технический лист'!$A:$B,2,1),(IL135-0.05)))</f>
        <v/>
      </c>
      <c r="IN135" s="172">
        <f>MIN(1,MAX(VLOOKUP(($AJ135-$AI135-$AH135-$AG135-$AF135-$AE135*(1+IN$3))/$AJ135,'Технический лист'!$A:$B,2,1),(IM135-0.05)))</f>
        <v/>
      </c>
      <c r="IO135" s="172">
        <f>MIN(1,MAX(VLOOKUP(($AJ135-$AI135-$AH135-$AG135-$AF135-$AE135*(1+IO$3))/$AJ135,'Технический лист'!$A:$B,2,1),(IN135-0.05)))</f>
        <v/>
      </c>
      <c r="IP135" s="172">
        <f>MIN(1,MAX(VLOOKUP(($AJ135-$AI135-$AH135-$AG135-$AF135-$AE135*(1+IP$3))/$AJ135,'Технический лист'!$A:$B,2,1),(IO135-0.05)))</f>
        <v/>
      </c>
      <c r="IQ135" s="172">
        <f>MIN(1,MAX(VLOOKUP(($AJ135-$AI135-$AH135-$AG135-$AF135-$AE135*(1+IQ$3))/$AJ135,'Технический лист'!$A:$B,2,1),(IP135-0.05)))</f>
        <v/>
      </c>
      <c r="IR135" s="172">
        <f>MIN(1,MAX(VLOOKUP(($AJ135-$AI135-$AH135-$AG135-$AF135-$AE135*(1+IR$3))/$AJ135,'Технический лист'!$A:$B,2,1),(IQ135-0.05)))</f>
        <v/>
      </c>
    </row>
    <row r="136" ht="29.15" customHeight="1" s="123">
      <c r="A136" s="89" t="inlineStr">
        <is>
          <t>ЦМ (продукция)</t>
        </is>
      </c>
      <c r="B136" s="90" t="n">
        <v>10</v>
      </c>
      <c r="C136" s="5" t="inlineStr">
        <is>
          <t>Остальные грузы</t>
        </is>
      </c>
      <c r="D136" s="91" t="n">
        <v>33101</v>
      </c>
      <c r="E136" s="91" t="inlineStr">
        <is>
          <t xml:space="preserve">Алюминий </t>
        </is>
      </c>
      <c r="F136" s="92" t="inlineStr">
        <is>
          <t>МЕТАЛЛЫ ЦВЕТНЫЕ И ИХ СПЛА</t>
        </is>
      </c>
      <c r="G136" s="91" t="inlineStr">
        <is>
          <t>ВСБ</t>
        </is>
      </c>
      <c r="H136" s="91" t="inlineStr">
        <is>
          <t>ОКТ</t>
        </is>
      </c>
      <c r="I136" s="91" t="inlineStr">
        <is>
          <t>БАГУЛЬНАЯ</t>
        </is>
      </c>
      <c r="J136" s="91" t="inlineStr">
        <is>
          <t>ПРЕДПОРТ-ЭКС</t>
        </is>
      </c>
      <c r="K136" s="91" t="n">
        <v>5336</v>
      </c>
      <c r="L136" s="91" t="inlineStr">
        <is>
          <t>Полувагоны</t>
        </is>
      </c>
      <c r="M136" s="91" t="inlineStr">
        <is>
          <t>Экспорт</t>
        </is>
      </c>
      <c r="N136" s="91" t="inlineStr">
        <is>
          <t>вагонная</t>
        </is>
      </c>
      <c r="O136" s="91" t="inlineStr">
        <is>
          <t xml:space="preserve">Северо-Западное </t>
        </is>
      </c>
      <c r="P136" s="89" t="inlineStr">
        <is>
          <t>'000005785247</t>
        </is>
      </c>
      <c r="Q136" s="91" t="inlineStr">
        <is>
          <t>ПАО "РУСАЛ Братский алюминиевый завод"</t>
        </is>
      </c>
      <c r="R136" s="91" t="inlineStr">
        <is>
          <t>ОК РУСАЛ</t>
        </is>
      </c>
      <c r="S136" s="87" t="n">
        <v>66347</v>
      </c>
      <c r="T136" s="87" t="n">
        <v>354037990</v>
      </c>
      <c r="U136" s="88" t="n">
        <v>981</v>
      </c>
      <c r="V136" s="88" t="n">
        <v>0</v>
      </c>
      <c r="W136" s="87" t="n">
        <v>263571939</v>
      </c>
      <c r="X136" s="112" t="n">
        <v>66</v>
      </c>
      <c r="Y136" s="112" t="inlineStr">
        <is>
          <t>повагонная</t>
        </is>
      </c>
      <c r="Z136" s="113" t="n">
        <v>16</v>
      </c>
      <c r="AA136" s="113" t="n">
        <v>12</v>
      </c>
      <c r="AB136" s="113" t="n">
        <v>4</v>
      </c>
      <c r="AC136" s="161" t="n">
        <v>4763.91</v>
      </c>
      <c r="AD136" s="161">
        <f>AE136-AC136</f>
        <v/>
      </c>
      <c r="AE136" s="161" t="n">
        <v>5672.32</v>
      </c>
      <c r="AF136" s="162">
        <f>(Z136+AA136+AB136)*'Ставки аренды'!$B$3/X136</f>
        <v/>
      </c>
      <c r="AG136" s="164">
        <f>'Ставки перевалки'!B10*'Курсы валют'!B2</f>
        <v/>
      </c>
      <c r="AH136" s="164" t="n">
        <v>0</v>
      </c>
      <c r="AI136" s="165">
        <f>12254/14812*AVERAGE(AJ134,AJ137)</f>
        <v/>
      </c>
      <c r="AJ136" s="166">
        <f>Цены!C20*'Курсы валют'!B2</f>
        <v/>
      </c>
      <c r="AK136" s="164">
        <f>AJ136/Цены!$B$1</f>
        <v/>
      </c>
      <c r="AL136" s="164">
        <f>AE136+AF136+AG136</f>
        <v/>
      </c>
      <c r="AM136" s="164">
        <f>AJ136-AL136</f>
        <v/>
      </c>
      <c r="AN136" s="164">
        <f>AI136+AH136+AG136+AF136+AE136</f>
        <v/>
      </c>
      <c r="AO136" s="167">
        <f>(AJ136-AN136)/AJ136</f>
        <v/>
      </c>
      <c r="AP136" s="168">
        <f>AL136/AJ136</f>
        <v/>
      </c>
      <c r="AQ136" s="168">
        <f>AE136/AJ136</f>
        <v/>
      </c>
      <c r="AR136" s="168">
        <f>AE136/AL136</f>
        <v/>
      </c>
      <c r="AS136" s="169" t="n">
        <v>1</v>
      </c>
      <c r="AT136" s="121">
        <f>S136*AS136</f>
        <v/>
      </c>
      <c r="AU136" s="83" t="n">
        <v>0.95</v>
      </c>
      <c r="AV136" s="170">
        <f>(AJ136-(AE136*(1+$IS$2)+AF136+AG136+AH136+AI136))/AJ136</f>
        <v/>
      </c>
      <c r="AW136" s="171">
        <f>(AE136*(1+$IS$2)+AF136+AG136)/AJ136</f>
        <v/>
      </c>
      <c r="AX136" s="171">
        <f>(AE136*(1+$IS$2))/AJ136</f>
        <v/>
      </c>
      <c r="AY136" s="171">
        <f>(AE136*(1+$IS$2))/(AE136*(1+$IS$2)+AF136+AG136)</f>
        <v/>
      </c>
      <c r="AZ136" s="172">
        <f>MIN(IF($AU136=100%,1,1+VLOOKUP(($AJ136-$AI136-$AH136-$AG136-$AF136-$AE136*(1+AZ$3))/$AJ136,'Технический лист'!$I:$J,2,1)-VLOOKUP($AO136,'Технический лист'!$I:$J,2,1)),1+(1-$AU136))</f>
        <v/>
      </c>
      <c r="BA136" s="172">
        <f>MIN(IF($AU136=100%,1,1+VLOOKUP(($AJ136-$AI136-$AH136-$AG136-$AF136-$AE136*(1+BA$3))/$AJ136,'Технический лист'!$I:$J,2,1)-VLOOKUP($AO136,'Технический лист'!$I:$J,2,1)),1+(1-$AU136))</f>
        <v/>
      </c>
      <c r="BB136" s="172">
        <f>MIN(IF($AU136=100%,1,1+VLOOKUP(($AJ136-$AI136-$AH136-$AG136-$AF136-$AE136*(1+BB$3))/$AJ136,'Технический лист'!$I:$J,2,1)-VLOOKUP($AO136,'Технический лист'!$I:$J,2,1)),1+(1-$AU136))</f>
        <v/>
      </c>
      <c r="BC136" s="172">
        <f>MIN(IF($AU136=100%,1,1+VLOOKUP(($AJ136-$AI136-$AH136-$AG136-$AF136-$AE136*(1+BC$3))/$AJ136,'Технический лист'!$I:$J,2,1)-VLOOKUP($AO136,'Технический лист'!$I:$J,2,1)),1+(1-$AU136))</f>
        <v/>
      </c>
      <c r="BD136" s="172">
        <f>MIN(IF($AU136=100%,1,1+VLOOKUP(($AJ136-$AI136-$AH136-$AG136-$AF136-$AE136*(1+BD$3))/$AJ136,'Технический лист'!$I:$J,2,1)-VLOOKUP($AO136,'Технический лист'!$I:$J,2,1)),1+(1-$AU136))</f>
        <v/>
      </c>
      <c r="BE136" s="172">
        <f>MIN(IF($AU136=100%,1,1+VLOOKUP(($AJ136-$AI136-$AH136-$AG136-$AF136-$AE136*(1+BE$3))/$AJ136,'Технический лист'!$I:$J,2,1)-VLOOKUP($AO136,'Технический лист'!$I:$J,2,1)),1+(1-$AU136))</f>
        <v/>
      </c>
      <c r="BF136" s="172">
        <f>MIN(IF($AU136=100%,1,1+VLOOKUP(($AJ136-$AI136-$AH136-$AG136-$AF136-$AE136*(1+BF$3))/$AJ136,'Технический лист'!$I:$J,2,1)-VLOOKUP($AO136,'Технический лист'!$I:$J,2,1)),1+(1-$AU136))</f>
        <v/>
      </c>
      <c r="BG136" s="172">
        <f>MIN(IF($AU136=100%,1,1+VLOOKUP(($AJ136-$AI136-$AH136-$AG136-$AF136-$AE136*(1+BG$3))/$AJ136,'Технический лист'!$I:$J,2,1)-VLOOKUP($AO136,'Технический лист'!$I:$J,2,1)),1+(1-$AU136))</f>
        <v/>
      </c>
      <c r="BH136" s="172">
        <f>MIN(IF($AU136=100%,1,1+VLOOKUP(($AJ136-$AI136-$AH136-$AG136-$AF136-$AE136*(1+BH$3))/$AJ136,'Технический лист'!$I:$J,2,1)-VLOOKUP($AO136,'Технический лист'!$I:$J,2,1)),1+(1-$AU136))</f>
        <v/>
      </c>
      <c r="BI136" s="172">
        <f>MIN(IF($AU136=100%,1,1+VLOOKUP(($AJ136-$AI136-$AH136-$AG136-$AF136-$AE136*(1+BI$3))/$AJ136,'Технический лист'!$I:$J,2,1)-VLOOKUP($AO136,'Технический лист'!$I:$J,2,1)),1+(1-$AU136))</f>
        <v/>
      </c>
      <c r="BJ136" s="172">
        <f>MIN(IF($AU136=100%,1,1+VLOOKUP(($AJ136-$AI136-$AH136-$AG136-$AF136-$AE136*(1+BJ$3))/$AJ136,'Технический лист'!$I:$J,2,1)-VLOOKUP($AO136,'Технический лист'!$I:$J,2,1)),1+(1-$AU136))</f>
        <v/>
      </c>
      <c r="BK136" s="172">
        <f>MIN(IF($AU136=100%,1,1+VLOOKUP(($AJ136-$AI136-$AH136-$AG136-$AF136-$AE136*(1+BK$3))/$AJ136,'Технический лист'!$I:$J,2,1)-VLOOKUP($AO136,'Технический лист'!$I:$J,2,1)),1+(1-$AU136))</f>
        <v/>
      </c>
      <c r="BL136" s="172">
        <f>MIN(IF($AU136=100%,1,1+VLOOKUP(($AJ136-$AI136-$AH136-$AG136-$AF136-$AE136*(1+BL$3))/$AJ136,'Технический лист'!$I:$J,2,1)-VLOOKUP($AO136,'Технический лист'!$I:$J,2,1)),1+(1-$AU136))</f>
        <v/>
      </c>
      <c r="BM136" s="172">
        <f>MIN(IF($AU136=100%,1,1+VLOOKUP(($AJ136-$AI136-$AH136-$AG136-$AF136-$AE136*(1+BM$3))/$AJ136,'Технический лист'!$I:$J,2,1)-VLOOKUP($AO136,'Технический лист'!$I:$J,2,1)),1+(1-$AU136))</f>
        <v/>
      </c>
      <c r="BN136" s="172">
        <f>MIN(IF($AU136=100%,1,1+VLOOKUP(($AJ136-$AI136-$AH136-$AG136-$AF136-$AE136*(1+BN$3))/$AJ136,'Технический лист'!$I:$J,2,1)-VLOOKUP($AO136,'Технический лист'!$I:$J,2,1)),1+(1-$AU136))</f>
        <v/>
      </c>
      <c r="BO136" s="172">
        <f>MIN(IF($AU136=100%,1,1+VLOOKUP(($AJ136-$AI136-$AH136-$AG136-$AF136-$AE136*(1+BO$3))/$AJ136,'Технический лист'!$I:$J,2,1)-VLOOKUP($AO136,'Технический лист'!$I:$J,2,1)),1+(1-$AU136))</f>
        <v/>
      </c>
      <c r="BP136" s="172">
        <f>MIN(IF($AU136=100%,1,1+VLOOKUP(($AJ136-$AI136-$AH136-$AG136-$AF136-$AE136*(1+BP$3))/$AJ136,'Технический лист'!$I:$J,2,1)-VLOOKUP($AO136,'Технический лист'!$I:$J,2,1)),1+(1-$AU136))</f>
        <v/>
      </c>
      <c r="BQ136" s="172">
        <f>MIN(IF($AU136=100%,1,1+VLOOKUP(($AJ136-$AI136-$AH136-$AG136-$AF136-$AE136*(1+BQ$3))/$AJ136,'Технический лист'!$I:$J,2,1)-VLOOKUP($AO136,'Технический лист'!$I:$J,2,1)),1+(1-$AU136))</f>
        <v/>
      </c>
      <c r="BR136" s="172">
        <f>MIN(IF($AU136=100%,1,1+VLOOKUP(($AJ136-$AI136-$AH136-$AG136-$AF136-$AE136*(1+BR$3))/$AJ136,'Технический лист'!$I:$J,2,1)-VLOOKUP($AO136,'Технический лист'!$I:$J,2,1)),1+(1-$AU136))</f>
        <v/>
      </c>
      <c r="BS136" s="172">
        <f>MIN(IF($AU136=100%,1,1+VLOOKUP(($AJ136-$AI136-$AH136-$AG136-$AF136-$AE136*(1+BS$3))/$AJ136,'Технический лист'!$I:$J,2,1)-VLOOKUP($AO136,'Технический лист'!$I:$J,2,1)),1+(1-$AU136))</f>
        <v/>
      </c>
      <c r="BT136" s="172">
        <f>MIN(IF($AU136=100%,1,1+VLOOKUP(($AJ136-$AI136-$AH136-$AG136-$AF136-$AE136*(1+BT$3))/$AJ136,'Технический лист'!$I:$J,2,1)-VLOOKUP($AO136,'Технический лист'!$I:$J,2,1)),1+(1-$AU136))</f>
        <v/>
      </c>
      <c r="BU136" s="172">
        <f>MIN(IF($AU136=100%,1,1+VLOOKUP(($AJ136-$AI136-$AH136-$AG136-$AF136-$AE136*(1+BU$3))/$AJ136,'Технический лист'!$I:$J,2,1)-VLOOKUP($AO136,'Технический лист'!$I:$J,2,1)),1+(1-$AU136))</f>
        <v/>
      </c>
      <c r="BV136" s="172">
        <f>MIN(IF($AU136=100%,1,1+VLOOKUP(($AJ136-$AI136-$AH136-$AG136-$AF136-$AE136*(1+BV$3))/$AJ136,'Технический лист'!$I:$J,2,1)-VLOOKUP($AO136,'Технический лист'!$I:$J,2,1)),1+(1-$AU136))</f>
        <v/>
      </c>
      <c r="BW136" s="172">
        <f>MIN(IF($AU136=100%,1,1+VLOOKUP(($AJ136-$AI136-$AH136-$AG136-$AF136-$AE136*(1+BW$3))/$AJ136,'Технический лист'!$I:$J,2,1)-VLOOKUP($AO136,'Технический лист'!$I:$J,2,1)),1+(1-$AU136))</f>
        <v/>
      </c>
      <c r="BX136" s="172">
        <f>MIN(IF($AU136=100%,1,1+VLOOKUP(($AJ136-$AI136-$AH136-$AG136-$AF136-$AE136*(1+BX$3))/$AJ136,'Технический лист'!$I:$J,2,1)-VLOOKUP($AO136,'Технический лист'!$I:$J,2,1)),1+(1-$AU136))</f>
        <v/>
      </c>
      <c r="BY136" s="172">
        <f>MIN(IF($AU136=100%,1,1+VLOOKUP(($AJ136-$AI136-$AH136-$AG136-$AF136-$AE136*(1+BY$3))/$AJ136,'Технический лист'!$I:$J,2,1)-VLOOKUP($AO136,'Технический лист'!$I:$J,2,1)),1+(1-$AU136))</f>
        <v/>
      </c>
      <c r="BZ136" s="172">
        <f>MIN(IF($AU136=100%,1,1+VLOOKUP(($AJ136-$AI136-$AH136-$AG136-$AF136-$AE136*(1+BZ$3))/$AJ136,'Технический лист'!$I:$J,2,1)-VLOOKUP($AO136,'Технический лист'!$I:$J,2,1)),1+(1-$AU136))</f>
        <v/>
      </c>
      <c r="CA136" s="172">
        <f>MIN(IF($AU136=100%,1,1+VLOOKUP(($AJ136-$AI136-$AH136-$AG136-$AF136-$AE136*(1+CA$3))/$AJ136,'Технический лист'!$I:$J,2,1)-VLOOKUP($AO136,'Технический лист'!$I:$J,2,1)),1+(1-$AU136))</f>
        <v/>
      </c>
      <c r="CB136" s="172">
        <f>MIN(IF($AU136=100%,1,1+VLOOKUP(($AJ136-$AI136-$AH136-$AG136-$AF136-$AE136*(1+CB$3))/$AJ136,'Технический лист'!$I:$J,2,1)-VLOOKUP($AO136,'Технический лист'!$I:$J,2,1)),1+(1-$AU136))</f>
        <v/>
      </c>
      <c r="CC136" s="172">
        <f>MIN(IF($AU136=100%,1,1+VLOOKUP(($AJ136-$AI136-$AH136-$AG136-$AF136-$AE136*(1+CC$3))/$AJ136,'Технический лист'!$I:$J,2,1)-VLOOKUP($AO136,'Технический лист'!$I:$J,2,1)),1+(1-$AU136))</f>
        <v/>
      </c>
      <c r="CD136" s="172">
        <f>MIN(IF($AU136=100%,1,1+VLOOKUP(($AJ136-$AI136-$AH136-$AG136-$AF136-$AE136*(1+CD$3))/$AJ136,'Технический лист'!$I:$J,2,1)-VLOOKUP($AO136,'Технический лист'!$I:$J,2,1)),1+(1-$AU136))</f>
        <v/>
      </c>
      <c r="CE136" s="172">
        <f>MIN(IF($AU136=100%,1,1+VLOOKUP(($AJ136-$AI136-$AH136-$AG136-$AF136-$AE136*(1+CE$3))/$AJ136,'Технический лист'!$I:$J,2,1)-VLOOKUP($AO136,'Технический лист'!$I:$J,2,1)),1+(1-$AU136))</f>
        <v/>
      </c>
      <c r="CF136" s="172">
        <f>MIN(IF($AU136=100%,1,1+VLOOKUP(($AJ136-$AI136-$AH136-$AG136-$AF136-$AE136*(1+CF$3))/$AJ136,'Технический лист'!$I:$J,2,1)-VLOOKUP($AO136,'Технический лист'!$I:$J,2,1)),1+(1-$AU136))</f>
        <v/>
      </c>
      <c r="CG136" s="172">
        <f>MIN(IF($AU136=100%,1,1+VLOOKUP(($AJ136-$AI136-$AH136-$AG136-$AF136-$AE136*(1+CG$3))/$AJ136,'Технический лист'!$I:$J,2,1)-VLOOKUP($AO136,'Технический лист'!$I:$J,2,1)),1+(1-$AU136))</f>
        <v/>
      </c>
      <c r="CH136" s="172">
        <f>MIN(IF($AU136=100%,1,1+VLOOKUP(($AJ136-$AI136-$AH136-$AG136-$AF136-$AE136*(1+CH$3))/$AJ136,'Технический лист'!$I:$J,2,1)-VLOOKUP($AO136,'Технический лист'!$I:$J,2,1)),1+(1-$AU136))</f>
        <v/>
      </c>
      <c r="CI136" s="172">
        <f>MIN(IF($AU136=100%,1,1+VLOOKUP(($AJ136-$AI136-$AH136-$AG136-$AF136-$AE136*(1+CI$3))/$AJ136,'Технический лист'!$I:$J,2,1)-VLOOKUP($AO136,'Технический лист'!$I:$J,2,1)),1+(1-$AU136))</f>
        <v/>
      </c>
      <c r="CJ136" s="172">
        <f>MIN(IF($AU136=100%,1,1+VLOOKUP(($AJ136-$AI136-$AH136-$AG136-$AF136-$AE136*(1+CJ$3))/$AJ136,'Технический лист'!$I:$J,2,1)-VLOOKUP($AO136,'Технический лист'!$I:$J,2,1)),1+(1-$AU136))</f>
        <v/>
      </c>
      <c r="CK136" s="172">
        <f>MIN(IF($AU136=100%,1,1+VLOOKUP(($AJ136-$AI136-$AH136-$AG136-$AF136-$AE136*(1+CK$3))/$AJ136,'Технический лист'!$I:$J,2,1)-VLOOKUP($AO136,'Технический лист'!$I:$J,2,1)),1+(1-$AU136))</f>
        <v/>
      </c>
      <c r="CL136" s="172">
        <f>MIN(IF($AU136=100%,1,1+VLOOKUP(($AJ136-$AI136-$AH136-$AG136-$AF136-$AE136*(1+CL$3))/$AJ136,'Технический лист'!$I:$J,2,1)-VLOOKUP($AO136,'Технический лист'!$I:$J,2,1)),1+(1-$AU136))</f>
        <v/>
      </c>
      <c r="CM136" s="172">
        <f>MIN(IF($AU136=100%,1,1+VLOOKUP(($AJ136-$AI136-$AH136-$AG136-$AF136-$AE136*(1+CM$3))/$AJ136,'Технический лист'!$I:$J,2,1)-VLOOKUP($AO136,'Технический лист'!$I:$J,2,1)),1+(1-$AU136))</f>
        <v/>
      </c>
      <c r="CN136" s="172">
        <f>MIN(IF($AU136=100%,1,1+VLOOKUP(($AJ136-$AI136-$AH136-$AG136-$AF136-$AE136*(1+CN$3))/$AJ136,'Технический лист'!$I:$J,2,1)-VLOOKUP($AO136,'Технический лист'!$I:$J,2,1)),1+(1-$AU136))</f>
        <v/>
      </c>
      <c r="CO136" s="172">
        <f>MIN(IF($AU136=100%,1,1+VLOOKUP(($AJ136-$AI136-$AH136-$AG136-$AF136-$AE136*(1+CO$3))/$AJ136,'Технический лист'!$I:$J,2,1)-VLOOKUP($AO136,'Технический лист'!$I:$J,2,1)),1+(1-$AU136))</f>
        <v/>
      </c>
      <c r="CP136" s="172">
        <f>MIN(IF($AU136=100%,1,1+VLOOKUP(($AJ136-$AI136-$AH136-$AG136-$AF136-$AE136*(1+CP$3))/$AJ136,'Технический лист'!$I:$J,2,1)-VLOOKUP($AO136,'Технический лист'!$I:$J,2,1)),1+(1-$AU136))</f>
        <v/>
      </c>
      <c r="CQ136" s="172">
        <f>MIN(IF($AU136=100%,1,1+VLOOKUP(($AJ136-$AI136-$AH136-$AG136-$AF136-$AE136*(1+CQ$3))/$AJ136,'Технический лист'!$I:$J,2,1)-VLOOKUP($AO136,'Технический лист'!$I:$J,2,1)),1+(1-$AU136))</f>
        <v/>
      </c>
      <c r="CR136" s="172">
        <f>MIN(IF($AU136=100%,1,1+VLOOKUP(($AJ136-$AI136-$AH136-$AG136-$AF136-$AE136*(1+CR$3))/$AJ136,'Технический лист'!$I:$J,2,1)-VLOOKUP($AO136,'Технический лист'!$I:$J,2,1)),1+(1-$AU136))</f>
        <v/>
      </c>
      <c r="CS136" s="172">
        <f>MIN(IF($AU136=100%,1,1+VLOOKUP(($AJ136-$AI136-$AH136-$AG136-$AF136-$AE136*(1+CS$3))/$AJ136,'Технический лист'!$I:$J,2,1)-VLOOKUP($AO136,'Технический лист'!$I:$J,2,1)),1+(1-$AU136))</f>
        <v/>
      </c>
      <c r="CT136" s="172">
        <f>MIN(IF($AU136=100%,1,1+VLOOKUP(($AJ136-$AI136-$AH136-$AG136-$AF136-$AE136*(1+CT$3))/$AJ136,'Технический лист'!$I:$J,2,1)-VLOOKUP($AO136,'Технический лист'!$I:$J,2,1)),1+(1-$AU136))</f>
        <v/>
      </c>
      <c r="CU136" s="172">
        <f>MIN(IF($AU136=100%,1,1+VLOOKUP(($AJ136-$AI136-$AH136-$AG136-$AF136-$AE136*(1+CU$3))/$AJ136,'Технический лист'!$I:$J,2,1)-VLOOKUP($AO136,'Технический лист'!$I:$J,2,1)),1+(1-$AU136))</f>
        <v/>
      </c>
      <c r="CV136" s="172">
        <f>MIN(IF($AU136=100%,1,1+VLOOKUP(($AJ136-$AI136-$AH136-$AG136-$AF136-$AE136*(1+CV$3))/$AJ136,'Технический лист'!$I:$J,2,1)-VLOOKUP($AO136,'Технический лист'!$I:$J,2,1)),1+(1-$AU136))</f>
        <v/>
      </c>
      <c r="CW136" s="172">
        <f>MIN(IF($AU136=100%,1,1+VLOOKUP(($AJ136-$AI136-$AH136-$AG136-$AF136-$AE136*(1+CW$3))/$AJ136,'Технический лист'!$I:$J,2,1)-VLOOKUP($AO136,'Технический лист'!$I:$J,2,1)),1+(1-$AU136))</f>
        <v/>
      </c>
      <c r="CX136" s="172">
        <f>MIN(IF($AU136=100%,1,1+VLOOKUP(($AJ136-$AI136-$AH136-$AG136-$AF136-$AE136*(1+CX$3))/$AJ136,'Технический лист'!$I:$J,2,1)-VLOOKUP($AO136,'Технический лист'!$I:$J,2,1)),1+(1-$AU136))</f>
        <v/>
      </c>
      <c r="CY136" s="172">
        <f>MIN(IF($AU136=100%,1,1+VLOOKUP(($AJ136-$AI136-$AH136-$AG136-$AF136-$AE136*(1+CY$3))/$AJ136,'Технический лист'!$I:$J,2,1)-VLOOKUP($AO136,'Технический лист'!$I:$J,2,1)),1+(1-$AU136))</f>
        <v/>
      </c>
      <c r="CZ136" s="172">
        <f>MIN(IF($AU136=100%,1,1+VLOOKUP(($AJ136-$AI136-$AH136-$AG136-$AF136-$AE136*(1+CZ$3))/$AJ136,'Технический лист'!$I:$J,2,1)-VLOOKUP($AO136,'Технический лист'!$I:$J,2,1)),1+(1-$AU136))</f>
        <v/>
      </c>
      <c r="DA136" s="172">
        <f>MIN(IF($AU136=100%,1,1+VLOOKUP(($AJ136-$AI136-$AH136-$AG136-$AF136-$AE136*(1+DA$3))/$AJ136,'Технический лист'!$I:$J,2,1)-VLOOKUP($AO136,'Технический лист'!$I:$J,2,1)),1+(1-$AU136))</f>
        <v/>
      </c>
      <c r="DB136" s="172">
        <f>MIN(IF($AU136=100%,1,1+VLOOKUP(($AJ136-$AI136-$AH136-$AG136-$AF136-$AE136*(1+DB$3))/$AJ136,'Технический лист'!$I:$J,2,1)-VLOOKUP($AO136,'Технический лист'!$I:$J,2,1)),1+(1-$AU136))</f>
        <v/>
      </c>
      <c r="DC136" s="172">
        <f>MIN(IF($AU136=100%,1,1+VLOOKUP(($AJ136-$AI136-$AH136-$AG136-$AF136-$AE136*(1+DC$3))/$AJ136,'Технический лист'!$I:$J,2,1)-VLOOKUP($AO136,'Технический лист'!$I:$J,2,1)),1+(1-$AU136))</f>
        <v/>
      </c>
      <c r="DD136" s="172">
        <f>MIN(IF($AU136=100%,1,1+VLOOKUP(($AJ136-$AI136-$AH136-$AG136-$AF136-$AE136*(1+DD$3))/$AJ136,'Технический лист'!$I:$J,2,1)-VLOOKUP($AO136,'Технический лист'!$I:$J,2,1)),1+(1-$AU136))</f>
        <v/>
      </c>
      <c r="DE136" s="172">
        <f>MIN(IF($AU136=100%,1,1+VLOOKUP(($AJ136-$AI136-$AH136-$AG136-$AF136-$AE136*(1+DE$3))/$AJ136,'Технический лист'!$I:$J,2,1)-VLOOKUP($AO136,'Технический лист'!$I:$J,2,1)),1+(1-$AU136))</f>
        <v/>
      </c>
      <c r="DF136" s="172">
        <f>MIN(IF($AU136=100%,1,1+VLOOKUP(($AJ136-$AI136-$AH136-$AG136-$AF136-$AE136*(1+DF$3))/$AJ136,'Технический лист'!$I:$J,2,1)-VLOOKUP($AO136,'Технический лист'!$I:$J,2,1)),1+(1-$AU136))</f>
        <v/>
      </c>
      <c r="DG136" s="172">
        <f>MIN(IF($AU136=100%,1,1+VLOOKUP(($AJ136-$AI136-$AH136-$AG136-$AF136-$AE136*(1+DG$3))/$AJ136,'Технический лист'!$I:$J,2,1)-VLOOKUP($AO136,'Технический лист'!$I:$J,2,1)),1+(1-$AU136))</f>
        <v/>
      </c>
      <c r="DH136" s="172">
        <f>MIN(IF($AU136=100%,1,1+VLOOKUP(($AJ136-$AI136-$AH136-$AG136-$AF136-$AE136*(1+DH$3))/$AJ136,'Технический лист'!$I:$J,2,1)-VLOOKUP($AO136,'Технический лист'!$I:$J,2,1)),1+(1-$AU136))</f>
        <v/>
      </c>
      <c r="DI136" s="172">
        <f>MIN(IF($AU136=100%,1,1+VLOOKUP(($AJ136-$AI136-$AH136-$AG136-$AF136-$AE136*(1+DI$3))/$AJ136,'Технический лист'!$I:$J,2,1)-VLOOKUP($AO136,'Технический лист'!$I:$J,2,1)),1+(1-$AU136))</f>
        <v/>
      </c>
      <c r="DJ136" s="172">
        <f>MIN(IF($AU136=100%,1,1+VLOOKUP(($AJ136-$AI136-$AH136-$AG136-$AF136-$AE136*(1+DJ$3))/$AJ136,'Технический лист'!$I:$J,2,1)-VLOOKUP($AO136,'Технический лист'!$I:$J,2,1)),1+(1-$AU136))</f>
        <v/>
      </c>
      <c r="DK136" s="172">
        <f>MIN(IF($AU136=100%,1,1+VLOOKUP(($AJ136-$AI136-$AH136-$AG136-$AF136-$AE136*(1+DK$3))/$AJ136,'Технический лист'!$I:$J,2,1)-VLOOKUP($AO136,'Технический лист'!$I:$J,2,1)),1+(1-$AU136))</f>
        <v/>
      </c>
      <c r="DL136" s="172">
        <f>MIN(IF($AU136=100%,1,1+VLOOKUP(($AJ136-$AI136-$AH136-$AG136-$AF136-$AE136*(1+DL$3))/$AJ136,'Технический лист'!$I:$J,2,1)-VLOOKUP($AO136,'Технический лист'!$I:$J,2,1)),1+(1-$AU136))</f>
        <v/>
      </c>
      <c r="DM136" s="172">
        <f>MIN(IF($AU136=100%,1,1+VLOOKUP(($AJ136-$AI136-$AH136-$AG136-$AF136-$AE136*(1+DM$3))/$AJ136,'Технический лист'!$I:$J,2,1)-VLOOKUP($AO136,'Технический лист'!$I:$J,2,1)),1+(1-$AU136))</f>
        <v/>
      </c>
      <c r="DN136" s="172">
        <f>MIN(IF($AU136=100%,1,1+VLOOKUP(($AJ136-$AI136-$AH136-$AG136-$AF136-$AE136*(1+DN$3))/$AJ136,'Технический лист'!$I:$J,2,1)-VLOOKUP($AO136,'Технический лист'!$I:$J,2,1)),1+(1-$AU136))</f>
        <v/>
      </c>
      <c r="DO136" s="172">
        <f>MIN(IF($AU136=100%,1,1+VLOOKUP(($AJ136-$AI136-$AH136-$AG136-$AF136-$AE136*(1+DO$3))/$AJ136,'Технический лист'!$I:$J,2,1)-VLOOKUP($AO136,'Технический лист'!$I:$J,2,1)),1+(1-$AU136))</f>
        <v/>
      </c>
      <c r="DP136" s="172">
        <f>MIN(IF($AU136=100%,1,1+VLOOKUP(($AJ136-$AI136-$AH136-$AG136-$AF136-$AE136*(1+DP$3))/$AJ136,'Технический лист'!$I:$J,2,1)-VLOOKUP($AO136,'Технический лист'!$I:$J,2,1)),1+(1-$AU136))</f>
        <v/>
      </c>
      <c r="DQ136" s="172">
        <f>MIN(IF($AU136=100%,1,1+VLOOKUP(($AJ136-$AI136-$AH136-$AG136-$AF136-$AE136*(1+DQ$3))/$AJ136,'Технический лист'!$I:$J,2,1)-VLOOKUP($AO136,'Технический лист'!$I:$J,2,1)),1+(1-$AU136))</f>
        <v/>
      </c>
      <c r="DR136" s="172">
        <f>MIN(IF($AU136=100%,1,1+VLOOKUP(($AJ136-$AI136-$AH136-$AG136-$AF136-$AE136*(1+DR$3))/$AJ136,'Технический лист'!$I:$J,2,1)-VLOOKUP($AO136,'Технический лист'!$I:$J,2,1)),1+(1-$AU136))</f>
        <v/>
      </c>
      <c r="DS136" s="172">
        <f>MIN(IF($AU136=100%,1,1+VLOOKUP(($AJ136-$AI136-$AH136-$AG136-$AF136-$AE136*(1+DS$3))/$AJ136,'Технический лист'!$I:$J,2,1)-VLOOKUP($AO136,'Технический лист'!$I:$J,2,1)),1+(1-$AU136))</f>
        <v/>
      </c>
      <c r="DT136" s="172">
        <f>MIN(IF($AU136=100%,1,1+VLOOKUP(($AJ136-$AI136-$AH136-$AG136-$AF136-$AE136*(1+DT$3))/$AJ136,'Технический лист'!$I:$J,2,1)-VLOOKUP($AO136,'Технический лист'!$I:$J,2,1)),1+(1-$AU136))</f>
        <v/>
      </c>
      <c r="DU136" s="172">
        <f>MIN(IF($AU136=100%,1,1+VLOOKUP(($AJ136-$AI136-$AH136-$AG136-$AF136-$AE136*(1+DU$3))/$AJ136,'Технический лист'!$I:$J,2,1)-VLOOKUP($AO136,'Технический лист'!$I:$J,2,1)),1+(1-$AU136))</f>
        <v/>
      </c>
      <c r="DV136" s="172">
        <f>MIN(IF($AU136=100%,1,1+VLOOKUP(($AJ136-$AI136-$AH136-$AG136-$AF136-$AE136*(1+DV$3))/$AJ136,'Технический лист'!$I:$J,2,1)-VLOOKUP($AO136,'Технический лист'!$I:$J,2,1)),1+(1-$AU136))</f>
        <v/>
      </c>
      <c r="DW136" s="172">
        <f>MIN(IF($AU136=100%,1,1+VLOOKUP(($AJ136-$AI136-$AH136-$AG136-$AF136-$AE136*(1+DW$3))/$AJ136,'Технический лист'!$I:$J,2,1)-VLOOKUP($AO136,'Технический лист'!$I:$J,2,1)),1+(1-$AU136))</f>
        <v/>
      </c>
      <c r="DX136" s="172">
        <f>MIN(IF($AU136=100%,1,1+VLOOKUP(($AJ136-$AI136-$AH136-$AG136-$AF136-$AE136*(1+DX$3))/$AJ136,'Технический лист'!$I:$J,2,1)-VLOOKUP($AO136,'Технический лист'!$I:$J,2,1)),1+(1-$AU136))</f>
        <v/>
      </c>
      <c r="DY136" s="172">
        <f>MIN(IF($AU136=100%,1,1+VLOOKUP(($AJ136-$AI136-$AH136-$AG136-$AF136-$AE136*(1+DY$3))/$AJ136,'Технический лист'!$I:$J,2,1)-VLOOKUP($AO136,'Технический лист'!$I:$J,2,1)),1+(1-$AU136))</f>
        <v/>
      </c>
      <c r="DZ136" s="172">
        <f>MIN(IF($AU136=100%,1,1+VLOOKUP(($AJ136-$AI136-$AH136-$AG136-$AF136-$AE136*(1+DZ$3))/$AJ136,'Технический лист'!$I:$J,2,1)-VLOOKUP($AO136,'Технический лист'!$I:$J,2,1)),1+(1-$AU136))</f>
        <v/>
      </c>
      <c r="EA136" s="172">
        <f>MIN(IF($AU136=100%,1,1+VLOOKUP(($AJ136-$AI136-$AH136-$AG136-$AF136-$AE136*(1+EA$3))/$AJ136,'Технический лист'!$I:$J,2,1)-VLOOKUP($AO136,'Технический лист'!$I:$J,2,1)),1+(1-$AU136))</f>
        <v/>
      </c>
      <c r="EB136" s="172">
        <f>MIN(IF($AU136=100%,1,1+VLOOKUP(($AJ136-$AI136-$AH136-$AG136-$AF136-$AE136*(1+EB$3))/$AJ136,'Технический лист'!$I:$J,2,1)-VLOOKUP($AO136,'Технический лист'!$I:$J,2,1)),1+(1-$AU136))</f>
        <v/>
      </c>
      <c r="EC136" s="172">
        <f>MIN(IF($AU136=100%,1,1+VLOOKUP(($AJ136-$AI136-$AH136-$AG136-$AF136-$AE136*(1+EC$3))/$AJ136,'Технический лист'!$I:$J,2,1)-VLOOKUP($AO136,'Технический лист'!$I:$J,2,1)),1+(1-$AU136))</f>
        <v/>
      </c>
      <c r="ED136" s="172">
        <f>MIN(IF($AU136=100%,1,1+VLOOKUP(($AJ136-$AI136-$AH136-$AG136-$AF136-$AE136*(1+ED$3))/$AJ136,'Технический лист'!$I:$J,2,1)-VLOOKUP($AO136,'Технический лист'!$I:$J,2,1)),1+(1-$AU136))</f>
        <v/>
      </c>
      <c r="EE136" s="172">
        <f>MIN(IF($AU136=100%,1,1+VLOOKUP(($AJ136-$AI136-$AH136-$AG136-$AF136-$AE136*(1+EE$3))/$AJ136,'Технический лист'!$I:$J,2,1)-VLOOKUP($AO136,'Технический лист'!$I:$J,2,1)),1+(1-$AU136))</f>
        <v/>
      </c>
      <c r="EF136" s="172">
        <f>MIN(IF($AU136=100%,1,1+VLOOKUP(($AJ136-$AI136-$AH136-$AG136-$AF136-$AE136*(1+EF$3))/$AJ136,'Технический лист'!$I:$J,2,1)-VLOOKUP($AO136,'Технический лист'!$I:$J,2,1)),1+(1-$AU136))</f>
        <v/>
      </c>
      <c r="EG136" s="172">
        <f>MIN(IF($AU136=100%,1,1+VLOOKUP(($AJ136-$AI136-$AH136-$AG136-$AF136-$AE136*(1+EG$3))/$AJ136,'Технический лист'!$I:$J,2,1)-VLOOKUP($AO136,'Технический лист'!$I:$J,2,1)),1+(1-$AU136))</f>
        <v/>
      </c>
      <c r="EH136" s="172">
        <f>MIN(IF($AU136=100%,1,1+VLOOKUP(($AJ136-$AI136-$AH136-$AG136-$AF136-$AE136*(1+EH$3))/$AJ136,'Технический лист'!$I:$J,2,1)-VLOOKUP($AO136,'Технический лист'!$I:$J,2,1)),1+(1-$AU136))</f>
        <v/>
      </c>
      <c r="EI136" s="172">
        <f>MIN(IF($AU136=100%,1,1+VLOOKUP(($AJ136-$AI136-$AH136-$AG136-$AF136-$AE136*(1+EI$3))/$AJ136,'Технический лист'!$I:$J,2,1)-VLOOKUP($AO136,'Технический лист'!$I:$J,2,1)),1+(1-$AU136))</f>
        <v/>
      </c>
      <c r="EJ136" s="172">
        <f>MIN(IF($AU136=100%,1,1+VLOOKUP(($AJ136-$AI136-$AH136-$AG136-$AF136-$AE136*(1+EJ$3))/$AJ136,'Технический лист'!$I:$J,2,1)-VLOOKUP($AO136,'Технический лист'!$I:$J,2,1)),1+(1-$AU136))</f>
        <v/>
      </c>
      <c r="EK136" s="172">
        <f>MIN(IF($AU136=100%,1,1+VLOOKUP(($AJ136-$AI136-$AH136-$AG136-$AF136-$AE136*(1+EK$3))/$AJ136,'Технический лист'!$I:$J,2,1)-VLOOKUP($AO136,'Технический лист'!$I:$J,2,1)),1+(1-$AU136))</f>
        <v/>
      </c>
      <c r="EL136" s="172">
        <f>MIN(IF($AU136=100%,1,1+VLOOKUP(($AJ136-$AI136-$AH136-$AG136-$AF136-$AE136*(1+EL$3))/$AJ136,'Технический лист'!$I:$J,2,1)-VLOOKUP($AO136,'Технический лист'!$I:$J,2,1)),1+(1-$AU136))</f>
        <v/>
      </c>
      <c r="EM136" s="172">
        <f>MIN(IF($AU136=100%,1,1+VLOOKUP(($AJ136-$AI136-$AH136-$AG136-$AF136-$AE136*(1+EM$3))/$AJ136,'Технический лист'!$I:$J,2,1)-VLOOKUP($AO136,'Технический лист'!$I:$J,2,1)),1+(1-$AU136))</f>
        <v/>
      </c>
      <c r="EN136" s="172">
        <f>MIN(IF($AU136=100%,1,1+VLOOKUP(($AJ136-$AI136-$AH136-$AG136-$AF136-$AE136*(1+EN$3))/$AJ136,'Технический лист'!$I:$J,2,1)-VLOOKUP($AO136,'Технический лист'!$I:$J,2,1)),1+(1-$AU136))</f>
        <v/>
      </c>
      <c r="EO136" s="172">
        <f>MIN(IF($AU136=100%,1,1+VLOOKUP(($AJ136-$AI136-$AH136-$AG136-$AF136-$AE136*(1+EO$3))/$AJ136,'Технический лист'!$I:$J,2,1)-VLOOKUP($AO136,'Технический лист'!$I:$J,2,1)),1+(1-$AU136))</f>
        <v/>
      </c>
      <c r="EP136" s="172">
        <f>MIN(IF($AU136=100%,1,1+VLOOKUP(($AJ136-$AI136-$AH136-$AG136-$AF136-$AE136*(1+EP$3))/$AJ136,'Технический лист'!$I:$J,2,1)-VLOOKUP($AO136,'Технический лист'!$I:$J,2,1)),1+(1-$AU136))</f>
        <v/>
      </c>
      <c r="EQ136" s="172">
        <f>MIN(IF($AU136=100%,1,1+VLOOKUP(($AJ136-$AI136-$AH136-$AG136-$AF136-$AE136*(1+EQ$3))/$AJ136,'Технический лист'!$I:$J,2,1)-VLOOKUP($AO136,'Технический лист'!$I:$J,2,1)),1+(1-$AU136))</f>
        <v/>
      </c>
      <c r="ER136" s="172">
        <f>MIN(IF($AU136=100%,1,1+VLOOKUP(($AJ136-$AI136-$AH136-$AG136-$AF136-$AE136*(1+ER$3))/$AJ136,'Технический лист'!$I:$J,2,1)-VLOOKUP($AO136,'Технический лист'!$I:$J,2,1)),1+(1-$AU136))</f>
        <v/>
      </c>
      <c r="ES136" s="172">
        <f>MIN(IF($AU136=100%,1,1+VLOOKUP(($AJ136-$AI136-$AH136-$AG136-$AF136-$AE136*(1+ES$3))/$AJ136,'Технический лист'!$I:$J,2,1)-VLOOKUP($AO136,'Технический лист'!$I:$J,2,1)),1+(1-$AU136))</f>
        <v/>
      </c>
      <c r="ET136" s="172">
        <f>MIN(IF($AU136=100%,1,1+VLOOKUP(($AJ136-$AI136-$AH136-$AG136-$AF136-$AE136*(1+ET$3))/$AJ136,'Технический лист'!$I:$J,2,1)-VLOOKUP($AO136,'Технический лист'!$I:$J,2,1)),1+(1-$AU136))</f>
        <v/>
      </c>
      <c r="EU136" s="172">
        <f>MIN(IF($AU136=100%,1,1+VLOOKUP(($AJ136-$AI136-$AH136-$AG136-$AF136-$AE136*(1+EU$3))/$AJ136,'Технический лист'!$I:$J,2,1)-VLOOKUP($AO136,'Технический лист'!$I:$J,2,1)),1+(1-$AU136))</f>
        <v/>
      </c>
      <c r="EV136" s="173" t="n">
        <v>1</v>
      </c>
      <c r="EW136" s="172">
        <f>MIN(1,MAX(VLOOKUP(($AJ136-$AI136-$AH136-$AG136-$AF136-$AE136*(1+EW$3))/$AJ136,'Технический лист'!$A:$B,2,1),(EV136-0.05)))</f>
        <v/>
      </c>
      <c r="EX136" s="172">
        <f>MIN(1,MAX(VLOOKUP(($AJ136-$AI136-$AH136-$AG136-$AF136-$AE136*(1+EX$3))/$AJ136,'Технический лист'!$A:$B,2,1),(EW136-0.05)))</f>
        <v/>
      </c>
      <c r="EY136" s="172">
        <f>MIN(1,MAX(VLOOKUP(($AJ136-$AI136-$AH136-$AG136-$AF136-$AE136*(1+EY$3))/$AJ136,'Технический лист'!$A:$B,2,1),(EX136-0.05)))</f>
        <v/>
      </c>
      <c r="EZ136" s="172">
        <f>MIN(1,MAX(VLOOKUP(($AJ136-$AI136-$AH136-$AG136-$AF136-$AE136*(1+EZ$3))/$AJ136,'Технический лист'!$A:$B,2,1),(EY136-0.05)))</f>
        <v/>
      </c>
      <c r="FA136" s="172">
        <f>MIN(1,MAX(VLOOKUP(($AJ136-$AI136-$AH136-$AG136-$AF136-$AE136*(1+FA$3))/$AJ136,'Технический лист'!$A:$B,2,1),(EZ136-0.05)))</f>
        <v/>
      </c>
      <c r="FB136" s="172">
        <f>MIN(1,MAX(VLOOKUP(($AJ136-$AI136-$AH136-$AG136-$AF136-$AE136*(1+FB$3))/$AJ136,'Технический лист'!$A:$B,2,1),(FA136-0.05)))</f>
        <v/>
      </c>
      <c r="FC136" s="172">
        <f>MIN(1,MAX(VLOOKUP(($AJ136-$AI136-$AH136-$AG136-$AF136-$AE136*(1+FC$3))/$AJ136,'Технический лист'!$A:$B,2,1),(FB136-0.05)))</f>
        <v/>
      </c>
      <c r="FD136" s="172">
        <f>MIN(1,MAX(VLOOKUP(($AJ136-$AI136-$AH136-$AG136-$AF136-$AE136*(1+FD$3))/$AJ136,'Технический лист'!$A:$B,2,1),(FC136-0.05)))</f>
        <v/>
      </c>
      <c r="FE136" s="172">
        <f>MIN(1,MAX(VLOOKUP(($AJ136-$AI136-$AH136-$AG136-$AF136-$AE136*(1+FE$3))/$AJ136,'Технический лист'!$A:$B,2,1),(FD136-0.05)))</f>
        <v/>
      </c>
      <c r="FF136" s="172">
        <f>MIN(1,MAX(VLOOKUP(($AJ136-$AI136-$AH136-$AG136-$AF136-$AE136*(1+FF$3))/$AJ136,'Технический лист'!$A:$B,2,1),(FE136-0.05)))</f>
        <v/>
      </c>
      <c r="FG136" s="172">
        <f>MIN(1,MAX(VLOOKUP(($AJ136-$AI136-$AH136-$AG136-$AF136-$AE136*(1+FG$3))/$AJ136,'Технический лист'!$A:$B,2,1),(FF136-0.05)))</f>
        <v/>
      </c>
      <c r="FH136" s="172">
        <f>MIN(1,MAX(VLOOKUP(($AJ136-$AI136-$AH136-$AG136-$AF136-$AE136*(1+FH$3))/$AJ136,'Технический лист'!$A:$B,2,1),(FG136-0.05)))</f>
        <v/>
      </c>
      <c r="FI136" s="172">
        <f>MIN(1,MAX(VLOOKUP(($AJ136-$AI136-$AH136-$AG136-$AF136-$AE136*(1+FI$3))/$AJ136,'Технический лист'!$A:$B,2,1),(FH136-0.05)))</f>
        <v/>
      </c>
      <c r="FJ136" s="172">
        <f>MIN(1,MAX(VLOOKUP(($AJ136-$AI136-$AH136-$AG136-$AF136-$AE136*(1+FJ$3))/$AJ136,'Технический лист'!$A:$B,2,1),(FI136-0.05)))</f>
        <v/>
      </c>
      <c r="FK136" s="172">
        <f>MIN(1,MAX(VLOOKUP(($AJ136-$AI136-$AH136-$AG136-$AF136-$AE136*(1+FK$3))/$AJ136,'Технический лист'!$A:$B,2,1),(FJ136-0.05)))</f>
        <v/>
      </c>
      <c r="FL136" s="172">
        <f>MIN(1,MAX(VLOOKUP(($AJ136-$AI136-$AH136-$AG136-$AF136-$AE136*(1+FL$3))/$AJ136,'Технический лист'!$A:$B,2,1),(FK136-0.05)))</f>
        <v/>
      </c>
      <c r="FM136" s="172">
        <f>MIN(1,MAX(VLOOKUP(($AJ136-$AI136-$AH136-$AG136-$AF136-$AE136*(1+FM$3))/$AJ136,'Технический лист'!$A:$B,2,1),(FL136-0.05)))</f>
        <v/>
      </c>
      <c r="FN136" s="172">
        <f>MIN(1,MAX(VLOOKUP(($AJ136-$AI136-$AH136-$AG136-$AF136-$AE136*(1+FN$3))/$AJ136,'Технический лист'!$A:$B,2,1),(FM136-0.05)))</f>
        <v/>
      </c>
      <c r="FO136" s="172">
        <f>MIN(1,MAX(VLOOKUP(($AJ136-$AI136-$AH136-$AG136-$AF136-$AE136*(1+FO$3))/$AJ136,'Технический лист'!$A:$B,2,1),(FN136-0.05)))</f>
        <v/>
      </c>
      <c r="FP136" s="172">
        <f>MIN(1,MAX(VLOOKUP(($AJ136-$AI136-$AH136-$AG136-$AF136-$AE136*(1+FP$3))/$AJ136,'Технический лист'!$A:$B,2,1),(FO136-0.05)))</f>
        <v/>
      </c>
      <c r="FQ136" s="172">
        <f>MIN(1,MAX(VLOOKUP(($AJ136-$AI136-$AH136-$AG136-$AF136-$AE136*(1+FQ$3))/$AJ136,'Технический лист'!$A:$B,2,1),(FP136-0.05)))</f>
        <v/>
      </c>
      <c r="FR136" s="172">
        <f>MIN(1,MAX(VLOOKUP(($AJ136-$AI136-$AH136-$AG136-$AF136-$AE136*(1+FR$3))/$AJ136,'Технический лист'!$A:$B,2,1),(FQ136-0.05)))</f>
        <v/>
      </c>
      <c r="FS136" s="172">
        <f>MIN(1,MAX(VLOOKUP(($AJ136-$AI136-$AH136-$AG136-$AF136-$AE136*(1+FS$3))/$AJ136,'Технический лист'!$A:$B,2,1),(FR136-0.05)))</f>
        <v/>
      </c>
      <c r="FT136" s="172">
        <f>MIN(1,MAX(VLOOKUP(($AJ136-$AI136-$AH136-$AG136-$AF136-$AE136*(1+FT$3))/$AJ136,'Технический лист'!$A:$B,2,1),(FS136-0.05)))</f>
        <v/>
      </c>
      <c r="FU136" s="172">
        <f>MIN(1,MAX(VLOOKUP(($AJ136-$AI136-$AH136-$AG136-$AF136-$AE136*(1+FU$3))/$AJ136,'Технический лист'!$A:$B,2,1),(FT136-0.05)))</f>
        <v/>
      </c>
      <c r="FV136" s="172">
        <f>MIN(1,MAX(VLOOKUP(($AJ136-$AI136-$AH136-$AG136-$AF136-$AE136*(1+FV$3))/$AJ136,'Технический лист'!$A:$B,2,1),(FU136-0.05)))</f>
        <v/>
      </c>
      <c r="FW136" s="172">
        <f>MIN(1,MAX(VLOOKUP(($AJ136-$AI136-$AH136-$AG136-$AF136-$AE136*(1+FW$3))/$AJ136,'Технический лист'!$A:$B,2,1),(FV136-0.05)))</f>
        <v/>
      </c>
      <c r="FX136" s="172">
        <f>MIN(1,MAX(VLOOKUP(($AJ136-$AI136-$AH136-$AG136-$AF136-$AE136*(1+FX$3))/$AJ136,'Технический лист'!$A:$B,2,1),(FW136-0.05)))</f>
        <v/>
      </c>
      <c r="FY136" s="172">
        <f>MIN(1,MAX(VLOOKUP(($AJ136-$AI136-$AH136-$AG136-$AF136-$AE136*(1+FY$3))/$AJ136,'Технический лист'!$A:$B,2,1),(FX136-0.05)))</f>
        <v/>
      </c>
      <c r="FZ136" s="172">
        <f>MIN(1,MAX(VLOOKUP(($AJ136-$AI136-$AH136-$AG136-$AF136-$AE136*(1+FZ$3))/$AJ136,'Технический лист'!$A:$B,2,1),(FY136-0.05)))</f>
        <v/>
      </c>
      <c r="GA136" s="172">
        <f>MIN(1,MAX(VLOOKUP(($AJ136-$AI136-$AH136-$AG136-$AF136-$AE136*(1+GA$3))/$AJ136,'Технический лист'!$A:$B,2,1),(FZ136-0.05)))</f>
        <v/>
      </c>
      <c r="GB136" s="172">
        <f>MIN(1,MAX(VLOOKUP(($AJ136-$AI136-$AH136-$AG136-$AF136-$AE136*(1+GB$3))/$AJ136,'Технический лист'!$A:$B,2,1),(GA136-0.05)))</f>
        <v/>
      </c>
      <c r="GC136" s="172">
        <f>MIN(1,MAX(VLOOKUP(($AJ136-$AI136-$AH136-$AG136-$AF136-$AE136*(1+GC$3))/$AJ136,'Технический лист'!$A:$B,2,1),(GB136-0.05)))</f>
        <v/>
      </c>
      <c r="GD136" s="172">
        <f>MIN(1,MAX(VLOOKUP(($AJ136-$AI136-$AH136-$AG136-$AF136-$AE136*(1+GD$3))/$AJ136,'Технический лист'!$A:$B,2,1),(GC136-0.05)))</f>
        <v/>
      </c>
      <c r="GE136" s="172">
        <f>MIN(1,MAX(VLOOKUP(($AJ136-$AI136-$AH136-$AG136-$AF136-$AE136*(1+GE$3))/$AJ136,'Технический лист'!$A:$B,2,1),(GD136-0.05)))</f>
        <v/>
      </c>
      <c r="GF136" s="172">
        <f>MIN(1,MAX(VLOOKUP(($AJ136-$AI136-$AH136-$AG136-$AF136-$AE136*(1+GF$3))/$AJ136,'Технический лист'!$A:$B,2,1),(GE136-0.05)))</f>
        <v/>
      </c>
      <c r="GG136" s="172">
        <f>MIN(1,MAX(VLOOKUP(($AJ136-$AI136-$AH136-$AG136-$AF136-$AE136*(1+GG$3))/$AJ136,'Технический лист'!$A:$B,2,1),(GF136-0.05)))</f>
        <v/>
      </c>
      <c r="GH136" s="172">
        <f>MIN(1,MAX(VLOOKUP(($AJ136-$AI136-$AH136-$AG136-$AF136-$AE136*(1+GH$3))/$AJ136,'Технический лист'!$A:$B,2,1),(GG136-0.05)))</f>
        <v/>
      </c>
      <c r="GI136" s="172">
        <f>MIN(1,MAX(VLOOKUP(($AJ136-$AI136-$AH136-$AG136-$AF136-$AE136*(1+GI$3))/$AJ136,'Технический лист'!$A:$B,2,1),(GH136-0.05)))</f>
        <v/>
      </c>
      <c r="GJ136" s="172">
        <f>MIN(1,MAX(VLOOKUP(($AJ136-$AI136-$AH136-$AG136-$AF136-$AE136*(1+GJ$3))/$AJ136,'Технический лист'!$A:$B,2,1),(GI136-0.05)))</f>
        <v/>
      </c>
      <c r="GK136" s="172">
        <f>MIN(1,MAX(VLOOKUP(($AJ136-$AI136-$AH136-$AG136-$AF136-$AE136*(1+GK$3))/$AJ136,'Технический лист'!$A:$B,2,1),(GJ136-0.05)))</f>
        <v/>
      </c>
      <c r="GL136" s="172">
        <f>MIN(1,MAX(VLOOKUP(($AJ136-$AI136-$AH136-$AG136-$AF136-$AE136*(1+GL$3))/$AJ136,'Технический лист'!$A:$B,2,1),(GK136-0.05)))</f>
        <v/>
      </c>
      <c r="GM136" s="172">
        <f>MIN(1,MAX(VLOOKUP(($AJ136-$AI136-$AH136-$AG136-$AF136-$AE136*(1+GM$3))/$AJ136,'Технический лист'!$A:$B,2,1),(GL136-0.05)))</f>
        <v/>
      </c>
      <c r="GN136" s="172">
        <f>MIN(1,MAX(VLOOKUP(($AJ136-$AI136-$AH136-$AG136-$AF136-$AE136*(1+GN$3))/$AJ136,'Технический лист'!$A:$B,2,1),(GM136-0.05)))</f>
        <v/>
      </c>
      <c r="GO136" s="172">
        <f>MIN(1,MAX(VLOOKUP(($AJ136-$AI136-$AH136-$AG136-$AF136-$AE136*(1+GO$3))/$AJ136,'Технический лист'!$A:$B,2,1),(GN136-0.05)))</f>
        <v/>
      </c>
      <c r="GP136" s="172">
        <f>MIN(1,MAX(VLOOKUP(($AJ136-$AI136-$AH136-$AG136-$AF136-$AE136*(1+GP$3))/$AJ136,'Технический лист'!$A:$B,2,1),(GO136-0.05)))</f>
        <v/>
      </c>
      <c r="GQ136" s="172">
        <f>MIN(1,MAX(VLOOKUP(($AJ136-$AI136-$AH136-$AG136-$AF136-$AE136*(1+GQ$3))/$AJ136,'Технический лист'!$A:$B,2,1),(GP136-0.05)))</f>
        <v/>
      </c>
      <c r="GR136" s="172">
        <f>MIN(1,MAX(VLOOKUP(($AJ136-$AI136-$AH136-$AG136-$AF136-$AE136*(1+GR$3))/$AJ136,'Технический лист'!$A:$B,2,1),(GQ136-0.05)))</f>
        <v/>
      </c>
      <c r="GS136" s="172">
        <f>MIN(1,MAX(VLOOKUP(($AJ136-$AI136-$AH136-$AG136-$AF136-$AE136*(1+GS$3))/$AJ136,'Технический лист'!$A:$B,2,1),(GR136-0.05)))</f>
        <v/>
      </c>
      <c r="GT136" s="172">
        <f>MIN(1,MAX(VLOOKUP(($AJ136-$AI136-$AH136-$AG136-$AF136-$AE136*(1+GT$3))/$AJ136,'Технический лист'!$A:$B,2,1),(GS136-0.05)))</f>
        <v/>
      </c>
      <c r="GU136" s="172">
        <f>MIN(1,MAX(VLOOKUP(($AJ136-$AI136-$AH136-$AG136-$AF136-$AE136*(1+GU$3))/$AJ136,'Технический лист'!$A:$B,2,1),(GT136-0.05)))</f>
        <v/>
      </c>
      <c r="GV136" s="172">
        <f>MIN(1,MAX(VLOOKUP(($AJ136-$AI136-$AH136-$AG136-$AF136-$AE136*(1+GV$3))/$AJ136,'Технический лист'!$A:$B,2,1),(GU136-0.05)))</f>
        <v/>
      </c>
      <c r="GW136" s="172">
        <f>MIN(1,MAX(VLOOKUP(($AJ136-$AI136-$AH136-$AG136-$AF136-$AE136*(1+GW$3))/$AJ136,'Технический лист'!$A:$B,2,1),(GV136-0.05)))</f>
        <v/>
      </c>
      <c r="GX136" s="172">
        <f>MIN(1,MAX(VLOOKUP(($AJ136-$AI136-$AH136-$AG136-$AF136-$AE136*(1+GX$3))/$AJ136,'Технический лист'!$A:$B,2,1),(GW136-0.05)))</f>
        <v/>
      </c>
      <c r="GY136" s="172">
        <f>MIN(1,MAX(VLOOKUP(($AJ136-$AI136-$AH136-$AG136-$AF136-$AE136*(1+GY$3))/$AJ136,'Технический лист'!$A:$B,2,1),(GX136-0.05)))</f>
        <v/>
      </c>
      <c r="GZ136" s="172">
        <f>MIN(1,MAX(VLOOKUP(($AJ136-$AI136-$AH136-$AG136-$AF136-$AE136*(1+GZ$3))/$AJ136,'Технический лист'!$A:$B,2,1),(GY136-0.05)))</f>
        <v/>
      </c>
      <c r="HA136" s="172">
        <f>MIN(1,MAX(VLOOKUP(($AJ136-$AI136-$AH136-$AG136-$AF136-$AE136*(1+HA$3))/$AJ136,'Технический лист'!$A:$B,2,1),(GZ136-0.05)))</f>
        <v/>
      </c>
      <c r="HB136" s="172">
        <f>MIN(1,MAX(VLOOKUP(($AJ136-$AI136-$AH136-$AG136-$AF136-$AE136*(1+HB$3))/$AJ136,'Технический лист'!$A:$B,2,1),(HA136-0.05)))</f>
        <v/>
      </c>
      <c r="HC136" s="172">
        <f>MIN(1,MAX(VLOOKUP(($AJ136-$AI136-$AH136-$AG136-$AF136-$AE136*(1+HC$3))/$AJ136,'Технический лист'!$A:$B,2,1),(HB136-0.05)))</f>
        <v/>
      </c>
      <c r="HD136" s="172">
        <f>MIN(1,MAX(VLOOKUP(($AJ136-$AI136-$AH136-$AG136-$AF136-$AE136*(1+HD$3))/$AJ136,'Технический лист'!$A:$B,2,1),(HC136-0.05)))</f>
        <v/>
      </c>
      <c r="HE136" s="172">
        <f>MIN(1,MAX(VLOOKUP(($AJ136-$AI136-$AH136-$AG136-$AF136-$AE136*(1+HE$3))/$AJ136,'Технический лист'!$A:$B,2,1),(HD136-0.05)))</f>
        <v/>
      </c>
      <c r="HF136" s="172">
        <f>MIN(1,MAX(VLOOKUP(($AJ136-$AI136-$AH136-$AG136-$AF136-$AE136*(1+HF$3))/$AJ136,'Технический лист'!$A:$B,2,1),(HE136-0.05)))</f>
        <v/>
      </c>
      <c r="HG136" s="172">
        <f>MIN(1,MAX(VLOOKUP(($AJ136-$AI136-$AH136-$AG136-$AF136-$AE136*(1+HG$3))/$AJ136,'Технический лист'!$A:$B,2,1),(HF136-0.05)))</f>
        <v/>
      </c>
      <c r="HH136" s="172">
        <f>MIN(1,MAX(VLOOKUP(($AJ136-$AI136-$AH136-$AG136-$AF136-$AE136*(1+HH$3))/$AJ136,'Технический лист'!$A:$B,2,1),(HG136-0.05)))</f>
        <v/>
      </c>
      <c r="HI136" s="172">
        <f>MIN(1,MAX(VLOOKUP(($AJ136-$AI136-$AH136-$AG136-$AF136-$AE136*(1+HI$3))/$AJ136,'Технический лист'!$A:$B,2,1),(HH136-0.05)))</f>
        <v/>
      </c>
      <c r="HJ136" s="172">
        <f>MIN(1,MAX(VLOOKUP(($AJ136-$AI136-$AH136-$AG136-$AF136-$AE136*(1+HJ$3))/$AJ136,'Технический лист'!$A:$B,2,1),(HI136-0.05)))</f>
        <v/>
      </c>
      <c r="HK136" s="172">
        <f>MIN(1,MAX(VLOOKUP(($AJ136-$AI136-$AH136-$AG136-$AF136-$AE136*(1+HK$3))/$AJ136,'Технический лист'!$A:$B,2,1),(HJ136-0.05)))</f>
        <v/>
      </c>
      <c r="HL136" s="172">
        <f>MIN(1,MAX(VLOOKUP(($AJ136-$AI136-$AH136-$AG136-$AF136-$AE136*(1+HL$3))/$AJ136,'Технический лист'!$A:$B,2,1),(HK136-0.05)))</f>
        <v/>
      </c>
      <c r="HM136" s="172">
        <f>MIN(1,MAX(VLOOKUP(($AJ136-$AI136-$AH136-$AG136-$AF136-$AE136*(1+HM$3))/$AJ136,'Технический лист'!$A:$B,2,1),(HL136-0.05)))</f>
        <v/>
      </c>
      <c r="HN136" s="172">
        <f>MIN(1,MAX(VLOOKUP(($AJ136-$AI136-$AH136-$AG136-$AF136-$AE136*(1+HN$3))/$AJ136,'Технический лист'!$A:$B,2,1),(HM136-0.05)))</f>
        <v/>
      </c>
      <c r="HO136" s="172">
        <f>MIN(1,MAX(VLOOKUP(($AJ136-$AI136-$AH136-$AG136-$AF136-$AE136*(1+HO$3))/$AJ136,'Технический лист'!$A:$B,2,1),(HN136-0.05)))</f>
        <v/>
      </c>
      <c r="HP136" s="172">
        <f>MIN(1,MAX(VLOOKUP(($AJ136-$AI136-$AH136-$AG136-$AF136-$AE136*(1+HP$3))/$AJ136,'Технический лист'!$A:$B,2,1),(HO136-0.05)))</f>
        <v/>
      </c>
      <c r="HQ136" s="172">
        <f>MIN(1,MAX(VLOOKUP(($AJ136-$AI136-$AH136-$AG136-$AF136-$AE136*(1+HQ$3))/$AJ136,'Технический лист'!$A:$B,2,1),(HP136-0.05)))</f>
        <v/>
      </c>
      <c r="HR136" s="172">
        <f>MIN(1,MAX(VLOOKUP(($AJ136-$AI136-$AH136-$AG136-$AF136-$AE136*(1+HR$3))/$AJ136,'Технический лист'!$A:$B,2,1),(HQ136-0.05)))</f>
        <v/>
      </c>
      <c r="HS136" s="172">
        <f>MIN(1,MAX(VLOOKUP(($AJ136-$AI136-$AH136-$AG136-$AF136-$AE136*(1+HS$3))/$AJ136,'Технический лист'!$A:$B,2,1),(HR136-0.05)))</f>
        <v/>
      </c>
      <c r="HT136" s="172">
        <f>MIN(1,MAX(VLOOKUP(($AJ136-$AI136-$AH136-$AG136-$AF136-$AE136*(1+HT$3))/$AJ136,'Технический лист'!$A:$B,2,1),(HS136-0.05)))</f>
        <v/>
      </c>
      <c r="HU136" s="172">
        <f>MIN(1,MAX(VLOOKUP(($AJ136-$AI136-$AH136-$AG136-$AF136-$AE136*(1+HU$3))/$AJ136,'Технический лист'!$A:$B,2,1),(HT136-0.05)))</f>
        <v/>
      </c>
      <c r="HV136" s="172">
        <f>MIN(1,MAX(VLOOKUP(($AJ136-$AI136-$AH136-$AG136-$AF136-$AE136*(1+HV$3))/$AJ136,'Технический лист'!$A:$B,2,1),(HU136-0.05)))</f>
        <v/>
      </c>
      <c r="HW136" s="172">
        <f>MIN(1,MAX(VLOOKUP(($AJ136-$AI136-$AH136-$AG136-$AF136-$AE136*(1+HW$3))/$AJ136,'Технический лист'!$A:$B,2,1),(HV136-0.05)))</f>
        <v/>
      </c>
      <c r="HX136" s="172">
        <f>MIN(1,MAX(VLOOKUP(($AJ136-$AI136-$AH136-$AG136-$AF136-$AE136*(1+HX$3))/$AJ136,'Технический лист'!$A:$B,2,1),(HW136-0.05)))</f>
        <v/>
      </c>
      <c r="HY136" s="172">
        <f>MIN(1,MAX(VLOOKUP(($AJ136-$AI136-$AH136-$AG136-$AF136-$AE136*(1+HY$3))/$AJ136,'Технический лист'!$A:$B,2,1),(HX136-0.05)))</f>
        <v/>
      </c>
      <c r="HZ136" s="172">
        <f>MIN(1,MAX(VLOOKUP(($AJ136-$AI136-$AH136-$AG136-$AF136-$AE136*(1+HZ$3))/$AJ136,'Технический лист'!$A:$B,2,1),(HY136-0.05)))</f>
        <v/>
      </c>
      <c r="IA136" s="172">
        <f>MIN(1,MAX(VLOOKUP(($AJ136-$AI136-$AH136-$AG136-$AF136-$AE136*(1+IA$3))/$AJ136,'Технический лист'!$A:$B,2,1),(HZ136-0.05)))</f>
        <v/>
      </c>
      <c r="IB136" s="172">
        <f>MIN(1,MAX(VLOOKUP(($AJ136-$AI136-$AH136-$AG136-$AF136-$AE136*(1+IB$3))/$AJ136,'Технический лист'!$A:$B,2,1),(IA136-0.05)))</f>
        <v/>
      </c>
      <c r="IC136" s="172">
        <f>MIN(1,MAX(VLOOKUP(($AJ136-$AI136-$AH136-$AG136-$AF136-$AE136*(1+IC$3))/$AJ136,'Технический лист'!$A:$B,2,1),(IB136-0.05)))</f>
        <v/>
      </c>
      <c r="ID136" s="172">
        <f>MIN(1,MAX(VLOOKUP(($AJ136-$AI136-$AH136-$AG136-$AF136-$AE136*(1+ID$3))/$AJ136,'Технический лист'!$A:$B,2,1),(IC136-0.05)))</f>
        <v/>
      </c>
      <c r="IE136" s="172">
        <f>MIN(1,MAX(VLOOKUP(($AJ136-$AI136-$AH136-$AG136-$AF136-$AE136*(1+IE$3))/$AJ136,'Технический лист'!$A:$B,2,1),(ID136-0.05)))</f>
        <v/>
      </c>
      <c r="IF136" s="172">
        <f>MIN(1,MAX(VLOOKUP(($AJ136-$AI136-$AH136-$AG136-$AF136-$AE136*(1+IF$3))/$AJ136,'Технический лист'!$A:$B,2,1),(IE136-0.05)))</f>
        <v/>
      </c>
      <c r="IG136" s="172">
        <f>MIN(1,MAX(VLOOKUP(($AJ136-$AI136-$AH136-$AG136-$AF136-$AE136*(1+IG$3))/$AJ136,'Технический лист'!$A:$B,2,1),(IF136-0.05)))</f>
        <v/>
      </c>
      <c r="IH136" s="172">
        <f>MIN(1,MAX(VLOOKUP(($AJ136-$AI136-$AH136-$AG136-$AF136-$AE136*(1+IH$3))/$AJ136,'Технический лист'!$A:$B,2,1),(IG136-0.05)))</f>
        <v/>
      </c>
      <c r="II136" s="172">
        <f>MIN(1,MAX(VLOOKUP(($AJ136-$AI136-$AH136-$AG136-$AF136-$AE136*(1+II$3))/$AJ136,'Технический лист'!$A:$B,2,1),(IH136-0.05)))</f>
        <v/>
      </c>
      <c r="IJ136" s="172">
        <f>MIN(1,MAX(VLOOKUP(($AJ136-$AI136-$AH136-$AG136-$AF136-$AE136*(1+IJ$3))/$AJ136,'Технический лист'!$A:$B,2,1),(II136-0.05)))</f>
        <v/>
      </c>
      <c r="IK136" s="172">
        <f>MIN(1,MAX(VLOOKUP(($AJ136-$AI136-$AH136-$AG136-$AF136-$AE136*(1+IK$3))/$AJ136,'Технический лист'!$A:$B,2,1),(IJ136-0.05)))</f>
        <v/>
      </c>
      <c r="IL136" s="172">
        <f>MIN(1,MAX(VLOOKUP(($AJ136-$AI136-$AH136-$AG136-$AF136-$AE136*(1+IL$3))/$AJ136,'Технический лист'!$A:$B,2,1),(IK136-0.05)))</f>
        <v/>
      </c>
      <c r="IM136" s="172">
        <f>MIN(1,MAX(VLOOKUP(($AJ136-$AI136-$AH136-$AG136-$AF136-$AE136*(1+IM$3))/$AJ136,'Технический лист'!$A:$B,2,1),(IL136-0.05)))</f>
        <v/>
      </c>
      <c r="IN136" s="172">
        <f>MIN(1,MAX(VLOOKUP(($AJ136-$AI136-$AH136-$AG136-$AF136-$AE136*(1+IN$3))/$AJ136,'Технический лист'!$A:$B,2,1),(IM136-0.05)))</f>
        <v/>
      </c>
      <c r="IO136" s="172">
        <f>MIN(1,MAX(VLOOKUP(($AJ136-$AI136-$AH136-$AG136-$AF136-$AE136*(1+IO$3))/$AJ136,'Технический лист'!$A:$B,2,1),(IN136-0.05)))</f>
        <v/>
      </c>
      <c r="IP136" s="172">
        <f>MIN(1,MAX(VLOOKUP(($AJ136-$AI136-$AH136-$AG136-$AF136-$AE136*(1+IP$3))/$AJ136,'Технический лист'!$A:$B,2,1),(IO136-0.05)))</f>
        <v/>
      </c>
      <c r="IQ136" s="172">
        <f>MIN(1,MAX(VLOOKUP(($AJ136-$AI136-$AH136-$AG136-$AF136-$AE136*(1+IQ$3))/$AJ136,'Технический лист'!$A:$B,2,1),(IP136-0.05)))</f>
        <v/>
      </c>
      <c r="IR136" s="172">
        <f>MIN(1,MAX(VLOOKUP(($AJ136-$AI136-$AH136-$AG136-$AF136-$AE136*(1+IR$3))/$AJ136,'Технический лист'!$A:$B,2,1),(IQ136-0.05)))</f>
        <v/>
      </c>
    </row>
    <row r="137" ht="29.15" customHeight="1" s="123">
      <c r="A137" s="89" t="inlineStr">
        <is>
          <t>ЦМ (продукция)</t>
        </is>
      </c>
      <c r="B137" s="90" t="n">
        <v>10</v>
      </c>
      <c r="C137" s="5" t="inlineStr">
        <is>
          <t>Остальные грузы</t>
        </is>
      </c>
      <c r="D137" s="91" t="n">
        <v>33101</v>
      </c>
      <c r="E137" s="91" t="inlineStr">
        <is>
          <t xml:space="preserve">Алюминий </t>
        </is>
      </c>
      <c r="F137" s="92" t="inlineStr">
        <is>
          <t>МЕТАЛЛЫ ЦВЕТНЫЕ И ИХ СПЛА</t>
        </is>
      </c>
      <c r="G137" s="91" t="inlineStr">
        <is>
          <t>КРС</t>
        </is>
      </c>
      <c r="H137" s="91" t="inlineStr">
        <is>
          <t>МСК</t>
        </is>
      </c>
      <c r="I137" s="91" t="inlineStr">
        <is>
          <t>КАМЫШТА</t>
        </is>
      </c>
      <c r="J137" s="91" t="inlineStr">
        <is>
          <t>КАЛУГА 1</t>
        </is>
      </c>
      <c r="K137" s="91" t="n">
        <v>4190</v>
      </c>
      <c r="L137" s="91" t="inlineStr">
        <is>
          <t>Полувагоны</t>
        </is>
      </c>
      <c r="M137" s="91" t="inlineStr">
        <is>
          <t>Внутр. перевозки</t>
        </is>
      </c>
      <c r="N137" s="91" t="inlineStr">
        <is>
          <t>вагонная</t>
        </is>
      </c>
      <c r="O137" s="91" t="inlineStr">
        <is>
          <t xml:space="preserve">Северо-Западное </t>
        </is>
      </c>
      <c r="P137" s="89" t="inlineStr">
        <is>
          <t>'000049216289</t>
        </is>
      </c>
      <c r="Q137" s="91" t="inlineStr">
        <is>
          <t>'АО "РУСАЛ Саяногорский алюминиевый завод"</t>
        </is>
      </c>
      <c r="R137" s="91" t="inlineStr">
        <is>
          <t>ОК РУСАЛ</t>
        </is>
      </c>
      <c r="S137" s="87" t="n">
        <v>9590</v>
      </c>
      <c r="T137" s="87" t="n">
        <v>40176264</v>
      </c>
      <c r="U137" s="88" t="n">
        <v>143</v>
      </c>
      <c r="V137" s="88" t="n">
        <v>0</v>
      </c>
      <c r="W137" s="87" t="n">
        <v>38601147</v>
      </c>
      <c r="X137" s="112" t="n">
        <v>66</v>
      </c>
      <c r="Y137" s="112" t="inlineStr">
        <is>
          <t>повагонная</t>
        </is>
      </c>
      <c r="Z137" s="113" t="n">
        <v>13</v>
      </c>
      <c r="AA137" s="113" t="n">
        <v>11</v>
      </c>
      <c r="AB137" s="113" t="n">
        <v>4</v>
      </c>
      <c r="AC137" s="161" t="n">
        <v>4673.12</v>
      </c>
      <c r="AD137" s="161">
        <f>AE137-AC137</f>
        <v/>
      </c>
      <c r="AE137" s="161" t="n">
        <v>5490.73</v>
      </c>
      <c r="AF137" s="162">
        <f>(Z137+AA137+AB137)*'Ставки аренды'!$B$3/X137</f>
        <v/>
      </c>
      <c r="AG137" s="164" t="n">
        <v>0</v>
      </c>
      <c r="AH137" s="164" t="n">
        <v>0</v>
      </c>
      <c r="AI137" s="165">
        <f>12254/14812*AVERAGE(AJ134,AJ137)</f>
        <v/>
      </c>
      <c r="AJ137" s="166">
        <f>Цены!D19</f>
        <v/>
      </c>
      <c r="AK137" s="164">
        <f>AJ137/Цены!$B$1</f>
        <v/>
      </c>
      <c r="AL137" s="164">
        <f>AE137+AF137+AG137</f>
        <v/>
      </c>
      <c r="AM137" s="164">
        <f>AJ137-AL137</f>
        <v/>
      </c>
      <c r="AN137" s="164">
        <f>AI137+AH137+AG137+AF137+AE137</f>
        <v/>
      </c>
      <c r="AO137" s="167">
        <f>(AJ137-AN137)/AJ137</f>
        <v/>
      </c>
      <c r="AP137" s="168">
        <f>AL137/AJ137</f>
        <v/>
      </c>
      <c r="AQ137" s="168">
        <f>AE137/AJ137</f>
        <v/>
      </c>
      <c r="AR137" s="168">
        <f>AE137/AL137</f>
        <v/>
      </c>
      <c r="AS137" s="169" t="n">
        <v>1</v>
      </c>
      <c r="AT137" s="121">
        <f>S137*AS137</f>
        <v/>
      </c>
      <c r="AU137" s="83" t="n">
        <v>0.95</v>
      </c>
      <c r="AV137" s="170">
        <f>(AJ137-(AE137*(1+$IS$2)+AF137+AG137+AH137+AI137))/AJ137</f>
        <v/>
      </c>
      <c r="AW137" s="171">
        <f>(AE137*(1+$IS$2)+AF137+AG137)/AJ137</f>
        <v/>
      </c>
      <c r="AX137" s="171">
        <f>(AE137*(1+$IS$2))/AJ137</f>
        <v/>
      </c>
      <c r="AY137" s="171">
        <f>(AE137*(1+$IS$2))/(AE137*(1+$IS$2)+AF137+AG137)</f>
        <v/>
      </c>
      <c r="AZ137" s="172">
        <f>MIN(IF($AU137=100%,1,1+VLOOKUP(($AJ137-$AI137-$AH137-$AG137-$AF137-$AE137*(1+AZ$3))/$AJ137,'Технический лист'!$I:$J,2,1)-VLOOKUP($AO137,'Технический лист'!$I:$J,2,1)),1+(1-$AU137))</f>
        <v/>
      </c>
      <c r="BA137" s="172">
        <f>MIN(IF($AU137=100%,1,1+VLOOKUP(($AJ137-$AI137-$AH137-$AG137-$AF137-$AE137*(1+BA$3))/$AJ137,'Технический лист'!$I:$J,2,1)-VLOOKUP($AO137,'Технический лист'!$I:$J,2,1)),1+(1-$AU137))</f>
        <v/>
      </c>
      <c r="BB137" s="172">
        <f>MIN(IF($AU137=100%,1,1+VLOOKUP(($AJ137-$AI137-$AH137-$AG137-$AF137-$AE137*(1+BB$3))/$AJ137,'Технический лист'!$I:$J,2,1)-VLOOKUP($AO137,'Технический лист'!$I:$J,2,1)),1+(1-$AU137))</f>
        <v/>
      </c>
      <c r="BC137" s="172">
        <f>MIN(IF($AU137=100%,1,1+VLOOKUP(($AJ137-$AI137-$AH137-$AG137-$AF137-$AE137*(1+BC$3))/$AJ137,'Технический лист'!$I:$J,2,1)-VLOOKUP($AO137,'Технический лист'!$I:$J,2,1)),1+(1-$AU137))</f>
        <v/>
      </c>
      <c r="BD137" s="172">
        <f>MIN(IF($AU137=100%,1,1+VLOOKUP(($AJ137-$AI137-$AH137-$AG137-$AF137-$AE137*(1+BD$3))/$AJ137,'Технический лист'!$I:$J,2,1)-VLOOKUP($AO137,'Технический лист'!$I:$J,2,1)),1+(1-$AU137))</f>
        <v/>
      </c>
      <c r="BE137" s="172">
        <f>MIN(IF($AU137=100%,1,1+VLOOKUP(($AJ137-$AI137-$AH137-$AG137-$AF137-$AE137*(1+BE$3))/$AJ137,'Технический лист'!$I:$J,2,1)-VLOOKUP($AO137,'Технический лист'!$I:$J,2,1)),1+(1-$AU137))</f>
        <v/>
      </c>
      <c r="BF137" s="172">
        <f>MIN(IF($AU137=100%,1,1+VLOOKUP(($AJ137-$AI137-$AH137-$AG137-$AF137-$AE137*(1+BF$3))/$AJ137,'Технический лист'!$I:$J,2,1)-VLOOKUP($AO137,'Технический лист'!$I:$J,2,1)),1+(1-$AU137))</f>
        <v/>
      </c>
      <c r="BG137" s="172">
        <f>MIN(IF($AU137=100%,1,1+VLOOKUP(($AJ137-$AI137-$AH137-$AG137-$AF137-$AE137*(1+BG$3))/$AJ137,'Технический лист'!$I:$J,2,1)-VLOOKUP($AO137,'Технический лист'!$I:$J,2,1)),1+(1-$AU137))</f>
        <v/>
      </c>
      <c r="BH137" s="172">
        <f>MIN(IF($AU137=100%,1,1+VLOOKUP(($AJ137-$AI137-$AH137-$AG137-$AF137-$AE137*(1+BH$3))/$AJ137,'Технический лист'!$I:$J,2,1)-VLOOKUP($AO137,'Технический лист'!$I:$J,2,1)),1+(1-$AU137))</f>
        <v/>
      </c>
      <c r="BI137" s="172">
        <f>MIN(IF($AU137=100%,1,1+VLOOKUP(($AJ137-$AI137-$AH137-$AG137-$AF137-$AE137*(1+BI$3))/$AJ137,'Технический лист'!$I:$J,2,1)-VLOOKUP($AO137,'Технический лист'!$I:$J,2,1)),1+(1-$AU137))</f>
        <v/>
      </c>
      <c r="BJ137" s="172">
        <f>MIN(IF($AU137=100%,1,1+VLOOKUP(($AJ137-$AI137-$AH137-$AG137-$AF137-$AE137*(1+BJ$3))/$AJ137,'Технический лист'!$I:$J,2,1)-VLOOKUP($AO137,'Технический лист'!$I:$J,2,1)),1+(1-$AU137))</f>
        <v/>
      </c>
      <c r="BK137" s="172">
        <f>MIN(IF($AU137=100%,1,1+VLOOKUP(($AJ137-$AI137-$AH137-$AG137-$AF137-$AE137*(1+BK$3))/$AJ137,'Технический лист'!$I:$J,2,1)-VLOOKUP($AO137,'Технический лист'!$I:$J,2,1)),1+(1-$AU137))</f>
        <v/>
      </c>
      <c r="BL137" s="172">
        <f>MIN(IF($AU137=100%,1,1+VLOOKUP(($AJ137-$AI137-$AH137-$AG137-$AF137-$AE137*(1+BL$3))/$AJ137,'Технический лист'!$I:$J,2,1)-VLOOKUP($AO137,'Технический лист'!$I:$J,2,1)),1+(1-$AU137))</f>
        <v/>
      </c>
      <c r="BM137" s="172">
        <f>MIN(IF($AU137=100%,1,1+VLOOKUP(($AJ137-$AI137-$AH137-$AG137-$AF137-$AE137*(1+BM$3))/$AJ137,'Технический лист'!$I:$J,2,1)-VLOOKUP($AO137,'Технический лист'!$I:$J,2,1)),1+(1-$AU137))</f>
        <v/>
      </c>
      <c r="BN137" s="172">
        <f>MIN(IF($AU137=100%,1,1+VLOOKUP(($AJ137-$AI137-$AH137-$AG137-$AF137-$AE137*(1+BN$3))/$AJ137,'Технический лист'!$I:$J,2,1)-VLOOKUP($AO137,'Технический лист'!$I:$J,2,1)),1+(1-$AU137))</f>
        <v/>
      </c>
      <c r="BO137" s="172">
        <f>MIN(IF($AU137=100%,1,1+VLOOKUP(($AJ137-$AI137-$AH137-$AG137-$AF137-$AE137*(1+BO$3))/$AJ137,'Технический лист'!$I:$J,2,1)-VLOOKUP($AO137,'Технический лист'!$I:$J,2,1)),1+(1-$AU137))</f>
        <v/>
      </c>
      <c r="BP137" s="172">
        <f>MIN(IF($AU137=100%,1,1+VLOOKUP(($AJ137-$AI137-$AH137-$AG137-$AF137-$AE137*(1+BP$3))/$AJ137,'Технический лист'!$I:$J,2,1)-VLOOKUP($AO137,'Технический лист'!$I:$J,2,1)),1+(1-$AU137))</f>
        <v/>
      </c>
      <c r="BQ137" s="172">
        <f>MIN(IF($AU137=100%,1,1+VLOOKUP(($AJ137-$AI137-$AH137-$AG137-$AF137-$AE137*(1+BQ$3))/$AJ137,'Технический лист'!$I:$J,2,1)-VLOOKUP($AO137,'Технический лист'!$I:$J,2,1)),1+(1-$AU137))</f>
        <v/>
      </c>
      <c r="BR137" s="172">
        <f>MIN(IF($AU137=100%,1,1+VLOOKUP(($AJ137-$AI137-$AH137-$AG137-$AF137-$AE137*(1+BR$3))/$AJ137,'Технический лист'!$I:$J,2,1)-VLOOKUP($AO137,'Технический лист'!$I:$J,2,1)),1+(1-$AU137))</f>
        <v/>
      </c>
      <c r="BS137" s="172">
        <f>MIN(IF($AU137=100%,1,1+VLOOKUP(($AJ137-$AI137-$AH137-$AG137-$AF137-$AE137*(1+BS$3))/$AJ137,'Технический лист'!$I:$J,2,1)-VLOOKUP($AO137,'Технический лист'!$I:$J,2,1)),1+(1-$AU137))</f>
        <v/>
      </c>
      <c r="BT137" s="172">
        <f>MIN(IF($AU137=100%,1,1+VLOOKUP(($AJ137-$AI137-$AH137-$AG137-$AF137-$AE137*(1+BT$3))/$AJ137,'Технический лист'!$I:$J,2,1)-VLOOKUP($AO137,'Технический лист'!$I:$J,2,1)),1+(1-$AU137))</f>
        <v/>
      </c>
      <c r="BU137" s="172">
        <f>MIN(IF($AU137=100%,1,1+VLOOKUP(($AJ137-$AI137-$AH137-$AG137-$AF137-$AE137*(1+BU$3))/$AJ137,'Технический лист'!$I:$J,2,1)-VLOOKUP($AO137,'Технический лист'!$I:$J,2,1)),1+(1-$AU137))</f>
        <v/>
      </c>
      <c r="BV137" s="172">
        <f>MIN(IF($AU137=100%,1,1+VLOOKUP(($AJ137-$AI137-$AH137-$AG137-$AF137-$AE137*(1+BV$3))/$AJ137,'Технический лист'!$I:$J,2,1)-VLOOKUP($AO137,'Технический лист'!$I:$J,2,1)),1+(1-$AU137))</f>
        <v/>
      </c>
      <c r="BW137" s="172">
        <f>MIN(IF($AU137=100%,1,1+VLOOKUP(($AJ137-$AI137-$AH137-$AG137-$AF137-$AE137*(1+BW$3))/$AJ137,'Технический лист'!$I:$J,2,1)-VLOOKUP($AO137,'Технический лист'!$I:$J,2,1)),1+(1-$AU137))</f>
        <v/>
      </c>
      <c r="BX137" s="172">
        <f>MIN(IF($AU137=100%,1,1+VLOOKUP(($AJ137-$AI137-$AH137-$AG137-$AF137-$AE137*(1+BX$3))/$AJ137,'Технический лист'!$I:$J,2,1)-VLOOKUP($AO137,'Технический лист'!$I:$J,2,1)),1+(1-$AU137))</f>
        <v/>
      </c>
      <c r="BY137" s="172">
        <f>MIN(IF($AU137=100%,1,1+VLOOKUP(($AJ137-$AI137-$AH137-$AG137-$AF137-$AE137*(1+BY$3))/$AJ137,'Технический лист'!$I:$J,2,1)-VLOOKUP($AO137,'Технический лист'!$I:$J,2,1)),1+(1-$AU137))</f>
        <v/>
      </c>
      <c r="BZ137" s="172">
        <f>MIN(IF($AU137=100%,1,1+VLOOKUP(($AJ137-$AI137-$AH137-$AG137-$AF137-$AE137*(1+BZ$3))/$AJ137,'Технический лист'!$I:$J,2,1)-VLOOKUP($AO137,'Технический лист'!$I:$J,2,1)),1+(1-$AU137))</f>
        <v/>
      </c>
      <c r="CA137" s="172">
        <f>MIN(IF($AU137=100%,1,1+VLOOKUP(($AJ137-$AI137-$AH137-$AG137-$AF137-$AE137*(1+CA$3))/$AJ137,'Технический лист'!$I:$J,2,1)-VLOOKUP($AO137,'Технический лист'!$I:$J,2,1)),1+(1-$AU137))</f>
        <v/>
      </c>
      <c r="CB137" s="172">
        <f>MIN(IF($AU137=100%,1,1+VLOOKUP(($AJ137-$AI137-$AH137-$AG137-$AF137-$AE137*(1+CB$3))/$AJ137,'Технический лист'!$I:$J,2,1)-VLOOKUP($AO137,'Технический лист'!$I:$J,2,1)),1+(1-$AU137))</f>
        <v/>
      </c>
      <c r="CC137" s="172">
        <f>MIN(IF($AU137=100%,1,1+VLOOKUP(($AJ137-$AI137-$AH137-$AG137-$AF137-$AE137*(1+CC$3))/$AJ137,'Технический лист'!$I:$J,2,1)-VLOOKUP($AO137,'Технический лист'!$I:$J,2,1)),1+(1-$AU137))</f>
        <v/>
      </c>
      <c r="CD137" s="172">
        <f>MIN(IF($AU137=100%,1,1+VLOOKUP(($AJ137-$AI137-$AH137-$AG137-$AF137-$AE137*(1+CD$3))/$AJ137,'Технический лист'!$I:$J,2,1)-VLOOKUP($AO137,'Технический лист'!$I:$J,2,1)),1+(1-$AU137))</f>
        <v/>
      </c>
      <c r="CE137" s="172">
        <f>MIN(IF($AU137=100%,1,1+VLOOKUP(($AJ137-$AI137-$AH137-$AG137-$AF137-$AE137*(1+CE$3))/$AJ137,'Технический лист'!$I:$J,2,1)-VLOOKUP($AO137,'Технический лист'!$I:$J,2,1)),1+(1-$AU137))</f>
        <v/>
      </c>
      <c r="CF137" s="172">
        <f>MIN(IF($AU137=100%,1,1+VLOOKUP(($AJ137-$AI137-$AH137-$AG137-$AF137-$AE137*(1+CF$3))/$AJ137,'Технический лист'!$I:$J,2,1)-VLOOKUP($AO137,'Технический лист'!$I:$J,2,1)),1+(1-$AU137))</f>
        <v/>
      </c>
      <c r="CG137" s="172">
        <f>MIN(IF($AU137=100%,1,1+VLOOKUP(($AJ137-$AI137-$AH137-$AG137-$AF137-$AE137*(1+CG$3))/$AJ137,'Технический лист'!$I:$J,2,1)-VLOOKUP($AO137,'Технический лист'!$I:$J,2,1)),1+(1-$AU137))</f>
        <v/>
      </c>
      <c r="CH137" s="172">
        <f>MIN(IF($AU137=100%,1,1+VLOOKUP(($AJ137-$AI137-$AH137-$AG137-$AF137-$AE137*(1+CH$3))/$AJ137,'Технический лист'!$I:$J,2,1)-VLOOKUP($AO137,'Технический лист'!$I:$J,2,1)),1+(1-$AU137))</f>
        <v/>
      </c>
      <c r="CI137" s="172">
        <f>MIN(IF($AU137=100%,1,1+VLOOKUP(($AJ137-$AI137-$AH137-$AG137-$AF137-$AE137*(1+CI$3))/$AJ137,'Технический лист'!$I:$J,2,1)-VLOOKUP($AO137,'Технический лист'!$I:$J,2,1)),1+(1-$AU137))</f>
        <v/>
      </c>
      <c r="CJ137" s="172">
        <f>MIN(IF($AU137=100%,1,1+VLOOKUP(($AJ137-$AI137-$AH137-$AG137-$AF137-$AE137*(1+CJ$3))/$AJ137,'Технический лист'!$I:$J,2,1)-VLOOKUP($AO137,'Технический лист'!$I:$J,2,1)),1+(1-$AU137))</f>
        <v/>
      </c>
      <c r="CK137" s="172">
        <f>MIN(IF($AU137=100%,1,1+VLOOKUP(($AJ137-$AI137-$AH137-$AG137-$AF137-$AE137*(1+CK$3))/$AJ137,'Технический лист'!$I:$J,2,1)-VLOOKUP($AO137,'Технический лист'!$I:$J,2,1)),1+(1-$AU137))</f>
        <v/>
      </c>
      <c r="CL137" s="172">
        <f>MIN(IF($AU137=100%,1,1+VLOOKUP(($AJ137-$AI137-$AH137-$AG137-$AF137-$AE137*(1+CL$3))/$AJ137,'Технический лист'!$I:$J,2,1)-VLOOKUP($AO137,'Технический лист'!$I:$J,2,1)),1+(1-$AU137))</f>
        <v/>
      </c>
      <c r="CM137" s="172">
        <f>MIN(IF($AU137=100%,1,1+VLOOKUP(($AJ137-$AI137-$AH137-$AG137-$AF137-$AE137*(1+CM$3))/$AJ137,'Технический лист'!$I:$J,2,1)-VLOOKUP($AO137,'Технический лист'!$I:$J,2,1)),1+(1-$AU137))</f>
        <v/>
      </c>
      <c r="CN137" s="172">
        <f>MIN(IF($AU137=100%,1,1+VLOOKUP(($AJ137-$AI137-$AH137-$AG137-$AF137-$AE137*(1+CN$3))/$AJ137,'Технический лист'!$I:$J,2,1)-VLOOKUP($AO137,'Технический лист'!$I:$J,2,1)),1+(1-$AU137))</f>
        <v/>
      </c>
      <c r="CO137" s="172">
        <f>MIN(IF($AU137=100%,1,1+VLOOKUP(($AJ137-$AI137-$AH137-$AG137-$AF137-$AE137*(1+CO$3))/$AJ137,'Технический лист'!$I:$J,2,1)-VLOOKUP($AO137,'Технический лист'!$I:$J,2,1)),1+(1-$AU137))</f>
        <v/>
      </c>
      <c r="CP137" s="172">
        <f>MIN(IF($AU137=100%,1,1+VLOOKUP(($AJ137-$AI137-$AH137-$AG137-$AF137-$AE137*(1+CP$3))/$AJ137,'Технический лист'!$I:$J,2,1)-VLOOKUP($AO137,'Технический лист'!$I:$J,2,1)),1+(1-$AU137))</f>
        <v/>
      </c>
      <c r="CQ137" s="172">
        <f>MIN(IF($AU137=100%,1,1+VLOOKUP(($AJ137-$AI137-$AH137-$AG137-$AF137-$AE137*(1+CQ$3))/$AJ137,'Технический лист'!$I:$J,2,1)-VLOOKUP($AO137,'Технический лист'!$I:$J,2,1)),1+(1-$AU137))</f>
        <v/>
      </c>
      <c r="CR137" s="172">
        <f>MIN(IF($AU137=100%,1,1+VLOOKUP(($AJ137-$AI137-$AH137-$AG137-$AF137-$AE137*(1+CR$3))/$AJ137,'Технический лист'!$I:$J,2,1)-VLOOKUP($AO137,'Технический лист'!$I:$J,2,1)),1+(1-$AU137))</f>
        <v/>
      </c>
      <c r="CS137" s="172">
        <f>MIN(IF($AU137=100%,1,1+VLOOKUP(($AJ137-$AI137-$AH137-$AG137-$AF137-$AE137*(1+CS$3))/$AJ137,'Технический лист'!$I:$J,2,1)-VLOOKUP($AO137,'Технический лист'!$I:$J,2,1)),1+(1-$AU137))</f>
        <v/>
      </c>
      <c r="CT137" s="172">
        <f>MIN(IF($AU137=100%,1,1+VLOOKUP(($AJ137-$AI137-$AH137-$AG137-$AF137-$AE137*(1+CT$3))/$AJ137,'Технический лист'!$I:$J,2,1)-VLOOKUP($AO137,'Технический лист'!$I:$J,2,1)),1+(1-$AU137))</f>
        <v/>
      </c>
      <c r="CU137" s="172">
        <f>MIN(IF($AU137=100%,1,1+VLOOKUP(($AJ137-$AI137-$AH137-$AG137-$AF137-$AE137*(1+CU$3))/$AJ137,'Технический лист'!$I:$J,2,1)-VLOOKUP($AO137,'Технический лист'!$I:$J,2,1)),1+(1-$AU137))</f>
        <v/>
      </c>
      <c r="CV137" s="172">
        <f>MIN(IF($AU137=100%,1,1+VLOOKUP(($AJ137-$AI137-$AH137-$AG137-$AF137-$AE137*(1+CV$3))/$AJ137,'Технический лист'!$I:$J,2,1)-VLOOKUP($AO137,'Технический лист'!$I:$J,2,1)),1+(1-$AU137))</f>
        <v/>
      </c>
      <c r="CW137" s="172">
        <f>MIN(IF($AU137=100%,1,1+VLOOKUP(($AJ137-$AI137-$AH137-$AG137-$AF137-$AE137*(1+CW$3))/$AJ137,'Технический лист'!$I:$J,2,1)-VLOOKUP($AO137,'Технический лист'!$I:$J,2,1)),1+(1-$AU137))</f>
        <v/>
      </c>
      <c r="CX137" s="172">
        <f>MIN(IF($AU137=100%,1,1+VLOOKUP(($AJ137-$AI137-$AH137-$AG137-$AF137-$AE137*(1+CX$3))/$AJ137,'Технический лист'!$I:$J,2,1)-VLOOKUP($AO137,'Технический лист'!$I:$J,2,1)),1+(1-$AU137))</f>
        <v/>
      </c>
      <c r="CY137" s="172">
        <f>MIN(IF($AU137=100%,1,1+VLOOKUP(($AJ137-$AI137-$AH137-$AG137-$AF137-$AE137*(1+CY$3))/$AJ137,'Технический лист'!$I:$J,2,1)-VLOOKUP($AO137,'Технический лист'!$I:$J,2,1)),1+(1-$AU137))</f>
        <v/>
      </c>
      <c r="CZ137" s="172">
        <f>MIN(IF($AU137=100%,1,1+VLOOKUP(($AJ137-$AI137-$AH137-$AG137-$AF137-$AE137*(1+CZ$3))/$AJ137,'Технический лист'!$I:$J,2,1)-VLOOKUP($AO137,'Технический лист'!$I:$J,2,1)),1+(1-$AU137))</f>
        <v/>
      </c>
      <c r="DA137" s="172">
        <f>MIN(IF($AU137=100%,1,1+VLOOKUP(($AJ137-$AI137-$AH137-$AG137-$AF137-$AE137*(1+DA$3))/$AJ137,'Технический лист'!$I:$J,2,1)-VLOOKUP($AO137,'Технический лист'!$I:$J,2,1)),1+(1-$AU137))</f>
        <v/>
      </c>
      <c r="DB137" s="172">
        <f>MIN(IF($AU137=100%,1,1+VLOOKUP(($AJ137-$AI137-$AH137-$AG137-$AF137-$AE137*(1+DB$3))/$AJ137,'Технический лист'!$I:$J,2,1)-VLOOKUP($AO137,'Технический лист'!$I:$J,2,1)),1+(1-$AU137))</f>
        <v/>
      </c>
      <c r="DC137" s="172">
        <f>MIN(IF($AU137=100%,1,1+VLOOKUP(($AJ137-$AI137-$AH137-$AG137-$AF137-$AE137*(1+DC$3))/$AJ137,'Технический лист'!$I:$J,2,1)-VLOOKUP($AO137,'Технический лист'!$I:$J,2,1)),1+(1-$AU137))</f>
        <v/>
      </c>
      <c r="DD137" s="172">
        <f>MIN(IF($AU137=100%,1,1+VLOOKUP(($AJ137-$AI137-$AH137-$AG137-$AF137-$AE137*(1+DD$3))/$AJ137,'Технический лист'!$I:$J,2,1)-VLOOKUP($AO137,'Технический лист'!$I:$J,2,1)),1+(1-$AU137))</f>
        <v/>
      </c>
      <c r="DE137" s="172">
        <f>MIN(IF($AU137=100%,1,1+VLOOKUP(($AJ137-$AI137-$AH137-$AG137-$AF137-$AE137*(1+DE$3))/$AJ137,'Технический лист'!$I:$J,2,1)-VLOOKUP($AO137,'Технический лист'!$I:$J,2,1)),1+(1-$AU137))</f>
        <v/>
      </c>
      <c r="DF137" s="172">
        <f>MIN(IF($AU137=100%,1,1+VLOOKUP(($AJ137-$AI137-$AH137-$AG137-$AF137-$AE137*(1+DF$3))/$AJ137,'Технический лист'!$I:$J,2,1)-VLOOKUP($AO137,'Технический лист'!$I:$J,2,1)),1+(1-$AU137))</f>
        <v/>
      </c>
      <c r="DG137" s="172">
        <f>MIN(IF($AU137=100%,1,1+VLOOKUP(($AJ137-$AI137-$AH137-$AG137-$AF137-$AE137*(1+DG$3))/$AJ137,'Технический лист'!$I:$J,2,1)-VLOOKUP($AO137,'Технический лист'!$I:$J,2,1)),1+(1-$AU137))</f>
        <v/>
      </c>
      <c r="DH137" s="172">
        <f>MIN(IF($AU137=100%,1,1+VLOOKUP(($AJ137-$AI137-$AH137-$AG137-$AF137-$AE137*(1+DH$3))/$AJ137,'Технический лист'!$I:$J,2,1)-VLOOKUP($AO137,'Технический лист'!$I:$J,2,1)),1+(1-$AU137))</f>
        <v/>
      </c>
      <c r="DI137" s="172">
        <f>MIN(IF($AU137=100%,1,1+VLOOKUP(($AJ137-$AI137-$AH137-$AG137-$AF137-$AE137*(1+DI$3))/$AJ137,'Технический лист'!$I:$J,2,1)-VLOOKUP($AO137,'Технический лист'!$I:$J,2,1)),1+(1-$AU137))</f>
        <v/>
      </c>
      <c r="DJ137" s="172">
        <f>MIN(IF($AU137=100%,1,1+VLOOKUP(($AJ137-$AI137-$AH137-$AG137-$AF137-$AE137*(1+DJ$3))/$AJ137,'Технический лист'!$I:$J,2,1)-VLOOKUP($AO137,'Технический лист'!$I:$J,2,1)),1+(1-$AU137))</f>
        <v/>
      </c>
      <c r="DK137" s="172">
        <f>MIN(IF($AU137=100%,1,1+VLOOKUP(($AJ137-$AI137-$AH137-$AG137-$AF137-$AE137*(1+DK$3))/$AJ137,'Технический лист'!$I:$J,2,1)-VLOOKUP($AO137,'Технический лист'!$I:$J,2,1)),1+(1-$AU137))</f>
        <v/>
      </c>
      <c r="DL137" s="172">
        <f>MIN(IF($AU137=100%,1,1+VLOOKUP(($AJ137-$AI137-$AH137-$AG137-$AF137-$AE137*(1+DL$3))/$AJ137,'Технический лист'!$I:$J,2,1)-VLOOKUP($AO137,'Технический лист'!$I:$J,2,1)),1+(1-$AU137))</f>
        <v/>
      </c>
      <c r="DM137" s="172">
        <f>MIN(IF($AU137=100%,1,1+VLOOKUP(($AJ137-$AI137-$AH137-$AG137-$AF137-$AE137*(1+DM$3))/$AJ137,'Технический лист'!$I:$J,2,1)-VLOOKUP($AO137,'Технический лист'!$I:$J,2,1)),1+(1-$AU137))</f>
        <v/>
      </c>
      <c r="DN137" s="172">
        <f>MIN(IF($AU137=100%,1,1+VLOOKUP(($AJ137-$AI137-$AH137-$AG137-$AF137-$AE137*(1+DN$3))/$AJ137,'Технический лист'!$I:$J,2,1)-VLOOKUP($AO137,'Технический лист'!$I:$J,2,1)),1+(1-$AU137))</f>
        <v/>
      </c>
      <c r="DO137" s="172">
        <f>MIN(IF($AU137=100%,1,1+VLOOKUP(($AJ137-$AI137-$AH137-$AG137-$AF137-$AE137*(1+DO$3))/$AJ137,'Технический лист'!$I:$J,2,1)-VLOOKUP($AO137,'Технический лист'!$I:$J,2,1)),1+(1-$AU137))</f>
        <v/>
      </c>
      <c r="DP137" s="172">
        <f>MIN(IF($AU137=100%,1,1+VLOOKUP(($AJ137-$AI137-$AH137-$AG137-$AF137-$AE137*(1+DP$3))/$AJ137,'Технический лист'!$I:$J,2,1)-VLOOKUP($AO137,'Технический лист'!$I:$J,2,1)),1+(1-$AU137))</f>
        <v/>
      </c>
      <c r="DQ137" s="172">
        <f>MIN(IF($AU137=100%,1,1+VLOOKUP(($AJ137-$AI137-$AH137-$AG137-$AF137-$AE137*(1+DQ$3))/$AJ137,'Технический лист'!$I:$J,2,1)-VLOOKUP($AO137,'Технический лист'!$I:$J,2,1)),1+(1-$AU137))</f>
        <v/>
      </c>
      <c r="DR137" s="172">
        <f>MIN(IF($AU137=100%,1,1+VLOOKUP(($AJ137-$AI137-$AH137-$AG137-$AF137-$AE137*(1+DR$3))/$AJ137,'Технический лист'!$I:$J,2,1)-VLOOKUP($AO137,'Технический лист'!$I:$J,2,1)),1+(1-$AU137))</f>
        <v/>
      </c>
      <c r="DS137" s="172">
        <f>MIN(IF($AU137=100%,1,1+VLOOKUP(($AJ137-$AI137-$AH137-$AG137-$AF137-$AE137*(1+DS$3))/$AJ137,'Технический лист'!$I:$J,2,1)-VLOOKUP($AO137,'Технический лист'!$I:$J,2,1)),1+(1-$AU137))</f>
        <v/>
      </c>
      <c r="DT137" s="172">
        <f>MIN(IF($AU137=100%,1,1+VLOOKUP(($AJ137-$AI137-$AH137-$AG137-$AF137-$AE137*(1+DT$3))/$AJ137,'Технический лист'!$I:$J,2,1)-VLOOKUP($AO137,'Технический лист'!$I:$J,2,1)),1+(1-$AU137))</f>
        <v/>
      </c>
      <c r="DU137" s="172">
        <f>MIN(IF($AU137=100%,1,1+VLOOKUP(($AJ137-$AI137-$AH137-$AG137-$AF137-$AE137*(1+DU$3))/$AJ137,'Технический лист'!$I:$J,2,1)-VLOOKUP($AO137,'Технический лист'!$I:$J,2,1)),1+(1-$AU137))</f>
        <v/>
      </c>
      <c r="DV137" s="172">
        <f>MIN(IF($AU137=100%,1,1+VLOOKUP(($AJ137-$AI137-$AH137-$AG137-$AF137-$AE137*(1+DV$3))/$AJ137,'Технический лист'!$I:$J,2,1)-VLOOKUP($AO137,'Технический лист'!$I:$J,2,1)),1+(1-$AU137))</f>
        <v/>
      </c>
      <c r="DW137" s="172">
        <f>MIN(IF($AU137=100%,1,1+VLOOKUP(($AJ137-$AI137-$AH137-$AG137-$AF137-$AE137*(1+DW$3))/$AJ137,'Технический лист'!$I:$J,2,1)-VLOOKUP($AO137,'Технический лист'!$I:$J,2,1)),1+(1-$AU137))</f>
        <v/>
      </c>
      <c r="DX137" s="172">
        <f>MIN(IF($AU137=100%,1,1+VLOOKUP(($AJ137-$AI137-$AH137-$AG137-$AF137-$AE137*(1+DX$3))/$AJ137,'Технический лист'!$I:$J,2,1)-VLOOKUP($AO137,'Технический лист'!$I:$J,2,1)),1+(1-$AU137))</f>
        <v/>
      </c>
      <c r="DY137" s="172">
        <f>MIN(IF($AU137=100%,1,1+VLOOKUP(($AJ137-$AI137-$AH137-$AG137-$AF137-$AE137*(1+DY$3))/$AJ137,'Технический лист'!$I:$J,2,1)-VLOOKUP($AO137,'Технический лист'!$I:$J,2,1)),1+(1-$AU137))</f>
        <v/>
      </c>
      <c r="DZ137" s="172">
        <f>MIN(IF($AU137=100%,1,1+VLOOKUP(($AJ137-$AI137-$AH137-$AG137-$AF137-$AE137*(1+DZ$3))/$AJ137,'Технический лист'!$I:$J,2,1)-VLOOKUP($AO137,'Технический лист'!$I:$J,2,1)),1+(1-$AU137))</f>
        <v/>
      </c>
      <c r="EA137" s="172">
        <f>MIN(IF($AU137=100%,1,1+VLOOKUP(($AJ137-$AI137-$AH137-$AG137-$AF137-$AE137*(1+EA$3))/$AJ137,'Технический лист'!$I:$J,2,1)-VLOOKUP($AO137,'Технический лист'!$I:$J,2,1)),1+(1-$AU137))</f>
        <v/>
      </c>
      <c r="EB137" s="172">
        <f>MIN(IF($AU137=100%,1,1+VLOOKUP(($AJ137-$AI137-$AH137-$AG137-$AF137-$AE137*(1+EB$3))/$AJ137,'Технический лист'!$I:$J,2,1)-VLOOKUP($AO137,'Технический лист'!$I:$J,2,1)),1+(1-$AU137))</f>
        <v/>
      </c>
      <c r="EC137" s="172">
        <f>MIN(IF($AU137=100%,1,1+VLOOKUP(($AJ137-$AI137-$AH137-$AG137-$AF137-$AE137*(1+EC$3))/$AJ137,'Технический лист'!$I:$J,2,1)-VLOOKUP($AO137,'Технический лист'!$I:$J,2,1)),1+(1-$AU137))</f>
        <v/>
      </c>
      <c r="ED137" s="172">
        <f>MIN(IF($AU137=100%,1,1+VLOOKUP(($AJ137-$AI137-$AH137-$AG137-$AF137-$AE137*(1+ED$3))/$AJ137,'Технический лист'!$I:$J,2,1)-VLOOKUP($AO137,'Технический лист'!$I:$J,2,1)),1+(1-$AU137))</f>
        <v/>
      </c>
      <c r="EE137" s="172">
        <f>MIN(IF($AU137=100%,1,1+VLOOKUP(($AJ137-$AI137-$AH137-$AG137-$AF137-$AE137*(1+EE$3))/$AJ137,'Технический лист'!$I:$J,2,1)-VLOOKUP($AO137,'Технический лист'!$I:$J,2,1)),1+(1-$AU137))</f>
        <v/>
      </c>
      <c r="EF137" s="172">
        <f>MIN(IF($AU137=100%,1,1+VLOOKUP(($AJ137-$AI137-$AH137-$AG137-$AF137-$AE137*(1+EF$3))/$AJ137,'Технический лист'!$I:$J,2,1)-VLOOKUP($AO137,'Технический лист'!$I:$J,2,1)),1+(1-$AU137))</f>
        <v/>
      </c>
      <c r="EG137" s="172">
        <f>MIN(IF($AU137=100%,1,1+VLOOKUP(($AJ137-$AI137-$AH137-$AG137-$AF137-$AE137*(1+EG$3))/$AJ137,'Технический лист'!$I:$J,2,1)-VLOOKUP($AO137,'Технический лист'!$I:$J,2,1)),1+(1-$AU137))</f>
        <v/>
      </c>
      <c r="EH137" s="172">
        <f>MIN(IF($AU137=100%,1,1+VLOOKUP(($AJ137-$AI137-$AH137-$AG137-$AF137-$AE137*(1+EH$3))/$AJ137,'Технический лист'!$I:$J,2,1)-VLOOKUP($AO137,'Технический лист'!$I:$J,2,1)),1+(1-$AU137))</f>
        <v/>
      </c>
      <c r="EI137" s="172">
        <f>MIN(IF($AU137=100%,1,1+VLOOKUP(($AJ137-$AI137-$AH137-$AG137-$AF137-$AE137*(1+EI$3))/$AJ137,'Технический лист'!$I:$J,2,1)-VLOOKUP($AO137,'Технический лист'!$I:$J,2,1)),1+(1-$AU137))</f>
        <v/>
      </c>
      <c r="EJ137" s="172">
        <f>MIN(IF($AU137=100%,1,1+VLOOKUP(($AJ137-$AI137-$AH137-$AG137-$AF137-$AE137*(1+EJ$3))/$AJ137,'Технический лист'!$I:$J,2,1)-VLOOKUP($AO137,'Технический лист'!$I:$J,2,1)),1+(1-$AU137))</f>
        <v/>
      </c>
      <c r="EK137" s="172">
        <f>MIN(IF($AU137=100%,1,1+VLOOKUP(($AJ137-$AI137-$AH137-$AG137-$AF137-$AE137*(1+EK$3))/$AJ137,'Технический лист'!$I:$J,2,1)-VLOOKUP($AO137,'Технический лист'!$I:$J,2,1)),1+(1-$AU137))</f>
        <v/>
      </c>
      <c r="EL137" s="172">
        <f>MIN(IF($AU137=100%,1,1+VLOOKUP(($AJ137-$AI137-$AH137-$AG137-$AF137-$AE137*(1+EL$3))/$AJ137,'Технический лист'!$I:$J,2,1)-VLOOKUP($AO137,'Технический лист'!$I:$J,2,1)),1+(1-$AU137))</f>
        <v/>
      </c>
      <c r="EM137" s="172">
        <f>MIN(IF($AU137=100%,1,1+VLOOKUP(($AJ137-$AI137-$AH137-$AG137-$AF137-$AE137*(1+EM$3))/$AJ137,'Технический лист'!$I:$J,2,1)-VLOOKUP($AO137,'Технический лист'!$I:$J,2,1)),1+(1-$AU137))</f>
        <v/>
      </c>
      <c r="EN137" s="172">
        <f>MIN(IF($AU137=100%,1,1+VLOOKUP(($AJ137-$AI137-$AH137-$AG137-$AF137-$AE137*(1+EN$3))/$AJ137,'Технический лист'!$I:$J,2,1)-VLOOKUP($AO137,'Технический лист'!$I:$J,2,1)),1+(1-$AU137))</f>
        <v/>
      </c>
      <c r="EO137" s="172">
        <f>MIN(IF($AU137=100%,1,1+VLOOKUP(($AJ137-$AI137-$AH137-$AG137-$AF137-$AE137*(1+EO$3))/$AJ137,'Технический лист'!$I:$J,2,1)-VLOOKUP($AO137,'Технический лист'!$I:$J,2,1)),1+(1-$AU137))</f>
        <v/>
      </c>
      <c r="EP137" s="172">
        <f>MIN(IF($AU137=100%,1,1+VLOOKUP(($AJ137-$AI137-$AH137-$AG137-$AF137-$AE137*(1+EP$3))/$AJ137,'Технический лист'!$I:$J,2,1)-VLOOKUP($AO137,'Технический лист'!$I:$J,2,1)),1+(1-$AU137))</f>
        <v/>
      </c>
      <c r="EQ137" s="172">
        <f>MIN(IF($AU137=100%,1,1+VLOOKUP(($AJ137-$AI137-$AH137-$AG137-$AF137-$AE137*(1+EQ$3))/$AJ137,'Технический лист'!$I:$J,2,1)-VLOOKUP($AO137,'Технический лист'!$I:$J,2,1)),1+(1-$AU137))</f>
        <v/>
      </c>
      <c r="ER137" s="172">
        <f>MIN(IF($AU137=100%,1,1+VLOOKUP(($AJ137-$AI137-$AH137-$AG137-$AF137-$AE137*(1+ER$3))/$AJ137,'Технический лист'!$I:$J,2,1)-VLOOKUP($AO137,'Технический лист'!$I:$J,2,1)),1+(1-$AU137))</f>
        <v/>
      </c>
      <c r="ES137" s="172">
        <f>MIN(IF($AU137=100%,1,1+VLOOKUP(($AJ137-$AI137-$AH137-$AG137-$AF137-$AE137*(1+ES$3))/$AJ137,'Технический лист'!$I:$J,2,1)-VLOOKUP($AO137,'Технический лист'!$I:$J,2,1)),1+(1-$AU137))</f>
        <v/>
      </c>
      <c r="ET137" s="172">
        <f>MIN(IF($AU137=100%,1,1+VLOOKUP(($AJ137-$AI137-$AH137-$AG137-$AF137-$AE137*(1+ET$3))/$AJ137,'Технический лист'!$I:$J,2,1)-VLOOKUP($AO137,'Технический лист'!$I:$J,2,1)),1+(1-$AU137))</f>
        <v/>
      </c>
      <c r="EU137" s="172">
        <f>MIN(IF($AU137=100%,1,1+VLOOKUP(($AJ137-$AI137-$AH137-$AG137-$AF137-$AE137*(1+EU$3))/$AJ137,'Технический лист'!$I:$J,2,1)-VLOOKUP($AO137,'Технический лист'!$I:$J,2,1)),1+(1-$AU137))</f>
        <v/>
      </c>
      <c r="EV137" s="173" t="n">
        <v>1</v>
      </c>
      <c r="EW137" s="172">
        <f>MIN(1,MAX(VLOOKUP(($AJ137-$AI137-$AH137-$AG137-$AF137-$AE137*(1+EW$3))/$AJ137,'Технический лист'!$A:$B,2,1),(EV137-0.05)))</f>
        <v/>
      </c>
      <c r="EX137" s="172">
        <f>MIN(1,MAX(VLOOKUP(($AJ137-$AI137-$AH137-$AG137-$AF137-$AE137*(1+EX$3))/$AJ137,'Технический лист'!$A:$B,2,1),(EW137-0.05)))</f>
        <v/>
      </c>
      <c r="EY137" s="172">
        <f>MIN(1,MAX(VLOOKUP(($AJ137-$AI137-$AH137-$AG137-$AF137-$AE137*(1+EY$3))/$AJ137,'Технический лист'!$A:$B,2,1),(EX137-0.05)))</f>
        <v/>
      </c>
      <c r="EZ137" s="172">
        <f>MIN(1,MAX(VLOOKUP(($AJ137-$AI137-$AH137-$AG137-$AF137-$AE137*(1+EZ$3))/$AJ137,'Технический лист'!$A:$B,2,1),(EY137-0.05)))</f>
        <v/>
      </c>
      <c r="FA137" s="172">
        <f>MIN(1,MAX(VLOOKUP(($AJ137-$AI137-$AH137-$AG137-$AF137-$AE137*(1+FA$3))/$AJ137,'Технический лист'!$A:$B,2,1),(EZ137-0.05)))</f>
        <v/>
      </c>
      <c r="FB137" s="172">
        <f>MIN(1,MAX(VLOOKUP(($AJ137-$AI137-$AH137-$AG137-$AF137-$AE137*(1+FB$3))/$AJ137,'Технический лист'!$A:$B,2,1),(FA137-0.05)))</f>
        <v/>
      </c>
      <c r="FC137" s="172">
        <f>MIN(1,MAX(VLOOKUP(($AJ137-$AI137-$AH137-$AG137-$AF137-$AE137*(1+FC$3))/$AJ137,'Технический лист'!$A:$B,2,1),(FB137-0.05)))</f>
        <v/>
      </c>
      <c r="FD137" s="172">
        <f>MIN(1,MAX(VLOOKUP(($AJ137-$AI137-$AH137-$AG137-$AF137-$AE137*(1+FD$3))/$AJ137,'Технический лист'!$A:$B,2,1),(FC137-0.05)))</f>
        <v/>
      </c>
      <c r="FE137" s="172">
        <f>MIN(1,MAX(VLOOKUP(($AJ137-$AI137-$AH137-$AG137-$AF137-$AE137*(1+FE$3))/$AJ137,'Технический лист'!$A:$B,2,1),(FD137-0.05)))</f>
        <v/>
      </c>
      <c r="FF137" s="172">
        <f>MIN(1,MAX(VLOOKUP(($AJ137-$AI137-$AH137-$AG137-$AF137-$AE137*(1+FF$3))/$AJ137,'Технический лист'!$A:$B,2,1),(FE137-0.05)))</f>
        <v/>
      </c>
      <c r="FG137" s="172">
        <f>MIN(1,MAX(VLOOKUP(($AJ137-$AI137-$AH137-$AG137-$AF137-$AE137*(1+FG$3))/$AJ137,'Технический лист'!$A:$B,2,1),(FF137-0.05)))</f>
        <v/>
      </c>
      <c r="FH137" s="172">
        <f>MIN(1,MAX(VLOOKUP(($AJ137-$AI137-$AH137-$AG137-$AF137-$AE137*(1+FH$3))/$AJ137,'Технический лист'!$A:$B,2,1),(FG137-0.05)))</f>
        <v/>
      </c>
      <c r="FI137" s="172">
        <f>MIN(1,MAX(VLOOKUP(($AJ137-$AI137-$AH137-$AG137-$AF137-$AE137*(1+FI$3))/$AJ137,'Технический лист'!$A:$B,2,1),(FH137-0.05)))</f>
        <v/>
      </c>
      <c r="FJ137" s="172">
        <f>MIN(1,MAX(VLOOKUP(($AJ137-$AI137-$AH137-$AG137-$AF137-$AE137*(1+FJ$3))/$AJ137,'Технический лист'!$A:$B,2,1),(FI137-0.05)))</f>
        <v/>
      </c>
      <c r="FK137" s="172">
        <f>MIN(1,MAX(VLOOKUP(($AJ137-$AI137-$AH137-$AG137-$AF137-$AE137*(1+FK$3))/$AJ137,'Технический лист'!$A:$B,2,1),(FJ137-0.05)))</f>
        <v/>
      </c>
      <c r="FL137" s="172">
        <f>MIN(1,MAX(VLOOKUP(($AJ137-$AI137-$AH137-$AG137-$AF137-$AE137*(1+FL$3))/$AJ137,'Технический лист'!$A:$B,2,1),(FK137-0.05)))</f>
        <v/>
      </c>
      <c r="FM137" s="172">
        <f>MIN(1,MAX(VLOOKUP(($AJ137-$AI137-$AH137-$AG137-$AF137-$AE137*(1+FM$3))/$AJ137,'Технический лист'!$A:$B,2,1),(FL137-0.05)))</f>
        <v/>
      </c>
      <c r="FN137" s="172">
        <f>MIN(1,MAX(VLOOKUP(($AJ137-$AI137-$AH137-$AG137-$AF137-$AE137*(1+FN$3))/$AJ137,'Технический лист'!$A:$B,2,1),(FM137-0.05)))</f>
        <v/>
      </c>
      <c r="FO137" s="172">
        <f>MIN(1,MAX(VLOOKUP(($AJ137-$AI137-$AH137-$AG137-$AF137-$AE137*(1+FO$3))/$AJ137,'Технический лист'!$A:$B,2,1),(FN137-0.05)))</f>
        <v/>
      </c>
      <c r="FP137" s="172">
        <f>MIN(1,MAX(VLOOKUP(($AJ137-$AI137-$AH137-$AG137-$AF137-$AE137*(1+FP$3))/$AJ137,'Технический лист'!$A:$B,2,1),(FO137-0.05)))</f>
        <v/>
      </c>
      <c r="FQ137" s="172">
        <f>MIN(1,MAX(VLOOKUP(($AJ137-$AI137-$AH137-$AG137-$AF137-$AE137*(1+FQ$3))/$AJ137,'Технический лист'!$A:$B,2,1),(FP137-0.05)))</f>
        <v/>
      </c>
      <c r="FR137" s="172">
        <f>MIN(1,MAX(VLOOKUP(($AJ137-$AI137-$AH137-$AG137-$AF137-$AE137*(1+FR$3))/$AJ137,'Технический лист'!$A:$B,2,1),(FQ137-0.05)))</f>
        <v/>
      </c>
      <c r="FS137" s="172">
        <f>MIN(1,MAX(VLOOKUP(($AJ137-$AI137-$AH137-$AG137-$AF137-$AE137*(1+FS$3))/$AJ137,'Технический лист'!$A:$B,2,1),(FR137-0.05)))</f>
        <v/>
      </c>
      <c r="FT137" s="172">
        <f>MIN(1,MAX(VLOOKUP(($AJ137-$AI137-$AH137-$AG137-$AF137-$AE137*(1+FT$3))/$AJ137,'Технический лист'!$A:$B,2,1),(FS137-0.05)))</f>
        <v/>
      </c>
      <c r="FU137" s="172">
        <f>MIN(1,MAX(VLOOKUP(($AJ137-$AI137-$AH137-$AG137-$AF137-$AE137*(1+FU$3))/$AJ137,'Технический лист'!$A:$B,2,1),(FT137-0.05)))</f>
        <v/>
      </c>
      <c r="FV137" s="172">
        <f>MIN(1,MAX(VLOOKUP(($AJ137-$AI137-$AH137-$AG137-$AF137-$AE137*(1+FV$3))/$AJ137,'Технический лист'!$A:$B,2,1),(FU137-0.05)))</f>
        <v/>
      </c>
      <c r="FW137" s="172">
        <f>MIN(1,MAX(VLOOKUP(($AJ137-$AI137-$AH137-$AG137-$AF137-$AE137*(1+FW$3))/$AJ137,'Технический лист'!$A:$B,2,1),(FV137-0.05)))</f>
        <v/>
      </c>
      <c r="FX137" s="172">
        <f>MIN(1,MAX(VLOOKUP(($AJ137-$AI137-$AH137-$AG137-$AF137-$AE137*(1+FX$3))/$AJ137,'Технический лист'!$A:$B,2,1),(FW137-0.05)))</f>
        <v/>
      </c>
      <c r="FY137" s="172">
        <f>MIN(1,MAX(VLOOKUP(($AJ137-$AI137-$AH137-$AG137-$AF137-$AE137*(1+FY$3))/$AJ137,'Технический лист'!$A:$B,2,1),(FX137-0.05)))</f>
        <v/>
      </c>
      <c r="FZ137" s="172">
        <f>MIN(1,MAX(VLOOKUP(($AJ137-$AI137-$AH137-$AG137-$AF137-$AE137*(1+FZ$3))/$AJ137,'Технический лист'!$A:$B,2,1),(FY137-0.05)))</f>
        <v/>
      </c>
      <c r="GA137" s="172">
        <f>MIN(1,MAX(VLOOKUP(($AJ137-$AI137-$AH137-$AG137-$AF137-$AE137*(1+GA$3))/$AJ137,'Технический лист'!$A:$B,2,1),(FZ137-0.05)))</f>
        <v/>
      </c>
      <c r="GB137" s="172">
        <f>MIN(1,MAX(VLOOKUP(($AJ137-$AI137-$AH137-$AG137-$AF137-$AE137*(1+GB$3))/$AJ137,'Технический лист'!$A:$B,2,1),(GA137-0.05)))</f>
        <v/>
      </c>
      <c r="GC137" s="172">
        <f>MIN(1,MAX(VLOOKUP(($AJ137-$AI137-$AH137-$AG137-$AF137-$AE137*(1+GC$3))/$AJ137,'Технический лист'!$A:$B,2,1),(GB137-0.05)))</f>
        <v/>
      </c>
      <c r="GD137" s="172">
        <f>MIN(1,MAX(VLOOKUP(($AJ137-$AI137-$AH137-$AG137-$AF137-$AE137*(1+GD$3))/$AJ137,'Технический лист'!$A:$B,2,1),(GC137-0.05)))</f>
        <v/>
      </c>
      <c r="GE137" s="172">
        <f>MIN(1,MAX(VLOOKUP(($AJ137-$AI137-$AH137-$AG137-$AF137-$AE137*(1+GE$3))/$AJ137,'Технический лист'!$A:$B,2,1),(GD137-0.05)))</f>
        <v/>
      </c>
      <c r="GF137" s="172">
        <f>MIN(1,MAX(VLOOKUP(($AJ137-$AI137-$AH137-$AG137-$AF137-$AE137*(1+GF$3))/$AJ137,'Технический лист'!$A:$B,2,1),(GE137-0.05)))</f>
        <v/>
      </c>
      <c r="GG137" s="172">
        <f>MIN(1,MAX(VLOOKUP(($AJ137-$AI137-$AH137-$AG137-$AF137-$AE137*(1+GG$3))/$AJ137,'Технический лист'!$A:$B,2,1),(GF137-0.05)))</f>
        <v/>
      </c>
      <c r="GH137" s="172">
        <f>MIN(1,MAX(VLOOKUP(($AJ137-$AI137-$AH137-$AG137-$AF137-$AE137*(1+GH$3))/$AJ137,'Технический лист'!$A:$B,2,1),(GG137-0.05)))</f>
        <v/>
      </c>
      <c r="GI137" s="172">
        <f>MIN(1,MAX(VLOOKUP(($AJ137-$AI137-$AH137-$AG137-$AF137-$AE137*(1+GI$3))/$AJ137,'Технический лист'!$A:$B,2,1),(GH137-0.05)))</f>
        <v/>
      </c>
      <c r="GJ137" s="172">
        <f>MIN(1,MAX(VLOOKUP(($AJ137-$AI137-$AH137-$AG137-$AF137-$AE137*(1+GJ$3))/$AJ137,'Технический лист'!$A:$B,2,1),(GI137-0.05)))</f>
        <v/>
      </c>
      <c r="GK137" s="172">
        <f>MIN(1,MAX(VLOOKUP(($AJ137-$AI137-$AH137-$AG137-$AF137-$AE137*(1+GK$3))/$AJ137,'Технический лист'!$A:$B,2,1),(GJ137-0.05)))</f>
        <v/>
      </c>
      <c r="GL137" s="172">
        <f>MIN(1,MAX(VLOOKUP(($AJ137-$AI137-$AH137-$AG137-$AF137-$AE137*(1+GL$3))/$AJ137,'Технический лист'!$A:$B,2,1),(GK137-0.05)))</f>
        <v/>
      </c>
      <c r="GM137" s="172">
        <f>MIN(1,MAX(VLOOKUP(($AJ137-$AI137-$AH137-$AG137-$AF137-$AE137*(1+GM$3))/$AJ137,'Технический лист'!$A:$B,2,1),(GL137-0.05)))</f>
        <v/>
      </c>
      <c r="GN137" s="172">
        <f>MIN(1,MAX(VLOOKUP(($AJ137-$AI137-$AH137-$AG137-$AF137-$AE137*(1+GN$3))/$AJ137,'Технический лист'!$A:$B,2,1),(GM137-0.05)))</f>
        <v/>
      </c>
      <c r="GO137" s="172">
        <f>MIN(1,MAX(VLOOKUP(($AJ137-$AI137-$AH137-$AG137-$AF137-$AE137*(1+GO$3))/$AJ137,'Технический лист'!$A:$B,2,1),(GN137-0.05)))</f>
        <v/>
      </c>
      <c r="GP137" s="172">
        <f>MIN(1,MAX(VLOOKUP(($AJ137-$AI137-$AH137-$AG137-$AF137-$AE137*(1+GP$3))/$AJ137,'Технический лист'!$A:$B,2,1),(GO137-0.05)))</f>
        <v/>
      </c>
      <c r="GQ137" s="172">
        <f>MIN(1,MAX(VLOOKUP(($AJ137-$AI137-$AH137-$AG137-$AF137-$AE137*(1+GQ$3))/$AJ137,'Технический лист'!$A:$B,2,1),(GP137-0.05)))</f>
        <v/>
      </c>
      <c r="GR137" s="172">
        <f>MIN(1,MAX(VLOOKUP(($AJ137-$AI137-$AH137-$AG137-$AF137-$AE137*(1+GR$3))/$AJ137,'Технический лист'!$A:$B,2,1),(GQ137-0.05)))</f>
        <v/>
      </c>
      <c r="GS137" s="172">
        <f>MIN(1,MAX(VLOOKUP(($AJ137-$AI137-$AH137-$AG137-$AF137-$AE137*(1+GS$3))/$AJ137,'Технический лист'!$A:$B,2,1),(GR137-0.05)))</f>
        <v/>
      </c>
      <c r="GT137" s="172">
        <f>MIN(1,MAX(VLOOKUP(($AJ137-$AI137-$AH137-$AG137-$AF137-$AE137*(1+GT$3))/$AJ137,'Технический лист'!$A:$B,2,1),(GS137-0.05)))</f>
        <v/>
      </c>
      <c r="GU137" s="172">
        <f>MIN(1,MAX(VLOOKUP(($AJ137-$AI137-$AH137-$AG137-$AF137-$AE137*(1+GU$3))/$AJ137,'Технический лист'!$A:$B,2,1),(GT137-0.05)))</f>
        <v/>
      </c>
      <c r="GV137" s="172">
        <f>MIN(1,MAX(VLOOKUP(($AJ137-$AI137-$AH137-$AG137-$AF137-$AE137*(1+GV$3))/$AJ137,'Технический лист'!$A:$B,2,1),(GU137-0.05)))</f>
        <v/>
      </c>
      <c r="GW137" s="172">
        <f>MIN(1,MAX(VLOOKUP(($AJ137-$AI137-$AH137-$AG137-$AF137-$AE137*(1+GW$3))/$AJ137,'Технический лист'!$A:$B,2,1),(GV137-0.05)))</f>
        <v/>
      </c>
      <c r="GX137" s="172">
        <f>MIN(1,MAX(VLOOKUP(($AJ137-$AI137-$AH137-$AG137-$AF137-$AE137*(1+GX$3))/$AJ137,'Технический лист'!$A:$B,2,1),(GW137-0.05)))</f>
        <v/>
      </c>
      <c r="GY137" s="172">
        <f>MIN(1,MAX(VLOOKUP(($AJ137-$AI137-$AH137-$AG137-$AF137-$AE137*(1+GY$3))/$AJ137,'Технический лист'!$A:$B,2,1),(GX137-0.05)))</f>
        <v/>
      </c>
      <c r="GZ137" s="172">
        <f>MIN(1,MAX(VLOOKUP(($AJ137-$AI137-$AH137-$AG137-$AF137-$AE137*(1+GZ$3))/$AJ137,'Технический лист'!$A:$B,2,1),(GY137-0.05)))</f>
        <v/>
      </c>
      <c r="HA137" s="172">
        <f>MIN(1,MAX(VLOOKUP(($AJ137-$AI137-$AH137-$AG137-$AF137-$AE137*(1+HA$3))/$AJ137,'Технический лист'!$A:$B,2,1),(GZ137-0.05)))</f>
        <v/>
      </c>
      <c r="HB137" s="172">
        <f>MIN(1,MAX(VLOOKUP(($AJ137-$AI137-$AH137-$AG137-$AF137-$AE137*(1+HB$3))/$AJ137,'Технический лист'!$A:$B,2,1),(HA137-0.05)))</f>
        <v/>
      </c>
      <c r="HC137" s="172">
        <f>MIN(1,MAX(VLOOKUP(($AJ137-$AI137-$AH137-$AG137-$AF137-$AE137*(1+HC$3))/$AJ137,'Технический лист'!$A:$B,2,1),(HB137-0.05)))</f>
        <v/>
      </c>
      <c r="HD137" s="172">
        <f>MIN(1,MAX(VLOOKUP(($AJ137-$AI137-$AH137-$AG137-$AF137-$AE137*(1+HD$3))/$AJ137,'Технический лист'!$A:$B,2,1),(HC137-0.05)))</f>
        <v/>
      </c>
      <c r="HE137" s="172">
        <f>MIN(1,MAX(VLOOKUP(($AJ137-$AI137-$AH137-$AG137-$AF137-$AE137*(1+HE$3))/$AJ137,'Технический лист'!$A:$B,2,1),(HD137-0.05)))</f>
        <v/>
      </c>
      <c r="HF137" s="172">
        <f>MIN(1,MAX(VLOOKUP(($AJ137-$AI137-$AH137-$AG137-$AF137-$AE137*(1+HF$3))/$AJ137,'Технический лист'!$A:$B,2,1),(HE137-0.05)))</f>
        <v/>
      </c>
      <c r="HG137" s="172">
        <f>MIN(1,MAX(VLOOKUP(($AJ137-$AI137-$AH137-$AG137-$AF137-$AE137*(1+HG$3))/$AJ137,'Технический лист'!$A:$B,2,1),(HF137-0.05)))</f>
        <v/>
      </c>
      <c r="HH137" s="172">
        <f>MIN(1,MAX(VLOOKUP(($AJ137-$AI137-$AH137-$AG137-$AF137-$AE137*(1+HH$3))/$AJ137,'Технический лист'!$A:$B,2,1),(HG137-0.05)))</f>
        <v/>
      </c>
      <c r="HI137" s="172">
        <f>MIN(1,MAX(VLOOKUP(($AJ137-$AI137-$AH137-$AG137-$AF137-$AE137*(1+HI$3))/$AJ137,'Технический лист'!$A:$B,2,1),(HH137-0.05)))</f>
        <v/>
      </c>
      <c r="HJ137" s="172">
        <f>MIN(1,MAX(VLOOKUP(($AJ137-$AI137-$AH137-$AG137-$AF137-$AE137*(1+HJ$3))/$AJ137,'Технический лист'!$A:$B,2,1),(HI137-0.05)))</f>
        <v/>
      </c>
      <c r="HK137" s="172">
        <f>MIN(1,MAX(VLOOKUP(($AJ137-$AI137-$AH137-$AG137-$AF137-$AE137*(1+HK$3))/$AJ137,'Технический лист'!$A:$B,2,1),(HJ137-0.05)))</f>
        <v/>
      </c>
      <c r="HL137" s="172">
        <f>MIN(1,MAX(VLOOKUP(($AJ137-$AI137-$AH137-$AG137-$AF137-$AE137*(1+HL$3))/$AJ137,'Технический лист'!$A:$B,2,1),(HK137-0.05)))</f>
        <v/>
      </c>
      <c r="HM137" s="172">
        <f>MIN(1,MAX(VLOOKUP(($AJ137-$AI137-$AH137-$AG137-$AF137-$AE137*(1+HM$3))/$AJ137,'Технический лист'!$A:$B,2,1),(HL137-0.05)))</f>
        <v/>
      </c>
      <c r="HN137" s="172">
        <f>MIN(1,MAX(VLOOKUP(($AJ137-$AI137-$AH137-$AG137-$AF137-$AE137*(1+HN$3))/$AJ137,'Технический лист'!$A:$B,2,1),(HM137-0.05)))</f>
        <v/>
      </c>
      <c r="HO137" s="172">
        <f>MIN(1,MAX(VLOOKUP(($AJ137-$AI137-$AH137-$AG137-$AF137-$AE137*(1+HO$3))/$AJ137,'Технический лист'!$A:$B,2,1),(HN137-0.05)))</f>
        <v/>
      </c>
      <c r="HP137" s="172">
        <f>MIN(1,MAX(VLOOKUP(($AJ137-$AI137-$AH137-$AG137-$AF137-$AE137*(1+HP$3))/$AJ137,'Технический лист'!$A:$B,2,1),(HO137-0.05)))</f>
        <v/>
      </c>
      <c r="HQ137" s="172">
        <f>MIN(1,MAX(VLOOKUP(($AJ137-$AI137-$AH137-$AG137-$AF137-$AE137*(1+HQ$3))/$AJ137,'Технический лист'!$A:$B,2,1),(HP137-0.05)))</f>
        <v/>
      </c>
      <c r="HR137" s="172">
        <f>MIN(1,MAX(VLOOKUP(($AJ137-$AI137-$AH137-$AG137-$AF137-$AE137*(1+HR$3))/$AJ137,'Технический лист'!$A:$B,2,1),(HQ137-0.05)))</f>
        <v/>
      </c>
      <c r="HS137" s="172">
        <f>MIN(1,MAX(VLOOKUP(($AJ137-$AI137-$AH137-$AG137-$AF137-$AE137*(1+HS$3))/$AJ137,'Технический лист'!$A:$B,2,1),(HR137-0.05)))</f>
        <v/>
      </c>
      <c r="HT137" s="172">
        <f>MIN(1,MAX(VLOOKUP(($AJ137-$AI137-$AH137-$AG137-$AF137-$AE137*(1+HT$3))/$AJ137,'Технический лист'!$A:$B,2,1),(HS137-0.05)))</f>
        <v/>
      </c>
      <c r="HU137" s="172">
        <f>MIN(1,MAX(VLOOKUP(($AJ137-$AI137-$AH137-$AG137-$AF137-$AE137*(1+HU$3))/$AJ137,'Технический лист'!$A:$B,2,1),(HT137-0.05)))</f>
        <v/>
      </c>
      <c r="HV137" s="172">
        <f>MIN(1,MAX(VLOOKUP(($AJ137-$AI137-$AH137-$AG137-$AF137-$AE137*(1+HV$3))/$AJ137,'Технический лист'!$A:$B,2,1),(HU137-0.05)))</f>
        <v/>
      </c>
      <c r="HW137" s="172">
        <f>MIN(1,MAX(VLOOKUP(($AJ137-$AI137-$AH137-$AG137-$AF137-$AE137*(1+HW$3))/$AJ137,'Технический лист'!$A:$B,2,1),(HV137-0.05)))</f>
        <v/>
      </c>
      <c r="HX137" s="172">
        <f>MIN(1,MAX(VLOOKUP(($AJ137-$AI137-$AH137-$AG137-$AF137-$AE137*(1+HX$3))/$AJ137,'Технический лист'!$A:$B,2,1),(HW137-0.05)))</f>
        <v/>
      </c>
      <c r="HY137" s="172">
        <f>MIN(1,MAX(VLOOKUP(($AJ137-$AI137-$AH137-$AG137-$AF137-$AE137*(1+HY$3))/$AJ137,'Технический лист'!$A:$B,2,1),(HX137-0.05)))</f>
        <v/>
      </c>
      <c r="HZ137" s="172">
        <f>MIN(1,MAX(VLOOKUP(($AJ137-$AI137-$AH137-$AG137-$AF137-$AE137*(1+HZ$3))/$AJ137,'Технический лист'!$A:$B,2,1),(HY137-0.05)))</f>
        <v/>
      </c>
      <c r="IA137" s="172">
        <f>MIN(1,MAX(VLOOKUP(($AJ137-$AI137-$AH137-$AG137-$AF137-$AE137*(1+IA$3))/$AJ137,'Технический лист'!$A:$B,2,1),(HZ137-0.05)))</f>
        <v/>
      </c>
      <c r="IB137" s="172">
        <f>MIN(1,MAX(VLOOKUP(($AJ137-$AI137-$AH137-$AG137-$AF137-$AE137*(1+IB$3))/$AJ137,'Технический лист'!$A:$B,2,1),(IA137-0.05)))</f>
        <v/>
      </c>
      <c r="IC137" s="172">
        <f>MIN(1,MAX(VLOOKUP(($AJ137-$AI137-$AH137-$AG137-$AF137-$AE137*(1+IC$3))/$AJ137,'Технический лист'!$A:$B,2,1),(IB137-0.05)))</f>
        <v/>
      </c>
      <c r="ID137" s="172">
        <f>MIN(1,MAX(VLOOKUP(($AJ137-$AI137-$AH137-$AG137-$AF137-$AE137*(1+ID$3))/$AJ137,'Технический лист'!$A:$B,2,1),(IC137-0.05)))</f>
        <v/>
      </c>
      <c r="IE137" s="172">
        <f>MIN(1,MAX(VLOOKUP(($AJ137-$AI137-$AH137-$AG137-$AF137-$AE137*(1+IE$3))/$AJ137,'Технический лист'!$A:$B,2,1),(ID137-0.05)))</f>
        <v/>
      </c>
      <c r="IF137" s="172">
        <f>MIN(1,MAX(VLOOKUP(($AJ137-$AI137-$AH137-$AG137-$AF137-$AE137*(1+IF$3))/$AJ137,'Технический лист'!$A:$B,2,1),(IE137-0.05)))</f>
        <v/>
      </c>
      <c r="IG137" s="172">
        <f>MIN(1,MAX(VLOOKUP(($AJ137-$AI137-$AH137-$AG137-$AF137-$AE137*(1+IG$3))/$AJ137,'Технический лист'!$A:$B,2,1),(IF137-0.05)))</f>
        <v/>
      </c>
      <c r="IH137" s="172">
        <f>MIN(1,MAX(VLOOKUP(($AJ137-$AI137-$AH137-$AG137-$AF137-$AE137*(1+IH$3))/$AJ137,'Технический лист'!$A:$B,2,1),(IG137-0.05)))</f>
        <v/>
      </c>
      <c r="II137" s="172">
        <f>MIN(1,MAX(VLOOKUP(($AJ137-$AI137-$AH137-$AG137-$AF137-$AE137*(1+II$3))/$AJ137,'Технический лист'!$A:$B,2,1),(IH137-0.05)))</f>
        <v/>
      </c>
      <c r="IJ137" s="172">
        <f>MIN(1,MAX(VLOOKUP(($AJ137-$AI137-$AH137-$AG137-$AF137-$AE137*(1+IJ$3))/$AJ137,'Технический лист'!$A:$B,2,1),(II137-0.05)))</f>
        <v/>
      </c>
      <c r="IK137" s="172">
        <f>MIN(1,MAX(VLOOKUP(($AJ137-$AI137-$AH137-$AG137-$AF137-$AE137*(1+IK$3))/$AJ137,'Технический лист'!$A:$B,2,1),(IJ137-0.05)))</f>
        <v/>
      </c>
      <c r="IL137" s="172">
        <f>MIN(1,MAX(VLOOKUP(($AJ137-$AI137-$AH137-$AG137-$AF137-$AE137*(1+IL$3))/$AJ137,'Технический лист'!$A:$B,2,1),(IK137-0.05)))</f>
        <v/>
      </c>
      <c r="IM137" s="172">
        <f>MIN(1,MAX(VLOOKUP(($AJ137-$AI137-$AH137-$AG137-$AF137-$AE137*(1+IM$3))/$AJ137,'Технический лист'!$A:$B,2,1),(IL137-0.05)))</f>
        <v/>
      </c>
      <c r="IN137" s="172">
        <f>MIN(1,MAX(VLOOKUP(($AJ137-$AI137-$AH137-$AG137-$AF137-$AE137*(1+IN$3))/$AJ137,'Технический лист'!$A:$B,2,1),(IM137-0.05)))</f>
        <v/>
      </c>
      <c r="IO137" s="172">
        <f>MIN(1,MAX(VLOOKUP(($AJ137-$AI137-$AH137-$AG137-$AF137-$AE137*(1+IO$3))/$AJ137,'Технический лист'!$A:$B,2,1),(IN137-0.05)))</f>
        <v/>
      </c>
      <c r="IP137" s="172">
        <f>MIN(1,MAX(VLOOKUP(($AJ137-$AI137-$AH137-$AG137-$AF137-$AE137*(1+IP$3))/$AJ137,'Технический лист'!$A:$B,2,1),(IO137-0.05)))</f>
        <v/>
      </c>
      <c r="IQ137" s="172">
        <f>MIN(1,MAX(VLOOKUP(($AJ137-$AI137-$AH137-$AG137-$AF137-$AE137*(1+IQ$3))/$AJ137,'Технический лист'!$A:$B,2,1),(IP137-0.05)))</f>
        <v/>
      </c>
      <c r="IR137" s="172">
        <f>MIN(1,MAX(VLOOKUP(($AJ137-$AI137-$AH137-$AG137-$AF137-$AE137*(1+IR$3))/$AJ137,'Технический лист'!$A:$B,2,1),(IQ137-0.05)))</f>
        <v/>
      </c>
    </row>
    <row r="138" ht="29.15" customFormat="1" customHeight="1" s="1">
      <c r="A138" s="89" t="inlineStr">
        <is>
          <t>ЦМ (продукция)</t>
        </is>
      </c>
      <c r="B138" s="90" t="n">
        <v>10</v>
      </c>
      <c r="C138" s="5" t="inlineStr">
        <is>
          <t>Остальные грузы</t>
        </is>
      </c>
      <c r="D138" s="91" t="n">
        <v>33101</v>
      </c>
      <c r="E138" s="91" t="inlineStr">
        <is>
          <t xml:space="preserve">Алюминий </t>
        </is>
      </c>
      <c r="F138" s="92" t="inlineStr">
        <is>
          <t>МЕТАЛЛЫ ЦВЕТНЫЕ И ИХ СПЛА</t>
        </is>
      </c>
      <c r="G138" s="91" t="inlineStr">
        <is>
          <t>ЗСБ</t>
        </is>
      </c>
      <c r="H138" s="91" t="inlineStr">
        <is>
          <t>КРС</t>
        </is>
      </c>
      <c r="I138" s="91" t="inlineStr">
        <is>
          <t>ОБНОРСКАЯ</t>
        </is>
      </c>
      <c r="J138" s="91" t="inlineStr">
        <is>
          <t>КАМЫШТА</t>
        </is>
      </c>
      <c r="K138" s="91" t="n">
        <v>316</v>
      </c>
      <c r="L138" s="91" t="inlineStr">
        <is>
          <t>Крытые</t>
        </is>
      </c>
      <c r="M138" s="91" t="inlineStr">
        <is>
          <t>Внутр. перевозки</t>
        </is>
      </c>
      <c r="N138" s="91" t="inlineStr">
        <is>
          <t>вагонная</t>
        </is>
      </c>
      <c r="O138" s="91" t="inlineStr">
        <is>
          <t xml:space="preserve">Восточное </t>
        </is>
      </c>
      <c r="P138" s="89" t="inlineStr">
        <is>
          <t>'000005785276</t>
        </is>
      </c>
      <c r="Q138" s="91" t="inlineStr">
        <is>
          <t>'АО "РУСАЛ Новокузнецкий алюминиевый завод"</t>
        </is>
      </c>
      <c r="R138" s="91" t="inlineStr">
        <is>
          <t>ОК РУСАЛ</t>
        </is>
      </c>
      <c r="S138" s="87" t="n">
        <v>4066</v>
      </c>
      <c r="T138" s="87" t="n">
        <v>1284934</v>
      </c>
      <c r="U138" s="88" t="n">
        <v>61</v>
      </c>
      <c r="V138" s="88" t="n">
        <v>0</v>
      </c>
      <c r="W138" s="87" t="n">
        <v>4628129</v>
      </c>
      <c r="X138" s="112" t="n">
        <v>66</v>
      </c>
      <c r="Y138" s="112" t="inlineStr">
        <is>
          <t>групповая</t>
        </is>
      </c>
      <c r="Z138" s="113" t="n">
        <v>4</v>
      </c>
      <c r="AA138" s="113" t="n">
        <v>4</v>
      </c>
      <c r="AB138" s="113" t="n">
        <v>4</v>
      </c>
      <c r="AC138" s="161" t="n">
        <v>1277.7</v>
      </c>
      <c r="AD138" s="161">
        <f>AE138-AC138</f>
        <v/>
      </c>
      <c r="AE138" s="161" t="n">
        <v>1379</v>
      </c>
      <c r="AF138" s="162">
        <f>(AB138+AA138+Z138)*'Ставки аренды'!B8/X138</f>
        <v/>
      </c>
      <c r="AG138" s="164" t="n">
        <v>0</v>
      </c>
      <c r="AH138" s="164" t="n">
        <v>0</v>
      </c>
      <c r="AI138" s="165">
        <f>12254/14812*AVERAGE(AJ134,AJ137)</f>
        <v/>
      </c>
      <c r="AJ138" s="166">
        <f>Цены!D19</f>
        <v/>
      </c>
      <c r="AK138" s="164">
        <f>AJ138/Цены!$B$1</f>
        <v/>
      </c>
      <c r="AL138" s="164">
        <f>AE138+AF138+AG138</f>
        <v/>
      </c>
      <c r="AM138" s="164">
        <f>AJ138-AL138</f>
        <v/>
      </c>
      <c r="AN138" s="164">
        <f>AI138+AH138+AG138+AF138+AE138</f>
        <v/>
      </c>
      <c r="AO138" s="167">
        <f>(AJ138-AN138)/AJ138</f>
        <v/>
      </c>
      <c r="AP138" s="168">
        <f>AL138/AJ138</f>
        <v/>
      </c>
      <c r="AQ138" s="168">
        <f>AE138/AJ138</f>
        <v/>
      </c>
      <c r="AR138" s="168">
        <f>AE138/AL138</f>
        <v/>
      </c>
      <c r="AS138" s="169" t="n">
        <v>1</v>
      </c>
      <c r="AT138" s="121">
        <f>S138*AS138</f>
        <v/>
      </c>
      <c r="AU138" s="83" t="n">
        <v>0.95</v>
      </c>
      <c r="AV138" s="170">
        <f>(AJ138-(AE138*(1+$IS$2)+AF138+AG138+AH138+AI138))/AJ138</f>
        <v/>
      </c>
      <c r="AW138" s="171">
        <f>(AE138*(1+$IS$2)+AF138+AG138)/AJ138</f>
        <v/>
      </c>
      <c r="AX138" s="171">
        <f>(AE138*(1+$IS$2))/AJ138</f>
        <v/>
      </c>
      <c r="AY138" s="171">
        <f>(AE138*(1+$IS$2))/(AE138*(1+$IS$2)+AF138+AG138)</f>
        <v/>
      </c>
      <c r="AZ138" s="172">
        <f>MIN(IF($AU138=100%,1,1+VLOOKUP(($AJ138-$AI138-$AH138-$AG138-$AF138-$AE138*(1+AZ$3))/$AJ138,'Технический лист'!$I:$J,2,1)-VLOOKUP($AO138,'Технический лист'!$I:$J,2,1)),1+(1-$AU138))</f>
        <v/>
      </c>
      <c r="BA138" s="172">
        <f>MIN(IF($AU138=100%,1,1+VLOOKUP(($AJ138-$AI138-$AH138-$AG138-$AF138-$AE138*(1+BA$3))/$AJ138,'Технический лист'!$I:$J,2,1)-VLOOKUP($AO138,'Технический лист'!$I:$J,2,1)),1+(1-$AU138))</f>
        <v/>
      </c>
      <c r="BB138" s="172">
        <f>MIN(IF($AU138=100%,1,1+VLOOKUP(($AJ138-$AI138-$AH138-$AG138-$AF138-$AE138*(1+BB$3))/$AJ138,'Технический лист'!$I:$J,2,1)-VLOOKUP($AO138,'Технический лист'!$I:$J,2,1)),1+(1-$AU138))</f>
        <v/>
      </c>
      <c r="BC138" s="172">
        <f>MIN(IF($AU138=100%,1,1+VLOOKUP(($AJ138-$AI138-$AH138-$AG138-$AF138-$AE138*(1+BC$3))/$AJ138,'Технический лист'!$I:$J,2,1)-VLOOKUP($AO138,'Технический лист'!$I:$J,2,1)),1+(1-$AU138))</f>
        <v/>
      </c>
      <c r="BD138" s="172">
        <f>MIN(IF($AU138=100%,1,1+VLOOKUP(($AJ138-$AI138-$AH138-$AG138-$AF138-$AE138*(1+BD$3))/$AJ138,'Технический лист'!$I:$J,2,1)-VLOOKUP($AO138,'Технический лист'!$I:$J,2,1)),1+(1-$AU138))</f>
        <v/>
      </c>
      <c r="BE138" s="172">
        <f>MIN(IF($AU138=100%,1,1+VLOOKUP(($AJ138-$AI138-$AH138-$AG138-$AF138-$AE138*(1+BE$3))/$AJ138,'Технический лист'!$I:$J,2,1)-VLOOKUP($AO138,'Технический лист'!$I:$J,2,1)),1+(1-$AU138))</f>
        <v/>
      </c>
      <c r="BF138" s="172">
        <f>MIN(IF($AU138=100%,1,1+VLOOKUP(($AJ138-$AI138-$AH138-$AG138-$AF138-$AE138*(1+BF$3))/$AJ138,'Технический лист'!$I:$J,2,1)-VLOOKUP($AO138,'Технический лист'!$I:$J,2,1)),1+(1-$AU138))</f>
        <v/>
      </c>
      <c r="BG138" s="172">
        <f>MIN(IF($AU138=100%,1,1+VLOOKUP(($AJ138-$AI138-$AH138-$AG138-$AF138-$AE138*(1+BG$3))/$AJ138,'Технический лист'!$I:$J,2,1)-VLOOKUP($AO138,'Технический лист'!$I:$J,2,1)),1+(1-$AU138))</f>
        <v/>
      </c>
      <c r="BH138" s="172">
        <f>MIN(IF($AU138=100%,1,1+VLOOKUP(($AJ138-$AI138-$AH138-$AG138-$AF138-$AE138*(1+BH$3))/$AJ138,'Технический лист'!$I:$J,2,1)-VLOOKUP($AO138,'Технический лист'!$I:$J,2,1)),1+(1-$AU138))</f>
        <v/>
      </c>
      <c r="BI138" s="172">
        <f>MIN(IF($AU138=100%,1,1+VLOOKUP(($AJ138-$AI138-$AH138-$AG138-$AF138-$AE138*(1+BI$3))/$AJ138,'Технический лист'!$I:$J,2,1)-VLOOKUP($AO138,'Технический лист'!$I:$J,2,1)),1+(1-$AU138))</f>
        <v/>
      </c>
      <c r="BJ138" s="172">
        <f>MIN(IF($AU138=100%,1,1+VLOOKUP(($AJ138-$AI138-$AH138-$AG138-$AF138-$AE138*(1+BJ$3))/$AJ138,'Технический лист'!$I:$J,2,1)-VLOOKUP($AO138,'Технический лист'!$I:$J,2,1)),1+(1-$AU138))</f>
        <v/>
      </c>
      <c r="BK138" s="172">
        <f>MIN(IF($AU138=100%,1,1+VLOOKUP(($AJ138-$AI138-$AH138-$AG138-$AF138-$AE138*(1+BK$3))/$AJ138,'Технический лист'!$I:$J,2,1)-VLOOKUP($AO138,'Технический лист'!$I:$J,2,1)),1+(1-$AU138))</f>
        <v/>
      </c>
      <c r="BL138" s="172">
        <f>MIN(IF($AU138=100%,1,1+VLOOKUP(($AJ138-$AI138-$AH138-$AG138-$AF138-$AE138*(1+BL$3))/$AJ138,'Технический лист'!$I:$J,2,1)-VLOOKUP($AO138,'Технический лист'!$I:$J,2,1)),1+(1-$AU138))</f>
        <v/>
      </c>
      <c r="BM138" s="172">
        <f>MIN(IF($AU138=100%,1,1+VLOOKUP(($AJ138-$AI138-$AH138-$AG138-$AF138-$AE138*(1+BM$3))/$AJ138,'Технический лист'!$I:$J,2,1)-VLOOKUP($AO138,'Технический лист'!$I:$J,2,1)),1+(1-$AU138))</f>
        <v/>
      </c>
      <c r="BN138" s="172">
        <f>MIN(IF($AU138=100%,1,1+VLOOKUP(($AJ138-$AI138-$AH138-$AG138-$AF138-$AE138*(1+BN$3))/$AJ138,'Технический лист'!$I:$J,2,1)-VLOOKUP($AO138,'Технический лист'!$I:$J,2,1)),1+(1-$AU138))</f>
        <v/>
      </c>
      <c r="BO138" s="172">
        <f>MIN(IF($AU138=100%,1,1+VLOOKUP(($AJ138-$AI138-$AH138-$AG138-$AF138-$AE138*(1+BO$3))/$AJ138,'Технический лист'!$I:$J,2,1)-VLOOKUP($AO138,'Технический лист'!$I:$J,2,1)),1+(1-$AU138))</f>
        <v/>
      </c>
      <c r="BP138" s="172">
        <f>MIN(IF($AU138=100%,1,1+VLOOKUP(($AJ138-$AI138-$AH138-$AG138-$AF138-$AE138*(1+BP$3))/$AJ138,'Технический лист'!$I:$J,2,1)-VLOOKUP($AO138,'Технический лист'!$I:$J,2,1)),1+(1-$AU138))</f>
        <v/>
      </c>
      <c r="BQ138" s="172">
        <f>MIN(IF($AU138=100%,1,1+VLOOKUP(($AJ138-$AI138-$AH138-$AG138-$AF138-$AE138*(1+BQ$3))/$AJ138,'Технический лист'!$I:$J,2,1)-VLOOKUP($AO138,'Технический лист'!$I:$J,2,1)),1+(1-$AU138))</f>
        <v/>
      </c>
      <c r="BR138" s="172">
        <f>MIN(IF($AU138=100%,1,1+VLOOKUP(($AJ138-$AI138-$AH138-$AG138-$AF138-$AE138*(1+BR$3))/$AJ138,'Технический лист'!$I:$J,2,1)-VLOOKUP($AO138,'Технический лист'!$I:$J,2,1)),1+(1-$AU138))</f>
        <v/>
      </c>
      <c r="BS138" s="172">
        <f>MIN(IF($AU138=100%,1,1+VLOOKUP(($AJ138-$AI138-$AH138-$AG138-$AF138-$AE138*(1+BS$3))/$AJ138,'Технический лист'!$I:$J,2,1)-VLOOKUP($AO138,'Технический лист'!$I:$J,2,1)),1+(1-$AU138))</f>
        <v/>
      </c>
      <c r="BT138" s="172">
        <f>MIN(IF($AU138=100%,1,1+VLOOKUP(($AJ138-$AI138-$AH138-$AG138-$AF138-$AE138*(1+BT$3))/$AJ138,'Технический лист'!$I:$J,2,1)-VLOOKUP($AO138,'Технический лист'!$I:$J,2,1)),1+(1-$AU138))</f>
        <v/>
      </c>
      <c r="BU138" s="172">
        <f>MIN(IF($AU138=100%,1,1+VLOOKUP(($AJ138-$AI138-$AH138-$AG138-$AF138-$AE138*(1+BU$3))/$AJ138,'Технический лист'!$I:$J,2,1)-VLOOKUP($AO138,'Технический лист'!$I:$J,2,1)),1+(1-$AU138))</f>
        <v/>
      </c>
      <c r="BV138" s="172">
        <f>MIN(IF($AU138=100%,1,1+VLOOKUP(($AJ138-$AI138-$AH138-$AG138-$AF138-$AE138*(1+BV$3))/$AJ138,'Технический лист'!$I:$J,2,1)-VLOOKUP($AO138,'Технический лист'!$I:$J,2,1)),1+(1-$AU138))</f>
        <v/>
      </c>
      <c r="BW138" s="172">
        <f>MIN(IF($AU138=100%,1,1+VLOOKUP(($AJ138-$AI138-$AH138-$AG138-$AF138-$AE138*(1+BW$3))/$AJ138,'Технический лист'!$I:$J,2,1)-VLOOKUP($AO138,'Технический лист'!$I:$J,2,1)),1+(1-$AU138))</f>
        <v/>
      </c>
      <c r="BX138" s="172">
        <f>MIN(IF($AU138=100%,1,1+VLOOKUP(($AJ138-$AI138-$AH138-$AG138-$AF138-$AE138*(1+BX$3))/$AJ138,'Технический лист'!$I:$J,2,1)-VLOOKUP($AO138,'Технический лист'!$I:$J,2,1)),1+(1-$AU138))</f>
        <v/>
      </c>
      <c r="BY138" s="172">
        <f>MIN(IF($AU138=100%,1,1+VLOOKUP(($AJ138-$AI138-$AH138-$AG138-$AF138-$AE138*(1+BY$3))/$AJ138,'Технический лист'!$I:$J,2,1)-VLOOKUP($AO138,'Технический лист'!$I:$J,2,1)),1+(1-$AU138))</f>
        <v/>
      </c>
      <c r="BZ138" s="172">
        <f>MIN(IF($AU138=100%,1,1+VLOOKUP(($AJ138-$AI138-$AH138-$AG138-$AF138-$AE138*(1+BZ$3))/$AJ138,'Технический лист'!$I:$J,2,1)-VLOOKUP($AO138,'Технический лист'!$I:$J,2,1)),1+(1-$AU138))</f>
        <v/>
      </c>
      <c r="CA138" s="172">
        <f>MIN(IF($AU138=100%,1,1+VLOOKUP(($AJ138-$AI138-$AH138-$AG138-$AF138-$AE138*(1+CA$3))/$AJ138,'Технический лист'!$I:$J,2,1)-VLOOKUP($AO138,'Технический лист'!$I:$J,2,1)),1+(1-$AU138))</f>
        <v/>
      </c>
      <c r="CB138" s="172">
        <f>MIN(IF($AU138=100%,1,1+VLOOKUP(($AJ138-$AI138-$AH138-$AG138-$AF138-$AE138*(1+CB$3))/$AJ138,'Технический лист'!$I:$J,2,1)-VLOOKUP($AO138,'Технический лист'!$I:$J,2,1)),1+(1-$AU138))</f>
        <v/>
      </c>
      <c r="CC138" s="172">
        <f>MIN(IF($AU138=100%,1,1+VLOOKUP(($AJ138-$AI138-$AH138-$AG138-$AF138-$AE138*(1+CC$3))/$AJ138,'Технический лист'!$I:$J,2,1)-VLOOKUP($AO138,'Технический лист'!$I:$J,2,1)),1+(1-$AU138))</f>
        <v/>
      </c>
      <c r="CD138" s="172">
        <f>MIN(IF($AU138=100%,1,1+VLOOKUP(($AJ138-$AI138-$AH138-$AG138-$AF138-$AE138*(1+CD$3))/$AJ138,'Технический лист'!$I:$J,2,1)-VLOOKUP($AO138,'Технический лист'!$I:$J,2,1)),1+(1-$AU138))</f>
        <v/>
      </c>
      <c r="CE138" s="172">
        <f>MIN(IF($AU138=100%,1,1+VLOOKUP(($AJ138-$AI138-$AH138-$AG138-$AF138-$AE138*(1+CE$3))/$AJ138,'Технический лист'!$I:$J,2,1)-VLOOKUP($AO138,'Технический лист'!$I:$J,2,1)),1+(1-$AU138))</f>
        <v/>
      </c>
      <c r="CF138" s="172">
        <f>MIN(IF($AU138=100%,1,1+VLOOKUP(($AJ138-$AI138-$AH138-$AG138-$AF138-$AE138*(1+CF$3))/$AJ138,'Технический лист'!$I:$J,2,1)-VLOOKUP($AO138,'Технический лист'!$I:$J,2,1)),1+(1-$AU138))</f>
        <v/>
      </c>
      <c r="CG138" s="172">
        <f>MIN(IF($AU138=100%,1,1+VLOOKUP(($AJ138-$AI138-$AH138-$AG138-$AF138-$AE138*(1+CG$3))/$AJ138,'Технический лист'!$I:$J,2,1)-VLOOKUP($AO138,'Технический лист'!$I:$J,2,1)),1+(1-$AU138))</f>
        <v/>
      </c>
      <c r="CH138" s="172">
        <f>MIN(IF($AU138=100%,1,1+VLOOKUP(($AJ138-$AI138-$AH138-$AG138-$AF138-$AE138*(1+CH$3))/$AJ138,'Технический лист'!$I:$J,2,1)-VLOOKUP($AO138,'Технический лист'!$I:$J,2,1)),1+(1-$AU138))</f>
        <v/>
      </c>
      <c r="CI138" s="172">
        <f>MIN(IF($AU138=100%,1,1+VLOOKUP(($AJ138-$AI138-$AH138-$AG138-$AF138-$AE138*(1+CI$3))/$AJ138,'Технический лист'!$I:$J,2,1)-VLOOKUP($AO138,'Технический лист'!$I:$J,2,1)),1+(1-$AU138))</f>
        <v/>
      </c>
      <c r="CJ138" s="172">
        <f>MIN(IF($AU138=100%,1,1+VLOOKUP(($AJ138-$AI138-$AH138-$AG138-$AF138-$AE138*(1+CJ$3))/$AJ138,'Технический лист'!$I:$J,2,1)-VLOOKUP($AO138,'Технический лист'!$I:$J,2,1)),1+(1-$AU138))</f>
        <v/>
      </c>
      <c r="CK138" s="172">
        <f>MIN(IF($AU138=100%,1,1+VLOOKUP(($AJ138-$AI138-$AH138-$AG138-$AF138-$AE138*(1+CK$3))/$AJ138,'Технический лист'!$I:$J,2,1)-VLOOKUP($AO138,'Технический лист'!$I:$J,2,1)),1+(1-$AU138))</f>
        <v/>
      </c>
      <c r="CL138" s="172">
        <f>MIN(IF($AU138=100%,1,1+VLOOKUP(($AJ138-$AI138-$AH138-$AG138-$AF138-$AE138*(1+CL$3))/$AJ138,'Технический лист'!$I:$J,2,1)-VLOOKUP($AO138,'Технический лист'!$I:$J,2,1)),1+(1-$AU138))</f>
        <v/>
      </c>
      <c r="CM138" s="172">
        <f>MIN(IF($AU138=100%,1,1+VLOOKUP(($AJ138-$AI138-$AH138-$AG138-$AF138-$AE138*(1+CM$3))/$AJ138,'Технический лист'!$I:$J,2,1)-VLOOKUP($AO138,'Технический лист'!$I:$J,2,1)),1+(1-$AU138))</f>
        <v/>
      </c>
      <c r="CN138" s="172">
        <f>MIN(IF($AU138=100%,1,1+VLOOKUP(($AJ138-$AI138-$AH138-$AG138-$AF138-$AE138*(1+CN$3))/$AJ138,'Технический лист'!$I:$J,2,1)-VLOOKUP($AO138,'Технический лист'!$I:$J,2,1)),1+(1-$AU138))</f>
        <v/>
      </c>
      <c r="CO138" s="172">
        <f>MIN(IF($AU138=100%,1,1+VLOOKUP(($AJ138-$AI138-$AH138-$AG138-$AF138-$AE138*(1+CO$3))/$AJ138,'Технический лист'!$I:$J,2,1)-VLOOKUP($AO138,'Технический лист'!$I:$J,2,1)),1+(1-$AU138))</f>
        <v/>
      </c>
      <c r="CP138" s="172">
        <f>MIN(IF($AU138=100%,1,1+VLOOKUP(($AJ138-$AI138-$AH138-$AG138-$AF138-$AE138*(1+CP$3))/$AJ138,'Технический лист'!$I:$J,2,1)-VLOOKUP($AO138,'Технический лист'!$I:$J,2,1)),1+(1-$AU138))</f>
        <v/>
      </c>
      <c r="CQ138" s="172">
        <f>MIN(IF($AU138=100%,1,1+VLOOKUP(($AJ138-$AI138-$AH138-$AG138-$AF138-$AE138*(1+CQ$3))/$AJ138,'Технический лист'!$I:$J,2,1)-VLOOKUP($AO138,'Технический лист'!$I:$J,2,1)),1+(1-$AU138))</f>
        <v/>
      </c>
      <c r="CR138" s="172">
        <f>MIN(IF($AU138=100%,1,1+VLOOKUP(($AJ138-$AI138-$AH138-$AG138-$AF138-$AE138*(1+CR$3))/$AJ138,'Технический лист'!$I:$J,2,1)-VLOOKUP($AO138,'Технический лист'!$I:$J,2,1)),1+(1-$AU138))</f>
        <v/>
      </c>
      <c r="CS138" s="172">
        <f>MIN(IF($AU138=100%,1,1+VLOOKUP(($AJ138-$AI138-$AH138-$AG138-$AF138-$AE138*(1+CS$3))/$AJ138,'Технический лист'!$I:$J,2,1)-VLOOKUP($AO138,'Технический лист'!$I:$J,2,1)),1+(1-$AU138))</f>
        <v/>
      </c>
      <c r="CT138" s="172">
        <f>MIN(IF($AU138=100%,1,1+VLOOKUP(($AJ138-$AI138-$AH138-$AG138-$AF138-$AE138*(1+CT$3))/$AJ138,'Технический лист'!$I:$J,2,1)-VLOOKUP($AO138,'Технический лист'!$I:$J,2,1)),1+(1-$AU138))</f>
        <v/>
      </c>
      <c r="CU138" s="172">
        <f>MIN(IF($AU138=100%,1,1+VLOOKUP(($AJ138-$AI138-$AH138-$AG138-$AF138-$AE138*(1+CU$3))/$AJ138,'Технический лист'!$I:$J,2,1)-VLOOKUP($AO138,'Технический лист'!$I:$J,2,1)),1+(1-$AU138))</f>
        <v/>
      </c>
      <c r="CV138" s="172">
        <f>MIN(IF($AU138=100%,1,1+VLOOKUP(($AJ138-$AI138-$AH138-$AG138-$AF138-$AE138*(1+CV$3))/$AJ138,'Технический лист'!$I:$J,2,1)-VLOOKUP($AO138,'Технический лист'!$I:$J,2,1)),1+(1-$AU138))</f>
        <v/>
      </c>
      <c r="CW138" s="172">
        <f>MIN(IF($AU138=100%,1,1+VLOOKUP(($AJ138-$AI138-$AH138-$AG138-$AF138-$AE138*(1+CW$3))/$AJ138,'Технический лист'!$I:$J,2,1)-VLOOKUP($AO138,'Технический лист'!$I:$J,2,1)),1+(1-$AU138))</f>
        <v/>
      </c>
      <c r="CX138" s="172">
        <f>MIN(IF($AU138=100%,1,1+VLOOKUP(($AJ138-$AI138-$AH138-$AG138-$AF138-$AE138*(1+CX$3))/$AJ138,'Технический лист'!$I:$J,2,1)-VLOOKUP($AO138,'Технический лист'!$I:$J,2,1)),1+(1-$AU138))</f>
        <v/>
      </c>
      <c r="CY138" s="172">
        <f>MIN(IF($AU138=100%,1,1+VLOOKUP(($AJ138-$AI138-$AH138-$AG138-$AF138-$AE138*(1+CY$3))/$AJ138,'Технический лист'!$I:$J,2,1)-VLOOKUP($AO138,'Технический лист'!$I:$J,2,1)),1+(1-$AU138))</f>
        <v/>
      </c>
      <c r="CZ138" s="172">
        <f>MIN(IF($AU138=100%,1,1+VLOOKUP(($AJ138-$AI138-$AH138-$AG138-$AF138-$AE138*(1+CZ$3))/$AJ138,'Технический лист'!$I:$J,2,1)-VLOOKUP($AO138,'Технический лист'!$I:$J,2,1)),1+(1-$AU138))</f>
        <v/>
      </c>
      <c r="DA138" s="172">
        <f>MIN(IF($AU138=100%,1,1+VLOOKUP(($AJ138-$AI138-$AH138-$AG138-$AF138-$AE138*(1+DA$3))/$AJ138,'Технический лист'!$I:$J,2,1)-VLOOKUP($AO138,'Технический лист'!$I:$J,2,1)),1+(1-$AU138))</f>
        <v/>
      </c>
      <c r="DB138" s="172">
        <f>MIN(IF($AU138=100%,1,1+VLOOKUP(($AJ138-$AI138-$AH138-$AG138-$AF138-$AE138*(1+DB$3))/$AJ138,'Технический лист'!$I:$J,2,1)-VLOOKUP($AO138,'Технический лист'!$I:$J,2,1)),1+(1-$AU138))</f>
        <v/>
      </c>
      <c r="DC138" s="172">
        <f>MIN(IF($AU138=100%,1,1+VLOOKUP(($AJ138-$AI138-$AH138-$AG138-$AF138-$AE138*(1+DC$3))/$AJ138,'Технический лист'!$I:$J,2,1)-VLOOKUP($AO138,'Технический лист'!$I:$J,2,1)),1+(1-$AU138))</f>
        <v/>
      </c>
      <c r="DD138" s="172">
        <f>MIN(IF($AU138=100%,1,1+VLOOKUP(($AJ138-$AI138-$AH138-$AG138-$AF138-$AE138*(1+DD$3))/$AJ138,'Технический лист'!$I:$J,2,1)-VLOOKUP($AO138,'Технический лист'!$I:$J,2,1)),1+(1-$AU138))</f>
        <v/>
      </c>
      <c r="DE138" s="172">
        <f>MIN(IF($AU138=100%,1,1+VLOOKUP(($AJ138-$AI138-$AH138-$AG138-$AF138-$AE138*(1+DE$3))/$AJ138,'Технический лист'!$I:$J,2,1)-VLOOKUP($AO138,'Технический лист'!$I:$J,2,1)),1+(1-$AU138))</f>
        <v/>
      </c>
      <c r="DF138" s="172">
        <f>MIN(IF($AU138=100%,1,1+VLOOKUP(($AJ138-$AI138-$AH138-$AG138-$AF138-$AE138*(1+DF$3))/$AJ138,'Технический лист'!$I:$J,2,1)-VLOOKUP($AO138,'Технический лист'!$I:$J,2,1)),1+(1-$AU138))</f>
        <v/>
      </c>
      <c r="DG138" s="172">
        <f>MIN(IF($AU138=100%,1,1+VLOOKUP(($AJ138-$AI138-$AH138-$AG138-$AF138-$AE138*(1+DG$3))/$AJ138,'Технический лист'!$I:$J,2,1)-VLOOKUP($AO138,'Технический лист'!$I:$J,2,1)),1+(1-$AU138))</f>
        <v/>
      </c>
      <c r="DH138" s="172">
        <f>MIN(IF($AU138=100%,1,1+VLOOKUP(($AJ138-$AI138-$AH138-$AG138-$AF138-$AE138*(1+DH$3))/$AJ138,'Технический лист'!$I:$J,2,1)-VLOOKUP($AO138,'Технический лист'!$I:$J,2,1)),1+(1-$AU138))</f>
        <v/>
      </c>
      <c r="DI138" s="172">
        <f>MIN(IF($AU138=100%,1,1+VLOOKUP(($AJ138-$AI138-$AH138-$AG138-$AF138-$AE138*(1+DI$3))/$AJ138,'Технический лист'!$I:$J,2,1)-VLOOKUP($AO138,'Технический лист'!$I:$J,2,1)),1+(1-$AU138))</f>
        <v/>
      </c>
      <c r="DJ138" s="172">
        <f>MIN(IF($AU138=100%,1,1+VLOOKUP(($AJ138-$AI138-$AH138-$AG138-$AF138-$AE138*(1+DJ$3))/$AJ138,'Технический лист'!$I:$J,2,1)-VLOOKUP($AO138,'Технический лист'!$I:$J,2,1)),1+(1-$AU138))</f>
        <v/>
      </c>
      <c r="DK138" s="172">
        <f>MIN(IF($AU138=100%,1,1+VLOOKUP(($AJ138-$AI138-$AH138-$AG138-$AF138-$AE138*(1+DK$3))/$AJ138,'Технический лист'!$I:$J,2,1)-VLOOKUP($AO138,'Технический лист'!$I:$J,2,1)),1+(1-$AU138))</f>
        <v/>
      </c>
      <c r="DL138" s="172">
        <f>MIN(IF($AU138=100%,1,1+VLOOKUP(($AJ138-$AI138-$AH138-$AG138-$AF138-$AE138*(1+DL$3))/$AJ138,'Технический лист'!$I:$J,2,1)-VLOOKUP($AO138,'Технический лист'!$I:$J,2,1)),1+(1-$AU138))</f>
        <v/>
      </c>
      <c r="DM138" s="172">
        <f>MIN(IF($AU138=100%,1,1+VLOOKUP(($AJ138-$AI138-$AH138-$AG138-$AF138-$AE138*(1+DM$3))/$AJ138,'Технический лист'!$I:$J,2,1)-VLOOKUP($AO138,'Технический лист'!$I:$J,2,1)),1+(1-$AU138))</f>
        <v/>
      </c>
      <c r="DN138" s="172">
        <f>MIN(IF($AU138=100%,1,1+VLOOKUP(($AJ138-$AI138-$AH138-$AG138-$AF138-$AE138*(1+DN$3))/$AJ138,'Технический лист'!$I:$J,2,1)-VLOOKUP($AO138,'Технический лист'!$I:$J,2,1)),1+(1-$AU138))</f>
        <v/>
      </c>
      <c r="DO138" s="172">
        <f>MIN(IF($AU138=100%,1,1+VLOOKUP(($AJ138-$AI138-$AH138-$AG138-$AF138-$AE138*(1+DO$3))/$AJ138,'Технический лист'!$I:$J,2,1)-VLOOKUP($AO138,'Технический лист'!$I:$J,2,1)),1+(1-$AU138))</f>
        <v/>
      </c>
      <c r="DP138" s="172">
        <f>MIN(IF($AU138=100%,1,1+VLOOKUP(($AJ138-$AI138-$AH138-$AG138-$AF138-$AE138*(1+DP$3))/$AJ138,'Технический лист'!$I:$J,2,1)-VLOOKUP($AO138,'Технический лист'!$I:$J,2,1)),1+(1-$AU138))</f>
        <v/>
      </c>
      <c r="DQ138" s="172">
        <f>MIN(IF($AU138=100%,1,1+VLOOKUP(($AJ138-$AI138-$AH138-$AG138-$AF138-$AE138*(1+DQ$3))/$AJ138,'Технический лист'!$I:$J,2,1)-VLOOKUP($AO138,'Технический лист'!$I:$J,2,1)),1+(1-$AU138))</f>
        <v/>
      </c>
      <c r="DR138" s="172">
        <f>MIN(IF($AU138=100%,1,1+VLOOKUP(($AJ138-$AI138-$AH138-$AG138-$AF138-$AE138*(1+DR$3))/$AJ138,'Технический лист'!$I:$J,2,1)-VLOOKUP($AO138,'Технический лист'!$I:$J,2,1)),1+(1-$AU138))</f>
        <v/>
      </c>
      <c r="DS138" s="172">
        <f>MIN(IF($AU138=100%,1,1+VLOOKUP(($AJ138-$AI138-$AH138-$AG138-$AF138-$AE138*(1+DS$3))/$AJ138,'Технический лист'!$I:$J,2,1)-VLOOKUP($AO138,'Технический лист'!$I:$J,2,1)),1+(1-$AU138))</f>
        <v/>
      </c>
      <c r="DT138" s="172">
        <f>MIN(IF($AU138=100%,1,1+VLOOKUP(($AJ138-$AI138-$AH138-$AG138-$AF138-$AE138*(1+DT$3))/$AJ138,'Технический лист'!$I:$J,2,1)-VLOOKUP($AO138,'Технический лист'!$I:$J,2,1)),1+(1-$AU138))</f>
        <v/>
      </c>
      <c r="DU138" s="172">
        <f>MIN(IF($AU138=100%,1,1+VLOOKUP(($AJ138-$AI138-$AH138-$AG138-$AF138-$AE138*(1+DU$3))/$AJ138,'Технический лист'!$I:$J,2,1)-VLOOKUP($AO138,'Технический лист'!$I:$J,2,1)),1+(1-$AU138))</f>
        <v/>
      </c>
      <c r="DV138" s="172">
        <f>MIN(IF($AU138=100%,1,1+VLOOKUP(($AJ138-$AI138-$AH138-$AG138-$AF138-$AE138*(1+DV$3))/$AJ138,'Технический лист'!$I:$J,2,1)-VLOOKUP($AO138,'Технический лист'!$I:$J,2,1)),1+(1-$AU138))</f>
        <v/>
      </c>
      <c r="DW138" s="172">
        <f>MIN(IF($AU138=100%,1,1+VLOOKUP(($AJ138-$AI138-$AH138-$AG138-$AF138-$AE138*(1+DW$3))/$AJ138,'Технический лист'!$I:$J,2,1)-VLOOKUP($AO138,'Технический лист'!$I:$J,2,1)),1+(1-$AU138))</f>
        <v/>
      </c>
      <c r="DX138" s="172">
        <f>MIN(IF($AU138=100%,1,1+VLOOKUP(($AJ138-$AI138-$AH138-$AG138-$AF138-$AE138*(1+DX$3))/$AJ138,'Технический лист'!$I:$J,2,1)-VLOOKUP($AO138,'Технический лист'!$I:$J,2,1)),1+(1-$AU138))</f>
        <v/>
      </c>
      <c r="DY138" s="172">
        <f>MIN(IF($AU138=100%,1,1+VLOOKUP(($AJ138-$AI138-$AH138-$AG138-$AF138-$AE138*(1+DY$3))/$AJ138,'Технический лист'!$I:$J,2,1)-VLOOKUP($AO138,'Технический лист'!$I:$J,2,1)),1+(1-$AU138))</f>
        <v/>
      </c>
      <c r="DZ138" s="172">
        <f>MIN(IF($AU138=100%,1,1+VLOOKUP(($AJ138-$AI138-$AH138-$AG138-$AF138-$AE138*(1+DZ$3))/$AJ138,'Технический лист'!$I:$J,2,1)-VLOOKUP($AO138,'Технический лист'!$I:$J,2,1)),1+(1-$AU138))</f>
        <v/>
      </c>
      <c r="EA138" s="172">
        <f>MIN(IF($AU138=100%,1,1+VLOOKUP(($AJ138-$AI138-$AH138-$AG138-$AF138-$AE138*(1+EA$3))/$AJ138,'Технический лист'!$I:$J,2,1)-VLOOKUP($AO138,'Технический лист'!$I:$J,2,1)),1+(1-$AU138))</f>
        <v/>
      </c>
      <c r="EB138" s="172">
        <f>MIN(IF($AU138=100%,1,1+VLOOKUP(($AJ138-$AI138-$AH138-$AG138-$AF138-$AE138*(1+EB$3))/$AJ138,'Технический лист'!$I:$J,2,1)-VLOOKUP($AO138,'Технический лист'!$I:$J,2,1)),1+(1-$AU138))</f>
        <v/>
      </c>
      <c r="EC138" s="172">
        <f>MIN(IF($AU138=100%,1,1+VLOOKUP(($AJ138-$AI138-$AH138-$AG138-$AF138-$AE138*(1+EC$3))/$AJ138,'Технический лист'!$I:$J,2,1)-VLOOKUP($AO138,'Технический лист'!$I:$J,2,1)),1+(1-$AU138))</f>
        <v/>
      </c>
      <c r="ED138" s="172">
        <f>MIN(IF($AU138=100%,1,1+VLOOKUP(($AJ138-$AI138-$AH138-$AG138-$AF138-$AE138*(1+ED$3))/$AJ138,'Технический лист'!$I:$J,2,1)-VLOOKUP($AO138,'Технический лист'!$I:$J,2,1)),1+(1-$AU138))</f>
        <v/>
      </c>
      <c r="EE138" s="172">
        <f>MIN(IF($AU138=100%,1,1+VLOOKUP(($AJ138-$AI138-$AH138-$AG138-$AF138-$AE138*(1+EE$3))/$AJ138,'Технический лист'!$I:$J,2,1)-VLOOKUP($AO138,'Технический лист'!$I:$J,2,1)),1+(1-$AU138))</f>
        <v/>
      </c>
      <c r="EF138" s="172">
        <f>MIN(IF($AU138=100%,1,1+VLOOKUP(($AJ138-$AI138-$AH138-$AG138-$AF138-$AE138*(1+EF$3))/$AJ138,'Технический лист'!$I:$J,2,1)-VLOOKUP($AO138,'Технический лист'!$I:$J,2,1)),1+(1-$AU138))</f>
        <v/>
      </c>
      <c r="EG138" s="172">
        <f>MIN(IF($AU138=100%,1,1+VLOOKUP(($AJ138-$AI138-$AH138-$AG138-$AF138-$AE138*(1+EG$3))/$AJ138,'Технический лист'!$I:$J,2,1)-VLOOKUP($AO138,'Технический лист'!$I:$J,2,1)),1+(1-$AU138))</f>
        <v/>
      </c>
      <c r="EH138" s="172">
        <f>MIN(IF($AU138=100%,1,1+VLOOKUP(($AJ138-$AI138-$AH138-$AG138-$AF138-$AE138*(1+EH$3))/$AJ138,'Технический лист'!$I:$J,2,1)-VLOOKUP($AO138,'Технический лист'!$I:$J,2,1)),1+(1-$AU138))</f>
        <v/>
      </c>
      <c r="EI138" s="172">
        <f>MIN(IF($AU138=100%,1,1+VLOOKUP(($AJ138-$AI138-$AH138-$AG138-$AF138-$AE138*(1+EI$3))/$AJ138,'Технический лист'!$I:$J,2,1)-VLOOKUP($AO138,'Технический лист'!$I:$J,2,1)),1+(1-$AU138))</f>
        <v/>
      </c>
      <c r="EJ138" s="172">
        <f>MIN(IF($AU138=100%,1,1+VLOOKUP(($AJ138-$AI138-$AH138-$AG138-$AF138-$AE138*(1+EJ$3))/$AJ138,'Технический лист'!$I:$J,2,1)-VLOOKUP($AO138,'Технический лист'!$I:$J,2,1)),1+(1-$AU138))</f>
        <v/>
      </c>
      <c r="EK138" s="172">
        <f>MIN(IF($AU138=100%,1,1+VLOOKUP(($AJ138-$AI138-$AH138-$AG138-$AF138-$AE138*(1+EK$3))/$AJ138,'Технический лист'!$I:$J,2,1)-VLOOKUP($AO138,'Технический лист'!$I:$J,2,1)),1+(1-$AU138))</f>
        <v/>
      </c>
      <c r="EL138" s="172">
        <f>MIN(IF($AU138=100%,1,1+VLOOKUP(($AJ138-$AI138-$AH138-$AG138-$AF138-$AE138*(1+EL$3))/$AJ138,'Технический лист'!$I:$J,2,1)-VLOOKUP($AO138,'Технический лист'!$I:$J,2,1)),1+(1-$AU138))</f>
        <v/>
      </c>
      <c r="EM138" s="172">
        <f>MIN(IF($AU138=100%,1,1+VLOOKUP(($AJ138-$AI138-$AH138-$AG138-$AF138-$AE138*(1+EM$3))/$AJ138,'Технический лист'!$I:$J,2,1)-VLOOKUP($AO138,'Технический лист'!$I:$J,2,1)),1+(1-$AU138))</f>
        <v/>
      </c>
      <c r="EN138" s="172">
        <f>MIN(IF($AU138=100%,1,1+VLOOKUP(($AJ138-$AI138-$AH138-$AG138-$AF138-$AE138*(1+EN$3))/$AJ138,'Технический лист'!$I:$J,2,1)-VLOOKUP($AO138,'Технический лист'!$I:$J,2,1)),1+(1-$AU138))</f>
        <v/>
      </c>
      <c r="EO138" s="172">
        <f>MIN(IF($AU138=100%,1,1+VLOOKUP(($AJ138-$AI138-$AH138-$AG138-$AF138-$AE138*(1+EO$3))/$AJ138,'Технический лист'!$I:$J,2,1)-VLOOKUP($AO138,'Технический лист'!$I:$J,2,1)),1+(1-$AU138))</f>
        <v/>
      </c>
      <c r="EP138" s="172">
        <f>MIN(IF($AU138=100%,1,1+VLOOKUP(($AJ138-$AI138-$AH138-$AG138-$AF138-$AE138*(1+EP$3))/$AJ138,'Технический лист'!$I:$J,2,1)-VLOOKUP($AO138,'Технический лист'!$I:$J,2,1)),1+(1-$AU138))</f>
        <v/>
      </c>
      <c r="EQ138" s="172">
        <f>MIN(IF($AU138=100%,1,1+VLOOKUP(($AJ138-$AI138-$AH138-$AG138-$AF138-$AE138*(1+EQ$3))/$AJ138,'Технический лист'!$I:$J,2,1)-VLOOKUP($AO138,'Технический лист'!$I:$J,2,1)),1+(1-$AU138))</f>
        <v/>
      </c>
      <c r="ER138" s="172">
        <f>MIN(IF($AU138=100%,1,1+VLOOKUP(($AJ138-$AI138-$AH138-$AG138-$AF138-$AE138*(1+ER$3))/$AJ138,'Технический лист'!$I:$J,2,1)-VLOOKUP($AO138,'Технический лист'!$I:$J,2,1)),1+(1-$AU138))</f>
        <v/>
      </c>
      <c r="ES138" s="172">
        <f>MIN(IF($AU138=100%,1,1+VLOOKUP(($AJ138-$AI138-$AH138-$AG138-$AF138-$AE138*(1+ES$3))/$AJ138,'Технический лист'!$I:$J,2,1)-VLOOKUP($AO138,'Технический лист'!$I:$J,2,1)),1+(1-$AU138))</f>
        <v/>
      </c>
      <c r="ET138" s="172">
        <f>MIN(IF($AU138=100%,1,1+VLOOKUP(($AJ138-$AI138-$AH138-$AG138-$AF138-$AE138*(1+ET$3))/$AJ138,'Технический лист'!$I:$J,2,1)-VLOOKUP($AO138,'Технический лист'!$I:$J,2,1)),1+(1-$AU138))</f>
        <v/>
      </c>
      <c r="EU138" s="172">
        <f>MIN(IF($AU138=100%,1,1+VLOOKUP(($AJ138-$AI138-$AH138-$AG138-$AF138-$AE138*(1+EU$3))/$AJ138,'Технический лист'!$I:$J,2,1)-VLOOKUP($AO138,'Технический лист'!$I:$J,2,1)),1+(1-$AU138))</f>
        <v/>
      </c>
      <c r="EV138" s="173" t="n">
        <v>1</v>
      </c>
      <c r="EW138" s="172">
        <f>MIN(1,MAX(VLOOKUP(($AJ138-$AI138-$AH138-$AG138-$AF138-$AE138*(1+EW$3))/$AJ138,'Технический лист'!$A:$B,2,1),(EV138-0.05)))</f>
        <v/>
      </c>
      <c r="EX138" s="172">
        <f>MIN(1,MAX(VLOOKUP(($AJ138-$AI138-$AH138-$AG138-$AF138-$AE138*(1+EX$3))/$AJ138,'Технический лист'!$A:$B,2,1),(EW138-0.05)))</f>
        <v/>
      </c>
      <c r="EY138" s="172">
        <f>MIN(1,MAX(VLOOKUP(($AJ138-$AI138-$AH138-$AG138-$AF138-$AE138*(1+EY$3))/$AJ138,'Технический лист'!$A:$B,2,1),(EX138-0.05)))</f>
        <v/>
      </c>
      <c r="EZ138" s="172">
        <f>MIN(1,MAX(VLOOKUP(($AJ138-$AI138-$AH138-$AG138-$AF138-$AE138*(1+EZ$3))/$AJ138,'Технический лист'!$A:$B,2,1),(EY138-0.05)))</f>
        <v/>
      </c>
      <c r="FA138" s="172">
        <f>MIN(1,MAX(VLOOKUP(($AJ138-$AI138-$AH138-$AG138-$AF138-$AE138*(1+FA$3))/$AJ138,'Технический лист'!$A:$B,2,1),(EZ138-0.05)))</f>
        <v/>
      </c>
      <c r="FB138" s="172">
        <f>MIN(1,MAX(VLOOKUP(($AJ138-$AI138-$AH138-$AG138-$AF138-$AE138*(1+FB$3))/$AJ138,'Технический лист'!$A:$B,2,1),(FA138-0.05)))</f>
        <v/>
      </c>
      <c r="FC138" s="172">
        <f>MIN(1,MAX(VLOOKUP(($AJ138-$AI138-$AH138-$AG138-$AF138-$AE138*(1+FC$3))/$AJ138,'Технический лист'!$A:$B,2,1),(FB138-0.05)))</f>
        <v/>
      </c>
      <c r="FD138" s="172">
        <f>MIN(1,MAX(VLOOKUP(($AJ138-$AI138-$AH138-$AG138-$AF138-$AE138*(1+FD$3))/$AJ138,'Технический лист'!$A:$B,2,1),(FC138-0.05)))</f>
        <v/>
      </c>
      <c r="FE138" s="172">
        <f>MIN(1,MAX(VLOOKUP(($AJ138-$AI138-$AH138-$AG138-$AF138-$AE138*(1+FE$3))/$AJ138,'Технический лист'!$A:$B,2,1),(FD138-0.05)))</f>
        <v/>
      </c>
      <c r="FF138" s="172">
        <f>MIN(1,MAX(VLOOKUP(($AJ138-$AI138-$AH138-$AG138-$AF138-$AE138*(1+FF$3))/$AJ138,'Технический лист'!$A:$B,2,1),(FE138-0.05)))</f>
        <v/>
      </c>
      <c r="FG138" s="172">
        <f>MIN(1,MAX(VLOOKUP(($AJ138-$AI138-$AH138-$AG138-$AF138-$AE138*(1+FG$3))/$AJ138,'Технический лист'!$A:$B,2,1),(FF138-0.05)))</f>
        <v/>
      </c>
      <c r="FH138" s="172">
        <f>MIN(1,MAX(VLOOKUP(($AJ138-$AI138-$AH138-$AG138-$AF138-$AE138*(1+FH$3))/$AJ138,'Технический лист'!$A:$B,2,1),(FG138-0.05)))</f>
        <v/>
      </c>
      <c r="FI138" s="172">
        <f>MIN(1,MAX(VLOOKUP(($AJ138-$AI138-$AH138-$AG138-$AF138-$AE138*(1+FI$3))/$AJ138,'Технический лист'!$A:$B,2,1),(FH138-0.05)))</f>
        <v/>
      </c>
      <c r="FJ138" s="172">
        <f>MIN(1,MAX(VLOOKUP(($AJ138-$AI138-$AH138-$AG138-$AF138-$AE138*(1+FJ$3))/$AJ138,'Технический лист'!$A:$B,2,1),(FI138-0.05)))</f>
        <v/>
      </c>
      <c r="FK138" s="172">
        <f>MIN(1,MAX(VLOOKUP(($AJ138-$AI138-$AH138-$AG138-$AF138-$AE138*(1+FK$3))/$AJ138,'Технический лист'!$A:$B,2,1),(FJ138-0.05)))</f>
        <v/>
      </c>
      <c r="FL138" s="172">
        <f>MIN(1,MAX(VLOOKUP(($AJ138-$AI138-$AH138-$AG138-$AF138-$AE138*(1+FL$3))/$AJ138,'Технический лист'!$A:$B,2,1),(FK138-0.05)))</f>
        <v/>
      </c>
      <c r="FM138" s="172">
        <f>MIN(1,MAX(VLOOKUP(($AJ138-$AI138-$AH138-$AG138-$AF138-$AE138*(1+FM$3))/$AJ138,'Технический лист'!$A:$B,2,1),(FL138-0.05)))</f>
        <v/>
      </c>
      <c r="FN138" s="172">
        <f>MIN(1,MAX(VLOOKUP(($AJ138-$AI138-$AH138-$AG138-$AF138-$AE138*(1+FN$3))/$AJ138,'Технический лист'!$A:$B,2,1),(FM138-0.05)))</f>
        <v/>
      </c>
      <c r="FO138" s="172">
        <f>MIN(1,MAX(VLOOKUP(($AJ138-$AI138-$AH138-$AG138-$AF138-$AE138*(1+FO$3))/$AJ138,'Технический лист'!$A:$B,2,1),(FN138-0.05)))</f>
        <v/>
      </c>
      <c r="FP138" s="172">
        <f>MIN(1,MAX(VLOOKUP(($AJ138-$AI138-$AH138-$AG138-$AF138-$AE138*(1+FP$3))/$AJ138,'Технический лист'!$A:$B,2,1),(FO138-0.05)))</f>
        <v/>
      </c>
      <c r="FQ138" s="172">
        <f>MIN(1,MAX(VLOOKUP(($AJ138-$AI138-$AH138-$AG138-$AF138-$AE138*(1+FQ$3))/$AJ138,'Технический лист'!$A:$B,2,1),(FP138-0.05)))</f>
        <v/>
      </c>
      <c r="FR138" s="172">
        <f>MIN(1,MAX(VLOOKUP(($AJ138-$AI138-$AH138-$AG138-$AF138-$AE138*(1+FR$3))/$AJ138,'Технический лист'!$A:$B,2,1),(FQ138-0.05)))</f>
        <v/>
      </c>
      <c r="FS138" s="172">
        <f>MIN(1,MAX(VLOOKUP(($AJ138-$AI138-$AH138-$AG138-$AF138-$AE138*(1+FS$3))/$AJ138,'Технический лист'!$A:$B,2,1),(FR138-0.05)))</f>
        <v/>
      </c>
      <c r="FT138" s="172">
        <f>MIN(1,MAX(VLOOKUP(($AJ138-$AI138-$AH138-$AG138-$AF138-$AE138*(1+FT$3))/$AJ138,'Технический лист'!$A:$B,2,1),(FS138-0.05)))</f>
        <v/>
      </c>
      <c r="FU138" s="172">
        <f>MIN(1,MAX(VLOOKUP(($AJ138-$AI138-$AH138-$AG138-$AF138-$AE138*(1+FU$3))/$AJ138,'Технический лист'!$A:$B,2,1),(FT138-0.05)))</f>
        <v/>
      </c>
      <c r="FV138" s="172">
        <f>MIN(1,MAX(VLOOKUP(($AJ138-$AI138-$AH138-$AG138-$AF138-$AE138*(1+FV$3))/$AJ138,'Технический лист'!$A:$B,2,1),(FU138-0.05)))</f>
        <v/>
      </c>
      <c r="FW138" s="172">
        <f>MIN(1,MAX(VLOOKUP(($AJ138-$AI138-$AH138-$AG138-$AF138-$AE138*(1+FW$3))/$AJ138,'Технический лист'!$A:$B,2,1),(FV138-0.05)))</f>
        <v/>
      </c>
      <c r="FX138" s="172">
        <f>MIN(1,MAX(VLOOKUP(($AJ138-$AI138-$AH138-$AG138-$AF138-$AE138*(1+FX$3))/$AJ138,'Технический лист'!$A:$B,2,1),(FW138-0.05)))</f>
        <v/>
      </c>
      <c r="FY138" s="172">
        <f>MIN(1,MAX(VLOOKUP(($AJ138-$AI138-$AH138-$AG138-$AF138-$AE138*(1+FY$3))/$AJ138,'Технический лист'!$A:$B,2,1),(FX138-0.05)))</f>
        <v/>
      </c>
      <c r="FZ138" s="172">
        <f>MIN(1,MAX(VLOOKUP(($AJ138-$AI138-$AH138-$AG138-$AF138-$AE138*(1+FZ$3))/$AJ138,'Технический лист'!$A:$B,2,1),(FY138-0.05)))</f>
        <v/>
      </c>
      <c r="GA138" s="172">
        <f>MIN(1,MAX(VLOOKUP(($AJ138-$AI138-$AH138-$AG138-$AF138-$AE138*(1+GA$3))/$AJ138,'Технический лист'!$A:$B,2,1),(FZ138-0.05)))</f>
        <v/>
      </c>
      <c r="GB138" s="172">
        <f>MIN(1,MAX(VLOOKUP(($AJ138-$AI138-$AH138-$AG138-$AF138-$AE138*(1+GB$3))/$AJ138,'Технический лист'!$A:$B,2,1),(GA138-0.05)))</f>
        <v/>
      </c>
      <c r="GC138" s="172">
        <f>MIN(1,MAX(VLOOKUP(($AJ138-$AI138-$AH138-$AG138-$AF138-$AE138*(1+GC$3))/$AJ138,'Технический лист'!$A:$B,2,1),(GB138-0.05)))</f>
        <v/>
      </c>
      <c r="GD138" s="172">
        <f>MIN(1,MAX(VLOOKUP(($AJ138-$AI138-$AH138-$AG138-$AF138-$AE138*(1+GD$3))/$AJ138,'Технический лист'!$A:$B,2,1),(GC138-0.05)))</f>
        <v/>
      </c>
      <c r="GE138" s="172">
        <f>MIN(1,MAX(VLOOKUP(($AJ138-$AI138-$AH138-$AG138-$AF138-$AE138*(1+GE$3))/$AJ138,'Технический лист'!$A:$B,2,1),(GD138-0.05)))</f>
        <v/>
      </c>
      <c r="GF138" s="172">
        <f>MIN(1,MAX(VLOOKUP(($AJ138-$AI138-$AH138-$AG138-$AF138-$AE138*(1+GF$3))/$AJ138,'Технический лист'!$A:$B,2,1),(GE138-0.05)))</f>
        <v/>
      </c>
      <c r="GG138" s="172">
        <f>MIN(1,MAX(VLOOKUP(($AJ138-$AI138-$AH138-$AG138-$AF138-$AE138*(1+GG$3))/$AJ138,'Технический лист'!$A:$B,2,1),(GF138-0.05)))</f>
        <v/>
      </c>
      <c r="GH138" s="172">
        <f>MIN(1,MAX(VLOOKUP(($AJ138-$AI138-$AH138-$AG138-$AF138-$AE138*(1+GH$3))/$AJ138,'Технический лист'!$A:$B,2,1),(GG138-0.05)))</f>
        <v/>
      </c>
      <c r="GI138" s="172">
        <f>MIN(1,MAX(VLOOKUP(($AJ138-$AI138-$AH138-$AG138-$AF138-$AE138*(1+GI$3))/$AJ138,'Технический лист'!$A:$B,2,1),(GH138-0.05)))</f>
        <v/>
      </c>
      <c r="GJ138" s="172">
        <f>MIN(1,MAX(VLOOKUP(($AJ138-$AI138-$AH138-$AG138-$AF138-$AE138*(1+GJ$3))/$AJ138,'Технический лист'!$A:$B,2,1),(GI138-0.05)))</f>
        <v/>
      </c>
      <c r="GK138" s="172">
        <f>MIN(1,MAX(VLOOKUP(($AJ138-$AI138-$AH138-$AG138-$AF138-$AE138*(1+GK$3))/$AJ138,'Технический лист'!$A:$B,2,1),(GJ138-0.05)))</f>
        <v/>
      </c>
      <c r="GL138" s="172">
        <f>MIN(1,MAX(VLOOKUP(($AJ138-$AI138-$AH138-$AG138-$AF138-$AE138*(1+GL$3))/$AJ138,'Технический лист'!$A:$B,2,1),(GK138-0.05)))</f>
        <v/>
      </c>
      <c r="GM138" s="172">
        <f>MIN(1,MAX(VLOOKUP(($AJ138-$AI138-$AH138-$AG138-$AF138-$AE138*(1+GM$3))/$AJ138,'Технический лист'!$A:$B,2,1),(GL138-0.05)))</f>
        <v/>
      </c>
      <c r="GN138" s="172">
        <f>MIN(1,MAX(VLOOKUP(($AJ138-$AI138-$AH138-$AG138-$AF138-$AE138*(1+GN$3))/$AJ138,'Технический лист'!$A:$B,2,1),(GM138-0.05)))</f>
        <v/>
      </c>
      <c r="GO138" s="172">
        <f>MIN(1,MAX(VLOOKUP(($AJ138-$AI138-$AH138-$AG138-$AF138-$AE138*(1+GO$3))/$AJ138,'Технический лист'!$A:$B,2,1),(GN138-0.05)))</f>
        <v/>
      </c>
      <c r="GP138" s="172">
        <f>MIN(1,MAX(VLOOKUP(($AJ138-$AI138-$AH138-$AG138-$AF138-$AE138*(1+GP$3))/$AJ138,'Технический лист'!$A:$B,2,1),(GO138-0.05)))</f>
        <v/>
      </c>
      <c r="GQ138" s="172">
        <f>MIN(1,MAX(VLOOKUP(($AJ138-$AI138-$AH138-$AG138-$AF138-$AE138*(1+GQ$3))/$AJ138,'Технический лист'!$A:$B,2,1),(GP138-0.05)))</f>
        <v/>
      </c>
      <c r="GR138" s="172">
        <f>MIN(1,MAX(VLOOKUP(($AJ138-$AI138-$AH138-$AG138-$AF138-$AE138*(1+GR$3))/$AJ138,'Технический лист'!$A:$B,2,1),(GQ138-0.05)))</f>
        <v/>
      </c>
      <c r="GS138" s="172">
        <f>MIN(1,MAX(VLOOKUP(($AJ138-$AI138-$AH138-$AG138-$AF138-$AE138*(1+GS$3))/$AJ138,'Технический лист'!$A:$B,2,1),(GR138-0.05)))</f>
        <v/>
      </c>
      <c r="GT138" s="172">
        <f>MIN(1,MAX(VLOOKUP(($AJ138-$AI138-$AH138-$AG138-$AF138-$AE138*(1+GT$3))/$AJ138,'Технический лист'!$A:$B,2,1),(GS138-0.05)))</f>
        <v/>
      </c>
      <c r="GU138" s="172">
        <f>MIN(1,MAX(VLOOKUP(($AJ138-$AI138-$AH138-$AG138-$AF138-$AE138*(1+GU$3))/$AJ138,'Технический лист'!$A:$B,2,1),(GT138-0.05)))</f>
        <v/>
      </c>
      <c r="GV138" s="172">
        <f>MIN(1,MAX(VLOOKUP(($AJ138-$AI138-$AH138-$AG138-$AF138-$AE138*(1+GV$3))/$AJ138,'Технический лист'!$A:$B,2,1),(GU138-0.05)))</f>
        <v/>
      </c>
      <c r="GW138" s="172">
        <f>MIN(1,MAX(VLOOKUP(($AJ138-$AI138-$AH138-$AG138-$AF138-$AE138*(1+GW$3))/$AJ138,'Технический лист'!$A:$B,2,1),(GV138-0.05)))</f>
        <v/>
      </c>
      <c r="GX138" s="172">
        <f>MIN(1,MAX(VLOOKUP(($AJ138-$AI138-$AH138-$AG138-$AF138-$AE138*(1+GX$3))/$AJ138,'Технический лист'!$A:$B,2,1),(GW138-0.05)))</f>
        <v/>
      </c>
      <c r="GY138" s="172">
        <f>MIN(1,MAX(VLOOKUP(($AJ138-$AI138-$AH138-$AG138-$AF138-$AE138*(1+GY$3))/$AJ138,'Технический лист'!$A:$B,2,1),(GX138-0.05)))</f>
        <v/>
      </c>
      <c r="GZ138" s="172">
        <f>MIN(1,MAX(VLOOKUP(($AJ138-$AI138-$AH138-$AG138-$AF138-$AE138*(1+GZ$3))/$AJ138,'Технический лист'!$A:$B,2,1),(GY138-0.05)))</f>
        <v/>
      </c>
      <c r="HA138" s="172">
        <f>MIN(1,MAX(VLOOKUP(($AJ138-$AI138-$AH138-$AG138-$AF138-$AE138*(1+HA$3))/$AJ138,'Технический лист'!$A:$B,2,1),(GZ138-0.05)))</f>
        <v/>
      </c>
      <c r="HB138" s="172">
        <f>MIN(1,MAX(VLOOKUP(($AJ138-$AI138-$AH138-$AG138-$AF138-$AE138*(1+HB$3))/$AJ138,'Технический лист'!$A:$B,2,1),(HA138-0.05)))</f>
        <v/>
      </c>
      <c r="HC138" s="172">
        <f>MIN(1,MAX(VLOOKUP(($AJ138-$AI138-$AH138-$AG138-$AF138-$AE138*(1+HC$3))/$AJ138,'Технический лист'!$A:$B,2,1),(HB138-0.05)))</f>
        <v/>
      </c>
      <c r="HD138" s="172">
        <f>MIN(1,MAX(VLOOKUP(($AJ138-$AI138-$AH138-$AG138-$AF138-$AE138*(1+HD$3))/$AJ138,'Технический лист'!$A:$B,2,1),(HC138-0.05)))</f>
        <v/>
      </c>
      <c r="HE138" s="172">
        <f>MIN(1,MAX(VLOOKUP(($AJ138-$AI138-$AH138-$AG138-$AF138-$AE138*(1+HE$3))/$AJ138,'Технический лист'!$A:$B,2,1),(HD138-0.05)))</f>
        <v/>
      </c>
      <c r="HF138" s="172">
        <f>MIN(1,MAX(VLOOKUP(($AJ138-$AI138-$AH138-$AG138-$AF138-$AE138*(1+HF$3))/$AJ138,'Технический лист'!$A:$B,2,1),(HE138-0.05)))</f>
        <v/>
      </c>
      <c r="HG138" s="172">
        <f>MIN(1,MAX(VLOOKUP(($AJ138-$AI138-$AH138-$AG138-$AF138-$AE138*(1+HG$3))/$AJ138,'Технический лист'!$A:$B,2,1),(HF138-0.05)))</f>
        <v/>
      </c>
      <c r="HH138" s="172">
        <f>MIN(1,MAX(VLOOKUP(($AJ138-$AI138-$AH138-$AG138-$AF138-$AE138*(1+HH$3))/$AJ138,'Технический лист'!$A:$B,2,1),(HG138-0.05)))</f>
        <v/>
      </c>
      <c r="HI138" s="172">
        <f>MIN(1,MAX(VLOOKUP(($AJ138-$AI138-$AH138-$AG138-$AF138-$AE138*(1+HI$3))/$AJ138,'Технический лист'!$A:$B,2,1),(HH138-0.05)))</f>
        <v/>
      </c>
      <c r="HJ138" s="172">
        <f>MIN(1,MAX(VLOOKUP(($AJ138-$AI138-$AH138-$AG138-$AF138-$AE138*(1+HJ$3))/$AJ138,'Технический лист'!$A:$B,2,1),(HI138-0.05)))</f>
        <v/>
      </c>
      <c r="HK138" s="172">
        <f>MIN(1,MAX(VLOOKUP(($AJ138-$AI138-$AH138-$AG138-$AF138-$AE138*(1+HK$3))/$AJ138,'Технический лист'!$A:$B,2,1),(HJ138-0.05)))</f>
        <v/>
      </c>
      <c r="HL138" s="172">
        <f>MIN(1,MAX(VLOOKUP(($AJ138-$AI138-$AH138-$AG138-$AF138-$AE138*(1+HL$3))/$AJ138,'Технический лист'!$A:$B,2,1),(HK138-0.05)))</f>
        <v/>
      </c>
      <c r="HM138" s="172">
        <f>MIN(1,MAX(VLOOKUP(($AJ138-$AI138-$AH138-$AG138-$AF138-$AE138*(1+HM$3))/$AJ138,'Технический лист'!$A:$B,2,1),(HL138-0.05)))</f>
        <v/>
      </c>
      <c r="HN138" s="172">
        <f>MIN(1,MAX(VLOOKUP(($AJ138-$AI138-$AH138-$AG138-$AF138-$AE138*(1+HN$3))/$AJ138,'Технический лист'!$A:$B,2,1),(HM138-0.05)))</f>
        <v/>
      </c>
      <c r="HO138" s="172">
        <f>MIN(1,MAX(VLOOKUP(($AJ138-$AI138-$AH138-$AG138-$AF138-$AE138*(1+HO$3))/$AJ138,'Технический лист'!$A:$B,2,1),(HN138-0.05)))</f>
        <v/>
      </c>
      <c r="HP138" s="172">
        <f>MIN(1,MAX(VLOOKUP(($AJ138-$AI138-$AH138-$AG138-$AF138-$AE138*(1+HP$3))/$AJ138,'Технический лист'!$A:$B,2,1),(HO138-0.05)))</f>
        <v/>
      </c>
      <c r="HQ138" s="172">
        <f>MIN(1,MAX(VLOOKUP(($AJ138-$AI138-$AH138-$AG138-$AF138-$AE138*(1+HQ$3))/$AJ138,'Технический лист'!$A:$B,2,1),(HP138-0.05)))</f>
        <v/>
      </c>
      <c r="HR138" s="172">
        <f>MIN(1,MAX(VLOOKUP(($AJ138-$AI138-$AH138-$AG138-$AF138-$AE138*(1+HR$3))/$AJ138,'Технический лист'!$A:$B,2,1),(HQ138-0.05)))</f>
        <v/>
      </c>
      <c r="HS138" s="172">
        <f>MIN(1,MAX(VLOOKUP(($AJ138-$AI138-$AH138-$AG138-$AF138-$AE138*(1+HS$3))/$AJ138,'Технический лист'!$A:$B,2,1),(HR138-0.05)))</f>
        <v/>
      </c>
      <c r="HT138" s="172">
        <f>MIN(1,MAX(VLOOKUP(($AJ138-$AI138-$AH138-$AG138-$AF138-$AE138*(1+HT$3))/$AJ138,'Технический лист'!$A:$B,2,1),(HS138-0.05)))</f>
        <v/>
      </c>
      <c r="HU138" s="172">
        <f>MIN(1,MAX(VLOOKUP(($AJ138-$AI138-$AH138-$AG138-$AF138-$AE138*(1+HU$3))/$AJ138,'Технический лист'!$A:$B,2,1),(HT138-0.05)))</f>
        <v/>
      </c>
      <c r="HV138" s="172">
        <f>MIN(1,MAX(VLOOKUP(($AJ138-$AI138-$AH138-$AG138-$AF138-$AE138*(1+HV$3))/$AJ138,'Технический лист'!$A:$B,2,1),(HU138-0.05)))</f>
        <v/>
      </c>
      <c r="HW138" s="172">
        <f>MIN(1,MAX(VLOOKUP(($AJ138-$AI138-$AH138-$AG138-$AF138-$AE138*(1+HW$3))/$AJ138,'Технический лист'!$A:$B,2,1),(HV138-0.05)))</f>
        <v/>
      </c>
      <c r="HX138" s="172">
        <f>MIN(1,MAX(VLOOKUP(($AJ138-$AI138-$AH138-$AG138-$AF138-$AE138*(1+HX$3))/$AJ138,'Технический лист'!$A:$B,2,1),(HW138-0.05)))</f>
        <v/>
      </c>
      <c r="HY138" s="172">
        <f>MIN(1,MAX(VLOOKUP(($AJ138-$AI138-$AH138-$AG138-$AF138-$AE138*(1+HY$3))/$AJ138,'Технический лист'!$A:$B,2,1),(HX138-0.05)))</f>
        <v/>
      </c>
      <c r="HZ138" s="172">
        <f>MIN(1,MAX(VLOOKUP(($AJ138-$AI138-$AH138-$AG138-$AF138-$AE138*(1+HZ$3))/$AJ138,'Технический лист'!$A:$B,2,1),(HY138-0.05)))</f>
        <v/>
      </c>
      <c r="IA138" s="172">
        <f>MIN(1,MAX(VLOOKUP(($AJ138-$AI138-$AH138-$AG138-$AF138-$AE138*(1+IA$3))/$AJ138,'Технический лист'!$A:$B,2,1),(HZ138-0.05)))</f>
        <v/>
      </c>
      <c r="IB138" s="172">
        <f>MIN(1,MAX(VLOOKUP(($AJ138-$AI138-$AH138-$AG138-$AF138-$AE138*(1+IB$3))/$AJ138,'Технический лист'!$A:$B,2,1),(IA138-0.05)))</f>
        <v/>
      </c>
      <c r="IC138" s="172">
        <f>MIN(1,MAX(VLOOKUP(($AJ138-$AI138-$AH138-$AG138-$AF138-$AE138*(1+IC$3))/$AJ138,'Технический лист'!$A:$B,2,1),(IB138-0.05)))</f>
        <v/>
      </c>
      <c r="ID138" s="172">
        <f>MIN(1,MAX(VLOOKUP(($AJ138-$AI138-$AH138-$AG138-$AF138-$AE138*(1+ID$3))/$AJ138,'Технический лист'!$A:$B,2,1),(IC138-0.05)))</f>
        <v/>
      </c>
      <c r="IE138" s="172">
        <f>MIN(1,MAX(VLOOKUP(($AJ138-$AI138-$AH138-$AG138-$AF138-$AE138*(1+IE$3))/$AJ138,'Технический лист'!$A:$B,2,1),(ID138-0.05)))</f>
        <v/>
      </c>
      <c r="IF138" s="172">
        <f>MIN(1,MAX(VLOOKUP(($AJ138-$AI138-$AH138-$AG138-$AF138-$AE138*(1+IF$3))/$AJ138,'Технический лист'!$A:$B,2,1),(IE138-0.05)))</f>
        <v/>
      </c>
      <c r="IG138" s="172">
        <f>MIN(1,MAX(VLOOKUP(($AJ138-$AI138-$AH138-$AG138-$AF138-$AE138*(1+IG$3))/$AJ138,'Технический лист'!$A:$B,2,1),(IF138-0.05)))</f>
        <v/>
      </c>
      <c r="IH138" s="172">
        <f>MIN(1,MAX(VLOOKUP(($AJ138-$AI138-$AH138-$AG138-$AF138-$AE138*(1+IH$3))/$AJ138,'Технический лист'!$A:$B,2,1),(IG138-0.05)))</f>
        <v/>
      </c>
      <c r="II138" s="172">
        <f>MIN(1,MAX(VLOOKUP(($AJ138-$AI138-$AH138-$AG138-$AF138-$AE138*(1+II$3))/$AJ138,'Технический лист'!$A:$B,2,1),(IH138-0.05)))</f>
        <v/>
      </c>
      <c r="IJ138" s="172">
        <f>MIN(1,MAX(VLOOKUP(($AJ138-$AI138-$AH138-$AG138-$AF138-$AE138*(1+IJ$3))/$AJ138,'Технический лист'!$A:$B,2,1),(II138-0.05)))</f>
        <v/>
      </c>
      <c r="IK138" s="172">
        <f>MIN(1,MAX(VLOOKUP(($AJ138-$AI138-$AH138-$AG138-$AF138-$AE138*(1+IK$3))/$AJ138,'Технический лист'!$A:$B,2,1),(IJ138-0.05)))</f>
        <v/>
      </c>
      <c r="IL138" s="172">
        <f>MIN(1,MAX(VLOOKUP(($AJ138-$AI138-$AH138-$AG138-$AF138-$AE138*(1+IL$3))/$AJ138,'Технический лист'!$A:$B,2,1),(IK138-0.05)))</f>
        <v/>
      </c>
      <c r="IM138" s="172">
        <f>MIN(1,MAX(VLOOKUP(($AJ138-$AI138-$AH138-$AG138-$AF138-$AE138*(1+IM$3))/$AJ138,'Технический лист'!$A:$B,2,1),(IL138-0.05)))</f>
        <v/>
      </c>
      <c r="IN138" s="172">
        <f>MIN(1,MAX(VLOOKUP(($AJ138-$AI138-$AH138-$AG138-$AF138-$AE138*(1+IN$3))/$AJ138,'Технический лист'!$A:$B,2,1),(IM138-0.05)))</f>
        <v/>
      </c>
      <c r="IO138" s="172">
        <f>MIN(1,MAX(VLOOKUP(($AJ138-$AI138-$AH138-$AG138-$AF138-$AE138*(1+IO$3))/$AJ138,'Технический лист'!$A:$B,2,1),(IN138-0.05)))</f>
        <v/>
      </c>
      <c r="IP138" s="172">
        <f>MIN(1,MAX(VLOOKUP(($AJ138-$AI138-$AH138-$AG138-$AF138-$AE138*(1+IP$3))/$AJ138,'Технический лист'!$A:$B,2,1),(IO138-0.05)))</f>
        <v/>
      </c>
      <c r="IQ138" s="172">
        <f>MIN(1,MAX(VLOOKUP(($AJ138-$AI138-$AH138-$AG138-$AF138-$AE138*(1+IQ$3))/$AJ138,'Технический лист'!$A:$B,2,1),(IP138-0.05)))</f>
        <v/>
      </c>
      <c r="IR138" s="172">
        <f>MIN(1,MAX(VLOOKUP(($AJ138-$AI138-$AH138-$AG138-$AF138-$AE138*(1+IR$3))/$AJ138,'Технический лист'!$A:$B,2,1),(IQ138-0.05)))</f>
        <v/>
      </c>
    </row>
    <row r="139" ht="14.7" customHeight="1" s="123">
      <c r="A139" s="89" t="inlineStr">
        <is>
          <t>ЧМ (продукция)</t>
        </is>
      </c>
      <c r="B139" s="90" t="n">
        <v>10</v>
      </c>
      <c r="C139" s="5" t="inlineStr">
        <is>
          <t>Остальные грузы</t>
        </is>
      </c>
      <c r="D139" s="91" t="n">
        <v>31611</v>
      </c>
      <c r="E139" s="91" t="inlineStr">
        <is>
          <t xml:space="preserve">Присад доменный </t>
        </is>
      </c>
      <c r="F139" s="92" t="inlineStr">
        <is>
          <t>ЛОМ ЧЕРНЫХ МЕТАЛЛОВ</t>
        </is>
      </c>
      <c r="G139" s="91" t="inlineStr">
        <is>
          <t>СВР</t>
        </is>
      </c>
      <c r="H139" s="91" t="inlineStr">
        <is>
          <t>КБШ</t>
        </is>
      </c>
      <c r="I139" s="91" t="inlineStr">
        <is>
          <t>СМЫЧКА</t>
        </is>
      </c>
      <c r="J139" s="91" t="inlineStr">
        <is>
          <t>АША</t>
        </is>
      </c>
      <c r="K139" s="91" t="n">
        <v>793</v>
      </c>
      <c r="L139" s="91" t="inlineStr">
        <is>
          <t>Полувагоны</t>
        </is>
      </c>
      <c r="M139" s="91" t="inlineStr">
        <is>
          <t>Внутр. перевозки</t>
        </is>
      </c>
      <c r="N139" s="91" t="inlineStr">
        <is>
          <t>вагонная</t>
        </is>
      </c>
      <c r="O139" s="91" t="inlineStr">
        <is>
          <t xml:space="preserve">Южное </t>
        </is>
      </c>
      <c r="P139" s="89" t="inlineStr">
        <is>
          <t>'000000186269</t>
        </is>
      </c>
      <c r="Q139" s="91" t="inlineStr">
        <is>
          <t>АО "ЕВРАЗ НТМК"</t>
        </is>
      </c>
      <c r="R139" s="91" t="inlineStr">
        <is>
          <t>ООО "ЕвразХолдинг"</t>
        </is>
      </c>
      <c r="S139" s="87" t="n">
        <v>72496</v>
      </c>
      <c r="T139" s="87" t="n">
        <v>57494462</v>
      </c>
      <c r="U139" s="88" t="n">
        <v>1064</v>
      </c>
      <c r="V139" s="88" t="n">
        <v>0</v>
      </c>
      <c r="W139" s="87" t="n">
        <v>131900562</v>
      </c>
      <c r="X139" s="112" t="n">
        <v>62</v>
      </c>
      <c r="Y139" s="112" t="inlineStr">
        <is>
          <t>повагонная</t>
        </is>
      </c>
      <c r="Z139" s="113" t="n">
        <v>6</v>
      </c>
      <c r="AA139" s="113" t="n">
        <v>4</v>
      </c>
      <c r="AB139" s="113" t="n">
        <v>4</v>
      </c>
      <c r="AC139" s="161" t="n">
        <v>2165.35</v>
      </c>
      <c r="AD139" s="161">
        <f>AE139-AC139</f>
        <v/>
      </c>
      <c r="AE139" s="161" t="n">
        <v>2354.53</v>
      </c>
      <c r="AF139" s="162">
        <f>(Z139+AA139+AB139)*'Ставки аренды'!$B$3/X139</f>
        <v/>
      </c>
      <c r="AG139" s="164" t="n">
        <v>0</v>
      </c>
      <c r="AH139" s="164" t="n">
        <v>0</v>
      </c>
      <c r="AI139" s="165">
        <f>0.71*AJ139</f>
        <v/>
      </c>
      <c r="AJ139" s="166">
        <f>Цены!D10</f>
        <v/>
      </c>
      <c r="AK139" s="164">
        <f>AJ139/Цены!$B$1</f>
        <v/>
      </c>
      <c r="AL139" s="164">
        <f>AE139+AF139+AG139</f>
        <v/>
      </c>
      <c r="AM139" s="164">
        <f>AJ139-AL139</f>
        <v/>
      </c>
      <c r="AN139" s="164">
        <f>AI139+AH139+AG139+AF139+AE139</f>
        <v/>
      </c>
      <c r="AO139" s="167">
        <f>(AJ139-AN139)/AJ139</f>
        <v/>
      </c>
      <c r="AP139" s="168">
        <f>AL139/AJ139</f>
        <v/>
      </c>
      <c r="AQ139" s="168">
        <f>AE139/AJ139</f>
        <v/>
      </c>
      <c r="AR139" s="168">
        <f>AE139/AL139</f>
        <v/>
      </c>
      <c r="AS139" s="169" t="n">
        <v>1</v>
      </c>
      <c r="AT139" s="121">
        <f>S139*AS139</f>
        <v/>
      </c>
      <c r="AU139" s="83" t="n">
        <v>0.85</v>
      </c>
      <c r="AV139" s="170">
        <f>(AJ139-(AE139*(1+$IS$2)+AF139+AG139+AH139+AI139))/AJ139</f>
        <v/>
      </c>
      <c r="AW139" s="171">
        <f>(AE139*(1+$IS$2)+AF139+AG139)/AJ139</f>
        <v/>
      </c>
      <c r="AX139" s="171">
        <f>(AE139*(1+$IS$2))/AJ139</f>
        <v/>
      </c>
      <c r="AY139" s="171">
        <f>(AE139*(1+$IS$2))/(AE139*(1+$IS$2)+AF139+AG139)</f>
        <v/>
      </c>
      <c r="AZ139" s="172">
        <f>MIN(IF($AU139=100%,1,1+VLOOKUP(($AJ139-$AI139-$AH139-$AG139-$AF139-$AE139*(1+AZ$3))/$AJ139,'Технический лист'!$I:$J,2,1)-VLOOKUP($AO139,'Технический лист'!$I:$J,2,1)),1+(1-$AU139))</f>
        <v/>
      </c>
      <c r="BA139" s="172">
        <f>MIN(IF($AU139=100%,1,1+VLOOKUP(($AJ139-$AI139-$AH139-$AG139-$AF139-$AE139*(1+BA$3))/$AJ139,'Технический лист'!$I:$J,2,1)-VLOOKUP($AO139,'Технический лист'!$I:$J,2,1)),1+(1-$AU139))</f>
        <v/>
      </c>
      <c r="BB139" s="172">
        <f>MIN(IF($AU139=100%,1,1+VLOOKUP(($AJ139-$AI139-$AH139-$AG139-$AF139-$AE139*(1+BB$3))/$AJ139,'Технический лист'!$I:$J,2,1)-VLOOKUP($AO139,'Технический лист'!$I:$J,2,1)),1+(1-$AU139))</f>
        <v/>
      </c>
      <c r="BC139" s="172">
        <f>MIN(IF($AU139=100%,1,1+VLOOKUP(($AJ139-$AI139-$AH139-$AG139-$AF139-$AE139*(1+BC$3))/$AJ139,'Технический лист'!$I:$J,2,1)-VLOOKUP($AO139,'Технический лист'!$I:$J,2,1)),1+(1-$AU139))</f>
        <v/>
      </c>
      <c r="BD139" s="172">
        <f>MIN(IF($AU139=100%,1,1+VLOOKUP(($AJ139-$AI139-$AH139-$AG139-$AF139-$AE139*(1+BD$3))/$AJ139,'Технический лист'!$I:$J,2,1)-VLOOKUP($AO139,'Технический лист'!$I:$J,2,1)),1+(1-$AU139))</f>
        <v/>
      </c>
      <c r="BE139" s="172">
        <f>MIN(IF($AU139=100%,1,1+VLOOKUP(($AJ139-$AI139-$AH139-$AG139-$AF139-$AE139*(1+BE$3))/$AJ139,'Технический лист'!$I:$J,2,1)-VLOOKUP($AO139,'Технический лист'!$I:$J,2,1)),1+(1-$AU139))</f>
        <v/>
      </c>
      <c r="BF139" s="172">
        <f>MIN(IF($AU139=100%,1,1+VLOOKUP(($AJ139-$AI139-$AH139-$AG139-$AF139-$AE139*(1+BF$3))/$AJ139,'Технический лист'!$I:$J,2,1)-VLOOKUP($AO139,'Технический лист'!$I:$J,2,1)),1+(1-$AU139))</f>
        <v/>
      </c>
      <c r="BG139" s="172">
        <f>MIN(IF($AU139=100%,1,1+VLOOKUP(($AJ139-$AI139-$AH139-$AG139-$AF139-$AE139*(1+BG$3))/$AJ139,'Технический лист'!$I:$J,2,1)-VLOOKUP($AO139,'Технический лист'!$I:$J,2,1)),1+(1-$AU139))</f>
        <v/>
      </c>
      <c r="BH139" s="172">
        <f>MIN(IF($AU139=100%,1,1+VLOOKUP(($AJ139-$AI139-$AH139-$AG139-$AF139-$AE139*(1+BH$3))/$AJ139,'Технический лист'!$I:$J,2,1)-VLOOKUP($AO139,'Технический лист'!$I:$J,2,1)),1+(1-$AU139))</f>
        <v/>
      </c>
      <c r="BI139" s="172">
        <f>MIN(IF($AU139=100%,1,1+VLOOKUP(($AJ139-$AI139-$AH139-$AG139-$AF139-$AE139*(1+BI$3))/$AJ139,'Технический лист'!$I:$J,2,1)-VLOOKUP($AO139,'Технический лист'!$I:$J,2,1)),1+(1-$AU139))</f>
        <v/>
      </c>
      <c r="BJ139" s="172">
        <f>MIN(IF($AU139=100%,1,1+VLOOKUP(($AJ139-$AI139-$AH139-$AG139-$AF139-$AE139*(1+BJ$3))/$AJ139,'Технический лист'!$I:$J,2,1)-VLOOKUP($AO139,'Технический лист'!$I:$J,2,1)),1+(1-$AU139))</f>
        <v/>
      </c>
      <c r="BK139" s="172">
        <f>MIN(IF($AU139=100%,1,1+VLOOKUP(($AJ139-$AI139-$AH139-$AG139-$AF139-$AE139*(1+BK$3))/$AJ139,'Технический лист'!$I:$J,2,1)-VLOOKUP($AO139,'Технический лист'!$I:$J,2,1)),1+(1-$AU139))</f>
        <v/>
      </c>
      <c r="BL139" s="172">
        <f>MIN(IF($AU139=100%,1,1+VLOOKUP(($AJ139-$AI139-$AH139-$AG139-$AF139-$AE139*(1+BL$3))/$AJ139,'Технический лист'!$I:$J,2,1)-VLOOKUP($AO139,'Технический лист'!$I:$J,2,1)),1+(1-$AU139))</f>
        <v/>
      </c>
      <c r="BM139" s="172">
        <f>MIN(IF($AU139=100%,1,1+VLOOKUP(($AJ139-$AI139-$AH139-$AG139-$AF139-$AE139*(1+BM$3))/$AJ139,'Технический лист'!$I:$J,2,1)-VLOOKUP($AO139,'Технический лист'!$I:$J,2,1)),1+(1-$AU139))</f>
        <v/>
      </c>
      <c r="BN139" s="172">
        <f>MIN(IF($AU139=100%,1,1+VLOOKUP(($AJ139-$AI139-$AH139-$AG139-$AF139-$AE139*(1+BN$3))/$AJ139,'Технический лист'!$I:$J,2,1)-VLOOKUP($AO139,'Технический лист'!$I:$J,2,1)),1+(1-$AU139))</f>
        <v/>
      </c>
      <c r="BO139" s="172">
        <f>MIN(IF($AU139=100%,1,1+VLOOKUP(($AJ139-$AI139-$AH139-$AG139-$AF139-$AE139*(1+BO$3))/$AJ139,'Технический лист'!$I:$J,2,1)-VLOOKUP($AO139,'Технический лист'!$I:$J,2,1)),1+(1-$AU139))</f>
        <v/>
      </c>
      <c r="BP139" s="172">
        <f>MIN(IF($AU139=100%,1,1+VLOOKUP(($AJ139-$AI139-$AH139-$AG139-$AF139-$AE139*(1+BP$3))/$AJ139,'Технический лист'!$I:$J,2,1)-VLOOKUP($AO139,'Технический лист'!$I:$J,2,1)),1+(1-$AU139))</f>
        <v/>
      </c>
      <c r="BQ139" s="172">
        <f>MIN(IF($AU139=100%,1,1+VLOOKUP(($AJ139-$AI139-$AH139-$AG139-$AF139-$AE139*(1+BQ$3))/$AJ139,'Технический лист'!$I:$J,2,1)-VLOOKUP($AO139,'Технический лист'!$I:$J,2,1)),1+(1-$AU139))</f>
        <v/>
      </c>
      <c r="BR139" s="172">
        <f>MIN(IF($AU139=100%,1,1+VLOOKUP(($AJ139-$AI139-$AH139-$AG139-$AF139-$AE139*(1+BR$3))/$AJ139,'Технический лист'!$I:$J,2,1)-VLOOKUP($AO139,'Технический лист'!$I:$J,2,1)),1+(1-$AU139))</f>
        <v/>
      </c>
      <c r="BS139" s="172">
        <f>MIN(IF($AU139=100%,1,1+VLOOKUP(($AJ139-$AI139-$AH139-$AG139-$AF139-$AE139*(1+BS$3))/$AJ139,'Технический лист'!$I:$J,2,1)-VLOOKUP($AO139,'Технический лист'!$I:$J,2,1)),1+(1-$AU139))</f>
        <v/>
      </c>
      <c r="BT139" s="172">
        <f>MIN(IF($AU139=100%,1,1+VLOOKUP(($AJ139-$AI139-$AH139-$AG139-$AF139-$AE139*(1+BT$3))/$AJ139,'Технический лист'!$I:$J,2,1)-VLOOKUP($AO139,'Технический лист'!$I:$J,2,1)),1+(1-$AU139))</f>
        <v/>
      </c>
      <c r="BU139" s="172">
        <f>MIN(IF($AU139=100%,1,1+VLOOKUP(($AJ139-$AI139-$AH139-$AG139-$AF139-$AE139*(1+BU$3))/$AJ139,'Технический лист'!$I:$J,2,1)-VLOOKUP($AO139,'Технический лист'!$I:$J,2,1)),1+(1-$AU139))</f>
        <v/>
      </c>
      <c r="BV139" s="172">
        <f>MIN(IF($AU139=100%,1,1+VLOOKUP(($AJ139-$AI139-$AH139-$AG139-$AF139-$AE139*(1+BV$3))/$AJ139,'Технический лист'!$I:$J,2,1)-VLOOKUP($AO139,'Технический лист'!$I:$J,2,1)),1+(1-$AU139))</f>
        <v/>
      </c>
      <c r="BW139" s="172">
        <f>MIN(IF($AU139=100%,1,1+VLOOKUP(($AJ139-$AI139-$AH139-$AG139-$AF139-$AE139*(1+BW$3))/$AJ139,'Технический лист'!$I:$J,2,1)-VLOOKUP($AO139,'Технический лист'!$I:$J,2,1)),1+(1-$AU139))</f>
        <v/>
      </c>
      <c r="BX139" s="172">
        <f>MIN(IF($AU139=100%,1,1+VLOOKUP(($AJ139-$AI139-$AH139-$AG139-$AF139-$AE139*(1+BX$3))/$AJ139,'Технический лист'!$I:$J,2,1)-VLOOKUP($AO139,'Технический лист'!$I:$J,2,1)),1+(1-$AU139))</f>
        <v/>
      </c>
      <c r="BY139" s="172">
        <f>MIN(IF($AU139=100%,1,1+VLOOKUP(($AJ139-$AI139-$AH139-$AG139-$AF139-$AE139*(1+BY$3))/$AJ139,'Технический лист'!$I:$J,2,1)-VLOOKUP($AO139,'Технический лист'!$I:$J,2,1)),1+(1-$AU139))</f>
        <v/>
      </c>
      <c r="BZ139" s="172">
        <f>MIN(IF($AU139=100%,1,1+VLOOKUP(($AJ139-$AI139-$AH139-$AG139-$AF139-$AE139*(1+BZ$3))/$AJ139,'Технический лист'!$I:$J,2,1)-VLOOKUP($AO139,'Технический лист'!$I:$J,2,1)),1+(1-$AU139))</f>
        <v/>
      </c>
      <c r="CA139" s="172">
        <f>MIN(IF($AU139=100%,1,1+VLOOKUP(($AJ139-$AI139-$AH139-$AG139-$AF139-$AE139*(1+CA$3))/$AJ139,'Технический лист'!$I:$J,2,1)-VLOOKUP($AO139,'Технический лист'!$I:$J,2,1)),1+(1-$AU139))</f>
        <v/>
      </c>
      <c r="CB139" s="172">
        <f>MIN(IF($AU139=100%,1,1+VLOOKUP(($AJ139-$AI139-$AH139-$AG139-$AF139-$AE139*(1+CB$3))/$AJ139,'Технический лист'!$I:$J,2,1)-VLOOKUP($AO139,'Технический лист'!$I:$J,2,1)),1+(1-$AU139))</f>
        <v/>
      </c>
      <c r="CC139" s="172">
        <f>MIN(IF($AU139=100%,1,1+VLOOKUP(($AJ139-$AI139-$AH139-$AG139-$AF139-$AE139*(1+CC$3))/$AJ139,'Технический лист'!$I:$J,2,1)-VLOOKUP($AO139,'Технический лист'!$I:$J,2,1)),1+(1-$AU139))</f>
        <v/>
      </c>
      <c r="CD139" s="172">
        <f>MIN(IF($AU139=100%,1,1+VLOOKUP(($AJ139-$AI139-$AH139-$AG139-$AF139-$AE139*(1+CD$3))/$AJ139,'Технический лист'!$I:$J,2,1)-VLOOKUP($AO139,'Технический лист'!$I:$J,2,1)),1+(1-$AU139))</f>
        <v/>
      </c>
      <c r="CE139" s="172">
        <f>MIN(IF($AU139=100%,1,1+VLOOKUP(($AJ139-$AI139-$AH139-$AG139-$AF139-$AE139*(1+CE$3))/$AJ139,'Технический лист'!$I:$J,2,1)-VLOOKUP($AO139,'Технический лист'!$I:$J,2,1)),1+(1-$AU139))</f>
        <v/>
      </c>
      <c r="CF139" s="172">
        <f>MIN(IF($AU139=100%,1,1+VLOOKUP(($AJ139-$AI139-$AH139-$AG139-$AF139-$AE139*(1+CF$3))/$AJ139,'Технический лист'!$I:$J,2,1)-VLOOKUP($AO139,'Технический лист'!$I:$J,2,1)),1+(1-$AU139))</f>
        <v/>
      </c>
      <c r="CG139" s="172">
        <f>MIN(IF($AU139=100%,1,1+VLOOKUP(($AJ139-$AI139-$AH139-$AG139-$AF139-$AE139*(1+CG$3))/$AJ139,'Технический лист'!$I:$J,2,1)-VLOOKUP($AO139,'Технический лист'!$I:$J,2,1)),1+(1-$AU139))</f>
        <v/>
      </c>
      <c r="CH139" s="172">
        <f>MIN(IF($AU139=100%,1,1+VLOOKUP(($AJ139-$AI139-$AH139-$AG139-$AF139-$AE139*(1+CH$3))/$AJ139,'Технический лист'!$I:$J,2,1)-VLOOKUP($AO139,'Технический лист'!$I:$J,2,1)),1+(1-$AU139))</f>
        <v/>
      </c>
      <c r="CI139" s="172">
        <f>MIN(IF($AU139=100%,1,1+VLOOKUP(($AJ139-$AI139-$AH139-$AG139-$AF139-$AE139*(1+CI$3))/$AJ139,'Технический лист'!$I:$J,2,1)-VLOOKUP($AO139,'Технический лист'!$I:$J,2,1)),1+(1-$AU139))</f>
        <v/>
      </c>
      <c r="CJ139" s="172">
        <f>MIN(IF($AU139=100%,1,1+VLOOKUP(($AJ139-$AI139-$AH139-$AG139-$AF139-$AE139*(1+CJ$3))/$AJ139,'Технический лист'!$I:$J,2,1)-VLOOKUP($AO139,'Технический лист'!$I:$J,2,1)),1+(1-$AU139))</f>
        <v/>
      </c>
      <c r="CK139" s="172">
        <f>MIN(IF($AU139=100%,1,1+VLOOKUP(($AJ139-$AI139-$AH139-$AG139-$AF139-$AE139*(1+CK$3))/$AJ139,'Технический лист'!$I:$J,2,1)-VLOOKUP($AO139,'Технический лист'!$I:$J,2,1)),1+(1-$AU139))</f>
        <v/>
      </c>
      <c r="CL139" s="172">
        <f>MIN(IF($AU139=100%,1,1+VLOOKUP(($AJ139-$AI139-$AH139-$AG139-$AF139-$AE139*(1+CL$3))/$AJ139,'Технический лист'!$I:$J,2,1)-VLOOKUP($AO139,'Технический лист'!$I:$J,2,1)),1+(1-$AU139))</f>
        <v/>
      </c>
      <c r="CM139" s="172">
        <f>MIN(IF($AU139=100%,1,1+VLOOKUP(($AJ139-$AI139-$AH139-$AG139-$AF139-$AE139*(1+CM$3))/$AJ139,'Технический лист'!$I:$J,2,1)-VLOOKUP($AO139,'Технический лист'!$I:$J,2,1)),1+(1-$AU139))</f>
        <v/>
      </c>
      <c r="CN139" s="172">
        <f>MIN(IF($AU139=100%,1,1+VLOOKUP(($AJ139-$AI139-$AH139-$AG139-$AF139-$AE139*(1+CN$3))/$AJ139,'Технический лист'!$I:$J,2,1)-VLOOKUP($AO139,'Технический лист'!$I:$J,2,1)),1+(1-$AU139))</f>
        <v/>
      </c>
      <c r="CO139" s="172">
        <f>MIN(IF($AU139=100%,1,1+VLOOKUP(($AJ139-$AI139-$AH139-$AG139-$AF139-$AE139*(1+CO$3))/$AJ139,'Технический лист'!$I:$J,2,1)-VLOOKUP($AO139,'Технический лист'!$I:$J,2,1)),1+(1-$AU139))</f>
        <v/>
      </c>
      <c r="CP139" s="172">
        <f>MIN(IF($AU139=100%,1,1+VLOOKUP(($AJ139-$AI139-$AH139-$AG139-$AF139-$AE139*(1+CP$3))/$AJ139,'Технический лист'!$I:$J,2,1)-VLOOKUP($AO139,'Технический лист'!$I:$J,2,1)),1+(1-$AU139))</f>
        <v/>
      </c>
      <c r="CQ139" s="172">
        <f>MIN(IF($AU139=100%,1,1+VLOOKUP(($AJ139-$AI139-$AH139-$AG139-$AF139-$AE139*(1+CQ$3))/$AJ139,'Технический лист'!$I:$J,2,1)-VLOOKUP($AO139,'Технический лист'!$I:$J,2,1)),1+(1-$AU139))</f>
        <v/>
      </c>
      <c r="CR139" s="172">
        <f>MIN(IF($AU139=100%,1,1+VLOOKUP(($AJ139-$AI139-$AH139-$AG139-$AF139-$AE139*(1+CR$3))/$AJ139,'Технический лист'!$I:$J,2,1)-VLOOKUP($AO139,'Технический лист'!$I:$J,2,1)),1+(1-$AU139))</f>
        <v/>
      </c>
      <c r="CS139" s="172">
        <f>MIN(IF($AU139=100%,1,1+VLOOKUP(($AJ139-$AI139-$AH139-$AG139-$AF139-$AE139*(1+CS$3))/$AJ139,'Технический лист'!$I:$J,2,1)-VLOOKUP($AO139,'Технический лист'!$I:$J,2,1)),1+(1-$AU139))</f>
        <v/>
      </c>
      <c r="CT139" s="172">
        <f>MIN(IF($AU139=100%,1,1+VLOOKUP(($AJ139-$AI139-$AH139-$AG139-$AF139-$AE139*(1+CT$3))/$AJ139,'Технический лист'!$I:$J,2,1)-VLOOKUP($AO139,'Технический лист'!$I:$J,2,1)),1+(1-$AU139))</f>
        <v/>
      </c>
      <c r="CU139" s="172">
        <f>MIN(IF($AU139=100%,1,1+VLOOKUP(($AJ139-$AI139-$AH139-$AG139-$AF139-$AE139*(1+CU$3))/$AJ139,'Технический лист'!$I:$J,2,1)-VLOOKUP($AO139,'Технический лист'!$I:$J,2,1)),1+(1-$AU139))</f>
        <v/>
      </c>
      <c r="CV139" s="172">
        <f>MIN(IF($AU139=100%,1,1+VLOOKUP(($AJ139-$AI139-$AH139-$AG139-$AF139-$AE139*(1+CV$3))/$AJ139,'Технический лист'!$I:$J,2,1)-VLOOKUP($AO139,'Технический лист'!$I:$J,2,1)),1+(1-$AU139))</f>
        <v/>
      </c>
      <c r="CW139" s="172">
        <f>MIN(IF($AU139=100%,1,1+VLOOKUP(($AJ139-$AI139-$AH139-$AG139-$AF139-$AE139*(1+CW$3))/$AJ139,'Технический лист'!$I:$J,2,1)-VLOOKUP($AO139,'Технический лист'!$I:$J,2,1)),1+(1-$AU139))</f>
        <v/>
      </c>
      <c r="CX139" s="172">
        <f>MIN(IF($AU139=100%,1,1+VLOOKUP(($AJ139-$AI139-$AH139-$AG139-$AF139-$AE139*(1+CX$3))/$AJ139,'Технический лист'!$I:$J,2,1)-VLOOKUP($AO139,'Технический лист'!$I:$J,2,1)),1+(1-$AU139))</f>
        <v/>
      </c>
      <c r="CY139" s="172">
        <f>MIN(IF($AU139=100%,1,1+VLOOKUP(($AJ139-$AI139-$AH139-$AG139-$AF139-$AE139*(1+CY$3))/$AJ139,'Технический лист'!$I:$J,2,1)-VLOOKUP($AO139,'Технический лист'!$I:$J,2,1)),1+(1-$AU139))</f>
        <v/>
      </c>
      <c r="CZ139" s="172">
        <f>MIN(IF($AU139=100%,1,1+VLOOKUP(($AJ139-$AI139-$AH139-$AG139-$AF139-$AE139*(1+CZ$3))/$AJ139,'Технический лист'!$I:$J,2,1)-VLOOKUP($AO139,'Технический лист'!$I:$J,2,1)),1+(1-$AU139))</f>
        <v/>
      </c>
      <c r="DA139" s="172">
        <f>MIN(IF($AU139=100%,1,1+VLOOKUP(($AJ139-$AI139-$AH139-$AG139-$AF139-$AE139*(1+DA$3))/$AJ139,'Технический лист'!$I:$J,2,1)-VLOOKUP($AO139,'Технический лист'!$I:$J,2,1)),1+(1-$AU139))</f>
        <v/>
      </c>
      <c r="DB139" s="172">
        <f>MIN(IF($AU139=100%,1,1+VLOOKUP(($AJ139-$AI139-$AH139-$AG139-$AF139-$AE139*(1+DB$3))/$AJ139,'Технический лист'!$I:$J,2,1)-VLOOKUP($AO139,'Технический лист'!$I:$J,2,1)),1+(1-$AU139))</f>
        <v/>
      </c>
      <c r="DC139" s="172">
        <f>MIN(IF($AU139=100%,1,1+VLOOKUP(($AJ139-$AI139-$AH139-$AG139-$AF139-$AE139*(1+DC$3))/$AJ139,'Технический лист'!$I:$J,2,1)-VLOOKUP($AO139,'Технический лист'!$I:$J,2,1)),1+(1-$AU139))</f>
        <v/>
      </c>
      <c r="DD139" s="172">
        <f>MIN(IF($AU139=100%,1,1+VLOOKUP(($AJ139-$AI139-$AH139-$AG139-$AF139-$AE139*(1+DD$3))/$AJ139,'Технический лист'!$I:$J,2,1)-VLOOKUP($AO139,'Технический лист'!$I:$J,2,1)),1+(1-$AU139))</f>
        <v/>
      </c>
      <c r="DE139" s="172">
        <f>MIN(IF($AU139=100%,1,1+VLOOKUP(($AJ139-$AI139-$AH139-$AG139-$AF139-$AE139*(1+DE$3))/$AJ139,'Технический лист'!$I:$J,2,1)-VLOOKUP($AO139,'Технический лист'!$I:$J,2,1)),1+(1-$AU139))</f>
        <v/>
      </c>
      <c r="DF139" s="172">
        <f>MIN(IF($AU139=100%,1,1+VLOOKUP(($AJ139-$AI139-$AH139-$AG139-$AF139-$AE139*(1+DF$3))/$AJ139,'Технический лист'!$I:$J,2,1)-VLOOKUP($AO139,'Технический лист'!$I:$J,2,1)),1+(1-$AU139))</f>
        <v/>
      </c>
      <c r="DG139" s="172">
        <f>MIN(IF($AU139=100%,1,1+VLOOKUP(($AJ139-$AI139-$AH139-$AG139-$AF139-$AE139*(1+DG$3))/$AJ139,'Технический лист'!$I:$J,2,1)-VLOOKUP($AO139,'Технический лист'!$I:$J,2,1)),1+(1-$AU139))</f>
        <v/>
      </c>
      <c r="DH139" s="172">
        <f>MIN(IF($AU139=100%,1,1+VLOOKUP(($AJ139-$AI139-$AH139-$AG139-$AF139-$AE139*(1+DH$3))/$AJ139,'Технический лист'!$I:$J,2,1)-VLOOKUP($AO139,'Технический лист'!$I:$J,2,1)),1+(1-$AU139))</f>
        <v/>
      </c>
      <c r="DI139" s="172">
        <f>MIN(IF($AU139=100%,1,1+VLOOKUP(($AJ139-$AI139-$AH139-$AG139-$AF139-$AE139*(1+DI$3))/$AJ139,'Технический лист'!$I:$J,2,1)-VLOOKUP($AO139,'Технический лист'!$I:$J,2,1)),1+(1-$AU139))</f>
        <v/>
      </c>
      <c r="DJ139" s="172">
        <f>MIN(IF($AU139=100%,1,1+VLOOKUP(($AJ139-$AI139-$AH139-$AG139-$AF139-$AE139*(1+DJ$3))/$AJ139,'Технический лист'!$I:$J,2,1)-VLOOKUP($AO139,'Технический лист'!$I:$J,2,1)),1+(1-$AU139))</f>
        <v/>
      </c>
      <c r="DK139" s="172">
        <f>MIN(IF($AU139=100%,1,1+VLOOKUP(($AJ139-$AI139-$AH139-$AG139-$AF139-$AE139*(1+DK$3))/$AJ139,'Технический лист'!$I:$J,2,1)-VLOOKUP($AO139,'Технический лист'!$I:$J,2,1)),1+(1-$AU139))</f>
        <v/>
      </c>
      <c r="DL139" s="172">
        <f>MIN(IF($AU139=100%,1,1+VLOOKUP(($AJ139-$AI139-$AH139-$AG139-$AF139-$AE139*(1+DL$3))/$AJ139,'Технический лист'!$I:$J,2,1)-VLOOKUP($AO139,'Технический лист'!$I:$J,2,1)),1+(1-$AU139))</f>
        <v/>
      </c>
      <c r="DM139" s="172">
        <f>MIN(IF($AU139=100%,1,1+VLOOKUP(($AJ139-$AI139-$AH139-$AG139-$AF139-$AE139*(1+DM$3))/$AJ139,'Технический лист'!$I:$J,2,1)-VLOOKUP($AO139,'Технический лист'!$I:$J,2,1)),1+(1-$AU139))</f>
        <v/>
      </c>
      <c r="DN139" s="172">
        <f>MIN(IF($AU139=100%,1,1+VLOOKUP(($AJ139-$AI139-$AH139-$AG139-$AF139-$AE139*(1+DN$3))/$AJ139,'Технический лист'!$I:$J,2,1)-VLOOKUP($AO139,'Технический лист'!$I:$J,2,1)),1+(1-$AU139))</f>
        <v/>
      </c>
      <c r="DO139" s="172">
        <f>MIN(IF($AU139=100%,1,1+VLOOKUP(($AJ139-$AI139-$AH139-$AG139-$AF139-$AE139*(1+DO$3))/$AJ139,'Технический лист'!$I:$J,2,1)-VLOOKUP($AO139,'Технический лист'!$I:$J,2,1)),1+(1-$AU139))</f>
        <v/>
      </c>
      <c r="DP139" s="172">
        <f>MIN(IF($AU139=100%,1,1+VLOOKUP(($AJ139-$AI139-$AH139-$AG139-$AF139-$AE139*(1+DP$3))/$AJ139,'Технический лист'!$I:$J,2,1)-VLOOKUP($AO139,'Технический лист'!$I:$J,2,1)),1+(1-$AU139))</f>
        <v/>
      </c>
      <c r="DQ139" s="172">
        <f>MIN(IF($AU139=100%,1,1+VLOOKUP(($AJ139-$AI139-$AH139-$AG139-$AF139-$AE139*(1+DQ$3))/$AJ139,'Технический лист'!$I:$J,2,1)-VLOOKUP($AO139,'Технический лист'!$I:$J,2,1)),1+(1-$AU139))</f>
        <v/>
      </c>
      <c r="DR139" s="172">
        <f>MIN(IF($AU139=100%,1,1+VLOOKUP(($AJ139-$AI139-$AH139-$AG139-$AF139-$AE139*(1+DR$3))/$AJ139,'Технический лист'!$I:$J,2,1)-VLOOKUP($AO139,'Технический лист'!$I:$J,2,1)),1+(1-$AU139))</f>
        <v/>
      </c>
      <c r="DS139" s="172">
        <f>MIN(IF($AU139=100%,1,1+VLOOKUP(($AJ139-$AI139-$AH139-$AG139-$AF139-$AE139*(1+DS$3))/$AJ139,'Технический лист'!$I:$J,2,1)-VLOOKUP($AO139,'Технический лист'!$I:$J,2,1)),1+(1-$AU139))</f>
        <v/>
      </c>
      <c r="DT139" s="172">
        <f>MIN(IF($AU139=100%,1,1+VLOOKUP(($AJ139-$AI139-$AH139-$AG139-$AF139-$AE139*(1+DT$3))/$AJ139,'Технический лист'!$I:$J,2,1)-VLOOKUP($AO139,'Технический лист'!$I:$J,2,1)),1+(1-$AU139))</f>
        <v/>
      </c>
      <c r="DU139" s="172">
        <f>MIN(IF($AU139=100%,1,1+VLOOKUP(($AJ139-$AI139-$AH139-$AG139-$AF139-$AE139*(1+DU$3))/$AJ139,'Технический лист'!$I:$J,2,1)-VLOOKUP($AO139,'Технический лист'!$I:$J,2,1)),1+(1-$AU139))</f>
        <v/>
      </c>
      <c r="DV139" s="172">
        <f>MIN(IF($AU139=100%,1,1+VLOOKUP(($AJ139-$AI139-$AH139-$AG139-$AF139-$AE139*(1+DV$3))/$AJ139,'Технический лист'!$I:$J,2,1)-VLOOKUP($AO139,'Технический лист'!$I:$J,2,1)),1+(1-$AU139))</f>
        <v/>
      </c>
      <c r="DW139" s="172">
        <f>MIN(IF($AU139=100%,1,1+VLOOKUP(($AJ139-$AI139-$AH139-$AG139-$AF139-$AE139*(1+DW$3))/$AJ139,'Технический лист'!$I:$J,2,1)-VLOOKUP($AO139,'Технический лист'!$I:$J,2,1)),1+(1-$AU139))</f>
        <v/>
      </c>
      <c r="DX139" s="172">
        <f>MIN(IF($AU139=100%,1,1+VLOOKUP(($AJ139-$AI139-$AH139-$AG139-$AF139-$AE139*(1+DX$3))/$AJ139,'Технический лист'!$I:$J,2,1)-VLOOKUP($AO139,'Технический лист'!$I:$J,2,1)),1+(1-$AU139))</f>
        <v/>
      </c>
      <c r="DY139" s="172">
        <f>MIN(IF($AU139=100%,1,1+VLOOKUP(($AJ139-$AI139-$AH139-$AG139-$AF139-$AE139*(1+DY$3))/$AJ139,'Технический лист'!$I:$J,2,1)-VLOOKUP($AO139,'Технический лист'!$I:$J,2,1)),1+(1-$AU139))</f>
        <v/>
      </c>
      <c r="DZ139" s="172">
        <f>MIN(IF($AU139=100%,1,1+VLOOKUP(($AJ139-$AI139-$AH139-$AG139-$AF139-$AE139*(1+DZ$3))/$AJ139,'Технический лист'!$I:$J,2,1)-VLOOKUP($AO139,'Технический лист'!$I:$J,2,1)),1+(1-$AU139))</f>
        <v/>
      </c>
      <c r="EA139" s="172">
        <f>MIN(IF($AU139=100%,1,1+VLOOKUP(($AJ139-$AI139-$AH139-$AG139-$AF139-$AE139*(1+EA$3))/$AJ139,'Технический лист'!$I:$J,2,1)-VLOOKUP($AO139,'Технический лист'!$I:$J,2,1)),1+(1-$AU139))</f>
        <v/>
      </c>
      <c r="EB139" s="172">
        <f>MIN(IF($AU139=100%,1,1+VLOOKUP(($AJ139-$AI139-$AH139-$AG139-$AF139-$AE139*(1+EB$3))/$AJ139,'Технический лист'!$I:$J,2,1)-VLOOKUP($AO139,'Технический лист'!$I:$J,2,1)),1+(1-$AU139))</f>
        <v/>
      </c>
      <c r="EC139" s="172">
        <f>MIN(IF($AU139=100%,1,1+VLOOKUP(($AJ139-$AI139-$AH139-$AG139-$AF139-$AE139*(1+EC$3))/$AJ139,'Технический лист'!$I:$J,2,1)-VLOOKUP($AO139,'Технический лист'!$I:$J,2,1)),1+(1-$AU139))</f>
        <v/>
      </c>
      <c r="ED139" s="172">
        <f>MIN(IF($AU139=100%,1,1+VLOOKUP(($AJ139-$AI139-$AH139-$AG139-$AF139-$AE139*(1+ED$3))/$AJ139,'Технический лист'!$I:$J,2,1)-VLOOKUP($AO139,'Технический лист'!$I:$J,2,1)),1+(1-$AU139))</f>
        <v/>
      </c>
      <c r="EE139" s="172">
        <f>MIN(IF($AU139=100%,1,1+VLOOKUP(($AJ139-$AI139-$AH139-$AG139-$AF139-$AE139*(1+EE$3))/$AJ139,'Технический лист'!$I:$J,2,1)-VLOOKUP($AO139,'Технический лист'!$I:$J,2,1)),1+(1-$AU139))</f>
        <v/>
      </c>
      <c r="EF139" s="172">
        <f>MIN(IF($AU139=100%,1,1+VLOOKUP(($AJ139-$AI139-$AH139-$AG139-$AF139-$AE139*(1+EF$3))/$AJ139,'Технический лист'!$I:$J,2,1)-VLOOKUP($AO139,'Технический лист'!$I:$J,2,1)),1+(1-$AU139))</f>
        <v/>
      </c>
      <c r="EG139" s="172">
        <f>MIN(IF($AU139=100%,1,1+VLOOKUP(($AJ139-$AI139-$AH139-$AG139-$AF139-$AE139*(1+EG$3))/$AJ139,'Технический лист'!$I:$J,2,1)-VLOOKUP($AO139,'Технический лист'!$I:$J,2,1)),1+(1-$AU139))</f>
        <v/>
      </c>
      <c r="EH139" s="172">
        <f>MIN(IF($AU139=100%,1,1+VLOOKUP(($AJ139-$AI139-$AH139-$AG139-$AF139-$AE139*(1+EH$3))/$AJ139,'Технический лист'!$I:$J,2,1)-VLOOKUP($AO139,'Технический лист'!$I:$J,2,1)),1+(1-$AU139))</f>
        <v/>
      </c>
      <c r="EI139" s="172">
        <f>MIN(IF($AU139=100%,1,1+VLOOKUP(($AJ139-$AI139-$AH139-$AG139-$AF139-$AE139*(1+EI$3))/$AJ139,'Технический лист'!$I:$J,2,1)-VLOOKUP($AO139,'Технический лист'!$I:$J,2,1)),1+(1-$AU139))</f>
        <v/>
      </c>
      <c r="EJ139" s="172">
        <f>MIN(IF($AU139=100%,1,1+VLOOKUP(($AJ139-$AI139-$AH139-$AG139-$AF139-$AE139*(1+EJ$3))/$AJ139,'Технический лист'!$I:$J,2,1)-VLOOKUP($AO139,'Технический лист'!$I:$J,2,1)),1+(1-$AU139))</f>
        <v/>
      </c>
      <c r="EK139" s="172">
        <f>MIN(IF($AU139=100%,1,1+VLOOKUP(($AJ139-$AI139-$AH139-$AG139-$AF139-$AE139*(1+EK$3))/$AJ139,'Технический лист'!$I:$J,2,1)-VLOOKUP($AO139,'Технический лист'!$I:$J,2,1)),1+(1-$AU139))</f>
        <v/>
      </c>
      <c r="EL139" s="172">
        <f>MIN(IF($AU139=100%,1,1+VLOOKUP(($AJ139-$AI139-$AH139-$AG139-$AF139-$AE139*(1+EL$3))/$AJ139,'Технический лист'!$I:$J,2,1)-VLOOKUP($AO139,'Технический лист'!$I:$J,2,1)),1+(1-$AU139))</f>
        <v/>
      </c>
      <c r="EM139" s="172">
        <f>MIN(IF($AU139=100%,1,1+VLOOKUP(($AJ139-$AI139-$AH139-$AG139-$AF139-$AE139*(1+EM$3))/$AJ139,'Технический лист'!$I:$J,2,1)-VLOOKUP($AO139,'Технический лист'!$I:$J,2,1)),1+(1-$AU139))</f>
        <v/>
      </c>
      <c r="EN139" s="172">
        <f>MIN(IF($AU139=100%,1,1+VLOOKUP(($AJ139-$AI139-$AH139-$AG139-$AF139-$AE139*(1+EN$3))/$AJ139,'Технический лист'!$I:$J,2,1)-VLOOKUP($AO139,'Технический лист'!$I:$J,2,1)),1+(1-$AU139))</f>
        <v/>
      </c>
      <c r="EO139" s="172">
        <f>MIN(IF($AU139=100%,1,1+VLOOKUP(($AJ139-$AI139-$AH139-$AG139-$AF139-$AE139*(1+EO$3))/$AJ139,'Технический лист'!$I:$J,2,1)-VLOOKUP($AO139,'Технический лист'!$I:$J,2,1)),1+(1-$AU139))</f>
        <v/>
      </c>
      <c r="EP139" s="172">
        <f>MIN(IF($AU139=100%,1,1+VLOOKUP(($AJ139-$AI139-$AH139-$AG139-$AF139-$AE139*(1+EP$3))/$AJ139,'Технический лист'!$I:$J,2,1)-VLOOKUP($AO139,'Технический лист'!$I:$J,2,1)),1+(1-$AU139))</f>
        <v/>
      </c>
      <c r="EQ139" s="172">
        <f>MIN(IF($AU139=100%,1,1+VLOOKUP(($AJ139-$AI139-$AH139-$AG139-$AF139-$AE139*(1+EQ$3))/$AJ139,'Технический лист'!$I:$J,2,1)-VLOOKUP($AO139,'Технический лист'!$I:$J,2,1)),1+(1-$AU139))</f>
        <v/>
      </c>
      <c r="ER139" s="172">
        <f>MIN(IF($AU139=100%,1,1+VLOOKUP(($AJ139-$AI139-$AH139-$AG139-$AF139-$AE139*(1+ER$3))/$AJ139,'Технический лист'!$I:$J,2,1)-VLOOKUP($AO139,'Технический лист'!$I:$J,2,1)),1+(1-$AU139))</f>
        <v/>
      </c>
      <c r="ES139" s="172">
        <f>MIN(IF($AU139=100%,1,1+VLOOKUP(($AJ139-$AI139-$AH139-$AG139-$AF139-$AE139*(1+ES$3))/$AJ139,'Технический лист'!$I:$J,2,1)-VLOOKUP($AO139,'Технический лист'!$I:$J,2,1)),1+(1-$AU139))</f>
        <v/>
      </c>
      <c r="ET139" s="172">
        <f>MIN(IF($AU139=100%,1,1+VLOOKUP(($AJ139-$AI139-$AH139-$AG139-$AF139-$AE139*(1+ET$3))/$AJ139,'Технический лист'!$I:$J,2,1)-VLOOKUP($AO139,'Технический лист'!$I:$J,2,1)),1+(1-$AU139))</f>
        <v/>
      </c>
      <c r="EU139" s="172">
        <f>MIN(IF($AU139=100%,1,1+VLOOKUP(($AJ139-$AI139-$AH139-$AG139-$AF139-$AE139*(1+EU$3))/$AJ139,'Технический лист'!$I:$J,2,1)-VLOOKUP($AO139,'Технический лист'!$I:$J,2,1)),1+(1-$AU139))</f>
        <v/>
      </c>
      <c r="EV139" s="173" t="n">
        <v>1</v>
      </c>
      <c r="EW139" s="172">
        <f>MIN(1,MAX(VLOOKUP(($AJ139-$AI139-$AH139-$AG139-$AF139-$AE139*(1+EW$3))/$AJ139,'Технический лист'!$A:$B,2,1),(EV139-0.05)))</f>
        <v/>
      </c>
      <c r="EX139" s="172">
        <f>MIN(1,MAX(VLOOKUP(($AJ139-$AI139-$AH139-$AG139-$AF139-$AE139*(1+EX$3))/$AJ139,'Технический лист'!$A:$B,2,1),(EW139-0.05)))</f>
        <v/>
      </c>
      <c r="EY139" s="172">
        <f>MIN(1,MAX(VLOOKUP(($AJ139-$AI139-$AH139-$AG139-$AF139-$AE139*(1+EY$3))/$AJ139,'Технический лист'!$A:$B,2,1),(EX139-0.05)))</f>
        <v/>
      </c>
      <c r="EZ139" s="172">
        <f>MIN(1,MAX(VLOOKUP(($AJ139-$AI139-$AH139-$AG139-$AF139-$AE139*(1+EZ$3))/$AJ139,'Технический лист'!$A:$B,2,1),(EY139-0.05)))</f>
        <v/>
      </c>
      <c r="FA139" s="172">
        <f>MIN(1,MAX(VLOOKUP(($AJ139-$AI139-$AH139-$AG139-$AF139-$AE139*(1+FA$3))/$AJ139,'Технический лист'!$A:$B,2,1),(EZ139-0.05)))</f>
        <v/>
      </c>
      <c r="FB139" s="172">
        <f>MIN(1,MAX(VLOOKUP(($AJ139-$AI139-$AH139-$AG139-$AF139-$AE139*(1+FB$3))/$AJ139,'Технический лист'!$A:$B,2,1),(FA139-0.05)))</f>
        <v/>
      </c>
      <c r="FC139" s="172">
        <f>MIN(1,MAX(VLOOKUP(($AJ139-$AI139-$AH139-$AG139-$AF139-$AE139*(1+FC$3))/$AJ139,'Технический лист'!$A:$B,2,1),(FB139-0.05)))</f>
        <v/>
      </c>
      <c r="FD139" s="172">
        <f>MIN(1,MAX(VLOOKUP(($AJ139-$AI139-$AH139-$AG139-$AF139-$AE139*(1+FD$3))/$AJ139,'Технический лист'!$A:$B,2,1),(FC139-0.05)))</f>
        <v/>
      </c>
      <c r="FE139" s="172">
        <f>MIN(1,MAX(VLOOKUP(($AJ139-$AI139-$AH139-$AG139-$AF139-$AE139*(1+FE$3))/$AJ139,'Технический лист'!$A:$B,2,1),(FD139-0.05)))</f>
        <v/>
      </c>
      <c r="FF139" s="172">
        <f>MIN(1,MAX(VLOOKUP(($AJ139-$AI139-$AH139-$AG139-$AF139-$AE139*(1+FF$3))/$AJ139,'Технический лист'!$A:$B,2,1),(FE139-0.05)))</f>
        <v/>
      </c>
      <c r="FG139" s="172">
        <f>MIN(1,MAX(VLOOKUP(($AJ139-$AI139-$AH139-$AG139-$AF139-$AE139*(1+FG$3))/$AJ139,'Технический лист'!$A:$B,2,1),(FF139-0.05)))</f>
        <v/>
      </c>
      <c r="FH139" s="172">
        <f>MIN(1,MAX(VLOOKUP(($AJ139-$AI139-$AH139-$AG139-$AF139-$AE139*(1+FH$3))/$AJ139,'Технический лист'!$A:$B,2,1),(FG139-0.05)))</f>
        <v/>
      </c>
      <c r="FI139" s="172">
        <f>MIN(1,MAX(VLOOKUP(($AJ139-$AI139-$AH139-$AG139-$AF139-$AE139*(1+FI$3))/$AJ139,'Технический лист'!$A:$B,2,1),(FH139-0.05)))</f>
        <v/>
      </c>
      <c r="FJ139" s="172">
        <f>MIN(1,MAX(VLOOKUP(($AJ139-$AI139-$AH139-$AG139-$AF139-$AE139*(1+FJ$3))/$AJ139,'Технический лист'!$A:$B,2,1),(FI139-0.05)))</f>
        <v/>
      </c>
      <c r="FK139" s="172">
        <f>MIN(1,MAX(VLOOKUP(($AJ139-$AI139-$AH139-$AG139-$AF139-$AE139*(1+FK$3))/$AJ139,'Технический лист'!$A:$B,2,1),(FJ139-0.05)))</f>
        <v/>
      </c>
      <c r="FL139" s="172">
        <f>MIN(1,MAX(VLOOKUP(($AJ139-$AI139-$AH139-$AG139-$AF139-$AE139*(1+FL$3))/$AJ139,'Технический лист'!$A:$B,2,1),(FK139-0.05)))</f>
        <v/>
      </c>
      <c r="FM139" s="172">
        <f>MIN(1,MAX(VLOOKUP(($AJ139-$AI139-$AH139-$AG139-$AF139-$AE139*(1+FM$3))/$AJ139,'Технический лист'!$A:$B,2,1),(FL139-0.05)))</f>
        <v/>
      </c>
      <c r="FN139" s="172">
        <f>MIN(1,MAX(VLOOKUP(($AJ139-$AI139-$AH139-$AG139-$AF139-$AE139*(1+FN$3))/$AJ139,'Технический лист'!$A:$B,2,1),(FM139-0.05)))</f>
        <v/>
      </c>
      <c r="FO139" s="172">
        <f>MIN(1,MAX(VLOOKUP(($AJ139-$AI139-$AH139-$AG139-$AF139-$AE139*(1+FO$3))/$AJ139,'Технический лист'!$A:$B,2,1),(FN139-0.05)))</f>
        <v/>
      </c>
      <c r="FP139" s="172">
        <f>MIN(1,MAX(VLOOKUP(($AJ139-$AI139-$AH139-$AG139-$AF139-$AE139*(1+FP$3))/$AJ139,'Технический лист'!$A:$B,2,1),(FO139-0.05)))</f>
        <v/>
      </c>
      <c r="FQ139" s="172">
        <f>MIN(1,MAX(VLOOKUP(($AJ139-$AI139-$AH139-$AG139-$AF139-$AE139*(1+FQ$3))/$AJ139,'Технический лист'!$A:$B,2,1),(FP139-0.05)))</f>
        <v/>
      </c>
      <c r="FR139" s="172">
        <f>MIN(1,MAX(VLOOKUP(($AJ139-$AI139-$AH139-$AG139-$AF139-$AE139*(1+FR$3))/$AJ139,'Технический лист'!$A:$B,2,1),(FQ139-0.05)))</f>
        <v/>
      </c>
      <c r="FS139" s="172">
        <f>MIN(1,MAX(VLOOKUP(($AJ139-$AI139-$AH139-$AG139-$AF139-$AE139*(1+FS$3))/$AJ139,'Технический лист'!$A:$B,2,1),(FR139-0.05)))</f>
        <v/>
      </c>
      <c r="FT139" s="172">
        <f>MIN(1,MAX(VLOOKUP(($AJ139-$AI139-$AH139-$AG139-$AF139-$AE139*(1+FT$3))/$AJ139,'Технический лист'!$A:$B,2,1),(FS139-0.05)))</f>
        <v/>
      </c>
      <c r="FU139" s="172">
        <f>MIN(1,MAX(VLOOKUP(($AJ139-$AI139-$AH139-$AG139-$AF139-$AE139*(1+FU$3))/$AJ139,'Технический лист'!$A:$B,2,1),(FT139-0.05)))</f>
        <v/>
      </c>
      <c r="FV139" s="172">
        <f>MIN(1,MAX(VLOOKUP(($AJ139-$AI139-$AH139-$AG139-$AF139-$AE139*(1+FV$3))/$AJ139,'Технический лист'!$A:$B,2,1),(FU139-0.05)))</f>
        <v/>
      </c>
      <c r="FW139" s="172">
        <f>MIN(1,MAX(VLOOKUP(($AJ139-$AI139-$AH139-$AG139-$AF139-$AE139*(1+FW$3))/$AJ139,'Технический лист'!$A:$B,2,1),(FV139-0.05)))</f>
        <v/>
      </c>
      <c r="FX139" s="172">
        <f>MIN(1,MAX(VLOOKUP(($AJ139-$AI139-$AH139-$AG139-$AF139-$AE139*(1+FX$3))/$AJ139,'Технический лист'!$A:$B,2,1),(FW139-0.05)))</f>
        <v/>
      </c>
      <c r="FY139" s="172">
        <f>MIN(1,MAX(VLOOKUP(($AJ139-$AI139-$AH139-$AG139-$AF139-$AE139*(1+FY$3))/$AJ139,'Технический лист'!$A:$B,2,1),(FX139-0.05)))</f>
        <v/>
      </c>
      <c r="FZ139" s="172">
        <f>MIN(1,MAX(VLOOKUP(($AJ139-$AI139-$AH139-$AG139-$AF139-$AE139*(1+FZ$3))/$AJ139,'Технический лист'!$A:$B,2,1),(FY139-0.05)))</f>
        <v/>
      </c>
      <c r="GA139" s="172">
        <f>MIN(1,MAX(VLOOKUP(($AJ139-$AI139-$AH139-$AG139-$AF139-$AE139*(1+GA$3))/$AJ139,'Технический лист'!$A:$B,2,1),(FZ139-0.05)))</f>
        <v/>
      </c>
      <c r="GB139" s="172">
        <f>MIN(1,MAX(VLOOKUP(($AJ139-$AI139-$AH139-$AG139-$AF139-$AE139*(1+GB$3))/$AJ139,'Технический лист'!$A:$B,2,1),(GA139-0.05)))</f>
        <v/>
      </c>
      <c r="GC139" s="172">
        <f>MIN(1,MAX(VLOOKUP(($AJ139-$AI139-$AH139-$AG139-$AF139-$AE139*(1+GC$3))/$AJ139,'Технический лист'!$A:$B,2,1),(GB139-0.05)))</f>
        <v/>
      </c>
      <c r="GD139" s="172">
        <f>MIN(1,MAX(VLOOKUP(($AJ139-$AI139-$AH139-$AG139-$AF139-$AE139*(1+GD$3))/$AJ139,'Технический лист'!$A:$B,2,1),(GC139-0.05)))</f>
        <v/>
      </c>
      <c r="GE139" s="172">
        <f>MIN(1,MAX(VLOOKUP(($AJ139-$AI139-$AH139-$AG139-$AF139-$AE139*(1+GE$3))/$AJ139,'Технический лист'!$A:$B,2,1),(GD139-0.05)))</f>
        <v/>
      </c>
      <c r="GF139" s="172">
        <f>MIN(1,MAX(VLOOKUP(($AJ139-$AI139-$AH139-$AG139-$AF139-$AE139*(1+GF$3))/$AJ139,'Технический лист'!$A:$B,2,1),(GE139-0.05)))</f>
        <v/>
      </c>
      <c r="GG139" s="172">
        <f>MIN(1,MAX(VLOOKUP(($AJ139-$AI139-$AH139-$AG139-$AF139-$AE139*(1+GG$3))/$AJ139,'Технический лист'!$A:$B,2,1),(GF139-0.05)))</f>
        <v/>
      </c>
      <c r="GH139" s="172">
        <f>MIN(1,MAX(VLOOKUP(($AJ139-$AI139-$AH139-$AG139-$AF139-$AE139*(1+GH$3))/$AJ139,'Технический лист'!$A:$B,2,1),(GG139-0.05)))</f>
        <v/>
      </c>
      <c r="GI139" s="172">
        <f>MIN(1,MAX(VLOOKUP(($AJ139-$AI139-$AH139-$AG139-$AF139-$AE139*(1+GI$3))/$AJ139,'Технический лист'!$A:$B,2,1),(GH139-0.05)))</f>
        <v/>
      </c>
      <c r="GJ139" s="172">
        <f>MIN(1,MAX(VLOOKUP(($AJ139-$AI139-$AH139-$AG139-$AF139-$AE139*(1+GJ$3))/$AJ139,'Технический лист'!$A:$B,2,1),(GI139-0.05)))</f>
        <v/>
      </c>
      <c r="GK139" s="172">
        <f>MIN(1,MAX(VLOOKUP(($AJ139-$AI139-$AH139-$AG139-$AF139-$AE139*(1+GK$3))/$AJ139,'Технический лист'!$A:$B,2,1),(GJ139-0.05)))</f>
        <v/>
      </c>
      <c r="GL139" s="172">
        <f>MIN(1,MAX(VLOOKUP(($AJ139-$AI139-$AH139-$AG139-$AF139-$AE139*(1+GL$3))/$AJ139,'Технический лист'!$A:$B,2,1),(GK139-0.05)))</f>
        <v/>
      </c>
      <c r="GM139" s="172">
        <f>MIN(1,MAX(VLOOKUP(($AJ139-$AI139-$AH139-$AG139-$AF139-$AE139*(1+GM$3))/$AJ139,'Технический лист'!$A:$B,2,1),(GL139-0.05)))</f>
        <v/>
      </c>
      <c r="GN139" s="172">
        <f>MIN(1,MAX(VLOOKUP(($AJ139-$AI139-$AH139-$AG139-$AF139-$AE139*(1+GN$3))/$AJ139,'Технический лист'!$A:$B,2,1),(GM139-0.05)))</f>
        <v/>
      </c>
      <c r="GO139" s="172">
        <f>MIN(1,MAX(VLOOKUP(($AJ139-$AI139-$AH139-$AG139-$AF139-$AE139*(1+GO$3))/$AJ139,'Технический лист'!$A:$B,2,1),(GN139-0.05)))</f>
        <v/>
      </c>
      <c r="GP139" s="172">
        <f>MIN(1,MAX(VLOOKUP(($AJ139-$AI139-$AH139-$AG139-$AF139-$AE139*(1+GP$3))/$AJ139,'Технический лист'!$A:$B,2,1),(GO139-0.05)))</f>
        <v/>
      </c>
      <c r="GQ139" s="172">
        <f>MIN(1,MAX(VLOOKUP(($AJ139-$AI139-$AH139-$AG139-$AF139-$AE139*(1+GQ$3))/$AJ139,'Технический лист'!$A:$B,2,1),(GP139-0.05)))</f>
        <v/>
      </c>
      <c r="GR139" s="172">
        <f>MIN(1,MAX(VLOOKUP(($AJ139-$AI139-$AH139-$AG139-$AF139-$AE139*(1+GR$3))/$AJ139,'Технический лист'!$A:$B,2,1),(GQ139-0.05)))</f>
        <v/>
      </c>
      <c r="GS139" s="172">
        <f>MIN(1,MAX(VLOOKUP(($AJ139-$AI139-$AH139-$AG139-$AF139-$AE139*(1+GS$3))/$AJ139,'Технический лист'!$A:$B,2,1),(GR139-0.05)))</f>
        <v/>
      </c>
      <c r="GT139" s="172">
        <f>MIN(1,MAX(VLOOKUP(($AJ139-$AI139-$AH139-$AG139-$AF139-$AE139*(1+GT$3))/$AJ139,'Технический лист'!$A:$B,2,1),(GS139-0.05)))</f>
        <v/>
      </c>
      <c r="GU139" s="172">
        <f>MIN(1,MAX(VLOOKUP(($AJ139-$AI139-$AH139-$AG139-$AF139-$AE139*(1+GU$3))/$AJ139,'Технический лист'!$A:$B,2,1),(GT139-0.05)))</f>
        <v/>
      </c>
      <c r="GV139" s="172">
        <f>MIN(1,MAX(VLOOKUP(($AJ139-$AI139-$AH139-$AG139-$AF139-$AE139*(1+GV$3))/$AJ139,'Технический лист'!$A:$B,2,1),(GU139-0.05)))</f>
        <v/>
      </c>
      <c r="GW139" s="172">
        <f>MIN(1,MAX(VLOOKUP(($AJ139-$AI139-$AH139-$AG139-$AF139-$AE139*(1+GW$3))/$AJ139,'Технический лист'!$A:$B,2,1),(GV139-0.05)))</f>
        <v/>
      </c>
      <c r="GX139" s="172">
        <f>MIN(1,MAX(VLOOKUP(($AJ139-$AI139-$AH139-$AG139-$AF139-$AE139*(1+GX$3))/$AJ139,'Технический лист'!$A:$B,2,1),(GW139-0.05)))</f>
        <v/>
      </c>
      <c r="GY139" s="172">
        <f>MIN(1,MAX(VLOOKUP(($AJ139-$AI139-$AH139-$AG139-$AF139-$AE139*(1+GY$3))/$AJ139,'Технический лист'!$A:$B,2,1),(GX139-0.05)))</f>
        <v/>
      </c>
      <c r="GZ139" s="172">
        <f>MIN(1,MAX(VLOOKUP(($AJ139-$AI139-$AH139-$AG139-$AF139-$AE139*(1+GZ$3))/$AJ139,'Технический лист'!$A:$B,2,1),(GY139-0.05)))</f>
        <v/>
      </c>
      <c r="HA139" s="172">
        <f>MIN(1,MAX(VLOOKUP(($AJ139-$AI139-$AH139-$AG139-$AF139-$AE139*(1+HA$3))/$AJ139,'Технический лист'!$A:$B,2,1),(GZ139-0.05)))</f>
        <v/>
      </c>
      <c r="HB139" s="172">
        <f>MIN(1,MAX(VLOOKUP(($AJ139-$AI139-$AH139-$AG139-$AF139-$AE139*(1+HB$3))/$AJ139,'Технический лист'!$A:$B,2,1),(HA139-0.05)))</f>
        <v/>
      </c>
      <c r="HC139" s="172">
        <f>MIN(1,MAX(VLOOKUP(($AJ139-$AI139-$AH139-$AG139-$AF139-$AE139*(1+HC$3))/$AJ139,'Технический лист'!$A:$B,2,1),(HB139-0.05)))</f>
        <v/>
      </c>
      <c r="HD139" s="172">
        <f>MIN(1,MAX(VLOOKUP(($AJ139-$AI139-$AH139-$AG139-$AF139-$AE139*(1+HD$3))/$AJ139,'Технический лист'!$A:$B,2,1),(HC139-0.05)))</f>
        <v/>
      </c>
      <c r="HE139" s="172">
        <f>MIN(1,MAX(VLOOKUP(($AJ139-$AI139-$AH139-$AG139-$AF139-$AE139*(1+HE$3))/$AJ139,'Технический лист'!$A:$B,2,1),(HD139-0.05)))</f>
        <v/>
      </c>
      <c r="HF139" s="172">
        <f>MIN(1,MAX(VLOOKUP(($AJ139-$AI139-$AH139-$AG139-$AF139-$AE139*(1+HF$3))/$AJ139,'Технический лист'!$A:$B,2,1),(HE139-0.05)))</f>
        <v/>
      </c>
      <c r="HG139" s="172">
        <f>MIN(1,MAX(VLOOKUP(($AJ139-$AI139-$AH139-$AG139-$AF139-$AE139*(1+HG$3))/$AJ139,'Технический лист'!$A:$B,2,1),(HF139-0.05)))</f>
        <v/>
      </c>
      <c r="HH139" s="172">
        <f>MIN(1,MAX(VLOOKUP(($AJ139-$AI139-$AH139-$AG139-$AF139-$AE139*(1+HH$3))/$AJ139,'Технический лист'!$A:$B,2,1),(HG139-0.05)))</f>
        <v/>
      </c>
      <c r="HI139" s="172">
        <f>MIN(1,MAX(VLOOKUP(($AJ139-$AI139-$AH139-$AG139-$AF139-$AE139*(1+HI$3))/$AJ139,'Технический лист'!$A:$B,2,1),(HH139-0.05)))</f>
        <v/>
      </c>
      <c r="HJ139" s="172">
        <f>MIN(1,MAX(VLOOKUP(($AJ139-$AI139-$AH139-$AG139-$AF139-$AE139*(1+HJ$3))/$AJ139,'Технический лист'!$A:$B,2,1),(HI139-0.05)))</f>
        <v/>
      </c>
      <c r="HK139" s="172">
        <f>MIN(1,MAX(VLOOKUP(($AJ139-$AI139-$AH139-$AG139-$AF139-$AE139*(1+HK$3))/$AJ139,'Технический лист'!$A:$B,2,1),(HJ139-0.05)))</f>
        <v/>
      </c>
      <c r="HL139" s="172">
        <f>MIN(1,MAX(VLOOKUP(($AJ139-$AI139-$AH139-$AG139-$AF139-$AE139*(1+HL$3))/$AJ139,'Технический лист'!$A:$B,2,1),(HK139-0.05)))</f>
        <v/>
      </c>
      <c r="HM139" s="172">
        <f>MIN(1,MAX(VLOOKUP(($AJ139-$AI139-$AH139-$AG139-$AF139-$AE139*(1+HM$3))/$AJ139,'Технический лист'!$A:$B,2,1),(HL139-0.05)))</f>
        <v/>
      </c>
      <c r="HN139" s="172">
        <f>MIN(1,MAX(VLOOKUP(($AJ139-$AI139-$AH139-$AG139-$AF139-$AE139*(1+HN$3))/$AJ139,'Технический лист'!$A:$B,2,1),(HM139-0.05)))</f>
        <v/>
      </c>
      <c r="HO139" s="172">
        <f>MIN(1,MAX(VLOOKUP(($AJ139-$AI139-$AH139-$AG139-$AF139-$AE139*(1+HO$3))/$AJ139,'Технический лист'!$A:$B,2,1),(HN139-0.05)))</f>
        <v/>
      </c>
      <c r="HP139" s="172">
        <f>MIN(1,MAX(VLOOKUP(($AJ139-$AI139-$AH139-$AG139-$AF139-$AE139*(1+HP$3))/$AJ139,'Технический лист'!$A:$B,2,1),(HO139-0.05)))</f>
        <v/>
      </c>
      <c r="HQ139" s="172">
        <f>MIN(1,MAX(VLOOKUP(($AJ139-$AI139-$AH139-$AG139-$AF139-$AE139*(1+HQ$3))/$AJ139,'Технический лист'!$A:$B,2,1),(HP139-0.05)))</f>
        <v/>
      </c>
      <c r="HR139" s="172">
        <f>MIN(1,MAX(VLOOKUP(($AJ139-$AI139-$AH139-$AG139-$AF139-$AE139*(1+HR$3))/$AJ139,'Технический лист'!$A:$B,2,1),(HQ139-0.05)))</f>
        <v/>
      </c>
      <c r="HS139" s="172">
        <f>MIN(1,MAX(VLOOKUP(($AJ139-$AI139-$AH139-$AG139-$AF139-$AE139*(1+HS$3))/$AJ139,'Технический лист'!$A:$B,2,1),(HR139-0.05)))</f>
        <v/>
      </c>
      <c r="HT139" s="172">
        <f>MIN(1,MAX(VLOOKUP(($AJ139-$AI139-$AH139-$AG139-$AF139-$AE139*(1+HT$3))/$AJ139,'Технический лист'!$A:$B,2,1),(HS139-0.05)))</f>
        <v/>
      </c>
      <c r="HU139" s="172">
        <f>MIN(1,MAX(VLOOKUP(($AJ139-$AI139-$AH139-$AG139-$AF139-$AE139*(1+HU$3))/$AJ139,'Технический лист'!$A:$B,2,1),(HT139-0.05)))</f>
        <v/>
      </c>
      <c r="HV139" s="172">
        <f>MIN(1,MAX(VLOOKUP(($AJ139-$AI139-$AH139-$AG139-$AF139-$AE139*(1+HV$3))/$AJ139,'Технический лист'!$A:$B,2,1),(HU139-0.05)))</f>
        <v/>
      </c>
      <c r="HW139" s="172">
        <f>MIN(1,MAX(VLOOKUP(($AJ139-$AI139-$AH139-$AG139-$AF139-$AE139*(1+HW$3))/$AJ139,'Технический лист'!$A:$B,2,1),(HV139-0.05)))</f>
        <v/>
      </c>
      <c r="HX139" s="172">
        <f>MIN(1,MAX(VLOOKUP(($AJ139-$AI139-$AH139-$AG139-$AF139-$AE139*(1+HX$3))/$AJ139,'Технический лист'!$A:$B,2,1),(HW139-0.05)))</f>
        <v/>
      </c>
      <c r="HY139" s="172">
        <f>MIN(1,MAX(VLOOKUP(($AJ139-$AI139-$AH139-$AG139-$AF139-$AE139*(1+HY$3))/$AJ139,'Технический лист'!$A:$B,2,1),(HX139-0.05)))</f>
        <v/>
      </c>
      <c r="HZ139" s="172">
        <f>MIN(1,MAX(VLOOKUP(($AJ139-$AI139-$AH139-$AG139-$AF139-$AE139*(1+HZ$3))/$AJ139,'Технический лист'!$A:$B,2,1),(HY139-0.05)))</f>
        <v/>
      </c>
      <c r="IA139" s="172">
        <f>MIN(1,MAX(VLOOKUP(($AJ139-$AI139-$AH139-$AG139-$AF139-$AE139*(1+IA$3))/$AJ139,'Технический лист'!$A:$B,2,1),(HZ139-0.05)))</f>
        <v/>
      </c>
      <c r="IB139" s="172">
        <f>MIN(1,MAX(VLOOKUP(($AJ139-$AI139-$AH139-$AG139-$AF139-$AE139*(1+IB$3))/$AJ139,'Технический лист'!$A:$B,2,1),(IA139-0.05)))</f>
        <v/>
      </c>
      <c r="IC139" s="172">
        <f>MIN(1,MAX(VLOOKUP(($AJ139-$AI139-$AH139-$AG139-$AF139-$AE139*(1+IC$3))/$AJ139,'Технический лист'!$A:$B,2,1),(IB139-0.05)))</f>
        <v/>
      </c>
      <c r="ID139" s="172">
        <f>MIN(1,MAX(VLOOKUP(($AJ139-$AI139-$AH139-$AG139-$AF139-$AE139*(1+ID$3))/$AJ139,'Технический лист'!$A:$B,2,1),(IC139-0.05)))</f>
        <v/>
      </c>
      <c r="IE139" s="172">
        <f>MIN(1,MAX(VLOOKUP(($AJ139-$AI139-$AH139-$AG139-$AF139-$AE139*(1+IE$3))/$AJ139,'Технический лист'!$A:$B,2,1),(ID139-0.05)))</f>
        <v/>
      </c>
      <c r="IF139" s="172">
        <f>MIN(1,MAX(VLOOKUP(($AJ139-$AI139-$AH139-$AG139-$AF139-$AE139*(1+IF$3))/$AJ139,'Технический лист'!$A:$B,2,1),(IE139-0.05)))</f>
        <v/>
      </c>
      <c r="IG139" s="172">
        <f>MIN(1,MAX(VLOOKUP(($AJ139-$AI139-$AH139-$AG139-$AF139-$AE139*(1+IG$3))/$AJ139,'Технический лист'!$A:$B,2,1),(IF139-0.05)))</f>
        <v/>
      </c>
      <c r="IH139" s="172">
        <f>MIN(1,MAX(VLOOKUP(($AJ139-$AI139-$AH139-$AG139-$AF139-$AE139*(1+IH$3))/$AJ139,'Технический лист'!$A:$B,2,1),(IG139-0.05)))</f>
        <v/>
      </c>
      <c r="II139" s="172">
        <f>MIN(1,MAX(VLOOKUP(($AJ139-$AI139-$AH139-$AG139-$AF139-$AE139*(1+II$3))/$AJ139,'Технический лист'!$A:$B,2,1),(IH139-0.05)))</f>
        <v/>
      </c>
      <c r="IJ139" s="172">
        <f>MIN(1,MAX(VLOOKUP(($AJ139-$AI139-$AH139-$AG139-$AF139-$AE139*(1+IJ$3))/$AJ139,'Технический лист'!$A:$B,2,1),(II139-0.05)))</f>
        <v/>
      </c>
      <c r="IK139" s="172">
        <f>MIN(1,MAX(VLOOKUP(($AJ139-$AI139-$AH139-$AG139-$AF139-$AE139*(1+IK$3))/$AJ139,'Технический лист'!$A:$B,2,1),(IJ139-0.05)))</f>
        <v/>
      </c>
      <c r="IL139" s="172">
        <f>MIN(1,MAX(VLOOKUP(($AJ139-$AI139-$AH139-$AG139-$AF139-$AE139*(1+IL$3))/$AJ139,'Технический лист'!$A:$B,2,1),(IK139-0.05)))</f>
        <v/>
      </c>
      <c r="IM139" s="172">
        <f>MIN(1,MAX(VLOOKUP(($AJ139-$AI139-$AH139-$AG139-$AF139-$AE139*(1+IM$3))/$AJ139,'Технический лист'!$A:$B,2,1),(IL139-0.05)))</f>
        <v/>
      </c>
      <c r="IN139" s="172">
        <f>MIN(1,MAX(VLOOKUP(($AJ139-$AI139-$AH139-$AG139-$AF139-$AE139*(1+IN$3))/$AJ139,'Технический лист'!$A:$B,2,1),(IM139-0.05)))</f>
        <v/>
      </c>
      <c r="IO139" s="172">
        <f>MIN(1,MAX(VLOOKUP(($AJ139-$AI139-$AH139-$AG139-$AF139-$AE139*(1+IO$3))/$AJ139,'Технический лист'!$A:$B,2,1),(IN139-0.05)))</f>
        <v/>
      </c>
      <c r="IP139" s="172">
        <f>MIN(1,MAX(VLOOKUP(($AJ139-$AI139-$AH139-$AG139-$AF139-$AE139*(1+IP$3))/$AJ139,'Технический лист'!$A:$B,2,1),(IO139-0.05)))</f>
        <v/>
      </c>
      <c r="IQ139" s="172">
        <f>MIN(1,MAX(VLOOKUP(($AJ139-$AI139-$AH139-$AG139-$AF139-$AE139*(1+IQ$3))/$AJ139,'Технический лист'!$A:$B,2,1),(IP139-0.05)))</f>
        <v/>
      </c>
      <c r="IR139" s="172">
        <f>MIN(1,MAX(VLOOKUP(($AJ139-$AI139-$AH139-$AG139-$AF139-$AE139*(1+IR$3))/$AJ139,'Технический лист'!$A:$B,2,1),(IQ139-0.05)))</f>
        <v/>
      </c>
    </row>
    <row r="140" ht="43.75" customHeight="1" s="123">
      <c r="A140" s="89" t="inlineStr">
        <is>
          <t>ЧМ (продукция)</t>
        </is>
      </c>
      <c r="B140" s="90" t="n">
        <v>10</v>
      </c>
      <c r="C140" s="5" t="inlineStr">
        <is>
          <t>Остальные грузы</t>
        </is>
      </c>
      <c r="D140" s="91" t="n">
        <v>31607</v>
      </c>
      <c r="E140" s="91" t="inlineStr">
        <is>
          <t xml:space="preserve">Лом черных металлов, не поименованный в алфавите </t>
        </is>
      </c>
      <c r="F140" s="92" t="inlineStr">
        <is>
          <t>ЛОМ ЧЕРНЫХ МЕТАЛЛОВ</t>
        </is>
      </c>
      <c r="G140" s="91" t="inlineStr">
        <is>
          <t>СВР</t>
        </is>
      </c>
      <c r="H140" s="91" t="inlineStr">
        <is>
          <t>МСК</t>
        </is>
      </c>
      <c r="I140" s="91" t="inlineStr">
        <is>
          <t>КАЧКАНАР</t>
        </is>
      </c>
      <c r="J140" s="91" t="inlineStr">
        <is>
          <t>ТУЛА 1-КУРС</t>
        </is>
      </c>
      <c r="K140" s="91" t="n">
        <v>2076</v>
      </c>
      <c r="L140" s="91" t="inlineStr">
        <is>
          <t>Полувагоны</t>
        </is>
      </c>
      <c r="M140" s="91" t="inlineStr">
        <is>
          <t>Внутр. перевозки</t>
        </is>
      </c>
      <c r="N140" s="91" t="inlineStr">
        <is>
          <t>вагонная</t>
        </is>
      </c>
      <c r="O140" s="91" t="inlineStr">
        <is>
          <t xml:space="preserve">Северо-Западное </t>
        </is>
      </c>
      <c r="P140" s="89" t="inlineStr">
        <is>
          <t>'000000186938</t>
        </is>
      </c>
      <c r="Q140" s="91" t="inlineStr">
        <is>
          <t>'АО "ЕВРАЗ КГОК"</t>
        </is>
      </c>
      <c r="R140" s="91" t="inlineStr">
        <is>
          <t>ООО "ЕвразХолдинг"</t>
        </is>
      </c>
      <c r="S140" s="87" t="n">
        <v>1006</v>
      </c>
      <c r="T140" s="87" t="n">
        <v>2088663</v>
      </c>
      <c r="U140" s="88" t="n">
        <v>15</v>
      </c>
      <c r="V140" s="88" t="n">
        <v>0</v>
      </c>
      <c r="W140" s="87" t="n">
        <v>3594297</v>
      </c>
      <c r="X140" s="112" t="n">
        <v>62</v>
      </c>
      <c r="Y140" s="112" t="inlineStr">
        <is>
          <t>повагонная</t>
        </is>
      </c>
      <c r="Z140" s="113" t="n">
        <v>9</v>
      </c>
      <c r="AA140" s="113" t="n">
        <v>7</v>
      </c>
      <c r="AB140" s="113" t="n">
        <v>4</v>
      </c>
      <c r="AC140" s="161" t="n">
        <v>4074.68</v>
      </c>
      <c r="AD140" s="161">
        <f>AE140-AC140</f>
        <v/>
      </c>
      <c r="AE140" s="161" t="n">
        <v>4695.87</v>
      </c>
      <c r="AF140" s="162">
        <f>(Z140+AA140+AB140)*'Ставки аренды'!$B$3/X140</f>
        <v/>
      </c>
      <c r="AG140" s="164" t="n">
        <v>0</v>
      </c>
      <c r="AH140" s="164" t="n">
        <v>0</v>
      </c>
      <c r="AI140" s="165">
        <f>0.71*AJ140</f>
        <v/>
      </c>
      <c r="AJ140" s="166">
        <f>Цены!$D$10</f>
        <v/>
      </c>
      <c r="AK140" s="164">
        <f>AJ140/Цены!$B$1</f>
        <v/>
      </c>
      <c r="AL140" s="164">
        <f>AE140+AF140+AG140</f>
        <v/>
      </c>
      <c r="AM140" s="164">
        <f>AJ140-AL140</f>
        <v/>
      </c>
      <c r="AN140" s="164">
        <f>AI140+AH140+AG140+AF140+AE140</f>
        <v/>
      </c>
      <c r="AO140" s="167">
        <f>(AJ140-AN140)/AJ140</f>
        <v/>
      </c>
      <c r="AP140" s="168">
        <f>AL140/AJ140</f>
        <v/>
      </c>
      <c r="AQ140" s="168">
        <f>AE140/AJ140</f>
        <v/>
      </c>
      <c r="AR140" s="168">
        <f>AE140/AL140</f>
        <v/>
      </c>
      <c r="AS140" s="169" t="n">
        <v>1</v>
      </c>
      <c r="AT140" s="121">
        <f>S140*AS140</f>
        <v/>
      </c>
      <c r="AU140" s="83" t="n">
        <v>0.85</v>
      </c>
      <c r="AV140" s="170">
        <f>(AJ140-(AE140*(1+$IS$2)+AF140+AG140+AH140+AI140))/AJ140</f>
        <v/>
      </c>
      <c r="AW140" s="171">
        <f>(AE140*(1+$IS$2)+AF140+AG140)/AJ140</f>
        <v/>
      </c>
      <c r="AX140" s="171">
        <f>(AE140*(1+$IS$2))/AJ140</f>
        <v/>
      </c>
      <c r="AY140" s="171">
        <f>(AE140*(1+$IS$2))/(AE140*(1+$IS$2)+AF140+AG140)</f>
        <v/>
      </c>
      <c r="AZ140" s="172">
        <f>MIN(IF($AU140=100%,1,1+VLOOKUP(($AJ140-$AI140-$AH140-$AG140-$AF140-$AE140*(1+AZ$3))/$AJ140,'Технический лист'!$I:$J,2,1)-VLOOKUP($AO140,'Технический лист'!$I:$J,2,1)),1+(1-$AU140))</f>
        <v/>
      </c>
      <c r="BA140" s="172">
        <f>MIN(IF($AU140=100%,1,1+VLOOKUP(($AJ140-$AI140-$AH140-$AG140-$AF140-$AE140*(1+BA$3))/$AJ140,'Технический лист'!$I:$J,2,1)-VLOOKUP($AO140,'Технический лист'!$I:$J,2,1)),1+(1-$AU140))</f>
        <v/>
      </c>
      <c r="BB140" s="172">
        <f>MIN(IF($AU140=100%,1,1+VLOOKUP(($AJ140-$AI140-$AH140-$AG140-$AF140-$AE140*(1+BB$3))/$AJ140,'Технический лист'!$I:$J,2,1)-VLOOKUP($AO140,'Технический лист'!$I:$J,2,1)),1+(1-$AU140))</f>
        <v/>
      </c>
      <c r="BC140" s="172">
        <f>MIN(IF($AU140=100%,1,1+VLOOKUP(($AJ140-$AI140-$AH140-$AG140-$AF140-$AE140*(1+BC$3))/$AJ140,'Технический лист'!$I:$J,2,1)-VLOOKUP($AO140,'Технический лист'!$I:$J,2,1)),1+(1-$AU140))</f>
        <v/>
      </c>
      <c r="BD140" s="172">
        <f>MIN(IF($AU140=100%,1,1+VLOOKUP(($AJ140-$AI140-$AH140-$AG140-$AF140-$AE140*(1+BD$3))/$AJ140,'Технический лист'!$I:$J,2,1)-VLOOKUP($AO140,'Технический лист'!$I:$J,2,1)),1+(1-$AU140))</f>
        <v/>
      </c>
      <c r="BE140" s="172">
        <f>MIN(IF($AU140=100%,1,1+VLOOKUP(($AJ140-$AI140-$AH140-$AG140-$AF140-$AE140*(1+BE$3))/$AJ140,'Технический лист'!$I:$J,2,1)-VLOOKUP($AO140,'Технический лист'!$I:$J,2,1)),1+(1-$AU140))</f>
        <v/>
      </c>
      <c r="BF140" s="172">
        <f>MIN(IF($AU140=100%,1,1+VLOOKUP(($AJ140-$AI140-$AH140-$AG140-$AF140-$AE140*(1+BF$3))/$AJ140,'Технический лист'!$I:$J,2,1)-VLOOKUP($AO140,'Технический лист'!$I:$J,2,1)),1+(1-$AU140))</f>
        <v/>
      </c>
      <c r="BG140" s="172">
        <f>MIN(IF($AU140=100%,1,1+VLOOKUP(($AJ140-$AI140-$AH140-$AG140-$AF140-$AE140*(1+BG$3))/$AJ140,'Технический лист'!$I:$J,2,1)-VLOOKUP($AO140,'Технический лист'!$I:$J,2,1)),1+(1-$AU140))</f>
        <v/>
      </c>
      <c r="BH140" s="172">
        <f>MIN(IF($AU140=100%,1,1+VLOOKUP(($AJ140-$AI140-$AH140-$AG140-$AF140-$AE140*(1+BH$3))/$AJ140,'Технический лист'!$I:$J,2,1)-VLOOKUP($AO140,'Технический лист'!$I:$J,2,1)),1+(1-$AU140))</f>
        <v/>
      </c>
      <c r="BI140" s="172">
        <f>MIN(IF($AU140=100%,1,1+VLOOKUP(($AJ140-$AI140-$AH140-$AG140-$AF140-$AE140*(1+BI$3))/$AJ140,'Технический лист'!$I:$J,2,1)-VLOOKUP($AO140,'Технический лист'!$I:$J,2,1)),1+(1-$AU140))</f>
        <v/>
      </c>
      <c r="BJ140" s="172">
        <f>MIN(IF($AU140=100%,1,1+VLOOKUP(($AJ140-$AI140-$AH140-$AG140-$AF140-$AE140*(1+BJ$3))/$AJ140,'Технический лист'!$I:$J,2,1)-VLOOKUP($AO140,'Технический лист'!$I:$J,2,1)),1+(1-$AU140))</f>
        <v/>
      </c>
      <c r="BK140" s="172">
        <f>MIN(IF($AU140=100%,1,1+VLOOKUP(($AJ140-$AI140-$AH140-$AG140-$AF140-$AE140*(1+BK$3))/$AJ140,'Технический лист'!$I:$J,2,1)-VLOOKUP($AO140,'Технический лист'!$I:$J,2,1)),1+(1-$AU140))</f>
        <v/>
      </c>
      <c r="BL140" s="172">
        <f>MIN(IF($AU140=100%,1,1+VLOOKUP(($AJ140-$AI140-$AH140-$AG140-$AF140-$AE140*(1+BL$3))/$AJ140,'Технический лист'!$I:$J,2,1)-VLOOKUP($AO140,'Технический лист'!$I:$J,2,1)),1+(1-$AU140))</f>
        <v/>
      </c>
      <c r="BM140" s="172">
        <f>MIN(IF($AU140=100%,1,1+VLOOKUP(($AJ140-$AI140-$AH140-$AG140-$AF140-$AE140*(1+BM$3))/$AJ140,'Технический лист'!$I:$J,2,1)-VLOOKUP($AO140,'Технический лист'!$I:$J,2,1)),1+(1-$AU140))</f>
        <v/>
      </c>
      <c r="BN140" s="172">
        <f>MIN(IF($AU140=100%,1,1+VLOOKUP(($AJ140-$AI140-$AH140-$AG140-$AF140-$AE140*(1+BN$3))/$AJ140,'Технический лист'!$I:$J,2,1)-VLOOKUP($AO140,'Технический лист'!$I:$J,2,1)),1+(1-$AU140))</f>
        <v/>
      </c>
      <c r="BO140" s="172">
        <f>MIN(IF($AU140=100%,1,1+VLOOKUP(($AJ140-$AI140-$AH140-$AG140-$AF140-$AE140*(1+BO$3))/$AJ140,'Технический лист'!$I:$J,2,1)-VLOOKUP($AO140,'Технический лист'!$I:$J,2,1)),1+(1-$AU140))</f>
        <v/>
      </c>
      <c r="BP140" s="172">
        <f>MIN(IF($AU140=100%,1,1+VLOOKUP(($AJ140-$AI140-$AH140-$AG140-$AF140-$AE140*(1+BP$3))/$AJ140,'Технический лист'!$I:$J,2,1)-VLOOKUP($AO140,'Технический лист'!$I:$J,2,1)),1+(1-$AU140))</f>
        <v/>
      </c>
      <c r="BQ140" s="172">
        <f>MIN(IF($AU140=100%,1,1+VLOOKUP(($AJ140-$AI140-$AH140-$AG140-$AF140-$AE140*(1+BQ$3))/$AJ140,'Технический лист'!$I:$J,2,1)-VLOOKUP($AO140,'Технический лист'!$I:$J,2,1)),1+(1-$AU140))</f>
        <v/>
      </c>
      <c r="BR140" s="172">
        <f>MIN(IF($AU140=100%,1,1+VLOOKUP(($AJ140-$AI140-$AH140-$AG140-$AF140-$AE140*(1+BR$3))/$AJ140,'Технический лист'!$I:$J,2,1)-VLOOKUP($AO140,'Технический лист'!$I:$J,2,1)),1+(1-$AU140))</f>
        <v/>
      </c>
      <c r="BS140" s="172">
        <f>MIN(IF($AU140=100%,1,1+VLOOKUP(($AJ140-$AI140-$AH140-$AG140-$AF140-$AE140*(1+BS$3))/$AJ140,'Технический лист'!$I:$J,2,1)-VLOOKUP($AO140,'Технический лист'!$I:$J,2,1)),1+(1-$AU140))</f>
        <v/>
      </c>
      <c r="BT140" s="172">
        <f>MIN(IF($AU140=100%,1,1+VLOOKUP(($AJ140-$AI140-$AH140-$AG140-$AF140-$AE140*(1+BT$3))/$AJ140,'Технический лист'!$I:$J,2,1)-VLOOKUP($AO140,'Технический лист'!$I:$J,2,1)),1+(1-$AU140))</f>
        <v/>
      </c>
      <c r="BU140" s="172">
        <f>MIN(IF($AU140=100%,1,1+VLOOKUP(($AJ140-$AI140-$AH140-$AG140-$AF140-$AE140*(1+BU$3))/$AJ140,'Технический лист'!$I:$J,2,1)-VLOOKUP($AO140,'Технический лист'!$I:$J,2,1)),1+(1-$AU140))</f>
        <v/>
      </c>
      <c r="BV140" s="172">
        <f>MIN(IF($AU140=100%,1,1+VLOOKUP(($AJ140-$AI140-$AH140-$AG140-$AF140-$AE140*(1+BV$3))/$AJ140,'Технический лист'!$I:$J,2,1)-VLOOKUP($AO140,'Технический лист'!$I:$J,2,1)),1+(1-$AU140))</f>
        <v/>
      </c>
      <c r="BW140" s="172">
        <f>MIN(IF($AU140=100%,1,1+VLOOKUP(($AJ140-$AI140-$AH140-$AG140-$AF140-$AE140*(1+BW$3))/$AJ140,'Технический лист'!$I:$J,2,1)-VLOOKUP($AO140,'Технический лист'!$I:$J,2,1)),1+(1-$AU140))</f>
        <v/>
      </c>
      <c r="BX140" s="172">
        <f>MIN(IF($AU140=100%,1,1+VLOOKUP(($AJ140-$AI140-$AH140-$AG140-$AF140-$AE140*(1+BX$3))/$AJ140,'Технический лист'!$I:$J,2,1)-VLOOKUP($AO140,'Технический лист'!$I:$J,2,1)),1+(1-$AU140))</f>
        <v/>
      </c>
      <c r="BY140" s="172">
        <f>MIN(IF($AU140=100%,1,1+VLOOKUP(($AJ140-$AI140-$AH140-$AG140-$AF140-$AE140*(1+BY$3))/$AJ140,'Технический лист'!$I:$J,2,1)-VLOOKUP($AO140,'Технический лист'!$I:$J,2,1)),1+(1-$AU140))</f>
        <v/>
      </c>
      <c r="BZ140" s="172">
        <f>MIN(IF($AU140=100%,1,1+VLOOKUP(($AJ140-$AI140-$AH140-$AG140-$AF140-$AE140*(1+BZ$3))/$AJ140,'Технический лист'!$I:$J,2,1)-VLOOKUP($AO140,'Технический лист'!$I:$J,2,1)),1+(1-$AU140))</f>
        <v/>
      </c>
      <c r="CA140" s="172">
        <f>MIN(IF($AU140=100%,1,1+VLOOKUP(($AJ140-$AI140-$AH140-$AG140-$AF140-$AE140*(1+CA$3))/$AJ140,'Технический лист'!$I:$J,2,1)-VLOOKUP($AO140,'Технический лист'!$I:$J,2,1)),1+(1-$AU140))</f>
        <v/>
      </c>
      <c r="CB140" s="172">
        <f>MIN(IF($AU140=100%,1,1+VLOOKUP(($AJ140-$AI140-$AH140-$AG140-$AF140-$AE140*(1+CB$3))/$AJ140,'Технический лист'!$I:$J,2,1)-VLOOKUP($AO140,'Технический лист'!$I:$J,2,1)),1+(1-$AU140))</f>
        <v/>
      </c>
      <c r="CC140" s="172">
        <f>MIN(IF($AU140=100%,1,1+VLOOKUP(($AJ140-$AI140-$AH140-$AG140-$AF140-$AE140*(1+CC$3))/$AJ140,'Технический лист'!$I:$J,2,1)-VLOOKUP($AO140,'Технический лист'!$I:$J,2,1)),1+(1-$AU140))</f>
        <v/>
      </c>
      <c r="CD140" s="172">
        <f>MIN(IF($AU140=100%,1,1+VLOOKUP(($AJ140-$AI140-$AH140-$AG140-$AF140-$AE140*(1+CD$3))/$AJ140,'Технический лист'!$I:$J,2,1)-VLOOKUP($AO140,'Технический лист'!$I:$J,2,1)),1+(1-$AU140))</f>
        <v/>
      </c>
      <c r="CE140" s="172">
        <f>MIN(IF($AU140=100%,1,1+VLOOKUP(($AJ140-$AI140-$AH140-$AG140-$AF140-$AE140*(1+CE$3))/$AJ140,'Технический лист'!$I:$J,2,1)-VLOOKUP($AO140,'Технический лист'!$I:$J,2,1)),1+(1-$AU140))</f>
        <v/>
      </c>
      <c r="CF140" s="172">
        <f>MIN(IF($AU140=100%,1,1+VLOOKUP(($AJ140-$AI140-$AH140-$AG140-$AF140-$AE140*(1+CF$3))/$AJ140,'Технический лист'!$I:$J,2,1)-VLOOKUP($AO140,'Технический лист'!$I:$J,2,1)),1+(1-$AU140))</f>
        <v/>
      </c>
      <c r="CG140" s="172">
        <f>MIN(IF($AU140=100%,1,1+VLOOKUP(($AJ140-$AI140-$AH140-$AG140-$AF140-$AE140*(1+CG$3))/$AJ140,'Технический лист'!$I:$J,2,1)-VLOOKUP($AO140,'Технический лист'!$I:$J,2,1)),1+(1-$AU140))</f>
        <v/>
      </c>
      <c r="CH140" s="172">
        <f>MIN(IF($AU140=100%,1,1+VLOOKUP(($AJ140-$AI140-$AH140-$AG140-$AF140-$AE140*(1+CH$3))/$AJ140,'Технический лист'!$I:$J,2,1)-VLOOKUP($AO140,'Технический лист'!$I:$J,2,1)),1+(1-$AU140))</f>
        <v/>
      </c>
      <c r="CI140" s="172">
        <f>MIN(IF($AU140=100%,1,1+VLOOKUP(($AJ140-$AI140-$AH140-$AG140-$AF140-$AE140*(1+CI$3))/$AJ140,'Технический лист'!$I:$J,2,1)-VLOOKUP($AO140,'Технический лист'!$I:$J,2,1)),1+(1-$AU140))</f>
        <v/>
      </c>
      <c r="CJ140" s="172">
        <f>MIN(IF($AU140=100%,1,1+VLOOKUP(($AJ140-$AI140-$AH140-$AG140-$AF140-$AE140*(1+CJ$3))/$AJ140,'Технический лист'!$I:$J,2,1)-VLOOKUP($AO140,'Технический лист'!$I:$J,2,1)),1+(1-$AU140))</f>
        <v/>
      </c>
      <c r="CK140" s="172">
        <f>MIN(IF($AU140=100%,1,1+VLOOKUP(($AJ140-$AI140-$AH140-$AG140-$AF140-$AE140*(1+CK$3))/$AJ140,'Технический лист'!$I:$J,2,1)-VLOOKUP($AO140,'Технический лист'!$I:$J,2,1)),1+(1-$AU140))</f>
        <v/>
      </c>
      <c r="CL140" s="172">
        <f>MIN(IF($AU140=100%,1,1+VLOOKUP(($AJ140-$AI140-$AH140-$AG140-$AF140-$AE140*(1+CL$3))/$AJ140,'Технический лист'!$I:$J,2,1)-VLOOKUP($AO140,'Технический лист'!$I:$J,2,1)),1+(1-$AU140))</f>
        <v/>
      </c>
      <c r="CM140" s="172">
        <f>MIN(IF($AU140=100%,1,1+VLOOKUP(($AJ140-$AI140-$AH140-$AG140-$AF140-$AE140*(1+CM$3))/$AJ140,'Технический лист'!$I:$J,2,1)-VLOOKUP($AO140,'Технический лист'!$I:$J,2,1)),1+(1-$AU140))</f>
        <v/>
      </c>
      <c r="CN140" s="172">
        <f>MIN(IF($AU140=100%,1,1+VLOOKUP(($AJ140-$AI140-$AH140-$AG140-$AF140-$AE140*(1+CN$3))/$AJ140,'Технический лист'!$I:$J,2,1)-VLOOKUP($AO140,'Технический лист'!$I:$J,2,1)),1+(1-$AU140))</f>
        <v/>
      </c>
      <c r="CO140" s="172">
        <f>MIN(IF($AU140=100%,1,1+VLOOKUP(($AJ140-$AI140-$AH140-$AG140-$AF140-$AE140*(1+CO$3))/$AJ140,'Технический лист'!$I:$J,2,1)-VLOOKUP($AO140,'Технический лист'!$I:$J,2,1)),1+(1-$AU140))</f>
        <v/>
      </c>
      <c r="CP140" s="172">
        <f>MIN(IF($AU140=100%,1,1+VLOOKUP(($AJ140-$AI140-$AH140-$AG140-$AF140-$AE140*(1+CP$3))/$AJ140,'Технический лист'!$I:$J,2,1)-VLOOKUP($AO140,'Технический лист'!$I:$J,2,1)),1+(1-$AU140))</f>
        <v/>
      </c>
      <c r="CQ140" s="172">
        <f>MIN(IF($AU140=100%,1,1+VLOOKUP(($AJ140-$AI140-$AH140-$AG140-$AF140-$AE140*(1+CQ$3))/$AJ140,'Технический лист'!$I:$J,2,1)-VLOOKUP($AO140,'Технический лист'!$I:$J,2,1)),1+(1-$AU140))</f>
        <v/>
      </c>
      <c r="CR140" s="172">
        <f>MIN(IF($AU140=100%,1,1+VLOOKUP(($AJ140-$AI140-$AH140-$AG140-$AF140-$AE140*(1+CR$3))/$AJ140,'Технический лист'!$I:$J,2,1)-VLOOKUP($AO140,'Технический лист'!$I:$J,2,1)),1+(1-$AU140))</f>
        <v/>
      </c>
      <c r="CS140" s="172">
        <f>MIN(IF($AU140=100%,1,1+VLOOKUP(($AJ140-$AI140-$AH140-$AG140-$AF140-$AE140*(1+CS$3))/$AJ140,'Технический лист'!$I:$J,2,1)-VLOOKUP($AO140,'Технический лист'!$I:$J,2,1)),1+(1-$AU140))</f>
        <v/>
      </c>
      <c r="CT140" s="172">
        <f>MIN(IF($AU140=100%,1,1+VLOOKUP(($AJ140-$AI140-$AH140-$AG140-$AF140-$AE140*(1+CT$3))/$AJ140,'Технический лист'!$I:$J,2,1)-VLOOKUP($AO140,'Технический лист'!$I:$J,2,1)),1+(1-$AU140))</f>
        <v/>
      </c>
      <c r="CU140" s="172">
        <f>MIN(IF($AU140=100%,1,1+VLOOKUP(($AJ140-$AI140-$AH140-$AG140-$AF140-$AE140*(1+CU$3))/$AJ140,'Технический лист'!$I:$J,2,1)-VLOOKUP($AO140,'Технический лист'!$I:$J,2,1)),1+(1-$AU140))</f>
        <v/>
      </c>
      <c r="CV140" s="172">
        <f>MIN(IF($AU140=100%,1,1+VLOOKUP(($AJ140-$AI140-$AH140-$AG140-$AF140-$AE140*(1+CV$3))/$AJ140,'Технический лист'!$I:$J,2,1)-VLOOKUP($AO140,'Технический лист'!$I:$J,2,1)),1+(1-$AU140))</f>
        <v/>
      </c>
      <c r="CW140" s="172">
        <f>MIN(IF($AU140=100%,1,1+VLOOKUP(($AJ140-$AI140-$AH140-$AG140-$AF140-$AE140*(1+CW$3))/$AJ140,'Технический лист'!$I:$J,2,1)-VLOOKUP($AO140,'Технический лист'!$I:$J,2,1)),1+(1-$AU140))</f>
        <v/>
      </c>
      <c r="CX140" s="172">
        <f>MIN(IF($AU140=100%,1,1+VLOOKUP(($AJ140-$AI140-$AH140-$AG140-$AF140-$AE140*(1+CX$3))/$AJ140,'Технический лист'!$I:$J,2,1)-VLOOKUP($AO140,'Технический лист'!$I:$J,2,1)),1+(1-$AU140))</f>
        <v/>
      </c>
      <c r="CY140" s="172">
        <f>MIN(IF($AU140=100%,1,1+VLOOKUP(($AJ140-$AI140-$AH140-$AG140-$AF140-$AE140*(1+CY$3))/$AJ140,'Технический лист'!$I:$J,2,1)-VLOOKUP($AO140,'Технический лист'!$I:$J,2,1)),1+(1-$AU140))</f>
        <v/>
      </c>
      <c r="CZ140" s="172">
        <f>MIN(IF($AU140=100%,1,1+VLOOKUP(($AJ140-$AI140-$AH140-$AG140-$AF140-$AE140*(1+CZ$3))/$AJ140,'Технический лист'!$I:$J,2,1)-VLOOKUP($AO140,'Технический лист'!$I:$J,2,1)),1+(1-$AU140))</f>
        <v/>
      </c>
      <c r="DA140" s="172">
        <f>MIN(IF($AU140=100%,1,1+VLOOKUP(($AJ140-$AI140-$AH140-$AG140-$AF140-$AE140*(1+DA$3))/$AJ140,'Технический лист'!$I:$J,2,1)-VLOOKUP($AO140,'Технический лист'!$I:$J,2,1)),1+(1-$AU140))</f>
        <v/>
      </c>
      <c r="DB140" s="172">
        <f>MIN(IF($AU140=100%,1,1+VLOOKUP(($AJ140-$AI140-$AH140-$AG140-$AF140-$AE140*(1+DB$3))/$AJ140,'Технический лист'!$I:$J,2,1)-VLOOKUP($AO140,'Технический лист'!$I:$J,2,1)),1+(1-$AU140))</f>
        <v/>
      </c>
      <c r="DC140" s="172">
        <f>MIN(IF($AU140=100%,1,1+VLOOKUP(($AJ140-$AI140-$AH140-$AG140-$AF140-$AE140*(1+DC$3))/$AJ140,'Технический лист'!$I:$J,2,1)-VLOOKUP($AO140,'Технический лист'!$I:$J,2,1)),1+(1-$AU140))</f>
        <v/>
      </c>
      <c r="DD140" s="172">
        <f>MIN(IF($AU140=100%,1,1+VLOOKUP(($AJ140-$AI140-$AH140-$AG140-$AF140-$AE140*(1+DD$3))/$AJ140,'Технический лист'!$I:$J,2,1)-VLOOKUP($AO140,'Технический лист'!$I:$J,2,1)),1+(1-$AU140))</f>
        <v/>
      </c>
      <c r="DE140" s="172">
        <f>MIN(IF($AU140=100%,1,1+VLOOKUP(($AJ140-$AI140-$AH140-$AG140-$AF140-$AE140*(1+DE$3))/$AJ140,'Технический лист'!$I:$J,2,1)-VLOOKUP($AO140,'Технический лист'!$I:$J,2,1)),1+(1-$AU140))</f>
        <v/>
      </c>
      <c r="DF140" s="172">
        <f>MIN(IF($AU140=100%,1,1+VLOOKUP(($AJ140-$AI140-$AH140-$AG140-$AF140-$AE140*(1+DF$3))/$AJ140,'Технический лист'!$I:$J,2,1)-VLOOKUP($AO140,'Технический лист'!$I:$J,2,1)),1+(1-$AU140))</f>
        <v/>
      </c>
      <c r="DG140" s="172">
        <f>MIN(IF($AU140=100%,1,1+VLOOKUP(($AJ140-$AI140-$AH140-$AG140-$AF140-$AE140*(1+DG$3))/$AJ140,'Технический лист'!$I:$J,2,1)-VLOOKUP($AO140,'Технический лист'!$I:$J,2,1)),1+(1-$AU140))</f>
        <v/>
      </c>
      <c r="DH140" s="172">
        <f>MIN(IF($AU140=100%,1,1+VLOOKUP(($AJ140-$AI140-$AH140-$AG140-$AF140-$AE140*(1+DH$3))/$AJ140,'Технический лист'!$I:$J,2,1)-VLOOKUP($AO140,'Технический лист'!$I:$J,2,1)),1+(1-$AU140))</f>
        <v/>
      </c>
      <c r="DI140" s="172">
        <f>MIN(IF($AU140=100%,1,1+VLOOKUP(($AJ140-$AI140-$AH140-$AG140-$AF140-$AE140*(1+DI$3))/$AJ140,'Технический лист'!$I:$J,2,1)-VLOOKUP($AO140,'Технический лист'!$I:$J,2,1)),1+(1-$AU140))</f>
        <v/>
      </c>
      <c r="DJ140" s="172">
        <f>MIN(IF($AU140=100%,1,1+VLOOKUP(($AJ140-$AI140-$AH140-$AG140-$AF140-$AE140*(1+DJ$3))/$AJ140,'Технический лист'!$I:$J,2,1)-VLOOKUP($AO140,'Технический лист'!$I:$J,2,1)),1+(1-$AU140))</f>
        <v/>
      </c>
      <c r="DK140" s="172">
        <f>MIN(IF($AU140=100%,1,1+VLOOKUP(($AJ140-$AI140-$AH140-$AG140-$AF140-$AE140*(1+DK$3))/$AJ140,'Технический лист'!$I:$J,2,1)-VLOOKUP($AO140,'Технический лист'!$I:$J,2,1)),1+(1-$AU140))</f>
        <v/>
      </c>
      <c r="DL140" s="172">
        <f>MIN(IF($AU140=100%,1,1+VLOOKUP(($AJ140-$AI140-$AH140-$AG140-$AF140-$AE140*(1+DL$3))/$AJ140,'Технический лист'!$I:$J,2,1)-VLOOKUP($AO140,'Технический лист'!$I:$J,2,1)),1+(1-$AU140))</f>
        <v/>
      </c>
      <c r="DM140" s="172">
        <f>MIN(IF($AU140=100%,1,1+VLOOKUP(($AJ140-$AI140-$AH140-$AG140-$AF140-$AE140*(1+DM$3))/$AJ140,'Технический лист'!$I:$J,2,1)-VLOOKUP($AO140,'Технический лист'!$I:$J,2,1)),1+(1-$AU140))</f>
        <v/>
      </c>
      <c r="DN140" s="172">
        <f>MIN(IF($AU140=100%,1,1+VLOOKUP(($AJ140-$AI140-$AH140-$AG140-$AF140-$AE140*(1+DN$3))/$AJ140,'Технический лист'!$I:$J,2,1)-VLOOKUP($AO140,'Технический лист'!$I:$J,2,1)),1+(1-$AU140))</f>
        <v/>
      </c>
      <c r="DO140" s="172">
        <f>MIN(IF($AU140=100%,1,1+VLOOKUP(($AJ140-$AI140-$AH140-$AG140-$AF140-$AE140*(1+DO$3))/$AJ140,'Технический лист'!$I:$J,2,1)-VLOOKUP($AO140,'Технический лист'!$I:$J,2,1)),1+(1-$AU140))</f>
        <v/>
      </c>
      <c r="DP140" s="172">
        <f>MIN(IF($AU140=100%,1,1+VLOOKUP(($AJ140-$AI140-$AH140-$AG140-$AF140-$AE140*(1+DP$3))/$AJ140,'Технический лист'!$I:$J,2,1)-VLOOKUP($AO140,'Технический лист'!$I:$J,2,1)),1+(1-$AU140))</f>
        <v/>
      </c>
      <c r="DQ140" s="172">
        <f>MIN(IF($AU140=100%,1,1+VLOOKUP(($AJ140-$AI140-$AH140-$AG140-$AF140-$AE140*(1+DQ$3))/$AJ140,'Технический лист'!$I:$J,2,1)-VLOOKUP($AO140,'Технический лист'!$I:$J,2,1)),1+(1-$AU140))</f>
        <v/>
      </c>
      <c r="DR140" s="172">
        <f>MIN(IF($AU140=100%,1,1+VLOOKUP(($AJ140-$AI140-$AH140-$AG140-$AF140-$AE140*(1+DR$3))/$AJ140,'Технический лист'!$I:$J,2,1)-VLOOKUP($AO140,'Технический лист'!$I:$J,2,1)),1+(1-$AU140))</f>
        <v/>
      </c>
      <c r="DS140" s="172">
        <f>MIN(IF($AU140=100%,1,1+VLOOKUP(($AJ140-$AI140-$AH140-$AG140-$AF140-$AE140*(1+DS$3))/$AJ140,'Технический лист'!$I:$J,2,1)-VLOOKUP($AO140,'Технический лист'!$I:$J,2,1)),1+(1-$AU140))</f>
        <v/>
      </c>
      <c r="DT140" s="172">
        <f>MIN(IF($AU140=100%,1,1+VLOOKUP(($AJ140-$AI140-$AH140-$AG140-$AF140-$AE140*(1+DT$3))/$AJ140,'Технический лист'!$I:$J,2,1)-VLOOKUP($AO140,'Технический лист'!$I:$J,2,1)),1+(1-$AU140))</f>
        <v/>
      </c>
      <c r="DU140" s="172">
        <f>MIN(IF($AU140=100%,1,1+VLOOKUP(($AJ140-$AI140-$AH140-$AG140-$AF140-$AE140*(1+DU$3))/$AJ140,'Технический лист'!$I:$J,2,1)-VLOOKUP($AO140,'Технический лист'!$I:$J,2,1)),1+(1-$AU140))</f>
        <v/>
      </c>
      <c r="DV140" s="172">
        <f>MIN(IF($AU140=100%,1,1+VLOOKUP(($AJ140-$AI140-$AH140-$AG140-$AF140-$AE140*(1+DV$3))/$AJ140,'Технический лист'!$I:$J,2,1)-VLOOKUP($AO140,'Технический лист'!$I:$J,2,1)),1+(1-$AU140))</f>
        <v/>
      </c>
      <c r="DW140" s="172">
        <f>MIN(IF($AU140=100%,1,1+VLOOKUP(($AJ140-$AI140-$AH140-$AG140-$AF140-$AE140*(1+DW$3))/$AJ140,'Технический лист'!$I:$J,2,1)-VLOOKUP($AO140,'Технический лист'!$I:$J,2,1)),1+(1-$AU140))</f>
        <v/>
      </c>
      <c r="DX140" s="172">
        <f>MIN(IF($AU140=100%,1,1+VLOOKUP(($AJ140-$AI140-$AH140-$AG140-$AF140-$AE140*(1+DX$3))/$AJ140,'Технический лист'!$I:$J,2,1)-VLOOKUP($AO140,'Технический лист'!$I:$J,2,1)),1+(1-$AU140))</f>
        <v/>
      </c>
      <c r="DY140" s="172">
        <f>MIN(IF($AU140=100%,1,1+VLOOKUP(($AJ140-$AI140-$AH140-$AG140-$AF140-$AE140*(1+DY$3))/$AJ140,'Технический лист'!$I:$J,2,1)-VLOOKUP($AO140,'Технический лист'!$I:$J,2,1)),1+(1-$AU140))</f>
        <v/>
      </c>
      <c r="DZ140" s="172">
        <f>MIN(IF($AU140=100%,1,1+VLOOKUP(($AJ140-$AI140-$AH140-$AG140-$AF140-$AE140*(1+DZ$3))/$AJ140,'Технический лист'!$I:$J,2,1)-VLOOKUP($AO140,'Технический лист'!$I:$J,2,1)),1+(1-$AU140))</f>
        <v/>
      </c>
      <c r="EA140" s="172">
        <f>MIN(IF($AU140=100%,1,1+VLOOKUP(($AJ140-$AI140-$AH140-$AG140-$AF140-$AE140*(1+EA$3))/$AJ140,'Технический лист'!$I:$J,2,1)-VLOOKUP($AO140,'Технический лист'!$I:$J,2,1)),1+(1-$AU140))</f>
        <v/>
      </c>
      <c r="EB140" s="172">
        <f>MIN(IF($AU140=100%,1,1+VLOOKUP(($AJ140-$AI140-$AH140-$AG140-$AF140-$AE140*(1+EB$3))/$AJ140,'Технический лист'!$I:$J,2,1)-VLOOKUP($AO140,'Технический лист'!$I:$J,2,1)),1+(1-$AU140))</f>
        <v/>
      </c>
      <c r="EC140" s="172">
        <f>MIN(IF($AU140=100%,1,1+VLOOKUP(($AJ140-$AI140-$AH140-$AG140-$AF140-$AE140*(1+EC$3))/$AJ140,'Технический лист'!$I:$J,2,1)-VLOOKUP($AO140,'Технический лист'!$I:$J,2,1)),1+(1-$AU140))</f>
        <v/>
      </c>
      <c r="ED140" s="172">
        <f>MIN(IF($AU140=100%,1,1+VLOOKUP(($AJ140-$AI140-$AH140-$AG140-$AF140-$AE140*(1+ED$3))/$AJ140,'Технический лист'!$I:$J,2,1)-VLOOKUP($AO140,'Технический лист'!$I:$J,2,1)),1+(1-$AU140))</f>
        <v/>
      </c>
      <c r="EE140" s="172">
        <f>MIN(IF($AU140=100%,1,1+VLOOKUP(($AJ140-$AI140-$AH140-$AG140-$AF140-$AE140*(1+EE$3))/$AJ140,'Технический лист'!$I:$J,2,1)-VLOOKUP($AO140,'Технический лист'!$I:$J,2,1)),1+(1-$AU140))</f>
        <v/>
      </c>
      <c r="EF140" s="172">
        <f>MIN(IF($AU140=100%,1,1+VLOOKUP(($AJ140-$AI140-$AH140-$AG140-$AF140-$AE140*(1+EF$3))/$AJ140,'Технический лист'!$I:$J,2,1)-VLOOKUP($AO140,'Технический лист'!$I:$J,2,1)),1+(1-$AU140))</f>
        <v/>
      </c>
      <c r="EG140" s="172">
        <f>MIN(IF($AU140=100%,1,1+VLOOKUP(($AJ140-$AI140-$AH140-$AG140-$AF140-$AE140*(1+EG$3))/$AJ140,'Технический лист'!$I:$J,2,1)-VLOOKUP($AO140,'Технический лист'!$I:$J,2,1)),1+(1-$AU140))</f>
        <v/>
      </c>
      <c r="EH140" s="172">
        <f>MIN(IF($AU140=100%,1,1+VLOOKUP(($AJ140-$AI140-$AH140-$AG140-$AF140-$AE140*(1+EH$3))/$AJ140,'Технический лист'!$I:$J,2,1)-VLOOKUP($AO140,'Технический лист'!$I:$J,2,1)),1+(1-$AU140))</f>
        <v/>
      </c>
      <c r="EI140" s="172">
        <f>MIN(IF($AU140=100%,1,1+VLOOKUP(($AJ140-$AI140-$AH140-$AG140-$AF140-$AE140*(1+EI$3))/$AJ140,'Технический лист'!$I:$J,2,1)-VLOOKUP($AO140,'Технический лист'!$I:$J,2,1)),1+(1-$AU140))</f>
        <v/>
      </c>
      <c r="EJ140" s="172">
        <f>MIN(IF($AU140=100%,1,1+VLOOKUP(($AJ140-$AI140-$AH140-$AG140-$AF140-$AE140*(1+EJ$3))/$AJ140,'Технический лист'!$I:$J,2,1)-VLOOKUP($AO140,'Технический лист'!$I:$J,2,1)),1+(1-$AU140))</f>
        <v/>
      </c>
      <c r="EK140" s="172">
        <f>MIN(IF($AU140=100%,1,1+VLOOKUP(($AJ140-$AI140-$AH140-$AG140-$AF140-$AE140*(1+EK$3))/$AJ140,'Технический лист'!$I:$J,2,1)-VLOOKUP($AO140,'Технический лист'!$I:$J,2,1)),1+(1-$AU140))</f>
        <v/>
      </c>
      <c r="EL140" s="172">
        <f>MIN(IF($AU140=100%,1,1+VLOOKUP(($AJ140-$AI140-$AH140-$AG140-$AF140-$AE140*(1+EL$3))/$AJ140,'Технический лист'!$I:$J,2,1)-VLOOKUP($AO140,'Технический лист'!$I:$J,2,1)),1+(1-$AU140))</f>
        <v/>
      </c>
      <c r="EM140" s="172">
        <f>MIN(IF($AU140=100%,1,1+VLOOKUP(($AJ140-$AI140-$AH140-$AG140-$AF140-$AE140*(1+EM$3))/$AJ140,'Технический лист'!$I:$J,2,1)-VLOOKUP($AO140,'Технический лист'!$I:$J,2,1)),1+(1-$AU140))</f>
        <v/>
      </c>
      <c r="EN140" s="172">
        <f>MIN(IF($AU140=100%,1,1+VLOOKUP(($AJ140-$AI140-$AH140-$AG140-$AF140-$AE140*(1+EN$3))/$AJ140,'Технический лист'!$I:$J,2,1)-VLOOKUP($AO140,'Технический лист'!$I:$J,2,1)),1+(1-$AU140))</f>
        <v/>
      </c>
      <c r="EO140" s="172">
        <f>MIN(IF($AU140=100%,1,1+VLOOKUP(($AJ140-$AI140-$AH140-$AG140-$AF140-$AE140*(1+EO$3))/$AJ140,'Технический лист'!$I:$J,2,1)-VLOOKUP($AO140,'Технический лист'!$I:$J,2,1)),1+(1-$AU140))</f>
        <v/>
      </c>
      <c r="EP140" s="172">
        <f>MIN(IF($AU140=100%,1,1+VLOOKUP(($AJ140-$AI140-$AH140-$AG140-$AF140-$AE140*(1+EP$3))/$AJ140,'Технический лист'!$I:$J,2,1)-VLOOKUP($AO140,'Технический лист'!$I:$J,2,1)),1+(1-$AU140))</f>
        <v/>
      </c>
      <c r="EQ140" s="172">
        <f>MIN(IF($AU140=100%,1,1+VLOOKUP(($AJ140-$AI140-$AH140-$AG140-$AF140-$AE140*(1+EQ$3))/$AJ140,'Технический лист'!$I:$J,2,1)-VLOOKUP($AO140,'Технический лист'!$I:$J,2,1)),1+(1-$AU140))</f>
        <v/>
      </c>
      <c r="ER140" s="172">
        <f>MIN(IF($AU140=100%,1,1+VLOOKUP(($AJ140-$AI140-$AH140-$AG140-$AF140-$AE140*(1+ER$3))/$AJ140,'Технический лист'!$I:$J,2,1)-VLOOKUP($AO140,'Технический лист'!$I:$J,2,1)),1+(1-$AU140))</f>
        <v/>
      </c>
      <c r="ES140" s="172">
        <f>MIN(IF($AU140=100%,1,1+VLOOKUP(($AJ140-$AI140-$AH140-$AG140-$AF140-$AE140*(1+ES$3))/$AJ140,'Технический лист'!$I:$J,2,1)-VLOOKUP($AO140,'Технический лист'!$I:$J,2,1)),1+(1-$AU140))</f>
        <v/>
      </c>
      <c r="ET140" s="172">
        <f>MIN(IF($AU140=100%,1,1+VLOOKUP(($AJ140-$AI140-$AH140-$AG140-$AF140-$AE140*(1+ET$3))/$AJ140,'Технический лист'!$I:$J,2,1)-VLOOKUP($AO140,'Технический лист'!$I:$J,2,1)),1+(1-$AU140))</f>
        <v/>
      </c>
      <c r="EU140" s="172">
        <f>MIN(IF($AU140=100%,1,1+VLOOKUP(($AJ140-$AI140-$AH140-$AG140-$AF140-$AE140*(1+EU$3))/$AJ140,'Технический лист'!$I:$J,2,1)-VLOOKUP($AO140,'Технический лист'!$I:$J,2,1)),1+(1-$AU140))</f>
        <v/>
      </c>
      <c r="EV140" s="173" t="n">
        <v>1</v>
      </c>
      <c r="EW140" s="172">
        <f>MIN(1,MAX(VLOOKUP(($AJ140-$AI140-$AH140-$AG140-$AF140-$AE140*(1+EW$3))/$AJ140,'Технический лист'!$A:$B,2,1),(EV140-0.05)))</f>
        <v/>
      </c>
      <c r="EX140" s="172">
        <f>MIN(1,MAX(VLOOKUP(($AJ140-$AI140-$AH140-$AG140-$AF140-$AE140*(1+EX$3))/$AJ140,'Технический лист'!$A:$B,2,1),(EW140-0.05)))</f>
        <v/>
      </c>
      <c r="EY140" s="172">
        <f>MIN(1,MAX(VLOOKUP(($AJ140-$AI140-$AH140-$AG140-$AF140-$AE140*(1+EY$3))/$AJ140,'Технический лист'!$A:$B,2,1),(EX140-0.05)))</f>
        <v/>
      </c>
      <c r="EZ140" s="172">
        <f>MIN(1,MAX(VLOOKUP(($AJ140-$AI140-$AH140-$AG140-$AF140-$AE140*(1+EZ$3))/$AJ140,'Технический лист'!$A:$B,2,1),(EY140-0.05)))</f>
        <v/>
      </c>
      <c r="FA140" s="172">
        <f>MIN(1,MAX(VLOOKUP(($AJ140-$AI140-$AH140-$AG140-$AF140-$AE140*(1+FA$3))/$AJ140,'Технический лист'!$A:$B,2,1),(EZ140-0.05)))</f>
        <v/>
      </c>
      <c r="FB140" s="172">
        <f>MIN(1,MAX(VLOOKUP(($AJ140-$AI140-$AH140-$AG140-$AF140-$AE140*(1+FB$3))/$AJ140,'Технический лист'!$A:$B,2,1),(FA140-0.05)))</f>
        <v/>
      </c>
      <c r="FC140" s="172">
        <f>MIN(1,MAX(VLOOKUP(($AJ140-$AI140-$AH140-$AG140-$AF140-$AE140*(1+FC$3))/$AJ140,'Технический лист'!$A:$B,2,1),(FB140-0.05)))</f>
        <v/>
      </c>
      <c r="FD140" s="172">
        <f>MIN(1,MAX(VLOOKUP(($AJ140-$AI140-$AH140-$AG140-$AF140-$AE140*(1+FD$3))/$AJ140,'Технический лист'!$A:$B,2,1),(FC140-0.05)))</f>
        <v/>
      </c>
      <c r="FE140" s="172">
        <f>MIN(1,MAX(VLOOKUP(($AJ140-$AI140-$AH140-$AG140-$AF140-$AE140*(1+FE$3))/$AJ140,'Технический лист'!$A:$B,2,1),(FD140-0.05)))</f>
        <v/>
      </c>
      <c r="FF140" s="172">
        <f>MIN(1,MAX(VLOOKUP(($AJ140-$AI140-$AH140-$AG140-$AF140-$AE140*(1+FF$3))/$AJ140,'Технический лист'!$A:$B,2,1),(FE140-0.05)))</f>
        <v/>
      </c>
      <c r="FG140" s="172">
        <f>MIN(1,MAX(VLOOKUP(($AJ140-$AI140-$AH140-$AG140-$AF140-$AE140*(1+FG$3))/$AJ140,'Технический лист'!$A:$B,2,1),(FF140-0.05)))</f>
        <v/>
      </c>
      <c r="FH140" s="172">
        <f>MIN(1,MAX(VLOOKUP(($AJ140-$AI140-$AH140-$AG140-$AF140-$AE140*(1+FH$3))/$AJ140,'Технический лист'!$A:$B,2,1),(FG140-0.05)))</f>
        <v/>
      </c>
      <c r="FI140" s="172">
        <f>MIN(1,MAX(VLOOKUP(($AJ140-$AI140-$AH140-$AG140-$AF140-$AE140*(1+FI$3))/$AJ140,'Технический лист'!$A:$B,2,1),(FH140-0.05)))</f>
        <v/>
      </c>
      <c r="FJ140" s="172">
        <f>MIN(1,MAX(VLOOKUP(($AJ140-$AI140-$AH140-$AG140-$AF140-$AE140*(1+FJ$3))/$AJ140,'Технический лист'!$A:$B,2,1),(FI140-0.05)))</f>
        <v/>
      </c>
      <c r="FK140" s="172">
        <f>MIN(1,MAX(VLOOKUP(($AJ140-$AI140-$AH140-$AG140-$AF140-$AE140*(1+FK$3))/$AJ140,'Технический лист'!$A:$B,2,1),(FJ140-0.05)))</f>
        <v/>
      </c>
      <c r="FL140" s="172">
        <f>MIN(1,MAX(VLOOKUP(($AJ140-$AI140-$AH140-$AG140-$AF140-$AE140*(1+FL$3))/$AJ140,'Технический лист'!$A:$B,2,1),(FK140-0.05)))</f>
        <v/>
      </c>
      <c r="FM140" s="172">
        <f>MIN(1,MAX(VLOOKUP(($AJ140-$AI140-$AH140-$AG140-$AF140-$AE140*(1+FM$3))/$AJ140,'Технический лист'!$A:$B,2,1),(FL140-0.05)))</f>
        <v/>
      </c>
      <c r="FN140" s="172">
        <f>MIN(1,MAX(VLOOKUP(($AJ140-$AI140-$AH140-$AG140-$AF140-$AE140*(1+FN$3))/$AJ140,'Технический лист'!$A:$B,2,1),(FM140-0.05)))</f>
        <v/>
      </c>
      <c r="FO140" s="172">
        <f>MIN(1,MAX(VLOOKUP(($AJ140-$AI140-$AH140-$AG140-$AF140-$AE140*(1+FO$3))/$AJ140,'Технический лист'!$A:$B,2,1),(FN140-0.05)))</f>
        <v/>
      </c>
      <c r="FP140" s="172">
        <f>MIN(1,MAX(VLOOKUP(($AJ140-$AI140-$AH140-$AG140-$AF140-$AE140*(1+FP$3))/$AJ140,'Технический лист'!$A:$B,2,1),(FO140-0.05)))</f>
        <v/>
      </c>
      <c r="FQ140" s="172">
        <f>MIN(1,MAX(VLOOKUP(($AJ140-$AI140-$AH140-$AG140-$AF140-$AE140*(1+FQ$3))/$AJ140,'Технический лист'!$A:$B,2,1),(FP140-0.05)))</f>
        <v/>
      </c>
      <c r="FR140" s="172">
        <f>MIN(1,MAX(VLOOKUP(($AJ140-$AI140-$AH140-$AG140-$AF140-$AE140*(1+FR$3))/$AJ140,'Технический лист'!$A:$B,2,1),(FQ140-0.05)))</f>
        <v/>
      </c>
      <c r="FS140" s="172">
        <f>MIN(1,MAX(VLOOKUP(($AJ140-$AI140-$AH140-$AG140-$AF140-$AE140*(1+FS$3))/$AJ140,'Технический лист'!$A:$B,2,1),(FR140-0.05)))</f>
        <v/>
      </c>
      <c r="FT140" s="172">
        <f>MIN(1,MAX(VLOOKUP(($AJ140-$AI140-$AH140-$AG140-$AF140-$AE140*(1+FT$3))/$AJ140,'Технический лист'!$A:$B,2,1),(FS140-0.05)))</f>
        <v/>
      </c>
      <c r="FU140" s="172">
        <f>MIN(1,MAX(VLOOKUP(($AJ140-$AI140-$AH140-$AG140-$AF140-$AE140*(1+FU$3))/$AJ140,'Технический лист'!$A:$B,2,1),(FT140-0.05)))</f>
        <v/>
      </c>
      <c r="FV140" s="172">
        <f>MIN(1,MAX(VLOOKUP(($AJ140-$AI140-$AH140-$AG140-$AF140-$AE140*(1+FV$3))/$AJ140,'Технический лист'!$A:$B,2,1),(FU140-0.05)))</f>
        <v/>
      </c>
      <c r="FW140" s="172">
        <f>MIN(1,MAX(VLOOKUP(($AJ140-$AI140-$AH140-$AG140-$AF140-$AE140*(1+FW$3))/$AJ140,'Технический лист'!$A:$B,2,1),(FV140-0.05)))</f>
        <v/>
      </c>
      <c r="FX140" s="172">
        <f>MIN(1,MAX(VLOOKUP(($AJ140-$AI140-$AH140-$AG140-$AF140-$AE140*(1+FX$3))/$AJ140,'Технический лист'!$A:$B,2,1),(FW140-0.05)))</f>
        <v/>
      </c>
      <c r="FY140" s="172">
        <f>MIN(1,MAX(VLOOKUP(($AJ140-$AI140-$AH140-$AG140-$AF140-$AE140*(1+FY$3))/$AJ140,'Технический лист'!$A:$B,2,1),(FX140-0.05)))</f>
        <v/>
      </c>
      <c r="FZ140" s="172">
        <f>MIN(1,MAX(VLOOKUP(($AJ140-$AI140-$AH140-$AG140-$AF140-$AE140*(1+FZ$3))/$AJ140,'Технический лист'!$A:$B,2,1),(FY140-0.05)))</f>
        <v/>
      </c>
      <c r="GA140" s="172">
        <f>MIN(1,MAX(VLOOKUP(($AJ140-$AI140-$AH140-$AG140-$AF140-$AE140*(1+GA$3))/$AJ140,'Технический лист'!$A:$B,2,1),(FZ140-0.05)))</f>
        <v/>
      </c>
      <c r="GB140" s="172">
        <f>MIN(1,MAX(VLOOKUP(($AJ140-$AI140-$AH140-$AG140-$AF140-$AE140*(1+GB$3))/$AJ140,'Технический лист'!$A:$B,2,1),(GA140-0.05)))</f>
        <v/>
      </c>
      <c r="GC140" s="172">
        <f>MIN(1,MAX(VLOOKUP(($AJ140-$AI140-$AH140-$AG140-$AF140-$AE140*(1+GC$3))/$AJ140,'Технический лист'!$A:$B,2,1),(GB140-0.05)))</f>
        <v/>
      </c>
      <c r="GD140" s="172">
        <f>MIN(1,MAX(VLOOKUP(($AJ140-$AI140-$AH140-$AG140-$AF140-$AE140*(1+GD$3))/$AJ140,'Технический лист'!$A:$B,2,1),(GC140-0.05)))</f>
        <v/>
      </c>
      <c r="GE140" s="172">
        <f>MIN(1,MAX(VLOOKUP(($AJ140-$AI140-$AH140-$AG140-$AF140-$AE140*(1+GE$3))/$AJ140,'Технический лист'!$A:$B,2,1),(GD140-0.05)))</f>
        <v/>
      </c>
      <c r="GF140" s="172">
        <f>MIN(1,MAX(VLOOKUP(($AJ140-$AI140-$AH140-$AG140-$AF140-$AE140*(1+GF$3))/$AJ140,'Технический лист'!$A:$B,2,1),(GE140-0.05)))</f>
        <v/>
      </c>
      <c r="GG140" s="172">
        <f>MIN(1,MAX(VLOOKUP(($AJ140-$AI140-$AH140-$AG140-$AF140-$AE140*(1+GG$3))/$AJ140,'Технический лист'!$A:$B,2,1),(GF140-0.05)))</f>
        <v/>
      </c>
      <c r="GH140" s="172">
        <f>MIN(1,MAX(VLOOKUP(($AJ140-$AI140-$AH140-$AG140-$AF140-$AE140*(1+GH$3))/$AJ140,'Технический лист'!$A:$B,2,1),(GG140-0.05)))</f>
        <v/>
      </c>
      <c r="GI140" s="172">
        <f>MIN(1,MAX(VLOOKUP(($AJ140-$AI140-$AH140-$AG140-$AF140-$AE140*(1+GI$3))/$AJ140,'Технический лист'!$A:$B,2,1),(GH140-0.05)))</f>
        <v/>
      </c>
      <c r="GJ140" s="172">
        <f>MIN(1,MAX(VLOOKUP(($AJ140-$AI140-$AH140-$AG140-$AF140-$AE140*(1+GJ$3))/$AJ140,'Технический лист'!$A:$B,2,1),(GI140-0.05)))</f>
        <v/>
      </c>
      <c r="GK140" s="172">
        <f>MIN(1,MAX(VLOOKUP(($AJ140-$AI140-$AH140-$AG140-$AF140-$AE140*(1+GK$3))/$AJ140,'Технический лист'!$A:$B,2,1),(GJ140-0.05)))</f>
        <v/>
      </c>
      <c r="GL140" s="172">
        <f>MIN(1,MAX(VLOOKUP(($AJ140-$AI140-$AH140-$AG140-$AF140-$AE140*(1+GL$3))/$AJ140,'Технический лист'!$A:$B,2,1),(GK140-0.05)))</f>
        <v/>
      </c>
      <c r="GM140" s="172">
        <f>MIN(1,MAX(VLOOKUP(($AJ140-$AI140-$AH140-$AG140-$AF140-$AE140*(1+GM$3))/$AJ140,'Технический лист'!$A:$B,2,1),(GL140-0.05)))</f>
        <v/>
      </c>
      <c r="GN140" s="172">
        <f>MIN(1,MAX(VLOOKUP(($AJ140-$AI140-$AH140-$AG140-$AF140-$AE140*(1+GN$3))/$AJ140,'Технический лист'!$A:$B,2,1),(GM140-0.05)))</f>
        <v/>
      </c>
      <c r="GO140" s="172">
        <f>MIN(1,MAX(VLOOKUP(($AJ140-$AI140-$AH140-$AG140-$AF140-$AE140*(1+GO$3))/$AJ140,'Технический лист'!$A:$B,2,1),(GN140-0.05)))</f>
        <v/>
      </c>
      <c r="GP140" s="172">
        <f>MIN(1,MAX(VLOOKUP(($AJ140-$AI140-$AH140-$AG140-$AF140-$AE140*(1+GP$3))/$AJ140,'Технический лист'!$A:$B,2,1),(GO140-0.05)))</f>
        <v/>
      </c>
      <c r="GQ140" s="172">
        <f>MIN(1,MAX(VLOOKUP(($AJ140-$AI140-$AH140-$AG140-$AF140-$AE140*(1+GQ$3))/$AJ140,'Технический лист'!$A:$B,2,1),(GP140-0.05)))</f>
        <v/>
      </c>
      <c r="GR140" s="172">
        <f>MIN(1,MAX(VLOOKUP(($AJ140-$AI140-$AH140-$AG140-$AF140-$AE140*(1+GR$3))/$AJ140,'Технический лист'!$A:$B,2,1),(GQ140-0.05)))</f>
        <v/>
      </c>
      <c r="GS140" s="172">
        <f>MIN(1,MAX(VLOOKUP(($AJ140-$AI140-$AH140-$AG140-$AF140-$AE140*(1+GS$3))/$AJ140,'Технический лист'!$A:$B,2,1),(GR140-0.05)))</f>
        <v/>
      </c>
      <c r="GT140" s="172">
        <f>MIN(1,MAX(VLOOKUP(($AJ140-$AI140-$AH140-$AG140-$AF140-$AE140*(1+GT$3))/$AJ140,'Технический лист'!$A:$B,2,1),(GS140-0.05)))</f>
        <v/>
      </c>
      <c r="GU140" s="172">
        <f>MIN(1,MAX(VLOOKUP(($AJ140-$AI140-$AH140-$AG140-$AF140-$AE140*(1+GU$3))/$AJ140,'Технический лист'!$A:$B,2,1),(GT140-0.05)))</f>
        <v/>
      </c>
      <c r="GV140" s="172">
        <f>MIN(1,MAX(VLOOKUP(($AJ140-$AI140-$AH140-$AG140-$AF140-$AE140*(1+GV$3))/$AJ140,'Технический лист'!$A:$B,2,1),(GU140-0.05)))</f>
        <v/>
      </c>
      <c r="GW140" s="172">
        <f>MIN(1,MAX(VLOOKUP(($AJ140-$AI140-$AH140-$AG140-$AF140-$AE140*(1+GW$3))/$AJ140,'Технический лист'!$A:$B,2,1),(GV140-0.05)))</f>
        <v/>
      </c>
      <c r="GX140" s="172">
        <f>MIN(1,MAX(VLOOKUP(($AJ140-$AI140-$AH140-$AG140-$AF140-$AE140*(1+GX$3))/$AJ140,'Технический лист'!$A:$B,2,1),(GW140-0.05)))</f>
        <v/>
      </c>
      <c r="GY140" s="172">
        <f>MIN(1,MAX(VLOOKUP(($AJ140-$AI140-$AH140-$AG140-$AF140-$AE140*(1+GY$3))/$AJ140,'Технический лист'!$A:$B,2,1),(GX140-0.05)))</f>
        <v/>
      </c>
      <c r="GZ140" s="172">
        <f>MIN(1,MAX(VLOOKUP(($AJ140-$AI140-$AH140-$AG140-$AF140-$AE140*(1+GZ$3))/$AJ140,'Технический лист'!$A:$B,2,1),(GY140-0.05)))</f>
        <v/>
      </c>
      <c r="HA140" s="172">
        <f>MIN(1,MAX(VLOOKUP(($AJ140-$AI140-$AH140-$AG140-$AF140-$AE140*(1+HA$3))/$AJ140,'Технический лист'!$A:$B,2,1),(GZ140-0.05)))</f>
        <v/>
      </c>
      <c r="HB140" s="172">
        <f>MIN(1,MAX(VLOOKUP(($AJ140-$AI140-$AH140-$AG140-$AF140-$AE140*(1+HB$3))/$AJ140,'Технический лист'!$A:$B,2,1),(HA140-0.05)))</f>
        <v/>
      </c>
      <c r="HC140" s="172">
        <f>MIN(1,MAX(VLOOKUP(($AJ140-$AI140-$AH140-$AG140-$AF140-$AE140*(1+HC$3))/$AJ140,'Технический лист'!$A:$B,2,1),(HB140-0.05)))</f>
        <v/>
      </c>
      <c r="HD140" s="172">
        <f>MIN(1,MAX(VLOOKUP(($AJ140-$AI140-$AH140-$AG140-$AF140-$AE140*(1+HD$3))/$AJ140,'Технический лист'!$A:$B,2,1),(HC140-0.05)))</f>
        <v/>
      </c>
      <c r="HE140" s="172">
        <f>MIN(1,MAX(VLOOKUP(($AJ140-$AI140-$AH140-$AG140-$AF140-$AE140*(1+HE$3))/$AJ140,'Технический лист'!$A:$B,2,1),(HD140-0.05)))</f>
        <v/>
      </c>
      <c r="HF140" s="172">
        <f>MIN(1,MAX(VLOOKUP(($AJ140-$AI140-$AH140-$AG140-$AF140-$AE140*(1+HF$3))/$AJ140,'Технический лист'!$A:$B,2,1),(HE140-0.05)))</f>
        <v/>
      </c>
      <c r="HG140" s="172">
        <f>MIN(1,MAX(VLOOKUP(($AJ140-$AI140-$AH140-$AG140-$AF140-$AE140*(1+HG$3))/$AJ140,'Технический лист'!$A:$B,2,1),(HF140-0.05)))</f>
        <v/>
      </c>
      <c r="HH140" s="172">
        <f>MIN(1,MAX(VLOOKUP(($AJ140-$AI140-$AH140-$AG140-$AF140-$AE140*(1+HH$3))/$AJ140,'Технический лист'!$A:$B,2,1),(HG140-0.05)))</f>
        <v/>
      </c>
      <c r="HI140" s="172">
        <f>MIN(1,MAX(VLOOKUP(($AJ140-$AI140-$AH140-$AG140-$AF140-$AE140*(1+HI$3))/$AJ140,'Технический лист'!$A:$B,2,1),(HH140-0.05)))</f>
        <v/>
      </c>
      <c r="HJ140" s="172">
        <f>MIN(1,MAX(VLOOKUP(($AJ140-$AI140-$AH140-$AG140-$AF140-$AE140*(1+HJ$3))/$AJ140,'Технический лист'!$A:$B,2,1),(HI140-0.05)))</f>
        <v/>
      </c>
      <c r="HK140" s="172">
        <f>MIN(1,MAX(VLOOKUP(($AJ140-$AI140-$AH140-$AG140-$AF140-$AE140*(1+HK$3))/$AJ140,'Технический лист'!$A:$B,2,1),(HJ140-0.05)))</f>
        <v/>
      </c>
      <c r="HL140" s="172">
        <f>MIN(1,MAX(VLOOKUP(($AJ140-$AI140-$AH140-$AG140-$AF140-$AE140*(1+HL$3))/$AJ140,'Технический лист'!$A:$B,2,1),(HK140-0.05)))</f>
        <v/>
      </c>
      <c r="HM140" s="172">
        <f>MIN(1,MAX(VLOOKUP(($AJ140-$AI140-$AH140-$AG140-$AF140-$AE140*(1+HM$3))/$AJ140,'Технический лист'!$A:$B,2,1),(HL140-0.05)))</f>
        <v/>
      </c>
      <c r="HN140" s="172">
        <f>MIN(1,MAX(VLOOKUP(($AJ140-$AI140-$AH140-$AG140-$AF140-$AE140*(1+HN$3))/$AJ140,'Технический лист'!$A:$B,2,1),(HM140-0.05)))</f>
        <v/>
      </c>
      <c r="HO140" s="172">
        <f>MIN(1,MAX(VLOOKUP(($AJ140-$AI140-$AH140-$AG140-$AF140-$AE140*(1+HO$3))/$AJ140,'Технический лист'!$A:$B,2,1),(HN140-0.05)))</f>
        <v/>
      </c>
      <c r="HP140" s="172">
        <f>MIN(1,MAX(VLOOKUP(($AJ140-$AI140-$AH140-$AG140-$AF140-$AE140*(1+HP$3))/$AJ140,'Технический лист'!$A:$B,2,1),(HO140-0.05)))</f>
        <v/>
      </c>
      <c r="HQ140" s="172">
        <f>MIN(1,MAX(VLOOKUP(($AJ140-$AI140-$AH140-$AG140-$AF140-$AE140*(1+HQ$3))/$AJ140,'Технический лист'!$A:$B,2,1),(HP140-0.05)))</f>
        <v/>
      </c>
      <c r="HR140" s="172">
        <f>MIN(1,MAX(VLOOKUP(($AJ140-$AI140-$AH140-$AG140-$AF140-$AE140*(1+HR$3))/$AJ140,'Технический лист'!$A:$B,2,1),(HQ140-0.05)))</f>
        <v/>
      </c>
      <c r="HS140" s="172">
        <f>MIN(1,MAX(VLOOKUP(($AJ140-$AI140-$AH140-$AG140-$AF140-$AE140*(1+HS$3))/$AJ140,'Технический лист'!$A:$B,2,1),(HR140-0.05)))</f>
        <v/>
      </c>
      <c r="HT140" s="172">
        <f>MIN(1,MAX(VLOOKUP(($AJ140-$AI140-$AH140-$AG140-$AF140-$AE140*(1+HT$3))/$AJ140,'Технический лист'!$A:$B,2,1),(HS140-0.05)))</f>
        <v/>
      </c>
      <c r="HU140" s="172">
        <f>MIN(1,MAX(VLOOKUP(($AJ140-$AI140-$AH140-$AG140-$AF140-$AE140*(1+HU$3))/$AJ140,'Технический лист'!$A:$B,2,1),(HT140-0.05)))</f>
        <v/>
      </c>
      <c r="HV140" s="172">
        <f>MIN(1,MAX(VLOOKUP(($AJ140-$AI140-$AH140-$AG140-$AF140-$AE140*(1+HV$3))/$AJ140,'Технический лист'!$A:$B,2,1),(HU140-0.05)))</f>
        <v/>
      </c>
      <c r="HW140" s="172">
        <f>MIN(1,MAX(VLOOKUP(($AJ140-$AI140-$AH140-$AG140-$AF140-$AE140*(1+HW$3))/$AJ140,'Технический лист'!$A:$B,2,1),(HV140-0.05)))</f>
        <v/>
      </c>
      <c r="HX140" s="172">
        <f>MIN(1,MAX(VLOOKUP(($AJ140-$AI140-$AH140-$AG140-$AF140-$AE140*(1+HX$3))/$AJ140,'Технический лист'!$A:$B,2,1),(HW140-0.05)))</f>
        <v/>
      </c>
      <c r="HY140" s="172">
        <f>MIN(1,MAX(VLOOKUP(($AJ140-$AI140-$AH140-$AG140-$AF140-$AE140*(1+HY$3))/$AJ140,'Технический лист'!$A:$B,2,1),(HX140-0.05)))</f>
        <v/>
      </c>
      <c r="HZ140" s="172">
        <f>MIN(1,MAX(VLOOKUP(($AJ140-$AI140-$AH140-$AG140-$AF140-$AE140*(1+HZ$3))/$AJ140,'Технический лист'!$A:$B,2,1),(HY140-0.05)))</f>
        <v/>
      </c>
      <c r="IA140" s="172">
        <f>MIN(1,MAX(VLOOKUP(($AJ140-$AI140-$AH140-$AG140-$AF140-$AE140*(1+IA$3))/$AJ140,'Технический лист'!$A:$B,2,1),(HZ140-0.05)))</f>
        <v/>
      </c>
      <c r="IB140" s="172">
        <f>MIN(1,MAX(VLOOKUP(($AJ140-$AI140-$AH140-$AG140-$AF140-$AE140*(1+IB$3))/$AJ140,'Технический лист'!$A:$B,2,1),(IA140-0.05)))</f>
        <v/>
      </c>
      <c r="IC140" s="172">
        <f>MIN(1,MAX(VLOOKUP(($AJ140-$AI140-$AH140-$AG140-$AF140-$AE140*(1+IC$3))/$AJ140,'Технический лист'!$A:$B,2,1),(IB140-0.05)))</f>
        <v/>
      </c>
      <c r="ID140" s="172">
        <f>MIN(1,MAX(VLOOKUP(($AJ140-$AI140-$AH140-$AG140-$AF140-$AE140*(1+ID$3))/$AJ140,'Технический лист'!$A:$B,2,1),(IC140-0.05)))</f>
        <v/>
      </c>
      <c r="IE140" s="172">
        <f>MIN(1,MAX(VLOOKUP(($AJ140-$AI140-$AH140-$AG140-$AF140-$AE140*(1+IE$3))/$AJ140,'Технический лист'!$A:$B,2,1),(ID140-0.05)))</f>
        <v/>
      </c>
      <c r="IF140" s="172">
        <f>MIN(1,MAX(VLOOKUP(($AJ140-$AI140-$AH140-$AG140-$AF140-$AE140*(1+IF$3))/$AJ140,'Технический лист'!$A:$B,2,1),(IE140-0.05)))</f>
        <v/>
      </c>
      <c r="IG140" s="172">
        <f>MIN(1,MAX(VLOOKUP(($AJ140-$AI140-$AH140-$AG140-$AF140-$AE140*(1+IG$3))/$AJ140,'Технический лист'!$A:$B,2,1),(IF140-0.05)))</f>
        <v/>
      </c>
      <c r="IH140" s="172">
        <f>MIN(1,MAX(VLOOKUP(($AJ140-$AI140-$AH140-$AG140-$AF140-$AE140*(1+IH$3))/$AJ140,'Технический лист'!$A:$B,2,1),(IG140-0.05)))</f>
        <v/>
      </c>
      <c r="II140" s="172">
        <f>MIN(1,MAX(VLOOKUP(($AJ140-$AI140-$AH140-$AG140-$AF140-$AE140*(1+II$3))/$AJ140,'Технический лист'!$A:$B,2,1),(IH140-0.05)))</f>
        <v/>
      </c>
      <c r="IJ140" s="172">
        <f>MIN(1,MAX(VLOOKUP(($AJ140-$AI140-$AH140-$AG140-$AF140-$AE140*(1+IJ$3))/$AJ140,'Технический лист'!$A:$B,2,1),(II140-0.05)))</f>
        <v/>
      </c>
      <c r="IK140" s="172">
        <f>MIN(1,MAX(VLOOKUP(($AJ140-$AI140-$AH140-$AG140-$AF140-$AE140*(1+IK$3))/$AJ140,'Технический лист'!$A:$B,2,1),(IJ140-0.05)))</f>
        <v/>
      </c>
      <c r="IL140" s="172">
        <f>MIN(1,MAX(VLOOKUP(($AJ140-$AI140-$AH140-$AG140-$AF140-$AE140*(1+IL$3))/$AJ140,'Технический лист'!$A:$B,2,1),(IK140-0.05)))</f>
        <v/>
      </c>
      <c r="IM140" s="172">
        <f>MIN(1,MAX(VLOOKUP(($AJ140-$AI140-$AH140-$AG140-$AF140-$AE140*(1+IM$3))/$AJ140,'Технический лист'!$A:$B,2,1),(IL140-0.05)))</f>
        <v/>
      </c>
      <c r="IN140" s="172">
        <f>MIN(1,MAX(VLOOKUP(($AJ140-$AI140-$AH140-$AG140-$AF140-$AE140*(1+IN$3))/$AJ140,'Технический лист'!$A:$B,2,1),(IM140-0.05)))</f>
        <v/>
      </c>
      <c r="IO140" s="172">
        <f>MIN(1,MAX(VLOOKUP(($AJ140-$AI140-$AH140-$AG140-$AF140-$AE140*(1+IO$3))/$AJ140,'Технический лист'!$A:$B,2,1),(IN140-0.05)))</f>
        <v/>
      </c>
      <c r="IP140" s="172">
        <f>MIN(1,MAX(VLOOKUP(($AJ140-$AI140-$AH140-$AG140-$AF140-$AE140*(1+IP$3))/$AJ140,'Технический лист'!$A:$B,2,1),(IO140-0.05)))</f>
        <v/>
      </c>
      <c r="IQ140" s="172">
        <f>MIN(1,MAX(VLOOKUP(($AJ140-$AI140-$AH140-$AG140-$AF140-$AE140*(1+IQ$3))/$AJ140,'Технический лист'!$A:$B,2,1),(IP140-0.05)))</f>
        <v/>
      </c>
      <c r="IR140" s="172">
        <f>MIN(1,MAX(VLOOKUP(($AJ140-$AI140-$AH140-$AG140-$AF140-$AE140*(1+IR$3))/$AJ140,'Технический лист'!$A:$B,2,1),(IQ140-0.05)))</f>
        <v/>
      </c>
    </row>
    <row r="141" ht="29.15" customHeight="1" s="123">
      <c r="A141" s="89" t="inlineStr">
        <is>
          <t>ЦМ (продукция)</t>
        </is>
      </c>
      <c r="B141" s="90" t="n">
        <v>10</v>
      </c>
      <c r="C141" s="5" t="inlineStr">
        <is>
          <t>Остальные грузы</t>
        </is>
      </c>
      <c r="D141" s="91" t="n">
        <v>33125</v>
      </c>
      <c r="E141" s="91" t="inlineStr">
        <is>
          <t xml:space="preserve">Медь </t>
        </is>
      </c>
      <c r="F141" s="92" t="inlineStr">
        <is>
          <t>МЕТАЛЛЫ ЦВЕТНЫЕ И ИХ СПЛА</t>
        </is>
      </c>
      <c r="G141" s="91" t="inlineStr">
        <is>
          <t>ЮУР</t>
        </is>
      </c>
      <c r="H141" s="91" t="inlineStr">
        <is>
          <t>СВР</t>
        </is>
      </c>
      <c r="I141" s="91" t="inlineStr">
        <is>
          <t>МЕДНОГОРСК</t>
        </is>
      </c>
      <c r="J141" s="91" t="inlineStr">
        <is>
          <t>ШУВАКИШ</t>
        </is>
      </c>
      <c r="K141" s="91" t="n">
        <v>918</v>
      </c>
      <c r="L141" s="77" t="inlineStr">
        <is>
          <t>Платформы</t>
        </is>
      </c>
      <c r="M141" s="91" t="inlineStr">
        <is>
          <t>Внутр. перевозки</t>
        </is>
      </c>
      <c r="N141" s="91" t="inlineStr">
        <is>
          <t>контейнерная</t>
        </is>
      </c>
      <c r="O141" s="91" t="inlineStr">
        <is>
          <t xml:space="preserve">Южное </t>
        </is>
      </c>
      <c r="P141" s="89" t="inlineStr">
        <is>
          <t>'000041848759</t>
        </is>
      </c>
      <c r="Q141" s="91" t="inlineStr">
        <is>
          <t>'ООО "Медногорский медно-серный комбинат"</t>
        </is>
      </c>
      <c r="R141" s="91" t="inlineStr">
        <is>
          <t>ООО "УГМК-Холдинг"</t>
        </is>
      </c>
      <c r="S141" s="87" t="n">
        <v>62686</v>
      </c>
      <c r="T141" s="87" t="n">
        <v>57520843</v>
      </c>
      <c r="U141" s="88" t="n">
        <v>1070</v>
      </c>
      <c r="V141" s="88" t="n">
        <v>2140</v>
      </c>
      <c r="W141" s="87" t="n">
        <v>51796932</v>
      </c>
      <c r="X141" s="112" t="n">
        <v>58</v>
      </c>
      <c r="Y141" s="112" t="inlineStr">
        <is>
          <t>контейнерная</t>
        </is>
      </c>
      <c r="Z141" s="113" t="n">
        <v>6</v>
      </c>
      <c r="AA141" s="113" t="n">
        <v>0</v>
      </c>
      <c r="AB141" s="113" t="n">
        <v>4</v>
      </c>
      <c r="AC141" s="161">
        <f>68294/X141</f>
        <v/>
      </c>
      <c r="AD141" s="161" t="n">
        <v>0</v>
      </c>
      <c r="AE141" s="161">
        <f>AC141</f>
        <v/>
      </c>
      <c r="AF141" s="162">
        <f>(AB141+AA141+Z141)*'Ставки аренды'!$B$6/X141</f>
        <v/>
      </c>
      <c r="AG141" s="164" t="n">
        <v>0</v>
      </c>
      <c r="AH141" s="164" t="n">
        <v>0</v>
      </c>
      <c r="AI141" s="165">
        <f>0.85*AJ141</f>
        <v/>
      </c>
      <c r="AJ141" s="166">
        <f>Цены!C29*'Курсы валют'!B2</f>
        <v/>
      </c>
      <c r="AK141" s="164">
        <f>AJ141/Цены!$B$1</f>
        <v/>
      </c>
      <c r="AL141" s="164">
        <f>AE141+AF141+AG141</f>
        <v/>
      </c>
      <c r="AM141" s="164">
        <f>AJ141-AL141</f>
        <v/>
      </c>
      <c r="AN141" s="164">
        <f>AI141+AH141+AG141+AF141+AE141</f>
        <v/>
      </c>
      <c r="AO141" s="167">
        <f>(AJ141-AN141)/AJ141</f>
        <v/>
      </c>
      <c r="AP141" s="168">
        <f>AL141/AJ141</f>
        <v/>
      </c>
      <c r="AQ141" s="168">
        <f>AE141/AJ141</f>
        <v/>
      </c>
      <c r="AR141" s="168">
        <f>AE141/AL141</f>
        <v/>
      </c>
      <c r="AS141" s="169" t="n">
        <v>1</v>
      </c>
      <c r="AT141" s="121">
        <f>S141*AS141</f>
        <v/>
      </c>
      <c r="AU141" s="7" t="inlineStr">
        <is>
          <t>Внутренняя логистика</t>
        </is>
      </c>
      <c r="AV141" s="170">
        <f>(AJ141-(AE141*(1+$IS$2)+AF141+AG141+AH141+AI141))/AJ141</f>
        <v/>
      </c>
      <c r="AW141" s="171">
        <f>(AE141*(1+$IS$2)+AF141+AG141)/AJ141</f>
        <v/>
      </c>
      <c r="AX141" s="171">
        <f>(AE141*(1+$IS$2))/AJ141</f>
        <v/>
      </c>
      <c r="AY141" s="171">
        <f>(AE141*(1+$IS$2))/(AE141*(1+$IS$2)+AF141+AG141)</f>
        <v/>
      </c>
      <c r="AZ141" s="172" t="n">
        <v>1</v>
      </c>
      <c r="BA141" s="172" t="n">
        <v>1</v>
      </c>
      <c r="BB141" s="172" t="n">
        <v>1</v>
      </c>
      <c r="BC141" s="172" t="n">
        <v>1</v>
      </c>
      <c r="BD141" s="172" t="n">
        <v>1</v>
      </c>
      <c r="BE141" s="172" t="n">
        <v>1</v>
      </c>
      <c r="BF141" s="172" t="n">
        <v>1</v>
      </c>
      <c r="BG141" s="172" t="n">
        <v>1</v>
      </c>
      <c r="BH141" s="172" t="n">
        <v>1</v>
      </c>
      <c r="BI141" s="172" t="n">
        <v>1</v>
      </c>
      <c r="BJ141" s="172" t="n">
        <v>1</v>
      </c>
      <c r="BK141" s="172" t="n">
        <v>1</v>
      </c>
      <c r="BL141" s="172" t="n">
        <v>1</v>
      </c>
      <c r="BM141" s="172" t="n">
        <v>1</v>
      </c>
      <c r="BN141" s="172" t="n">
        <v>1</v>
      </c>
      <c r="BO141" s="172" t="n">
        <v>1</v>
      </c>
      <c r="BP141" s="172" t="n">
        <v>1</v>
      </c>
      <c r="BQ141" s="172" t="n">
        <v>1</v>
      </c>
      <c r="BR141" s="172" t="n">
        <v>1</v>
      </c>
      <c r="BS141" s="172" t="n">
        <v>1</v>
      </c>
      <c r="BT141" s="172" t="n">
        <v>1</v>
      </c>
      <c r="BU141" s="172" t="n">
        <v>1</v>
      </c>
      <c r="BV141" s="172" t="n">
        <v>1</v>
      </c>
      <c r="BW141" s="172" t="n">
        <v>1</v>
      </c>
      <c r="BX141" s="172" t="n">
        <v>1</v>
      </c>
      <c r="BY141" s="172" t="n">
        <v>1</v>
      </c>
      <c r="BZ141" s="172" t="n">
        <v>1</v>
      </c>
      <c r="CA141" s="172" t="n">
        <v>1</v>
      </c>
      <c r="CB141" s="172" t="n">
        <v>1</v>
      </c>
      <c r="CC141" s="172" t="n">
        <v>1</v>
      </c>
      <c r="CD141" s="172" t="n">
        <v>1</v>
      </c>
      <c r="CE141" s="172" t="n">
        <v>1</v>
      </c>
      <c r="CF141" s="172" t="n">
        <v>1</v>
      </c>
      <c r="CG141" s="172" t="n">
        <v>1</v>
      </c>
      <c r="CH141" s="172" t="n">
        <v>1</v>
      </c>
      <c r="CI141" s="172" t="n">
        <v>1</v>
      </c>
      <c r="CJ141" s="172" t="n">
        <v>1</v>
      </c>
      <c r="CK141" s="172" t="n">
        <v>1</v>
      </c>
      <c r="CL141" s="172" t="n">
        <v>1</v>
      </c>
      <c r="CM141" s="172" t="n">
        <v>1</v>
      </c>
      <c r="CN141" s="172" t="n">
        <v>1</v>
      </c>
      <c r="CO141" s="172" t="n">
        <v>1</v>
      </c>
      <c r="CP141" s="172" t="n">
        <v>1</v>
      </c>
      <c r="CQ141" s="172" t="n">
        <v>1</v>
      </c>
      <c r="CR141" s="172" t="n">
        <v>1</v>
      </c>
      <c r="CS141" s="172" t="n">
        <v>1</v>
      </c>
      <c r="CT141" s="172" t="n">
        <v>1</v>
      </c>
      <c r="CU141" s="172" t="n">
        <v>1</v>
      </c>
      <c r="CV141" s="172" t="n">
        <v>1</v>
      </c>
      <c r="CW141" s="172" t="n">
        <v>1</v>
      </c>
      <c r="CX141" s="172" t="n">
        <v>1</v>
      </c>
      <c r="CY141" s="172" t="n">
        <v>1</v>
      </c>
      <c r="CZ141" s="172" t="n">
        <v>1</v>
      </c>
      <c r="DA141" s="172" t="n">
        <v>1</v>
      </c>
      <c r="DB141" s="172" t="n">
        <v>1</v>
      </c>
      <c r="DC141" s="172" t="n">
        <v>1</v>
      </c>
      <c r="DD141" s="172" t="n">
        <v>1</v>
      </c>
      <c r="DE141" s="172" t="n">
        <v>1</v>
      </c>
      <c r="DF141" s="172" t="n">
        <v>1</v>
      </c>
      <c r="DG141" s="172" t="n">
        <v>1</v>
      </c>
      <c r="DH141" s="172" t="n">
        <v>1</v>
      </c>
      <c r="DI141" s="172" t="n">
        <v>1</v>
      </c>
      <c r="DJ141" s="172" t="n">
        <v>1</v>
      </c>
      <c r="DK141" s="172" t="n">
        <v>1</v>
      </c>
      <c r="DL141" s="172" t="n">
        <v>1</v>
      </c>
      <c r="DM141" s="172" t="n">
        <v>1</v>
      </c>
      <c r="DN141" s="172" t="n">
        <v>1</v>
      </c>
      <c r="DO141" s="172" t="n">
        <v>1</v>
      </c>
      <c r="DP141" s="172" t="n">
        <v>1</v>
      </c>
      <c r="DQ141" s="172" t="n">
        <v>1</v>
      </c>
      <c r="DR141" s="172" t="n">
        <v>1</v>
      </c>
      <c r="DS141" s="172" t="n">
        <v>1</v>
      </c>
      <c r="DT141" s="172" t="n">
        <v>1</v>
      </c>
      <c r="DU141" s="172" t="n">
        <v>1</v>
      </c>
      <c r="DV141" s="172" t="n">
        <v>1</v>
      </c>
      <c r="DW141" s="172" t="n">
        <v>1</v>
      </c>
      <c r="DX141" s="172" t="n">
        <v>1</v>
      </c>
      <c r="DY141" s="172" t="n">
        <v>1</v>
      </c>
      <c r="DZ141" s="172" t="n">
        <v>1</v>
      </c>
      <c r="EA141" s="172" t="n">
        <v>1</v>
      </c>
      <c r="EB141" s="172" t="n">
        <v>1</v>
      </c>
      <c r="EC141" s="172" t="n">
        <v>1</v>
      </c>
      <c r="ED141" s="172" t="n">
        <v>1</v>
      </c>
      <c r="EE141" s="172" t="n">
        <v>1</v>
      </c>
      <c r="EF141" s="172" t="n">
        <v>1</v>
      </c>
      <c r="EG141" s="172" t="n">
        <v>1</v>
      </c>
      <c r="EH141" s="172" t="n">
        <v>1</v>
      </c>
      <c r="EI141" s="172" t="n">
        <v>1</v>
      </c>
      <c r="EJ141" s="172" t="n">
        <v>1</v>
      </c>
      <c r="EK141" s="172" t="n">
        <v>1</v>
      </c>
      <c r="EL141" s="172" t="n">
        <v>1</v>
      </c>
      <c r="EM141" s="172" t="n">
        <v>1</v>
      </c>
      <c r="EN141" s="172" t="n">
        <v>1</v>
      </c>
      <c r="EO141" s="172" t="n">
        <v>1</v>
      </c>
      <c r="EP141" s="172" t="n">
        <v>1</v>
      </c>
      <c r="EQ141" s="172" t="n">
        <v>1</v>
      </c>
      <c r="ER141" s="172" t="n">
        <v>1</v>
      </c>
      <c r="ES141" s="172" t="n">
        <v>1</v>
      </c>
      <c r="ET141" s="172" t="n">
        <v>1</v>
      </c>
      <c r="EU141" s="172" t="n">
        <v>1</v>
      </c>
      <c r="EV141" s="173" t="n">
        <v>1</v>
      </c>
      <c r="EW141" s="172" t="n">
        <v>1</v>
      </c>
      <c r="EX141" s="172" t="n">
        <v>1</v>
      </c>
      <c r="EY141" s="172" t="n">
        <v>1</v>
      </c>
      <c r="EZ141" s="172" t="n">
        <v>1</v>
      </c>
      <c r="FA141" s="172" t="n">
        <v>1</v>
      </c>
      <c r="FB141" s="172" t="n">
        <v>1</v>
      </c>
      <c r="FC141" s="172" t="n">
        <v>1</v>
      </c>
      <c r="FD141" s="172" t="n">
        <v>1</v>
      </c>
      <c r="FE141" s="172" t="n">
        <v>1</v>
      </c>
      <c r="FF141" s="172" t="n">
        <v>1</v>
      </c>
      <c r="FG141" s="172" t="n">
        <v>1</v>
      </c>
      <c r="FH141" s="172" t="n">
        <v>1</v>
      </c>
      <c r="FI141" s="172" t="n">
        <v>1</v>
      </c>
      <c r="FJ141" s="172" t="n">
        <v>1</v>
      </c>
      <c r="FK141" s="172" t="n">
        <v>1</v>
      </c>
      <c r="FL141" s="172" t="n">
        <v>1</v>
      </c>
      <c r="FM141" s="172" t="n">
        <v>1</v>
      </c>
      <c r="FN141" s="172" t="n">
        <v>1</v>
      </c>
      <c r="FO141" s="172" t="n">
        <v>1</v>
      </c>
      <c r="FP141" s="172" t="n">
        <v>1</v>
      </c>
      <c r="FQ141" s="172" t="n">
        <v>1</v>
      </c>
      <c r="FR141" s="172" t="n">
        <v>1</v>
      </c>
      <c r="FS141" s="172" t="n">
        <v>1</v>
      </c>
      <c r="FT141" s="172" t="n">
        <v>1</v>
      </c>
      <c r="FU141" s="172" t="n">
        <v>1</v>
      </c>
      <c r="FV141" s="172" t="n">
        <v>1</v>
      </c>
      <c r="FW141" s="172" t="n">
        <v>1</v>
      </c>
      <c r="FX141" s="172" t="n">
        <v>1</v>
      </c>
      <c r="FY141" s="172" t="n">
        <v>1</v>
      </c>
      <c r="FZ141" s="172" t="n">
        <v>1</v>
      </c>
      <c r="GA141" s="172" t="n">
        <v>1</v>
      </c>
      <c r="GB141" s="172" t="n">
        <v>1</v>
      </c>
      <c r="GC141" s="172" t="n">
        <v>1</v>
      </c>
      <c r="GD141" s="172" t="n">
        <v>1</v>
      </c>
      <c r="GE141" s="172" t="n">
        <v>1</v>
      </c>
      <c r="GF141" s="172" t="n">
        <v>1</v>
      </c>
      <c r="GG141" s="172" t="n">
        <v>1</v>
      </c>
      <c r="GH141" s="172" t="n">
        <v>1</v>
      </c>
      <c r="GI141" s="172" t="n">
        <v>1</v>
      </c>
      <c r="GJ141" s="172" t="n">
        <v>1</v>
      </c>
      <c r="GK141" s="172" t="n">
        <v>1</v>
      </c>
      <c r="GL141" s="172" t="n">
        <v>1</v>
      </c>
      <c r="GM141" s="172" t="n">
        <v>1</v>
      </c>
      <c r="GN141" s="172" t="n">
        <v>1</v>
      </c>
      <c r="GO141" s="172" t="n">
        <v>1</v>
      </c>
      <c r="GP141" s="172" t="n">
        <v>1</v>
      </c>
      <c r="GQ141" s="172" t="n">
        <v>1</v>
      </c>
      <c r="GR141" s="172" t="n">
        <v>1</v>
      </c>
      <c r="GS141" s="172" t="n">
        <v>1</v>
      </c>
      <c r="GT141" s="172" t="n">
        <v>1</v>
      </c>
      <c r="GU141" s="172" t="n">
        <v>1</v>
      </c>
      <c r="GV141" s="172" t="n">
        <v>1</v>
      </c>
      <c r="GW141" s="172" t="n">
        <v>1</v>
      </c>
      <c r="GX141" s="172" t="n">
        <v>1</v>
      </c>
      <c r="GY141" s="172" t="n">
        <v>1</v>
      </c>
      <c r="GZ141" s="172" t="n">
        <v>1</v>
      </c>
      <c r="HA141" s="172" t="n">
        <v>1</v>
      </c>
      <c r="HB141" s="172" t="n">
        <v>1</v>
      </c>
      <c r="HC141" s="172" t="n">
        <v>1</v>
      </c>
      <c r="HD141" s="172" t="n">
        <v>1</v>
      </c>
      <c r="HE141" s="172" t="n">
        <v>1</v>
      </c>
      <c r="HF141" s="172" t="n">
        <v>1</v>
      </c>
      <c r="HG141" s="172" t="n">
        <v>1</v>
      </c>
      <c r="HH141" s="172" t="n">
        <v>1</v>
      </c>
      <c r="HI141" s="172" t="n">
        <v>1</v>
      </c>
      <c r="HJ141" s="172" t="n">
        <v>1</v>
      </c>
      <c r="HK141" s="172" t="n">
        <v>1</v>
      </c>
      <c r="HL141" s="172" t="n">
        <v>1</v>
      </c>
      <c r="HM141" s="172" t="n">
        <v>1</v>
      </c>
      <c r="HN141" s="172" t="n">
        <v>1</v>
      </c>
      <c r="HO141" s="172" t="n">
        <v>1</v>
      </c>
      <c r="HP141" s="172" t="n">
        <v>1</v>
      </c>
      <c r="HQ141" s="172" t="n">
        <v>1</v>
      </c>
      <c r="HR141" s="172" t="n">
        <v>1</v>
      </c>
      <c r="HS141" s="172" t="n">
        <v>1</v>
      </c>
      <c r="HT141" s="172" t="n">
        <v>1</v>
      </c>
      <c r="HU141" s="172" t="n">
        <v>1</v>
      </c>
      <c r="HV141" s="172" t="n">
        <v>1</v>
      </c>
      <c r="HW141" s="172" t="n">
        <v>1</v>
      </c>
      <c r="HX141" s="172" t="n">
        <v>1</v>
      </c>
      <c r="HY141" s="172" t="n">
        <v>1</v>
      </c>
      <c r="HZ141" s="172" t="n">
        <v>1</v>
      </c>
      <c r="IA141" s="172" t="n">
        <v>1</v>
      </c>
      <c r="IB141" s="172" t="n">
        <v>1</v>
      </c>
      <c r="IC141" s="172" t="n">
        <v>1</v>
      </c>
      <c r="ID141" s="172" t="n">
        <v>1</v>
      </c>
      <c r="IE141" s="172" t="n">
        <v>1</v>
      </c>
      <c r="IF141" s="172" t="n">
        <v>1</v>
      </c>
      <c r="IG141" s="172" t="n">
        <v>1</v>
      </c>
      <c r="IH141" s="172" t="n">
        <v>1</v>
      </c>
      <c r="II141" s="172" t="n">
        <v>1</v>
      </c>
      <c r="IJ141" s="172" t="n">
        <v>1</v>
      </c>
      <c r="IK141" s="172" t="n">
        <v>1</v>
      </c>
      <c r="IL141" s="172" t="n">
        <v>1</v>
      </c>
      <c r="IM141" s="172" t="n">
        <v>1</v>
      </c>
      <c r="IN141" s="172" t="n">
        <v>1</v>
      </c>
      <c r="IO141" s="172" t="n">
        <v>1</v>
      </c>
      <c r="IP141" s="172" t="n">
        <v>1</v>
      </c>
      <c r="IQ141" s="172" t="n">
        <v>1</v>
      </c>
      <c r="IR141" s="172" t="n">
        <v>1</v>
      </c>
    </row>
    <row r="142">
      <c r="A142" s="89" t="inlineStr">
        <is>
          <t>ЦМ (продукция)</t>
        </is>
      </c>
      <c r="B142" s="90" t="n">
        <v>10</v>
      </c>
      <c r="C142" s="5" t="inlineStr">
        <is>
          <t>Остальные грузы</t>
        </is>
      </c>
      <c r="D142" s="91" t="n">
        <v>33140</v>
      </c>
      <c r="E142" s="91" t="inlineStr">
        <is>
          <t xml:space="preserve">Свинец </t>
        </is>
      </c>
      <c r="F142" s="92" t="inlineStr">
        <is>
          <t>МЕТАЛЛЫ ЦВЕТНЫЕ И ИХ СПЛА</t>
        </is>
      </c>
      <c r="G142" s="91" t="inlineStr">
        <is>
          <t>СВР</t>
        </is>
      </c>
      <c r="H142" s="91" t="inlineStr">
        <is>
          <t>ЮУР</t>
        </is>
      </c>
      <c r="I142" s="91" t="inlineStr">
        <is>
          <t>ВЕРХ-НЕЙВНСК</t>
        </is>
      </c>
      <c r="J142" s="91" t="inlineStr">
        <is>
          <t>КАНИСАЙ-Э(Р)</t>
        </is>
      </c>
      <c r="K142" s="91" t="n">
        <v>1279</v>
      </c>
      <c r="L142" s="77" t="inlineStr">
        <is>
          <t>Платформы</t>
        </is>
      </c>
      <c r="M142" s="91" t="inlineStr">
        <is>
          <t>Экспорт</t>
        </is>
      </c>
      <c r="N142" s="91" t="inlineStr">
        <is>
          <t>контейнерная</t>
        </is>
      </c>
      <c r="O142" s="91" t="inlineStr">
        <is>
          <t xml:space="preserve">Южное </t>
        </is>
      </c>
      <c r="P142" s="89" t="inlineStr">
        <is>
          <t>'000000194429</t>
        </is>
      </c>
      <c r="Q142" s="91" t="inlineStr">
        <is>
          <t>'АО "Уралэлектромедь"</t>
        </is>
      </c>
      <c r="R142" s="91" t="inlineStr">
        <is>
          <t>ООО "УГМК-Холдинг"</t>
        </is>
      </c>
      <c r="S142" s="87" t="n">
        <v>1083</v>
      </c>
      <c r="T142" s="87" t="n">
        <v>1384828</v>
      </c>
      <c r="U142" s="88" t="n">
        <v>19</v>
      </c>
      <c r="V142" s="88" t="n">
        <v>38</v>
      </c>
      <c r="W142" s="87" t="n">
        <v>1167208</v>
      </c>
      <c r="X142" s="112" t="n">
        <v>58</v>
      </c>
      <c r="Y142" s="112" t="inlineStr">
        <is>
          <t>контейнерная</t>
        </is>
      </c>
      <c r="Z142" s="113" t="n">
        <v>10</v>
      </c>
      <c r="AA142" s="113" t="n">
        <v>0</v>
      </c>
      <c r="AB142" s="113" t="n">
        <v>4</v>
      </c>
      <c r="AC142" s="161">
        <f>86610/X142</f>
        <v/>
      </c>
      <c r="AD142" s="161" t="n">
        <v>0</v>
      </c>
      <c r="AE142" s="161">
        <f>AC142</f>
        <v/>
      </c>
      <c r="AF142" s="162">
        <f>(AB142+AA142+Z142)*'Ставки аренды'!$B$6/X142</f>
        <v/>
      </c>
      <c r="AG142" s="164" t="n">
        <v>0</v>
      </c>
      <c r="AH142" s="164" t="n">
        <v>0</v>
      </c>
      <c r="AI142" s="165">
        <f>0.85*AJ142</f>
        <v/>
      </c>
      <c r="AJ142" s="166">
        <f>Цены!C35*'Курсы валют'!B2</f>
        <v/>
      </c>
      <c r="AK142" s="164">
        <f>AJ142/Цены!$B$1</f>
        <v/>
      </c>
      <c r="AL142" s="164">
        <f>AE142+AF142+AG142</f>
        <v/>
      </c>
      <c r="AM142" s="164">
        <f>AJ142-AL142</f>
        <v/>
      </c>
      <c r="AN142" s="164">
        <f>AI142+AH142+AG142+AF142+AE142</f>
        <v/>
      </c>
      <c r="AO142" s="167">
        <f>(AJ142-AN142)/AJ142</f>
        <v/>
      </c>
      <c r="AP142" s="168">
        <f>AL142/AJ142</f>
        <v/>
      </c>
      <c r="AQ142" s="168">
        <f>AE142/AJ142</f>
        <v/>
      </c>
      <c r="AR142" s="168">
        <f>AE142/AL142</f>
        <v/>
      </c>
      <c r="AS142" s="169" t="n">
        <v>1</v>
      </c>
      <c r="AT142" s="121">
        <f>S142*AS142</f>
        <v/>
      </c>
      <c r="AU142" s="83" t="n">
        <v>1</v>
      </c>
      <c r="AV142" s="170">
        <f>(AJ142-(AE142*(1+$IS$2)+AF142+AG142+AH142+AI142))/AJ142</f>
        <v/>
      </c>
      <c r="AW142" s="171">
        <f>(AE142*(1+$IS$2)+AF142+AG142)/AJ142</f>
        <v/>
      </c>
      <c r="AX142" s="171">
        <f>(AE142*(1+$IS$2))/AJ142</f>
        <v/>
      </c>
      <c r="AY142" s="171">
        <f>(AE142*(1+$IS$2))/(AE142*(1+$IS$2)+AF142+AG142)</f>
        <v/>
      </c>
      <c r="AZ142" s="172">
        <f>MIN(IF($AU142=100%,1,1+VLOOKUP(($AJ142-$AI142-$AH142-$AG142-$AF142-$AE142*(1+AZ$3))/$AJ142,'Технический лист'!$I:$J,2,1)-VLOOKUP($AO142,'Технический лист'!$I:$J,2,1)),1+(1-$AU142))</f>
        <v/>
      </c>
      <c r="BA142" s="172">
        <f>MIN(IF($AU142=100%,1,1+VLOOKUP(($AJ142-$AI142-$AH142-$AG142-$AF142-$AE142*(1+BA$3))/$AJ142,'Технический лист'!$I:$J,2,1)-VLOOKUP($AO142,'Технический лист'!$I:$J,2,1)),1+(1-$AU142))</f>
        <v/>
      </c>
      <c r="BB142" s="172">
        <f>MIN(IF($AU142=100%,1,1+VLOOKUP(($AJ142-$AI142-$AH142-$AG142-$AF142-$AE142*(1+BB$3))/$AJ142,'Технический лист'!$I:$J,2,1)-VLOOKUP($AO142,'Технический лист'!$I:$J,2,1)),1+(1-$AU142))</f>
        <v/>
      </c>
      <c r="BC142" s="172">
        <f>MIN(IF($AU142=100%,1,1+VLOOKUP(($AJ142-$AI142-$AH142-$AG142-$AF142-$AE142*(1+BC$3))/$AJ142,'Технический лист'!$I:$J,2,1)-VLOOKUP($AO142,'Технический лист'!$I:$J,2,1)),1+(1-$AU142))</f>
        <v/>
      </c>
      <c r="BD142" s="172">
        <f>MIN(IF($AU142=100%,1,1+VLOOKUP(($AJ142-$AI142-$AH142-$AG142-$AF142-$AE142*(1+BD$3))/$AJ142,'Технический лист'!$I:$J,2,1)-VLOOKUP($AO142,'Технический лист'!$I:$J,2,1)),1+(1-$AU142))</f>
        <v/>
      </c>
      <c r="BE142" s="172">
        <f>MIN(IF($AU142=100%,1,1+VLOOKUP(($AJ142-$AI142-$AH142-$AG142-$AF142-$AE142*(1+BE$3))/$AJ142,'Технический лист'!$I:$J,2,1)-VLOOKUP($AO142,'Технический лист'!$I:$J,2,1)),1+(1-$AU142))</f>
        <v/>
      </c>
      <c r="BF142" s="172">
        <f>MIN(IF($AU142=100%,1,1+VLOOKUP(($AJ142-$AI142-$AH142-$AG142-$AF142-$AE142*(1+BF$3))/$AJ142,'Технический лист'!$I:$J,2,1)-VLOOKUP($AO142,'Технический лист'!$I:$J,2,1)),1+(1-$AU142))</f>
        <v/>
      </c>
      <c r="BG142" s="172">
        <f>MIN(IF($AU142=100%,1,1+VLOOKUP(($AJ142-$AI142-$AH142-$AG142-$AF142-$AE142*(1+BG$3))/$AJ142,'Технический лист'!$I:$J,2,1)-VLOOKUP($AO142,'Технический лист'!$I:$J,2,1)),1+(1-$AU142))</f>
        <v/>
      </c>
      <c r="BH142" s="172">
        <f>MIN(IF($AU142=100%,1,1+VLOOKUP(($AJ142-$AI142-$AH142-$AG142-$AF142-$AE142*(1+BH$3))/$AJ142,'Технический лист'!$I:$J,2,1)-VLOOKUP($AO142,'Технический лист'!$I:$J,2,1)),1+(1-$AU142))</f>
        <v/>
      </c>
      <c r="BI142" s="172">
        <f>MIN(IF($AU142=100%,1,1+VLOOKUP(($AJ142-$AI142-$AH142-$AG142-$AF142-$AE142*(1+BI$3))/$AJ142,'Технический лист'!$I:$J,2,1)-VLOOKUP($AO142,'Технический лист'!$I:$J,2,1)),1+(1-$AU142))</f>
        <v/>
      </c>
      <c r="BJ142" s="172">
        <f>MIN(IF($AU142=100%,1,1+VLOOKUP(($AJ142-$AI142-$AH142-$AG142-$AF142-$AE142*(1+BJ$3))/$AJ142,'Технический лист'!$I:$J,2,1)-VLOOKUP($AO142,'Технический лист'!$I:$J,2,1)),1+(1-$AU142))</f>
        <v/>
      </c>
      <c r="BK142" s="172">
        <f>MIN(IF($AU142=100%,1,1+VLOOKUP(($AJ142-$AI142-$AH142-$AG142-$AF142-$AE142*(1+BK$3))/$AJ142,'Технический лист'!$I:$J,2,1)-VLOOKUP($AO142,'Технический лист'!$I:$J,2,1)),1+(1-$AU142))</f>
        <v/>
      </c>
      <c r="BL142" s="172">
        <f>MIN(IF($AU142=100%,1,1+VLOOKUP(($AJ142-$AI142-$AH142-$AG142-$AF142-$AE142*(1+BL$3))/$AJ142,'Технический лист'!$I:$J,2,1)-VLOOKUP($AO142,'Технический лист'!$I:$J,2,1)),1+(1-$AU142))</f>
        <v/>
      </c>
      <c r="BM142" s="172">
        <f>MIN(IF($AU142=100%,1,1+VLOOKUP(($AJ142-$AI142-$AH142-$AG142-$AF142-$AE142*(1+BM$3))/$AJ142,'Технический лист'!$I:$J,2,1)-VLOOKUP($AO142,'Технический лист'!$I:$J,2,1)),1+(1-$AU142))</f>
        <v/>
      </c>
      <c r="BN142" s="172">
        <f>MIN(IF($AU142=100%,1,1+VLOOKUP(($AJ142-$AI142-$AH142-$AG142-$AF142-$AE142*(1+BN$3))/$AJ142,'Технический лист'!$I:$J,2,1)-VLOOKUP($AO142,'Технический лист'!$I:$J,2,1)),1+(1-$AU142))</f>
        <v/>
      </c>
      <c r="BO142" s="172">
        <f>MIN(IF($AU142=100%,1,1+VLOOKUP(($AJ142-$AI142-$AH142-$AG142-$AF142-$AE142*(1+BO$3))/$AJ142,'Технический лист'!$I:$J,2,1)-VLOOKUP($AO142,'Технический лист'!$I:$J,2,1)),1+(1-$AU142))</f>
        <v/>
      </c>
      <c r="BP142" s="172">
        <f>MIN(IF($AU142=100%,1,1+VLOOKUP(($AJ142-$AI142-$AH142-$AG142-$AF142-$AE142*(1+BP$3))/$AJ142,'Технический лист'!$I:$J,2,1)-VLOOKUP($AO142,'Технический лист'!$I:$J,2,1)),1+(1-$AU142))</f>
        <v/>
      </c>
      <c r="BQ142" s="172">
        <f>MIN(IF($AU142=100%,1,1+VLOOKUP(($AJ142-$AI142-$AH142-$AG142-$AF142-$AE142*(1+BQ$3))/$AJ142,'Технический лист'!$I:$J,2,1)-VLOOKUP($AO142,'Технический лист'!$I:$J,2,1)),1+(1-$AU142))</f>
        <v/>
      </c>
      <c r="BR142" s="172">
        <f>MIN(IF($AU142=100%,1,1+VLOOKUP(($AJ142-$AI142-$AH142-$AG142-$AF142-$AE142*(1+BR$3))/$AJ142,'Технический лист'!$I:$J,2,1)-VLOOKUP($AO142,'Технический лист'!$I:$J,2,1)),1+(1-$AU142))</f>
        <v/>
      </c>
      <c r="BS142" s="172">
        <f>MIN(IF($AU142=100%,1,1+VLOOKUP(($AJ142-$AI142-$AH142-$AG142-$AF142-$AE142*(1+BS$3))/$AJ142,'Технический лист'!$I:$J,2,1)-VLOOKUP($AO142,'Технический лист'!$I:$J,2,1)),1+(1-$AU142))</f>
        <v/>
      </c>
      <c r="BT142" s="172">
        <f>MIN(IF($AU142=100%,1,1+VLOOKUP(($AJ142-$AI142-$AH142-$AG142-$AF142-$AE142*(1+BT$3))/$AJ142,'Технический лист'!$I:$J,2,1)-VLOOKUP($AO142,'Технический лист'!$I:$J,2,1)),1+(1-$AU142))</f>
        <v/>
      </c>
      <c r="BU142" s="172">
        <f>MIN(IF($AU142=100%,1,1+VLOOKUP(($AJ142-$AI142-$AH142-$AG142-$AF142-$AE142*(1+BU$3))/$AJ142,'Технический лист'!$I:$J,2,1)-VLOOKUP($AO142,'Технический лист'!$I:$J,2,1)),1+(1-$AU142))</f>
        <v/>
      </c>
      <c r="BV142" s="172">
        <f>MIN(IF($AU142=100%,1,1+VLOOKUP(($AJ142-$AI142-$AH142-$AG142-$AF142-$AE142*(1+BV$3))/$AJ142,'Технический лист'!$I:$J,2,1)-VLOOKUP($AO142,'Технический лист'!$I:$J,2,1)),1+(1-$AU142))</f>
        <v/>
      </c>
      <c r="BW142" s="172">
        <f>MIN(IF($AU142=100%,1,1+VLOOKUP(($AJ142-$AI142-$AH142-$AG142-$AF142-$AE142*(1+BW$3))/$AJ142,'Технический лист'!$I:$J,2,1)-VLOOKUP($AO142,'Технический лист'!$I:$J,2,1)),1+(1-$AU142))</f>
        <v/>
      </c>
      <c r="BX142" s="172">
        <f>MIN(IF($AU142=100%,1,1+VLOOKUP(($AJ142-$AI142-$AH142-$AG142-$AF142-$AE142*(1+BX$3))/$AJ142,'Технический лист'!$I:$J,2,1)-VLOOKUP($AO142,'Технический лист'!$I:$J,2,1)),1+(1-$AU142))</f>
        <v/>
      </c>
      <c r="BY142" s="172">
        <f>MIN(IF($AU142=100%,1,1+VLOOKUP(($AJ142-$AI142-$AH142-$AG142-$AF142-$AE142*(1+BY$3))/$AJ142,'Технический лист'!$I:$J,2,1)-VLOOKUP($AO142,'Технический лист'!$I:$J,2,1)),1+(1-$AU142))</f>
        <v/>
      </c>
      <c r="BZ142" s="172">
        <f>MIN(IF($AU142=100%,1,1+VLOOKUP(($AJ142-$AI142-$AH142-$AG142-$AF142-$AE142*(1+BZ$3))/$AJ142,'Технический лист'!$I:$J,2,1)-VLOOKUP($AO142,'Технический лист'!$I:$J,2,1)),1+(1-$AU142))</f>
        <v/>
      </c>
      <c r="CA142" s="172">
        <f>MIN(IF($AU142=100%,1,1+VLOOKUP(($AJ142-$AI142-$AH142-$AG142-$AF142-$AE142*(1+CA$3))/$AJ142,'Технический лист'!$I:$J,2,1)-VLOOKUP($AO142,'Технический лист'!$I:$J,2,1)),1+(1-$AU142))</f>
        <v/>
      </c>
      <c r="CB142" s="172">
        <f>MIN(IF($AU142=100%,1,1+VLOOKUP(($AJ142-$AI142-$AH142-$AG142-$AF142-$AE142*(1+CB$3))/$AJ142,'Технический лист'!$I:$J,2,1)-VLOOKUP($AO142,'Технический лист'!$I:$J,2,1)),1+(1-$AU142))</f>
        <v/>
      </c>
      <c r="CC142" s="172">
        <f>MIN(IF($AU142=100%,1,1+VLOOKUP(($AJ142-$AI142-$AH142-$AG142-$AF142-$AE142*(1+CC$3))/$AJ142,'Технический лист'!$I:$J,2,1)-VLOOKUP($AO142,'Технический лист'!$I:$J,2,1)),1+(1-$AU142))</f>
        <v/>
      </c>
      <c r="CD142" s="172">
        <f>MIN(IF($AU142=100%,1,1+VLOOKUP(($AJ142-$AI142-$AH142-$AG142-$AF142-$AE142*(1+CD$3))/$AJ142,'Технический лист'!$I:$J,2,1)-VLOOKUP($AO142,'Технический лист'!$I:$J,2,1)),1+(1-$AU142))</f>
        <v/>
      </c>
      <c r="CE142" s="172">
        <f>MIN(IF($AU142=100%,1,1+VLOOKUP(($AJ142-$AI142-$AH142-$AG142-$AF142-$AE142*(1+CE$3))/$AJ142,'Технический лист'!$I:$J,2,1)-VLOOKUP($AO142,'Технический лист'!$I:$J,2,1)),1+(1-$AU142))</f>
        <v/>
      </c>
      <c r="CF142" s="172">
        <f>MIN(IF($AU142=100%,1,1+VLOOKUP(($AJ142-$AI142-$AH142-$AG142-$AF142-$AE142*(1+CF$3))/$AJ142,'Технический лист'!$I:$J,2,1)-VLOOKUP($AO142,'Технический лист'!$I:$J,2,1)),1+(1-$AU142))</f>
        <v/>
      </c>
      <c r="CG142" s="172">
        <f>MIN(IF($AU142=100%,1,1+VLOOKUP(($AJ142-$AI142-$AH142-$AG142-$AF142-$AE142*(1+CG$3))/$AJ142,'Технический лист'!$I:$J,2,1)-VLOOKUP($AO142,'Технический лист'!$I:$J,2,1)),1+(1-$AU142))</f>
        <v/>
      </c>
      <c r="CH142" s="172">
        <f>MIN(IF($AU142=100%,1,1+VLOOKUP(($AJ142-$AI142-$AH142-$AG142-$AF142-$AE142*(1+CH$3))/$AJ142,'Технический лист'!$I:$J,2,1)-VLOOKUP($AO142,'Технический лист'!$I:$J,2,1)),1+(1-$AU142))</f>
        <v/>
      </c>
      <c r="CI142" s="172">
        <f>MIN(IF($AU142=100%,1,1+VLOOKUP(($AJ142-$AI142-$AH142-$AG142-$AF142-$AE142*(1+CI$3))/$AJ142,'Технический лист'!$I:$J,2,1)-VLOOKUP($AO142,'Технический лист'!$I:$J,2,1)),1+(1-$AU142))</f>
        <v/>
      </c>
      <c r="CJ142" s="172">
        <f>MIN(IF($AU142=100%,1,1+VLOOKUP(($AJ142-$AI142-$AH142-$AG142-$AF142-$AE142*(1+CJ$3))/$AJ142,'Технический лист'!$I:$J,2,1)-VLOOKUP($AO142,'Технический лист'!$I:$J,2,1)),1+(1-$AU142))</f>
        <v/>
      </c>
      <c r="CK142" s="172">
        <f>MIN(IF($AU142=100%,1,1+VLOOKUP(($AJ142-$AI142-$AH142-$AG142-$AF142-$AE142*(1+CK$3))/$AJ142,'Технический лист'!$I:$J,2,1)-VLOOKUP($AO142,'Технический лист'!$I:$J,2,1)),1+(1-$AU142))</f>
        <v/>
      </c>
      <c r="CL142" s="172">
        <f>MIN(IF($AU142=100%,1,1+VLOOKUP(($AJ142-$AI142-$AH142-$AG142-$AF142-$AE142*(1+CL$3))/$AJ142,'Технический лист'!$I:$J,2,1)-VLOOKUP($AO142,'Технический лист'!$I:$J,2,1)),1+(1-$AU142))</f>
        <v/>
      </c>
      <c r="CM142" s="172">
        <f>MIN(IF($AU142=100%,1,1+VLOOKUP(($AJ142-$AI142-$AH142-$AG142-$AF142-$AE142*(1+CM$3))/$AJ142,'Технический лист'!$I:$J,2,1)-VLOOKUP($AO142,'Технический лист'!$I:$J,2,1)),1+(1-$AU142))</f>
        <v/>
      </c>
      <c r="CN142" s="172">
        <f>MIN(IF($AU142=100%,1,1+VLOOKUP(($AJ142-$AI142-$AH142-$AG142-$AF142-$AE142*(1+CN$3))/$AJ142,'Технический лист'!$I:$J,2,1)-VLOOKUP($AO142,'Технический лист'!$I:$J,2,1)),1+(1-$AU142))</f>
        <v/>
      </c>
      <c r="CO142" s="172">
        <f>MIN(IF($AU142=100%,1,1+VLOOKUP(($AJ142-$AI142-$AH142-$AG142-$AF142-$AE142*(1+CO$3))/$AJ142,'Технический лист'!$I:$J,2,1)-VLOOKUP($AO142,'Технический лист'!$I:$J,2,1)),1+(1-$AU142))</f>
        <v/>
      </c>
      <c r="CP142" s="172">
        <f>MIN(IF($AU142=100%,1,1+VLOOKUP(($AJ142-$AI142-$AH142-$AG142-$AF142-$AE142*(1+CP$3))/$AJ142,'Технический лист'!$I:$J,2,1)-VLOOKUP($AO142,'Технический лист'!$I:$J,2,1)),1+(1-$AU142))</f>
        <v/>
      </c>
      <c r="CQ142" s="172">
        <f>MIN(IF($AU142=100%,1,1+VLOOKUP(($AJ142-$AI142-$AH142-$AG142-$AF142-$AE142*(1+CQ$3))/$AJ142,'Технический лист'!$I:$J,2,1)-VLOOKUP($AO142,'Технический лист'!$I:$J,2,1)),1+(1-$AU142))</f>
        <v/>
      </c>
      <c r="CR142" s="172">
        <f>MIN(IF($AU142=100%,1,1+VLOOKUP(($AJ142-$AI142-$AH142-$AG142-$AF142-$AE142*(1+CR$3))/$AJ142,'Технический лист'!$I:$J,2,1)-VLOOKUP($AO142,'Технический лист'!$I:$J,2,1)),1+(1-$AU142))</f>
        <v/>
      </c>
      <c r="CS142" s="172">
        <f>MIN(IF($AU142=100%,1,1+VLOOKUP(($AJ142-$AI142-$AH142-$AG142-$AF142-$AE142*(1+CS$3))/$AJ142,'Технический лист'!$I:$J,2,1)-VLOOKUP($AO142,'Технический лист'!$I:$J,2,1)),1+(1-$AU142))</f>
        <v/>
      </c>
      <c r="CT142" s="172">
        <f>MIN(IF($AU142=100%,1,1+VLOOKUP(($AJ142-$AI142-$AH142-$AG142-$AF142-$AE142*(1+CT$3))/$AJ142,'Технический лист'!$I:$J,2,1)-VLOOKUP($AO142,'Технический лист'!$I:$J,2,1)),1+(1-$AU142))</f>
        <v/>
      </c>
      <c r="CU142" s="172">
        <f>MIN(IF($AU142=100%,1,1+VLOOKUP(($AJ142-$AI142-$AH142-$AG142-$AF142-$AE142*(1+CU$3))/$AJ142,'Технический лист'!$I:$J,2,1)-VLOOKUP($AO142,'Технический лист'!$I:$J,2,1)),1+(1-$AU142))</f>
        <v/>
      </c>
      <c r="CV142" s="172">
        <f>MIN(IF($AU142=100%,1,1+VLOOKUP(($AJ142-$AI142-$AH142-$AG142-$AF142-$AE142*(1+CV$3))/$AJ142,'Технический лист'!$I:$J,2,1)-VLOOKUP($AO142,'Технический лист'!$I:$J,2,1)),1+(1-$AU142))</f>
        <v/>
      </c>
      <c r="CW142" s="172">
        <f>MIN(IF($AU142=100%,1,1+VLOOKUP(($AJ142-$AI142-$AH142-$AG142-$AF142-$AE142*(1+CW$3))/$AJ142,'Технический лист'!$I:$J,2,1)-VLOOKUP($AO142,'Технический лист'!$I:$J,2,1)),1+(1-$AU142))</f>
        <v/>
      </c>
      <c r="CX142" s="172">
        <f>MIN(IF($AU142=100%,1,1+VLOOKUP(($AJ142-$AI142-$AH142-$AG142-$AF142-$AE142*(1+CX$3))/$AJ142,'Технический лист'!$I:$J,2,1)-VLOOKUP($AO142,'Технический лист'!$I:$J,2,1)),1+(1-$AU142))</f>
        <v/>
      </c>
      <c r="CY142" s="172">
        <f>MIN(IF($AU142=100%,1,1+VLOOKUP(($AJ142-$AI142-$AH142-$AG142-$AF142-$AE142*(1+CY$3))/$AJ142,'Технический лист'!$I:$J,2,1)-VLOOKUP($AO142,'Технический лист'!$I:$J,2,1)),1+(1-$AU142))</f>
        <v/>
      </c>
      <c r="CZ142" s="172">
        <f>MIN(IF($AU142=100%,1,1+VLOOKUP(($AJ142-$AI142-$AH142-$AG142-$AF142-$AE142*(1+CZ$3))/$AJ142,'Технический лист'!$I:$J,2,1)-VLOOKUP($AO142,'Технический лист'!$I:$J,2,1)),1+(1-$AU142))</f>
        <v/>
      </c>
      <c r="DA142" s="172">
        <f>MIN(IF($AU142=100%,1,1+VLOOKUP(($AJ142-$AI142-$AH142-$AG142-$AF142-$AE142*(1+DA$3))/$AJ142,'Технический лист'!$I:$J,2,1)-VLOOKUP($AO142,'Технический лист'!$I:$J,2,1)),1+(1-$AU142))</f>
        <v/>
      </c>
      <c r="DB142" s="172">
        <f>MIN(IF($AU142=100%,1,1+VLOOKUP(($AJ142-$AI142-$AH142-$AG142-$AF142-$AE142*(1+DB$3))/$AJ142,'Технический лист'!$I:$J,2,1)-VLOOKUP($AO142,'Технический лист'!$I:$J,2,1)),1+(1-$AU142))</f>
        <v/>
      </c>
      <c r="DC142" s="172">
        <f>MIN(IF($AU142=100%,1,1+VLOOKUP(($AJ142-$AI142-$AH142-$AG142-$AF142-$AE142*(1+DC$3))/$AJ142,'Технический лист'!$I:$J,2,1)-VLOOKUP($AO142,'Технический лист'!$I:$J,2,1)),1+(1-$AU142))</f>
        <v/>
      </c>
      <c r="DD142" s="172">
        <f>MIN(IF($AU142=100%,1,1+VLOOKUP(($AJ142-$AI142-$AH142-$AG142-$AF142-$AE142*(1+DD$3))/$AJ142,'Технический лист'!$I:$J,2,1)-VLOOKUP($AO142,'Технический лист'!$I:$J,2,1)),1+(1-$AU142))</f>
        <v/>
      </c>
      <c r="DE142" s="172">
        <f>MIN(IF($AU142=100%,1,1+VLOOKUP(($AJ142-$AI142-$AH142-$AG142-$AF142-$AE142*(1+DE$3))/$AJ142,'Технический лист'!$I:$J,2,1)-VLOOKUP($AO142,'Технический лист'!$I:$J,2,1)),1+(1-$AU142))</f>
        <v/>
      </c>
      <c r="DF142" s="172">
        <f>MIN(IF($AU142=100%,1,1+VLOOKUP(($AJ142-$AI142-$AH142-$AG142-$AF142-$AE142*(1+DF$3))/$AJ142,'Технический лист'!$I:$J,2,1)-VLOOKUP($AO142,'Технический лист'!$I:$J,2,1)),1+(1-$AU142))</f>
        <v/>
      </c>
      <c r="DG142" s="172">
        <f>MIN(IF($AU142=100%,1,1+VLOOKUP(($AJ142-$AI142-$AH142-$AG142-$AF142-$AE142*(1+DG$3))/$AJ142,'Технический лист'!$I:$J,2,1)-VLOOKUP($AO142,'Технический лист'!$I:$J,2,1)),1+(1-$AU142))</f>
        <v/>
      </c>
      <c r="DH142" s="172">
        <f>MIN(IF($AU142=100%,1,1+VLOOKUP(($AJ142-$AI142-$AH142-$AG142-$AF142-$AE142*(1+DH$3))/$AJ142,'Технический лист'!$I:$J,2,1)-VLOOKUP($AO142,'Технический лист'!$I:$J,2,1)),1+(1-$AU142))</f>
        <v/>
      </c>
      <c r="DI142" s="172">
        <f>MIN(IF($AU142=100%,1,1+VLOOKUP(($AJ142-$AI142-$AH142-$AG142-$AF142-$AE142*(1+DI$3))/$AJ142,'Технический лист'!$I:$J,2,1)-VLOOKUP($AO142,'Технический лист'!$I:$J,2,1)),1+(1-$AU142))</f>
        <v/>
      </c>
      <c r="DJ142" s="172">
        <f>MIN(IF($AU142=100%,1,1+VLOOKUP(($AJ142-$AI142-$AH142-$AG142-$AF142-$AE142*(1+DJ$3))/$AJ142,'Технический лист'!$I:$J,2,1)-VLOOKUP($AO142,'Технический лист'!$I:$J,2,1)),1+(1-$AU142))</f>
        <v/>
      </c>
      <c r="DK142" s="172">
        <f>MIN(IF($AU142=100%,1,1+VLOOKUP(($AJ142-$AI142-$AH142-$AG142-$AF142-$AE142*(1+DK$3))/$AJ142,'Технический лист'!$I:$J,2,1)-VLOOKUP($AO142,'Технический лист'!$I:$J,2,1)),1+(1-$AU142))</f>
        <v/>
      </c>
      <c r="DL142" s="172">
        <f>MIN(IF($AU142=100%,1,1+VLOOKUP(($AJ142-$AI142-$AH142-$AG142-$AF142-$AE142*(1+DL$3))/$AJ142,'Технический лист'!$I:$J,2,1)-VLOOKUP($AO142,'Технический лист'!$I:$J,2,1)),1+(1-$AU142))</f>
        <v/>
      </c>
      <c r="DM142" s="172">
        <f>MIN(IF($AU142=100%,1,1+VLOOKUP(($AJ142-$AI142-$AH142-$AG142-$AF142-$AE142*(1+DM$3))/$AJ142,'Технический лист'!$I:$J,2,1)-VLOOKUP($AO142,'Технический лист'!$I:$J,2,1)),1+(1-$AU142))</f>
        <v/>
      </c>
      <c r="DN142" s="172">
        <f>MIN(IF($AU142=100%,1,1+VLOOKUP(($AJ142-$AI142-$AH142-$AG142-$AF142-$AE142*(1+DN$3))/$AJ142,'Технический лист'!$I:$J,2,1)-VLOOKUP($AO142,'Технический лист'!$I:$J,2,1)),1+(1-$AU142))</f>
        <v/>
      </c>
      <c r="DO142" s="172">
        <f>MIN(IF($AU142=100%,1,1+VLOOKUP(($AJ142-$AI142-$AH142-$AG142-$AF142-$AE142*(1+DO$3))/$AJ142,'Технический лист'!$I:$J,2,1)-VLOOKUP($AO142,'Технический лист'!$I:$J,2,1)),1+(1-$AU142))</f>
        <v/>
      </c>
      <c r="DP142" s="172">
        <f>MIN(IF($AU142=100%,1,1+VLOOKUP(($AJ142-$AI142-$AH142-$AG142-$AF142-$AE142*(1+DP$3))/$AJ142,'Технический лист'!$I:$J,2,1)-VLOOKUP($AO142,'Технический лист'!$I:$J,2,1)),1+(1-$AU142))</f>
        <v/>
      </c>
      <c r="DQ142" s="172">
        <f>MIN(IF($AU142=100%,1,1+VLOOKUP(($AJ142-$AI142-$AH142-$AG142-$AF142-$AE142*(1+DQ$3))/$AJ142,'Технический лист'!$I:$J,2,1)-VLOOKUP($AO142,'Технический лист'!$I:$J,2,1)),1+(1-$AU142))</f>
        <v/>
      </c>
      <c r="DR142" s="172">
        <f>MIN(IF($AU142=100%,1,1+VLOOKUP(($AJ142-$AI142-$AH142-$AG142-$AF142-$AE142*(1+DR$3))/$AJ142,'Технический лист'!$I:$J,2,1)-VLOOKUP($AO142,'Технический лист'!$I:$J,2,1)),1+(1-$AU142))</f>
        <v/>
      </c>
      <c r="DS142" s="172">
        <f>MIN(IF($AU142=100%,1,1+VLOOKUP(($AJ142-$AI142-$AH142-$AG142-$AF142-$AE142*(1+DS$3))/$AJ142,'Технический лист'!$I:$J,2,1)-VLOOKUP($AO142,'Технический лист'!$I:$J,2,1)),1+(1-$AU142))</f>
        <v/>
      </c>
      <c r="DT142" s="172">
        <f>MIN(IF($AU142=100%,1,1+VLOOKUP(($AJ142-$AI142-$AH142-$AG142-$AF142-$AE142*(1+DT$3))/$AJ142,'Технический лист'!$I:$J,2,1)-VLOOKUP($AO142,'Технический лист'!$I:$J,2,1)),1+(1-$AU142))</f>
        <v/>
      </c>
      <c r="DU142" s="172">
        <f>MIN(IF($AU142=100%,1,1+VLOOKUP(($AJ142-$AI142-$AH142-$AG142-$AF142-$AE142*(1+DU$3))/$AJ142,'Технический лист'!$I:$J,2,1)-VLOOKUP($AO142,'Технический лист'!$I:$J,2,1)),1+(1-$AU142))</f>
        <v/>
      </c>
      <c r="DV142" s="172">
        <f>MIN(IF($AU142=100%,1,1+VLOOKUP(($AJ142-$AI142-$AH142-$AG142-$AF142-$AE142*(1+DV$3))/$AJ142,'Технический лист'!$I:$J,2,1)-VLOOKUP($AO142,'Технический лист'!$I:$J,2,1)),1+(1-$AU142))</f>
        <v/>
      </c>
      <c r="DW142" s="172">
        <f>MIN(IF($AU142=100%,1,1+VLOOKUP(($AJ142-$AI142-$AH142-$AG142-$AF142-$AE142*(1+DW$3))/$AJ142,'Технический лист'!$I:$J,2,1)-VLOOKUP($AO142,'Технический лист'!$I:$J,2,1)),1+(1-$AU142))</f>
        <v/>
      </c>
      <c r="DX142" s="172">
        <f>MIN(IF($AU142=100%,1,1+VLOOKUP(($AJ142-$AI142-$AH142-$AG142-$AF142-$AE142*(1+DX$3))/$AJ142,'Технический лист'!$I:$J,2,1)-VLOOKUP($AO142,'Технический лист'!$I:$J,2,1)),1+(1-$AU142))</f>
        <v/>
      </c>
      <c r="DY142" s="172">
        <f>MIN(IF($AU142=100%,1,1+VLOOKUP(($AJ142-$AI142-$AH142-$AG142-$AF142-$AE142*(1+DY$3))/$AJ142,'Технический лист'!$I:$J,2,1)-VLOOKUP($AO142,'Технический лист'!$I:$J,2,1)),1+(1-$AU142))</f>
        <v/>
      </c>
      <c r="DZ142" s="172">
        <f>MIN(IF($AU142=100%,1,1+VLOOKUP(($AJ142-$AI142-$AH142-$AG142-$AF142-$AE142*(1+DZ$3))/$AJ142,'Технический лист'!$I:$J,2,1)-VLOOKUP($AO142,'Технический лист'!$I:$J,2,1)),1+(1-$AU142))</f>
        <v/>
      </c>
      <c r="EA142" s="172">
        <f>MIN(IF($AU142=100%,1,1+VLOOKUP(($AJ142-$AI142-$AH142-$AG142-$AF142-$AE142*(1+EA$3))/$AJ142,'Технический лист'!$I:$J,2,1)-VLOOKUP($AO142,'Технический лист'!$I:$J,2,1)),1+(1-$AU142))</f>
        <v/>
      </c>
      <c r="EB142" s="172">
        <f>MIN(IF($AU142=100%,1,1+VLOOKUP(($AJ142-$AI142-$AH142-$AG142-$AF142-$AE142*(1+EB$3))/$AJ142,'Технический лист'!$I:$J,2,1)-VLOOKUP($AO142,'Технический лист'!$I:$J,2,1)),1+(1-$AU142))</f>
        <v/>
      </c>
      <c r="EC142" s="172">
        <f>MIN(IF($AU142=100%,1,1+VLOOKUP(($AJ142-$AI142-$AH142-$AG142-$AF142-$AE142*(1+EC$3))/$AJ142,'Технический лист'!$I:$J,2,1)-VLOOKUP($AO142,'Технический лист'!$I:$J,2,1)),1+(1-$AU142))</f>
        <v/>
      </c>
      <c r="ED142" s="172">
        <f>MIN(IF($AU142=100%,1,1+VLOOKUP(($AJ142-$AI142-$AH142-$AG142-$AF142-$AE142*(1+ED$3))/$AJ142,'Технический лист'!$I:$J,2,1)-VLOOKUP($AO142,'Технический лист'!$I:$J,2,1)),1+(1-$AU142))</f>
        <v/>
      </c>
      <c r="EE142" s="172">
        <f>MIN(IF($AU142=100%,1,1+VLOOKUP(($AJ142-$AI142-$AH142-$AG142-$AF142-$AE142*(1+EE$3))/$AJ142,'Технический лист'!$I:$J,2,1)-VLOOKUP($AO142,'Технический лист'!$I:$J,2,1)),1+(1-$AU142))</f>
        <v/>
      </c>
      <c r="EF142" s="172">
        <f>MIN(IF($AU142=100%,1,1+VLOOKUP(($AJ142-$AI142-$AH142-$AG142-$AF142-$AE142*(1+EF$3))/$AJ142,'Технический лист'!$I:$J,2,1)-VLOOKUP($AO142,'Технический лист'!$I:$J,2,1)),1+(1-$AU142))</f>
        <v/>
      </c>
      <c r="EG142" s="172">
        <f>MIN(IF($AU142=100%,1,1+VLOOKUP(($AJ142-$AI142-$AH142-$AG142-$AF142-$AE142*(1+EG$3))/$AJ142,'Технический лист'!$I:$J,2,1)-VLOOKUP($AO142,'Технический лист'!$I:$J,2,1)),1+(1-$AU142))</f>
        <v/>
      </c>
      <c r="EH142" s="172">
        <f>MIN(IF($AU142=100%,1,1+VLOOKUP(($AJ142-$AI142-$AH142-$AG142-$AF142-$AE142*(1+EH$3))/$AJ142,'Технический лист'!$I:$J,2,1)-VLOOKUP($AO142,'Технический лист'!$I:$J,2,1)),1+(1-$AU142))</f>
        <v/>
      </c>
      <c r="EI142" s="172">
        <f>MIN(IF($AU142=100%,1,1+VLOOKUP(($AJ142-$AI142-$AH142-$AG142-$AF142-$AE142*(1+EI$3))/$AJ142,'Технический лист'!$I:$J,2,1)-VLOOKUP($AO142,'Технический лист'!$I:$J,2,1)),1+(1-$AU142))</f>
        <v/>
      </c>
      <c r="EJ142" s="172">
        <f>MIN(IF($AU142=100%,1,1+VLOOKUP(($AJ142-$AI142-$AH142-$AG142-$AF142-$AE142*(1+EJ$3))/$AJ142,'Технический лист'!$I:$J,2,1)-VLOOKUP($AO142,'Технический лист'!$I:$J,2,1)),1+(1-$AU142))</f>
        <v/>
      </c>
      <c r="EK142" s="172">
        <f>MIN(IF($AU142=100%,1,1+VLOOKUP(($AJ142-$AI142-$AH142-$AG142-$AF142-$AE142*(1+EK$3))/$AJ142,'Технический лист'!$I:$J,2,1)-VLOOKUP($AO142,'Технический лист'!$I:$J,2,1)),1+(1-$AU142))</f>
        <v/>
      </c>
      <c r="EL142" s="172">
        <f>MIN(IF($AU142=100%,1,1+VLOOKUP(($AJ142-$AI142-$AH142-$AG142-$AF142-$AE142*(1+EL$3))/$AJ142,'Технический лист'!$I:$J,2,1)-VLOOKUP($AO142,'Технический лист'!$I:$J,2,1)),1+(1-$AU142))</f>
        <v/>
      </c>
      <c r="EM142" s="172">
        <f>MIN(IF($AU142=100%,1,1+VLOOKUP(($AJ142-$AI142-$AH142-$AG142-$AF142-$AE142*(1+EM$3))/$AJ142,'Технический лист'!$I:$J,2,1)-VLOOKUP($AO142,'Технический лист'!$I:$J,2,1)),1+(1-$AU142))</f>
        <v/>
      </c>
      <c r="EN142" s="172">
        <f>MIN(IF($AU142=100%,1,1+VLOOKUP(($AJ142-$AI142-$AH142-$AG142-$AF142-$AE142*(1+EN$3))/$AJ142,'Технический лист'!$I:$J,2,1)-VLOOKUP($AO142,'Технический лист'!$I:$J,2,1)),1+(1-$AU142))</f>
        <v/>
      </c>
      <c r="EO142" s="172">
        <f>MIN(IF($AU142=100%,1,1+VLOOKUP(($AJ142-$AI142-$AH142-$AG142-$AF142-$AE142*(1+EO$3))/$AJ142,'Технический лист'!$I:$J,2,1)-VLOOKUP($AO142,'Технический лист'!$I:$J,2,1)),1+(1-$AU142))</f>
        <v/>
      </c>
      <c r="EP142" s="172">
        <f>MIN(IF($AU142=100%,1,1+VLOOKUP(($AJ142-$AI142-$AH142-$AG142-$AF142-$AE142*(1+EP$3))/$AJ142,'Технический лист'!$I:$J,2,1)-VLOOKUP($AO142,'Технический лист'!$I:$J,2,1)),1+(1-$AU142))</f>
        <v/>
      </c>
      <c r="EQ142" s="172">
        <f>MIN(IF($AU142=100%,1,1+VLOOKUP(($AJ142-$AI142-$AH142-$AG142-$AF142-$AE142*(1+EQ$3))/$AJ142,'Технический лист'!$I:$J,2,1)-VLOOKUP($AO142,'Технический лист'!$I:$J,2,1)),1+(1-$AU142))</f>
        <v/>
      </c>
      <c r="ER142" s="172">
        <f>MIN(IF($AU142=100%,1,1+VLOOKUP(($AJ142-$AI142-$AH142-$AG142-$AF142-$AE142*(1+ER$3))/$AJ142,'Технический лист'!$I:$J,2,1)-VLOOKUP($AO142,'Технический лист'!$I:$J,2,1)),1+(1-$AU142))</f>
        <v/>
      </c>
      <c r="ES142" s="172">
        <f>MIN(IF($AU142=100%,1,1+VLOOKUP(($AJ142-$AI142-$AH142-$AG142-$AF142-$AE142*(1+ES$3))/$AJ142,'Технический лист'!$I:$J,2,1)-VLOOKUP($AO142,'Технический лист'!$I:$J,2,1)),1+(1-$AU142))</f>
        <v/>
      </c>
      <c r="ET142" s="172">
        <f>MIN(IF($AU142=100%,1,1+VLOOKUP(($AJ142-$AI142-$AH142-$AG142-$AF142-$AE142*(1+ET$3))/$AJ142,'Технический лист'!$I:$J,2,1)-VLOOKUP($AO142,'Технический лист'!$I:$J,2,1)),1+(1-$AU142))</f>
        <v/>
      </c>
      <c r="EU142" s="172">
        <f>MIN(IF($AU142=100%,1,1+VLOOKUP(($AJ142-$AI142-$AH142-$AG142-$AF142-$AE142*(1+EU$3))/$AJ142,'Технический лист'!$I:$J,2,1)-VLOOKUP($AO142,'Технический лист'!$I:$J,2,1)),1+(1-$AU142))</f>
        <v/>
      </c>
      <c r="EV142" s="173" t="n">
        <v>1</v>
      </c>
      <c r="EW142" s="172">
        <f>MIN(1,MAX(VLOOKUP(($AJ142-$AI142-$AH142-$AG142-$AF142-$AE142*(1+EW$3))/$AJ142,'Технический лист'!$A:$B,2,1),(EV142-0.05)))</f>
        <v/>
      </c>
      <c r="EX142" s="172">
        <f>MIN(1,MAX(VLOOKUP(($AJ142-$AI142-$AH142-$AG142-$AF142-$AE142*(1+EX$3))/$AJ142,'Технический лист'!$A:$B,2,1),(EW142-0.05)))</f>
        <v/>
      </c>
      <c r="EY142" s="172">
        <f>MIN(1,MAX(VLOOKUP(($AJ142-$AI142-$AH142-$AG142-$AF142-$AE142*(1+EY$3))/$AJ142,'Технический лист'!$A:$B,2,1),(EX142-0.05)))</f>
        <v/>
      </c>
      <c r="EZ142" s="172">
        <f>MIN(1,MAX(VLOOKUP(($AJ142-$AI142-$AH142-$AG142-$AF142-$AE142*(1+EZ$3))/$AJ142,'Технический лист'!$A:$B,2,1),(EY142-0.05)))</f>
        <v/>
      </c>
      <c r="FA142" s="172">
        <f>MIN(1,MAX(VLOOKUP(($AJ142-$AI142-$AH142-$AG142-$AF142-$AE142*(1+FA$3))/$AJ142,'Технический лист'!$A:$B,2,1),(EZ142-0.05)))</f>
        <v/>
      </c>
      <c r="FB142" s="172">
        <f>MIN(1,MAX(VLOOKUP(($AJ142-$AI142-$AH142-$AG142-$AF142-$AE142*(1+FB$3))/$AJ142,'Технический лист'!$A:$B,2,1),(FA142-0.05)))</f>
        <v/>
      </c>
      <c r="FC142" s="172">
        <f>MIN(1,MAX(VLOOKUP(($AJ142-$AI142-$AH142-$AG142-$AF142-$AE142*(1+FC$3))/$AJ142,'Технический лист'!$A:$B,2,1),(FB142-0.05)))</f>
        <v/>
      </c>
      <c r="FD142" s="172">
        <f>MIN(1,MAX(VLOOKUP(($AJ142-$AI142-$AH142-$AG142-$AF142-$AE142*(1+FD$3))/$AJ142,'Технический лист'!$A:$B,2,1),(FC142-0.05)))</f>
        <v/>
      </c>
      <c r="FE142" s="172">
        <f>MIN(1,MAX(VLOOKUP(($AJ142-$AI142-$AH142-$AG142-$AF142-$AE142*(1+FE$3))/$AJ142,'Технический лист'!$A:$B,2,1),(FD142-0.05)))</f>
        <v/>
      </c>
      <c r="FF142" s="172">
        <f>MIN(1,MAX(VLOOKUP(($AJ142-$AI142-$AH142-$AG142-$AF142-$AE142*(1+FF$3))/$AJ142,'Технический лист'!$A:$B,2,1),(FE142-0.05)))</f>
        <v/>
      </c>
      <c r="FG142" s="172">
        <f>MIN(1,MAX(VLOOKUP(($AJ142-$AI142-$AH142-$AG142-$AF142-$AE142*(1+FG$3))/$AJ142,'Технический лист'!$A:$B,2,1),(FF142-0.05)))</f>
        <v/>
      </c>
      <c r="FH142" s="172">
        <f>MIN(1,MAX(VLOOKUP(($AJ142-$AI142-$AH142-$AG142-$AF142-$AE142*(1+FH$3))/$AJ142,'Технический лист'!$A:$B,2,1),(FG142-0.05)))</f>
        <v/>
      </c>
      <c r="FI142" s="172">
        <f>MIN(1,MAX(VLOOKUP(($AJ142-$AI142-$AH142-$AG142-$AF142-$AE142*(1+FI$3))/$AJ142,'Технический лист'!$A:$B,2,1),(FH142-0.05)))</f>
        <v/>
      </c>
      <c r="FJ142" s="172">
        <f>MIN(1,MAX(VLOOKUP(($AJ142-$AI142-$AH142-$AG142-$AF142-$AE142*(1+FJ$3))/$AJ142,'Технический лист'!$A:$B,2,1),(FI142-0.05)))</f>
        <v/>
      </c>
      <c r="FK142" s="172">
        <f>MIN(1,MAX(VLOOKUP(($AJ142-$AI142-$AH142-$AG142-$AF142-$AE142*(1+FK$3))/$AJ142,'Технический лист'!$A:$B,2,1),(FJ142-0.05)))</f>
        <v/>
      </c>
      <c r="FL142" s="172">
        <f>MIN(1,MAX(VLOOKUP(($AJ142-$AI142-$AH142-$AG142-$AF142-$AE142*(1+FL$3))/$AJ142,'Технический лист'!$A:$B,2,1),(FK142-0.05)))</f>
        <v/>
      </c>
      <c r="FM142" s="172">
        <f>MIN(1,MAX(VLOOKUP(($AJ142-$AI142-$AH142-$AG142-$AF142-$AE142*(1+FM$3))/$AJ142,'Технический лист'!$A:$B,2,1),(FL142-0.05)))</f>
        <v/>
      </c>
      <c r="FN142" s="172">
        <f>MIN(1,MAX(VLOOKUP(($AJ142-$AI142-$AH142-$AG142-$AF142-$AE142*(1+FN$3))/$AJ142,'Технический лист'!$A:$B,2,1),(FM142-0.05)))</f>
        <v/>
      </c>
      <c r="FO142" s="172">
        <f>MIN(1,MAX(VLOOKUP(($AJ142-$AI142-$AH142-$AG142-$AF142-$AE142*(1+FO$3))/$AJ142,'Технический лист'!$A:$B,2,1),(FN142-0.05)))</f>
        <v/>
      </c>
      <c r="FP142" s="172">
        <f>MIN(1,MAX(VLOOKUP(($AJ142-$AI142-$AH142-$AG142-$AF142-$AE142*(1+FP$3))/$AJ142,'Технический лист'!$A:$B,2,1),(FO142-0.05)))</f>
        <v/>
      </c>
      <c r="FQ142" s="172">
        <f>MIN(1,MAX(VLOOKUP(($AJ142-$AI142-$AH142-$AG142-$AF142-$AE142*(1+FQ$3))/$AJ142,'Технический лист'!$A:$B,2,1),(FP142-0.05)))</f>
        <v/>
      </c>
      <c r="FR142" s="172">
        <f>MIN(1,MAX(VLOOKUP(($AJ142-$AI142-$AH142-$AG142-$AF142-$AE142*(1+FR$3))/$AJ142,'Технический лист'!$A:$B,2,1),(FQ142-0.05)))</f>
        <v/>
      </c>
      <c r="FS142" s="172">
        <f>MIN(1,MAX(VLOOKUP(($AJ142-$AI142-$AH142-$AG142-$AF142-$AE142*(1+FS$3))/$AJ142,'Технический лист'!$A:$B,2,1),(FR142-0.05)))</f>
        <v/>
      </c>
      <c r="FT142" s="172">
        <f>MIN(1,MAX(VLOOKUP(($AJ142-$AI142-$AH142-$AG142-$AF142-$AE142*(1+FT$3))/$AJ142,'Технический лист'!$A:$B,2,1),(FS142-0.05)))</f>
        <v/>
      </c>
      <c r="FU142" s="172">
        <f>MIN(1,MAX(VLOOKUP(($AJ142-$AI142-$AH142-$AG142-$AF142-$AE142*(1+FU$3))/$AJ142,'Технический лист'!$A:$B,2,1),(FT142-0.05)))</f>
        <v/>
      </c>
      <c r="FV142" s="172">
        <f>MIN(1,MAX(VLOOKUP(($AJ142-$AI142-$AH142-$AG142-$AF142-$AE142*(1+FV$3))/$AJ142,'Технический лист'!$A:$B,2,1),(FU142-0.05)))</f>
        <v/>
      </c>
      <c r="FW142" s="172">
        <f>MIN(1,MAX(VLOOKUP(($AJ142-$AI142-$AH142-$AG142-$AF142-$AE142*(1+FW$3))/$AJ142,'Технический лист'!$A:$B,2,1),(FV142-0.05)))</f>
        <v/>
      </c>
      <c r="FX142" s="172">
        <f>MIN(1,MAX(VLOOKUP(($AJ142-$AI142-$AH142-$AG142-$AF142-$AE142*(1+FX$3))/$AJ142,'Технический лист'!$A:$B,2,1),(FW142-0.05)))</f>
        <v/>
      </c>
      <c r="FY142" s="172">
        <f>MIN(1,MAX(VLOOKUP(($AJ142-$AI142-$AH142-$AG142-$AF142-$AE142*(1+FY$3))/$AJ142,'Технический лист'!$A:$B,2,1),(FX142-0.05)))</f>
        <v/>
      </c>
      <c r="FZ142" s="172">
        <f>MIN(1,MAX(VLOOKUP(($AJ142-$AI142-$AH142-$AG142-$AF142-$AE142*(1+FZ$3))/$AJ142,'Технический лист'!$A:$B,2,1),(FY142-0.05)))</f>
        <v/>
      </c>
      <c r="GA142" s="172">
        <f>MIN(1,MAX(VLOOKUP(($AJ142-$AI142-$AH142-$AG142-$AF142-$AE142*(1+GA$3))/$AJ142,'Технический лист'!$A:$B,2,1),(FZ142-0.05)))</f>
        <v/>
      </c>
      <c r="GB142" s="172">
        <f>MIN(1,MAX(VLOOKUP(($AJ142-$AI142-$AH142-$AG142-$AF142-$AE142*(1+GB$3))/$AJ142,'Технический лист'!$A:$B,2,1),(GA142-0.05)))</f>
        <v/>
      </c>
      <c r="GC142" s="172">
        <f>MIN(1,MAX(VLOOKUP(($AJ142-$AI142-$AH142-$AG142-$AF142-$AE142*(1+GC$3))/$AJ142,'Технический лист'!$A:$B,2,1),(GB142-0.05)))</f>
        <v/>
      </c>
      <c r="GD142" s="172">
        <f>MIN(1,MAX(VLOOKUP(($AJ142-$AI142-$AH142-$AG142-$AF142-$AE142*(1+GD$3))/$AJ142,'Технический лист'!$A:$B,2,1),(GC142-0.05)))</f>
        <v/>
      </c>
      <c r="GE142" s="172">
        <f>MIN(1,MAX(VLOOKUP(($AJ142-$AI142-$AH142-$AG142-$AF142-$AE142*(1+GE$3))/$AJ142,'Технический лист'!$A:$B,2,1),(GD142-0.05)))</f>
        <v/>
      </c>
      <c r="GF142" s="172">
        <f>MIN(1,MAX(VLOOKUP(($AJ142-$AI142-$AH142-$AG142-$AF142-$AE142*(1+GF$3))/$AJ142,'Технический лист'!$A:$B,2,1),(GE142-0.05)))</f>
        <v/>
      </c>
      <c r="GG142" s="172">
        <f>MIN(1,MAX(VLOOKUP(($AJ142-$AI142-$AH142-$AG142-$AF142-$AE142*(1+GG$3))/$AJ142,'Технический лист'!$A:$B,2,1),(GF142-0.05)))</f>
        <v/>
      </c>
      <c r="GH142" s="172">
        <f>MIN(1,MAX(VLOOKUP(($AJ142-$AI142-$AH142-$AG142-$AF142-$AE142*(1+GH$3))/$AJ142,'Технический лист'!$A:$B,2,1),(GG142-0.05)))</f>
        <v/>
      </c>
      <c r="GI142" s="172">
        <f>MIN(1,MAX(VLOOKUP(($AJ142-$AI142-$AH142-$AG142-$AF142-$AE142*(1+GI$3))/$AJ142,'Технический лист'!$A:$B,2,1),(GH142-0.05)))</f>
        <v/>
      </c>
      <c r="GJ142" s="172">
        <f>MIN(1,MAX(VLOOKUP(($AJ142-$AI142-$AH142-$AG142-$AF142-$AE142*(1+GJ$3))/$AJ142,'Технический лист'!$A:$B,2,1),(GI142-0.05)))</f>
        <v/>
      </c>
      <c r="GK142" s="172">
        <f>MIN(1,MAX(VLOOKUP(($AJ142-$AI142-$AH142-$AG142-$AF142-$AE142*(1+GK$3))/$AJ142,'Технический лист'!$A:$B,2,1),(GJ142-0.05)))</f>
        <v/>
      </c>
      <c r="GL142" s="172">
        <f>MIN(1,MAX(VLOOKUP(($AJ142-$AI142-$AH142-$AG142-$AF142-$AE142*(1+GL$3))/$AJ142,'Технический лист'!$A:$B,2,1),(GK142-0.05)))</f>
        <v/>
      </c>
      <c r="GM142" s="172">
        <f>MIN(1,MAX(VLOOKUP(($AJ142-$AI142-$AH142-$AG142-$AF142-$AE142*(1+GM$3))/$AJ142,'Технический лист'!$A:$B,2,1),(GL142-0.05)))</f>
        <v/>
      </c>
      <c r="GN142" s="172">
        <f>MIN(1,MAX(VLOOKUP(($AJ142-$AI142-$AH142-$AG142-$AF142-$AE142*(1+GN$3))/$AJ142,'Технический лист'!$A:$B,2,1),(GM142-0.05)))</f>
        <v/>
      </c>
      <c r="GO142" s="172">
        <f>MIN(1,MAX(VLOOKUP(($AJ142-$AI142-$AH142-$AG142-$AF142-$AE142*(1+GO$3))/$AJ142,'Технический лист'!$A:$B,2,1),(GN142-0.05)))</f>
        <v/>
      </c>
      <c r="GP142" s="172">
        <f>MIN(1,MAX(VLOOKUP(($AJ142-$AI142-$AH142-$AG142-$AF142-$AE142*(1+GP$3))/$AJ142,'Технический лист'!$A:$B,2,1),(GO142-0.05)))</f>
        <v/>
      </c>
      <c r="GQ142" s="172">
        <f>MIN(1,MAX(VLOOKUP(($AJ142-$AI142-$AH142-$AG142-$AF142-$AE142*(1+GQ$3))/$AJ142,'Технический лист'!$A:$B,2,1),(GP142-0.05)))</f>
        <v/>
      </c>
      <c r="GR142" s="172">
        <f>MIN(1,MAX(VLOOKUP(($AJ142-$AI142-$AH142-$AG142-$AF142-$AE142*(1+GR$3))/$AJ142,'Технический лист'!$A:$B,2,1),(GQ142-0.05)))</f>
        <v/>
      </c>
      <c r="GS142" s="172">
        <f>MIN(1,MAX(VLOOKUP(($AJ142-$AI142-$AH142-$AG142-$AF142-$AE142*(1+GS$3))/$AJ142,'Технический лист'!$A:$B,2,1),(GR142-0.05)))</f>
        <v/>
      </c>
      <c r="GT142" s="172">
        <f>MIN(1,MAX(VLOOKUP(($AJ142-$AI142-$AH142-$AG142-$AF142-$AE142*(1+GT$3))/$AJ142,'Технический лист'!$A:$B,2,1),(GS142-0.05)))</f>
        <v/>
      </c>
      <c r="GU142" s="172">
        <f>MIN(1,MAX(VLOOKUP(($AJ142-$AI142-$AH142-$AG142-$AF142-$AE142*(1+GU$3))/$AJ142,'Технический лист'!$A:$B,2,1),(GT142-0.05)))</f>
        <v/>
      </c>
      <c r="GV142" s="172">
        <f>MIN(1,MAX(VLOOKUP(($AJ142-$AI142-$AH142-$AG142-$AF142-$AE142*(1+GV$3))/$AJ142,'Технический лист'!$A:$B,2,1),(GU142-0.05)))</f>
        <v/>
      </c>
      <c r="GW142" s="172">
        <f>MIN(1,MAX(VLOOKUP(($AJ142-$AI142-$AH142-$AG142-$AF142-$AE142*(1+GW$3))/$AJ142,'Технический лист'!$A:$B,2,1),(GV142-0.05)))</f>
        <v/>
      </c>
      <c r="GX142" s="172">
        <f>MIN(1,MAX(VLOOKUP(($AJ142-$AI142-$AH142-$AG142-$AF142-$AE142*(1+GX$3))/$AJ142,'Технический лист'!$A:$B,2,1),(GW142-0.05)))</f>
        <v/>
      </c>
      <c r="GY142" s="172">
        <f>MIN(1,MAX(VLOOKUP(($AJ142-$AI142-$AH142-$AG142-$AF142-$AE142*(1+GY$3))/$AJ142,'Технический лист'!$A:$B,2,1),(GX142-0.05)))</f>
        <v/>
      </c>
      <c r="GZ142" s="172">
        <f>MIN(1,MAX(VLOOKUP(($AJ142-$AI142-$AH142-$AG142-$AF142-$AE142*(1+GZ$3))/$AJ142,'Технический лист'!$A:$B,2,1),(GY142-0.05)))</f>
        <v/>
      </c>
      <c r="HA142" s="172">
        <f>MIN(1,MAX(VLOOKUP(($AJ142-$AI142-$AH142-$AG142-$AF142-$AE142*(1+HA$3))/$AJ142,'Технический лист'!$A:$B,2,1),(GZ142-0.05)))</f>
        <v/>
      </c>
      <c r="HB142" s="172">
        <f>MIN(1,MAX(VLOOKUP(($AJ142-$AI142-$AH142-$AG142-$AF142-$AE142*(1+HB$3))/$AJ142,'Технический лист'!$A:$B,2,1),(HA142-0.05)))</f>
        <v/>
      </c>
      <c r="HC142" s="172">
        <f>MIN(1,MAX(VLOOKUP(($AJ142-$AI142-$AH142-$AG142-$AF142-$AE142*(1+HC$3))/$AJ142,'Технический лист'!$A:$B,2,1),(HB142-0.05)))</f>
        <v/>
      </c>
      <c r="HD142" s="172">
        <f>MIN(1,MAX(VLOOKUP(($AJ142-$AI142-$AH142-$AG142-$AF142-$AE142*(1+HD$3))/$AJ142,'Технический лист'!$A:$B,2,1),(HC142-0.05)))</f>
        <v/>
      </c>
      <c r="HE142" s="172">
        <f>MIN(1,MAX(VLOOKUP(($AJ142-$AI142-$AH142-$AG142-$AF142-$AE142*(1+HE$3))/$AJ142,'Технический лист'!$A:$B,2,1),(HD142-0.05)))</f>
        <v/>
      </c>
      <c r="HF142" s="172">
        <f>MIN(1,MAX(VLOOKUP(($AJ142-$AI142-$AH142-$AG142-$AF142-$AE142*(1+HF$3))/$AJ142,'Технический лист'!$A:$B,2,1),(HE142-0.05)))</f>
        <v/>
      </c>
      <c r="HG142" s="172">
        <f>MIN(1,MAX(VLOOKUP(($AJ142-$AI142-$AH142-$AG142-$AF142-$AE142*(1+HG$3))/$AJ142,'Технический лист'!$A:$B,2,1),(HF142-0.05)))</f>
        <v/>
      </c>
      <c r="HH142" s="172">
        <f>MIN(1,MAX(VLOOKUP(($AJ142-$AI142-$AH142-$AG142-$AF142-$AE142*(1+HH$3))/$AJ142,'Технический лист'!$A:$B,2,1),(HG142-0.05)))</f>
        <v/>
      </c>
      <c r="HI142" s="172">
        <f>MIN(1,MAX(VLOOKUP(($AJ142-$AI142-$AH142-$AG142-$AF142-$AE142*(1+HI$3))/$AJ142,'Технический лист'!$A:$B,2,1),(HH142-0.05)))</f>
        <v/>
      </c>
      <c r="HJ142" s="172">
        <f>MIN(1,MAX(VLOOKUP(($AJ142-$AI142-$AH142-$AG142-$AF142-$AE142*(1+HJ$3))/$AJ142,'Технический лист'!$A:$B,2,1),(HI142-0.05)))</f>
        <v/>
      </c>
      <c r="HK142" s="172">
        <f>MIN(1,MAX(VLOOKUP(($AJ142-$AI142-$AH142-$AG142-$AF142-$AE142*(1+HK$3))/$AJ142,'Технический лист'!$A:$B,2,1),(HJ142-0.05)))</f>
        <v/>
      </c>
      <c r="HL142" s="172">
        <f>MIN(1,MAX(VLOOKUP(($AJ142-$AI142-$AH142-$AG142-$AF142-$AE142*(1+HL$3))/$AJ142,'Технический лист'!$A:$B,2,1),(HK142-0.05)))</f>
        <v/>
      </c>
      <c r="HM142" s="172">
        <f>MIN(1,MAX(VLOOKUP(($AJ142-$AI142-$AH142-$AG142-$AF142-$AE142*(1+HM$3))/$AJ142,'Технический лист'!$A:$B,2,1),(HL142-0.05)))</f>
        <v/>
      </c>
      <c r="HN142" s="172">
        <f>MIN(1,MAX(VLOOKUP(($AJ142-$AI142-$AH142-$AG142-$AF142-$AE142*(1+HN$3))/$AJ142,'Технический лист'!$A:$B,2,1),(HM142-0.05)))</f>
        <v/>
      </c>
      <c r="HO142" s="172">
        <f>MIN(1,MAX(VLOOKUP(($AJ142-$AI142-$AH142-$AG142-$AF142-$AE142*(1+HO$3))/$AJ142,'Технический лист'!$A:$B,2,1),(HN142-0.05)))</f>
        <v/>
      </c>
      <c r="HP142" s="172">
        <f>MIN(1,MAX(VLOOKUP(($AJ142-$AI142-$AH142-$AG142-$AF142-$AE142*(1+HP$3))/$AJ142,'Технический лист'!$A:$B,2,1),(HO142-0.05)))</f>
        <v/>
      </c>
      <c r="HQ142" s="172">
        <f>MIN(1,MAX(VLOOKUP(($AJ142-$AI142-$AH142-$AG142-$AF142-$AE142*(1+HQ$3))/$AJ142,'Технический лист'!$A:$B,2,1),(HP142-0.05)))</f>
        <v/>
      </c>
      <c r="HR142" s="172">
        <f>MIN(1,MAX(VLOOKUP(($AJ142-$AI142-$AH142-$AG142-$AF142-$AE142*(1+HR$3))/$AJ142,'Технический лист'!$A:$B,2,1),(HQ142-0.05)))</f>
        <v/>
      </c>
      <c r="HS142" s="172">
        <f>MIN(1,MAX(VLOOKUP(($AJ142-$AI142-$AH142-$AG142-$AF142-$AE142*(1+HS$3))/$AJ142,'Технический лист'!$A:$B,2,1),(HR142-0.05)))</f>
        <v/>
      </c>
      <c r="HT142" s="172">
        <f>MIN(1,MAX(VLOOKUP(($AJ142-$AI142-$AH142-$AG142-$AF142-$AE142*(1+HT$3))/$AJ142,'Технический лист'!$A:$B,2,1),(HS142-0.05)))</f>
        <v/>
      </c>
      <c r="HU142" s="172">
        <f>MIN(1,MAX(VLOOKUP(($AJ142-$AI142-$AH142-$AG142-$AF142-$AE142*(1+HU$3))/$AJ142,'Технический лист'!$A:$B,2,1),(HT142-0.05)))</f>
        <v/>
      </c>
      <c r="HV142" s="172">
        <f>MIN(1,MAX(VLOOKUP(($AJ142-$AI142-$AH142-$AG142-$AF142-$AE142*(1+HV$3))/$AJ142,'Технический лист'!$A:$B,2,1),(HU142-0.05)))</f>
        <v/>
      </c>
      <c r="HW142" s="172">
        <f>MIN(1,MAX(VLOOKUP(($AJ142-$AI142-$AH142-$AG142-$AF142-$AE142*(1+HW$3))/$AJ142,'Технический лист'!$A:$B,2,1),(HV142-0.05)))</f>
        <v/>
      </c>
      <c r="HX142" s="172">
        <f>MIN(1,MAX(VLOOKUP(($AJ142-$AI142-$AH142-$AG142-$AF142-$AE142*(1+HX$3))/$AJ142,'Технический лист'!$A:$B,2,1),(HW142-0.05)))</f>
        <v/>
      </c>
      <c r="HY142" s="172">
        <f>MIN(1,MAX(VLOOKUP(($AJ142-$AI142-$AH142-$AG142-$AF142-$AE142*(1+HY$3))/$AJ142,'Технический лист'!$A:$B,2,1),(HX142-0.05)))</f>
        <v/>
      </c>
      <c r="HZ142" s="172">
        <f>MIN(1,MAX(VLOOKUP(($AJ142-$AI142-$AH142-$AG142-$AF142-$AE142*(1+HZ$3))/$AJ142,'Технический лист'!$A:$B,2,1),(HY142-0.05)))</f>
        <v/>
      </c>
      <c r="IA142" s="172">
        <f>MIN(1,MAX(VLOOKUP(($AJ142-$AI142-$AH142-$AG142-$AF142-$AE142*(1+IA$3))/$AJ142,'Технический лист'!$A:$B,2,1),(HZ142-0.05)))</f>
        <v/>
      </c>
      <c r="IB142" s="172">
        <f>MIN(1,MAX(VLOOKUP(($AJ142-$AI142-$AH142-$AG142-$AF142-$AE142*(1+IB$3))/$AJ142,'Технический лист'!$A:$B,2,1),(IA142-0.05)))</f>
        <v/>
      </c>
      <c r="IC142" s="172">
        <f>MIN(1,MAX(VLOOKUP(($AJ142-$AI142-$AH142-$AG142-$AF142-$AE142*(1+IC$3))/$AJ142,'Технический лист'!$A:$B,2,1),(IB142-0.05)))</f>
        <v/>
      </c>
      <c r="ID142" s="172">
        <f>MIN(1,MAX(VLOOKUP(($AJ142-$AI142-$AH142-$AG142-$AF142-$AE142*(1+ID$3))/$AJ142,'Технический лист'!$A:$B,2,1),(IC142-0.05)))</f>
        <v/>
      </c>
      <c r="IE142" s="172">
        <f>MIN(1,MAX(VLOOKUP(($AJ142-$AI142-$AH142-$AG142-$AF142-$AE142*(1+IE$3))/$AJ142,'Технический лист'!$A:$B,2,1),(ID142-0.05)))</f>
        <v/>
      </c>
      <c r="IF142" s="172">
        <f>MIN(1,MAX(VLOOKUP(($AJ142-$AI142-$AH142-$AG142-$AF142-$AE142*(1+IF$3))/$AJ142,'Технический лист'!$A:$B,2,1),(IE142-0.05)))</f>
        <v/>
      </c>
      <c r="IG142" s="172">
        <f>MIN(1,MAX(VLOOKUP(($AJ142-$AI142-$AH142-$AG142-$AF142-$AE142*(1+IG$3))/$AJ142,'Технический лист'!$A:$B,2,1),(IF142-0.05)))</f>
        <v/>
      </c>
      <c r="IH142" s="172">
        <f>MIN(1,MAX(VLOOKUP(($AJ142-$AI142-$AH142-$AG142-$AF142-$AE142*(1+IH$3))/$AJ142,'Технический лист'!$A:$B,2,1),(IG142-0.05)))</f>
        <v/>
      </c>
      <c r="II142" s="172">
        <f>MIN(1,MAX(VLOOKUP(($AJ142-$AI142-$AH142-$AG142-$AF142-$AE142*(1+II$3))/$AJ142,'Технический лист'!$A:$B,2,1),(IH142-0.05)))</f>
        <v/>
      </c>
      <c r="IJ142" s="172">
        <f>MIN(1,MAX(VLOOKUP(($AJ142-$AI142-$AH142-$AG142-$AF142-$AE142*(1+IJ$3))/$AJ142,'Технический лист'!$A:$B,2,1),(II142-0.05)))</f>
        <v/>
      </c>
      <c r="IK142" s="172">
        <f>MIN(1,MAX(VLOOKUP(($AJ142-$AI142-$AH142-$AG142-$AF142-$AE142*(1+IK$3))/$AJ142,'Технический лист'!$A:$B,2,1),(IJ142-0.05)))</f>
        <v/>
      </c>
      <c r="IL142" s="172">
        <f>MIN(1,MAX(VLOOKUP(($AJ142-$AI142-$AH142-$AG142-$AF142-$AE142*(1+IL$3))/$AJ142,'Технический лист'!$A:$B,2,1),(IK142-0.05)))</f>
        <v/>
      </c>
      <c r="IM142" s="172">
        <f>MIN(1,MAX(VLOOKUP(($AJ142-$AI142-$AH142-$AG142-$AF142-$AE142*(1+IM$3))/$AJ142,'Технический лист'!$A:$B,2,1),(IL142-0.05)))</f>
        <v/>
      </c>
      <c r="IN142" s="172">
        <f>MIN(1,MAX(VLOOKUP(($AJ142-$AI142-$AH142-$AG142-$AF142-$AE142*(1+IN$3))/$AJ142,'Технический лист'!$A:$B,2,1),(IM142-0.05)))</f>
        <v/>
      </c>
      <c r="IO142" s="172">
        <f>MIN(1,MAX(VLOOKUP(($AJ142-$AI142-$AH142-$AG142-$AF142-$AE142*(1+IO$3))/$AJ142,'Технический лист'!$A:$B,2,1),(IN142-0.05)))</f>
        <v/>
      </c>
      <c r="IP142" s="172">
        <f>MIN(1,MAX(VLOOKUP(($AJ142-$AI142-$AH142-$AG142-$AF142-$AE142*(1+IP$3))/$AJ142,'Технический лист'!$A:$B,2,1),(IO142-0.05)))</f>
        <v/>
      </c>
      <c r="IQ142" s="172">
        <f>MIN(1,MAX(VLOOKUP(($AJ142-$AI142-$AH142-$AG142-$AF142-$AE142*(1+IQ$3))/$AJ142,'Технический лист'!$A:$B,2,1),(IP142-0.05)))</f>
        <v/>
      </c>
      <c r="IR142" s="172">
        <f>MIN(1,MAX(VLOOKUP(($AJ142-$AI142-$AH142-$AG142-$AF142-$AE142*(1+IR$3))/$AJ142,'Технический лист'!$A:$B,2,1),(IQ142-0.05)))</f>
        <v/>
      </c>
    </row>
    <row r="143" ht="43.75" customHeight="1" s="123">
      <c r="A143" s="89" t="inlineStr">
        <is>
          <t>ЧМ (продукция)</t>
        </is>
      </c>
      <c r="B143" s="90" t="n">
        <v>10</v>
      </c>
      <c r="C143" s="5" t="inlineStr">
        <is>
          <t>Остальные грузы</t>
        </is>
      </c>
      <c r="D143" s="91" t="n">
        <v>31607</v>
      </c>
      <c r="E143" s="91" t="inlineStr">
        <is>
          <t xml:space="preserve">Лом черных металлов, не поименованный в алфавите </t>
        </is>
      </c>
      <c r="F143" s="92" t="inlineStr">
        <is>
          <t>ЛОМ ЧЕРНЫХ МЕТАЛЛОВ</t>
        </is>
      </c>
      <c r="G143" s="91" t="inlineStr">
        <is>
          <t>ЗСБ</t>
        </is>
      </c>
      <c r="H143" s="91" t="inlineStr">
        <is>
          <t>СВР</t>
        </is>
      </c>
      <c r="I143" s="91" t="inlineStr">
        <is>
          <t>НОВОСИБ-ЗАП</t>
        </is>
      </c>
      <c r="J143" s="91" t="inlineStr">
        <is>
          <t>РЕВДА</t>
        </is>
      </c>
      <c r="K143" s="91" t="n">
        <v>1564</v>
      </c>
      <c r="L143" s="91" t="inlineStr">
        <is>
          <t>Полувагоны</t>
        </is>
      </c>
      <c r="M143" s="91" t="inlineStr">
        <is>
          <t>Внутр. перевозки</t>
        </is>
      </c>
      <c r="N143" s="91" t="inlineStr">
        <is>
          <t>вагонная</t>
        </is>
      </c>
      <c r="O143" s="91" t="inlineStr">
        <is>
          <t xml:space="preserve">Южное </t>
        </is>
      </c>
      <c r="P143" s="89" t="inlineStr">
        <is>
          <t>'000064326176</t>
        </is>
      </c>
      <c r="Q143" s="91" t="inlineStr">
        <is>
          <t>ООО "УВМ СИБИРЬ"</t>
        </is>
      </c>
      <c r="R143" s="91" t="inlineStr">
        <is>
          <t>ООО "УК"ПМХ"</t>
        </is>
      </c>
      <c r="S143" s="87" t="n">
        <v>41320</v>
      </c>
      <c r="T143" s="87" t="n">
        <v>64637312</v>
      </c>
      <c r="U143" s="88" t="n">
        <v>663</v>
      </c>
      <c r="V143" s="88" t="n">
        <v>0</v>
      </c>
      <c r="W143" s="87" t="n">
        <v>124401388</v>
      </c>
      <c r="X143" s="112" t="n">
        <v>62</v>
      </c>
      <c r="Y143" s="112" t="inlineStr">
        <is>
          <t>повагонная</t>
        </is>
      </c>
      <c r="Z143" s="113" t="n">
        <v>8</v>
      </c>
      <c r="AA143" s="113" t="n">
        <v>6</v>
      </c>
      <c r="AB143" s="113" t="n">
        <v>4</v>
      </c>
      <c r="AC143" s="161" t="n">
        <v>3444</v>
      </c>
      <c r="AD143" s="161">
        <f>AE143-AC143</f>
        <v/>
      </c>
      <c r="AE143" s="161" t="n">
        <v>3977.61</v>
      </c>
      <c r="AF143" s="162">
        <f>(Z143+AA143+AB143)*'Ставки аренды'!$B$3/X143</f>
        <v/>
      </c>
      <c r="AG143" s="164" t="n">
        <v>0</v>
      </c>
      <c r="AH143" s="164" t="n">
        <v>0</v>
      </c>
      <c r="AI143" s="165">
        <f>0.9*AJ143</f>
        <v/>
      </c>
      <c r="AJ143" s="166">
        <f>Цены!$D$10</f>
        <v/>
      </c>
      <c r="AK143" s="164">
        <f>AJ143/Цены!$B$1</f>
        <v/>
      </c>
      <c r="AL143" s="164">
        <f>AE143+AF143+AG143</f>
        <v/>
      </c>
      <c r="AM143" s="164">
        <f>AJ143-AL143</f>
        <v/>
      </c>
      <c r="AN143" s="164">
        <f>AI143+AH143+AG143+AF143+AE143</f>
        <v/>
      </c>
      <c r="AO143" s="167">
        <f>(AJ143-AN143)/AJ143</f>
        <v/>
      </c>
      <c r="AP143" s="168">
        <f>AL143/AJ143</f>
        <v/>
      </c>
      <c r="AQ143" s="168">
        <f>AE143/AJ143</f>
        <v/>
      </c>
      <c r="AR143" s="168">
        <f>AE143/AL143</f>
        <v/>
      </c>
      <c r="AS143" s="169" t="n">
        <v>1</v>
      </c>
      <c r="AT143" s="121">
        <f>S143*AS143</f>
        <v/>
      </c>
      <c r="AU143" s="83" t="n">
        <v>0.7</v>
      </c>
      <c r="AV143" s="170">
        <f>(AJ143-(AE143*(1+$IS$2)+AF143+AG143+AH143+AI143))/AJ143</f>
        <v/>
      </c>
      <c r="AW143" s="171">
        <f>(AE143*(1+$IS$2)+AF143+AG143)/AJ143</f>
        <v/>
      </c>
      <c r="AX143" s="171">
        <f>(AE143*(1+$IS$2))/AJ143</f>
        <v/>
      </c>
      <c r="AY143" s="171">
        <f>(AE143*(1+$IS$2))/(AE143*(1+$IS$2)+AF143+AG143)</f>
        <v/>
      </c>
      <c r="AZ143" s="172">
        <f>MIN(IF($AU143=100%,1,1+VLOOKUP(($AJ143-$AI143-$AH143-$AG143-$AF143-$AE143*(1+AZ$3))/$AJ143,'Технический лист'!$I:$J,2,1)-VLOOKUP($AO143,'Технический лист'!$I:$J,2,1)),1+(1-$AU143))</f>
        <v/>
      </c>
      <c r="BA143" s="172">
        <f>MIN(IF($AU143=100%,1,1+VLOOKUP(($AJ143-$AI143-$AH143-$AG143-$AF143-$AE143*(1+BA$3))/$AJ143,'Технический лист'!$I:$J,2,1)-VLOOKUP($AO143,'Технический лист'!$I:$J,2,1)),1+(1-$AU143))</f>
        <v/>
      </c>
      <c r="BB143" s="172">
        <f>MIN(IF($AU143=100%,1,1+VLOOKUP(($AJ143-$AI143-$AH143-$AG143-$AF143-$AE143*(1+BB$3))/$AJ143,'Технический лист'!$I:$J,2,1)-VLOOKUP($AO143,'Технический лист'!$I:$J,2,1)),1+(1-$AU143))</f>
        <v/>
      </c>
      <c r="BC143" s="172">
        <f>MIN(IF($AU143=100%,1,1+VLOOKUP(($AJ143-$AI143-$AH143-$AG143-$AF143-$AE143*(1+BC$3))/$AJ143,'Технический лист'!$I:$J,2,1)-VLOOKUP($AO143,'Технический лист'!$I:$J,2,1)),1+(1-$AU143))</f>
        <v/>
      </c>
      <c r="BD143" s="172">
        <f>MIN(IF($AU143=100%,1,1+VLOOKUP(($AJ143-$AI143-$AH143-$AG143-$AF143-$AE143*(1+BD$3))/$AJ143,'Технический лист'!$I:$J,2,1)-VLOOKUP($AO143,'Технический лист'!$I:$J,2,1)),1+(1-$AU143))</f>
        <v/>
      </c>
      <c r="BE143" s="172">
        <f>MIN(IF($AU143=100%,1,1+VLOOKUP(($AJ143-$AI143-$AH143-$AG143-$AF143-$AE143*(1+BE$3))/$AJ143,'Технический лист'!$I:$J,2,1)-VLOOKUP($AO143,'Технический лист'!$I:$J,2,1)),1+(1-$AU143))</f>
        <v/>
      </c>
      <c r="BF143" s="172">
        <f>MIN(IF($AU143=100%,1,1+VLOOKUP(($AJ143-$AI143-$AH143-$AG143-$AF143-$AE143*(1+BF$3))/$AJ143,'Технический лист'!$I:$J,2,1)-VLOOKUP($AO143,'Технический лист'!$I:$J,2,1)),1+(1-$AU143))</f>
        <v/>
      </c>
      <c r="BG143" s="172">
        <f>MIN(IF($AU143=100%,1,1+VLOOKUP(($AJ143-$AI143-$AH143-$AG143-$AF143-$AE143*(1+BG$3))/$AJ143,'Технический лист'!$I:$J,2,1)-VLOOKUP($AO143,'Технический лист'!$I:$J,2,1)),1+(1-$AU143))</f>
        <v/>
      </c>
      <c r="BH143" s="172">
        <f>MIN(IF($AU143=100%,1,1+VLOOKUP(($AJ143-$AI143-$AH143-$AG143-$AF143-$AE143*(1+BH$3))/$AJ143,'Технический лист'!$I:$J,2,1)-VLOOKUP($AO143,'Технический лист'!$I:$J,2,1)),1+(1-$AU143))</f>
        <v/>
      </c>
      <c r="BI143" s="172">
        <f>MIN(IF($AU143=100%,1,1+VLOOKUP(($AJ143-$AI143-$AH143-$AG143-$AF143-$AE143*(1+BI$3))/$AJ143,'Технический лист'!$I:$J,2,1)-VLOOKUP($AO143,'Технический лист'!$I:$J,2,1)),1+(1-$AU143))</f>
        <v/>
      </c>
      <c r="BJ143" s="172">
        <f>MIN(IF($AU143=100%,1,1+VLOOKUP(($AJ143-$AI143-$AH143-$AG143-$AF143-$AE143*(1+BJ$3))/$AJ143,'Технический лист'!$I:$J,2,1)-VLOOKUP($AO143,'Технический лист'!$I:$J,2,1)),1+(1-$AU143))</f>
        <v/>
      </c>
      <c r="BK143" s="172">
        <f>MIN(IF($AU143=100%,1,1+VLOOKUP(($AJ143-$AI143-$AH143-$AG143-$AF143-$AE143*(1+BK$3))/$AJ143,'Технический лист'!$I:$J,2,1)-VLOOKUP($AO143,'Технический лист'!$I:$J,2,1)),1+(1-$AU143))</f>
        <v/>
      </c>
      <c r="BL143" s="172">
        <f>MIN(IF($AU143=100%,1,1+VLOOKUP(($AJ143-$AI143-$AH143-$AG143-$AF143-$AE143*(1+BL$3))/$AJ143,'Технический лист'!$I:$J,2,1)-VLOOKUP($AO143,'Технический лист'!$I:$J,2,1)),1+(1-$AU143))</f>
        <v/>
      </c>
      <c r="BM143" s="172">
        <f>MIN(IF($AU143=100%,1,1+VLOOKUP(($AJ143-$AI143-$AH143-$AG143-$AF143-$AE143*(1+BM$3))/$AJ143,'Технический лист'!$I:$J,2,1)-VLOOKUP($AO143,'Технический лист'!$I:$J,2,1)),1+(1-$AU143))</f>
        <v/>
      </c>
      <c r="BN143" s="172">
        <f>MIN(IF($AU143=100%,1,1+VLOOKUP(($AJ143-$AI143-$AH143-$AG143-$AF143-$AE143*(1+BN$3))/$AJ143,'Технический лист'!$I:$J,2,1)-VLOOKUP($AO143,'Технический лист'!$I:$J,2,1)),1+(1-$AU143))</f>
        <v/>
      </c>
      <c r="BO143" s="172">
        <f>MIN(IF($AU143=100%,1,1+VLOOKUP(($AJ143-$AI143-$AH143-$AG143-$AF143-$AE143*(1+BO$3))/$AJ143,'Технический лист'!$I:$J,2,1)-VLOOKUP($AO143,'Технический лист'!$I:$J,2,1)),1+(1-$AU143))</f>
        <v/>
      </c>
      <c r="BP143" s="172">
        <f>MIN(IF($AU143=100%,1,1+VLOOKUP(($AJ143-$AI143-$AH143-$AG143-$AF143-$AE143*(1+BP$3))/$AJ143,'Технический лист'!$I:$J,2,1)-VLOOKUP($AO143,'Технический лист'!$I:$J,2,1)),1+(1-$AU143))</f>
        <v/>
      </c>
      <c r="BQ143" s="172">
        <f>MIN(IF($AU143=100%,1,1+VLOOKUP(($AJ143-$AI143-$AH143-$AG143-$AF143-$AE143*(1+BQ$3))/$AJ143,'Технический лист'!$I:$J,2,1)-VLOOKUP($AO143,'Технический лист'!$I:$J,2,1)),1+(1-$AU143))</f>
        <v/>
      </c>
      <c r="BR143" s="172">
        <f>MIN(IF($AU143=100%,1,1+VLOOKUP(($AJ143-$AI143-$AH143-$AG143-$AF143-$AE143*(1+BR$3))/$AJ143,'Технический лист'!$I:$J,2,1)-VLOOKUP($AO143,'Технический лист'!$I:$J,2,1)),1+(1-$AU143))</f>
        <v/>
      </c>
      <c r="BS143" s="172">
        <f>MIN(IF($AU143=100%,1,1+VLOOKUP(($AJ143-$AI143-$AH143-$AG143-$AF143-$AE143*(1+BS$3))/$AJ143,'Технический лист'!$I:$J,2,1)-VLOOKUP($AO143,'Технический лист'!$I:$J,2,1)),1+(1-$AU143))</f>
        <v/>
      </c>
      <c r="BT143" s="172">
        <f>MIN(IF($AU143=100%,1,1+VLOOKUP(($AJ143-$AI143-$AH143-$AG143-$AF143-$AE143*(1+BT$3))/$AJ143,'Технический лист'!$I:$J,2,1)-VLOOKUP($AO143,'Технический лист'!$I:$J,2,1)),1+(1-$AU143))</f>
        <v/>
      </c>
      <c r="BU143" s="172">
        <f>MIN(IF($AU143=100%,1,1+VLOOKUP(($AJ143-$AI143-$AH143-$AG143-$AF143-$AE143*(1+BU$3))/$AJ143,'Технический лист'!$I:$J,2,1)-VLOOKUP($AO143,'Технический лист'!$I:$J,2,1)),1+(1-$AU143))</f>
        <v/>
      </c>
      <c r="BV143" s="172">
        <f>MIN(IF($AU143=100%,1,1+VLOOKUP(($AJ143-$AI143-$AH143-$AG143-$AF143-$AE143*(1+BV$3))/$AJ143,'Технический лист'!$I:$J,2,1)-VLOOKUP($AO143,'Технический лист'!$I:$J,2,1)),1+(1-$AU143))</f>
        <v/>
      </c>
      <c r="BW143" s="172">
        <f>MIN(IF($AU143=100%,1,1+VLOOKUP(($AJ143-$AI143-$AH143-$AG143-$AF143-$AE143*(1+BW$3))/$AJ143,'Технический лист'!$I:$J,2,1)-VLOOKUP($AO143,'Технический лист'!$I:$J,2,1)),1+(1-$AU143))</f>
        <v/>
      </c>
      <c r="BX143" s="172">
        <f>MIN(IF($AU143=100%,1,1+VLOOKUP(($AJ143-$AI143-$AH143-$AG143-$AF143-$AE143*(1+BX$3))/$AJ143,'Технический лист'!$I:$J,2,1)-VLOOKUP($AO143,'Технический лист'!$I:$J,2,1)),1+(1-$AU143))</f>
        <v/>
      </c>
      <c r="BY143" s="172">
        <f>MIN(IF($AU143=100%,1,1+VLOOKUP(($AJ143-$AI143-$AH143-$AG143-$AF143-$AE143*(1+BY$3))/$AJ143,'Технический лист'!$I:$J,2,1)-VLOOKUP($AO143,'Технический лист'!$I:$J,2,1)),1+(1-$AU143))</f>
        <v/>
      </c>
      <c r="BZ143" s="172">
        <f>MIN(IF($AU143=100%,1,1+VLOOKUP(($AJ143-$AI143-$AH143-$AG143-$AF143-$AE143*(1+BZ$3))/$AJ143,'Технический лист'!$I:$J,2,1)-VLOOKUP($AO143,'Технический лист'!$I:$J,2,1)),1+(1-$AU143))</f>
        <v/>
      </c>
      <c r="CA143" s="172">
        <f>MIN(IF($AU143=100%,1,1+VLOOKUP(($AJ143-$AI143-$AH143-$AG143-$AF143-$AE143*(1+CA$3))/$AJ143,'Технический лист'!$I:$J,2,1)-VLOOKUP($AO143,'Технический лист'!$I:$J,2,1)),1+(1-$AU143))</f>
        <v/>
      </c>
      <c r="CB143" s="172">
        <f>MIN(IF($AU143=100%,1,1+VLOOKUP(($AJ143-$AI143-$AH143-$AG143-$AF143-$AE143*(1+CB$3))/$AJ143,'Технический лист'!$I:$J,2,1)-VLOOKUP($AO143,'Технический лист'!$I:$J,2,1)),1+(1-$AU143))</f>
        <v/>
      </c>
      <c r="CC143" s="172">
        <f>MIN(IF($AU143=100%,1,1+VLOOKUP(($AJ143-$AI143-$AH143-$AG143-$AF143-$AE143*(1+CC$3))/$AJ143,'Технический лист'!$I:$J,2,1)-VLOOKUP($AO143,'Технический лист'!$I:$J,2,1)),1+(1-$AU143))</f>
        <v/>
      </c>
      <c r="CD143" s="172">
        <f>MIN(IF($AU143=100%,1,1+VLOOKUP(($AJ143-$AI143-$AH143-$AG143-$AF143-$AE143*(1+CD$3))/$AJ143,'Технический лист'!$I:$J,2,1)-VLOOKUP($AO143,'Технический лист'!$I:$J,2,1)),1+(1-$AU143))</f>
        <v/>
      </c>
      <c r="CE143" s="172">
        <f>MIN(IF($AU143=100%,1,1+VLOOKUP(($AJ143-$AI143-$AH143-$AG143-$AF143-$AE143*(1+CE$3))/$AJ143,'Технический лист'!$I:$J,2,1)-VLOOKUP($AO143,'Технический лист'!$I:$J,2,1)),1+(1-$AU143))</f>
        <v/>
      </c>
      <c r="CF143" s="172">
        <f>MIN(IF($AU143=100%,1,1+VLOOKUP(($AJ143-$AI143-$AH143-$AG143-$AF143-$AE143*(1+CF$3))/$AJ143,'Технический лист'!$I:$J,2,1)-VLOOKUP($AO143,'Технический лист'!$I:$J,2,1)),1+(1-$AU143))</f>
        <v/>
      </c>
      <c r="CG143" s="172">
        <f>MIN(IF($AU143=100%,1,1+VLOOKUP(($AJ143-$AI143-$AH143-$AG143-$AF143-$AE143*(1+CG$3))/$AJ143,'Технический лист'!$I:$J,2,1)-VLOOKUP($AO143,'Технический лист'!$I:$J,2,1)),1+(1-$AU143))</f>
        <v/>
      </c>
      <c r="CH143" s="172">
        <f>MIN(IF($AU143=100%,1,1+VLOOKUP(($AJ143-$AI143-$AH143-$AG143-$AF143-$AE143*(1+CH$3))/$AJ143,'Технический лист'!$I:$J,2,1)-VLOOKUP($AO143,'Технический лист'!$I:$J,2,1)),1+(1-$AU143))</f>
        <v/>
      </c>
      <c r="CI143" s="172">
        <f>MIN(IF($AU143=100%,1,1+VLOOKUP(($AJ143-$AI143-$AH143-$AG143-$AF143-$AE143*(1+CI$3))/$AJ143,'Технический лист'!$I:$J,2,1)-VLOOKUP($AO143,'Технический лист'!$I:$J,2,1)),1+(1-$AU143))</f>
        <v/>
      </c>
      <c r="CJ143" s="172">
        <f>MIN(IF($AU143=100%,1,1+VLOOKUP(($AJ143-$AI143-$AH143-$AG143-$AF143-$AE143*(1+CJ$3))/$AJ143,'Технический лист'!$I:$J,2,1)-VLOOKUP($AO143,'Технический лист'!$I:$J,2,1)),1+(1-$AU143))</f>
        <v/>
      </c>
      <c r="CK143" s="172">
        <f>MIN(IF($AU143=100%,1,1+VLOOKUP(($AJ143-$AI143-$AH143-$AG143-$AF143-$AE143*(1+CK$3))/$AJ143,'Технический лист'!$I:$J,2,1)-VLOOKUP($AO143,'Технический лист'!$I:$J,2,1)),1+(1-$AU143))</f>
        <v/>
      </c>
      <c r="CL143" s="172">
        <f>MIN(IF($AU143=100%,1,1+VLOOKUP(($AJ143-$AI143-$AH143-$AG143-$AF143-$AE143*(1+CL$3))/$AJ143,'Технический лист'!$I:$J,2,1)-VLOOKUP($AO143,'Технический лист'!$I:$J,2,1)),1+(1-$AU143))</f>
        <v/>
      </c>
      <c r="CM143" s="172">
        <f>MIN(IF($AU143=100%,1,1+VLOOKUP(($AJ143-$AI143-$AH143-$AG143-$AF143-$AE143*(1+CM$3))/$AJ143,'Технический лист'!$I:$J,2,1)-VLOOKUP($AO143,'Технический лист'!$I:$J,2,1)),1+(1-$AU143))</f>
        <v/>
      </c>
      <c r="CN143" s="172">
        <f>MIN(IF($AU143=100%,1,1+VLOOKUP(($AJ143-$AI143-$AH143-$AG143-$AF143-$AE143*(1+CN$3))/$AJ143,'Технический лист'!$I:$J,2,1)-VLOOKUP($AO143,'Технический лист'!$I:$J,2,1)),1+(1-$AU143))</f>
        <v/>
      </c>
      <c r="CO143" s="172">
        <f>MIN(IF($AU143=100%,1,1+VLOOKUP(($AJ143-$AI143-$AH143-$AG143-$AF143-$AE143*(1+CO$3))/$AJ143,'Технический лист'!$I:$J,2,1)-VLOOKUP($AO143,'Технический лист'!$I:$J,2,1)),1+(1-$AU143))</f>
        <v/>
      </c>
      <c r="CP143" s="172">
        <f>MIN(IF($AU143=100%,1,1+VLOOKUP(($AJ143-$AI143-$AH143-$AG143-$AF143-$AE143*(1+CP$3))/$AJ143,'Технический лист'!$I:$J,2,1)-VLOOKUP($AO143,'Технический лист'!$I:$J,2,1)),1+(1-$AU143))</f>
        <v/>
      </c>
      <c r="CQ143" s="172">
        <f>MIN(IF($AU143=100%,1,1+VLOOKUP(($AJ143-$AI143-$AH143-$AG143-$AF143-$AE143*(1+CQ$3))/$AJ143,'Технический лист'!$I:$J,2,1)-VLOOKUP($AO143,'Технический лист'!$I:$J,2,1)),1+(1-$AU143))</f>
        <v/>
      </c>
      <c r="CR143" s="172">
        <f>MIN(IF($AU143=100%,1,1+VLOOKUP(($AJ143-$AI143-$AH143-$AG143-$AF143-$AE143*(1+CR$3))/$AJ143,'Технический лист'!$I:$J,2,1)-VLOOKUP($AO143,'Технический лист'!$I:$J,2,1)),1+(1-$AU143))</f>
        <v/>
      </c>
      <c r="CS143" s="172">
        <f>MIN(IF($AU143=100%,1,1+VLOOKUP(($AJ143-$AI143-$AH143-$AG143-$AF143-$AE143*(1+CS$3))/$AJ143,'Технический лист'!$I:$J,2,1)-VLOOKUP($AO143,'Технический лист'!$I:$J,2,1)),1+(1-$AU143))</f>
        <v/>
      </c>
      <c r="CT143" s="172">
        <f>MIN(IF($AU143=100%,1,1+VLOOKUP(($AJ143-$AI143-$AH143-$AG143-$AF143-$AE143*(1+CT$3))/$AJ143,'Технический лист'!$I:$J,2,1)-VLOOKUP($AO143,'Технический лист'!$I:$J,2,1)),1+(1-$AU143))</f>
        <v/>
      </c>
      <c r="CU143" s="172">
        <f>MIN(IF($AU143=100%,1,1+VLOOKUP(($AJ143-$AI143-$AH143-$AG143-$AF143-$AE143*(1+CU$3))/$AJ143,'Технический лист'!$I:$J,2,1)-VLOOKUP($AO143,'Технический лист'!$I:$J,2,1)),1+(1-$AU143))</f>
        <v/>
      </c>
      <c r="CV143" s="172">
        <f>MIN(IF($AU143=100%,1,1+VLOOKUP(($AJ143-$AI143-$AH143-$AG143-$AF143-$AE143*(1+CV$3))/$AJ143,'Технический лист'!$I:$J,2,1)-VLOOKUP($AO143,'Технический лист'!$I:$J,2,1)),1+(1-$AU143))</f>
        <v/>
      </c>
      <c r="CW143" s="172">
        <f>MIN(IF($AU143=100%,1,1+VLOOKUP(($AJ143-$AI143-$AH143-$AG143-$AF143-$AE143*(1+CW$3))/$AJ143,'Технический лист'!$I:$J,2,1)-VLOOKUP($AO143,'Технический лист'!$I:$J,2,1)),1+(1-$AU143))</f>
        <v/>
      </c>
      <c r="CX143" s="172">
        <f>MIN(IF($AU143=100%,1,1+VLOOKUP(($AJ143-$AI143-$AH143-$AG143-$AF143-$AE143*(1+CX$3))/$AJ143,'Технический лист'!$I:$J,2,1)-VLOOKUP($AO143,'Технический лист'!$I:$J,2,1)),1+(1-$AU143))</f>
        <v/>
      </c>
      <c r="CY143" s="172">
        <f>MIN(IF($AU143=100%,1,1+VLOOKUP(($AJ143-$AI143-$AH143-$AG143-$AF143-$AE143*(1+CY$3))/$AJ143,'Технический лист'!$I:$J,2,1)-VLOOKUP($AO143,'Технический лист'!$I:$J,2,1)),1+(1-$AU143))</f>
        <v/>
      </c>
      <c r="CZ143" s="172">
        <f>MIN(IF($AU143=100%,1,1+VLOOKUP(($AJ143-$AI143-$AH143-$AG143-$AF143-$AE143*(1+CZ$3))/$AJ143,'Технический лист'!$I:$J,2,1)-VLOOKUP($AO143,'Технический лист'!$I:$J,2,1)),1+(1-$AU143))</f>
        <v/>
      </c>
      <c r="DA143" s="172">
        <f>MIN(IF($AU143=100%,1,1+VLOOKUP(($AJ143-$AI143-$AH143-$AG143-$AF143-$AE143*(1+DA$3))/$AJ143,'Технический лист'!$I:$J,2,1)-VLOOKUP($AO143,'Технический лист'!$I:$J,2,1)),1+(1-$AU143))</f>
        <v/>
      </c>
      <c r="DB143" s="172">
        <f>MIN(IF($AU143=100%,1,1+VLOOKUP(($AJ143-$AI143-$AH143-$AG143-$AF143-$AE143*(1+DB$3))/$AJ143,'Технический лист'!$I:$J,2,1)-VLOOKUP($AO143,'Технический лист'!$I:$J,2,1)),1+(1-$AU143))</f>
        <v/>
      </c>
      <c r="DC143" s="172">
        <f>MIN(IF($AU143=100%,1,1+VLOOKUP(($AJ143-$AI143-$AH143-$AG143-$AF143-$AE143*(1+DC$3))/$AJ143,'Технический лист'!$I:$J,2,1)-VLOOKUP($AO143,'Технический лист'!$I:$J,2,1)),1+(1-$AU143))</f>
        <v/>
      </c>
      <c r="DD143" s="172">
        <f>MIN(IF($AU143=100%,1,1+VLOOKUP(($AJ143-$AI143-$AH143-$AG143-$AF143-$AE143*(1+DD$3))/$AJ143,'Технический лист'!$I:$J,2,1)-VLOOKUP($AO143,'Технический лист'!$I:$J,2,1)),1+(1-$AU143))</f>
        <v/>
      </c>
      <c r="DE143" s="172">
        <f>MIN(IF($AU143=100%,1,1+VLOOKUP(($AJ143-$AI143-$AH143-$AG143-$AF143-$AE143*(1+DE$3))/$AJ143,'Технический лист'!$I:$J,2,1)-VLOOKUP($AO143,'Технический лист'!$I:$J,2,1)),1+(1-$AU143))</f>
        <v/>
      </c>
      <c r="DF143" s="172">
        <f>MIN(IF($AU143=100%,1,1+VLOOKUP(($AJ143-$AI143-$AH143-$AG143-$AF143-$AE143*(1+DF$3))/$AJ143,'Технический лист'!$I:$J,2,1)-VLOOKUP($AO143,'Технический лист'!$I:$J,2,1)),1+(1-$AU143))</f>
        <v/>
      </c>
      <c r="DG143" s="172">
        <f>MIN(IF($AU143=100%,1,1+VLOOKUP(($AJ143-$AI143-$AH143-$AG143-$AF143-$AE143*(1+DG$3))/$AJ143,'Технический лист'!$I:$J,2,1)-VLOOKUP($AO143,'Технический лист'!$I:$J,2,1)),1+(1-$AU143))</f>
        <v/>
      </c>
      <c r="DH143" s="172">
        <f>MIN(IF($AU143=100%,1,1+VLOOKUP(($AJ143-$AI143-$AH143-$AG143-$AF143-$AE143*(1+DH$3))/$AJ143,'Технический лист'!$I:$J,2,1)-VLOOKUP($AO143,'Технический лист'!$I:$J,2,1)),1+(1-$AU143))</f>
        <v/>
      </c>
      <c r="DI143" s="172">
        <f>MIN(IF($AU143=100%,1,1+VLOOKUP(($AJ143-$AI143-$AH143-$AG143-$AF143-$AE143*(1+DI$3))/$AJ143,'Технический лист'!$I:$J,2,1)-VLOOKUP($AO143,'Технический лист'!$I:$J,2,1)),1+(1-$AU143))</f>
        <v/>
      </c>
      <c r="DJ143" s="172">
        <f>MIN(IF($AU143=100%,1,1+VLOOKUP(($AJ143-$AI143-$AH143-$AG143-$AF143-$AE143*(1+DJ$3))/$AJ143,'Технический лист'!$I:$J,2,1)-VLOOKUP($AO143,'Технический лист'!$I:$J,2,1)),1+(1-$AU143))</f>
        <v/>
      </c>
      <c r="DK143" s="172">
        <f>MIN(IF($AU143=100%,1,1+VLOOKUP(($AJ143-$AI143-$AH143-$AG143-$AF143-$AE143*(1+DK$3))/$AJ143,'Технический лист'!$I:$J,2,1)-VLOOKUP($AO143,'Технический лист'!$I:$J,2,1)),1+(1-$AU143))</f>
        <v/>
      </c>
      <c r="DL143" s="172">
        <f>MIN(IF($AU143=100%,1,1+VLOOKUP(($AJ143-$AI143-$AH143-$AG143-$AF143-$AE143*(1+DL$3))/$AJ143,'Технический лист'!$I:$J,2,1)-VLOOKUP($AO143,'Технический лист'!$I:$J,2,1)),1+(1-$AU143))</f>
        <v/>
      </c>
      <c r="DM143" s="172">
        <f>MIN(IF($AU143=100%,1,1+VLOOKUP(($AJ143-$AI143-$AH143-$AG143-$AF143-$AE143*(1+DM$3))/$AJ143,'Технический лист'!$I:$J,2,1)-VLOOKUP($AO143,'Технический лист'!$I:$J,2,1)),1+(1-$AU143))</f>
        <v/>
      </c>
      <c r="DN143" s="172">
        <f>MIN(IF($AU143=100%,1,1+VLOOKUP(($AJ143-$AI143-$AH143-$AG143-$AF143-$AE143*(1+DN$3))/$AJ143,'Технический лист'!$I:$J,2,1)-VLOOKUP($AO143,'Технический лист'!$I:$J,2,1)),1+(1-$AU143))</f>
        <v/>
      </c>
      <c r="DO143" s="172">
        <f>MIN(IF($AU143=100%,1,1+VLOOKUP(($AJ143-$AI143-$AH143-$AG143-$AF143-$AE143*(1+DO$3))/$AJ143,'Технический лист'!$I:$J,2,1)-VLOOKUP($AO143,'Технический лист'!$I:$J,2,1)),1+(1-$AU143))</f>
        <v/>
      </c>
      <c r="DP143" s="172">
        <f>MIN(IF($AU143=100%,1,1+VLOOKUP(($AJ143-$AI143-$AH143-$AG143-$AF143-$AE143*(1+DP$3))/$AJ143,'Технический лист'!$I:$J,2,1)-VLOOKUP($AO143,'Технический лист'!$I:$J,2,1)),1+(1-$AU143))</f>
        <v/>
      </c>
      <c r="DQ143" s="172">
        <f>MIN(IF($AU143=100%,1,1+VLOOKUP(($AJ143-$AI143-$AH143-$AG143-$AF143-$AE143*(1+DQ$3))/$AJ143,'Технический лист'!$I:$J,2,1)-VLOOKUP($AO143,'Технический лист'!$I:$J,2,1)),1+(1-$AU143))</f>
        <v/>
      </c>
      <c r="DR143" s="172">
        <f>MIN(IF($AU143=100%,1,1+VLOOKUP(($AJ143-$AI143-$AH143-$AG143-$AF143-$AE143*(1+DR$3))/$AJ143,'Технический лист'!$I:$J,2,1)-VLOOKUP($AO143,'Технический лист'!$I:$J,2,1)),1+(1-$AU143))</f>
        <v/>
      </c>
      <c r="DS143" s="172">
        <f>MIN(IF($AU143=100%,1,1+VLOOKUP(($AJ143-$AI143-$AH143-$AG143-$AF143-$AE143*(1+DS$3))/$AJ143,'Технический лист'!$I:$J,2,1)-VLOOKUP($AO143,'Технический лист'!$I:$J,2,1)),1+(1-$AU143))</f>
        <v/>
      </c>
      <c r="DT143" s="172">
        <f>MIN(IF($AU143=100%,1,1+VLOOKUP(($AJ143-$AI143-$AH143-$AG143-$AF143-$AE143*(1+DT$3))/$AJ143,'Технический лист'!$I:$J,2,1)-VLOOKUP($AO143,'Технический лист'!$I:$J,2,1)),1+(1-$AU143))</f>
        <v/>
      </c>
      <c r="DU143" s="172">
        <f>MIN(IF($AU143=100%,1,1+VLOOKUP(($AJ143-$AI143-$AH143-$AG143-$AF143-$AE143*(1+DU$3))/$AJ143,'Технический лист'!$I:$J,2,1)-VLOOKUP($AO143,'Технический лист'!$I:$J,2,1)),1+(1-$AU143))</f>
        <v/>
      </c>
      <c r="DV143" s="172">
        <f>MIN(IF($AU143=100%,1,1+VLOOKUP(($AJ143-$AI143-$AH143-$AG143-$AF143-$AE143*(1+DV$3))/$AJ143,'Технический лист'!$I:$J,2,1)-VLOOKUP($AO143,'Технический лист'!$I:$J,2,1)),1+(1-$AU143))</f>
        <v/>
      </c>
      <c r="DW143" s="172">
        <f>MIN(IF($AU143=100%,1,1+VLOOKUP(($AJ143-$AI143-$AH143-$AG143-$AF143-$AE143*(1+DW$3))/$AJ143,'Технический лист'!$I:$J,2,1)-VLOOKUP($AO143,'Технический лист'!$I:$J,2,1)),1+(1-$AU143))</f>
        <v/>
      </c>
      <c r="DX143" s="172">
        <f>MIN(IF($AU143=100%,1,1+VLOOKUP(($AJ143-$AI143-$AH143-$AG143-$AF143-$AE143*(1+DX$3))/$AJ143,'Технический лист'!$I:$J,2,1)-VLOOKUP($AO143,'Технический лист'!$I:$J,2,1)),1+(1-$AU143))</f>
        <v/>
      </c>
      <c r="DY143" s="172">
        <f>MIN(IF($AU143=100%,1,1+VLOOKUP(($AJ143-$AI143-$AH143-$AG143-$AF143-$AE143*(1+DY$3))/$AJ143,'Технический лист'!$I:$J,2,1)-VLOOKUP($AO143,'Технический лист'!$I:$J,2,1)),1+(1-$AU143))</f>
        <v/>
      </c>
      <c r="DZ143" s="172">
        <f>MIN(IF($AU143=100%,1,1+VLOOKUP(($AJ143-$AI143-$AH143-$AG143-$AF143-$AE143*(1+DZ$3))/$AJ143,'Технический лист'!$I:$J,2,1)-VLOOKUP($AO143,'Технический лист'!$I:$J,2,1)),1+(1-$AU143))</f>
        <v/>
      </c>
      <c r="EA143" s="172">
        <f>MIN(IF($AU143=100%,1,1+VLOOKUP(($AJ143-$AI143-$AH143-$AG143-$AF143-$AE143*(1+EA$3))/$AJ143,'Технический лист'!$I:$J,2,1)-VLOOKUP($AO143,'Технический лист'!$I:$J,2,1)),1+(1-$AU143))</f>
        <v/>
      </c>
      <c r="EB143" s="172">
        <f>MIN(IF($AU143=100%,1,1+VLOOKUP(($AJ143-$AI143-$AH143-$AG143-$AF143-$AE143*(1+EB$3))/$AJ143,'Технический лист'!$I:$J,2,1)-VLOOKUP($AO143,'Технический лист'!$I:$J,2,1)),1+(1-$AU143))</f>
        <v/>
      </c>
      <c r="EC143" s="172">
        <f>MIN(IF($AU143=100%,1,1+VLOOKUP(($AJ143-$AI143-$AH143-$AG143-$AF143-$AE143*(1+EC$3))/$AJ143,'Технический лист'!$I:$J,2,1)-VLOOKUP($AO143,'Технический лист'!$I:$J,2,1)),1+(1-$AU143))</f>
        <v/>
      </c>
      <c r="ED143" s="172">
        <f>MIN(IF($AU143=100%,1,1+VLOOKUP(($AJ143-$AI143-$AH143-$AG143-$AF143-$AE143*(1+ED$3))/$AJ143,'Технический лист'!$I:$J,2,1)-VLOOKUP($AO143,'Технический лист'!$I:$J,2,1)),1+(1-$AU143))</f>
        <v/>
      </c>
      <c r="EE143" s="172">
        <f>MIN(IF($AU143=100%,1,1+VLOOKUP(($AJ143-$AI143-$AH143-$AG143-$AF143-$AE143*(1+EE$3))/$AJ143,'Технический лист'!$I:$J,2,1)-VLOOKUP($AO143,'Технический лист'!$I:$J,2,1)),1+(1-$AU143))</f>
        <v/>
      </c>
      <c r="EF143" s="172">
        <f>MIN(IF($AU143=100%,1,1+VLOOKUP(($AJ143-$AI143-$AH143-$AG143-$AF143-$AE143*(1+EF$3))/$AJ143,'Технический лист'!$I:$J,2,1)-VLOOKUP($AO143,'Технический лист'!$I:$J,2,1)),1+(1-$AU143))</f>
        <v/>
      </c>
      <c r="EG143" s="172">
        <f>MIN(IF($AU143=100%,1,1+VLOOKUP(($AJ143-$AI143-$AH143-$AG143-$AF143-$AE143*(1+EG$3))/$AJ143,'Технический лист'!$I:$J,2,1)-VLOOKUP($AO143,'Технический лист'!$I:$J,2,1)),1+(1-$AU143))</f>
        <v/>
      </c>
      <c r="EH143" s="172">
        <f>MIN(IF($AU143=100%,1,1+VLOOKUP(($AJ143-$AI143-$AH143-$AG143-$AF143-$AE143*(1+EH$3))/$AJ143,'Технический лист'!$I:$J,2,1)-VLOOKUP($AO143,'Технический лист'!$I:$J,2,1)),1+(1-$AU143))</f>
        <v/>
      </c>
      <c r="EI143" s="172">
        <f>MIN(IF($AU143=100%,1,1+VLOOKUP(($AJ143-$AI143-$AH143-$AG143-$AF143-$AE143*(1+EI$3))/$AJ143,'Технический лист'!$I:$J,2,1)-VLOOKUP($AO143,'Технический лист'!$I:$J,2,1)),1+(1-$AU143))</f>
        <v/>
      </c>
      <c r="EJ143" s="172">
        <f>MIN(IF($AU143=100%,1,1+VLOOKUP(($AJ143-$AI143-$AH143-$AG143-$AF143-$AE143*(1+EJ$3))/$AJ143,'Технический лист'!$I:$J,2,1)-VLOOKUP($AO143,'Технический лист'!$I:$J,2,1)),1+(1-$AU143))</f>
        <v/>
      </c>
      <c r="EK143" s="172">
        <f>MIN(IF($AU143=100%,1,1+VLOOKUP(($AJ143-$AI143-$AH143-$AG143-$AF143-$AE143*(1+EK$3))/$AJ143,'Технический лист'!$I:$J,2,1)-VLOOKUP($AO143,'Технический лист'!$I:$J,2,1)),1+(1-$AU143))</f>
        <v/>
      </c>
      <c r="EL143" s="172">
        <f>MIN(IF($AU143=100%,1,1+VLOOKUP(($AJ143-$AI143-$AH143-$AG143-$AF143-$AE143*(1+EL$3))/$AJ143,'Технический лист'!$I:$J,2,1)-VLOOKUP($AO143,'Технический лист'!$I:$J,2,1)),1+(1-$AU143))</f>
        <v/>
      </c>
      <c r="EM143" s="172">
        <f>MIN(IF($AU143=100%,1,1+VLOOKUP(($AJ143-$AI143-$AH143-$AG143-$AF143-$AE143*(1+EM$3))/$AJ143,'Технический лист'!$I:$J,2,1)-VLOOKUP($AO143,'Технический лист'!$I:$J,2,1)),1+(1-$AU143))</f>
        <v/>
      </c>
      <c r="EN143" s="172">
        <f>MIN(IF($AU143=100%,1,1+VLOOKUP(($AJ143-$AI143-$AH143-$AG143-$AF143-$AE143*(1+EN$3))/$AJ143,'Технический лист'!$I:$J,2,1)-VLOOKUP($AO143,'Технический лист'!$I:$J,2,1)),1+(1-$AU143))</f>
        <v/>
      </c>
      <c r="EO143" s="172">
        <f>MIN(IF($AU143=100%,1,1+VLOOKUP(($AJ143-$AI143-$AH143-$AG143-$AF143-$AE143*(1+EO$3))/$AJ143,'Технический лист'!$I:$J,2,1)-VLOOKUP($AO143,'Технический лист'!$I:$J,2,1)),1+(1-$AU143))</f>
        <v/>
      </c>
      <c r="EP143" s="172">
        <f>MIN(IF($AU143=100%,1,1+VLOOKUP(($AJ143-$AI143-$AH143-$AG143-$AF143-$AE143*(1+EP$3))/$AJ143,'Технический лист'!$I:$J,2,1)-VLOOKUP($AO143,'Технический лист'!$I:$J,2,1)),1+(1-$AU143))</f>
        <v/>
      </c>
      <c r="EQ143" s="172">
        <f>MIN(IF($AU143=100%,1,1+VLOOKUP(($AJ143-$AI143-$AH143-$AG143-$AF143-$AE143*(1+EQ$3))/$AJ143,'Технический лист'!$I:$J,2,1)-VLOOKUP($AO143,'Технический лист'!$I:$J,2,1)),1+(1-$AU143))</f>
        <v/>
      </c>
      <c r="ER143" s="172">
        <f>MIN(IF($AU143=100%,1,1+VLOOKUP(($AJ143-$AI143-$AH143-$AG143-$AF143-$AE143*(1+ER$3))/$AJ143,'Технический лист'!$I:$J,2,1)-VLOOKUP($AO143,'Технический лист'!$I:$J,2,1)),1+(1-$AU143))</f>
        <v/>
      </c>
      <c r="ES143" s="172">
        <f>MIN(IF($AU143=100%,1,1+VLOOKUP(($AJ143-$AI143-$AH143-$AG143-$AF143-$AE143*(1+ES$3))/$AJ143,'Технический лист'!$I:$J,2,1)-VLOOKUP($AO143,'Технический лист'!$I:$J,2,1)),1+(1-$AU143))</f>
        <v/>
      </c>
      <c r="ET143" s="172">
        <f>MIN(IF($AU143=100%,1,1+VLOOKUP(($AJ143-$AI143-$AH143-$AG143-$AF143-$AE143*(1+ET$3))/$AJ143,'Технический лист'!$I:$J,2,1)-VLOOKUP($AO143,'Технический лист'!$I:$J,2,1)),1+(1-$AU143))</f>
        <v/>
      </c>
      <c r="EU143" s="172">
        <f>MIN(IF($AU143=100%,1,1+VLOOKUP(($AJ143-$AI143-$AH143-$AG143-$AF143-$AE143*(1+EU$3))/$AJ143,'Технический лист'!$I:$J,2,1)-VLOOKUP($AO143,'Технический лист'!$I:$J,2,1)),1+(1-$AU143))</f>
        <v/>
      </c>
      <c r="EV143" s="173" t="n">
        <v>1</v>
      </c>
      <c r="EW143" s="172">
        <f>MIN(1,MAX(VLOOKUP(($AJ143-$AI143-$AH143-$AG143-$AF143-$AE143*(1+EW$3))/$AJ143,'Технический лист'!$A:$B,2,1),(EV143-0.05)))</f>
        <v/>
      </c>
      <c r="EX143" s="172">
        <f>MIN(1,MAX(VLOOKUP(($AJ143-$AI143-$AH143-$AG143-$AF143-$AE143*(1+EX$3))/$AJ143,'Технический лист'!$A:$B,2,1),(EW143-0.05)))</f>
        <v/>
      </c>
      <c r="EY143" s="172">
        <f>MIN(1,MAX(VLOOKUP(($AJ143-$AI143-$AH143-$AG143-$AF143-$AE143*(1+EY$3))/$AJ143,'Технический лист'!$A:$B,2,1),(EX143-0.05)))</f>
        <v/>
      </c>
      <c r="EZ143" s="172">
        <f>MIN(1,MAX(VLOOKUP(($AJ143-$AI143-$AH143-$AG143-$AF143-$AE143*(1+EZ$3))/$AJ143,'Технический лист'!$A:$B,2,1),(EY143-0.05)))</f>
        <v/>
      </c>
      <c r="FA143" s="172">
        <f>MIN(1,MAX(VLOOKUP(($AJ143-$AI143-$AH143-$AG143-$AF143-$AE143*(1+FA$3))/$AJ143,'Технический лист'!$A:$B,2,1),(EZ143-0.05)))</f>
        <v/>
      </c>
      <c r="FB143" s="172">
        <f>MIN(1,MAX(VLOOKUP(($AJ143-$AI143-$AH143-$AG143-$AF143-$AE143*(1+FB$3))/$AJ143,'Технический лист'!$A:$B,2,1),(FA143-0.05)))</f>
        <v/>
      </c>
      <c r="FC143" s="172">
        <f>MIN(1,MAX(VLOOKUP(($AJ143-$AI143-$AH143-$AG143-$AF143-$AE143*(1+FC$3))/$AJ143,'Технический лист'!$A:$B,2,1),(FB143-0.05)))</f>
        <v/>
      </c>
      <c r="FD143" s="172">
        <f>MIN(1,MAX(VLOOKUP(($AJ143-$AI143-$AH143-$AG143-$AF143-$AE143*(1+FD$3))/$AJ143,'Технический лист'!$A:$B,2,1),(FC143-0.05)))</f>
        <v/>
      </c>
      <c r="FE143" s="172">
        <f>MIN(1,MAX(VLOOKUP(($AJ143-$AI143-$AH143-$AG143-$AF143-$AE143*(1+FE$3))/$AJ143,'Технический лист'!$A:$B,2,1),(FD143-0.05)))</f>
        <v/>
      </c>
      <c r="FF143" s="172">
        <f>MIN(1,MAX(VLOOKUP(($AJ143-$AI143-$AH143-$AG143-$AF143-$AE143*(1+FF$3))/$AJ143,'Технический лист'!$A:$B,2,1),(FE143-0.05)))</f>
        <v/>
      </c>
      <c r="FG143" s="172">
        <f>MIN(1,MAX(VLOOKUP(($AJ143-$AI143-$AH143-$AG143-$AF143-$AE143*(1+FG$3))/$AJ143,'Технический лист'!$A:$B,2,1),(FF143-0.05)))</f>
        <v/>
      </c>
      <c r="FH143" s="172">
        <f>MIN(1,MAX(VLOOKUP(($AJ143-$AI143-$AH143-$AG143-$AF143-$AE143*(1+FH$3))/$AJ143,'Технический лист'!$A:$B,2,1),(FG143-0.05)))</f>
        <v/>
      </c>
      <c r="FI143" s="172">
        <f>MIN(1,MAX(VLOOKUP(($AJ143-$AI143-$AH143-$AG143-$AF143-$AE143*(1+FI$3))/$AJ143,'Технический лист'!$A:$B,2,1),(FH143-0.05)))</f>
        <v/>
      </c>
      <c r="FJ143" s="172">
        <f>MIN(1,MAX(VLOOKUP(($AJ143-$AI143-$AH143-$AG143-$AF143-$AE143*(1+FJ$3))/$AJ143,'Технический лист'!$A:$B,2,1),(FI143-0.05)))</f>
        <v/>
      </c>
      <c r="FK143" s="172">
        <f>MIN(1,MAX(VLOOKUP(($AJ143-$AI143-$AH143-$AG143-$AF143-$AE143*(1+FK$3))/$AJ143,'Технический лист'!$A:$B,2,1),(FJ143-0.05)))</f>
        <v/>
      </c>
      <c r="FL143" s="172">
        <f>MIN(1,MAX(VLOOKUP(($AJ143-$AI143-$AH143-$AG143-$AF143-$AE143*(1+FL$3))/$AJ143,'Технический лист'!$A:$B,2,1),(FK143-0.05)))</f>
        <v/>
      </c>
      <c r="FM143" s="172">
        <f>MIN(1,MAX(VLOOKUP(($AJ143-$AI143-$AH143-$AG143-$AF143-$AE143*(1+FM$3))/$AJ143,'Технический лист'!$A:$B,2,1),(FL143-0.05)))</f>
        <v/>
      </c>
      <c r="FN143" s="172">
        <f>MIN(1,MAX(VLOOKUP(($AJ143-$AI143-$AH143-$AG143-$AF143-$AE143*(1+FN$3))/$AJ143,'Технический лист'!$A:$B,2,1),(FM143-0.05)))</f>
        <v/>
      </c>
      <c r="FO143" s="172">
        <f>MIN(1,MAX(VLOOKUP(($AJ143-$AI143-$AH143-$AG143-$AF143-$AE143*(1+FO$3))/$AJ143,'Технический лист'!$A:$B,2,1),(FN143-0.05)))</f>
        <v/>
      </c>
      <c r="FP143" s="172">
        <f>MIN(1,MAX(VLOOKUP(($AJ143-$AI143-$AH143-$AG143-$AF143-$AE143*(1+FP$3))/$AJ143,'Технический лист'!$A:$B,2,1),(FO143-0.05)))</f>
        <v/>
      </c>
      <c r="FQ143" s="172">
        <f>MIN(1,MAX(VLOOKUP(($AJ143-$AI143-$AH143-$AG143-$AF143-$AE143*(1+FQ$3))/$AJ143,'Технический лист'!$A:$B,2,1),(FP143-0.05)))</f>
        <v/>
      </c>
      <c r="FR143" s="172">
        <f>MIN(1,MAX(VLOOKUP(($AJ143-$AI143-$AH143-$AG143-$AF143-$AE143*(1+FR$3))/$AJ143,'Технический лист'!$A:$B,2,1),(FQ143-0.05)))</f>
        <v/>
      </c>
      <c r="FS143" s="172">
        <f>MIN(1,MAX(VLOOKUP(($AJ143-$AI143-$AH143-$AG143-$AF143-$AE143*(1+FS$3))/$AJ143,'Технический лист'!$A:$B,2,1),(FR143-0.05)))</f>
        <v/>
      </c>
      <c r="FT143" s="172">
        <f>MIN(1,MAX(VLOOKUP(($AJ143-$AI143-$AH143-$AG143-$AF143-$AE143*(1+FT$3))/$AJ143,'Технический лист'!$A:$B,2,1),(FS143-0.05)))</f>
        <v/>
      </c>
      <c r="FU143" s="172">
        <f>MIN(1,MAX(VLOOKUP(($AJ143-$AI143-$AH143-$AG143-$AF143-$AE143*(1+FU$3))/$AJ143,'Технический лист'!$A:$B,2,1),(FT143-0.05)))</f>
        <v/>
      </c>
      <c r="FV143" s="172">
        <f>MIN(1,MAX(VLOOKUP(($AJ143-$AI143-$AH143-$AG143-$AF143-$AE143*(1+FV$3))/$AJ143,'Технический лист'!$A:$B,2,1),(FU143-0.05)))</f>
        <v/>
      </c>
      <c r="FW143" s="172">
        <f>MIN(1,MAX(VLOOKUP(($AJ143-$AI143-$AH143-$AG143-$AF143-$AE143*(1+FW$3))/$AJ143,'Технический лист'!$A:$B,2,1),(FV143-0.05)))</f>
        <v/>
      </c>
      <c r="FX143" s="172">
        <f>MIN(1,MAX(VLOOKUP(($AJ143-$AI143-$AH143-$AG143-$AF143-$AE143*(1+FX$3))/$AJ143,'Технический лист'!$A:$B,2,1),(FW143-0.05)))</f>
        <v/>
      </c>
      <c r="FY143" s="172">
        <f>MIN(1,MAX(VLOOKUP(($AJ143-$AI143-$AH143-$AG143-$AF143-$AE143*(1+FY$3))/$AJ143,'Технический лист'!$A:$B,2,1),(FX143-0.05)))</f>
        <v/>
      </c>
      <c r="FZ143" s="172">
        <f>MIN(1,MAX(VLOOKUP(($AJ143-$AI143-$AH143-$AG143-$AF143-$AE143*(1+FZ$3))/$AJ143,'Технический лист'!$A:$B,2,1),(FY143-0.05)))</f>
        <v/>
      </c>
      <c r="GA143" s="172">
        <f>MIN(1,MAX(VLOOKUP(($AJ143-$AI143-$AH143-$AG143-$AF143-$AE143*(1+GA$3))/$AJ143,'Технический лист'!$A:$B,2,1),(FZ143-0.05)))</f>
        <v/>
      </c>
      <c r="GB143" s="172">
        <f>MIN(1,MAX(VLOOKUP(($AJ143-$AI143-$AH143-$AG143-$AF143-$AE143*(1+GB$3))/$AJ143,'Технический лист'!$A:$B,2,1),(GA143-0.05)))</f>
        <v/>
      </c>
      <c r="GC143" s="172">
        <f>MIN(1,MAX(VLOOKUP(($AJ143-$AI143-$AH143-$AG143-$AF143-$AE143*(1+GC$3))/$AJ143,'Технический лист'!$A:$B,2,1),(GB143-0.05)))</f>
        <v/>
      </c>
      <c r="GD143" s="172">
        <f>MIN(1,MAX(VLOOKUP(($AJ143-$AI143-$AH143-$AG143-$AF143-$AE143*(1+GD$3))/$AJ143,'Технический лист'!$A:$B,2,1),(GC143-0.05)))</f>
        <v/>
      </c>
      <c r="GE143" s="172">
        <f>MIN(1,MAX(VLOOKUP(($AJ143-$AI143-$AH143-$AG143-$AF143-$AE143*(1+GE$3))/$AJ143,'Технический лист'!$A:$B,2,1),(GD143-0.05)))</f>
        <v/>
      </c>
      <c r="GF143" s="172">
        <f>MIN(1,MAX(VLOOKUP(($AJ143-$AI143-$AH143-$AG143-$AF143-$AE143*(1+GF$3))/$AJ143,'Технический лист'!$A:$B,2,1),(GE143-0.05)))</f>
        <v/>
      </c>
      <c r="GG143" s="172">
        <f>MIN(1,MAX(VLOOKUP(($AJ143-$AI143-$AH143-$AG143-$AF143-$AE143*(1+GG$3))/$AJ143,'Технический лист'!$A:$B,2,1),(GF143-0.05)))</f>
        <v/>
      </c>
      <c r="GH143" s="172">
        <f>MIN(1,MAX(VLOOKUP(($AJ143-$AI143-$AH143-$AG143-$AF143-$AE143*(1+GH$3))/$AJ143,'Технический лист'!$A:$B,2,1),(GG143-0.05)))</f>
        <v/>
      </c>
      <c r="GI143" s="172">
        <f>MIN(1,MAX(VLOOKUP(($AJ143-$AI143-$AH143-$AG143-$AF143-$AE143*(1+GI$3))/$AJ143,'Технический лист'!$A:$B,2,1),(GH143-0.05)))</f>
        <v/>
      </c>
      <c r="GJ143" s="172">
        <f>MIN(1,MAX(VLOOKUP(($AJ143-$AI143-$AH143-$AG143-$AF143-$AE143*(1+GJ$3))/$AJ143,'Технический лист'!$A:$B,2,1),(GI143-0.05)))</f>
        <v/>
      </c>
      <c r="GK143" s="172">
        <f>MIN(1,MAX(VLOOKUP(($AJ143-$AI143-$AH143-$AG143-$AF143-$AE143*(1+GK$3))/$AJ143,'Технический лист'!$A:$B,2,1),(GJ143-0.05)))</f>
        <v/>
      </c>
      <c r="GL143" s="172">
        <f>MIN(1,MAX(VLOOKUP(($AJ143-$AI143-$AH143-$AG143-$AF143-$AE143*(1+GL$3))/$AJ143,'Технический лист'!$A:$B,2,1),(GK143-0.05)))</f>
        <v/>
      </c>
      <c r="GM143" s="172">
        <f>MIN(1,MAX(VLOOKUP(($AJ143-$AI143-$AH143-$AG143-$AF143-$AE143*(1+GM$3))/$AJ143,'Технический лист'!$A:$B,2,1),(GL143-0.05)))</f>
        <v/>
      </c>
      <c r="GN143" s="172">
        <f>MIN(1,MAX(VLOOKUP(($AJ143-$AI143-$AH143-$AG143-$AF143-$AE143*(1+GN$3))/$AJ143,'Технический лист'!$A:$B,2,1),(GM143-0.05)))</f>
        <v/>
      </c>
      <c r="GO143" s="172">
        <f>MIN(1,MAX(VLOOKUP(($AJ143-$AI143-$AH143-$AG143-$AF143-$AE143*(1+GO$3))/$AJ143,'Технический лист'!$A:$B,2,1),(GN143-0.05)))</f>
        <v/>
      </c>
      <c r="GP143" s="172">
        <f>MIN(1,MAX(VLOOKUP(($AJ143-$AI143-$AH143-$AG143-$AF143-$AE143*(1+GP$3))/$AJ143,'Технический лист'!$A:$B,2,1),(GO143-0.05)))</f>
        <v/>
      </c>
      <c r="GQ143" s="172">
        <f>MIN(1,MAX(VLOOKUP(($AJ143-$AI143-$AH143-$AG143-$AF143-$AE143*(1+GQ$3))/$AJ143,'Технический лист'!$A:$B,2,1),(GP143-0.05)))</f>
        <v/>
      </c>
      <c r="GR143" s="172">
        <f>MIN(1,MAX(VLOOKUP(($AJ143-$AI143-$AH143-$AG143-$AF143-$AE143*(1+GR$3))/$AJ143,'Технический лист'!$A:$B,2,1),(GQ143-0.05)))</f>
        <v/>
      </c>
      <c r="GS143" s="172">
        <f>MIN(1,MAX(VLOOKUP(($AJ143-$AI143-$AH143-$AG143-$AF143-$AE143*(1+GS$3))/$AJ143,'Технический лист'!$A:$B,2,1),(GR143-0.05)))</f>
        <v/>
      </c>
      <c r="GT143" s="172">
        <f>MIN(1,MAX(VLOOKUP(($AJ143-$AI143-$AH143-$AG143-$AF143-$AE143*(1+GT$3))/$AJ143,'Технический лист'!$A:$B,2,1),(GS143-0.05)))</f>
        <v/>
      </c>
      <c r="GU143" s="172">
        <f>MIN(1,MAX(VLOOKUP(($AJ143-$AI143-$AH143-$AG143-$AF143-$AE143*(1+GU$3))/$AJ143,'Технический лист'!$A:$B,2,1),(GT143-0.05)))</f>
        <v/>
      </c>
      <c r="GV143" s="172">
        <f>MIN(1,MAX(VLOOKUP(($AJ143-$AI143-$AH143-$AG143-$AF143-$AE143*(1+GV$3))/$AJ143,'Технический лист'!$A:$B,2,1),(GU143-0.05)))</f>
        <v/>
      </c>
      <c r="GW143" s="172">
        <f>MIN(1,MAX(VLOOKUP(($AJ143-$AI143-$AH143-$AG143-$AF143-$AE143*(1+GW$3))/$AJ143,'Технический лист'!$A:$B,2,1),(GV143-0.05)))</f>
        <v/>
      </c>
      <c r="GX143" s="172">
        <f>MIN(1,MAX(VLOOKUP(($AJ143-$AI143-$AH143-$AG143-$AF143-$AE143*(1+GX$3))/$AJ143,'Технический лист'!$A:$B,2,1),(GW143-0.05)))</f>
        <v/>
      </c>
      <c r="GY143" s="172">
        <f>MIN(1,MAX(VLOOKUP(($AJ143-$AI143-$AH143-$AG143-$AF143-$AE143*(1+GY$3))/$AJ143,'Технический лист'!$A:$B,2,1),(GX143-0.05)))</f>
        <v/>
      </c>
      <c r="GZ143" s="172">
        <f>MIN(1,MAX(VLOOKUP(($AJ143-$AI143-$AH143-$AG143-$AF143-$AE143*(1+GZ$3))/$AJ143,'Технический лист'!$A:$B,2,1),(GY143-0.05)))</f>
        <v/>
      </c>
      <c r="HA143" s="172">
        <f>MIN(1,MAX(VLOOKUP(($AJ143-$AI143-$AH143-$AG143-$AF143-$AE143*(1+HA$3))/$AJ143,'Технический лист'!$A:$B,2,1),(GZ143-0.05)))</f>
        <v/>
      </c>
      <c r="HB143" s="172">
        <f>MIN(1,MAX(VLOOKUP(($AJ143-$AI143-$AH143-$AG143-$AF143-$AE143*(1+HB$3))/$AJ143,'Технический лист'!$A:$B,2,1),(HA143-0.05)))</f>
        <v/>
      </c>
      <c r="HC143" s="172">
        <f>MIN(1,MAX(VLOOKUP(($AJ143-$AI143-$AH143-$AG143-$AF143-$AE143*(1+HC$3))/$AJ143,'Технический лист'!$A:$B,2,1),(HB143-0.05)))</f>
        <v/>
      </c>
      <c r="HD143" s="172">
        <f>MIN(1,MAX(VLOOKUP(($AJ143-$AI143-$AH143-$AG143-$AF143-$AE143*(1+HD$3))/$AJ143,'Технический лист'!$A:$B,2,1),(HC143-0.05)))</f>
        <v/>
      </c>
      <c r="HE143" s="172">
        <f>MIN(1,MAX(VLOOKUP(($AJ143-$AI143-$AH143-$AG143-$AF143-$AE143*(1+HE$3))/$AJ143,'Технический лист'!$A:$B,2,1),(HD143-0.05)))</f>
        <v/>
      </c>
      <c r="HF143" s="172">
        <f>MIN(1,MAX(VLOOKUP(($AJ143-$AI143-$AH143-$AG143-$AF143-$AE143*(1+HF$3))/$AJ143,'Технический лист'!$A:$B,2,1),(HE143-0.05)))</f>
        <v/>
      </c>
      <c r="HG143" s="172">
        <f>MIN(1,MAX(VLOOKUP(($AJ143-$AI143-$AH143-$AG143-$AF143-$AE143*(1+HG$3))/$AJ143,'Технический лист'!$A:$B,2,1),(HF143-0.05)))</f>
        <v/>
      </c>
      <c r="HH143" s="172">
        <f>MIN(1,MAX(VLOOKUP(($AJ143-$AI143-$AH143-$AG143-$AF143-$AE143*(1+HH$3))/$AJ143,'Технический лист'!$A:$B,2,1),(HG143-0.05)))</f>
        <v/>
      </c>
      <c r="HI143" s="172">
        <f>MIN(1,MAX(VLOOKUP(($AJ143-$AI143-$AH143-$AG143-$AF143-$AE143*(1+HI$3))/$AJ143,'Технический лист'!$A:$B,2,1),(HH143-0.05)))</f>
        <v/>
      </c>
      <c r="HJ143" s="172">
        <f>MIN(1,MAX(VLOOKUP(($AJ143-$AI143-$AH143-$AG143-$AF143-$AE143*(1+HJ$3))/$AJ143,'Технический лист'!$A:$B,2,1),(HI143-0.05)))</f>
        <v/>
      </c>
      <c r="HK143" s="172">
        <f>MIN(1,MAX(VLOOKUP(($AJ143-$AI143-$AH143-$AG143-$AF143-$AE143*(1+HK$3))/$AJ143,'Технический лист'!$A:$B,2,1),(HJ143-0.05)))</f>
        <v/>
      </c>
      <c r="HL143" s="172">
        <f>MIN(1,MAX(VLOOKUP(($AJ143-$AI143-$AH143-$AG143-$AF143-$AE143*(1+HL$3))/$AJ143,'Технический лист'!$A:$B,2,1),(HK143-0.05)))</f>
        <v/>
      </c>
      <c r="HM143" s="172">
        <f>MIN(1,MAX(VLOOKUP(($AJ143-$AI143-$AH143-$AG143-$AF143-$AE143*(1+HM$3))/$AJ143,'Технический лист'!$A:$B,2,1),(HL143-0.05)))</f>
        <v/>
      </c>
      <c r="HN143" s="172">
        <f>MIN(1,MAX(VLOOKUP(($AJ143-$AI143-$AH143-$AG143-$AF143-$AE143*(1+HN$3))/$AJ143,'Технический лист'!$A:$B,2,1),(HM143-0.05)))</f>
        <v/>
      </c>
      <c r="HO143" s="172">
        <f>MIN(1,MAX(VLOOKUP(($AJ143-$AI143-$AH143-$AG143-$AF143-$AE143*(1+HO$3))/$AJ143,'Технический лист'!$A:$B,2,1),(HN143-0.05)))</f>
        <v/>
      </c>
      <c r="HP143" s="172">
        <f>MIN(1,MAX(VLOOKUP(($AJ143-$AI143-$AH143-$AG143-$AF143-$AE143*(1+HP$3))/$AJ143,'Технический лист'!$A:$B,2,1),(HO143-0.05)))</f>
        <v/>
      </c>
      <c r="HQ143" s="172">
        <f>MIN(1,MAX(VLOOKUP(($AJ143-$AI143-$AH143-$AG143-$AF143-$AE143*(1+HQ$3))/$AJ143,'Технический лист'!$A:$B,2,1),(HP143-0.05)))</f>
        <v/>
      </c>
      <c r="HR143" s="172">
        <f>MIN(1,MAX(VLOOKUP(($AJ143-$AI143-$AH143-$AG143-$AF143-$AE143*(1+HR$3))/$AJ143,'Технический лист'!$A:$B,2,1),(HQ143-0.05)))</f>
        <v/>
      </c>
      <c r="HS143" s="172">
        <f>MIN(1,MAX(VLOOKUP(($AJ143-$AI143-$AH143-$AG143-$AF143-$AE143*(1+HS$3))/$AJ143,'Технический лист'!$A:$B,2,1),(HR143-0.05)))</f>
        <v/>
      </c>
      <c r="HT143" s="172">
        <f>MIN(1,MAX(VLOOKUP(($AJ143-$AI143-$AH143-$AG143-$AF143-$AE143*(1+HT$3))/$AJ143,'Технический лист'!$A:$B,2,1),(HS143-0.05)))</f>
        <v/>
      </c>
      <c r="HU143" s="172">
        <f>MIN(1,MAX(VLOOKUP(($AJ143-$AI143-$AH143-$AG143-$AF143-$AE143*(1+HU$3))/$AJ143,'Технический лист'!$A:$B,2,1),(HT143-0.05)))</f>
        <v/>
      </c>
      <c r="HV143" s="172">
        <f>MIN(1,MAX(VLOOKUP(($AJ143-$AI143-$AH143-$AG143-$AF143-$AE143*(1+HV$3))/$AJ143,'Технический лист'!$A:$B,2,1),(HU143-0.05)))</f>
        <v/>
      </c>
      <c r="HW143" s="172">
        <f>MIN(1,MAX(VLOOKUP(($AJ143-$AI143-$AH143-$AG143-$AF143-$AE143*(1+HW$3))/$AJ143,'Технический лист'!$A:$B,2,1),(HV143-0.05)))</f>
        <v/>
      </c>
      <c r="HX143" s="172">
        <f>MIN(1,MAX(VLOOKUP(($AJ143-$AI143-$AH143-$AG143-$AF143-$AE143*(1+HX$3))/$AJ143,'Технический лист'!$A:$B,2,1),(HW143-0.05)))</f>
        <v/>
      </c>
      <c r="HY143" s="172">
        <f>MIN(1,MAX(VLOOKUP(($AJ143-$AI143-$AH143-$AG143-$AF143-$AE143*(1+HY$3))/$AJ143,'Технический лист'!$A:$B,2,1),(HX143-0.05)))</f>
        <v/>
      </c>
      <c r="HZ143" s="172">
        <f>MIN(1,MAX(VLOOKUP(($AJ143-$AI143-$AH143-$AG143-$AF143-$AE143*(1+HZ$3))/$AJ143,'Технический лист'!$A:$B,2,1),(HY143-0.05)))</f>
        <v/>
      </c>
      <c r="IA143" s="172">
        <f>MIN(1,MAX(VLOOKUP(($AJ143-$AI143-$AH143-$AG143-$AF143-$AE143*(1+IA$3))/$AJ143,'Технический лист'!$A:$B,2,1),(HZ143-0.05)))</f>
        <v/>
      </c>
      <c r="IB143" s="172">
        <f>MIN(1,MAX(VLOOKUP(($AJ143-$AI143-$AH143-$AG143-$AF143-$AE143*(1+IB$3))/$AJ143,'Технический лист'!$A:$B,2,1),(IA143-0.05)))</f>
        <v/>
      </c>
      <c r="IC143" s="172">
        <f>MIN(1,MAX(VLOOKUP(($AJ143-$AI143-$AH143-$AG143-$AF143-$AE143*(1+IC$3))/$AJ143,'Технический лист'!$A:$B,2,1),(IB143-0.05)))</f>
        <v/>
      </c>
      <c r="ID143" s="172">
        <f>MIN(1,MAX(VLOOKUP(($AJ143-$AI143-$AH143-$AG143-$AF143-$AE143*(1+ID$3))/$AJ143,'Технический лист'!$A:$B,2,1),(IC143-0.05)))</f>
        <v/>
      </c>
      <c r="IE143" s="172">
        <f>MIN(1,MAX(VLOOKUP(($AJ143-$AI143-$AH143-$AG143-$AF143-$AE143*(1+IE$3))/$AJ143,'Технический лист'!$A:$B,2,1),(ID143-0.05)))</f>
        <v/>
      </c>
      <c r="IF143" s="172">
        <f>MIN(1,MAX(VLOOKUP(($AJ143-$AI143-$AH143-$AG143-$AF143-$AE143*(1+IF$3))/$AJ143,'Технический лист'!$A:$B,2,1),(IE143-0.05)))</f>
        <v/>
      </c>
      <c r="IG143" s="172">
        <f>MIN(1,MAX(VLOOKUP(($AJ143-$AI143-$AH143-$AG143-$AF143-$AE143*(1+IG$3))/$AJ143,'Технический лист'!$A:$B,2,1),(IF143-0.05)))</f>
        <v/>
      </c>
      <c r="IH143" s="172">
        <f>MIN(1,MAX(VLOOKUP(($AJ143-$AI143-$AH143-$AG143-$AF143-$AE143*(1+IH$3))/$AJ143,'Технический лист'!$A:$B,2,1),(IG143-0.05)))</f>
        <v/>
      </c>
      <c r="II143" s="172">
        <f>MIN(1,MAX(VLOOKUP(($AJ143-$AI143-$AH143-$AG143-$AF143-$AE143*(1+II$3))/$AJ143,'Технический лист'!$A:$B,2,1),(IH143-0.05)))</f>
        <v/>
      </c>
      <c r="IJ143" s="172">
        <f>MIN(1,MAX(VLOOKUP(($AJ143-$AI143-$AH143-$AG143-$AF143-$AE143*(1+IJ$3))/$AJ143,'Технический лист'!$A:$B,2,1),(II143-0.05)))</f>
        <v/>
      </c>
      <c r="IK143" s="172">
        <f>MIN(1,MAX(VLOOKUP(($AJ143-$AI143-$AH143-$AG143-$AF143-$AE143*(1+IK$3))/$AJ143,'Технический лист'!$A:$B,2,1),(IJ143-0.05)))</f>
        <v/>
      </c>
      <c r="IL143" s="172">
        <f>MIN(1,MAX(VLOOKUP(($AJ143-$AI143-$AH143-$AG143-$AF143-$AE143*(1+IL$3))/$AJ143,'Технический лист'!$A:$B,2,1),(IK143-0.05)))</f>
        <v/>
      </c>
      <c r="IM143" s="172">
        <f>MIN(1,MAX(VLOOKUP(($AJ143-$AI143-$AH143-$AG143-$AF143-$AE143*(1+IM$3))/$AJ143,'Технический лист'!$A:$B,2,1),(IL143-0.05)))</f>
        <v/>
      </c>
      <c r="IN143" s="172">
        <f>MIN(1,MAX(VLOOKUP(($AJ143-$AI143-$AH143-$AG143-$AF143-$AE143*(1+IN$3))/$AJ143,'Технический лист'!$A:$B,2,1),(IM143-0.05)))</f>
        <v/>
      </c>
      <c r="IO143" s="172">
        <f>MIN(1,MAX(VLOOKUP(($AJ143-$AI143-$AH143-$AG143-$AF143-$AE143*(1+IO$3))/$AJ143,'Технический лист'!$A:$B,2,1),(IN143-0.05)))</f>
        <v/>
      </c>
      <c r="IP143" s="172">
        <f>MIN(1,MAX(VLOOKUP(($AJ143-$AI143-$AH143-$AG143-$AF143-$AE143*(1+IP$3))/$AJ143,'Технический лист'!$A:$B,2,1),(IO143-0.05)))</f>
        <v/>
      </c>
      <c r="IQ143" s="172">
        <f>MIN(1,MAX(VLOOKUP(($AJ143-$AI143-$AH143-$AG143-$AF143-$AE143*(1+IQ$3))/$AJ143,'Технический лист'!$A:$B,2,1),(IP143-0.05)))</f>
        <v/>
      </c>
      <c r="IR143" s="172">
        <f>MIN(1,MAX(VLOOKUP(($AJ143-$AI143-$AH143-$AG143-$AF143-$AE143*(1+IR$3))/$AJ143,'Технический лист'!$A:$B,2,1),(IQ143-0.05)))</f>
        <v/>
      </c>
    </row>
    <row r="144" ht="43.75" customHeight="1" s="123">
      <c r="A144" s="89" t="inlineStr">
        <is>
          <t>ЧМ (продукция)</t>
        </is>
      </c>
      <c r="B144" s="90" t="n">
        <v>10</v>
      </c>
      <c r="C144" s="5" t="inlineStr">
        <is>
          <t>Остальные грузы</t>
        </is>
      </c>
      <c r="D144" s="91" t="n">
        <v>31607</v>
      </c>
      <c r="E144" s="91" t="inlineStr">
        <is>
          <t xml:space="preserve">Лом черных металлов, не поименованный в алфавите </t>
        </is>
      </c>
      <c r="F144" s="92" t="inlineStr">
        <is>
          <t>ЛОМ ЧЕРНЫХ МЕТАЛЛОВ</t>
        </is>
      </c>
      <c r="G144" s="91" t="inlineStr">
        <is>
          <t>СЕВ</t>
        </is>
      </c>
      <c r="H144" s="91" t="inlineStr">
        <is>
          <t>МСК</t>
        </is>
      </c>
      <c r="I144" s="91" t="inlineStr">
        <is>
          <t>ПРИВОЛЖЬЕ</t>
        </is>
      </c>
      <c r="J144" s="91" t="inlineStr">
        <is>
          <t>ВОРСИНО</t>
        </is>
      </c>
      <c r="K144" s="91" t="n">
        <v>442</v>
      </c>
      <c r="L144" s="91" t="inlineStr">
        <is>
          <t>Полувагоны</t>
        </is>
      </c>
      <c r="M144" s="91" t="inlineStr">
        <is>
          <t>Внутр. перевозки</t>
        </is>
      </c>
      <c r="N144" s="91" t="inlineStr">
        <is>
          <t>вагонная</t>
        </is>
      </c>
      <c r="O144" s="91" t="inlineStr">
        <is>
          <t xml:space="preserve">Северо-Западное </t>
        </is>
      </c>
      <c r="P144" s="89" t="inlineStr">
        <is>
          <t>'000073218675</t>
        </is>
      </c>
      <c r="Q144" s="91" t="inlineStr">
        <is>
          <t>ООО "УВМ СЕВЕР"</t>
        </is>
      </c>
      <c r="R144" s="91" t="inlineStr">
        <is>
          <t>ООО "УК"ПМХ"</t>
        </is>
      </c>
      <c r="S144" s="87" t="n">
        <v>32458</v>
      </c>
      <c r="T144" s="87" t="n">
        <v>14346662</v>
      </c>
      <c r="U144" s="88" t="n">
        <v>514</v>
      </c>
      <c r="V144" s="88" t="n">
        <v>0</v>
      </c>
      <c r="W144" s="87" t="n">
        <v>41585597</v>
      </c>
      <c r="X144" s="112" t="n">
        <v>62</v>
      </c>
      <c r="Y144" s="112" t="inlineStr">
        <is>
          <t>повагонная</t>
        </is>
      </c>
      <c r="Z144" s="113" t="n">
        <v>5</v>
      </c>
      <c r="AA144" s="113" t="n">
        <v>4</v>
      </c>
      <c r="AB144" s="113" t="n">
        <v>4</v>
      </c>
      <c r="AC144" s="161" t="n">
        <v>1545.27</v>
      </c>
      <c r="AD144" s="161">
        <f>AE144-AC144</f>
        <v/>
      </c>
      <c r="AE144" s="161" t="n">
        <v>1721.02</v>
      </c>
      <c r="AF144" s="162">
        <f>(Z144+AA144+AB144)*'Ставки аренды'!$B$3/X144</f>
        <v/>
      </c>
      <c r="AG144" s="164" t="n">
        <v>0</v>
      </c>
      <c r="AH144" s="164" t="n">
        <v>0</v>
      </c>
      <c r="AI144" s="165">
        <f>0.9*AJ144</f>
        <v/>
      </c>
      <c r="AJ144" s="166">
        <f>Цены!$D$10</f>
        <v/>
      </c>
      <c r="AK144" s="164">
        <f>AJ144/Цены!$B$1</f>
        <v/>
      </c>
      <c r="AL144" s="164">
        <f>AE144+AF144+AG144</f>
        <v/>
      </c>
      <c r="AM144" s="164">
        <f>AJ144-AL144</f>
        <v/>
      </c>
      <c r="AN144" s="164">
        <f>AI144+AH144+AG144+AF144+AE144</f>
        <v/>
      </c>
      <c r="AO144" s="167">
        <f>(AJ144-AN144)/AJ144</f>
        <v/>
      </c>
      <c r="AP144" s="168">
        <f>AL144/AJ144</f>
        <v/>
      </c>
      <c r="AQ144" s="168">
        <f>AE144/AJ144</f>
        <v/>
      </c>
      <c r="AR144" s="168">
        <f>AE144/AL144</f>
        <v/>
      </c>
      <c r="AS144" s="169" t="n">
        <v>1</v>
      </c>
      <c r="AT144" s="121">
        <f>S144*AS144</f>
        <v/>
      </c>
      <c r="AU144" s="83" t="n">
        <v>0.7</v>
      </c>
      <c r="AV144" s="170">
        <f>(AJ144-(AE144*(1+$IS$2)+AF144+AG144+AH144+AI144))/AJ144</f>
        <v/>
      </c>
      <c r="AW144" s="171">
        <f>(AE144*(1+$IS$2)+AF144+AG144)/AJ144</f>
        <v/>
      </c>
      <c r="AX144" s="171">
        <f>(AE144*(1+$IS$2))/AJ144</f>
        <v/>
      </c>
      <c r="AY144" s="171">
        <f>(AE144*(1+$IS$2))/(AE144*(1+$IS$2)+AF144+AG144)</f>
        <v/>
      </c>
      <c r="AZ144" s="172">
        <f>MIN(IF($AU144=100%,1,1+VLOOKUP(($AJ144-$AI144-$AH144-$AG144-$AF144-$AE144*(1+AZ$3))/$AJ144,'Технический лист'!$I:$J,2,1)-VLOOKUP($AO144,'Технический лист'!$I:$J,2,1)),1+(1-$AU144))</f>
        <v/>
      </c>
      <c r="BA144" s="172">
        <f>MIN(IF($AU144=100%,1,1+VLOOKUP(($AJ144-$AI144-$AH144-$AG144-$AF144-$AE144*(1+BA$3))/$AJ144,'Технический лист'!$I:$J,2,1)-VLOOKUP($AO144,'Технический лист'!$I:$J,2,1)),1+(1-$AU144))</f>
        <v/>
      </c>
      <c r="BB144" s="172">
        <f>MIN(IF($AU144=100%,1,1+VLOOKUP(($AJ144-$AI144-$AH144-$AG144-$AF144-$AE144*(1+BB$3))/$AJ144,'Технический лист'!$I:$J,2,1)-VLOOKUP($AO144,'Технический лист'!$I:$J,2,1)),1+(1-$AU144))</f>
        <v/>
      </c>
      <c r="BC144" s="172">
        <f>MIN(IF($AU144=100%,1,1+VLOOKUP(($AJ144-$AI144-$AH144-$AG144-$AF144-$AE144*(1+BC$3))/$AJ144,'Технический лист'!$I:$J,2,1)-VLOOKUP($AO144,'Технический лист'!$I:$J,2,1)),1+(1-$AU144))</f>
        <v/>
      </c>
      <c r="BD144" s="172">
        <f>MIN(IF($AU144=100%,1,1+VLOOKUP(($AJ144-$AI144-$AH144-$AG144-$AF144-$AE144*(1+BD$3))/$AJ144,'Технический лист'!$I:$J,2,1)-VLOOKUP($AO144,'Технический лист'!$I:$J,2,1)),1+(1-$AU144))</f>
        <v/>
      </c>
      <c r="BE144" s="172">
        <f>MIN(IF($AU144=100%,1,1+VLOOKUP(($AJ144-$AI144-$AH144-$AG144-$AF144-$AE144*(1+BE$3))/$AJ144,'Технический лист'!$I:$J,2,1)-VLOOKUP($AO144,'Технический лист'!$I:$J,2,1)),1+(1-$AU144))</f>
        <v/>
      </c>
      <c r="BF144" s="172">
        <f>MIN(IF($AU144=100%,1,1+VLOOKUP(($AJ144-$AI144-$AH144-$AG144-$AF144-$AE144*(1+BF$3))/$AJ144,'Технический лист'!$I:$J,2,1)-VLOOKUP($AO144,'Технический лист'!$I:$J,2,1)),1+(1-$AU144))</f>
        <v/>
      </c>
      <c r="BG144" s="172">
        <f>MIN(IF($AU144=100%,1,1+VLOOKUP(($AJ144-$AI144-$AH144-$AG144-$AF144-$AE144*(1+BG$3))/$AJ144,'Технический лист'!$I:$J,2,1)-VLOOKUP($AO144,'Технический лист'!$I:$J,2,1)),1+(1-$AU144))</f>
        <v/>
      </c>
      <c r="BH144" s="172">
        <f>MIN(IF($AU144=100%,1,1+VLOOKUP(($AJ144-$AI144-$AH144-$AG144-$AF144-$AE144*(1+BH$3))/$AJ144,'Технический лист'!$I:$J,2,1)-VLOOKUP($AO144,'Технический лист'!$I:$J,2,1)),1+(1-$AU144))</f>
        <v/>
      </c>
      <c r="BI144" s="172">
        <f>MIN(IF($AU144=100%,1,1+VLOOKUP(($AJ144-$AI144-$AH144-$AG144-$AF144-$AE144*(1+BI$3))/$AJ144,'Технический лист'!$I:$J,2,1)-VLOOKUP($AO144,'Технический лист'!$I:$J,2,1)),1+(1-$AU144))</f>
        <v/>
      </c>
      <c r="BJ144" s="172">
        <f>MIN(IF($AU144=100%,1,1+VLOOKUP(($AJ144-$AI144-$AH144-$AG144-$AF144-$AE144*(1+BJ$3))/$AJ144,'Технический лист'!$I:$J,2,1)-VLOOKUP($AO144,'Технический лист'!$I:$J,2,1)),1+(1-$AU144))</f>
        <v/>
      </c>
      <c r="BK144" s="172">
        <f>MIN(IF($AU144=100%,1,1+VLOOKUP(($AJ144-$AI144-$AH144-$AG144-$AF144-$AE144*(1+BK$3))/$AJ144,'Технический лист'!$I:$J,2,1)-VLOOKUP($AO144,'Технический лист'!$I:$J,2,1)),1+(1-$AU144))</f>
        <v/>
      </c>
      <c r="BL144" s="172">
        <f>MIN(IF($AU144=100%,1,1+VLOOKUP(($AJ144-$AI144-$AH144-$AG144-$AF144-$AE144*(1+BL$3))/$AJ144,'Технический лист'!$I:$J,2,1)-VLOOKUP($AO144,'Технический лист'!$I:$J,2,1)),1+(1-$AU144))</f>
        <v/>
      </c>
      <c r="BM144" s="172">
        <f>MIN(IF($AU144=100%,1,1+VLOOKUP(($AJ144-$AI144-$AH144-$AG144-$AF144-$AE144*(1+BM$3))/$AJ144,'Технический лист'!$I:$J,2,1)-VLOOKUP($AO144,'Технический лист'!$I:$J,2,1)),1+(1-$AU144))</f>
        <v/>
      </c>
      <c r="BN144" s="172">
        <f>MIN(IF($AU144=100%,1,1+VLOOKUP(($AJ144-$AI144-$AH144-$AG144-$AF144-$AE144*(1+BN$3))/$AJ144,'Технический лист'!$I:$J,2,1)-VLOOKUP($AO144,'Технический лист'!$I:$J,2,1)),1+(1-$AU144))</f>
        <v/>
      </c>
      <c r="BO144" s="172">
        <f>MIN(IF($AU144=100%,1,1+VLOOKUP(($AJ144-$AI144-$AH144-$AG144-$AF144-$AE144*(1+BO$3))/$AJ144,'Технический лист'!$I:$J,2,1)-VLOOKUP($AO144,'Технический лист'!$I:$J,2,1)),1+(1-$AU144))</f>
        <v/>
      </c>
      <c r="BP144" s="172">
        <f>MIN(IF($AU144=100%,1,1+VLOOKUP(($AJ144-$AI144-$AH144-$AG144-$AF144-$AE144*(1+BP$3))/$AJ144,'Технический лист'!$I:$J,2,1)-VLOOKUP($AO144,'Технический лист'!$I:$J,2,1)),1+(1-$AU144))</f>
        <v/>
      </c>
      <c r="BQ144" s="172">
        <f>MIN(IF($AU144=100%,1,1+VLOOKUP(($AJ144-$AI144-$AH144-$AG144-$AF144-$AE144*(1+BQ$3))/$AJ144,'Технический лист'!$I:$J,2,1)-VLOOKUP($AO144,'Технический лист'!$I:$J,2,1)),1+(1-$AU144))</f>
        <v/>
      </c>
      <c r="BR144" s="172">
        <f>MIN(IF($AU144=100%,1,1+VLOOKUP(($AJ144-$AI144-$AH144-$AG144-$AF144-$AE144*(1+BR$3))/$AJ144,'Технический лист'!$I:$J,2,1)-VLOOKUP($AO144,'Технический лист'!$I:$J,2,1)),1+(1-$AU144))</f>
        <v/>
      </c>
      <c r="BS144" s="172">
        <f>MIN(IF($AU144=100%,1,1+VLOOKUP(($AJ144-$AI144-$AH144-$AG144-$AF144-$AE144*(1+BS$3))/$AJ144,'Технический лист'!$I:$J,2,1)-VLOOKUP($AO144,'Технический лист'!$I:$J,2,1)),1+(1-$AU144))</f>
        <v/>
      </c>
      <c r="BT144" s="172">
        <f>MIN(IF($AU144=100%,1,1+VLOOKUP(($AJ144-$AI144-$AH144-$AG144-$AF144-$AE144*(1+BT$3))/$AJ144,'Технический лист'!$I:$J,2,1)-VLOOKUP($AO144,'Технический лист'!$I:$J,2,1)),1+(1-$AU144))</f>
        <v/>
      </c>
      <c r="BU144" s="172">
        <f>MIN(IF($AU144=100%,1,1+VLOOKUP(($AJ144-$AI144-$AH144-$AG144-$AF144-$AE144*(1+BU$3))/$AJ144,'Технический лист'!$I:$J,2,1)-VLOOKUP($AO144,'Технический лист'!$I:$J,2,1)),1+(1-$AU144))</f>
        <v/>
      </c>
      <c r="BV144" s="172">
        <f>MIN(IF($AU144=100%,1,1+VLOOKUP(($AJ144-$AI144-$AH144-$AG144-$AF144-$AE144*(1+BV$3))/$AJ144,'Технический лист'!$I:$J,2,1)-VLOOKUP($AO144,'Технический лист'!$I:$J,2,1)),1+(1-$AU144))</f>
        <v/>
      </c>
      <c r="BW144" s="172">
        <f>MIN(IF($AU144=100%,1,1+VLOOKUP(($AJ144-$AI144-$AH144-$AG144-$AF144-$AE144*(1+BW$3))/$AJ144,'Технический лист'!$I:$J,2,1)-VLOOKUP($AO144,'Технический лист'!$I:$J,2,1)),1+(1-$AU144))</f>
        <v/>
      </c>
      <c r="BX144" s="172">
        <f>MIN(IF($AU144=100%,1,1+VLOOKUP(($AJ144-$AI144-$AH144-$AG144-$AF144-$AE144*(1+BX$3))/$AJ144,'Технический лист'!$I:$J,2,1)-VLOOKUP($AO144,'Технический лист'!$I:$J,2,1)),1+(1-$AU144))</f>
        <v/>
      </c>
      <c r="BY144" s="172">
        <f>MIN(IF($AU144=100%,1,1+VLOOKUP(($AJ144-$AI144-$AH144-$AG144-$AF144-$AE144*(1+BY$3))/$AJ144,'Технический лист'!$I:$J,2,1)-VLOOKUP($AO144,'Технический лист'!$I:$J,2,1)),1+(1-$AU144))</f>
        <v/>
      </c>
      <c r="BZ144" s="172">
        <f>MIN(IF($AU144=100%,1,1+VLOOKUP(($AJ144-$AI144-$AH144-$AG144-$AF144-$AE144*(1+BZ$3))/$AJ144,'Технический лист'!$I:$J,2,1)-VLOOKUP($AO144,'Технический лист'!$I:$J,2,1)),1+(1-$AU144))</f>
        <v/>
      </c>
      <c r="CA144" s="172">
        <f>MIN(IF($AU144=100%,1,1+VLOOKUP(($AJ144-$AI144-$AH144-$AG144-$AF144-$AE144*(1+CA$3))/$AJ144,'Технический лист'!$I:$J,2,1)-VLOOKUP($AO144,'Технический лист'!$I:$J,2,1)),1+(1-$AU144))</f>
        <v/>
      </c>
      <c r="CB144" s="172">
        <f>MIN(IF($AU144=100%,1,1+VLOOKUP(($AJ144-$AI144-$AH144-$AG144-$AF144-$AE144*(1+CB$3))/$AJ144,'Технический лист'!$I:$J,2,1)-VLOOKUP($AO144,'Технический лист'!$I:$J,2,1)),1+(1-$AU144))</f>
        <v/>
      </c>
      <c r="CC144" s="172">
        <f>MIN(IF($AU144=100%,1,1+VLOOKUP(($AJ144-$AI144-$AH144-$AG144-$AF144-$AE144*(1+CC$3))/$AJ144,'Технический лист'!$I:$J,2,1)-VLOOKUP($AO144,'Технический лист'!$I:$J,2,1)),1+(1-$AU144))</f>
        <v/>
      </c>
      <c r="CD144" s="172">
        <f>MIN(IF($AU144=100%,1,1+VLOOKUP(($AJ144-$AI144-$AH144-$AG144-$AF144-$AE144*(1+CD$3))/$AJ144,'Технический лист'!$I:$J,2,1)-VLOOKUP($AO144,'Технический лист'!$I:$J,2,1)),1+(1-$AU144))</f>
        <v/>
      </c>
      <c r="CE144" s="172">
        <f>MIN(IF($AU144=100%,1,1+VLOOKUP(($AJ144-$AI144-$AH144-$AG144-$AF144-$AE144*(1+CE$3))/$AJ144,'Технический лист'!$I:$J,2,1)-VLOOKUP($AO144,'Технический лист'!$I:$J,2,1)),1+(1-$AU144))</f>
        <v/>
      </c>
      <c r="CF144" s="172">
        <f>MIN(IF($AU144=100%,1,1+VLOOKUP(($AJ144-$AI144-$AH144-$AG144-$AF144-$AE144*(1+CF$3))/$AJ144,'Технический лист'!$I:$J,2,1)-VLOOKUP($AO144,'Технический лист'!$I:$J,2,1)),1+(1-$AU144))</f>
        <v/>
      </c>
      <c r="CG144" s="172">
        <f>MIN(IF($AU144=100%,1,1+VLOOKUP(($AJ144-$AI144-$AH144-$AG144-$AF144-$AE144*(1+CG$3))/$AJ144,'Технический лист'!$I:$J,2,1)-VLOOKUP($AO144,'Технический лист'!$I:$J,2,1)),1+(1-$AU144))</f>
        <v/>
      </c>
      <c r="CH144" s="172">
        <f>MIN(IF($AU144=100%,1,1+VLOOKUP(($AJ144-$AI144-$AH144-$AG144-$AF144-$AE144*(1+CH$3))/$AJ144,'Технический лист'!$I:$J,2,1)-VLOOKUP($AO144,'Технический лист'!$I:$J,2,1)),1+(1-$AU144))</f>
        <v/>
      </c>
      <c r="CI144" s="172">
        <f>MIN(IF($AU144=100%,1,1+VLOOKUP(($AJ144-$AI144-$AH144-$AG144-$AF144-$AE144*(1+CI$3))/$AJ144,'Технический лист'!$I:$J,2,1)-VLOOKUP($AO144,'Технический лист'!$I:$J,2,1)),1+(1-$AU144))</f>
        <v/>
      </c>
      <c r="CJ144" s="172">
        <f>MIN(IF($AU144=100%,1,1+VLOOKUP(($AJ144-$AI144-$AH144-$AG144-$AF144-$AE144*(1+CJ$3))/$AJ144,'Технический лист'!$I:$J,2,1)-VLOOKUP($AO144,'Технический лист'!$I:$J,2,1)),1+(1-$AU144))</f>
        <v/>
      </c>
      <c r="CK144" s="172">
        <f>MIN(IF($AU144=100%,1,1+VLOOKUP(($AJ144-$AI144-$AH144-$AG144-$AF144-$AE144*(1+CK$3))/$AJ144,'Технический лист'!$I:$J,2,1)-VLOOKUP($AO144,'Технический лист'!$I:$J,2,1)),1+(1-$AU144))</f>
        <v/>
      </c>
      <c r="CL144" s="172">
        <f>MIN(IF($AU144=100%,1,1+VLOOKUP(($AJ144-$AI144-$AH144-$AG144-$AF144-$AE144*(1+CL$3))/$AJ144,'Технический лист'!$I:$J,2,1)-VLOOKUP($AO144,'Технический лист'!$I:$J,2,1)),1+(1-$AU144))</f>
        <v/>
      </c>
      <c r="CM144" s="172">
        <f>MIN(IF($AU144=100%,1,1+VLOOKUP(($AJ144-$AI144-$AH144-$AG144-$AF144-$AE144*(1+CM$3))/$AJ144,'Технический лист'!$I:$J,2,1)-VLOOKUP($AO144,'Технический лист'!$I:$J,2,1)),1+(1-$AU144))</f>
        <v/>
      </c>
      <c r="CN144" s="172">
        <f>MIN(IF($AU144=100%,1,1+VLOOKUP(($AJ144-$AI144-$AH144-$AG144-$AF144-$AE144*(1+CN$3))/$AJ144,'Технический лист'!$I:$J,2,1)-VLOOKUP($AO144,'Технический лист'!$I:$J,2,1)),1+(1-$AU144))</f>
        <v/>
      </c>
      <c r="CO144" s="172">
        <f>MIN(IF($AU144=100%,1,1+VLOOKUP(($AJ144-$AI144-$AH144-$AG144-$AF144-$AE144*(1+CO$3))/$AJ144,'Технический лист'!$I:$J,2,1)-VLOOKUP($AO144,'Технический лист'!$I:$J,2,1)),1+(1-$AU144))</f>
        <v/>
      </c>
      <c r="CP144" s="172">
        <f>MIN(IF($AU144=100%,1,1+VLOOKUP(($AJ144-$AI144-$AH144-$AG144-$AF144-$AE144*(1+CP$3))/$AJ144,'Технический лист'!$I:$J,2,1)-VLOOKUP($AO144,'Технический лист'!$I:$J,2,1)),1+(1-$AU144))</f>
        <v/>
      </c>
      <c r="CQ144" s="172">
        <f>MIN(IF($AU144=100%,1,1+VLOOKUP(($AJ144-$AI144-$AH144-$AG144-$AF144-$AE144*(1+CQ$3))/$AJ144,'Технический лист'!$I:$J,2,1)-VLOOKUP($AO144,'Технический лист'!$I:$J,2,1)),1+(1-$AU144))</f>
        <v/>
      </c>
      <c r="CR144" s="172">
        <f>MIN(IF($AU144=100%,1,1+VLOOKUP(($AJ144-$AI144-$AH144-$AG144-$AF144-$AE144*(1+CR$3))/$AJ144,'Технический лист'!$I:$J,2,1)-VLOOKUP($AO144,'Технический лист'!$I:$J,2,1)),1+(1-$AU144))</f>
        <v/>
      </c>
      <c r="CS144" s="172">
        <f>MIN(IF($AU144=100%,1,1+VLOOKUP(($AJ144-$AI144-$AH144-$AG144-$AF144-$AE144*(1+CS$3))/$AJ144,'Технический лист'!$I:$J,2,1)-VLOOKUP($AO144,'Технический лист'!$I:$J,2,1)),1+(1-$AU144))</f>
        <v/>
      </c>
      <c r="CT144" s="172">
        <f>MIN(IF($AU144=100%,1,1+VLOOKUP(($AJ144-$AI144-$AH144-$AG144-$AF144-$AE144*(1+CT$3))/$AJ144,'Технический лист'!$I:$J,2,1)-VLOOKUP($AO144,'Технический лист'!$I:$J,2,1)),1+(1-$AU144))</f>
        <v/>
      </c>
      <c r="CU144" s="172">
        <f>MIN(IF($AU144=100%,1,1+VLOOKUP(($AJ144-$AI144-$AH144-$AG144-$AF144-$AE144*(1+CU$3))/$AJ144,'Технический лист'!$I:$J,2,1)-VLOOKUP($AO144,'Технический лист'!$I:$J,2,1)),1+(1-$AU144))</f>
        <v/>
      </c>
      <c r="CV144" s="172">
        <f>MIN(IF($AU144=100%,1,1+VLOOKUP(($AJ144-$AI144-$AH144-$AG144-$AF144-$AE144*(1+CV$3))/$AJ144,'Технический лист'!$I:$J,2,1)-VLOOKUP($AO144,'Технический лист'!$I:$J,2,1)),1+(1-$AU144))</f>
        <v/>
      </c>
      <c r="CW144" s="172">
        <f>MIN(IF($AU144=100%,1,1+VLOOKUP(($AJ144-$AI144-$AH144-$AG144-$AF144-$AE144*(1+CW$3))/$AJ144,'Технический лист'!$I:$J,2,1)-VLOOKUP($AO144,'Технический лист'!$I:$J,2,1)),1+(1-$AU144))</f>
        <v/>
      </c>
      <c r="CX144" s="172">
        <f>MIN(IF($AU144=100%,1,1+VLOOKUP(($AJ144-$AI144-$AH144-$AG144-$AF144-$AE144*(1+CX$3))/$AJ144,'Технический лист'!$I:$J,2,1)-VLOOKUP($AO144,'Технический лист'!$I:$J,2,1)),1+(1-$AU144))</f>
        <v/>
      </c>
      <c r="CY144" s="172">
        <f>MIN(IF($AU144=100%,1,1+VLOOKUP(($AJ144-$AI144-$AH144-$AG144-$AF144-$AE144*(1+CY$3))/$AJ144,'Технический лист'!$I:$J,2,1)-VLOOKUP($AO144,'Технический лист'!$I:$J,2,1)),1+(1-$AU144))</f>
        <v/>
      </c>
      <c r="CZ144" s="172">
        <f>MIN(IF($AU144=100%,1,1+VLOOKUP(($AJ144-$AI144-$AH144-$AG144-$AF144-$AE144*(1+CZ$3))/$AJ144,'Технический лист'!$I:$J,2,1)-VLOOKUP($AO144,'Технический лист'!$I:$J,2,1)),1+(1-$AU144))</f>
        <v/>
      </c>
      <c r="DA144" s="172">
        <f>MIN(IF($AU144=100%,1,1+VLOOKUP(($AJ144-$AI144-$AH144-$AG144-$AF144-$AE144*(1+DA$3))/$AJ144,'Технический лист'!$I:$J,2,1)-VLOOKUP($AO144,'Технический лист'!$I:$J,2,1)),1+(1-$AU144))</f>
        <v/>
      </c>
      <c r="DB144" s="172">
        <f>MIN(IF($AU144=100%,1,1+VLOOKUP(($AJ144-$AI144-$AH144-$AG144-$AF144-$AE144*(1+DB$3))/$AJ144,'Технический лист'!$I:$J,2,1)-VLOOKUP($AO144,'Технический лист'!$I:$J,2,1)),1+(1-$AU144))</f>
        <v/>
      </c>
      <c r="DC144" s="172">
        <f>MIN(IF($AU144=100%,1,1+VLOOKUP(($AJ144-$AI144-$AH144-$AG144-$AF144-$AE144*(1+DC$3))/$AJ144,'Технический лист'!$I:$J,2,1)-VLOOKUP($AO144,'Технический лист'!$I:$J,2,1)),1+(1-$AU144))</f>
        <v/>
      </c>
      <c r="DD144" s="172">
        <f>MIN(IF($AU144=100%,1,1+VLOOKUP(($AJ144-$AI144-$AH144-$AG144-$AF144-$AE144*(1+DD$3))/$AJ144,'Технический лист'!$I:$J,2,1)-VLOOKUP($AO144,'Технический лист'!$I:$J,2,1)),1+(1-$AU144))</f>
        <v/>
      </c>
      <c r="DE144" s="172">
        <f>MIN(IF($AU144=100%,1,1+VLOOKUP(($AJ144-$AI144-$AH144-$AG144-$AF144-$AE144*(1+DE$3))/$AJ144,'Технический лист'!$I:$J,2,1)-VLOOKUP($AO144,'Технический лист'!$I:$J,2,1)),1+(1-$AU144))</f>
        <v/>
      </c>
      <c r="DF144" s="172">
        <f>MIN(IF($AU144=100%,1,1+VLOOKUP(($AJ144-$AI144-$AH144-$AG144-$AF144-$AE144*(1+DF$3))/$AJ144,'Технический лист'!$I:$J,2,1)-VLOOKUP($AO144,'Технический лист'!$I:$J,2,1)),1+(1-$AU144))</f>
        <v/>
      </c>
      <c r="DG144" s="172">
        <f>MIN(IF($AU144=100%,1,1+VLOOKUP(($AJ144-$AI144-$AH144-$AG144-$AF144-$AE144*(1+DG$3))/$AJ144,'Технический лист'!$I:$J,2,1)-VLOOKUP($AO144,'Технический лист'!$I:$J,2,1)),1+(1-$AU144))</f>
        <v/>
      </c>
      <c r="DH144" s="172">
        <f>MIN(IF($AU144=100%,1,1+VLOOKUP(($AJ144-$AI144-$AH144-$AG144-$AF144-$AE144*(1+DH$3))/$AJ144,'Технический лист'!$I:$J,2,1)-VLOOKUP($AO144,'Технический лист'!$I:$J,2,1)),1+(1-$AU144))</f>
        <v/>
      </c>
      <c r="DI144" s="172">
        <f>MIN(IF($AU144=100%,1,1+VLOOKUP(($AJ144-$AI144-$AH144-$AG144-$AF144-$AE144*(1+DI$3))/$AJ144,'Технический лист'!$I:$J,2,1)-VLOOKUP($AO144,'Технический лист'!$I:$J,2,1)),1+(1-$AU144))</f>
        <v/>
      </c>
      <c r="DJ144" s="172">
        <f>MIN(IF($AU144=100%,1,1+VLOOKUP(($AJ144-$AI144-$AH144-$AG144-$AF144-$AE144*(1+DJ$3))/$AJ144,'Технический лист'!$I:$J,2,1)-VLOOKUP($AO144,'Технический лист'!$I:$J,2,1)),1+(1-$AU144))</f>
        <v/>
      </c>
      <c r="DK144" s="172">
        <f>MIN(IF($AU144=100%,1,1+VLOOKUP(($AJ144-$AI144-$AH144-$AG144-$AF144-$AE144*(1+DK$3))/$AJ144,'Технический лист'!$I:$J,2,1)-VLOOKUP($AO144,'Технический лист'!$I:$J,2,1)),1+(1-$AU144))</f>
        <v/>
      </c>
      <c r="DL144" s="172">
        <f>MIN(IF($AU144=100%,1,1+VLOOKUP(($AJ144-$AI144-$AH144-$AG144-$AF144-$AE144*(1+DL$3))/$AJ144,'Технический лист'!$I:$J,2,1)-VLOOKUP($AO144,'Технический лист'!$I:$J,2,1)),1+(1-$AU144))</f>
        <v/>
      </c>
      <c r="DM144" s="172">
        <f>MIN(IF($AU144=100%,1,1+VLOOKUP(($AJ144-$AI144-$AH144-$AG144-$AF144-$AE144*(1+DM$3))/$AJ144,'Технический лист'!$I:$J,2,1)-VLOOKUP($AO144,'Технический лист'!$I:$J,2,1)),1+(1-$AU144))</f>
        <v/>
      </c>
      <c r="DN144" s="172">
        <f>MIN(IF($AU144=100%,1,1+VLOOKUP(($AJ144-$AI144-$AH144-$AG144-$AF144-$AE144*(1+DN$3))/$AJ144,'Технический лист'!$I:$J,2,1)-VLOOKUP($AO144,'Технический лист'!$I:$J,2,1)),1+(1-$AU144))</f>
        <v/>
      </c>
      <c r="DO144" s="172">
        <f>MIN(IF($AU144=100%,1,1+VLOOKUP(($AJ144-$AI144-$AH144-$AG144-$AF144-$AE144*(1+DO$3))/$AJ144,'Технический лист'!$I:$J,2,1)-VLOOKUP($AO144,'Технический лист'!$I:$J,2,1)),1+(1-$AU144))</f>
        <v/>
      </c>
      <c r="DP144" s="172">
        <f>MIN(IF($AU144=100%,1,1+VLOOKUP(($AJ144-$AI144-$AH144-$AG144-$AF144-$AE144*(1+DP$3))/$AJ144,'Технический лист'!$I:$J,2,1)-VLOOKUP($AO144,'Технический лист'!$I:$J,2,1)),1+(1-$AU144))</f>
        <v/>
      </c>
      <c r="DQ144" s="172">
        <f>MIN(IF($AU144=100%,1,1+VLOOKUP(($AJ144-$AI144-$AH144-$AG144-$AF144-$AE144*(1+DQ$3))/$AJ144,'Технический лист'!$I:$J,2,1)-VLOOKUP($AO144,'Технический лист'!$I:$J,2,1)),1+(1-$AU144))</f>
        <v/>
      </c>
      <c r="DR144" s="172">
        <f>MIN(IF($AU144=100%,1,1+VLOOKUP(($AJ144-$AI144-$AH144-$AG144-$AF144-$AE144*(1+DR$3))/$AJ144,'Технический лист'!$I:$J,2,1)-VLOOKUP($AO144,'Технический лист'!$I:$J,2,1)),1+(1-$AU144))</f>
        <v/>
      </c>
      <c r="DS144" s="172">
        <f>MIN(IF($AU144=100%,1,1+VLOOKUP(($AJ144-$AI144-$AH144-$AG144-$AF144-$AE144*(1+DS$3))/$AJ144,'Технический лист'!$I:$J,2,1)-VLOOKUP($AO144,'Технический лист'!$I:$J,2,1)),1+(1-$AU144))</f>
        <v/>
      </c>
      <c r="DT144" s="172">
        <f>MIN(IF($AU144=100%,1,1+VLOOKUP(($AJ144-$AI144-$AH144-$AG144-$AF144-$AE144*(1+DT$3))/$AJ144,'Технический лист'!$I:$J,2,1)-VLOOKUP($AO144,'Технический лист'!$I:$J,2,1)),1+(1-$AU144))</f>
        <v/>
      </c>
      <c r="DU144" s="172">
        <f>MIN(IF($AU144=100%,1,1+VLOOKUP(($AJ144-$AI144-$AH144-$AG144-$AF144-$AE144*(1+DU$3))/$AJ144,'Технический лист'!$I:$J,2,1)-VLOOKUP($AO144,'Технический лист'!$I:$J,2,1)),1+(1-$AU144))</f>
        <v/>
      </c>
      <c r="DV144" s="172">
        <f>MIN(IF($AU144=100%,1,1+VLOOKUP(($AJ144-$AI144-$AH144-$AG144-$AF144-$AE144*(1+DV$3))/$AJ144,'Технический лист'!$I:$J,2,1)-VLOOKUP($AO144,'Технический лист'!$I:$J,2,1)),1+(1-$AU144))</f>
        <v/>
      </c>
      <c r="DW144" s="172">
        <f>MIN(IF($AU144=100%,1,1+VLOOKUP(($AJ144-$AI144-$AH144-$AG144-$AF144-$AE144*(1+DW$3))/$AJ144,'Технический лист'!$I:$J,2,1)-VLOOKUP($AO144,'Технический лист'!$I:$J,2,1)),1+(1-$AU144))</f>
        <v/>
      </c>
      <c r="DX144" s="172">
        <f>MIN(IF($AU144=100%,1,1+VLOOKUP(($AJ144-$AI144-$AH144-$AG144-$AF144-$AE144*(1+DX$3))/$AJ144,'Технический лист'!$I:$J,2,1)-VLOOKUP($AO144,'Технический лист'!$I:$J,2,1)),1+(1-$AU144))</f>
        <v/>
      </c>
      <c r="DY144" s="172">
        <f>MIN(IF($AU144=100%,1,1+VLOOKUP(($AJ144-$AI144-$AH144-$AG144-$AF144-$AE144*(1+DY$3))/$AJ144,'Технический лист'!$I:$J,2,1)-VLOOKUP($AO144,'Технический лист'!$I:$J,2,1)),1+(1-$AU144))</f>
        <v/>
      </c>
      <c r="DZ144" s="172">
        <f>MIN(IF($AU144=100%,1,1+VLOOKUP(($AJ144-$AI144-$AH144-$AG144-$AF144-$AE144*(1+DZ$3))/$AJ144,'Технический лист'!$I:$J,2,1)-VLOOKUP($AO144,'Технический лист'!$I:$J,2,1)),1+(1-$AU144))</f>
        <v/>
      </c>
      <c r="EA144" s="172">
        <f>MIN(IF($AU144=100%,1,1+VLOOKUP(($AJ144-$AI144-$AH144-$AG144-$AF144-$AE144*(1+EA$3))/$AJ144,'Технический лист'!$I:$J,2,1)-VLOOKUP($AO144,'Технический лист'!$I:$J,2,1)),1+(1-$AU144))</f>
        <v/>
      </c>
      <c r="EB144" s="172">
        <f>MIN(IF($AU144=100%,1,1+VLOOKUP(($AJ144-$AI144-$AH144-$AG144-$AF144-$AE144*(1+EB$3))/$AJ144,'Технический лист'!$I:$J,2,1)-VLOOKUP($AO144,'Технический лист'!$I:$J,2,1)),1+(1-$AU144))</f>
        <v/>
      </c>
      <c r="EC144" s="172">
        <f>MIN(IF($AU144=100%,1,1+VLOOKUP(($AJ144-$AI144-$AH144-$AG144-$AF144-$AE144*(1+EC$3))/$AJ144,'Технический лист'!$I:$J,2,1)-VLOOKUP($AO144,'Технический лист'!$I:$J,2,1)),1+(1-$AU144))</f>
        <v/>
      </c>
      <c r="ED144" s="172">
        <f>MIN(IF($AU144=100%,1,1+VLOOKUP(($AJ144-$AI144-$AH144-$AG144-$AF144-$AE144*(1+ED$3))/$AJ144,'Технический лист'!$I:$J,2,1)-VLOOKUP($AO144,'Технический лист'!$I:$J,2,1)),1+(1-$AU144))</f>
        <v/>
      </c>
      <c r="EE144" s="172">
        <f>MIN(IF($AU144=100%,1,1+VLOOKUP(($AJ144-$AI144-$AH144-$AG144-$AF144-$AE144*(1+EE$3))/$AJ144,'Технический лист'!$I:$J,2,1)-VLOOKUP($AO144,'Технический лист'!$I:$J,2,1)),1+(1-$AU144))</f>
        <v/>
      </c>
      <c r="EF144" s="172">
        <f>MIN(IF($AU144=100%,1,1+VLOOKUP(($AJ144-$AI144-$AH144-$AG144-$AF144-$AE144*(1+EF$3))/$AJ144,'Технический лист'!$I:$J,2,1)-VLOOKUP($AO144,'Технический лист'!$I:$J,2,1)),1+(1-$AU144))</f>
        <v/>
      </c>
      <c r="EG144" s="172">
        <f>MIN(IF($AU144=100%,1,1+VLOOKUP(($AJ144-$AI144-$AH144-$AG144-$AF144-$AE144*(1+EG$3))/$AJ144,'Технический лист'!$I:$J,2,1)-VLOOKUP($AO144,'Технический лист'!$I:$J,2,1)),1+(1-$AU144))</f>
        <v/>
      </c>
      <c r="EH144" s="172">
        <f>MIN(IF($AU144=100%,1,1+VLOOKUP(($AJ144-$AI144-$AH144-$AG144-$AF144-$AE144*(1+EH$3))/$AJ144,'Технический лист'!$I:$J,2,1)-VLOOKUP($AO144,'Технический лист'!$I:$J,2,1)),1+(1-$AU144))</f>
        <v/>
      </c>
      <c r="EI144" s="172">
        <f>MIN(IF($AU144=100%,1,1+VLOOKUP(($AJ144-$AI144-$AH144-$AG144-$AF144-$AE144*(1+EI$3))/$AJ144,'Технический лист'!$I:$J,2,1)-VLOOKUP($AO144,'Технический лист'!$I:$J,2,1)),1+(1-$AU144))</f>
        <v/>
      </c>
      <c r="EJ144" s="172">
        <f>MIN(IF($AU144=100%,1,1+VLOOKUP(($AJ144-$AI144-$AH144-$AG144-$AF144-$AE144*(1+EJ$3))/$AJ144,'Технический лист'!$I:$J,2,1)-VLOOKUP($AO144,'Технический лист'!$I:$J,2,1)),1+(1-$AU144))</f>
        <v/>
      </c>
      <c r="EK144" s="172">
        <f>MIN(IF($AU144=100%,1,1+VLOOKUP(($AJ144-$AI144-$AH144-$AG144-$AF144-$AE144*(1+EK$3))/$AJ144,'Технический лист'!$I:$J,2,1)-VLOOKUP($AO144,'Технический лист'!$I:$J,2,1)),1+(1-$AU144))</f>
        <v/>
      </c>
      <c r="EL144" s="172">
        <f>MIN(IF($AU144=100%,1,1+VLOOKUP(($AJ144-$AI144-$AH144-$AG144-$AF144-$AE144*(1+EL$3))/$AJ144,'Технический лист'!$I:$J,2,1)-VLOOKUP($AO144,'Технический лист'!$I:$J,2,1)),1+(1-$AU144))</f>
        <v/>
      </c>
      <c r="EM144" s="172">
        <f>MIN(IF($AU144=100%,1,1+VLOOKUP(($AJ144-$AI144-$AH144-$AG144-$AF144-$AE144*(1+EM$3))/$AJ144,'Технический лист'!$I:$J,2,1)-VLOOKUP($AO144,'Технический лист'!$I:$J,2,1)),1+(1-$AU144))</f>
        <v/>
      </c>
      <c r="EN144" s="172">
        <f>MIN(IF($AU144=100%,1,1+VLOOKUP(($AJ144-$AI144-$AH144-$AG144-$AF144-$AE144*(1+EN$3))/$AJ144,'Технический лист'!$I:$J,2,1)-VLOOKUP($AO144,'Технический лист'!$I:$J,2,1)),1+(1-$AU144))</f>
        <v/>
      </c>
      <c r="EO144" s="172">
        <f>MIN(IF($AU144=100%,1,1+VLOOKUP(($AJ144-$AI144-$AH144-$AG144-$AF144-$AE144*(1+EO$3))/$AJ144,'Технический лист'!$I:$J,2,1)-VLOOKUP($AO144,'Технический лист'!$I:$J,2,1)),1+(1-$AU144))</f>
        <v/>
      </c>
      <c r="EP144" s="172">
        <f>MIN(IF($AU144=100%,1,1+VLOOKUP(($AJ144-$AI144-$AH144-$AG144-$AF144-$AE144*(1+EP$3))/$AJ144,'Технический лист'!$I:$J,2,1)-VLOOKUP($AO144,'Технический лист'!$I:$J,2,1)),1+(1-$AU144))</f>
        <v/>
      </c>
      <c r="EQ144" s="172">
        <f>MIN(IF($AU144=100%,1,1+VLOOKUP(($AJ144-$AI144-$AH144-$AG144-$AF144-$AE144*(1+EQ$3))/$AJ144,'Технический лист'!$I:$J,2,1)-VLOOKUP($AO144,'Технический лист'!$I:$J,2,1)),1+(1-$AU144))</f>
        <v/>
      </c>
      <c r="ER144" s="172">
        <f>MIN(IF($AU144=100%,1,1+VLOOKUP(($AJ144-$AI144-$AH144-$AG144-$AF144-$AE144*(1+ER$3))/$AJ144,'Технический лист'!$I:$J,2,1)-VLOOKUP($AO144,'Технический лист'!$I:$J,2,1)),1+(1-$AU144))</f>
        <v/>
      </c>
      <c r="ES144" s="172">
        <f>MIN(IF($AU144=100%,1,1+VLOOKUP(($AJ144-$AI144-$AH144-$AG144-$AF144-$AE144*(1+ES$3))/$AJ144,'Технический лист'!$I:$J,2,1)-VLOOKUP($AO144,'Технический лист'!$I:$J,2,1)),1+(1-$AU144))</f>
        <v/>
      </c>
      <c r="ET144" s="172">
        <f>MIN(IF($AU144=100%,1,1+VLOOKUP(($AJ144-$AI144-$AH144-$AG144-$AF144-$AE144*(1+ET$3))/$AJ144,'Технический лист'!$I:$J,2,1)-VLOOKUP($AO144,'Технический лист'!$I:$J,2,1)),1+(1-$AU144))</f>
        <v/>
      </c>
      <c r="EU144" s="172">
        <f>MIN(IF($AU144=100%,1,1+VLOOKUP(($AJ144-$AI144-$AH144-$AG144-$AF144-$AE144*(1+EU$3))/$AJ144,'Технический лист'!$I:$J,2,1)-VLOOKUP($AO144,'Технический лист'!$I:$J,2,1)),1+(1-$AU144))</f>
        <v/>
      </c>
      <c r="EV144" s="173" t="n">
        <v>1</v>
      </c>
      <c r="EW144" s="172">
        <f>MIN(1,MAX(VLOOKUP(($AJ144-$AI144-$AH144-$AG144-$AF144-$AE144*(1+EW$3))/$AJ144,'Технический лист'!$A:$B,2,1),(EV144-0.05)))</f>
        <v/>
      </c>
      <c r="EX144" s="172">
        <f>MIN(1,MAX(VLOOKUP(($AJ144-$AI144-$AH144-$AG144-$AF144-$AE144*(1+EX$3))/$AJ144,'Технический лист'!$A:$B,2,1),(EW144-0.05)))</f>
        <v/>
      </c>
      <c r="EY144" s="172">
        <f>MIN(1,MAX(VLOOKUP(($AJ144-$AI144-$AH144-$AG144-$AF144-$AE144*(1+EY$3))/$AJ144,'Технический лист'!$A:$B,2,1),(EX144-0.05)))</f>
        <v/>
      </c>
      <c r="EZ144" s="172">
        <f>MIN(1,MAX(VLOOKUP(($AJ144-$AI144-$AH144-$AG144-$AF144-$AE144*(1+EZ$3))/$AJ144,'Технический лист'!$A:$B,2,1),(EY144-0.05)))</f>
        <v/>
      </c>
      <c r="FA144" s="172">
        <f>MIN(1,MAX(VLOOKUP(($AJ144-$AI144-$AH144-$AG144-$AF144-$AE144*(1+FA$3))/$AJ144,'Технический лист'!$A:$B,2,1),(EZ144-0.05)))</f>
        <v/>
      </c>
      <c r="FB144" s="172">
        <f>MIN(1,MAX(VLOOKUP(($AJ144-$AI144-$AH144-$AG144-$AF144-$AE144*(1+FB$3))/$AJ144,'Технический лист'!$A:$B,2,1),(FA144-0.05)))</f>
        <v/>
      </c>
      <c r="FC144" s="172">
        <f>MIN(1,MAX(VLOOKUP(($AJ144-$AI144-$AH144-$AG144-$AF144-$AE144*(1+FC$3))/$AJ144,'Технический лист'!$A:$B,2,1),(FB144-0.05)))</f>
        <v/>
      </c>
      <c r="FD144" s="172">
        <f>MIN(1,MAX(VLOOKUP(($AJ144-$AI144-$AH144-$AG144-$AF144-$AE144*(1+FD$3))/$AJ144,'Технический лист'!$A:$B,2,1),(FC144-0.05)))</f>
        <v/>
      </c>
      <c r="FE144" s="172">
        <f>MIN(1,MAX(VLOOKUP(($AJ144-$AI144-$AH144-$AG144-$AF144-$AE144*(1+FE$3))/$AJ144,'Технический лист'!$A:$B,2,1),(FD144-0.05)))</f>
        <v/>
      </c>
      <c r="FF144" s="172">
        <f>MIN(1,MAX(VLOOKUP(($AJ144-$AI144-$AH144-$AG144-$AF144-$AE144*(1+FF$3))/$AJ144,'Технический лист'!$A:$B,2,1),(FE144-0.05)))</f>
        <v/>
      </c>
      <c r="FG144" s="172">
        <f>MIN(1,MAX(VLOOKUP(($AJ144-$AI144-$AH144-$AG144-$AF144-$AE144*(1+FG$3))/$AJ144,'Технический лист'!$A:$B,2,1),(FF144-0.05)))</f>
        <v/>
      </c>
      <c r="FH144" s="172">
        <f>MIN(1,MAX(VLOOKUP(($AJ144-$AI144-$AH144-$AG144-$AF144-$AE144*(1+FH$3))/$AJ144,'Технический лист'!$A:$B,2,1),(FG144-0.05)))</f>
        <v/>
      </c>
      <c r="FI144" s="172">
        <f>MIN(1,MAX(VLOOKUP(($AJ144-$AI144-$AH144-$AG144-$AF144-$AE144*(1+FI$3))/$AJ144,'Технический лист'!$A:$B,2,1),(FH144-0.05)))</f>
        <v/>
      </c>
      <c r="FJ144" s="172">
        <f>MIN(1,MAX(VLOOKUP(($AJ144-$AI144-$AH144-$AG144-$AF144-$AE144*(1+FJ$3))/$AJ144,'Технический лист'!$A:$B,2,1),(FI144-0.05)))</f>
        <v/>
      </c>
      <c r="FK144" s="172">
        <f>MIN(1,MAX(VLOOKUP(($AJ144-$AI144-$AH144-$AG144-$AF144-$AE144*(1+FK$3))/$AJ144,'Технический лист'!$A:$B,2,1),(FJ144-0.05)))</f>
        <v/>
      </c>
      <c r="FL144" s="172">
        <f>MIN(1,MAX(VLOOKUP(($AJ144-$AI144-$AH144-$AG144-$AF144-$AE144*(1+FL$3))/$AJ144,'Технический лист'!$A:$B,2,1),(FK144-0.05)))</f>
        <v/>
      </c>
      <c r="FM144" s="172">
        <f>MIN(1,MAX(VLOOKUP(($AJ144-$AI144-$AH144-$AG144-$AF144-$AE144*(1+FM$3))/$AJ144,'Технический лист'!$A:$B,2,1),(FL144-0.05)))</f>
        <v/>
      </c>
      <c r="FN144" s="172">
        <f>MIN(1,MAX(VLOOKUP(($AJ144-$AI144-$AH144-$AG144-$AF144-$AE144*(1+FN$3))/$AJ144,'Технический лист'!$A:$B,2,1),(FM144-0.05)))</f>
        <v/>
      </c>
      <c r="FO144" s="172">
        <f>MIN(1,MAX(VLOOKUP(($AJ144-$AI144-$AH144-$AG144-$AF144-$AE144*(1+FO$3))/$AJ144,'Технический лист'!$A:$B,2,1),(FN144-0.05)))</f>
        <v/>
      </c>
      <c r="FP144" s="172">
        <f>MIN(1,MAX(VLOOKUP(($AJ144-$AI144-$AH144-$AG144-$AF144-$AE144*(1+FP$3))/$AJ144,'Технический лист'!$A:$B,2,1),(FO144-0.05)))</f>
        <v/>
      </c>
      <c r="FQ144" s="172">
        <f>MIN(1,MAX(VLOOKUP(($AJ144-$AI144-$AH144-$AG144-$AF144-$AE144*(1+FQ$3))/$AJ144,'Технический лист'!$A:$B,2,1),(FP144-0.05)))</f>
        <v/>
      </c>
      <c r="FR144" s="172">
        <f>MIN(1,MAX(VLOOKUP(($AJ144-$AI144-$AH144-$AG144-$AF144-$AE144*(1+FR$3))/$AJ144,'Технический лист'!$A:$B,2,1),(FQ144-0.05)))</f>
        <v/>
      </c>
      <c r="FS144" s="172">
        <f>MIN(1,MAX(VLOOKUP(($AJ144-$AI144-$AH144-$AG144-$AF144-$AE144*(1+FS$3))/$AJ144,'Технический лист'!$A:$B,2,1),(FR144-0.05)))</f>
        <v/>
      </c>
      <c r="FT144" s="172">
        <f>MIN(1,MAX(VLOOKUP(($AJ144-$AI144-$AH144-$AG144-$AF144-$AE144*(1+FT$3))/$AJ144,'Технический лист'!$A:$B,2,1),(FS144-0.05)))</f>
        <v/>
      </c>
      <c r="FU144" s="172">
        <f>MIN(1,MAX(VLOOKUP(($AJ144-$AI144-$AH144-$AG144-$AF144-$AE144*(1+FU$3))/$AJ144,'Технический лист'!$A:$B,2,1),(FT144-0.05)))</f>
        <v/>
      </c>
      <c r="FV144" s="172">
        <f>MIN(1,MAX(VLOOKUP(($AJ144-$AI144-$AH144-$AG144-$AF144-$AE144*(1+FV$3))/$AJ144,'Технический лист'!$A:$B,2,1),(FU144-0.05)))</f>
        <v/>
      </c>
      <c r="FW144" s="172">
        <f>MIN(1,MAX(VLOOKUP(($AJ144-$AI144-$AH144-$AG144-$AF144-$AE144*(1+FW$3))/$AJ144,'Технический лист'!$A:$B,2,1),(FV144-0.05)))</f>
        <v/>
      </c>
      <c r="FX144" s="172">
        <f>MIN(1,MAX(VLOOKUP(($AJ144-$AI144-$AH144-$AG144-$AF144-$AE144*(1+FX$3))/$AJ144,'Технический лист'!$A:$B,2,1),(FW144-0.05)))</f>
        <v/>
      </c>
      <c r="FY144" s="172">
        <f>MIN(1,MAX(VLOOKUP(($AJ144-$AI144-$AH144-$AG144-$AF144-$AE144*(1+FY$3))/$AJ144,'Технический лист'!$A:$B,2,1),(FX144-0.05)))</f>
        <v/>
      </c>
      <c r="FZ144" s="172">
        <f>MIN(1,MAX(VLOOKUP(($AJ144-$AI144-$AH144-$AG144-$AF144-$AE144*(1+FZ$3))/$AJ144,'Технический лист'!$A:$B,2,1),(FY144-0.05)))</f>
        <v/>
      </c>
      <c r="GA144" s="172">
        <f>MIN(1,MAX(VLOOKUP(($AJ144-$AI144-$AH144-$AG144-$AF144-$AE144*(1+GA$3))/$AJ144,'Технический лист'!$A:$B,2,1),(FZ144-0.05)))</f>
        <v/>
      </c>
      <c r="GB144" s="172">
        <f>MIN(1,MAX(VLOOKUP(($AJ144-$AI144-$AH144-$AG144-$AF144-$AE144*(1+GB$3))/$AJ144,'Технический лист'!$A:$B,2,1),(GA144-0.05)))</f>
        <v/>
      </c>
      <c r="GC144" s="172">
        <f>MIN(1,MAX(VLOOKUP(($AJ144-$AI144-$AH144-$AG144-$AF144-$AE144*(1+GC$3))/$AJ144,'Технический лист'!$A:$B,2,1),(GB144-0.05)))</f>
        <v/>
      </c>
      <c r="GD144" s="172">
        <f>MIN(1,MAX(VLOOKUP(($AJ144-$AI144-$AH144-$AG144-$AF144-$AE144*(1+GD$3))/$AJ144,'Технический лист'!$A:$B,2,1),(GC144-0.05)))</f>
        <v/>
      </c>
      <c r="GE144" s="172">
        <f>MIN(1,MAX(VLOOKUP(($AJ144-$AI144-$AH144-$AG144-$AF144-$AE144*(1+GE$3))/$AJ144,'Технический лист'!$A:$B,2,1),(GD144-0.05)))</f>
        <v/>
      </c>
      <c r="GF144" s="172">
        <f>MIN(1,MAX(VLOOKUP(($AJ144-$AI144-$AH144-$AG144-$AF144-$AE144*(1+GF$3))/$AJ144,'Технический лист'!$A:$B,2,1),(GE144-0.05)))</f>
        <v/>
      </c>
      <c r="GG144" s="172">
        <f>MIN(1,MAX(VLOOKUP(($AJ144-$AI144-$AH144-$AG144-$AF144-$AE144*(1+GG$3))/$AJ144,'Технический лист'!$A:$B,2,1),(GF144-0.05)))</f>
        <v/>
      </c>
      <c r="GH144" s="172">
        <f>MIN(1,MAX(VLOOKUP(($AJ144-$AI144-$AH144-$AG144-$AF144-$AE144*(1+GH$3))/$AJ144,'Технический лист'!$A:$B,2,1),(GG144-0.05)))</f>
        <v/>
      </c>
      <c r="GI144" s="172">
        <f>MIN(1,MAX(VLOOKUP(($AJ144-$AI144-$AH144-$AG144-$AF144-$AE144*(1+GI$3))/$AJ144,'Технический лист'!$A:$B,2,1),(GH144-0.05)))</f>
        <v/>
      </c>
      <c r="GJ144" s="172">
        <f>MIN(1,MAX(VLOOKUP(($AJ144-$AI144-$AH144-$AG144-$AF144-$AE144*(1+GJ$3))/$AJ144,'Технический лист'!$A:$B,2,1),(GI144-0.05)))</f>
        <v/>
      </c>
      <c r="GK144" s="172">
        <f>MIN(1,MAX(VLOOKUP(($AJ144-$AI144-$AH144-$AG144-$AF144-$AE144*(1+GK$3))/$AJ144,'Технический лист'!$A:$B,2,1),(GJ144-0.05)))</f>
        <v/>
      </c>
      <c r="GL144" s="172">
        <f>MIN(1,MAX(VLOOKUP(($AJ144-$AI144-$AH144-$AG144-$AF144-$AE144*(1+GL$3))/$AJ144,'Технический лист'!$A:$B,2,1),(GK144-0.05)))</f>
        <v/>
      </c>
      <c r="GM144" s="172">
        <f>MIN(1,MAX(VLOOKUP(($AJ144-$AI144-$AH144-$AG144-$AF144-$AE144*(1+GM$3))/$AJ144,'Технический лист'!$A:$B,2,1),(GL144-0.05)))</f>
        <v/>
      </c>
      <c r="GN144" s="172">
        <f>MIN(1,MAX(VLOOKUP(($AJ144-$AI144-$AH144-$AG144-$AF144-$AE144*(1+GN$3))/$AJ144,'Технический лист'!$A:$B,2,1),(GM144-0.05)))</f>
        <v/>
      </c>
      <c r="GO144" s="172">
        <f>MIN(1,MAX(VLOOKUP(($AJ144-$AI144-$AH144-$AG144-$AF144-$AE144*(1+GO$3))/$AJ144,'Технический лист'!$A:$B,2,1),(GN144-0.05)))</f>
        <v/>
      </c>
      <c r="GP144" s="172">
        <f>MIN(1,MAX(VLOOKUP(($AJ144-$AI144-$AH144-$AG144-$AF144-$AE144*(1+GP$3))/$AJ144,'Технический лист'!$A:$B,2,1),(GO144-0.05)))</f>
        <v/>
      </c>
      <c r="GQ144" s="172">
        <f>MIN(1,MAX(VLOOKUP(($AJ144-$AI144-$AH144-$AG144-$AF144-$AE144*(1+GQ$3))/$AJ144,'Технический лист'!$A:$B,2,1),(GP144-0.05)))</f>
        <v/>
      </c>
      <c r="GR144" s="172">
        <f>MIN(1,MAX(VLOOKUP(($AJ144-$AI144-$AH144-$AG144-$AF144-$AE144*(1+GR$3))/$AJ144,'Технический лист'!$A:$B,2,1),(GQ144-0.05)))</f>
        <v/>
      </c>
      <c r="GS144" s="172">
        <f>MIN(1,MAX(VLOOKUP(($AJ144-$AI144-$AH144-$AG144-$AF144-$AE144*(1+GS$3))/$AJ144,'Технический лист'!$A:$B,2,1),(GR144-0.05)))</f>
        <v/>
      </c>
      <c r="GT144" s="172">
        <f>MIN(1,MAX(VLOOKUP(($AJ144-$AI144-$AH144-$AG144-$AF144-$AE144*(1+GT$3))/$AJ144,'Технический лист'!$A:$B,2,1),(GS144-0.05)))</f>
        <v/>
      </c>
      <c r="GU144" s="172">
        <f>MIN(1,MAX(VLOOKUP(($AJ144-$AI144-$AH144-$AG144-$AF144-$AE144*(1+GU$3))/$AJ144,'Технический лист'!$A:$B,2,1),(GT144-0.05)))</f>
        <v/>
      </c>
      <c r="GV144" s="172">
        <f>MIN(1,MAX(VLOOKUP(($AJ144-$AI144-$AH144-$AG144-$AF144-$AE144*(1+GV$3))/$AJ144,'Технический лист'!$A:$B,2,1),(GU144-0.05)))</f>
        <v/>
      </c>
      <c r="GW144" s="172">
        <f>MIN(1,MAX(VLOOKUP(($AJ144-$AI144-$AH144-$AG144-$AF144-$AE144*(1+GW$3))/$AJ144,'Технический лист'!$A:$B,2,1),(GV144-0.05)))</f>
        <v/>
      </c>
      <c r="GX144" s="172">
        <f>MIN(1,MAX(VLOOKUP(($AJ144-$AI144-$AH144-$AG144-$AF144-$AE144*(1+GX$3))/$AJ144,'Технический лист'!$A:$B,2,1),(GW144-0.05)))</f>
        <v/>
      </c>
      <c r="GY144" s="172">
        <f>MIN(1,MAX(VLOOKUP(($AJ144-$AI144-$AH144-$AG144-$AF144-$AE144*(1+GY$3))/$AJ144,'Технический лист'!$A:$B,2,1),(GX144-0.05)))</f>
        <v/>
      </c>
      <c r="GZ144" s="172">
        <f>MIN(1,MAX(VLOOKUP(($AJ144-$AI144-$AH144-$AG144-$AF144-$AE144*(1+GZ$3))/$AJ144,'Технический лист'!$A:$B,2,1),(GY144-0.05)))</f>
        <v/>
      </c>
      <c r="HA144" s="172">
        <f>MIN(1,MAX(VLOOKUP(($AJ144-$AI144-$AH144-$AG144-$AF144-$AE144*(1+HA$3))/$AJ144,'Технический лист'!$A:$B,2,1),(GZ144-0.05)))</f>
        <v/>
      </c>
      <c r="HB144" s="172">
        <f>MIN(1,MAX(VLOOKUP(($AJ144-$AI144-$AH144-$AG144-$AF144-$AE144*(1+HB$3))/$AJ144,'Технический лист'!$A:$B,2,1),(HA144-0.05)))</f>
        <v/>
      </c>
      <c r="HC144" s="172">
        <f>MIN(1,MAX(VLOOKUP(($AJ144-$AI144-$AH144-$AG144-$AF144-$AE144*(1+HC$3))/$AJ144,'Технический лист'!$A:$B,2,1),(HB144-0.05)))</f>
        <v/>
      </c>
      <c r="HD144" s="172">
        <f>MIN(1,MAX(VLOOKUP(($AJ144-$AI144-$AH144-$AG144-$AF144-$AE144*(1+HD$3))/$AJ144,'Технический лист'!$A:$B,2,1),(HC144-0.05)))</f>
        <v/>
      </c>
      <c r="HE144" s="172">
        <f>MIN(1,MAX(VLOOKUP(($AJ144-$AI144-$AH144-$AG144-$AF144-$AE144*(1+HE$3))/$AJ144,'Технический лист'!$A:$B,2,1),(HD144-0.05)))</f>
        <v/>
      </c>
      <c r="HF144" s="172">
        <f>MIN(1,MAX(VLOOKUP(($AJ144-$AI144-$AH144-$AG144-$AF144-$AE144*(1+HF$3))/$AJ144,'Технический лист'!$A:$B,2,1),(HE144-0.05)))</f>
        <v/>
      </c>
      <c r="HG144" s="172">
        <f>MIN(1,MAX(VLOOKUP(($AJ144-$AI144-$AH144-$AG144-$AF144-$AE144*(1+HG$3))/$AJ144,'Технический лист'!$A:$B,2,1),(HF144-0.05)))</f>
        <v/>
      </c>
      <c r="HH144" s="172">
        <f>MIN(1,MAX(VLOOKUP(($AJ144-$AI144-$AH144-$AG144-$AF144-$AE144*(1+HH$3))/$AJ144,'Технический лист'!$A:$B,2,1),(HG144-0.05)))</f>
        <v/>
      </c>
      <c r="HI144" s="172">
        <f>MIN(1,MAX(VLOOKUP(($AJ144-$AI144-$AH144-$AG144-$AF144-$AE144*(1+HI$3))/$AJ144,'Технический лист'!$A:$B,2,1),(HH144-0.05)))</f>
        <v/>
      </c>
      <c r="HJ144" s="172">
        <f>MIN(1,MAX(VLOOKUP(($AJ144-$AI144-$AH144-$AG144-$AF144-$AE144*(1+HJ$3))/$AJ144,'Технический лист'!$A:$B,2,1),(HI144-0.05)))</f>
        <v/>
      </c>
      <c r="HK144" s="172">
        <f>MIN(1,MAX(VLOOKUP(($AJ144-$AI144-$AH144-$AG144-$AF144-$AE144*(1+HK$3))/$AJ144,'Технический лист'!$A:$B,2,1),(HJ144-0.05)))</f>
        <v/>
      </c>
      <c r="HL144" s="172">
        <f>MIN(1,MAX(VLOOKUP(($AJ144-$AI144-$AH144-$AG144-$AF144-$AE144*(1+HL$3))/$AJ144,'Технический лист'!$A:$B,2,1),(HK144-0.05)))</f>
        <v/>
      </c>
      <c r="HM144" s="172">
        <f>MIN(1,MAX(VLOOKUP(($AJ144-$AI144-$AH144-$AG144-$AF144-$AE144*(1+HM$3))/$AJ144,'Технический лист'!$A:$B,2,1),(HL144-0.05)))</f>
        <v/>
      </c>
      <c r="HN144" s="172">
        <f>MIN(1,MAX(VLOOKUP(($AJ144-$AI144-$AH144-$AG144-$AF144-$AE144*(1+HN$3))/$AJ144,'Технический лист'!$A:$B,2,1),(HM144-0.05)))</f>
        <v/>
      </c>
      <c r="HO144" s="172">
        <f>MIN(1,MAX(VLOOKUP(($AJ144-$AI144-$AH144-$AG144-$AF144-$AE144*(1+HO$3))/$AJ144,'Технический лист'!$A:$B,2,1),(HN144-0.05)))</f>
        <v/>
      </c>
      <c r="HP144" s="172">
        <f>MIN(1,MAX(VLOOKUP(($AJ144-$AI144-$AH144-$AG144-$AF144-$AE144*(1+HP$3))/$AJ144,'Технический лист'!$A:$B,2,1),(HO144-0.05)))</f>
        <v/>
      </c>
      <c r="HQ144" s="172">
        <f>MIN(1,MAX(VLOOKUP(($AJ144-$AI144-$AH144-$AG144-$AF144-$AE144*(1+HQ$3))/$AJ144,'Технический лист'!$A:$B,2,1),(HP144-0.05)))</f>
        <v/>
      </c>
      <c r="HR144" s="172">
        <f>MIN(1,MAX(VLOOKUP(($AJ144-$AI144-$AH144-$AG144-$AF144-$AE144*(1+HR$3))/$AJ144,'Технический лист'!$A:$B,2,1),(HQ144-0.05)))</f>
        <v/>
      </c>
      <c r="HS144" s="172">
        <f>MIN(1,MAX(VLOOKUP(($AJ144-$AI144-$AH144-$AG144-$AF144-$AE144*(1+HS$3))/$AJ144,'Технический лист'!$A:$B,2,1),(HR144-0.05)))</f>
        <v/>
      </c>
      <c r="HT144" s="172">
        <f>MIN(1,MAX(VLOOKUP(($AJ144-$AI144-$AH144-$AG144-$AF144-$AE144*(1+HT$3))/$AJ144,'Технический лист'!$A:$B,2,1),(HS144-0.05)))</f>
        <v/>
      </c>
      <c r="HU144" s="172">
        <f>MIN(1,MAX(VLOOKUP(($AJ144-$AI144-$AH144-$AG144-$AF144-$AE144*(1+HU$3))/$AJ144,'Технический лист'!$A:$B,2,1),(HT144-0.05)))</f>
        <v/>
      </c>
      <c r="HV144" s="172">
        <f>MIN(1,MAX(VLOOKUP(($AJ144-$AI144-$AH144-$AG144-$AF144-$AE144*(1+HV$3))/$AJ144,'Технический лист'!$A:$B,2,1),(HU144-0.05)))</f>
        <v/>
      </c>
      <c r="HW144" s="172">
        <f>MIN(1,MAX(VLOOKUP(($AJ144-$AI144-$AH144-$AG144-$AF144-$AE144*(1+HW$3))/$AJ144,'Технический лист'!$A:$B,2,1),(HV144-0.05)))</f>
        <v/>
      </c>
      <c r="HX144" s="172">
        <f>MIN(1,MAX(VLOOKUP(($AJ144-$AI144-$AH144-$AG144-$AF144-$AE144*(1+HX$3))/$AJ144,'Технический лист'!$A:$B,2,1),(HW144-0.05)))</f>
        <v/>
      </c>
      <c r="HY144" s="172">
        <f>MIN(1,MAX(VLOOKUP(($AJ144-$AI144-$AH144-$AG144-$AF144-$AE144*(1+HY$3))/$AJ144,'Технический лист'!$A:$B,2,1),(HX144-0.05)))</f>
        <v/>
      </c>
      <c r="HZ144" s="172">
        <f>MIN(1,MAX(VLOOKUP(($AJ144-$AI144-$AH144-$AG144-$AF144-$AE144*(1+HZ$3))/$AJ144,'Технический лист'!$A:$B,2,1),(HY144-0.05)))</f>
        <v/>
      </c>
      <c r="IA144" s="172">
        <f>MIN(1,MAX(VLOOKUP(($AJ144-$AI144-$AH144-$AG144-$AF144-$AE144*(1+IA$3))/$AJ144,'Технический лист'!$A:$B,2,1),(HZ144-0.05)))</f>
        <v/>
      </c>
      <c r="IB144" s="172">
        <f>MIN(1,MAX(VLOOKUP(($AJ144-$AI144-$AH144-$AG144-$AF144-$AE144*(1+IB$3))/$AJ144,'Технический лист'!$A:$B,2,1),(IA144-0.05)))</f>
        <v/>
      </c>
      <c r="IC144" s="172">
        <f>MIN(1,MAX(VLOOKUP(($AJ144-$AI144-$AH144-$AG144-$AF144-$AE144*(1+IC$3))/$AJ144,'Технический лист'!$A:$B,2,1),(IB144-0.05)))</f>
        <v/>
      </c>
      <c r="ID144" s="172">
        <f>MIN(1,MAX(VLOOKUP(($AJ144-$AI144-$AH144-$AG144-$AF144-$AE144*(1+ID$3))/$AJ144,'Технический лист'!$A:$B,2,1),(IC144-0.05)))</f>
        <v/>
      </c>
      <c r="IE144" s="172">
        <f>MIN(1,MAX(VLOOKUP(($AJ144-$AI144-$AH144-$AG144-$AF144-$AE144*(1+IE$3))/$AJ144,'Технический лист'!$A:$B,2,1),(ID144-0.05)))</f>
        <v/>
      </c>
      <c r="IF144" s="172">
        <f>MIN(1,MAX(VLOOKUP(($AJ144-$AI144-$AH144-$AG144-$AF144-$AE144*(1+IF$3))/$AJ144,'Технический лист'!$A:$B,2,1),(IE144-0.05)))</f>
        <v/>
      </c>
      <c r="IG144" s="172">
        <f>MIN(1,MAX(VLOOKUP(($AJ144-$AI144-$AH144-$AG144-$AF144-$AE144*(1+IG$3))/$AJ144,'Технический лист'!$A:$B,2,1),(IF144-0.05)))</f>
        <v/>
      </c>
      <c r="IH144" s="172">
        <f>MIN(1,MAX(VLOOKUP(($AJ144-$AI144-$AH144-$AG144-$AF144-$AE144*(1+IH$3))/$AJ144,'Технический лист'!$A:$B,2,1),(IG144-0.05)))</f>
        <v/>
      </c>
      <c r="II144" s="172">
        <f>MIN(1,MAX(VLOOKUP(($AJ144-$AI144-$AH144-$AG144-$AF144-$AE144*(1+II$3))/$AJ144,'Технический лист'!$A:$B,2,1),(IH144-0.05)))</f>
        <v/>
      </c>
      <c r="IJ144" s="172">
        <f>MIN(1,MAX(VLOOKUP(($AJ144-$AI144-$AH144-$AG144-$AF144-$AE144*(1+IJ$3))/$AJ144,'Технический лист'!$A:$B,2,1),(II144-0.05)))</f>
        <v/>
      </c>
      <c r="IK144" s="172">
        <f>MIN(1,MAX(VLOOKUP(($AJ144-$AI144-$AH144-$AG144-$AF144-$AE144*(1+IK$3))/$AJ144,'Технический лист'!$A:$B,2,1),(IJ144-0.05)))</f>
        <v/>
      </c>
      <c r="IL144" s="172">
        <f>MIN(1,MAX(VLOOKUP(($AJ144-$AI144-$AH144-$AG144-$AF144-$AE144*(1+IL$3))/$AJ144,'Технический лист'!$A:$B,2,1),(IK144-0.05)))</f>
        <v/>
      </c>
      <c r="IM144" s="172">
        <f>MIN(1,MAX(VLOOKUP(($AJ144-$AI144-$AH144-$AG144-$AF144-$AE144*(1+IM$3))/$AJ144,'Технический лист'!$A:$B,2,1),(IL144-0.05)))</f>
        <v/>
      </c>
      <c r="IN144" s="172">
        <f>MIN(1,MAX(VLOOKUP(($AJ144-$AI144-$AH144-$AG144-$AF144-$AE144*(1+IN$3))/$AJ144,'Технический лист'!$A:$B,2,1),(IM144-0.05)))</f>
        <v/>
      </c>
      <c r="IO144" s="172">
        <f>MIN(1,MAX(VLOOKUP(($AJ144-$AI144-$AH144-$AG144-$AF144-$AE144*(1+IO$3))/$AJ144,'Технический лист'!$A:$B,2,1),(IN144-0.05)))</f>
        <v/>
      </c>
      <c r="IP144" s="172">
        <f>MIN(1,MAX(VLOOKUP(($AJ144-$AI144-$AH144-$AG144-$AF144-$AE144*(1+IP$3))/$AJ144,'Технический лист'!$A:$B,2,1),(IO144-0.05)))</f>
        <v/>
      </c>
      <c r="IQ144" s="172">
        <f>MIN(1,MAX(VLOOKUP(($AJ144-$AI144-$AH144-$AG144-$AF144-$AE144*(1+IQ$3))/$AJ144,'Технический лист'!$A:$B,2,1),(IP144-0.05)))</f>
        <v/>
      </c>
      <c r="IR144" s="172">
        <f>MIN(1,MAX(VLOOKUP(($AJ144-$AI144-$AH144-$AG144-$AF144-$AE144*(1+IR$3))/$AJ144,'Технический лист'!$A:$B,2,1),(IQ144-0.05)))</f>
        <v/>
      </c>
    </row>
    <row r="145" ht="43.75" customHeight="1" s="123">
      <c r="A145" s="89" t="inlineStr">
        <is>
          <t>ЧМ (продукция)</t>
        </is>
      </c>
      <c r="B145" s="90" t="n">
        <v>10</v>
      </c>
      <c r="C145" s="5" t="inlineStr">
        <is>
          <t>Остальные грузы</t>
        </is>
      </c>
      <c r="D145" s="91" t="n">
        <v>31607</v>
      </c>
      <c r="E145" s="91" t="inlineStr">
        <is>
          <t xml:space="preserve">Лом черных металлов, не поименованный в алфавите </t>
        </is>
      </c>
      <c r="F145" s="92" t="inlineStr">
        <is>
          <t>ЛОМ ЧЕРНЫХ МЕТАЛЛОВ</t>
        </is>
      </c>
      <c r="G145" s="91" t="inlineStr">
        <is>
          <t>МСК</t>
        </is>
      </c>
      <c r="H145" s="91" t="inlineStr">
        <is>
          <t>МСК</t>
        </is>
      </c>
      <c r="I145" s="91" t="inlineStr">
        <is>
          <t>ЯСНАЯ ПОЛЯНА</t>
        </is>
      </c>
      <c r="J145" s="91" t="inlineStr">
        <is>
          <t>ЗЛЫНКА-ЭКСП</t>
        </is>
      </c>
      <c r="K145" s="91" t="n">
        <v>536</v>
      </c>
      <c r="L145" s="91" t="inlineStr">
        <is>
          <t>Полувагоны</t>
        </is>
      </c>
      <c r="M145" s="91" t="inlineStr">
        <is>
          <t>Экспорт</t>
        </is>
      </c>
      <c r="N145" s="91" t="inlineStr">
        <is>
          <t>вагонная</t>
        </is>
      </c>
      <c r="O145" s="91" t="inlineStr">
        <is>
          <t xml:space="preserve">Северо-Западное </t>
        </is>
      </c>
      <c r="P145" s="89" t="inlineStr">
        <is>
          <t>'000064687833</t>
        </is>
      </c>
      <c r="Q145" s="91" t="inlineStr">
        <is>
          <t>'ООО "Вторчермет НЛМК Запад"</t>
        </is>
      </c>
      <c r="R145" s="91" t="inlineStr">
        <is>
          <t>ООО "УК"ПМХ"</t>
        </is>
      </c>
      <c r="S145" s="87" t="n">
        <v>1553</v>
      </c>
      <c r="T145" s="87" t="n">
        <v>832460</v>
      </c>
      <c r="U145" s="88" t="n">
        <v>25</v>
      </c>
      <c r="V145" s="88" t="n">
        <v>0</v>
      </c>
      <c r="W145" s="87" t="n">
        <v>2397574</v>
      </c>
      <c r="X145" s="112" t="n">
        <v>62</v>
      </c>
      <c r="Y145" s="112" t="inlineStr">
        <is>
          <t>повагонная</t>
        </is>
      </c>
      <c r="Z145" s="113" t="n">
        <v>4</v>
      </c>
      <c r="AA145" s="113" t="n">
        <v>2</v>
      </c>
      <c r="AB145" s="113" t="n">
        <v>4</v>
      </c>
      <c r="AC145" s="161" t="n">
        <v>1853.61</v>
      </c>
      <c r="AD145" s="161">
        <f>AE145-AC145</f>
        <v/>
      </c>
      <c r="AE145" s="161" t="n">
        <v>2058.98</v>
      </c>
      <c r="AF145" s="162">
        <f>(Z145+AA145+AB145)*'Ставки аренды'!$B$3/X145</f>
        <v/>
      </c>
      <c r="AG145" s="164" t="n">
        <v>0</v>
      </c>
      <c r="AH145" s="164" t="n">
        <v>0</v>
      </c>
      <c r="AI145" s="165">
        <f>0.9*AJ144</f>
        <v/>
      </c>
      <c r="AJ145" s="166">
        <f>Цены!D7</f>
        <v/>
      </c>
      <c r="AK145" s="164">
        <f>AJ145/Цены!$B$1</f>
        <v/>
      </c>
      <c r="AL145" s="164">
        <f>AE145+AF145+AG145</f>
        <v/>
      </c>
      <c r="AM145" s="164">
        <f>AJ145-AL145</f>
        <v/>
      </c>
      <c r="AN145" s="164">
        <f>AI145+AH145+AG145+AF145+AE145</f>
        <v/>
      </c>
      <c r="AO145" s="167">
        <f>(AJ145-AN145)/AJ145</f>
        <v/>
      </c>
      <c r="AP145" s="168">
        <f>AL145/AJ145</f>
        <v/>
      </c>
      <c r="AQ145" s="168">
        <f>AE145/AJ145</f>
        <v/>
      </c>
      <c r="AR145" s="168">
        <f>AE145/AL145</f>
        <v/>
      </c>
      <c r="AS145" s="169" t="n">
        <v>1</v>
      </c>
      <c r="AT145" s="121">
        <f>S145*AS145</f>
        <v/>
      </c>
      <c r="AU145" s="83" t="n">
        <v>0.7</v>
      </c>
      <c r="AV145" s="170">
        <f>(AJ145-(AE145*(1+$IS$2)+AF145+AG145+AH145+AI145))/AJ145</f>
        <v/>
      </c>
      <c r="AW145" s="171">
        <f>(AE145*(1+$IS$2)+AF145+AG145)/AJ145</f>
        <v/>
      </c>
      <c r="AX145" s="171">
        <f>(AE145*(1+$IS$2))/AJ145</f>
        <v/>
      </c>
      <c r="AY145" s="171">
        <f>(AE145*(1+$IS$2))/(AE145*(1+$IS$2)+AF145+AG145)</f>
        <v/>
      </c>
      <c r="AZ145" s="172">
        <f>MIN(IF($AU145=100%,1,1+VLOOKUP(($AJ145-$AI145-$AH145-$AG145-$AF145-$AE145*(1+AZ$3))/$AJ145,'Технический лист'!$I:$J,2,1)-VLOOKUP($AO145,'Технический лист'!$I:$J,2,1)),1+(1-$AU145))</f>
        <v/>
      </c>
      <c r="BA145" s="172">
        <f>MIN(IF($AU145=100%,1,1+VLOOKUP(($AJ145-$AI145-$AH145-$AG145-$AF145-$AE145*(1+BA$3))/$AJ145,'Технический лист'!$I:$J,2,1)-VLOOKUP($AO145,'Технический лист'!$I:$J,2,1)),1+(1-$AU145))</f>
        <v/>
      </c>
      <c r="BB145" s="172">
        <f>MIN(IF($AU145=100%,1,1+VLOOKUP(($AJ145-$AI145-$AH145-$AG145-$AF145-$AE145*(1+BB$3))/$AJ145,'Технический лист'!$I:$J,2,1)-VLOOKUP($AO145,'Технический лист'!$I:$J,2,1)),1+(1-$AU145))</f>
        <v/>
      </c>
      <c r="BC145" s="172">
        <f>MIN(IF($AU145=100%,1,1+VLOOKUP(($AJ145-$AI145-$AH145-$AG145-$AF145-$AE145*(1+BC$3))/$AJ145,'Технический лист'!$I:$J,2,1)-VLOOKUP($AO145,'Технический лист'!$I:$J,2,1)),1+(1-$AU145))</f>
        <v/>
      </c>
      <c r="BD145" s="172">
        <f>MIN(IF($AU145=100%,1,1+VLOOKUP(($AJ145-$AI145-$AH145-$AG145-$AF145-$AE145*(1+BD$3))/$AJ145,'Технический лист'!$I:$J,2,1)-VLOOKUP($AO145,'Технический лист'!$I:$J,2,1)),1+(1-$AU145))</f>
        <v/>
      </c>
      <c r="BE145" s="172">
        <f>MIN(IF($AU145=100%,1,1+VLOOKUP(($AJ145-$AI145-$AH145-$AG145-$AF145-$AE145*(1+BE$3))/$AJ145,'Технический лист'!$I:$J,2,1)-VLOOKUP($AO145,'Технический лист'!$I:$J,2,1)),1+(1-$AU145))</f>
        <v/>
      </c>
      <c r="BF145" s="172">
        <f>MIN(IF($AU145=100%,1,1+VLOOKUP(($AJ145-$AI145-$AH145-$AG145-$AF145-$AE145*(1+BF$3))/$AJ145,'Технический лист'!$I:$J,2,1)-VLOOKUP($AO145,'Технический лист'!$I:$J,2,1)),1+(1-$AU145))</f>
        <v/>
      </c>
      <c r="BG145" s="172">
        <f>MIN(IF($AU145=100%,1,1+VLOOKUP(($AJ145-$AI145-$AH145-$AG145-$AF145-$AE145*(1+BG$3))/$AJ145,'Технический лист'!$I:$J,2,1)-VLOOKUP($AO145,'Технический лист'!$I:$J,2,1)),1+(1-$AU145))</f>
        <v/>
      </c>
      <c r="BH145" s="172">
        <f>MIN(IF($AU145=100%,1,1+VLOOKUP(($AJ145-$AI145-$AH145-$AG145-$AF145-$AE145*(1+BH$3))/$AJ145,'Технический лист'!$I:$J,2,1)-VLOOKUP($AO145,'Технический лист'!$I:$J,2,1)),1+(1-$AU145))</f>
        <v/>
      </c>
      <c r="BI145" s="172">
        <f>MIN(IF($AU145=100%,1,1+VLOOKUP(($AJ145-$AI145-$AH145-$AG145-$AF145-$AE145*(1+BI$3))/$AJ145,'Технический лист'!$I:$J,2,1)-VLOOKUP($AO145,'Технический лист'!$I:$J,2,1)),1+(1-$AU145))</f>
        <v/>
      </c>
      <c r="BJ145" s="172">
        <f>MIN(IF($AU145=100%,1,1+VLOOKUP(($AJ145-$AI145-$AH145-$AG145-$AF145-$AE145*(1+BJ$3))/$AJ145,'Технический лист'!$I:$J,2,1)-VLOOKUP($AO145,'Технический лист'!$I:$J,2,1)),1+(1-$AU145))</f>
        <v/>
      </c>
      <c r="BK145" s="172">
        <f>MIN(IF($AU145=100%,1,1+VLOOKUP(($AJ145-$AI145-$AH145-$AG145-$AF145-$AE145*(1+BK$3))/$AJ145,'Технический лист'!$I:$J,2,1)-VLOOKUP($AO145,'Технический лист'!$I:$J,2,1)),1+(1-$AU145))</f>
        <v/>
      </c>
      <c r="BL145" s="172">
        <f>MIN(IF($AU145=100%,1,1+VLOOKUP(($AJ145-$AI145-$AH145-$AG145-$AF145-$AE145*(1+BL$3))/$AJ145,'Технический лист'!$I:$J,2,1)-VLOOKUP($AO145,'Технический лист'!$I:$J,2,1)),1+(1-$AU145))</f>
        <v/>
      </c>
      <c r="BM145" s="172">
        <f>MIN(IF($AU145=100%,1,1+VLOOKUP(($AJ145-$AI145-$AH145-$AG145-$AF145-$AE145*(1+BM$3))/$AJ145,'Технический лист'!$I:$J,2,1)-VLOOKUP($AO145,'Технический лист'!$I:$J,2,1)),1+(1-$AU145))</f>
        <v/>
      </c>
      <c r="BN145" s="172">
        <f>MIN(IF($AU145=100%,1,1+VLOOKUP(($AJ145-$AI145-$AH145-$AG145-$AF145-$AE145*(1+BN$3))/$AJ145,'Технический лист'!$I:$J,2,1)-VLOOKUP($AO145,'Технический лист'!$I:$J,2,1)),1+(1-$AU145))</f>
        <v/>
      </c>
      <c r="BO145" s="172">
        <f>MIN(IF($AU145=100%,1,1+VLOOKUP(($AJ145-$AI145-$AH145-$AG145-$AF145-$AE145*(1+BO$3))/$AJ145,'Технический лист'!$I:$J,2,1)-VLOOKUP($AO145,'Технический лист'!$I:$J,2,1)),1+(1-$AU145))</f>
        <v/>
      </c>
      <c r="BP145" s="172">
        <f>MIN(IF($AU145=100%,1,1+VLOOKUP(($AJ145-$AI145-$AH145-$AG145-$AF145-$AE145*(1+BP$3))/$AJ145,'Технический лист'!$I:$J,2,1)-VLOOKUP($AO145,'Технический лист'!$I:$J,2,1)),1+(1-$AU145))</f>
        <v/>
      </c>
      <c r="BQ145" s="172">
        <f>MIN(IF($AU145=100%,1,1+VLOOKUP(($AJ145-$AI145-$AH145-$AG145-$AF145-$AE145*(1+BQ$3))/$AJ145,'Технический лист'!$I:$J,2,1)-VLOOKUP($AO145,'Технический лист'!$I:$J,2,1)),1+(1-$AU145))</f>
        <v/>
      </c>
      <c r="BR145" s="172">
        <f>MIN(IF($AU145=100%,1,1+VLOOKUP(($AJ145-$AI145-$AH145-$AG145-$AF145-$AE145*(1+BR$3))/$AJ145,'Технический лист'!$I:$J,2,1)-VLOOKUP($AO145,'Технический лист'!$I:$J,2,1)),1+(1-$AU145))</f>
        <v/>
      </c>
      <c r="BS145" s="172">
        <f>MIN(IF($AU145=100%,1,1+VLOOKUP(($AJ145-$AI145-$AH145-$AG145-$AF145-$AE145*(1+BS$3))/$AJ145,'Технический лист'!$I:$J,2,1)-VLOOKUP($AO145,'Технический лист'!$I:$J,2,1)),1+(1-$AU145))</f>
        <v/>
      </c>
      <c r="BT145" s="172">
        <f>MIN(IF($AU145=100%,1,1+VLOOKUP(($AJ145-$AI145-$AH145-$AG145-$AF145-$AE145*(1+BT$3))/$AJ145,'Технический лист'!$I:$J,2,1)-VLOOKUP($AO145,'Технический лист'!$I:$J,2,1)),1+(1-$AU145))</f>
        <v/>
      </c>
      <c r="BU145" s="172">
        <f>MIN(IF($AU145=100%,1,1+VLOOKUP(($AJ145-$AI145-$AH145-$AG145-$AF145-$AE145*(1+BU$3))/$AJ145,'Технический лист'!$I:$J,2,1)-VLOOKUP($AO145,'Технический лист'!$I:$J,2,1)),1+(1-$AU145))</f>
        <v/>
      </c>
      <c r="BV145" s="172">
        <f>MIN(IF($AU145=100%,1,1+VLOOKUP(($AJ145-$AI145-$AH145-$AG145-$AF145-$AE145*(1+BV$3))/$AJ145,'Технический лист'!$I:$J,2,1)-VLOOKUP($AO145,'Технический лист'!$I:$J,2,1)),1+(1-$AU145))</f>
        <v/>
      </c>
      <c r="BW145" s="172">
        <f>MIN(IF($AU145=100%,1,1+VLOOKUP(($AJ145-$AI145-$AH145-$AG145-$AF145-$AE145*(1+BW$3))/$AJ145,'Технический лист'!$I:$J,2,1)-VLOOKUP($AO145,'Технический лист'!$I:$J,2,1)),1+(1-$AU145))</f>
        <v/>
      </c>
      <c r="BX145" s="172">
        <f>MIN(IF($AU145=100%,1,1+VLOOKUP(($AJ145-$AI145-$AH145-$AG145-$AF145-$AE145*(1+BX$3))/$AJ145,'Технический лист'!$I:$J,2,1)-VLOOKUP($AO145,'Технический лист'!$I:$J,2,1)),1+(1-$AU145))</f>
        <v/>
      </c>
      <c r="BY145" s="172">
        <f>MIN(IF($AU145=100%,1,1+VLOOKUP(($AJ145-$AI145-$AH145-$AG145-$AF145-$AE145*(1+BY$3))/$AJ145,'Технический лист'!$I:$J,2,1)-VLOOKUP($AO145,'Технический лист'!$I:$J,2,1)),1+(1-$AU145))</f>
        <v/>
      </c>
      <c r="BZ145" s="172">
        <f>MIN(IF($AU145=100%,1,1+VLOOKUP(($AJ145-$AI145-$AH145-$AG145-$AF145-$AE145*(1+BZ$3))/$AJ145,'Технический лист'!$I:$J,2,1)-VLOOKUP($AO145,'Технический лист'!$I:$J,2,1)),1+(1-$AU145))</f>
        <v/>
      </c>
      <c r="CA145" s="172">
        <f>MIN(IF($AU145=100%,1,1+VLOOKUP(($AJ145-$AI145-$AH145-$AG145-$AF145-$AE145*(1+CA$3))/$AJ145,'Технический лист'!$I:$J,2,1)-VLOOKUP($AO145,'Технический лист'!$I:$J,2,1)),1+(1-$AU145))</f>
        <v/>
      </c>
      <c r="CB145" s="172">
        <f>MIN(IF($AU145=100%,1,1+VLOOKUP(($AJ145-$AI145-$AH145-$AG145-$AF145-$AE145*(1+CB$3))/$AJ145,'Технический лист'!$I:$J,2,1)-VLOOKUP($AO145,'Технический лист'!$I:$J,2,1)),1+(1-$AU145))</f>
        <v/>
      </c>
      <c r="CC145" s="172">
        <f>MIN(IF($AU145=100%,1,1+VLOOKUP(($AJ145-$AI145-$AH145-$AG145-$AF145-$AE145*(1+CC$3))/$AJ145,'Технический лист'!$I:$J,2,1)-VLOOKUP($AO145,'Технический лист'!$I:$J,2,1)),1+(1-$AU145))</f>
        <v/>
      </c>
      <c r="CD145" s="172">
        <f>MIN(IF($AU145=100%,1,1+VLOOKUP(($AJ145-$AI145-$AH145-$AG145-$AF145-$AE145*(1+CD$3))/$AJ145,'Технический лист'!$I:$J,2,1)-VLOOKUP($AO145,'Технический лист'!$I:$J,2,1)),1+(1-$AU145))</f>
        <v/>
      </c>
      <c r="CE145" s="172">
        <f>MIN(IF($AU145=100%,1,1+VLOOKUP(($AJ145-$AI145-$AH145-$AG145-$AF145-$AE145*(1+CE$3))/$AJ145,'Технический лист'!$I:$J,2,1)-VLOOKUP($AO145,'Технический лист'!$I:$J,2,1)),1+(1-$AU145))</f>
        <v/>
      </c>
      <c r="CF145" s="172">
        <f>MIN(IF($AU145=100%,1,1+VLOOKUP(($AJ145-$AI145-$AH145-$AG145-$AF145-$AE145*(1+CF$3))/$AJ145,'Технический лист'!$I:$J,2,1)-VLOOKUP($AO145,'Технический лист'!$I:$J,2,1)),1+(1-$AU145))</f>
        <v/>
      </c>
      <c r="CG145" s="172">
        <f>MIN(IF($AU145=100%,1,1+VLOOKUP(($AJ145-$AI145-$AH145-$AG145-$AF145-$AE145*(1+CG$3))/$AJ145,'Технический лист'!$I:$J,2,1)-VLOOKUP($AO145,'Технический лист'!$I:$J,2,1)),1+(1-$AU145))</f>
        <v/>
      </c>
      <c r="CH145" s="172">
        <f>MIN(IF($AU145=100%,1,1+VLOOKUP(($AJ145-$AI145-$AH145-$AG145-$AF145-$AE145*(1+CH$3))/$AJ145,'Технический лист'!$I:$J,2,1)-VLOOKUP($AO145,'Технический лист'!$I:$J,2,1)),1+(1-$AU145))</f>
        <v/>
      </c>
      <c r="CI145" s="172">
        <f>MIN(IF($AU145=100%,1,1+VLOOKUP(($AJ145-$AI145-$AH145-$AG145-$AF145-$AE145*(1+CI$3))/$AJ145,'Технический лист'!$I:$J,2,1)-VLOOKUP($AO145,'Технический лист'!$I:$J,2,1)),1+(1-$AU145))</f>
        <v/>
      </c>
      <c r="CJ145" s="172">
        <f>MIN(IF($AU145=100%,1,1+VLOOKUP(($AJ145-$AI145-$AH145-$AG145-$AF145-$AE145*(1+CJ$3))/$AJ145,'Технический лист'!$I:$J,2,1)-VLOOKUP($AO145,'Технический лист'!$I:$J,2,1)),1+(1-$AU145))</f>
        <v/>
      </c>
      <c r="CK145" s="172">
        <f>MIN(IF($AU145=100%,1,1+VLOOKUP(($AJ145-$AI145-$AH145-$AG145-$AF145-$AE145*(1+CK$3))/$AJ145,'Технический лист'!$I:$J,2,1)-VLOOKUP($AO145,'Технический лист'!$I:$J,2,1)),1+(1-$AU145))</f>
        <v/>
      </c>
      <c r="CL145" s="172">
        <f>MIN(IF($AU145=100%,1,1+VLOOKUP(($AJ145-$AI145-$AH145-$AG145-$AF145-$AE145*(1+CL$3))/$AJ145,'Технический лист'!$I:$J,2,1)-VLOOKUP($AO145,'Технический лист'!$I:$J,2,1)),1+(1-$AU145))</f>
        <v/>
      </c>
      <c r="CM145" s="172">
        <f>MIN(IF($AU145=100%,1,1+VLOOKUP(($AJ145-$AI145-$AH145-$AG145-$AF145-$AE145*(1+CM$3))/$AJ145,'Технический лист'!$I:$J,2,1)-VLOOKUP($AO145,'Технический лист'!$I:$J,2,1)),1+(1-$AU145))</f>
        <v/>
      </c>
      <c r="CN145" s="172">
        <f>MIN(IF($AU145=100%,1,1+VLOOKUP(($AJ145-$AI145-$AH145-$AG145-$AF145-$AE145*(1+CN$3))/$AJ145,'Технический лист'!$I:$J,2,1)-VLOOKUP($AO145,'Технический лист'!$I:$J,2,1)),1+(1-$AU145))</f>
        <v/>
      </c>
      <c r="CO145" s="172">
        <f>MIN(IF($AU145=100%,1,1+VLOOKUP(($AJ145-$AI145-$AH145-$AG145-$AF145-$AE145*(1+CO$3))/$AJ145,'Технический лист'!$I:$J,2,1)-VLOOKUP($AO145,'Технический лист'!$I:$J,2,1)),1+(1-$AU145))</f>
        <v/>
      </c>
      <c r="CP145" s="172">
        <f>MIN(IF($AU145=100%,1,1+VLOOKUP(($AJ145-$AI145-$AH145-$AG145-$AF145-$AE145*(1+CP$3))/$AJ145,'Технический лист'!$I:$J,2,1)-VLOOKUP($AO145,'Технический лист'!$I:$J,2,1)),1+(1-$AU145))</f>
        <v/>
      </c>
      <c r="CQ145" s="172">
        <f>MIN(IF($AU145=100%,1,1+VLOOKUP(($AJ145-$AI145-$AH145-$AG145-$AF145-$AE145*(1+CQ$3))/$AJ145,'Технический лист'!$I:$J,2,1)-VLOOKUP($AO145,'Технический лист'!$I:$J,2,1)),1+(1-$AU145))</f>
        <v/>
      </c>
      <c r="CR145" s="172">
        <f>MIN(IF($AU145=100%,1,1+VLOOKUP(($AJ145-$AI145-$AH145-$AG145-$AF145-$AE145*(1+CR$3))/$AJ145,'Технический лист'!$I:$J,2,1)-VLOOKUP($AO145,'Технический лист'!$I:$J,2,1)),1+(1-$AU145))</f>
        <v/>
      </c>
      <c r="CS145" s="172">
        <f>MIN(IF($AU145=100%,1,1+VLOOKUP(($AJ145-$AI145-$AH145-$AG145-$AF145-$AE145*(1+CS$3))/$AJ145,'Технический лист'!$I:$J,2,1)-VLOOKUP($AO145,'Технический лист'!$I:$J,2,1)),1+(1-$AU145))</f>
        <v/>
      </c>
      <c r="CT145" s="172">
        <f>MIN(IF($AU145=100%,1,1+VLOOKUP(($AJ145-$AI145-$AH145-$AG145-$AF145-$AE145*(1+CT$3))/$AJ145,'Технический лист'!$I:$J,2,1)-VLOOKUP($AO145,'Технический лист'!$I:$J,2,1)),1+(1-$AU145))</f>
        <v/>
      </c>
      <c r="CU145" s="172">
        <f>MIN(IF($AU145=100%,1,1+VLOOKUP(($AJ145-$AI145-$AH145-$AG145-$AF145-$AE145*(1+CU$3))/$AJ145,'Технический лист'!$I:$J,2,1)-VLOOKUP($AO145,'Технический лист'!$I:$J,2,1)),1+(1-$AU145))</f>
        <v/>
      </c>
      <c r="CV145" s="172">
        <f>MIN(IF($AU145=100%,1,1+VLOOKUP(($AJ145-$AI145-$AH145-$AG145-$AF145-$AE145*(1+CV$3))/$AJ145,'Технический лист'!$I:$J,2,1)-VLOOKUP($AO145,'Технический лист'!$I:$J,2,1)),1+(1-$AU145))</f>
        <v/>
      </c>
      <c r="CW145" s="172">
        <f>MIN(IF($AU145=100%,1,1+VLOOKUP(($AJ145-$AI145-$AH145-$AG145-$AF145-$AE145*(1+CW$3))/$AJ145,'Технический лист'!$I:$J,2,1)-VLOOKUP($AO145,'Технический лист'!$I:$J,2,1)),1+(1-$AU145))</f>
        <v/>
      </c>
      <c r="CX145" s="172">
        <f>MIN(IF($AU145=100%,1,1+VLOOKUP(($AJ145-$AI145-$AH145-$AG145-$AF145-$AE145*(1+CX$3))/$AJ145,'Технический лист'!$I:$J,2,1)-VLOOKUP($AO145,'Технический лист'!$I:$J,2,1)),1+(1-$AU145))</f>
        <v/>
      </c>
      <c r="CY145" s="172">
        <f>MIN(IF($AU145=100%,1,1+VLOOKUP(($AJ145-$AI145-$AH145-$AG145-$AF145-$AE145*(1+CY$3))/$AJ145,'Технический лист'!$I:$J,2,1)-VLOOKUP($AO145,'Технический лист'!$I:$J,2,1)),1+(1-$AU145))</f>
        <v/>
      </c>
      <c r="CZ145" s="172">
        <f>MIN(IF($AU145=100%,1,1+VLOOKUP(($AJ145-$AI145-$AH145-$AG145-$AF145-$AE145*(1+CZ$3))/$AJ145,'Технический лист'!$I:$J,2,1)-VLOOKUP($AO145,'Технический лист'!$I:$J,2,1)),1+(1-$AU145))</f>
        <v/>
      </c>
      <c r="DA145" s="172">
        <f>MIN(IF($AU145=100%,1,1+VLOOKUP(($AJ145-$AI145-$AH145-$AG145-$AF145-$AE145*(1+DA$3))/$AJ145,'Технический лист'!$I:$J,2,1)-VLOOKUP($AO145,'Технический лист'!$I:$J,2,1)),1+(1-$AU145))</f>
        <v/>
      </c>
      <c r="DB145" s="172">
        <f>MIN(IF($AU145=100%,1,1+VLOOKUP(($AJ145-$AI145-$AH145-$AG145-$AF145-$AE145*(1+DB$3))/$AJ145,'Технический лист'!$I:$J,2,1)-VLOOKUP($AO145,'Технический лист'!$I:$J,2,1)),1+(1-$AU145))</f>
        <v/>
      </c>
      <c r="DC145" s="172">
        <f>MIN(IF($AU145=100%,1,1+VLOOKUP(($AJ145-$AI145-$AH145-$AG145-$AF145-$AE145*(1+DC$3))/$AJ145,'Технический лист'!$I:$J,2,1)-VLOOKUP($AO145,'Технический лист'!$I:$J,2,1)),1+(1-$AU145))</f>
        <v/>
      </c>
      <c r="DD145" s="172">
        <f>MIN(IF($AU145=100%,1,1+VLOOKUP(($AJ145-$AI145-$AH145-$AG145-$AF145-$AE145*(1+DD$3))/$AJ145,'Технический лист'!$I:$J,2,1)-VLOOKUP($AO145,'Технический лист'!$I:$J,2,1)),1+(1-$AU145))</f>
        <v/>
      </c>
      <c r="DE145" s="172">
        <f>MIN(IF($AU145=100%,1,1+VLOOKUP(($AJ145-$AI145-$AH145-$AG145-$AF145-$AE145*(1+DE$3))/$AJ145,'Технический лист'!$I:$J,2,1)-VLOOKUP($AO145,'Технический лист'!$I:$J,2,1)),1+(1-$AU145))</f>
        <v/>
      </c>
      <c r="DF145" s="172">
        <f>MIN(IF($AU145=100%,1,1+VLOOKUP(($AJ145-$AI145-$AH145-$AG145-$AF145-$AE145*(1+DF$3))/$AJ145,'Технический лист'!$I:$J,2,1)-VLOOKUP($AO145,'Технический лист'!$I:$J,2,1)),1+(1-$AU145))</f>
        <v/>
      </c>
      <c r="DG145" s="172">
        <f>MIN(IF($AU145=100%,1,1+VLOOKUP(($AJ145-$AI145-$AH145-$AG145-$AF145-$AE145*(1+DG$3))/$AJ145,'Технический лист'!$I:$J,2,1)-VLOOKUP($AO145,'Технический лист'!$I:$J,2,1)),1+(1-$AU145))</f>
        <v/>
      </c>
      <c r="DH145" s="172">
        <f>MIN(IF($AU145=100%,1,1+VLOOKUP(($AJ145-$AI145-$AH145-$AG145-$AF145-$AE145*(1+DH$3))/$AJ145,'Технический лист'!$I:$J,2,1)-VLOOKUP($AO145,'Технический лист'!$I:$J,2,1)),1+(1-$AU145))</f>
        <v/>
      </c>
      <c r="DI145" s="172">
        <f>MIN(IF($AU145=100%,1,1+VLOOKUP(($AJ145-$AI145-$AH145-$AG145-$AF145-$AE145*(1+DI$3))/$AJ145,'Технический лист'!$I:$J,2,1)-VLOOKUP($AO145,'Технический лист'!$I:$J,2,1)),1+(1-$AU145))</f>
        <v/>
      </c>
      <c r="DJ145" s="172">
        <f>MIN(IF($AU145=100%,1,1+VLOOKUP(($AJ145-$AI145-$AH145-$AG145-$AF145-$AE145*(1+DJ$3))/$AJ145,'Технический лист'!$I:$J,2,1)-VLOOKUP($AO145,'Технический лист'!$I:$J,2,1)),1+(1-$AU145))</f>
        <v/>
      </c>
      <c r="DK145" s="172">
        <f>MIN(IF($AU145=100%,1,1+VLOOKUP(($AJ145-$AI145-$AH145-$AG145-$AF145-$AE145*(1+DK$3))/$AJ145,'Технический лист'!$I:$J,2,1)-VLOOKUP($AO145,'Технический лист'!$I:$J,2,1)),1+(1-$AU145))</f>
        <v/>
      </c>
      <c r="DL145" s="172">
        <f>MIN(IF($AU145=100%,1,1+VLOOKUP(($AJ145-$AI145-$AH145-$AG145-$AF145-$AE145*(1+DL$3))/$AJ145,'Технический лист'!$I:$J,2,1)-VLOOKUP($AO145,'Технический лист'!$I:$J,2,1)),1+(1-$AU145))</f>
        <v/>
      </c>
      <c r="DM145" s="172">
        <f>MIN(IF($AU145=100%,1,1+VLOOKUP(($AJ145-$AI145-$AH145-$AG145-$AF145-$AE145*(1+DM$3))/$AJ145,'Технический лист'!$I:$J,2,1)-VLOOKUP($AO145,'Технический лист'!$I:$J,2,1)),1+(1-$AU145))</f>
        <v/>
      </c>
      <c r="DN145" s="172">
        <f>MIN(IF($AU145=100%,1,1+VLOOKUP(($AJ145-$AI145-$AH145-$AG145-$AF145-$AE145*(1+DN$3))/$AJ145,'Технический лист'!$I:$J,2,1)-VLOOKUP($AO145,'Технический лист'!$I:$J,2,1)),1+(1-$AU145))</f>
        <v/>
      </c>
      <c r="DO145" s="172">
        <f>MIN(IF($AU145=100%,1,1+VLOOKUP(($AJ145-$AI145-$AH145-$AG145-$AF145-$AE145*(1+DO$3))/$AJ145,'Технический лист'!$I:$J,2,1)-VLOOKUP($AO145,'Технический лист'!$I:$J,2,1)),1+(1-$AU145))</f>
        <v/>
      </c>
      <c r="DP145" s="172">
        <f>MIN(IF($AU145=100%,1,1+VLOOKUP(($AJ145-$AI145-$AH145-$AG145-$AF145-$AE145*(1+DP$3))/$AJ145,'Технический лист'!$I:$J,2,1)-VLOOKUP($AO145,'Технический лист'!$I:$J,2,1)),1+(1-$AU145))</f>
        <v/>
      </c>
      <c r="DQ145" s="172">
        <f>MIN(IF($AU145=100%,1,1+VLOOKUP(($AJ145-$AI145-$AH145-$AG145-$AF145-$AE145*(1+DQ$3))/$AJ145,'Технический лист'!$I:$J,2,1)-VLOOKUP($AO145,'Технический лист'!$I:$J,2,1)),1+(1-$AU145))</f>
        <v/>
      </c>
      <c r="DR145" s="172">
        <f>MIN(IF($AU145=100%,1,1+VLOOKUP(($AJ145-$AI145-$AH145-$AG145-$AF145-$AE145*(1+DR$3))/$AJ145,'Технический лист'!$I:$J,2,1)-VLOOKUP($AO145,'Технический лист'!$I:$J,2,1)),1+(1-$AU145))</f>
        <v/>
      </c>
      <c r="DS145" s="172">
        <f>MIN(IF($AU145=100%,1,1+VLOOKUP(($AJ145-$AI145-$AH145-$AG145-$AF145-$AE145*(1+DS$3))/$AJ145,'Технический лист'!$I:$J,2,1)-VLOOKUP($AO145,'Технический лист'!$I:$J,2,1)),1+(1-$AU145))</f>
        <v/>
      </c>
      <c r="DT145" s="172">
        <f>MIN(IF($AU145=100%,1,1+VLOOKUP(($AJ145-$AI145-$AH145-$AG145-$AF145-$AE145*(1+DT$3))/$AJ145,'Технический лист'!$I:$J,2,1)-VLOOKUP($AO145,'Технический лист'!$I:$J,2,1)),1+(1-$AU145))</f>
        <v/>
      </c>
      <c r="DU145" s="172">
        <f>MIN(IF($AU145=100%,1,1+VLOOKUP(($AJ145-$AI145-$AH145-$AG145-$AF145-$AE145*(1+DU$3))/$AJ145,'Технический лист'!$I:$J,2,1)-VLOOKUP($AO145,'Технический лист'!$I:$J,2,1)),1+(1-$AU145))</f>
        <v/>
      </c>
      <c r="DV145" s="172">
        <f>MIN(IF($AU145=100%,1,1+VLOOKUP(($AJ145-$AI145-$AH145-$AG145-$AF145-$AE145*(1+DV$3))/$AJ145,'Технический лист'!$I:$J,2,1)-VLOOKUP($AO145,'Технический лист'!$I:$J,2,1)),1+(1-$AU145))</f>
        <v/>
      </c>
      <c r="DW145" s="172">
        <f>MIN(IF($AU145=100%,1,1+VLOOKUP(($AJ145-$AI145-$AH145-$AG145-$AF145-$AE145*(1+DW$3))/$AJ145,'Технический лист'!$I:$J,2,1)-VLOOKUP($AO145,'Технический лист'!$I:$J,2,1)),1+(1-$AU145))</f>
        <v/>
      </c>
      <c r="DX145" s="172">
        <f>MIN(IF($AU145=100%,1,1+VLOOKUP(($AJ145-$AI145-$AH145-$AG145-$AF145-$AE145*(1+DX$3))/$AJ145,'Технический лист'!$I:$J,2,1)-VLOOKUP($AO145,'Технический лист'!$I:$J,2,1)),1+(1-$AU145))</f>
        <v/>
      </c>
      <c r="DY145" s="172">
        <f>MIN(IF($AU145=100%,1,1+VLOOKUP(($AJ145-$AI145-$AH145-$AG145-$AF145-$AE145*(1+DY$3))/$AJ145,'Технический лист'!$I:$J,2,1)-VLOOKUP($AO145,'Технический лист'!$I:$J,2,1)),1+(1-$AU145))</f>
        <v/>
      </c>
      <c r="DZ145" s="172">
        <f>MIN(IF($AU145=100%,1,1+VLOOKUP(($AJ145-$AI145-$AH145-$AG145-$AF145-$AE145*(1+DZ$3))/$AJ145,'Технический лист'!$I:$J,2,1)-VLOOKUP($AO145,'Технический лист'!$I:$J,2,1)),1+(1-$AU145))</f>
        <v/>
      </c>
      <c r="EA145" s="172">
        <f>MIN(IF($AU145=100%,1,1+VLOOKUP(($AJ145-$AI145-$AH145-$AG145-$AF145-$AE145*(1+EA$3))/$AJ145,'Технический лист'!$I:$J,2,1)-VLOOKUP($AO145,'Технический лист'!$I:$J,2,1)),1+(1-$AU145))</f>
        <v/>
      </c>
      <c r="EB145" s="172">
        <f>MIN(IF($AU145=100%,1,1+VLOOKUP(($AJ145-$AI145-$AH145-$AG145-$AF145-$AE145*(1+EB$3))/$AJ145,'Технический лист'!$I:$J,2,1)-VLOOKUP($AO145,'Технический лист'!$I:$J,2,1)),1+(1-$AU145))</f>
        <v/>
      </c>
      <c r="EC145" s="172">
        <f>MIN(IF($AU145=100%,1,1+VLOOKUP(($AJ145-$AI145-$AH145-$AG145-$AF145-$AE145*(1+EC$3))/$AJ145,'Технический лист'!$I:$J,2,1)-VLOOKUP($AO145,'Технический лист'!$I:$J,2,1)),1+(1-$AU145))</f>
        <v/>
      </c>
      <c r="ED145" s="172">
        <f>MIN(IF($AU145=100%,1,1+VLOOKUP(($AJ145-$AI145-$AH145-$AG145-$AF145-$AE145*(1+ED$3))/$AJ145,'Технический лист'!$I:$J,2,1)-VLOOKUP($AO145,'Технический лист'!$I:$J,2,1)),1+(1-$AU145))</f>
        <v/>
      </c>
      <c r="EE145" s="172">
        <f>MIN(IF($AU145=100%,1,1+VLOOKUP(($AJ145-$AI145-$AH145-$AG145-$AF145-$AE145*(1+EE$3))/$AJ145,'Технический лист'!$I:$J,2,1)-VLOOKUP($AO145,'Технический лист'!$I:$J,2,1)),1+(1-$AU145))</f>
        <v/>
      </c>
      <c r="EF145" s="172">
        <f>MIN(IF($AU145=100%,1,1+VLOOKUP(($AJ145-$AI145-$AH145-$AG145-$AF145-$AE145*(1+EF$3))/$AJ145,'Технический лист'!$I:$J,2,1)-VLOOKUP($AO145,'Технический лист'!$I:$J,2,1)),1+(1-$AU145))</f>
        <v/>
      </c>
      <c r="EG145" s="172">
        <f>MIN(IF($AU145=100%,1,1+VLOOKUP(($AJ145-$AI145-$AH145-$AG145-$AF145-$AE145*(1+EG$3))/$AJ145,'Технический лист'!$I:$J,2,1)-VLOOKUP($AO145,'Технический лист'!$I:$J,2,1)),1+(1-$AU145))</f>
        <v/>
      </c>
      <c r="EH145" s="172">
        <f>MIN(IF($AU145=100%,1,1+VLOOKUP(($AJ145-$AI145-$AH145-$AG145-$AF145-$AE145*(1+EH$3))/$AJ145,'Технический лист'!$I:$J,2,1)-VLOOKUP($AO145,'Технический лист'!$I:$J,2,1)),1+(1-$AU145))</f>
        <v/>
      </c>
      <c r="EI145" s="172">
        <f>MIN(IF($AU145=100%,1,1+VLOOKUP(($AJ145-$AI145-$AH145-$AG145-$AF145-$AE145*(1+EI$3))/$AJ145,'Технический лист'!$I:$J,2,1)-VLOOKUP($AO145,'Технический лист'!$I:$J,2,1)),1+(1-$AU145))</f>
        <v/>
      </c>
      <c r="EJ145" s="172">
        <f>MIN(IF($AU145=100%,1,1+VLOOKUP(($AJ145-$AI145-$AH145-$AG145-$AF145-$AE145*(1+EJ$3))/$AJ145,'Технический лист'!$I:$J,2,1)-VLOOKUP($AO145,'Технический лист'!$I:$J,2,1)),1+(1-$AU145))</f>
        <v/>
      </c>
      <c r="EK145" s="172">
        <f>MIN(IF($AU145=100%,1,1+VLOOKUP(($AJ145-$AI145-$AH145-$AG145-$AF145-$AE145*(1+EK$3))/$AJ145,'Технический лист'!$I:$J,2,1)-VLOOKUP($AO145,'Технический лист'!$I:$J,2,1)),1+(1-$AU145))</f>
        <v/>
      </c>
      <c r="EL145" s="172">
        <f>MIN(IF($AU145=100%,1,1+VLOOKUP(($AJ145-$AI145-$AH145-$AG145-$AF145-$AE145*(1+EL$3))/$AJ145,'Технический лист'!$I:$J,2,1)-VLOOKUP($AO145,'Технический лист'!$I:$J,2,1)),1+(1-$AU145))</f>
        <v/>
      </c>
      <c r="EM145" s="172">
        <f>MIN(IF($AU145=100%,1,1+VLOOKUP(($AJ145-$AI145-$AH145-$AG145-$AF145-$AE145*(1+EM$3))/$AJ145,'Технический лист'!$I:$J,2,1)-VLOOKUP($AO145,'Технический лист'!$I:$J,2,1)),1+(1-$AU145))</f>
        <v/>
      </c>
      <c r="EN145" s="172">
        <f>MIN(IF($AU145=100%,1,1+VLOOKUP(($AJ145-$AI145-$AH145-$AG145-$AF145-$AE145*(1+EN$3))/$AJ145,'Технический лист'!$I:$J,2,1)-VLOOKUP($AO145,'Технический лист'!$I:$J,2,1)),1+(1-$AU145))</f>
        <v/>
      </c>
      <c r="EO145" s="172">
        <f>MIN(IF($AU145=100%,1,1+VLOOKUP(($AJ145-$AI145-$AH145-$AG145-$AF145-$AE145*(1+EO$3))/$AJ145,'Технический лист'!$I:$J,2,1)-VLOOKUP($AO145,'Технический лист'!$I:$J,2,1)),1+(1-$AU145))</f>
        <v/>
      </c>
      <c r="EP145" s="172">
        <f>MIN(IF($AU145=100%,1,1+VLOOKUP(($AJ145-$AI145-$AH145-$AG145-$AF145-$AE145*(1+EP$3))/$AJ145,'Технический лист'!$I:$J,2,1)-VLOOKUP($AO145,'Технический лист'!$I:$J,2,1)),1+(1-$AU145))</f>
        <v/>
      </c>
      <c r="EQ145" s="172">
        <f>MIN(IF($AU145=100%,1,1+VLOOKUP(($AJ145-$AI145-$AH145-$AG145-$AF145-$AE145*(1+EQ$3))/$AJ145,'Технический лист'!$I:$J,2,1)-VLOOKUP($AO145,'Технический лист'!$I:$J,2,1)),1+(1-$AU145))</f>
        <v/>
      </c>
      <c r="ER145" s="172">
        <f>MIN(IF($AU145=100%,1,1+VLOOKUP(($AJ145-$AI145-$AH145-$AG145-$AF145-$AE145*(1+ER$3))/$AJ145,'Технический лист'!$I:$J,2,1)-VLOOKUP($AO145,'Технический лист'!$I:$J,2,1)),1+(1-$AU145))</f>
        <v/>
      </c>
      <c r="ES145" s="172">
        <f>MIN(IF($AU145=100%,1,1+VLOOKUP(($AJ145-$AI145-$AH145-$AG145-$AF145-$AE145*(1+ES$3))/$AJ145,'Технический лист'!$I:$J,2,1)-VLOOKUP($AO145,'Технический лист'!$I:$J,2,1)),1+(1-$AU145))</f>
        <v/>
      </c>
      <c r="ET145" s="172">
        <f>MIN(IF($AU145=100%,1,1+VLOOKUP(($AJ145-$AI145-$AH145-$AG145-$AF145-$AE145*(1+ET$3))/$AJ145,'Технический лист'!$I:$J,2,1)-VLOOKUP($AO145,'Технический лист'!$I:$J,2,1)),1+(1-$AU145))</f>
        <v/>
      </c>
      <c r="EU145" s="172">
        <f>MIN(IF($AU145=100%,1,1+VLOOKUP(($AJ145-$AI145-$AH145-$AG145-$AF145-$AE145*(1+EU$3))/$AJ145,'Технический лист'!$I:$J,2,1)-VLOOKUP($AO145,'Технический лист'!$I:$J,2,1)),1+(1-$AU145))</f>
        <v/>
      </c>
      <c r="EV145" s="173" t="n">
        <v>1</v>
      </c>
      <c r="EW145" s="172">
        <f>MIN(1,MAX(VLOOKUP(($AJ145-$AI145-$AH145-$AG145-$AF145-$AE145*(1+EW$3))/$AJ145,'Технический лист'!$A:$B,2,1),(EV145-0.05)))</f>
        <v/>
      </c>
      <c r="EX145" s="172">
        <f>MIN(1,MAX(VLOOKUP(($AJ145-$AI145-$AH145-$AG145-$AF145-$AE145*(1+EX$3))/$AJ145,'Технический лист'!$A:$B,2,1),(EW145-0.05)))</f>
        <v/>
      </c>
      <c r="EY145" s="172">
        <f>MIN(1,MAX(VLOOKUP(($AJ145-$AI145-$AH145-$AG145-$AF145-$AE145*(1+EY$3))/$AJ145,'Технический лист'!$A:$B,2,1),(EX145-0.05)))</f>
        <v/>
      </c>
      <c r="EZ145" s="172">
        <f>MIN(1,MAX(VLOOKUP(($AJ145-$AI145-$AH145-$AG145-$AF145-$AE145*(1+EZ$3))/$AJ145,'Технический лист'!$A:$B,2,1),(EY145-0.05)))</f>
        <v/>
      </c>
      <c r="FA145" s="172">
        <f>MIN(1,MAX(VLOOKUP(($AJ145-$AI145-$AH145-$AG145-$AF145-$AE145*(1+FA$3))/$AJ145,'Технический лист'!$A:$B,2,1),(EZ145-0.05)))</f>
        <v/>
      </c>
      <c r="FB145" s="172">
        <f>MIN(1,MAX(VLOOKUP(($AJ145-$AI145-$AH145-$AG145-$AF145-$AE145*(1+FB$3))/$AJ145,'Технический лист'!$A:$B,2,1),(FA145-0.05)))</f>
        <v/>
      </c>
      <c r="FC145" s="172">
        <f>MIN(1,MAX(VLOOKUP(($AJ145-$AI145-$AH145-$AG145-$AF145-$AE145*(1+FC$3))/$AJ145,'Технический лист'!$A:$B,2,1),(FB145-0.05)))</f>
        <v/>
      </c>
      <c r="FD145" s="172">
        <f>MIN(1,MAX(VLOOKUP(($AJ145-$AI145-$AH145-$AG145-$AF145-$AE145*(1+FD$3))/$AJ145,'Технический лист'!$A:$B,2,1),(FC145-0.05)))</f>
        <v/>
      </c>
      <c r="FE145" s="172">
        <f>MIN(1,MAX(VLOOKUP(($AJ145-$AI145-$AH145-$AG145-$AF145-$AE145*(1+FE$3))/$AJ145,'Технический лист'!$A:$B,2,1),(FD145-0.05)))</f>
        <v/>
      </c>
      <c r="FF145" s="172">
        <f>MIN(1,MAX(VLOOKUP(($AJ145-$AI145-$AH145-$AG145-$AF145-$AE145*(1+FF$3))/$AJ145,'Технический лист'!$A:$B,2,1),(FE145-0.05)))</f>
        <v/>
      </c>
      <c r="FG145" s="172">
        <f>MIN(1,MAX(VLOOKUP(($AJ145-$AI145-$AH145-$AG145-$AF145-$AE145*(1+FG$3))/$AJ145,'Технический лист'!$A:$B,2,1),(FF145-0.05)))</f>
        <v/>
      </c>
      <c r="FH145" s="172">
        <f>MIN(1,MAX(VLOOKUP(($AJ145-$AI145-$AH145-$AG145-$AF145-$AE145*(1+FH$3))/$AJ145,'Технический лист'!$A:$B,2,1),(FG145-0.05)))</f>
        <v/>
      </c>
      <c r="FI145" s="172">
        <f>MIN(1,MAX(VLOOKUP(($AJ145-$AI145-$AH145-$AG145-$AF145-$AE145*(1+FI$3))/$AJ145,'Технический лист'!$A:$B,2,1),(FH145-0.05)))</f>
        <v/>
      </c>
      <c r="FJ145" s="172">
        <f>MIN(1,MAX(VLOOKUP(($AJ145-$AI145-$AH145-$AG145-$AF145-$AE145*(1+FJ$3))/$AJ145,'Технический лист'!$A:$B,2,1),(FI145-0.05)))</f>
        <v/>
      </c>
      <c r="FK145" s="172">
        <f>MIN(1,MAX(VLOOKUP(($AJ145-$AI145-$AH145-$AG145-$AF145-$AE145*(1+FK$3))/$AJ145,'Технический лист'!$A:$B,2,1),(FJ145-0.05)))</f>
        <v/>
      </c>
      <c r="FL145" s="172">
        <f>MIN(1,MAX(VLOOKUP(($AJ145-$AI145-$AH145-$AG145-$AF145-$AE145*(1+FL$3))/$AJ145,'Технический лист'!$A:$B,2,1),(FK145-0.05)))</f>
        <v/>
      </c>
      <c r="FM145" s="172">
        <f>MIN(1,MAX(VLOOKUP(($AJ145-$AI145-$AH145-$AG145-$AF145-$AE145*(1+FM$3))/$AJ145,'Технический лист'!$A:$B,2,1),(FL145-0.05)))</f>
        <v/>
      </c>
      <c r="FN145" s="172">
        <f>MIN(1,MAX(VLOOKUP(($AJ145-$AI145-$AH145-$AG145-$AF145-$AE145*(1+FN$3))/$AJ145,'Технический лист'!$A:$B,2,1),(FM145-0.05)))</f>
        <v/>
      </c>
      <c r="FO145" s="172">
        <f>MIN(1,MAX(VLOOKUP(($AJ145-$AI145-$AH145-$AG145-$AF145-$AE145*(1+FO$3))/$AJ145,'Технический лист'!$A:$B,2,1),(FN145-0.05)))</f>
        <v/>
      </c>
      <c r="FP145" s="172">
        <f>MIN(1,MAX(VLOOKUP(($AJ145-$AI145-$AH145-$AG145-$AF145-$AE145*(1+FP$3))/$AJ145,'Технический лист'!$A:$B,2,1),(FO145-0.05)))</f>
        <v/>
      </c>
      <c r="FQ145" s="172">
        <f>MIN(1,MAX(VLOOKUP(($AJ145-$AI145-$AH145-$AG145-$AF145-$AE145*(1+FQ$3))/$AJ145,'Технический лист'!$A:$B,2,1),(FP145-0.05)))</f>
        <v/>
      </c>
      <c r="FR145" s="172">
        <f>MIN(1,MAX(VLOOKUP(($AJ145-$AI145-$AH145-$AG145-$AF145-$AE145*(1+FR$3))/$AJ145,'Технический лист'!$A:$B,2,1),(FQ145-0.05)))</f>
        <v/>
      </c>
      <c r="FS145" s="172">
        <f>MIN(1,MAX(VLOOKUP(($AJ145-$AI145-$AH145-$AG145-$AF145-$AE145*(1+FS$3))/$AJ145,'Технический лист'!$A:$B,2,1),(FR145-0.05)))</f>
        <v/>
      </c>
      <c r="FT145" s="172">
        <f>MIN(1,MAX(VLOOKUP(($AJ145-$AI145-$AH145-$AG145-$AF145-$AE145*(1+FT$3))/$AJ145,'Технический лист'!$A:$B,2,1),(FS145-0.05)))</f>
        <v/>
      </c>
      <c r="FU145" s="172">
        <f>MIN(1,MAX(VLOOKUP(($AJ145-$AI145-$AH145-$AG145-$AF145-$AE145*(1+FU$3))/$AJ145,'Технический лист'!$A:$B,2,1),(FT145-0.05)))</f>
        <v/>
      </c>
      <c r="FV145" s="172">
        <f>MIN(1,MAX(VLOOKUP(($AJ145-$AI145-$AH145-$AG145-$AF145-$AE145*(1+FV$3))/$AJ145,'Технический лист'!$A:$B,2,1),(FU145-0.05)))</f>
        <v/>
      </c>
      <c r="FW145" s="172">
        <f>MIN(1,MAX(VLOOKUP(($AJ145-$AI145-$AH145-$AG145-$AF145-$AE145*(1+FW$3))/$AJ145,'Технический лист'!$A:$B,2,1),(FV145-0.05)))</f>
        <v/>
      </c>
      <c r="FX145" s="172">
        <f>MIN(1,MAX(VLOOKUP(($AJ145-$AI145-$AH145-$AG145-$AF145-$AE145*(1+FX$3))/$AJ145,'Технический лист'!$A:$B,2,1),(FW145-0.05)))</f>
        <v/>
      </c>
      <c r="FY145" s="172">
        <f>MIN(1,MAX(VLOOKUP(($AJ145-$AI145-$AH145-$AG145-$AF145-$AE145*(1+FY$3))/$AJ145,'Технический лист'!$A:$B,2,1),(FX145-0.05)))</f>
        <v/>
      </c>
      <c r="FZ145" s="172">
        <f>MIN(1,MAX(VLOOKUP(($AJ145-$AI145-$AH145-$AG145-$AF145-$AE145*(1+FZ$3))/$AJ145,'Технический лист'!$A:$B,2,1),(FY145-0.05)))</f>
        <v/>
      </c>
      <c r="GA145" s="172">
        <f>MIN(1,MAX(VLOOKUP(($AJ145-$AI145-$AH145-$AG145-$AF145-$AE145*(1+GA$3))/$AJ145,'Технический лист'!$A:$B,2,1),(FZ145-0.05)))</f>
        <v/>
      </c>
      <c r="GB145" s="172">
        <f>MIN(1,MAX(VLOOKUP(($AJ145-$AI145-$AH145-$AG145-$AF145-$AE145*(1+GB$3))/$AJ145,'Технический лист'!$A:$B,2,1),(GA145-0.05)))</f>
        <v/>
      </c>
      <c r="GC145" s="172">
        <f>MIN(1,MAX(VLOOKUP(($AJ145-$AI145-$AH145-$AG145-$AF145-$AE145*(1+GC$3))/$AJ145,'Технический лист'!$A:$B,2,1),(GB145-0.05)))</f>
        <v/>
      </c>
      <c r="GD145" s="172">
        <f>MIN(1,MAX(VLOOKUP(($AJ145-$AI145-$AH145-$AG145-$AF145-$AE145*(1+GD$3))/$AJ145,'Технический лист'!$A:$B,2,1),(GC145-0.05)))</f>
        <v/>
      </c>
      <c r="GE145" s="172">
        <f>MIN(1,MAX(VLOOKUP(($AJ145-$AI145-$AH145-$AG145-$AF145-$AE145*(1+GE$3))/$AJ145,'Технический лист'!$A:$B,2,1),(GD145-0.05)))</f>
        <v/>
      </c>
      <c r="GF145" s="172">
        <f>MIN(1,MAX(VLOOKUP(($AJ145-$AI145-$AH145-$AG145-$AF145-$AE145*(1+GF$3))/$AJ145,'Технический лист'!$A:$B,2,1),(GE145-0.05)))</f>
        <v/>
      </c>
      <c r="GG145" s="172">
        <f>MIN(1,MAX(VLOOKUP(($AJ145-$AI145-$AH145-$AG145-$AF145-$AE145*(1+GG$3))/$AJ145,'Технический лист'!$A:$B,2,1),(GF145-0.05)))</f>
        <v/>
      </c>
      <c r="GH145" s="172">
        <f>MIN(1,MAX(VLOOKUP(($AJ145-$AI145-$AH145-$AG145-$AF145-$AE145*(1+GH$3))/$AJ145,'Технический лист'!$A:$B,2,1),(GG145-0.05)))</f>
        <v/>
      </c>
      <c r="GI145" s="172">
        <f>MIN(1,MAX(VLOOKUP(($AJ145-$AI145-$AH145-$AG145-$AF145-$AE145*(1+GI$3))/$AJ145,'Технический лист'!$A:$B,2,1),(GH145-0.05)))</f>
        <v/>
      </c>
      <c r="GJ145" s="172">
        <f>MIN(1,MAX(VLOOKUP(($AJ145-$AI145-$AH145-$AG145-$AF145-$AE145*(1+GJ$3))/$AJ145,'Технический лист'!$A:$B,2,1),(GI145-0.05)))</f>
        <v/>
      </c>
      <c r="GK145" s="172">
        <f>MIN(1,MAX(VLOOKUP(($AJ145-$AI145-$AH145-$AG145-$AF145-$AE145*(1+GK$3))/$AJ145,'Технический лист'!$A:$B,2,1),(GJ145-0.05)))</f>
        <v/>
      </c>
      <c r="GL145" s="172">
        <f>MIN(1,MAX(VLOOKUP(($AJ145-$AI145-$AH145-$AG145-$AF145-$AE145*(1+GL$3))/$AJ145,'Технический лист'!$A:$B,2,1),(GK145-0.05)))</f>
        <v/>
      </c>
      <c r="GM145" s="172">
        <f>MIN(1,MAX(VLOOKUP(($AJ145-$AI145-$AH145-$AG145-$AF145-$AE145*(1+GM$3))/$AJ145,'Технический лист'!$A:$B,2,1),(GL145-0.05)))</f>
        <v/>
      </c>
      <c r="GN145" s="172">
        <f>MIN(1,MAX(VLOOKUP(($AJ145-$AI145-$AH145-$AG145-$AF145-$AE145*(1+GN$3))/$AJ145,'Технический лист'!$A:$B,2,1),(GM145-0.05)))</f>
        <v/>
      </c>
      <c r="GO145" s="172">
        <f>MIN(1,MAX(VLOOKUP(($AJ145-$AI145-$AH145-$AG145-$AF145-$AE145*(1+GO$3))/$AJ145,'Технический лист'!$A:$B,2,1),(GN145-0.05)))</f>
        <v/>
      </c>
      <c r="GP145" s="172">
        <f>MIN(1,MAX(VLOOKUP(($AJ145-$AI145-$AH145-$AG145-$AF145-$AE145*(1+GP$3))/$AJ145,'Технический лист'!$A:$B,2,1),(GO145-0.05)))</f>
        <v/>
      </c>
      <c r="GQ145" s="172">
        <f>MIN(1,MAX(VLOOKUP(($AJ145-$AI145-$AH145-$AG145-$AF145-$AE145*(1+GQ$3))/$AJ145,'Технический лист'!$A:$B,2,1),(GP145-0.05)))</f>
        <v/>
      </c>
      <c r="GR145" s="172">
        <f>MIN(1,MAX(VLOOKUP(($AJ145-$AI145-$AH145-$AG145-$AF145-$AE145*(1+GR$3))/$AJ145,'Технический лист'!$A:$B,2,1),(GQ145-0.05)))</f>
        <v/>
      </c>
      <c r="GS145" s="172">
        <f>MIN(1,MAX(VLOOKUP(($AJ145-$AI145-$AH145-$AG145-$AF145-$AE145*(1+GS$3))/$AJ145,'Технический лист'!$A:$B,2,1),(GR145-0.05)))</f>
        <v/>
      </c>
      <c r="GT145" s="172">
        <f>MIN(1,MAX(VLOOKUP(($AJ145-$AI145-$AH145-$AG145-$AF145-$AE145*(1+GT$3))/$AJ145,'Технический лист'!$A:$B,2,1),(GS145-0.05)))</f>
        <v/>
      </c>
      <c r="GU145" s="172">
        <f>MIN(1,MAX(VLOOKUP(($AJ145-$AI145-$AH145-$AG145-$AF145-$AE145*(1+GU$3))/$AJ145,'Технический лист'!$A:$B,2,1),(GT145-0.05)))</f>
        <v/>
      </c>
      <c r="GV145" s="172">
        <f>MIN(1,MAX(VLOOKUP(($AJ145-$AI145-$AH145-$AG145-$AF145-$AE145*(1+GV$3))/$AJ145,'Технический лист'!$A:$B,2,1),(GU145-0.05)))</f>
        <v/>
      </c>
      <c r="GW145" s="172">
        <f>MIN(1,MAX(VLOOKUP(($AJ145-$AI145-$AH145-$AG145-$AF145-$AE145*(1+GW$3))/$AJ145,'Технический лист'!$A:$B,2,1),(GV145-0.05)))</f>
        <v/>
      </c>
      <c r="GX145" s="172">
        <f>MIN(1,MAX(VLOOKUP(($AJ145-$AI145-$AH145-$AG145-$AF145-$AE145*(1+GX$3))/$AJ145,'Технический лист'!$A:$B,2,1),(GW145-0.05)))</f>
        <v/>
      </c>
      <c r="GY145" s="172">
        <f>MIN(1,MAX(VLOOKUP(($AJ145-$AI145-$AH145-$AG145-$AF145-$AE145*(1+GY$3))/$AJ145,'Технический лист'!$A:$B,2,1),(GX145-0.05)))</f>
        <v/>
      </c>
      <c r="GZ145" s="172">
        <f>MIN(1,MAX(VLOOKUP(($AJ145-$AI145-$AH145-$AG145-$AF145-$AE145*(1+GZ$3))/$AJ145,'Технический лист'!$A:$B,2,1),(GY145-0.05)))</f>
        <v/>
      </c>
      <c r="HA145" s="172">
        <f>MIN(1,MAX(VLOOKUP(($AJ145-$AI145-$AH145-$AG145-$AF145-$AE145*(1+HA$3))/$AJ145,'Технический лист'!$A:$B,2,1),(GZ145-0.05)))</f>
        <v/>
      </c>
      <c r="HB145" s="172">
        <f>MIN(1,MAX(VLOOKUP(($AJ145-$AI145-$AH145-$AG145-$AF145-$AE145*(1+HB$3))/$AJ145,'Технический лист'!$A:$B,2,1),(HA145-0.05)))</f>
        <v/>
      </c>
      <c r="HC145" s="172">
        <f>MIN(1,MAX(VLOOKUP(($AJ145-$AI145-$AH145-$AG145-$AF145-$AE145*(1+HC$3))/$AJ145,'Технический лист'!$A:$B,2,1),(HB145-0.05)))</f>
        <v/>
      </c>
      <c r="HD145" s="172">
        <f>MIN(1,MAX(VLOOKUP(($AJ145-$AI145-$AH145-$AG145-$AF145-$AE145*(1+HD$3))/$AJ145,'Технический лист'!$A:$B,2,1),(HC145-0.05)))</f>
        <v/>
      </c>
      <c r="HE145" s="172">
        <f>MIN(1,MAX(VLOOKUP(($AJ145-$AI145-$AH145-$AG145-$AF145-$AE145*(1+HE$3))/$AJ145,'Технический лист'!$A:$B,2,1),(HD145-0.05)))</f>
        <v/>
      </c>
      <c r="HF145" s="172">
        <f>MIN(1,MAX(VLOOKUP(($AJ145-$AI145-$AH145-$AG145-$AF145-$AE145*(1+HF$3))/$AJ145,'Технический лист'!$A:$B,2,1),(HE145-0.05)))</f>
        <v/>
      </c>
      <c r="HG145" s="172">
        <f>MIN(1,MAX(VLOOKUP(($AJ145-$AI145-$AH145-$AG145-$AF145-$AE145*(1+HG$3))/$AJ145,'Технический лист'!$A:$B,2,1),(HF145-0.05)))</f>
        <v/>
      </c>
      <c r="HH145" s="172">
        <f>MIN(1,MAX(VLOOKUP(($AJ145-$AI145-$AH145-$AG145-$AF145-$AE145*(1+HH$3))/$AJ145,'Технический лист'!$A:$B,2,1),(HG145-0.05)))</f>
        <v/>
      </c>
      <c r="HI145" s="172">
        <f>MIN(1,MAX(VLOOKUP(($AJ145-$AI145-$AH145-$AG145-$AF145-$AE145*(1+HI$3))/$AJ145,'Технический лист'!$A:$B,2,1),(HH145-0.05)))</f>
        <v/>
      </c>
      <c r="HJ145" s="172">
        <f>MIN(1,MAX(VLOOKUP(($AJ145-$AI145-$AH145-$AG145-$AF145-$AE145*(1+HJ$3))/$AJ145,'Технический лист'!$A:$B,2,1),(HI145-0.05)))</f>
        <v/>
      </c>
      <c r="HK145" s="172">
        <f>MIN(1,MAX(VLOOKUP(($AJ145-$AI145-$AH145-$AG145-$AF145-$AE145*(1+HK$3))/$AJ145,'Технический лист'!$A:$B,2,1),(HJ145-0.05)))</f>
        <v/>
      </c>
      <c r="HL145" s="172">
        <f>MIN(1,MAX(VLOOKUP(($AJ145-$AI145-$AH145-$AG145-$AF145-$AE145*(1+HL$3))/$AJ145,'Технический лист'!$A:$B,2,1),(HK145-0.05)))</f>
        <v/>
      </c>
      <c r="HM145" s="172">
        <f>MIN(1,MAX(VLOOKUP(($AJ145-$AI145-$AH145-$AG145-$AF145-$AE145*(1+HM$3))/$AJ145,'Технический лист'!$A:$B,2,1),(HL145-0.05)))</f>
        <v/>
      </c>
      <c r="HN145" s="172">
        <f>MIN(1,MAX(VLOOKUP(($AJ145-$AI145-$AH145-$AG145-$AF145-$AE145*(1+HN$3))/$AJ145,'Технический лист'!$A:$B,2,1),(HM145-0.05)))</f>
        <v/>
      </c>
      <c r="HO145" s="172">
        <f>MIN(1,MAX(VLOOKUP(($AJ145-$AI145-$AH145-$AG145-$AF145-$AE145*(1+HO$3))/$AJ145,'Технический лист'!$A:$B,2,1),(HN145-0.05)))</f>
        <v/>
      </c>
      <c r="HP145" s="172">
        <f>MIN(1,MAX(VLOOKUP(($AJ145-$AI145-$AH145-$AG145-$AF145-$AE145*(1+HP$3))/$AJ145,'Технический лист'!$A:$B,2,1),(HO145-0.05)))</f>
        <v/>
      </c>
      <c r="HQ145" s="172">
        <f>MIN(1,MAX(VLOOKUP(($AJ145-$AI145-$AH145-$AG145-$AF145-$AE145*(1+HQ$3))/$AJ145,'Технический лист'!$A:$B,2,1),(HP145-0.05)))</f>
        <v/>
      </c>
      <c r="HR145" s="172">
        <f>MIN(1,MAX(VLOOKUP(($AJ145-$AI145-$AH145-$AG145-$AF145-$AE145*(1+HR$3))/$AJ145,'Технический лист'!$A:$B,2,1),(HQ145-0.05)))</f>
        <v/>
      </c>
      <c r="HS145" s="172">
        <f>MIN(1,MAX(VLOOKUP(($AJ145-$AI145-$AH145-$AG145-$AF145-$AE145*(1+HS$3))/$AJ145,'Технический лист'!$A:$B,2,1),(HR145-0.05)))</f>
        <v/>
      </c>
      <c r="HT145" s="172">
        <f>MIN(1,MAX(VLOOKUP(($AJ145-$AI145-$AH145-$AG145-$AF145-$AE145*(1+HT$3))/$AJ145,'Технический лист'!$A:$B,2,1),(HS145-0.05)))</f>
        <v/>
      </c>
      <c r="HU145" s="172">
        <f>MIN(1,MAX(VLOOKUP(($AJ145-$AI145-$AH145-$AG145-$AF145-$AE145*(1+HU$3))/$AJ145,'Технический лист'!$A:$B,2,1),(HT145-0.05)))</f>
        <v/>
      </c>
      <c r="HV145" s="172">
        <f>MIN(1,MAX(VLOOKUP(($AJ145-$AI145-$AH145-$AG145-$AF145-$AE145*(1+HV$3))/$AJ145,'Технический лист'!$A:$B,2,1),(HU145-0.05)))</f>
        <v/>
      </c>
      <c r="HW145" s="172">
        <f>MIN(1,MAX(VLOOKUP(($AJ145-$AI145-$AH145-$AG145-$AF145-$AE145*(1+HW$3))/$AJ145,'Технический лист'!$A:$B,2,1),(HV145-0.05)))</f>
        <v/>
      </c>
      <c r="HX145" s="172">
        <f>MIN(1,MAX(VLOOKUP(($AJ145-$AI145-$AH145-$AG145-$AF145-$AE145*(1+HX$3))/$AJ145,'Технический лист'!$A:$B,2,1),(HW145-0.05)))</f>
        <v/>
      </c>
      <c r="HY145" s="172">
        <f>MIN(1,MAX(VLOOKUP(($AJ145-$AI145-$AH145-$AG145-$AF145-$AE145*(1+HY$3))/$AJ145,'Технический лист'!$A:$B,2,1),(HX145-0.05)))</f>
        <v/>
      </c>
      <c r="HZ145" s="172">
        <f>MIN(1,MAX(VLOOKUP(($AJ145-$AI145-$AH145-$AG145-$AF145-$AE145*(1+HZ$3))/$AJ145,'Технический лист'!$A:$B,2,1),(HY145-0.05)))</f>
        <v/>
      </c>
      <c r="IA145" s="172">
        <f>MIN(1,MAX(VLOOKUP(($AJ145-$AI145-$AH145-$AG145-$AF145-$AE145*(1+IA$3))/$AJ145,'Технический лист'!$A:$B,2,1),(HZ145-0.05)))</f>
        <v/>
      </c>
      <c r="IB145" s="172">
        <f>MIN(1,MAX(VLOOKUP(($AJ145-$AI145-$AH145-$AG145-$AF145-$AE145*(1+IB$3))/$AJ145,'Технический лист'!$A:$B,2,1),(IA145-0.05)))</f>
        <v/>
      </c>
      <c r="IC145" s="172">
        <f>MIN(1,MAX(VLOOKUP(($AJ145-$AI145-$AH145-$AG145-$AF145-$AE145*(1+IC$3))/$AJ145,'Технический лист'!$A:$B,2,1),(IB145-0.05)))</f>
        <v/>
      </c>
      <c r="ID145" s="172">
        <f>MIN(1,MAX(VLOOKUP(($AJ145-$AI145-$AH145-$AG145-$AF145-$AE145*(1+ID$3))/$AJ145,'Технический лист'!$A:$B,2,1),(IC145-0.05)))</f>
        <v/>
      </c>
      <c r="IE145" s="172">
        <f>MIN(1,MAX(VLOOKUP(($AJ145-$AI145-$AH145-$AG145-$AF145-$AE145*(1+IE$3))/$AJ145,'Технический лист'!$A:$B,2,1),(ID145-0.05)))</f>
        <v/>
      </c>
      <c r="IF145" s="172">
        <f>MIN(1,MAX(VLOOKUP(($AJ145-$AI145-$AH145-$AG145-$AF145-$AE145*(1+IF$3))/$AJ145,'Технический лист'!$A:$B,2,1),(IE145-0.05)))</f>
        <v/>
      </c>
      <c r="IG145" s="172">
        <f>MIN(1,MAX(VLOOKUP(($AJ145-$AI145-$AH145-$AG145-$AF145-$AE145*(1+IG$3))/$AJ145,'Технический лист'!$A:$B,2,1),(IF145-0.05)))</f>
        <v/>
      </c>
      <c r="IH145" s="172">
        <f>MIN(1,MAX(VLOOKUP(($AJ145-$AI145-$AH145-$AG145-$AF145-$AE145*(1+IH$3))/$AJ145,'Технический лист'!$A:$B,2,1),(IG145-0.05)))</f>
        <v/>
      </c>
      <c r="II145" s="172">
        <f>MIN(1,MAX(VLOOKUP(($AJ145-$AI145-$AH145-$AG145-$AF145-$AE145*(1+II$3))/$AJ145,'Технический лист'!$A:$B,2,1),(IH145-0.05)))</f>
        <v/>
      </c>
      <c r="IJ145" s="172">
        <f>MIN(1,MAX(VLOOKUP(($AJ145-$AI145-$AH145-$AG145-$AF145-$AE145*(1+IJ$3))/$AJ145,'Технический лист'!$A:$B,2,1),(II145-0.05)))</f>
        <v/>
      </c>
      <c r="IK145" s="172">
        <f>MIN(1,MAX(VLOOKUP(($AJ145-$AI145-$AH145-$AG145-$AF145-$AE145*(1+IK$3))/$AJ145,'Технический лист'!$A:$B,2,1),(IJ145-0.05)))</f>
        <v/>
      </c>
      <c r="IL145" s="172">
        <f>MIN(1,MAX(VLOOKUP(($AJ145-$AI145-$AH145-$AG145-$AF145-$AE145*(1+IL$3))/$AJ145,'Технический лист'!$A:$B,2,1),(IK145-0.05)))</f>
        <v/>
      </c>
      <c r="IM145" s="172">
        <f>MIN(1,MAX(VLOOKUP(($AJ145-$AI145-$AH145-$AG145-$AF145-$AE145*(1+IM$3))/$AJ145,'Технический лист'!$A:$B,2,1),(IL145-0.05)))</f>
        <v/>
      </c>
      <c r="IN145" s="172">
        <f>MIN(1,MAX(VLOOKUP(($AJ145-$AI145-$AH145-$AG145-$AF145-$AE145*(1+IN$3))/$AJ145,'Технический лист'!$A:$B,2,1),(IM145-0.05)))</f>
        <v/>
      </c>
      <c r="IO145" s="172">
        <f>MIN(1,MAX(VLOOKUP(($AJ145-$AI145-$AH145-$AG145-$AF145-$AE145*(1+IO$3))/$AJ145,'Технический лист'!$A:$B,2,1),(IN145-0.05)))</f>
        <v/>
      </c>
      <c r="IP145" s="172">
        <f>MIN(1,MAX(VLOOKUP(($AJ145-$AI145-$AH145-$AG145-$AF145-$AE145*(1+IP$3))/$AJ145,'Технический лист'!$A:$B,2,1),(IO145-0.05)))</f>
        <v/>
      </c>
      <c r="IQ145" s="172">
        <f>MIN(1,MAX(VLOOKUP(($AJ145-$AI145-$AH145-$AG145-$AF145-$AE145*(1+IQ$3))/$AJ145,'Технический лист'!$A:$B,2,1),(IP145-0.05)))</f>
        <v/>
      </c>
      <c r="IR145" s="172">
        <f>MIN(1,MAX(VLOOKUP(($AJ145-$AI145-$AH145-$AG145-$AF145-$AE145*(1+IR$3))/$AJ145,'Технический лист'!$A:$B,2,1),(IQ145-0.05)))</f>
        <v/>
      </c>
    </row>
    <row r="146" ht="21.45" customHeight="1" s="123">
      <c r="A146" s="89" t="inlineStr">
        <is>
          <t>ЦМ (продукция)</t>
        </is>
      </c>
      <c r="B146" s="90" t="n">
        <v>10</v>
      </c>
      <c r="C146" s="5" t="inlineStr">
        <is>
          <t>Остальные грузы</t>
        </is>
      </c>
      <c r="D146" s="91" t="n">
        <v>33131</v>
      </c>
      <c r="E146" s="91" t="inlineStr">
        <is>
          <t xml:space="preserve">Никель </t>
        </is>
      </c>
      <c r="F146" s="92" t="inlineStr">
        <is>
          <t>МЕТАЛЛЫ ЦВЕТНЫЕ И ИХ СПЛА</t>
        </is>
      </c>
      <c r="G146" s="91" t="inlineStr">
        <is>
          <t>ОКТ</t>
        </is>
      </c>
      <c r="H146" s="91" t="inlineStr">
        <is>
          <t>ОКТ</t>
        </is>
      </c>
      <c r="I146" s="91" t="inlineStr">
        <is>
          <t>МОНЧЕГОРСК</t>
        </is>
      </c>
      <c r="J146" s="91" t="inlineStr">
        <is>
          <t>МУРМАНСК-ЭКС</t>
        </is>
      </c>
      <c r="K146" s="91" t="n">
        <v>143</v>
      </c>
      <c r="L146" s="77" t="inlineStr">
        <is>
          <t>Платформы</t>
        </is>
      </c>
      <c r="M146" s="91" t="inlineStr">
        <is>
          <t>Экспорт</t>
        </is>
      </c>
      <c r="N146" s="91" t="inlineStr">
        <is>
          <t>контейнерная</t>
        </is>
      </c>
      <c r="O146" s="91" t="inlineStr">
        <is>
          <t xml:space="preserve">Северо-Западное </t>
        </is>
      </c>
      <c r="P146" s="89" t="inlineStr">
        <is>
          <t>'000048200234</t>
        </is>
      </c>
      <c r="Q146" s="91" t="inlineStr">
        <is>
          <t>'АО "Кольская ГМК"</t>
        </is>
      </c>
      <c r="R146" s="91" t="inlineStr">
        <is>
          <t>ПАО "ГМК "Норильский никель"</t>
        </is>
      </c>
      <c r="S146" s="87" t="n">
        <v>71641</v>
      </c>
      <c r="T146" s="87" t="n">
        <v>10244636</v>
      </c>
      <c r="U146" s="88" t="n">
        <v>22</v>
      </c>
      <c r="V146" s="88" t="n">
        <v>2731</v>
      </c>
      <c r="W146" s="87" t="n">
        <v>29344438</v>
      </c>
      <c r="X146" s="112" t="n">
        <v>40</v>
      </c>
      <c r="Y146" s="112" t="inlineStr">
        <is>
          <t>контейнерный поезд</t>
        </is>
      </c>
      <c r="Z146" s="113" t="n">
        <v>3</v>
      </c>
      <c r="AA146" s="113" t="n">
        <v>0</v>
      </c>
      <c r="AB146" s="113" t="n">
        <v>4</v>
      </c>
      <c r="AC146" s="161">
        <f>9954/X146</f>
        <v/>
      </c>
      <c r="AD146" s="161" t="n">
        <v>0</v>
      </c>
      <c r="AE146" s="161">
        <f>AC146</f>
        <v/>
      </c>
      <c r="AF146" s="162">
        <f>(AB146+AA146+Z146)*'Ставки аренды'!$B$6/X146</f>
        <v/>
      </c>
      <c r="AG146" s="164" t="n"/>
      <c r="AH146" s="164" t="n">
        <v>0</v>
      </c>
      <c r="AI146" s="165">
        <f>0.84*AJ146</f>
        <v/>
      </c>
      <c r="AJ146" s="166">
        <f>Цены!C34*'Курсы валют'!B2</f>
        <v/>
      </c>
      <c r="AK146" s="164">
        <f>AJ146/Цены!$B$1</f>
        <v/>
      </c>
      <c r="AL146" s="164">
        <f>AE146+AF146+AG146</f>
        <v/>
      </c>
      <c r="AM146" s="164">
        <f>AJ146-AL146</f>
        <v/>
      </c>
      <c r="AN146" s="164">
        <f>AI146+AH146+AG146+AF146+AE146</f>
        <v/>
      </c>
      <c r="AO146" s="167">
        <f>(AJ146-AN146)/AJ146</f>
        <v/>
      </c>
      <c r="AP146" s="168">
        <f>AL146/AJ146</f>
        <v/>
      </c>
      <c r="AQ146" s="168">
        <f>AE146/AJ146</f>
        <v/>
      </c>
      <c r="AR146" s="168">
        <f>AE146/AL146</f>
        <v/>
      </c>
      <c r="AS146" s="169" t="n">
        <v>1</v>
      </c>
      <c r="AT146" s="121">
        <f>S146*AS146</f>
        <v/>
      </c>
      <c r="AU146" s="83" t="n">
        <v>0.9</v>
      </c>
      <c r="AV146" s="170">
        <f>(AJ146-(AE146*(1+$IS$2)+AF146+AG146+AH146+AI146))/AJ146</f>
        <v/>
      </c>
      <c r="AW146" s="171">
        <f>(AE146*(1+$IS$2)+AF146+AG146)/AJ146</f>
        <v/>
      </c>
      <c r="AX146" s="171">
        <f>(AE146*(1+$IS$2))/AJ146</f>
        <v/>
      </c>
      <c r="AY146" s="171">
        <f>(AE146*(1+$IS$2))/(AE146*(1+$IS$2)+AF146+AG146)</f>
        <v/>
      </c>
      <c r="AZ146" s="172">
        <f>MIN(IF($AU146=100%,1,1+VLOOKUP(($AJ146-$AI146-$AH146-$AG146-$AF146-$AE146*(1+AZ$3))/$AJ146,'Технический лист'!$I:$J,2,1)-VLOOKUP($AO146,'Технический лист'!$I:$J,2,1)),1+(1-$AU146))</f>
        <v/>
      </c>
      <c r="BA146" s="172">
        <f>MIN(IF($AU146=100%,1,1+VLOOKUP(($AJ146-$AI146-$AH146-$AG146-$AF146-$AE146*(1+BA$3))/$AJ146,'Технический лист'!$I:$J,2,1)-VLOOKUP($AO146,'Технический лист'!$I:$J,2,1)),1+(1-$AU146))</f>
        <v/>
      </c>
      <c r="BB146" s="172">
        <f>MIN(IF($AU146=100%,1,1+VLOOKUP(($AJ146-$AI146-$AH146-$AG146-$AF146-$AE146*(1+BB$3))/$AJ146,'Технический лист'!$I:$J,2,1)-VLOOKUP($AO146,'Технический лист'!$I:$J,2,1)),1+(1-$AU146))</f>
        <v/>
      </c>
      <c r="BC146" s="172">
        <f>MIN(IF($AU146=100%,1,1+VLOOKUP(($AJ146-$AI146-$AH146-$AG146-$AF146-$AE146*(1+BC$3))/$AJ146,'Технический лист'!$I:$J,2,1)-VLOOKUP($AO146,'Технический лист'!$I:$J,2,1)),1+(1-$AU146))</f>
        <v/>
      </c>
      <c r="BD146" s="172">
        <f>MIN(IF($AU146=100%,1,1+VLOOKUP(($AJ146-$AI146-$AH146-$AG146-$AF146-$AE146*(1+BD$3))/$AJ146,'Технический лист'!$I:$J,2,1)-VLOOKUP($AO146,'Технический лист'!$I:$J,2,1)),1+(1-$AU146))</f>
        <v/>
      </c>
      <c r="BE146" s="172">
        <f>MIN(IF($AU146=100%,1,1+VLOOKUP(($AJ146-$AI146-$AH146-$AG146-$AF146-$AE146*(1+BE$3))/$AJ146,'Технический лист'!$I:$J,2,1)-VLOOKUP($AO146,'Технический лист'!$I:$J,2,1)),1+(1-$AU146))</f>
        <v/>
      </c>
      <c r="BF146" s="172">
        <f>MIN(IF($AU146=100%,1,1+VLOOKUP(($AJ146-$AI146-$AH146-$AG146-$AF146-$AE146*(1+BF$3))/$AJ146,'Технический лист'!$I:$J,2,1)-VLOOKUP($AO146,'Технический лист'!$I:$J,2,1)),1+(1-$AU146))</f>
        <v/>
      </c>
      <c r="BG146" s="172">
        <f>MIN(IF($AU146=100%,1,1+VLOOKUP(($AJ146-$AI146-$AH146-$AG146-$AF146-$AE146*(1+BG$3))/$AJ146,'Технический лист'!$I:$J,2,1)-VLOOKUP($AO146,'Технический лист'!$I:$J,2,1)),1+(1-$AU146))</f>
        <v/>
      </c>
      <c r="BH146" s="172">
        <f>MIN(IF($AU146=100%,1,1+VLOOKUP(($AJ146-$AI146-$AH146-$AG146-$AF146-$AE146*(1+BH$3))/$AJ146,'Технический лист'!$I:$J,2,1)-VLOOKUP($AO146,'Технический лист'!$I:$J,2,1)),1+(1-$AU146))</f>
        <v/>
      </c>
      <c r="BI146" s="172">
        <f>MIN(IF($AU146=100%,1,1+VLOOKUP(($AJ146-$AI146-$AH146-$AG146-$AF146-$AE146*(1+BI$3))/$AJ146,'Технический лист'!$I:$J,2,1)-VLOOKUP($AO146,'Технический лист'!$I:$J,2,1)),1+(1-$AU146))</f>
        <v/>
      </c>
      <c r="BJ146" s="172">
        <f>MIN(IF($AU146=100%,1,1+VLOOKUP(($AJ146-$AI146-$AH146-$AG146-$AF146-$AE146*(1+BJ$3))/$AJ146,'Технический лист'!$I:$J,2,1)-VLOOKUP($AO146,'Технический лист'!$I:$J,2,1)),1+(1-$AU146))</f>
        <v/>
      </c>
      <c r="BK146" s="172">
        <f>MIN(IF($AU146=100%,1,1+VLOOKUP(($AJ146-$AI146-$AH146-$AG146-$AF146-$AE146*(1+BK$3))/$AJ146,'Технический лист'!$I:$J,2,1)-VLOOKUP($AO146,'Технический лист'!$I:$J,2,1)),1+(1-$AU146))</f>
        <v/>
      </c>
      <c r="BL146" s="172">
        <f>MIN(IF($AU146=100%,1,1+VLOOKUP(($AJ146-$AI146-$AH146-$AG146-$AF146-$AE146*(1+BL$3))/$AJ146,'Технический лист'!$I:$J,2,1)-VLOOKUP($AO146,'Технический лист'!$I:$J,2,1)),1+(1-$AU146))</f>
        <v/>
      </c>
      <c r="BM146" s="172">
        <f>MIN(IF($AU146=100%,1,1+VLOOKUP(($AJ146-$AI146-$AH146-$AG146-$AF146-$AE146*(1+BM$3))/$AJ146,'Технический лист'!$I:$J,2,1)-VLOOKUP($AO146,'Технический лист'!$I:$J,2,1)),1+(1-$AU146))</f>
        <v/>
      </c>
      <c r="BN146" s="172">
        <f>MIN(IF($AU146=100%,1,1+VLOOKUP(($AJ146-$AI146-$AH146-$AG146-$AF146-$AE146*(1+BN$3))/$AJ146,'Технический лист'!$I:$J,2,1)-VLOOKUP($AO146,'Технический лист'!$I:$J,2,1)),1+(1-$AU146))</f>
        <v/>
      </c>
      <c r="BO146" s="172">
        <f>MIN(IF($AU146=100%,1,1+VLOOKUP(($AJ146-$AI146-$AH146-$AG146-$AF146-$AE146*(1+BO$3))/$AJ146,'Технический лист'!$I:$J,2,1)-VLOOKUP($AO146,'Технический лист'!$I:$J,2,1)),1+(1-$AU146))</f>
        <v/>
      </c>
      <c r="BP146" s="172">
        <f>MIN(IF($AU146=100%,1,1+VLOOKUP(($AJ146-$AI146-$AH146-$AG146-$AF146-$AE146*(1+BP$3))/$AJ146,'Технический лист'!$I:$J,2,1)-VLOOKUP($AO146,'Технический лист'!$I:$J,2,1)),1+(1-$AU146))</f>
        <v/>
      </c>
      <c r="BQ146" s="172">
        <f>MIN(IF($AU146=100%,1,1+VLOOKUP(($AJ146-$AI146-$AH146-$AG146-$AF146-$AE146*(1+BQ$3))/$AJ146,'Технический лист'!$I:$J,2,1)-VLOOKUP($AO146,'Технический лист'!$I:$J,2,1)),1+(1-$AU146))</f>
        <v/>
      </c>
      <c r="BR146" s="172">
        <f>MIN(IF($AU146=100%,1,1+VLOOKUP(($AJ146-$AI146-$AH146-$AG146-$AF146-$AE146*(1+BR$3))/$AJ146,'Технический лист'!$I:$J,2,1)-VLOOKUP($AO146,'Технический лист'!$I:$J,2,1)),1+(1-$AU146))</f>
        <v/>
      </c>
      <c r="BS146" s="172">
        <f>MIN(IF($AU146=100%,1,1+VLOOKUP(($AJ146-$AI146-$AH146-$AG146-$AF146-$AE146*(1+BS$3))/$AJ146,'Технический лист'!$I:$J,2,1)-VLOOKUP($AO146,'Технический лист'!$I:$J,2,1)),1+(1-$AU146))</f>
        <v/>
      </c>
      <c r="BT146" s="172">
        <f>MIN(IF($AU146=100%,1,1+VLOOKUP(($AJ146-$AI146-$AH146-$AG146-$AF146-$AE146*(1+BT$3))/$AJ146,'Технический лист'!$I:$J,2,1)-VLOOKUP($AO146,'Технический лист'!$I:$J,2,1)),1+(1-$AU146))</f>
        <v/>
      </c>
      <c r="BU146" s="172">
        <f>MIN(IF($AU146=100%,1,1+VLOOKUP(($AJ146-$AI146-$AH146-$AG146-$AF146-$AE146*(1+BU$3))/$AJ146,'Технический лист'!$I:$J,2,1)-VLOOKUP($AO146,'Технический лист'!$I:$J,2,1)),1+(1-$AU146))</f>
        <v/>
      </c>
      <c r="BV146" s="172">
        <f>MIN(IF($AU146=100%,1,1+VLOOKUP(($AJ146-$AI146-$AH146-$AG146-$AF146-$AE146*(1+BV$3))/$AJ146,'Технический лист'!$I:$J,2,1)-VLOOKUP($AO146,'Технический лист'!$I:$J,2,1)),1+(1-$AU146))</f>
        <v/>
      </c>
      <c r="BW146" s="172">
        <f>MIN(IF($AU146=100%,1,1+VLOOKUP(($AJ146-$AI146-$AH146-$AG146-$AF146-$AE146*(1+BW$3))/$AJ146,'Технический лист'!$I:$J,2,1)-VLOOKUP($AO146,'Технический лист'!$I:$J,2,1)),1+(1-$AU146))</f>
        <v/>
      </c>
      <c r="BX146" s="172">
        <f>MIN(IF($AU146=100%,1,1+VLOOKUP(($AJ146-$AI146-$AH146-$AG146-$AF146-$AE146*(1+BX$3))/$AJ146,'Технический лист'!$I:$J,2,1)-VLOOKUP($AO146,'Технический лист'!$I:$J,2,1)),1+(1-$AU146))</f>
        <v/>
      </c>
      <c r="BY146" s="172">
        <f>MIN(IF($AU146=100%,1,1+VLOOKUP(($AJ146-$AI146-$AH146-$AG146-$AF146-$AE146*(1+BY$3))/$AJ146,'Технический лист'!$I:$J,2,1)-VLOOKUP($AO146,'Технический лист'!$I:$J,2,1)),1+(1-$AU146))</f>
        <v/>
      </c>
      <c r="BZ146" s="172">
        <f>MIN(IF($AU146=100%,1,1+VLOOKUP(($AJ146-$AI146-$AH146-$AG146-$AF146-$AE146*(1+BZ$3))/$AJ146,'Технический лист'!$I:$J,2,1)-VLOOKUP($AO146,'Технический лист'!$I:$J,2,1)),1+(1-$AU146))</f>
        <v/>
      </c>
      <c r="CA146" s="172">
        <f>MIN(IF($AU146=100%,1,1+VLOOKUP(($AJ146-$AI146-$AH146-$AG146-$AF146-$AE146*(1+CA$3))/$AJ146,'Технический лист'!$I:$J,2,1)-VLOOKUP($AO146,'Технический лист'!$I:$J,2,1)),1+(1-$AU146))</f>
        <v/>
      </c>
      <c r="CB146" s="172">
        <f>MIN(IF($AU146=100%,1,1+VLOOKUP(($AJ146-$AI146-$AH146-$AG146-$AF146-$AE146*(1+CB$3))/$AJ146,'Технический лист'!$I:$J,2,1)-VLOOKUP($AO146,'Технический лист'!$I:$J,2,1)),1+(1-$AU146))</f>
        <v/>
      </c>
      <c r="CC146" s="172">
        <f>MIN(IF($AU146=100%,1,1+VLOOKUP(($AJ146-$AI146-$AH146-$AG146-$AF146-$AE146*(1+CC$3))/$AJ146,'Технический лист'!$I:$J,2,1)-VLOOKUP($AO146,'Технический лист'!$I:$J,2,1)),1+(1-$AU146))</f>
        <v/>
      </c>
      <c r="CD146" s="172">
        <f>MIN(IF($AU146=100%,1,1+VLOOKUP(($AJ146-$AI146-$AH146-$AG146-$AF146-$AE146*(1+CD$3))/$AJ146,'Технический лист'!$I:$J,2,1)-VLOOKUP($AO146,'Технический лист'!$I:$J,2,1)),1+(1-$AU146))</f>
        <v/>
      </c>
      <c r="CE146" s="172">
        <f>MIN(IF($AU146=100%,1,1+VLOOKUP(($AJ146-$AI146-$AH146-$AG146-$AF146-$AE146*(1+CE$3))/$AJ146,'Технический лист'!$I:$J,2,1)-VLOOKUP($AO146,'Технический лист'!$I:$J,2,1)),1+(1-$AU146))</f>
        <v/>
      </c>
      <c r="CF146" s="172">
        <f>MIN(IF($AU146=100%,1,1+VLOOKUP(($AJ146-$AI146-$AH146-$AG146-$AF146-$AE146*(1+CF$3))/$AJ146,'Технический лист'!$I:$J,2,1)-VLOOKUP($AO146,'Технический лист'!$I:$J,2,1)),1+(1-$AU146))</f>
        <v/>
      </c>
      <c r="CG146" s="172">
        <f>MIN(IF($AU146=100%,1,1+VLOOKUP(($AJ146-$AI146-$AH146-$AG146-$AF146-$AE146*(1+CG$3))/$AJ146,'Технический лист'!$I:$J,2,1)-VLOOKUP($AO146,'Технический лист'!$I:$J,2,1)),1+(1-$AU146))</f>
        <v/>
      </c>
      <c r="CH146" s="172">
        <f>MIN(IF($AU146=100%,1,1+VLOOKUP(($AJ146-$AI146-$AH146-$AG146-$AF146-$AE146*(1+CH$3))/$AJ146,'Технический лист'!$I:$J,2,1)-VLOOKUP($AO146,'Технический лист'!$I:$J,2,1)),1+(1-$AU146))</f>
        <v/>
      </c>
      <c r="CI146" s="172">
        <f>MIN(IF($AU146=100%,1,1+VLOOKUP(($AJ146-$AI146-$AH146-$AG146-$AF146-$AE146*(1+CI$3))/$AJ146,'Технический лист'!$I:$J,2,1)-VLOOKUP($AO146,'Технический лист'!$I:$J,2,1)),1+(1-$AU146))</f>
        <v/>
      </c>
      <c r="CJ146" s="172">
        <f>MIN(IF($AU146=100%,1,1+VLOOKUP(($AJ146-$AI146-$AH146-$AG146-$AF146-$AE146*(1+CJ$3))/$AJ146,'Технический лист'!$I:$J,2,1)-VLOOKUP($AO146,'Технический лист'!$I:$J,2,1)),1+(1-$AU146))</f>
        <v/>
      </c>
      <c r="CK146" s="172">
        <f>MIN(IF($AU146=100%,1,1+VLOOKUP(($AJ146-$AI146-$AH146-$AG146-$AF146-$AE146*(1+CK$3))/$AJ146,'Технический лист'!$I:$J,2,1)-VLOOKUP($AO146,'Технический лист'!$I:$J,2,1)),1+(1-$AU146))</f>
        <v/>
      </c>
      <c r="CL146" s="172">
        <f>MIN(IF($AU146=100%,1,1+VLOOKUP(($AJ146-$AI146-$AH146-$AG146-$AF146-$AE146*(1+CL$3))/$AJ146,'Технический лист'!$I:$J,2,1)-VLOOKUP($AO146,'Технический лист'!$I:$J,2,1)),1+(1-$AU146))</f>
        <v/>
      </c>
      <c r="CM146" s="172">
        <f>MIN(IF($AU146=100%,1,1+VLOOKUP(($AJ146-$AI146-$AH146-$AG146-$AF146-$AE146*(1+CM$3))/$AJ146,'Технический лист'!$I:$J,2,1)-VLOOKUP($AO146,'Технический лист'!$I:$J,2,1)),1+(1-$AU146))</f>
        <v/>
      </c>
      <c r="CN146" s="172">
        <f>MIN(IF($AU146=100%,1,1+VLOOKUP(($AJ146-$AI146-$AH146-$AG146-$AF146-$AE146*(1+CN$3))/$AJ146,'Технический лист'!$I:$J,2,1)-VLOOKUP($AO146,'Технический лист'!$I:$J,2,1)),1+(1-$AU146))</f>
        <v/>
      </c>
      <c r="CO146" s="172">
        <f>MIN(IF($AU146=100%,1,1+VLOOKUP(($AJ146-$AI146-$AH146-$AG146-$AF146-$AE146*(1+CO$3))/$AJ146,'Технический лист'!$I:$J,2,1)-VLOOKUP($AO146,'Технический лист'!$I:$J,2,1)),1+(1-$AU146))</f>
        <v/>
      </c>
      <c r="CP146" s="172">
        <f>MIN(IF($AU146=100%,1,1+VLOOKUP(($AJ146-$AI146-$AH146-$AG146-$AF146-$AE146*(1+CP$3))/$AJ146,'Технический лист'!$I:$J,2,1)-VLOOKUP($AO146,'Технический лист'!$I:$J,2,1)),1+(1-$AU146))</f>
        <v/>
      </c>
      <c r="CQ146" s="172">
        <f>MIN(IF($AU146=100%,1,1+VLOOKUP(($AJ146-$AI146-$AH146-$AG146-$AF146-$AE146*(1+CQ$3))/$AJ146,'Технический лист'!$I:$J,2,1)-VLOOKUP($AO146,'Технический лист'!$I:$J,2,1)),1+(1-$AU146))</f>
        <v/>
      </c>
      <c r="CR146" s="172">
        <f>MIN(IF($AU146=100%,1,1+VLOOKUP(($AJ146-$AI146-$AH146-$AG146-$AF146-$AE146*(1+CR$3))/$AJ146,'Технический лист'!$I:$J,2,1)-VLOOKUP($AO146,'Технический лист'!$I:$J,2,1)),1+(1-$AU146))</f>
        <v/>
      </c>
      <c r="CS146" s="172">
        <f>MIN(IF($AU146=100%,1,1+VLOOKUP(($AJ146-$AI146-$AH146-$AG146-$AF146-$AE146*(1+CS$3))/$AJ146,'Технический лист'!$I:$J,2,1)-VLOOKUP($AO146,'Технический лист'!$I:$J,2,1)),1+(1-$AU146))</f>
        <v/>
      </c>
      <c r="CT146" s="172">
        <f>MIN(IF($AU146=100%,1,1+VLOOKUP(($AJ146-$AI146-$AH146-$AG146-$AF146-$AE146*(1+CT$3))/$AJ146,'Технический лист'!$I:$J,2,1)-VLOOKUP($AO146,'Технический лист'!$I:$J,2,1)),1+(1-$AU146))</f>
        <v/>
      </c>
      <c r="CU146" s="172">
        <f>MIN(IF($AU146=100%,1,1+VLOOKUP(($AJ146-$AI146-$AH146-$AG146-$AF146-$AE146*(1+CU$3))/$AJ146,'Технический лист'!$I:$J,2,1)-VLOOKUP($AO146,'Технический лист'!$I:$J,2,1)),1+(1-$AU146))</f>
        <v/>
      </c>
      <c r="CV146" s="172">
        <f>MIN(IF($AU146=100%,1,1+VLOOKUP(($AJ146-$AI146-$AH146-$AG146-$AF146-$AE146*(1+CV$3))/$AJ146,'Технический лист'!$I:$J,2,1)-VLOOKUP($AO146,'Технический лист'!$I:$J,2,1)),1+(1-$AU146))</f>
        <v/>
      </c>
      <c r="CW146" s="172">
        <f>MIN(IF($AU146=100%,1,1+VLOOKUP(($AJ146-$AI146-$AH146-$AG146-$AF146-$AE146*(1+CW$3))/$AJ146,'Технический лист'!$I:$J,2,1)-VLOOKUP($AO146,'Технический лист'!$I:$J,2,1)),1+(1-$AU146))</f>
        <v/>
      </c>
      <c r="CX146" s="172">
        <f>MIN(IF($AU146=100%,1,1+VLOOKUP(($AJ146-$AI146-$AH146-$AG146-$AF146-$AE146*(1+CX$3))/$AJ146,'Технический лист'!$I:$J,2,1)-VLOOKUP($AO146,'Технический лист'!$I:$J,2,1)),1+(1-$AU146))</f>
        <v/>
      </c>
      <c r="CY146" s="172">
        <f>MIN(IF($AU146=100%,1,1+VLOOKUP(($AJ146-$AI146-$AH146-$AG146-$AF146-$AE146*(1+CY$3))/$AJ146,'Технический лист'!$I:$J,2,1)-VLOOKUP($AO146,'Технический лист'!$I:$J,2,1)),1+(1-$AU146))</f>
        <v/>
      </c>
      <c r="CZ146" s="172">
        <f>MIN(IF($AU146=100%,1,1+VLOOKUP(($AJ146-$AI146-$AH146-$AG146-$AF146-$AE146*(1+CZ$3))/$AJ146,'Технический лист'!$I:$J,2,1)-VLOOKUP($AO146,'Технический лист'!$I:$J,2,1)),1+(1-$AU146))</f>
        <v/>
      </c>
      <c r="DA146" s="172">
        <f>MIN(IF($AU146=100%,1,1+VLOOKUP(($AJ146-$AI146-$AH146-$AG146-$AF146-$AE146*(1+DA$3))/$AJ146,'Технический лист'!$I:$J,2,1)-VLOOKUP($AO146,'Технический лист'!$I:$J,2,1)),1+(1-$AU146))</f>
        <v/>
      </c>
      <c r="DB146" s="172">
        <f>MIN(IF($AU146=100%,1,1+VLOOKUP(($AJ146-$AI146-$AH146-$AG146-$AF146-$AE146*(1+DB$3))/$AJ146,'Технический лист'!$I:$J,2,1)-VLOOKUP($AO146,'Технический лист'!$I:$J,2,1)),1+(1-$AU146))</f>
        <v/>
      </c>
      <c r="DC146" s="172">
        <f>MIN(IF($AU146=100%,1,1+VLOOKUP(($AJ146-$AI146-$AH146-$AG146-$AF146-$AE146*(1+DC$3))/$AJ146,'Технический лист'!$I:$J,2,1)-VLOOKUP($AO146,'Технический лист'!$I:$J,2,1)),1+(1-$AU146))</f>
        <v/>
      </c>
      <c r="DD146" s="172">
        <f>MIN(IF($AU146=100%,1,1+VLOOKUP(($AJ146-$AI146-$AH146-$AG146-$AF146-$AE146*(1+DD$3))/$AJ146,'Технический лист'!$I:$J,2,1)-VLOOKUP($AO146,'Технический лист'!$I:$J,2,1)),1+(1-$AU146))</f>
        <v/>
      </c>
      <c r="DE146" s="172">
        <f>MIN(IF($AU146=100%,1,1+VLOOKUP(($AJ146-$AI146-$AH146-$AG146-$AF146-$AE146*(1+DE$3))/$AJ146,'Технический лист'!$I:$J,2,1)-VLOOKUP($AO146,'Технический лист'!$I:$J,2,1)),1+(1-$AU146))</f>
        <v/>
      </c>
      <c r="DF146" s="172">
        <f>MIN(IF($AU146=100%,1,1+VLOOKUP(($AJ146-$AI146-$AH146-$AG146-$AF146-$AE146*(1+DF$3))/$AJ146,'Технический лист'!$I:$J,2,1)-VLOOKUP($AO146,'Технический лист'!$I:$J,2,1)),1+(1-$AU146))</f>
        <v/>
      </c>
      <c r="DG146" s="172">
        <f>MIN(IF($AU146=100%,1,1+VLOOKUP(($AJ146-$AI146-$AH146-$AG146-$AF146-$AE146*(1+DG$3))/$AJ146,'Технический лист'!$I:$J,2,1)-VLOOKUP($AO146,'Технический лист'!$I:$J,2,1)),1+(1-$AU146))</f>
        <v/>
      </c>
      <c r="DH146" s="172">
        <f>MIN(IF($AU146=100%,1,1+VLOOKUP(($AJ146-$AI146-$AH146-$AG146-$AF146-$AE146*(1+DH$3))/$AJ146,'Технический лист'!$I:$J,2,1)-VLOOKUP($AO146,'Технический лист'!$I:$J,2,1)),1+(1-$AU146))</f>
        <v/>
      </c>
      <c r="DI146" s="172">
        <f>MIN(IF($AU146=100%,1,1+VLOOKUP(($AJ146-$AI146-$AH146-$AG146-$AF146-$AE146*(1+DI$3))/$AJ146,'Технический лист'!$I:$J,2,1)-VLOOKUP($AO146,'Технический лист'!$I:$J,2,1)),1+(1-$AU146))</f>
        <v/>
      </c>
      <c r="DJ146" s="172">
        <f>MIN(IF($AU146=100%,1,1+VLOOKUP(($AJ146-$AI146-$AH146-$AG146-$AF146-$AE146*(1+DJ$3))/$AJ146,'Технический лист'!$I:$J,2,1)-VLOOKUP($AO146,'Технический лист'!$I:$J,2,1)),1+(1-$AU146))</f>
        <v/>
      </c>
      <c r="DK146" s="172">
        <f>MIN(IF($AU146=100%,1,1+VLOOKUP(($AJ146-$AI146-$AH146-$AG146-$AF146-$AE146*(1+DK$3))/$AJ146,'Технический лист'!$I:$J,2,1)-VLOOKUP($AO146,'Технический лист'!$I:$J,2,1)),1+(1-$AU146))</f>
        <v/>
      </c>
      <c r="DL146" s="172">
        <f>MIN(IF($AU146=100%,1,1+VLOOKUP(($AJ146-$AI146-$AH146-$AG146-$AF146-$AE146*(1+DL$3))/$AJ146,'Технический лист'!$I:$J,2,1)-VLOOKUP($AO146,'Технический лист'!$I:$J,2,1)),1+(1-$AU146))</f>
        <v/>
      </c>
      <c r="DM146" s="172">
        <f>MIN(IF($AU146=100%,1,1+VLOOKUP(($AJ146-$AI146-$AH146-$AG146-$AF146-$AE146*(1+DM$3))/$AJ146,'Технический лист'!$I:$J,2,1)-VLOOKUP($AO146,'Технический лист'!$I:$J,2,1)),1+(1-$AU146))</f>
        <v/>
      </c>
      <c r="DN146" s="172">
        <f>MIN(IF($AU146=100%,1,1+VLOOKUP(($AJ146-$AI146-$AH146-$AG146-$AF146-$AE146*(1+DN$3))/$AJ146,'Технический лист'!$I:$J,2,1)-VLOOKUP($AO146,'Технический лист'!$I:$J,2,1)),1+(1-$AU146))</f>
        <v/>
      </c>
      <c r="DO146" s="172">
        <f>MIN(IF($AU146=100%,1,1+VLOOKUP(($AJ146-$AI146-$AH146-$AG146-$AF146-$AE146*(1+DO$3))/$AJ146,'Технический лист'!$I:$J,2,1)-VLOOKUP($AO146,'Технический лист'!$I:$J,2,1)),1+(1-$AU146))</f>
        <v/>
      </c>
      <c r="DP146" s="172">
        <f>MIN(IF($AU146=100%,1,1+VLOOKUP(($AJ146-$AI146-$AH146-$AG146-$AF146-$AE146*(1+DP$3))/$AJ146,'Технический лист'!$I:$J,2,1)-VLOOKUP($AO146,'Технический лист'!$I:$J,2,1)),1+(1-$AU146))</f>
        <v/>
      </c>
      <c r="DQ146" s="172">
        <f>MIN(IF($AU146=100%,1,1+VLOOKUP(($AJ146-$AI146-$AH146-$AG146-$AF146-$AE146*(1+DQ$3))/$AJ146,'Технический лист'!$I:$J,2,1)-VLOOKUP($AO146,'Технический лист'!$I:$J,2,1)),1+(1-$AU146))</f>
        <v/>
      </c>
      <c r="DR146" s="172">
        <f>MIN(IF($AU146=100%,1,1+VLOOKUP(($AJ146-$AI146-$AH146-$AG146-$AF146-$AE146*(1+DR$3))/$AJ146,'Технический лист'!$I:$J,2,1)-VLOOKUP($AO146,'Технический лист'!$I:$J,2,1)),1+(1-$AU146))</f>
        <v/>
      </c>
      <c r="DS146" s="172">
        <f>MIN(IF($AU146=100%,1,1+VLOOKUP(($AJ146-$AI146-$AH146-$AG146-$AF146-$AE146*(1+DS$3))/$AJ146,'Технический лист'!$I:$J,2,1)-VLOOKUP($AO146,'Технический лист'!$I:$J,2,1)),1+(1-$AU146))</f>
        <v/>
      </c>
      <c r="DT146" s="172">
        <f>MIN(IF($AU146=100%,1,1+VLOOKUP(($AJ146-$AI146-$AH146-$AG146-$AF146-$AE146*(1+DT$3))/$AJ146,'Технический лист'!$I:$J,2,1)-VLOOKUP($AO146,'Технический лист'!$I:$J,2,1)),1+(1-$AU146))</f>
        <v/>
      </c>
      <c r="DU146" s="172">
        <f>MIN(IF($AU146=100%,1,1+VLOOKUP(($AJ146-$AI146-$AH146-$AG146-$AF146-$AE146*(1+DU$3))/$AJ146,'Технический лист'!$I:$J,2,1)-VLOOKUP($AO146,'Технический лист'!$I:$J,2,1)),1+(1-$AU146))</f>
        <v/>
      </c>
      <c r="DV146" s="172">
        <f>MIN(IF($AU146=100%,1,1+VLOOKUP(($AJ146-$AI146-$AH146-$AG146-$AF146-$AE146*(1+DV$3))/$AJ146,'Технический лист'!$I:$J,2,1)-VLOOKUP($AO146,'Технический лист'!$I:$J,2,1)),1+(1-$AU146))</f>
        <v/>
      </c>
      <c r="DW146" s="172">
        <f>MIN(IF($AU146=100%,1,1+VLOOKUP(($AJ146-$AI146-$AH146-$AG146-$AF146-$AE146*(1+DW$3))/$AJ146,'Технический лист'!$I:$J,2,1)-VLOOKUP($AO146,'Технический лист'!$I:$J,2,1)),1+(1-$AU146))</f>
        <v/>
      </c>
      <c r="DX146" s="172">
        <f>MIN(IF($AU146=100%,1,1+VLOOKUP(($AJ146-$AI146-$AH146-$AG146-$AF146-$AE146*(1+DX$3))/$AJ146,'Технический лист'!$I:$J,2,1)-VLOOKUP($AO146,'Технический лист'!$I:$J,2,1)),1+(1-$AU146))</f>
        <v/>
      </c>
      <c r="DY146" s="172">
        <f>MIN(IF($AU146=100%,1,1+VLOOKUP(($AJ146-$AI146-$AH146-$AG146-$AF146-$AE146*(1+DY$3))/$AJ146,'Технический лист'!$I:$J,2,1)-VLOOKUP($AO146,'Технический лист'!$I:$J,2,1)),1+(1-$AU146))</f>
        <v/>
      </c>
      <c r="DZ146" s="172">
        <f>MIN(IF($AU146=100%,1,1+VLOOKUP(($AJ146-$AI146-$AH146-$AG146-$AF146-$AE146*(1+DZ$3))/$AJ146,'Технический лист'!$I:$J,2,1)-VLOOKUP($AO146,'Технический лист'!$I:$J,2,1)),1+(1-$AU146))</f>
        <v/>
      </c>
      <c r="EA146" s="172">
        <f>MIN(IF($AU146=100%,1,1+VLOOKUP(($AJ146-$AI146-$AH146-$AG146-$AF146-$AE146*(1+EA$3))/$AJ146,'Технический лист'!$I:$J,2,1)-VLOOKUP($AO146,'Технический лист'!$I:$J,2,1)),1+(1-$AU146))</f>
        <v/>
      </c>
      <c r="EB146" s="172">
        <f>MIN(IF($AU146=100%,1,1+VLOOKUP(($AJ146-$AI146-$AH146-$AG146-$AF146-$AE146*(1+EB$3))/$AJ146,'Технический лист'!$I:$J,2,1)-VLOOKUP($AO146,'Технический лист'!$I:$J,2,1)),1+(1-$AU146))</f>
        <v/>
      </c>
      <c r="EC146" s="172">
        <f>MIN(IF($AU146=100%,1,1+VLOOKUP(($AJ146-$AI146-$AH146-$AG146-$AF146-$AE146*(1+EC$3))/$AJ146,'Технический лист'!$I:$J,2,1)-VLOOKUP($AO146,'Технический лист'!$I:$J,2,1)),1+(1-$AU146))</f>
        <v/>
      </c>
      <c r="ED146" s="172">
        <f>MIN(IF($AU146=100%,1,1+VLOOKUP(($AJ146-$AI146-$AH146-$AG146-$AF146-$AE146*(1+ED$3))/$AJ146,'Технический лист'!$I:$J,2,1)-VLOOKUP($AO146,'Технический лист'!$I:$J,2,1)),1+(1-$AU146))</f>
        <v/>
      </c>
      <c r="EE146" s="172">
        <f>MIN(IF($AU146=100%,1,1+VLOOKUP(($AJ146-$AI146-$AH146-$AG146-$AF146-$AE146*(1+EE$3))/$AJ146,'Технический лист'!$I:$J,2,1)-VLOOKUP($AO146,'Технический лист'!$I:$J,2,1)),1+(1-$AU146))</f>
        <v/>
      </c>
      <c r="EF146" s="172">
        <f>MIN(IF($AU146=100%,1,1+VLOOKUP(($AJ146-$AI146-$AH146-$AG146-$AF146-$AE146*(1+EF$3))/$AJ146,'Технический лист'!$I:$J,2,1)-VLOOKUP($AO146,'Технический лист'!$I:$J,2,1)),1+(1-$AU146))</f>
        <v/>
      </c>
      <c r="EG146" s="172">
        <f>MIN(IF($AU146=100%,1,1+VLOOKUP(($AJ146-$AI146-$AH146-$AG146-$AF146-$AE146*(1+EG$3))/$AJ146,'Технический лист'!$I:$J,2,1)-VLOOKUP($AO146,'Технический лист'!$I:$J,2,1)),1+(1-$AU146))</f>
        <v/>
      </c>
      <c r="EH146" s="172">
        <f>MIN(IF($AU146=100%,1,1+VLOOKUP(($AJ146-$AI146-$AH146-$AG146-$AF146-$AE146*(1+EH$3))/$AJ146,'Технический лист'!$I:$J,2,1)-VLOOKUP($AO146,'Технический лист'!$I:$J,2,1)),1+(1-$AU146))</f>
        <v/>
      </c>
      <c r="EI146" s="172">
        <f>MIN(IF($AU146=100%,1,1+VLOOKUP(($AJ146-$AI146-$AH146-$AG146-$AF146-$AE146*(1+EI$3))/$AJ146,'Технический лист'!$I:$J,2,1)-VLOOKUP($AO146,'Технический лист'!$I:$J,2,1)),1+(1-$AU146))</f>
        <v/>
      </c>
      <c r="EJ146" s="172">
        <f>MIN(IF($AU146=100%,1,1+VLOOKUP(($AJ146-$AI146-$AH146-$AG146-$AF146-$AE146*(1+EJ$3))/$AJ146,'Технический лист'!$I:$J,2,1)-VLOOKUP($AO146,'Технический лист'!$I:$J,2,1)),1+(1-$AU146))</f>
        <v/>
      </c>
      <c r="EK146" s="172">
        <f>MIN(IF($AU146=100%,1,1+VLOOKUP(($AJ146-$AI146-$AH146-$AG146-$AF146-$AE146*(1+EK$3))/$AJ146,'Технический лист'!$I:$J,2,1)-VLOOKUP($AO146,'Технический лист'!$I:$J,2,1)),1+(1-$AU146))</f>
        <v/>
      </c>
      <c r="EL146" s="172">
        <f>MIN(IF($AU146=100%,1,1+VLOOKUP(($AJ146-$AI146-$AH146-$AG146-$AF146-$AE146*(1+EL$3))/$AJ146,'Технический лист'!$I:$J,2,1)-VLOOKUP($AO146,'Технический лист'!$I:$J,2,1)),1+(1-$AU146))</f>
        <v/>
      </c>
      <c r="EM146" s="172">
        <f>MIN(IF($AU146=100%,1,1+VLOOKUP(($AJ146-$AI146-$AH146-$AG146-$AF146-$AE146*(1+EM$3))/$AJ146,'Технический лист'!$I:$J,2,1)-VLOOKUP($AO146,'Технический лист'!$I:$J,2,1)),1+(1-$AU146))</f>
        <v/>
      </c>
      <c r="EN146" s="172">
        <f>MIN(IF($AU146=100%,1,1+VLOOKUP(($AJ146-$AI146-$AH146-$AG146-$AF146-$AE146*(1+EN$3))/$AJ146,'Технический лист'!$I:$J,2,1)-VLOOKUP($AO146,'Технический лист'!$I:$J,2,1)),1+(1-$AU146))</f>
        <v/>
      </c>
      <c r="EO146" s="172">
        <f>MIN(IF($AU146=100%,1,1+VLOOKUP(($AJ146-$AI146-$AH146-$AG146-$AF146-$AE146*(1+EO$3))/$AJ146,'Технический лист'!$I:$J,2,1)-VLOOKUP($AO146,'Технический лист'!$I:$J,2,1)),1+(1-$AU146))</f>
        <v/>
      </c>
      <c r="EP146" s="172">
        <f>MIN(IF($AU146=100%,1,1+VLOOKUP(($AJ146-$AI146-$AH146-$AG146-$AF146-$AE146*(1+EP$3))/$AJ146,'Технический лист'!$I:$J,2,1)-VLOOKUP($AO146,'Технический лист'!$I:$J,2,1)),1+(1-$AU146))</f>
        <v/>
      </c>
      <c r="EQ146" s="172">
        <f>MIN(IF($AU146=100%,1,1+VLOOKUP(($AJ146-$AI146-$AH146-$AG146-$AF146-$AE146*(1+EQ$3))/$AJ146,'Технический лист'!$I:$J,2,1)-VLOOKUP($AO146,'Технический лист'!$I:$J,2,1)),1+(1-$AU146))</f>
        <v/>
      </c>
      <c r="ER146" s="172">
        <f>MIN(IF($AU146=100%,1,1+VLOOKUP(($AJ146-$AI146-$AH146-$AG146-$AF146-$AE146*(1+ER$3))/$AJ146,'Технический лист'!$I:$J,2,1)-VLOOKUP($AO146,'Технический лист'!$I:$J,2,1)),1+(1-$AU146))</f>
        <v/>
      </c>
      <c r="ES146" s="172">
        <f>MIN(IF($AU146=100%,1,1+VLOOKUP(($AJ146-$AI146-$AH146-$AG146-$AF146-$AE146*(1+ES$3))/$AJ146,'Технический лист'!$I:$J,2,1)-VLOOKUP($AO146,'Технический лист'!$I:$J,2,1)),1+(1-$AU146))</f>
        <v/>
      </c>
      <c r="ET146" s="172">
        <f>MIN(IF($AU146=100%,1,1+VLOOKUP(($AJ146-$AI146-$AH146-$AG146-$AF146-$AE146*(1+ET$3))/$AJ146,'Технический лист'!$I:$J,2,1)-VLOOKUP($AO146,'Технический лист'!$I:$J,2,1)),1+(1-$AU146))</f>
        <v/>
      </c>
      <c r="EU146" s="172">
        <f>MIN(IF($AU146=100%,1,1+VLOOKUP(($AJ146-$AI146-$AH146-$AG146-$AF146-$AE146*(1+EU$3))/$AJ146,'Технический лист'!$I:$J,2,1)-VLOOKUP($AO146,'Технический лист'!$I:$J,2,1)),1+(1-$AU146))</f>
        <v/>
      </c>
      <c r="EV146" s="173" t="n">
        <v>1</v>
      </c>
      <c r="EW146" s="172">
        <f>MIN(1,MAX(VLOOKUP(($AJ146-$AI146-$AH146-$AG146-$AF146-$AE146*(1+EW$3))/$AJ146,'Технический лист'!$A:$B,2,1),(EV146-0.05)))</f>
        <v/>
      </c>
      <c r="EX146" s="172">
        <f>MIN(1,MAX(VLOOKUP(($AJ146-$AI146-$AH146-$AG146-$AF146-$AE146*(1+EX$3))/$AJ146,'Технический лист'!$A:$B,2,1),(EW146-0.05)))</f>
        <v/>
      </c>
      <c r="EY146" s="172">
        <f>MIN(1,MAX(VLOOKUP(($AJ146-$AI146-$AH146-$AG146-$AF146-$AE146*(1+EY$3))/$AJ146,'Технический лист'!$A:$B,2,1),(EX146-0.05)))</f>
        <v/>
      </c>
      <c r="EZ146" s="172">
        <f>MIN(1,MAX(VLOOKUP(($AJ146-$AI146-$AH146-$AG146-$AF146-$AE146*(1+EZ$3))/$AJ146,'Технический лист'!$A:$B,2,1),(EY146-0.05)))</f>
        <v/>
      </c>
      <c r="FA146" s="172">
        <f>MIN(1,MAX(VLOOKUP(($AJ146-$AI146-$AH146-$AG146-$AF146-$AE146*(1+FA$3))/$AJ146,'Технический лист'!$A:$B,2,1),(EZ146-0.05)))</f>
        <v/>
      </c>
      <c r="FB146" s="172">
        <f>MIN(1,MAX(VLOOKUP(($AJ146-$AI146-$AH146-$AG146-$AF146-$AE146*(1+FB$3))/$AJ146,'Технический лист'!$A:$B,2,1),(FA146-0.05)))</f>
        <v/>
      </c>
      <c r="FC146" s="172">
        <f>MIN(1,MAX(VLOOKUP(($AJ146-$AI146-$AH146-$AG146-$AF146-$AE146*(1+FC$3))/$AJ146,'Технический лист'!$A:$B,2,1),(FB146-0.05)))</f>
        <v/>
      </c>
      <c r="FD146" s="172">
        <f>MIN(1,MAX(VLOOKUP(($AJ146-$AI146-$AH146-$AG146-$AF146-$AE146*(1+FD$3))/$AJ146,'Технический лист'!$A:$B,2,1),(FC146-0.05)))</f>
        <v/>
      </c>
      <c r="FE146" s="172">
        <f>MIN(1,MAX(VLOOKUP(($AJ146-$AI146-$AH146-$AG146-$AF146-$AE146*(1+FE$3))/$AJ146,'Технический лист'!$A:$B,2,1),(FD146-0.05)))</f>
        <v/>
      </c>
      <c r="FF146" s="172">
        <f>MIN(1,MAX(VLOOKUP(($AJ146-$AI146-$AH146-$AG146-$AF146-$AE146*(1+FF$3))/$AJ146,'Технический лист'!$A:$B,2,1),(FE146-0.05)))</f>
        <v/>
      </c>
      <c r="FG146" s="172">
        <f>MIN(1,MAX(VLOOKUP(($AJ146-$AI146-$AH146-$AG146-$AF146-$AE146*(1+FG$3))/$AJ146,'Технический лист'!$A:$B,2,1),(FF146-0.05)))</f>
        <v/>
      </c>
      <c r="FH146" s="172">
        <f>MIN(1,MAX(VLOOKUP(($AJ146-$AI146-$AH146-$AG146-$AF146-$AE146*(1+FH$3))/$AJ146,'Технический лист'!$A:$B,2,1),(FG146-0.05)))</f>
        <v/>
      </c>
      <c r="FI146" s="172">
        <f>MIN(1,MAX(VLOOKUP(($AJ146-$AI146-$AH146-$AG146-$AF146-$AE146*(1+FI$3))/$AJ146,'Технический лист'!$A:$B,2,1),(FH146-0.05)))</f>
        <v/>
      </c>
      <c r="FJ146" s="172">
        <f>MIN(1,MAX(VLOOKUP(($AJ146-$AI146-$AH146-$AG146-$AF146-$AE146*(1+FJ$3))/$AJ146,'Технический лист'!$A:$B,2,1),(FI146-0.05)))</f>
        <v/>
      </c>
      <c r="FK146" s="172">
        <f>MIN(1,MAX(VLOOKUP(($AJ146-$AI146-$AH146-$AG146-$AF146-$AE146*(1+FK$3))/$AJ146,'Технический лист'!$A:$B,2,1),(FJ146-0.05)))</f>
        <v/>
      </c>
      <c r="FL146" s="172">
        <f>MIN(1,MAX(VLOOKUP(($AJ146-$AI146-$AH146-$AG146-$AF146-$AE146*(1+FL$3))/$AJ146,'Технический лист'!$A:$B,2,1),(FK146-0.05)))</f>
        <v/>
      </c>
      <c r="FM146" s="172">
        <f>MIN(1,MAX(VLOOKUP(($AJ146-$AI146-$AH146-$AG146-$AF146-$AE146*(1+FM$3))/$AJ146,'Технический лист'!$A:$B,2,1),(FL146-0.05)))</f>
        <v/>
      </c>
      <c r="FN146" s="172">
        <f>MIN(1,MAX(VLOOKUP(($AJ146-$AI146-$AH146-$AG146-$AF146-$AE146*(1+FN$3))/$AJ146,'Технический лист'!$A:$B,2,1),(FM146-0.05)))</f>
        <v/>
      </c>
      <c r="FO146" s="172">
        <f>MIN(1,MAX(VLOOKUP(($AJ146-$AI146-$AH146-$AG146-$AF146-$AE146*(1+FO$3))/$AJ146,'Технический лист'!$A:$B,2,1),(FN146-0.05)))</f>
        <v/>
      </c>
      <c r="FP146" s="172">
        <f>MIN(1,MAX(VLOOKUP(($AJ146-$AI146-$AH146-$AG146-$AF146-$AE146*(1+FP$3))/$AJ146,'Технический лист'!$A:$B,2,1),(FO146-0.05)))</f>
        <v/>
      </c>
      <c r="FQ146" s="172">
        <f>MIN(1,MAX(VLOOKUP(($AJ146-$AI146-$AH146-$AG146-$AF146-$AE146*(1+FQ$3))/$AJ146,'Технический лист'!$A:$B,2,1),(FP146-0.05)))</f>
        <v/>
      </c>
      <c r="FR146" s="172">
        <f>MIN(1,MAX(VLOOKUP(($AJ146-$AI146-$AH146-$AG146-$AF146-$AE146*(1+FR$3))/$AJ146,'Технический лист'!$A:$B,2,1),(FQ146-0.05)))</f>
        <v/>
      </c>
      <c r="FS146" s="172">
        <f>MIN(1,MAX(VLOOKUP(($AJ146-$AI146-$AH146-$AG146-$AF146-$AE146*(1+FS$3))/$AJ146,'Технический лист'!$A:$B,2,1),(FR146-0.05)))</f>
        <v/>
      </c>
      <c r="FT146" s="172">
        <f>MIN(1,MAX(VLOOKUP(($AJ146-$AI146-$AH146-$AG146-$AF146-$AE146*(1+FT$3))/$AJ146,'Технический лист'!$A:$B,2,1),(FS146-0.05)))</f>
        <v/>
      </c>
      <c r="FU146" s="172">
        <f>MIN(1,MAX(VLOOKUP(($AJ146-$AI146-$AH146-$AG146-$AF146-$AE146*(1+FU$3))/$AJ146,'Технический лист'!$A:$B,2,1),(FT146-0.05)))</f>
        <v/>
      </c>
      <c r="FV146" s="172">
        <f>MIN(1,MAX(VLOOKUP(($AJ146-$AI146-$AH146-$AG146-$AF146-$AE146*(1+FV$3))/$AJ146,'Технический лист'!$A:$B,2,1),(FU146-0.05)))</f>
        <v/>
      </c>
      <c r="FW146" s="172">
        <f>MIN(1,MAX(VLOOKUP(($AJ146-$AI146-$AH146-$AG146-$AF146-$AE146*(1+FW$3))/$AJ146,'Технический лист'!$A:$B,2,1),(FV146-0.05)))</f>
        <v/>
      </c>
      <c r="FX146" s="172">
        <f>MIN(1,MAX(VLOOKUP(($AJ146-$AI146-$AH146-$AG146-$AF146-$AE146*(1+FX$3))/$AJ146,'Технический лист'!$A:$B,2,1),(FW146-0.05)))</f>
        <v/>
      </c>
      <c r="FY146" s="172">
        <f>MIN(1,MAX(VLOOKUP(($AJ146-$AI146-$AH146-$AG146-$AF146-$AE146*(1+FY$3))/$AJ146,'Технический лист'!$A:$B,2,1),(FX146-0.05)))</f>
        <v/>
      </c>
      <c r="FZ146" s="172">
        <f>MIN(1,MAX(VLOOKUP(($AJ146-$AI146-$AH146-$AG146-$AF146-$AE146*(1+FZ$3))/$AJ146,'Технический лист'!$A:$B,2,1),(FY146-0.05)))</f>
        <v/>
      </c>
      <c r="GA146" s="172">
        <f>MIN(1,MAX(VLOOKUP(($AJ146-$AI146-$AH146-$AG146-$AF146-$AE146*(1+GA$3))/$AJ146,'Технический лист'!$A:$B,2,1),(FZ146-0.05)))</f>
        <v/>
      </c>
      <c r="GB146" s="172">
        <f>MIN(1,MAX(VLOOKUP(($AJ146-$AI146-$AH146-$AG146-$AF146-$AE146*(1+GB$3))/$AJ146,'Технический лист'!$A:$B,2,1),(GA146-0.05)))</f>
        <v/>
      </c>
      <c r="GC146" s="172">
        <f>MIN(1,MAX(VLOOKUP(($AJ146-$AI146-$AH146-$AG146-$AF146-$AE146*(1+GC$3))/$AJ146,'Технический лист'!$A:$B,2,1),(GB146-0.05)))</f>
        <v/>
      </c>
      <c r="GD146" s="172">
        <f>MIN(1,MAX(VLOOKUP(($AJ146-$AI146-$AH146-$AG146-$AF146-$AE146*(1+GD$3))/$AJ146,'Технический лист'!$A:$B,2,1),(GC146-0.05)))</f>
        <v/>
      </c>
      <c r="GE146" s="172">
        <f>MIN(1,MAX(VLOOKUP(($AJ146-$AI146-$AH146-$AG146-$AF146-$AE146*(1+GE$3))/$AJ146,'Технический лист'!$A:$B,2,1),(GD146-0.05)))</f>
        <v/>
      </c>
      <c r="GF146" s="172">
        <f>MIN(1,MAX(VLOOKUP(($AJ146-$AI146-$AH146-$AG146-$AF146-$AE146*(1+GF$3))/$AJ146,'Технический лист'!$A:$B,2,1),(GE146-0.05)))</f>
        <v/>
      </c>
      <c r="GG146" s="172">
        <f>MIN(1,MAX(VLOOKUP(($AJ146-$AI146-$AH146-$AG146-$AF146-$AE146*(1+GG$3))/$AJ146,'Технический лист'!$A:$B,2,1),(GF146-0.05)))</f>
        <v/>
      </c>
      <c r="GH146" s="172">
        <f>MIN(1,MAX(VLOOKUP(($AJ146-$AI146-$AH146-$AG146-$AF146-$AE146*(1+GH$3))/$AJ146,'Технический лист'!$A:$B,2,1),(GG146-0.05)))</f>
        <v/>
      </c>
      <c r="GI146" s="172">
        <f>MIN(1,MAX(VLOOKUP(($AJ146-$AI146-$AH146-$AG146-$AF146-$AE146*(1+GI$3))/$AJ146,'Технический лист'!$A:$B,2,1),(GH146-0.05)))</f>
        <v/>
      </c>
      <c r="GJ146" s="172">
        <f>MIN(1,MAX(VLOOKUP(($AJ146-$AI146-$AH146-$AG146-$AF146-$AE146*(1+GJ$3))/$AJ146,'Технический лист'!$A:$B,2,1),(GI146-0.05)))</f>
        <v/>
      </c>
      <c r="GK146" s="172">
        <f>MIN(1,MAX(VLOOKUP(($AJ146-$AI146-$AH146-$AG146-$AF146-$AE146*(1+GK$3))/$AJ146,'Технический лист'!$A:$B,2,1),(GJ146-0.05)))</f>
        <v/>
      </c>
      <c r="GL146" s="172">
        <f>MIN(1,MAX(VLOOKUP(($AJ146-$AI146-$AH146-$AG146-$AF146-$AE146*(1+GL$3))/$AJ146,'Технический лист'!$A:$B,2,1),(GK146-0.05)))</f>
        <v/>
      </c>
      <c r="GM146" s="172">
        <f>MIN(1,MAX(VLOOKUP(($AJ146-$AI146-$AH146-$AG146-$AF146-$AE146*(1+GM$3))/$AJ146,'Технический лист'!$A:$B,2,1),(GL146-0.05)))</f>
        <v/>
      </c>
      <c r="GN146" s="172">
        <f>MIN(1,MAX(VLOOKUP(($AJ146-$AI146-$AH146-$AG146-$AF146-$AE146*(1+GN$3))/$AJ146,'Технический лист'!$A:$B,2,1),(GM146-0.05)))</f>
        <v/>
      </c>
      <c r="GO146" s="172">
        <f>MIN(1,MAX(VLOOKUP(($AJ146-$AI146-$AH146-$AG146-$AF146-$AE146*(1+GO$3))/$AJ146,'Технический лист'!$A:$B,2,1),(GN146-0.05)))</f>
        <v/>
      </c>
      <c r="GP146" s="172">
        <f>MIN(1,MAX(VLOOKUP(($AJ146-$AI146-$AH146-$AG146-$AF146-$AE146*(1+GP$3))/$AJ146,'Технический лист'!$A:$B,2,1),(GO146-0.05)))</f>
        <v/>
      </c>
      <c r="GQ146" s="172">
        <f>MIN(1,MAX(VLOOKUP(($AJ146-$AI146-$AH146-$AG146-$AF146-$AE146*(1+GQ$3))/$AJ146,'Технический лист'!$A:$B,2,1),(GP146-0.05)))</f>
        <v/>
      </c>
      <c r="GR146" s="172">
        <f>MIN(1,MAX(VLOOKUP(($AJ146-$AI146-$AH146-$AG146-$AF146-$AE146*(1+GR$3))/$AJ146,'Технический лист'!$A:$B,2,1),(GQ146-0.05)))</f>
        <v/>
      </c>
      <c r="GS146" s="172">
        <f>MIN(1,MAX(VLOOKUP(($AJ146-$AI146-$AH146-$AG146-$AF146-$AE146*(1+GS$3))/$AJ146,'Технический лист'!$A:$B,2,1),(GR146-0.05)))</f>
        <v/>
      </c>
      <c r="GT146" s="172">
        <f>MIN(1,MAX(VLOOKUP(($AJ146-$AI146-$AH146-$AG146-$AF146-$AE146*(1+GT$3))/$AJ146,'Технический лист'!$A:$B,2,1),(GS146-0.05)))</f>
        <v/>
      </c>
      <c r="GU146" s="172">
        <f>MIN(1,MAX(VLOOKUP(($AJ146-$AI146-$AH146-$AG146-$AF146-$AE146*(1+GU$3))/$AJ146,'Технический лист'!$A:$B,2,1),(GT146-0.05)))</f>
        <v/>
      </c>
      <c r="GV146" s="172">
        <f>MIN(1,MAX(VLOOKUP(($AJ146-$AI146-$AH146-$AG146-$AF146-$AE146*(1+GV$3))/$AJ146,'Технический лист'!$A:$B,2,1),(GU146-0.05)))</f>
        <v/>
      </c>
      <c r="GW146" s="172">
        <f>MIN(1,MAX(VLOOKUP(($AJ146-$AI146-$AH146-$AG146-$AF146-$AE146*(1+GW$3))/$AJ146,'Технический лист'!$A:$B,2,1),(GV146-0.05)))</f>
        <v/>
      </c>
      <c r="GX146" s="172">
        <f>MIN(1,MAX(VLOOKUP(($AJ146-$AI146-$AH146-$AG146-$AF146-$AE146*(1+GX$3))/$AJ146,'Технический лист'!$A:$B,2,1),(GW146-0.05)))</f>
        <v/>
      </c>
      <c r="GY146" s="172">
        <f>MIN(1,MAX(VLOOKUP(($AJ146-$AI146-$AH146-$AG146-$AF146-$AE146*(1+GY$3))/$AJ146,'Технический лист'!$A:$B,2,1),(GX146-0.05)))</f>
        <v/>
      </c>
      <c r="GZ146" s="172">
        <f>MIN(1,MAX(VLOOKUP(($AJ146-$AI146-$AH146-$AG146-$AF146-$AE146*(1+GZ$3))/$AJ146,'Технический лист'!$A:$B,2,1),(GY146-0.05)))</f>
        <v/>
      </c>
      <c r="HA146" s="172">
        <f>MIN(1,MAX(VLOOKUP(($AJ146-$AI146-$AH146-$AG146-$AF146-$AE146*(1+HA$3))/$AJ146,'Технический лист'!$A:$B,2,1),(GZ146-0.05)))</f>
        <v/>
      </c>
      <c r="HB146" s="172">
        <f>MIN(1,MAX(VLOOKUP(($AJ146-$AI146-$AH146-$AG146-$AF146-$AE146*(1+HB$3))/$AJ146,'Технический лист'!$A:$B,2,1),(HA146-0.05)))</f>
        <v/>
      </c>
      <c r="HC146" s="172">
        <f>MIN(1,MAX(VLOOKUP(($AJ146-$AI146-$AH146-$AG146-$AF146-$AE146*(1+HC$3))/$AJ146,'Технический лист'!$A:$B,2,1),(HB146-0.05)))</f>
        <v/>
      </c>
      <c r="HD146" s="172">
        <f>MIN(1,MAX(VLOOKUP(($AJ146-$AI146-$AH146-$AG146-$AF146-$AE146*(1+HD$3))/$AJ146,'Технический лист'!$A:$B,2,1),(HC146-0.05)))</f>
        <v/>
      </c>
      <c r="HE146" s="172">
        <f>MIN(1,MAX(VLOOKUP(($AJ146-$AI146-$AH146-$AG146-$AF146-$AE146*(1+HE$3))/$AJ146,'Технический лист'!$A:$B,2,1),(HD146-0.05)))</f>
        <v/>
      </c>
      <c r="HF146" s="172">
        <f>MIN(1,MAX(VLOOKUP(($AJ146-$AI146-$AH146-$AG146-$AF146-$AE146*(1+HF$3))/$AJ146,'Технический лист'!$A:$B,2,1),(HE146-0.05)))</f>
        <v/>
      </c>
      <c r="HG146" s="172">
        <f>MIN(1,MAX(VLOOKUP(($AJ146-$AI146-$AH146-$AG146-$AF146-$AE146*(1+HG$3))/$AJ146,'Технический лист'!$A:$B,2,1),(HF146-0.05)))</f>
        <v/>
      </c>
      <c r="HH146" s="172">
        <f>MIN(1,MAX(VLOOKUP(($AJ146-$AI146-$AH146-$AG146-$AF146-$AE146*(1+HH$3))/$AJ146,'Технический лист'!$A:$B,2,1),(HG146-0.05)))</f>
        <v/>
      </c>
      <c r="HI146" s="172">
        <f>MIN(1,MAX(VLOOKUP(($AJ146-$AI146-$AH146-$AG146-$AF146-$AE146*(1+HI$3))/$AJ146,'Технический лист'!$A:$B,2,1),(HH146-0.05)))</f>
        <v/>
      </c>
      <c r="HJ146" s="172">
        <f>MIN(1,MAX(VLOOKUP(($AJ146-$AI146-$AH146-$AG146-$AF146-$AE146*(1+HJ$3))/$AJ146,'Технический лист'!$A:$B,2,1),(HI146-0.05)))</f>
        <v/>
      </c>
      <c r="HK146" s="172">
        <f>MIN(1,MAX(VLOOKUP(($AJ146-$AI146-$AH146-$AG146-$AF146-$AE146*(1+HK$3))/$AJ146,'Технический лист'!$A:$B,2,1),(HJ146-0.05)))</f>
        <v/>
      </c>
      <c r="HL146" s="172">
        <f>MIN(1,MAX(VLOOKUP(($AJ146-$AI146-$AH146-$AG146-$AF146-$AE146*(1+HL$3))/$AJ146,'Технический лист'!$A:$B,2,1),(HK146-0.05)))</f>
        <v/>
      </c>
      <c r="HM146" s="172">
        <f>MIN(1,MAX(VLOOKUP(($AJ146-$AI146-$AH146-$AG146-$AF146-$AE146*(1+HM$3))/$AJ146,'Технический лист'!$A:$B,2,1),(HL146-0.05)))</f>
        <v/>
      </c>
      <c r="HN146" s="172">
        <f>MIN(1,MAX(VLOOKUP(($AJ146-$AI146-$AH146-$AG146-$AF146-$AE146*(1+HN$3))/$AJ146,'Технический лист'!$A:$B,2,1),(HM146-0.05)))</f>
        <v/>
      </c>
      <c r="HO146" s="172">
        <f>MIN(1,MAX(VLOOKUP(($AJ146-$AI146-$AH146-$AG146-$AF146-$AE146*(1+HO$3))/$AJ146,'Технический лист'!$A:$B,2,1),(HN146-0.05)))</f>
        <v/>
      </c>
      <c r="HP146" s="172">
        <f>MIN(1,MAX(VLOOKUP(($AJ146-$AI146-$AH146-$AG146-$AF146-$AE146*(1+HP$3))/$AJ146,'Технический лист'!$A:$B,2,1),(HO146-0.05)))</f>
        <v/>
      </c>
      <c r="HQ146" s="172">
        <f>MIN(1,MAX(VLOOKUP(($AJ146-$AI146-$AH146-$AG146-$AF146-$AE146*(1+HQ$3))/$AJ146,'Технический лист'!$A:$B,2,1),(HP146-0.05)))</f>
        <v/>
      </c>
      <c r="HR146" s="172">
        <f>MIN(1,MAX(VLOOKUP(($AJ146-$AI146-$AH146-$AG146-$AF146-$AE146*(1+HR$3))/$AJ146,'Технический лист'!$A:$B,2,1),(HQ146-0.05)))</f>
        <v/>
      </c>
      <c r="HS146" s="172">
        <f>MIN(1,MAX(VLOOKUP(($AJ146-$AI146-$AH146-$AG146-$AF146-$AE146*(1+HS$3))/$AJ146,'Технический лист'!$A:$B,2,1),(HR146-0.05)))</f>
        <v/>
      </c>
      <c r="HT146" s="172">
        <f>MIN(1,MAX(VLOOKUP(($AJ146-$AI146-$AH146-$AG146-$AF146-$AE146*(1+HT$3))/$AJ146,'Технический лист'!$A:$B,2,1),(HS146-0.05)))</f>
        <v/>
      </c>
      <c r="HU146" s="172">
        <f>MIN(1,MAX(VLOOKUP(($AJ146-$AI146-$AH146-$AG146-$AF146-$AE146*(1+HU$3))/$AJ146,'Технический лист'!$A:$B,2,1),(HT146-0.05)))</f>
        <v/>
      </c>
      <c r="HV146" s="172">
        <f>MIN(1,MAX(VLOOKUP(($AJ146-$AI146-$AH146-$AG146-$AF146-$AE146*(1+HV$3))/$AJ146,'Технический лист'!$A:$B,2,1),(HU146-0.05)))</f>
        <v/>
      </c>
      <c r="HW146" s="172">
        <f>MIN(1,MAX(VLOOKUP(($AJ146-$AI146-$AH146-$AG146-$AF146-$AE146*(1+HW$3))/$AJ146,'Технический лист'!$A:$B,2,1),(HV146-0.05)))</f>
        <v/>
      </c>
      <c r="HX146" s="172">
        <f>MIN(1,MAX(VLOOKUP(($AJ146-$AI146-$AH146-$AG146-$AF146-$AE146*(1+HX$3))/$AJ146,'Технический лист'!$A:$B,2,1),(HW146-0.05)))</f>
        <v/>
      </c>
      <c r="HY146" s="172">
        <f>MIN(1,MAX(VLOOKUP(($AJ146-$AI146-$AH146-$AG146-$AF146-$AE146*(1+HY$3))/$AJ146,'Технический лист'!$A:$B,2,1),(HX146-0.05)))</f>
        <v/>
      </c>
      <c r="HZ146" s="172">
        <f>MIN(1,MAX(VLOOKUP(($AJ146-$AI146-$AH146-$AG146-$AF146-$AE146*(1+HZ$3))/$AJ146,'Технический лист'!$A:$B,2,1),(HY146-0.05)))</f>
        <v/>
      </c>
      <c r="IA146" s="172">
        <f>MIN(1,MAX(VLOOKUP(($AJ146-$AI146-$AH146-$AG146-$AF146-$AE146*(1+IA$3))/$AJ146,'Технический лист'!$A:$B,2,1),(HZ146-0.05)))</f>
        <v/>
      </c>
      <c r="IB146" s="172">
        <f>MIN(1,MAX(VLOOKUP(($AJ146-$AI146-$AH146-$AG146-$AF146-$AE146*(1+IB$3))/$AJ146,'Технический лист'!$A:$B,2,1),(IA146-0.05)))</f>
        <v/>
      </c>
      <c r="IC146" s="172">
        <f>MIN(1,MAX(VLOOKUP(($AJ146-$AI146-$AH146-$AG146-$AF146-$AE146*(1+IC$3))/$AJ146,'Технический лист'!$A:$B,2,1),(IB146-0.05)))</f>
        <v/>
      </c>
      <c r="ID146" s="172">
        <f>MIN(1,MAX(VLOOKUP(($AJ146-$AI146-$AH146-$AG146-$AF146-$AE146*(1+ID$3))/$AJ146,'Технический лист'!$A:$B,2,1),(IC146-0.05)))</f>
        <v/>
      </c>
      <c r="IE146" s="172">
        <f>MIN(1,MAX(VLOOKUP(($AJ146-$AI146-$AH146-$AG146-$AF146-$AE146*(1+IE$3))/$AJ146,'Технический лист'!$A:$B,2,1),(ID146-0.05)))</f>
        <v/>
      </c>
      <c r="IF146" s="172">
        <f>MIN(1,MAX(VLOOKUP(($AJ146-$AI146-$AH146-$AG146-$AF146-$AE146*(1+IF$3))/$AJ146,'Технический лист'!$A:$B,2,1),(IE146-0.05)))</f>
        <v/>
      </c>
      <c r="IG146" s="172">
        <f>MIN(1,MAX(VLOOKUP(($AJ146-$AI146-$AH146-$AG146-$AF146-$AE146*(1+IG$3))/$AJ146,'Технический лист'!$A:$B,2,1),(IF146-0.05)))</f>
        <v/>
      </c>
      <c r="IH146" s="172">
        <f>MIN(1,MAX(VLOOKUP(($AJ146-$AI146-$AH146-$AG146-$AF146-$AE146*(1+IH$3))/$AJ146,'Технический лист'!$A:$B,2,1),(IG146-0.05)))</f>
        <v/>
      </c>
      <c r="II146" s="172">
        <f>MIN(1,MAX(VLOOKUP(($AJ146-$AI146-$AH146-$AG146-$AF146-$AE146*(1+II$3))/$AJ146,'Технический лист'!$A:$B,2,1),(IH146-0.05)))</f>
        <v/>
      </c>
      <c r="IJ146" s="172">
        <f>MIN(1,MAX(VLOOKUP(($AJ146-$AI146-$AH146-$AG146-$AF146-$AE146*(1+IJ$3))/$AJ146,'Технический лист'!$A:$B,2,1),(II146-0.05)))</f>
        <v/>
      </c>
      <c r="IK146" s="172">
        <f>MIN(1,MAX(VLOOKUP(($AJ146-$AI146-$AH146-$AG146-$AF146-$AE146*(1+IK$3))/$AJ146,'Технический лист'!$A:$B,2,1),(IJ146-0.05)))</f>
        <v/>
      </c>
      <c r="IL146" s="172">
        <f>MIN(1,MAX(VLOOKUP(($AJ146-$AI146-$AH146-$AG146-$AF146-$AE146*(1+IL$3))/$AJ146,'Технический лист'!$A:$B,2,1),(IK146-0.05)))</f>
        <v/>
      </c>
      <c r="IM146" s="172">
        <f>MIN(1,MAX(VLOOKUP(($AJ146-$AI146-$AH146-$AG146-$AF146-$AE146*(1+IM$3))/$AJ146,'Технический лист'!$A:$B,2,1),(IL146-0.05)))</f>
        <v/>
      </c>
      <c r="IN146" s="172">
        <f>MIN(1,MAX(VLOOKUP(($AJ146-$AI146-$AH146-$AG146-$AF146-$AE146*(1+IN$3))/$AJ146,'Технический лист'!$A:$B,2,1),(IM146-0.05)))</f>
        <v/>
      </c>
      <c r="IO146" s="172">
        <f>MIN(1,MAX(VLOOKUP(($AJ146-$AI146-$AH146-$AG146-$AF146-$AE146*(1+IO$3))/$AJ146,'Технический лист'!$A:$B,2,1),(IN146-0.05)))</f>
        <v/>
      </c>
      <c r="IP146" s="172">
        <f>MIN(1,MAX(VLOOKUP(($AJ146-$AI146-$AH146-$AG146-$AF146-$AE146*(1+IP$3))/$AJ146,'Технический лист'!$A:$B,2,1),(IO146-0.05)))</f>
        <v/>
      </c>
      <c r="IQ146" s="172">
        <f>MIN(1,MAX(VLOOKUP(($AJ146-$AI146-$AH146-$AG146-$AF146-$AE146*(1+IQ$3))/$AJ146,'Технический лист'!$A:$B,2,1),(IP146-0.05)))</f>
        <v/>
      </c>
      <c r="IR146" s="172">
        <f>MIN(1,MAX(VLOOKUP(($AJ146-$AI146-$AH146-$AG146-$AF146-$AE146*(1+IR$3))/$AJ146,'Технический лист'!$A:$B,2,1),(IQ146-0.05)))</f>
        <v/>
      </c>
    </row>
    <row r="147" ht="58.3" customHeight="1" s="123">
      <c r="A147" s="89" t="inlineStr">
        <is>
          <t>ЦМ (продукция)</t>
        </is>
      </c>
      <c r="B147" s="90" t="n">
        <v>10</v>
      </c>
      <c r="C147" s="5" t="inlineStr">
        <is>
          <t>Остальные грузы</t>
        </is>
      </c>
      <c r="D147" s="91" t="n">
        <v>33304</v>
      </c>
      <c r="E147" s="91" t="inlineStr">
        <is>
          <t xml:space="preserve">Лом и отходы цветных металлов, не поименованные в алфавите </t>
        </is>
      </c>
      <c r="F147" s="92" t="inlineStr">
        <is>
          <t>ЛОМ И ОТХОДЫ ЦВЕТНЫХ МЕТА</t>
        </is>
      </c>
      <c r="G147" s="91" t="inlineStr">
        <is>
          <t>ЗАБ</t>
        </is>
      </c>
      <c r="H147" s="91" t="inlineStr">
        <is>
          <t>ЗСБ</t>
        </is>
      </c>
      <c r="I147" s="91" t="inlineStr">
        <is>
          <t>БЛАГОВЕЩЕНСК</t>
        </is>
      </c>
      <c r="J147" s="91" t="inlineStr">
        <is>
          <t>НОВОКУЗ.-ВОС</t>
        </is>
      </c>
      <c r="K147" s="91" t="n">
        <v>4559</v>
      </c>
      <c r="L147" s="77" t="inlineStr">
        <is>
          <t>Платформы</t>
        </is>
      </c>
      <c r="M147" s="91" t="inlineStr">
        <is>
          <t>Внутр. перевозки</t>
        </is>
      </c>
      <c r="N147" s="91" t="inlineStr">
        <is>
          <t>контейнерная</t>
        </is>
      </c>
      <c r="O147" s="91" t="inlineStr">
        <is>
          <t xml:space="preserve">Южное </t>
        </is>
      </c>
      <c r="P147" s="89" t="inlineStr">
        <is>
          <t>'000055103129</t>
        </is>
      </c>
      <c r="Q147" s="91" t="inlineStr">
        <is>
          <t>ПАО "ГМК "Норильский никель"</t>
        </is>
      </c>
      <c r="R147" s="91" t="inlineStr">
        <is>
          <t>ПАО "ГМК "Норильский никель"</t>
        </is>
      </c>
      <c r="S147" s="87" t="n">
        <v>815</v>
      </c>
      <c r="T147" s="87" t="n">
        <v>3716034</v>
      </c>
      <c r="U147" s="88" t="n">
        <v>0</v>
      </c>
      <c r="V147" s="88" t="n">
        <v>47</v>
      </c>
      <c r="W147" s="87" t="n">
        <v>2976522</v>
      </c>
      <c r="X147" s="112" t="n">
        <v>50</v>
      </c>
      <c r="Y147" s="112" t="inlineStr">
        <is>
          <t>контейнерная</t>
        </is>
      </c>
      <c r="Z147" s="113" t="n">
        <v>14</v>
      </c>
      <c r="AA147" s="113" t="n">
        <v>0</v>
      </c>
      <c r="AB147" s="113" t="n">
        <v>4</v>
      </c>
      <c r="AC147" s="161">
        <f>179666/X147</f>
        <v/>
      </c>
      <c r="AD147" s="161" t="n">
        <v>0</v>
      </c>
      <c r="AE147" s="161">
        <f>AC147</f>
        <v/>
      </c>
      <c r="AF147" s="162">
        <f>(AB147+AA147+Z147)*'Ставки аренды'!$B$6/X147</f>
        <v/>
      </c>
      <c r="AG147" s="164" t="n">
        <v>0</v>
      </c>
      <c r="AH147" s="164" t="n">
        <v>0</v>
      </c>
      <c r="AI147" s="165">
        <f>575152/1082467*AJ147</f>
        <v/>
      </c>
      <c r="AJ147" s="166">
        <f>Цены!D31</f>
        <v/>
      </c>
      <c r="AK147" s="164">
        <f>AJ147/Цены!$B$1</f>
        <v/>
      </c>
      <c r="AL147" s="164">
        <f>AE147+AF147+AG147</f>
        <v/>
      </c>
      <c r="AM147" s="164">
        <f>AJ147-AL147</f>
        <v/>
      </c>
      <c r="AN147" s="164">
        <f>AI147+AH147+AG147+AF147+AE147</f>
        <v/>
      </c>
      <c r="AO147" s="167">
        <f>(AJ147-AN147)/AJ147</f>
        <v/>
      </c>
      <c r="AP147" s="168">
        <f>AL147/AJ147</f>
        <v/>
      </c>
      <c r="AQ147" s="168">
        <f>AE147/AJ147</f>
        <v/>
      </c>
      <c r="AR147" s="168">
        <f>AE147/AL147</f>
        <v/>
      </c>
      <c r="AS147" s="169" t="n">
        <v>1</v>
      </c>
      <c r="AT147" s="121">
        <f>S147*AS147</f>
        <v/>
      </c>
      <c r="AU147" s="83" t="n">
        <v>0.9</v>
      </c>
      <c r="AV147" s="170">
        <f>(AJ147-(AE147*(1+$IS$2)+AF147+AG147+AH147+AI147))/AJ147</f>
        <v/>
      </c>
      <c r="AW147" s="171">
        <f>(AE147*(1+$IS$2)+AF147+AG147)/AJ147</f>
        <v/>
      </c>
      <c r="AX147" s="171">
        <f>(AE147*(1+$IS$2))/AJ147</f>
        <v/>
      </c>
      <c r="AY147" s="171">
        <f>(AE147*(1+$IS$2))/(AE147*(1+$IS$2)+AF147+AG147)</f>
        <v/>
      </c>
      <c r="AZ147" s="172">
        <f>MIN(IF($AU147=100%,1,1+VLOOKUP(($AJ147-$AI147-$AH147-$AG147-$AF147-$AE147*(1+AZ$3))/$AJ147,'Технический лист'!$I:$J,2,1)-VLOOKUP($AO147,'Технический лист'!$I:$J,2,1)),1+(1-$AU147))</f>
        <v/>
      </c>
      <c r="BA147" s="172">
        <f>MIN(IF($AU147=100%,1,1+VLOOKUP(($AJ147-$AI147-$AH147-$AG147-$AF147-$AE147*(1+BA$3))/$AJ147,'Технический лист'!$I:$J,2,1)-VLOOKUP($AO147,'Технический лист'!$I:$J,2,1)),1+(1-$AU147))</f>
        <v/>
      </c>
      <c r="BB147" s="172">
        <f>MIN(IF($AU147=100%,1,1+VLOOKUP(($AJ147-$AI147-$AH147-$AG147-$AF147-$AE147*(1+BB$3))/$AJ147,'Технический лист'!$I:$J,2,1)-VLOOKUP($AO147,'Технический лист'!$I:$J,2,1)),1+(1-$AU147))</f>
        <v/>
      </c>
      <c r="BC147" s="172">
        <f>MIN(IF($AU147=100%,1,1+VLOOKUP(($AJ147-$AI147-$AH147-$AG147-$AF147-$AE147*(1+BC$3))/$AJ147,'Технический лист'!$I:$J,2,1)-VLOOKUP($AO147,'Технический лист'!$I:$J,2,1)),1+(1-$AU147))</f>
        <v/>
      </c>
      <c r="BD147" s="172">
        <f>MIN(IF($AU147=100%,1,1+VLOOKUP(($AJ147-$AI147-$AH147-$AG147-$AF147-$AE147*(1+BD$3))/$AJ147,'Технический лист'!$I:$J,2,1)-VLOOKUP($AO147,'Технический лист'!$I:$J,2,1)),1+(1-$AU147))</f>
        <v/>
      </c>
      <c r="BE147" s="172">
        <f>MIN(IF($AU147=100%,1,1+VLOOKUP(($AJ147-$AI147-$AH147-$AG147-$AF147-$AE147*(1+BE$3))/$AJ147,'Технический лист'!$I:$J,2,1)-VLOOKUP($AO147,'Технический лист'!$I:$J,2,1)),1+(1-$AU147))</f>
        <v/>
      </c>
      <c r="BF147" s="172">
        <f>MIN(IF($AU147=100%,1,1+VLOOKUP(($AJ147-$AI147-$AH147-$AG147-$AF147-$AE147*(1+BF$3))/$AJ147,'Технический лист'!$I:$J,2,1)-VLOOKUP($AO147,'Технический лист'!$I:$J,2,1)),1+(1-$AU147))</f>
        <v/>
      </c>
      <c r="BG147" s="172">
        <f>MIN(IF($AU147=100%,1,1+VLOOKUP(($AJ147-$AI147-$AH147-$AG147-$AF147-$AE147*(1+BG$3))/$AJ147,'Технический лист'!$I:$J,2,1)-VLOOKUP($AO147,'Технический лист'!$I:$J,2,1)),1+(1-$AU147))</f>
        <v/>
      </c>
      <c r="BH147" s="172">
        <f>MIN(IF($AU147=100%,1,1+VLOOKUP(($AJ147-$AI147-$AH147-$AG147-$AF147-$AE147*(1+BH$3))/$AJ147,'Технический лист'!$I:$J,2,1)-VLOOKUP($AO147,'Технический лист'!$I:$J,2,1)),1+(1-$AU147))</f>
        <v/>
      </c>
      <c r="BI147" s="172">
        <f>MIN(IF($AU147=100%,1,1+VLOOKUP(($AJ147-$AI147-$AH147-$AG147-$AF147-$AE147*(1+BI$3))/$AJ147,'Технический лист'!$I:$J,2,1)-VLOOKUP($AO147,'Технический лист'!$I:$J,2,1)),1+(1-$AU147))</f>
        <v/>
      </c>
      <c r="BJ147" s="172">
        <f>MIN(IF($AU147=100%,1,1+VLOOKUP(($AJ147-$AI147-$AH147-$AG147-$AF147-$AE147*(1+BJ$3))/$AJ147,'Технический лист'!$I:$J,2,1)-VLOOKUP($AO147,'Технический лист'!$I:$J,2,1)),1+(1-$AU147))</f>
        <v/>
      </c>
      <c r="BK147" s="172">
        <f>MIN(IF($AU147=100%,1,1+VLOOKUP(($AJ147-$AI147-$AH147-$AG147-$AF147-$AE147*(1+BK$3))/$AJ147,'Технический лист'!$I:$J,2,1)-VLOOKUP($AO147,'Технический лист'!$I:$J,2,1)),1+(1-$AU147))</f>
        <v/>
      </c>
      <c r="BL147" s="172">
        <f>MIN(IF($AU147=100%,1,1+VLOOKUP(($AJ147-$AI147-$AH147-$AG147-$AF147-$AE147*(1+BL$3))/$AJ147,'Технический лист'!$I:$J,2,1)-VLOOKUP($AO147,'Технический лист'!$I:$J,2,1)),1+(1-$AU147))</f>
        <v/>
      </c>
      <c r="BM147" s="172">
        <f>MIN(IF($AU147=100%,1,1+VLOOKUP(($AJ147-$AI147-$AH147-$AG147-$AF147-$AE147*(1+BM$3))/$AJ147,'Технический лист'!$I:$J,2,1)-VLOOKUP($AO147,'Технический лист'!$I:$J,2,1)),1+(1-$AU147))</f>
        <v/>
      </c>
      <c r="BN147" s="172">
        <f>MIN(IF($AU147=100%,1,1+VLOOKUP(($AJ147-$AI147-$AH147-$AG147-$AF147-$AE147*(1+BN$3))/$AJ147,'Технический лист'!$I:$J,2,1)-VLOOKUP($AO147,'Технический лист'!$I:$J,2,1)),1+(1-$AU147))</f>
        <v/>
      </c>
      <c r="BO147" s="172">
        <f>MIN(IF($AU147=100%,1,1+VLOOKUP(($AJ147-$AI147-$AH147-$AG147-$AF147-$AE147*(1+BO$3))/$AJ147,'Технический лист'!$I:$J,2,1)-VLOOKUP($AO147,'Технический лист'!$I:$J,2,1)),1+(1-$AU147))</f>
        <v/>
      </c>
      <c r="BP147" s="172">
        <f>MIN(IF($AU147=100%,1,1+VLOOKUP(($AJ147-$AI147-$AH147-$AG147-$AF147-$AE147*(1+BP$3))/$AJ147,'Технический лист'!$I:$J,2,1)-VLOOKUP($AO147,'Технический лист'!$I:$J,2,1)),1+(1-$AU147))</f>
        <v/>
      </c>
      <c r="BQ147" s="172">
        <f>MIN(IF($AU147=100%,1,1+VLOOKUP(($AJ147-$AI147-$AH147-$AG147-$AF147-$AE147*(1+BQ$3))/$AJ147,'Технический лист'!$I:$J,2,1)-VLOOKUP($AO147,'Технический лист'!$I:$J,2,1)),1+(1-$AU147))</f>
        <v/>
      </c>
      <c r="BR147" s="172">
        <f>MIN(IF($AU147=100%,1,1+VLOOKUP(($AJ147-$AI147-$AH147-$AG147-$AF147-$AE147*(1+BR$3))/$AJ147,'Технический лист'!$I:$J,2,1)-VLOOKUP($AO147,'Технический лист'!$I:$J,2,1)),1+(1-$AU147))</f>
        <v/>
      </c>
      <c r="BS147" s="172">
        <f>MIN(IF($AU147=100%,1,1+VLOOKUP(($AJ147-$AI147-$AH147-$AG147-$AF147-$AE147*(1+BS$3))/$AJ147,'Технический лист'!$I:$J,2,1)-VLOOKUP($AO147,'Технический лист'!$I:$J,2,1)),1+(1-$AU147))</f>
        <v/>
      </c>
      <c r="BT147" s="172">
        <f>MIN(IF($AU147=100%,1,1+VLOOKUP(($AJ147-$AI147-$AH147-$AG147-$AF147-$AE147*(1+BT$3))/$AJ147,'Технический лист'!$I:$J,2,1)-VLOOKUP($AO147,'Технический лист'!$I:$J,2,1)),1+(1-$AU147))</f>
        <v/>
      </c>
      <c r="BU147" s="172">
        <f>MIN(IF($AU147=100%,1,1+VLOOKUP(($AJ147-$AI147-$AH147-$AG147-$AF147-$AE147*(1+BU$3))/$AJ147,'Технический лист'!$I:$J,2,1)-VLOOKUP($AO147,'Технический лист'!$I:$J,2,1)),1+(1-$AU147))</f>
        <v/>
      </c>
      <c r="BV147" s="172">
        <f>MIN(IF($AU147=100%,1,1+VLOOKUP(($AJ147-$AI147-$AH147-$AG147-$AF147-$AE147*(1+BV$3))/$AJ147,'Технический лист'!$I:$J,2,1)-VLOOKUP($AO147,'Технический лист'!$I:$J,2,1)),1+(1-$AU147))</f>
        <v/>
      </c>
      <c r="BW147" s="172">
        <f>MIN(IF($AU147=100%,1,1+VLOOKUP(($AJ147-$AI147-$AH147-$AG147-$AF147-$AE147*(1+BW$3))/$AJ147,'Технический лист'!$I:$J,2,1)-VLOOKUP($AO147,'Технический лист'!$I:$J,2,1)),1+(1-$AU147))</f>
        <v/>
      </c>
      <c r="BX147" s="172">
        <f>MIN(IF($AU147=100%,1,1+VLOOKUP(($AJ147-$AI147-$AH147-$AG147-$AF147-$AE147*(1+BX$3))/$AJ147,'Технический лист'!$I:$J,2,1)-VLOOKUP($AO147,'Технический лист'!$I:$J,2,1)),1+(1-$AU147))</f>
        <v/>
      </c>
      <c r="BY147" s="172">
        <f>MIN(IF($AU147=100%,1,1+VLOOKUP(($AJ147-$AI147-$AH147-$AG147-$AF147-$AE147*(1+BY$3))/$AJ147,'Технический лист'!$I:$J,2,1)-VLOOKUP($AO147,'Технический лист'!$I:$J,2,1)),1+(1-$AU147))</f>
        <v/>
      </c>
      <c r="BZ147" s="172">
        <f>MIN(IF($AU147=100%,1,1+VLOOKUP(($AJ147-$AI147-$AH147-$AG147-$AF147-$AE147*(1+BZ$3))/$AJ147,'Технический лист'!$I:$J,2,1)-VLOOKUP($AO147,'Технический лист'!$I:$J,2,1)),1+(1-$AU147))</f>
        <v/>
      </c>
      <c r="CA147" s="172">
        <f>MIN(IF($AU147=100%,1,1+VLOOKUP(($AJ147-$AI147-$AH147-$AG147-$AF147-$AE147*(1+CA$3))/$AJ147,'Технический лист'!$I:$J,2,1)-VLOOKUP($AO147,'Технический лист'!$I:$J,2,1)),1+(1-$AU147))</f>
        <v/>
      </c>
      <c r="CB147" s="172">
        <f>MIN(IF($AU147=100%,1,1+VLOOKUP(($AJ147-$AI147-$AH147-$AG147-$AF147-$AE147*(1+CB$3))/$AJ147,'Технический лист'!$I:$J,2,1)-VLOOKUP($AO147,'Технический лист'!$I:$J,2,1)),1+(1-$AU147))</f>
        <v/>
      </c>
      <c r="CC147" s="172">
        <f>MIN(IF($AU147=100%,1,1+VLOOKUP(($AJ147-$AI147-$AH147-$AG147-$AF147-$AE147*(1+CC$3))/$AJ147,'Технический лист'!$I:$J,2,1)-VLOOKUP($AO147,'Технический лист'!$I:$J,2,1)),1+(1-$AU147))</f>
        <v/>
      </c>
      <c r="CD147" s="172">
        <f>MIN(IF($AU147=100%,1,1+VLOOKUP(($AJ147-$AI147-$AH147-$AG147-$AF147-$AE147*(1+CD$3))/$AJ147,'Технический лист'!$I:$J,2,1)-VLOOKUP($AO147,'Технический лист'!$I:$J,2,1)),1+(1-$AU147))</f>
        <v/>
      </c>
      <c r="CE147" s="172">
        <f>MIN(IF($AU147=100%,1,1+VLOOKUP(($AJ147-$AI147-$AH147-$AG147-$AF147-$AE147*(1+CE$3))/$AJ147,'Технический лист'!$I:$J,2,1)-VLOOKUP($AO147,'Технический лист'!$I:$J,2,1)),1+(1-$AU147))</f>
        <v/>
      </c>
      <c r="CF147" s="172">
        <f>MIN(IF($AU147=100%,1,1+VLOOKUP(($AJ147-$AI147-$AH147-$AG147-$AF147-$AE147*(1+CF$3))/$AJ147,'Технический лист'!$I:$J,2,1)-VLOOKUP($AO147,'Технический лист'!$I:$J,2,1)),1+(1-$AU147))</f>
        <v/>
      </c>
      <c r="CG147" s="172">
        <f>MIN(IF($AU147=100%,1,1+VLOOKUP(($AJ147-$AI147-$AH147-$AG147-$AF147-$AE147*(1+CG$3))/$AJ147,'Технический лист'!$I:$J,2,1)-VLOOKUP($AO147,'Технический лист'!$I:$J,2,1)),1+(1-$AU147))</f>
        <v/>
      </c>
      <c r="CH147" s="172">
        <f>MIN(IF($AU147=100%,1,1+VLOOKUP(($AJ147-$AI147-$AH147-$AG147-$AF147-$AE147*(1+CH$3))/$AJ147,'Технический лист'!$I:$J,2,1)-VLOOKUP($AO147,'Технический лист'!$I:$J,2,1)),1+(1-$AU147))</f>
        <v/>
      </c>
      <c r="CI147" s="172">
        <f>MIN(IF($AU147=100%,1,1+VLOOKUP(($AJ147-$AI147-$AH147-$AG147-$AF147-$AE147*(1+CI$3))/$AJ147,'Технический лист'!$I:$J,2,1)-VLOOKUP($AO147,'Технический лист'!$I:$J,2,1)),1+(1-$AU147))</f>
        <v/>
      </c>
      <c r="CJ147" s="172">
        <f>MIN(IF($AU147=100%,1,1+VLOOKUP(($AJ147-$AI147-$AH147-$AG147-$AF147-$AE147*(1+CJ$3))/$AJ147,'Технический лист'!$I:$J,2,1)-VLOOKUP($AO147,'Технический лист'!$I:$J,2,1)),1+(1-$AU147))</f>
        <v/>
      </c>
      <c r="CK147" s="172">
        <f>MIN(IF($AU147=100%,1,1+VLOOKUP(($AJ147-$AI147-$AH147-$AG147-$AF147-$AE147*(1+CK$3))/$AJ147,'Технический лист'!$I:$J,2,1)-VLOOKUP($AO147,'Технический лист'!$I:$J,2,1)),1+(1-$AU147))</f>
        <v/>
      </c>
      <c r="CL147" s="172">
        <f>MIN(IF($AU147=100%,1,1+VLOOKUP(($AJ147-$AI147-$AH147-$AG147-$AF147-$AE147*(1+CL$3))/$AJ147,'Технический лист'!$I:$J,2,1)-VLOOKUP($AO147,'Технический лист'!$I:$J,2,1)),1+(1-$AU147))</f>
        <v/>
      </c>
      <c r="CM147" s="172">
        <f>MIN(IF($AU147=100%,1,1+VLOOKUP(($AJ147-$AI147-$AH147-$AG147-$AF147-$AE147*(1+CM$3))/$AJ147,'Технический лист'!$I:$J,2,1)-VLOOKUP($AO147,'Технический лист'!$I:$J,2,1)),1+(1-$AU147))</f>
        <v/>
      </c>
      <c r="CN147" s="172">
        <f>MIN(IF($AU147=100%,1,1+VLOOKUP(($AJ147-$AI147-$AH147-$AG147-$AF147-$AE147*(1+CN$3))/$AJ147,'Технический лист'!$I:$J,2,1)-VLOOKUP($AO147,'Технический лист'!$I:$J,2,1)),1+(1-$AU147))</f>
        <v/>
      </c>
      <c r="CO147" s="172">
        <f>MIN(IF($AU147=100%,1,1+VLOOKUP(($AJ147-$AI147-$AH147-$AG147-$AF147-$AE147*(1+CO$3))/$AJ147,'Технический лист'!$I:$J,2,1)-VLOOKUP($AO147,'Технический лист'!$I:$J,2,1)),1+(1-$AU147))</f>
        <v/>
      </c>
      <c r="CP147" s="172">
        <f>MIN(IF($AU147=100%,1,1+VLOOKUP(($AJ147-$AI147-$AH147-$AG147-$AF147-$AE147*(1+CP$3))/$AJ147,'Технический лист'!$I:$J,2,1)-VLOOKUP($AO147,'Технический лист'!$I:$J,2,1)),1+(1-$AU147))</f>
        <v/>
      </c>
      <c r="CQ147" s="172">
        <f>MIN(IF($AU147=100%,1,1+VLOOKUP(($AJ147-$AI147-$AH147-$AG147-$AF147-$AE147*(1+CQ$3))/$AJ147,'Технический лист'!$I:$J,2,1)-VLOOKUP($AO147,'Технический лист'!$I:$J,2,1)),1+(1-$AU147))</f>
        <v/>
      </c>
      <c r="CR147" s="172">
        <f>MIN(IF($AU147=100%,1,1+VLOOKUP(($AJ147-$AI147-$AH147-$AG147-$AF147-$AE147*(1+CR$3))/$AJ147,'Технический лист'!$I:$J,2,1)-VLOOKUP($AO147,'Технический лист'!$I:$J,2,1)),1+(1-$AU147))</f>
        <v/>
      </c>
      <c r="CS147" s="172">
        <f>MIN(IF($AU147=100%,1,1+VLOOKUP(($AJ147-$AI147-$AH147-$AG147-$AF147-$AE147*(1+CS$3))/$AJ147,'Технический лист'!$I:$J,2,1)-VLOOKUP($AO147,'Технический лист'!$I:$J,2,1)),1+(1-$AU147))</f>
        <v/>
      </c>
      <c r="CT147" s="172">
        <f>MIN(IF($AU147=100%,1,1+VLOOKUP(($AJ147-$AI147-$AH147-$AG147-$AF147-$AE147*(1+CT$3))/$AJ147,'Технический лист'!$I:$J,2,1)-VLOOKUP($AO147,'Технический лист'!$I:$J,2,1)),1+(1-$AU147))</f>
        <v/>
      </c>
      <c r="CU147" s="172">
        <f>MIN(IF($AU147=100%,1,1+VLOOKUP(($AJ147-$AI147-$AH147-$AG147-$AF147-$AE147*(1+CU$3))/$AJ147,'Технический лист'!$I:$J,2,1)-VLOOKUP($AO147,'Технический лист'!$I:$J,2,1)),1+(1-$AU147))</f>
        <v/>
      </c>
      <c r="CV147" s="172">
        <f>MIN(IF($AU147=100%,1,1+VLOOKUP(($AJ147-$AI147-$AH147-$AG147-$AF147-$AE147*(1+CV$3))/$AJ147,'Технический лист'!$I:$J,2,1)-VLOOKUP($AO147,'Технический лист'!$I:$J,2,1)),1+(1-$AU147))</f>
        <v/>
      </c>
      <c r="CW147" s="172">
        <f>MIN(IF($AU147=100%,1,1+VLOOKUP(($AJ147-$AI147-$AH147-$AG147-$AF147-$AE147*(1+CW$3))/$AJ147,'Технический лист'!$I:$J,2,1)-VLOOKUP($AO147,'Технический лист'!$I:$J,2,1)),1+(1-$AU147))</f>
        <v/>
      </c>
      <c r="CX147" s="172">
        <f>MIN(IF($AU147=100%,1,1+VLOOKUP(($AJ147-$AI147-$AH147-$AG147-$AF147-$AE147*(1+CX$3))/$AJ147,'Технический лист'!$I:$J,2,1)-VLOOKUP($AO147,'Технический лист'!$I:$J,2,1)),1+(1-$AU147))</f>
        <v/>
      </c>
      <c r="CY147" s="172">
        <f>MIN(IF($AU147=100%,1,1+VLOOKUP(($AJ147-$AI147-$AH147-$AG147-$AF147-$AE147*(1+CY$3))/$AJ147,'Технический лист'!$I:$J,2,1)-VLOOKUP($AO147,'Технический лист'!$I:$J,2,1)),1+(1-$AU147))</f>
        <v/>
      </c>
      <c r="CZ147" s="172">
        <f>MIN(IF($AU147=100%,1,1+VLOOKUP(($AJ147-$AI147-$AH147-$AG147-$AF147-$AE147*(1+CZ$3))/$AJ147,'Технический лист'!$I:$J,2,1)-VLOOKUP($AO147,'Технический лист'!$I:$J,2,1)),1+(1-$AU147))</f>
        <v/>
      </c>
      <c r="DA147" s="172">
        <f>MIN(IF($AU147=100%,1,1+VLOOKUP(($AJ147-$AI147-$AH147-$AG147-$AF147-$AE147*(1+DA$3))/$AJ147,'Технический лист'!$I:$J,2,1)-VLOOKUP($AO147,'Технический лист'!$I:$J,2,1)),1+(1-$AU147))</f>
        <v/>
      </c>
      <c r="DB147" s="172">
        <f>MIN(IF($AU147=100%,1,1+VLOOKUP(($AJ147-$AI147-$AH147-$AG147-$AF147-$AE147*(1+DB$3))/$AJ147,'Технический лист'!$I:$J,2,1)-VLOOKUP($AO147,'Технический лист'!$I:$J,2,1)),1+(1-$AU147))</f>
        <v/>
      </c>
      <c r="DC147" s="172">
        <f>MIN(IF($AU147=100%,1,1+VLOOKUP(($AJ147-$AI147-$AH147-$AG147-$AF147-$AE147*(1+DC$3))/$AJ147,'Технический лист'!$I:$J,2,1)-VLOOKUP($AO147,'Технический лист'!$I:$J,2,1)),1+(1-$AU147))</f>
        <v/>
      </c>
      <c r="DD147" s="172">
        <f>MIN(IF($AU147=100%,1,1+VLOOKUP(($AJ147-$AI147-$AH147-$AG147-$AF147-$AE147*(1+DD$3))/$AJ147,'Технический лист'!$I:$J,2,1)-VLOOKUP($AO147,'Технический лист'!$I:$J,2,1)),1+(1-$AU147))</f>
        <v/>
      </c>
      <c r="DE147" s="172">
        <f>MIN(IF($AU147=100%,1,1+VLOOKUP(($AJ147-$AI147-$AH147-$AG147-$AF147-$AE147*(1+DE$3))/$AJ147,'Технический лист'!$I:$J,2,1)-VLOOKUP($AO147,'Технический лист'!$I:$J,2,1)),1+(1-$AU147))</f>
        <v/>
      </c>
      <c r="DF147" s="172">
        <f>MIN(IF($AU147=100%,1,1+VLOOKUP(($AJ147-$AI147-$AH147-$AG147-$AF147-$AE147*(1+DF$3))/$AJ147,'Технический лист'!$I:$J,2,1)-VLOOKUP($AO147,'Технический лист'!$I:$J,2,1)),1+(1-$AU147))</f>
        <v/>
      </c>
      <c r="DG147" s="172">
        <f>MIN(IF($AU147=100%,1,1+VLOOKUP(($AJ147-$AI147-$AH147-$AG147-$AF147-$AE147*(1+DG$3))/$AJ147,'Технический лист'!$I:$J,2,1)-VLOOKUP($AO147,'Технический лист'!$I:$J,2,1)),1+(1-$AU147))</f>
        <v/>
      </c>
      <c r="DH147" s="172">
        <f>MIN(IF($AU147=100%,1,1+VLOOKUP(($AJ147-$AI147-$AH147-$AG147-$AF147-$AE147*(1+DH$3))/$AJ147,'Технический лист'!$I:$J,2,1)-VLOOKUP($AO147,'Технический лист'!$I:$J,2,1)),1+(1-$AU147))</f>
        <v/>
      </c>
      <c r="DI147" s="172">
        <f>MIN(IF($AU147=100%,1,1+VLOOKUP(($AJ147-$AI147-$AH147-$AG147-$AF147-$AE147*(1+DI$3))/$AJ147,'Технический лист'!$I:$J,2,1)-VLOOKUP($AO147,'Технический лист'!$I:$J,2,1)),1+(1-$AU147))</f>
        <v/>
      </c>
      <c r="DJ147" s="172">
        <f>MIN(IF($AU147=100%,1,1+VLOOKUP(($AJ147-$AI147-$AH147-$AG147-$AF147-$AE147*(1+DJ$3))/$AJ147,'Технический лист'!$I:$J,2,1)-VLOOKUP($AO147,'Технический лист'!$I:$J,2,1)),1+(1-$AU147))</f>
        <v/>
      </c>
      <c r="DK147" s="172">
        <f>MIN(IF($AU147=100%,1,1+VLOOKUP(($AJ147-$AI147-$AH147-$AG147-$AF147-$AE147*(1+DK$3))/$AJ147,'Технический лист'!$I:$J,2,1)-VLOOKUP($AO147,'Технический лист'!$I:$J,2,1)),1+(1-$AU147))</f>
        <v/>
      </c>
      <c r="DL147" s="172">
        <f>MIN(IF($AU147=100%,1,1+VLOOKUP(($AJ147-$AI147-$AH147-$AG147-$AF147-$AE147*(1+DL$3))/$AJ147,'Технический лист'!$I:$J,2,1)-VLOOKUP($AO147,'Технический лист'!$I:$J,2,1)),1+(1-$AU147))</f>
        <v/>
      </c>
      <c r="DM147" s="172">
        <f>MIN(IF($AU147=100%,1,1+VLOOKUP(($AJ147-$AI147-$AH147-$AG147-$AF147-$AE147*(1+DM$3))/$AJ147,'Технический лист'!$I:$J,2,1)-VLOOKUP($AO147,'Технический лист'!$I:$J,2,1)),1+(1-$AU147))</f>
        <v/>
      </c>
      <c r="DN147" s="172">
        <f>MIN(IF($AU147=100%,1,1+VLOOKUP(($AJ147-$AI147-$AH147-$AG147-$AF147-$AE147*(1+DN$3))/$AJ147,'Технический лист'!$I:$J,2,1)-VLOOKUP($AO147,'Технический лист'!$I:$J,2,1)),1+(1-$AU147))</f>
        <v/>
      </c>
      <c r="DO147" s="172">
        <f>MIN(IF($AU147=100%,1,1+VLOOKUP(($AJ147-$AI147-$AH147-$AG147-$AF147-$AE147*(1+DO$3))/$AJ147,'Технический лист'!$I:$J,2,1)-VLOOKUP($AO147,'Технический лист'!$I:$J,2,1)),1+(1-$AU147))</f>
        <v/>
      </c>
      <c r="DP147" s="172">
        <f>MIN(IF($AU147=100%,1,1+VLOOKUP(($AJ147-$AI147-$AH147-$AG147-$AF147-$AE147*(1+DP$3))/$AJ147,'Технический лист'!$I:$J,2,1)-VLOOKUP($AO147,'Технический лист'!$I:$J,2,1)),1+(1-$AU147))</f>
        <v/>
      </c>
      <c r="DQ147" s="172">
        <f>MIN(IF($AU147=100%,1,1+VLOOKUP(($AJ147-$AI147-$AH147-$AG147-$AF147-$AE147*(1+DQ$3))/$AJ147,'Технический лист'!$I:$J,2,1)-VLOOKUP($AO147,'Технический лист'!$I:$J,2,1)),1+(1-$AU147))</f>
        <v/>
      </c>
      <c r="DR147" s="172">
        <f>MIN(IF($AU147=100%,1,1+VLOOKUP(($AJ147-$AI147-$AH147-$AG147-$AF147-$AE147*(1+DR$3))/$AJ147,'Технический лист'!$I:$J,2,1)-VLOOKUP($AO147,'Технический лист'!$I:$J,2,1)),1+(1-$AU147))</f>
        <v/>
      </c>
      <c r="DS147" s="172">
        <f>MIN(IF($AU147=100%,1,1+VLOOKUP(($AJ147-$AI147-$AH147-$AG147-$AF147-$AE147*(1+DS$3))/$AJ147,'Технический лист'!$I:$J,2,1)-VLOOKUP($AO147,'Технический лист'!$I:$J,2,1)),1+(1-$AU147))</f>
        <v/>
      </c>
      <c r="DT147" s="172">
        <f>MIN(IF($AU147=100%,1,1+VLOOKUP(($AJ147-$AI147-$AH147-$AG147-$AF147-$AE147*(1+DT$3))/$AJ147,'Технический лист'!$I:$J,2,1)-VLOOKUP($AO147,'Технический лист'!$I:$J,2,1)),1+(1-$AU147))</f>
        <v/>
      </c>
      <c r="DU147" s="172">
        <f>MIN(IF($AU147=100%,1,1+VLOOKUP(($AJ147-$AI147-$AH147-$AG147-$AF147-$AE147*(1+DU$3))/$AJ147,'Технический лист'!$I:$J,2,1)-VLOOKUP($AO147,'Технический лист'!$I:$J,2,1)),1+(1-$AU147))</f>
        <v/>
      </c>
      <c r="DV147" s="172">
        <f>MIN(IF($AU147=100%,1,1+VLOOKUP(($AJ147-$AI147-$AH147-$AG147-$AF147-$AE147*(1+DV$3))/$AJ147,'Технический лист'!$I:$J,2,1)-VLOOKUP($AO147,'Технический лист'!$I:$J,2,1)),1+(1-$AU147))</f>
        <v/>
      </c>
      <c r="DW147" s="172">
        <f>MIN(IF($AU147=100%,1,1+VLOOKUP(($AJ147-$AI147-$AH147-$AG147-$AF147-$AE147*(1+DW$3))/$AJ147,'Технический лист'!$I:$J,2,1)-VLOOKUP($AO147,'Технический лист'!$I:$J,2,1)),1+(1-$AU147))</f>
        <v/>
      </c>
      <c r="DX147" s="172">
        <f>MIN(IF($AU147=100%,1,1+VLOOKUP(($AJ147-$AI147-$AH147-$AG147-$AF147-$AE147*(1+DX$3))/$AJ147,'Технический лист'!$I:$J,2,1)-VLOOKUP($AO147,'Технический лист'!$I:$J,2,1)),1+(1-$AU147))</f>
        <v/>
      </c>
      <c r="DY147" s="172">
        <f>MIN(IF($AU147=100%,1,1+VLOOKUP(($AJ147-$AI147-$AH147-$AG147-$AF147-$AE147*(1+DY$3))/$AJ147,'Технический лист'!$I:$J,2,1)-VLOOKUP($AO147,'Технический лист'!$I:$J,2,1)),1+(1-$AU147))</f>
        <v/>
      </c>
      <c r="DZ147" s="172">
        <f>MIN(IF($AU147=100%,1,1+VLOOKUP(($AJ147-$AI147-$AH147-$AG147-$AF147-$AE147*(1+DZ$3))/$AJ147,'Технический лист'!$I:$J,2,1)-VLOOKUP($AO147,'Технический лист'!$I:$J,2,1)),1+(1-$AU147))</f>
        <v/>
      </c>
      <c r="EA147" s="172">
        <f>MIN(IF($AU147=100%,1,1+VLOOKUP(($AJ147-$AI147-$AH147-$AG147-$AF147-$AE147*(1+EA$3))/$AJ147,'Технический лист'!$I:$J,2,1)-VLOOKUP($AO147,'Технический лист'!$I:$J,2,1)),1+(1-$AU147))</f>
        <v/>
      </c>
      <c r="EB147" s="172">
        <f>MIN(IF($AU147=100%,1,1+VLOOKUP(($AJ147-$AI147-$AH147-$AG147-$AF147-$AE147*(1+EB$3))/$AJ147,'Технический лист'!$I:$J,2,1)-VLOOKUP($AO147,'Технический лист'!$I:$J,2,1)),1+(1-$AU147))</f>
        <v/>
      </c>
      <c r="EC147" s="172">
        <f>MIN(IF($AU147=100%,1,1+VLOOKUP(($AJ147-$AI147-$AH147-$AG147-$AF147-$AE147*(1+EC$3))/$AJ147,'Технический лист'!$I:$J,2,1)-VLOOKUP($AO147,'Технический лист'!$I:$J,2,1)),1+(1-$AU147))</f>
        <v/>
      </c>
      <c r="ED147" s="172">
        <f>MIN(IF($AU147=100%,1,1+VLOOKUP(($AJ147-$AI147-$AH147-$AG147-$AF147-$AE147*(1+ED$3))/$AJ147,'Технический лист'!$I:$J,2,1)-VLOOKUP($AO147,'Технический лист'!$I:$J,2,1)),1+(1-$AU147))</f>
        <v/>
      </c>
      <c r="EE147" s="172">
        <f>MIN(IF($AU147=100%,1,1+VLOOKUP(($AJ147-$AI147-$AH147-$AG147-$AF147-$AE147*(1+EE$3))/$AJ147,'Технический лист'!$I:$J,2,1)-VLOOKUP($AO147,'Технический лист'!$I:$J,2,1)),1+(1-$AU147))</f>
        <v/>
      </c>
      <c r="EF147" s="172">
        <f>MIN(IF($AU147=100%,1,1+VLOOKUP(($AJ147-$AI147-$AH147-$AG147-$AF147-$AE147*(1+EF$3))/$AJ147,'Технический лист'!$I:$J,2,1)-VLOOKUP($AO147,'Технический лист'!$I:$J,2,1)),1+(1-$AU147))</f>
        <v/>
      </c>
      <c r="EG147" s="172">
        <f>MIN(IF($AU147=100%,1,1+VLOOKUP(($AJ147-$AI147-$AH147-$AG147-$AF147-$AE147*(1+EG$3))/$AJ147,'Технический лист'!$I:$J,2,1)-VLOOKUP($AO147,'Технический лист'!$I:$J,2,1)),1+(1-$AU147))</f>
        <v/>
      </c>
      <c r="EH147" s="172">
        <f>MIN(IF($AU147=100%,1,1+VLOOKUP(($AJ147-$AI147-$AH147-$AG147-$AF147-$AE147*(1+EH$3))/$AJ147,'Технический лист'!$I:$J,2,1)-VLOOKUP($AO147,'Технический лист'!$I:$J,2,1)),1+(1-$AU147))</f>
        <v/>
      </c>
      <c r="EI147" s="172">
        <f>MIN(IF($AU147=100%,1,1+VLOOKUP(($AJ147-$AI147-$AH147-$AG147-$AF147-$AE147*(1+EI$3))/$AJ147,'Технический лист'!$I:$J,2,1)-VLOOKUP($AO147,'Технический лист'!$I:$J,2,1)),1+(1-$AU147))</f>
        <v/>
      </c>
      <c r="EJ147" s="172">
        <f>MIN(IF($AU147=100%,1,1+VLOOKUP(($AJ147-$AI147-$AH147-$AG147-$AF147-$AE147*(1+EJ$3))/$AJ147,'Технический лист'!$I:$J,2,1)-VLOOKUP($AO147,'Технический лист'!$I:$J,2,1)),1+(1-$AU147))</f>
        <v/>
      </c>
      <c r="EK147" s="172">
        <f>MIN(IF($AU147=100%,1,1+VLOOKUP(($AJ147-$AI147-$AH147-$AG147-$AF147-$AE147*(1+EK$3))/$AJ147,'Технический лист'!$I:$J,2,1)-VLOOKUP($AO147,'Технический лист'!$I:$J,2,1)),1+(1-$AU147))</f>
        <v/>
      </c>
      <c r="EL147" s="172">
        <f>MIN(IF($AU147=100%,1,1+VLOOKUP(($AJ147-$AI147-$AH147-$AG147-$AF147-$AE147*(1+EL$3))/$AJ147,'Технический лист'!$I:$J,2,1)-VLOOKUP($AO147,'Технический лист'!$I:$J,2,1)),1+(1-$AU147))</f>
        <v/>
      </c>
      <c r="EM147" s="172">
        <f>MIN(IF($AU147=100%,1,1+VLOOKUP(($AJ147-$AI147-$AH147-$AG147-$AF147-$AE147*(1+EM$3))/$AJ147,'Технический лист'!$I:$J,2,1)-VLOOKUP($AO147,'Технический лист'!$I:$J,2,1)),1+(1-$AU147))</f>
        <v/>
      </c>
      <c r="EN147" s="172">
        <f>MIN(IF($AU147=100%,1,1+VLOOKUP(($AJ147-$AI147-$AH147-$AG147-$AF147-$AE147*(1+EN$3))/$AJ147,'Технический лист'!$I:$J,2,1)-VLOOKUP($AO147,'Технический лист'!$I:$J,2,1)),1+(1-$AU147))</f>
        <v/>
      </c>
      <c r="EO147" s="172">
        <f>MIN(IF($AU147=100%,1,1+VLOOKUP(($AJ147-$AI147-$AH147-$AG147-$AF147-$AE147*(1+EO$3))/$AJ147,'Технический лист'!$I:$J,2,1)-VLOOKUP($AO147,'Технический лист'!$I:$J,2,1)),1+(1-$AU147))</f>
        <v/>
      </c>
      <c r="EP147" s="172">
        <f>MIN(IF($AU147=100%,1,1+VLOOKUP(($AJ147-$AI147-$AH147-$AG147-$AF147-$AE147*(1+EP$3))/$AJ147,'Технический лист'!$I:$J,2,1)-VLOOKUP($AO147,'Технический лист'!$I:$J,2,1)),1+(1-$AU147))</f>
        <v/>
      </c>
      <c r="EQ147" s="172">
        <f>MIN(IF($AU147=100%,1,1+VLOOKUP(($AJ147-$AI147-$AH147-$AG147-$AF147-$AE147*(1+EQ$3))/$AJ147,'Технический лист'!$I:$J,2,1)-VLOOKUP($AO147,'Технический лист'!$I:$J,2,1)),1+(1-$AU147))</f>
        <v/>
      </c>
      <c r="ER147" s="172">
        <f>MIN(IF($AU147=100%,1,1+VLOOKUP(($AJ147-$AI147-$AH147-$AG147-$AF147-$AE147*(1+ER$3))/$AJ147,'Технический лист'!$I:$J,2,1)-VLOOKUP($AO147,'Технический лист'!$I:$J,2,1)),1+(1-$AU147))</f>
        <v/>
      </c>
      <c r="ES147" s="172">
        <f>MIN(IF($AU147=100%,1,1+VLOOKUP(($AJ147-$AI147-$AH147-$AG147-$AF147-$AE147*(1+ES$3))/$AJ147,'Технический лист'!$I:$J,2,1)-VLOOKUP($AO147,'Технический лист'!$I:$J,2,1)),1+(1-$AU147))</f>
        <v/>
      </c>
      <c r="ET147" s="172">
        <f>MIN(IF($AU147=100%,1,1+VLOOKUP(($AJ147-$AI147-$AH147-$AG147-$AF147-$AE147*(1+ET$3))/$AJ147,'Технический лист'!$I:$J,2,1)-VLOOKUP($AO147,'Технический лист'!$I:$J,2,1)),1+(1-$AU147))</f>
        <v/>
      </c>
      <c r="EU147" s="172">
        <f>MIN(IF($AU147=100%,1,1+VLOOKUP(($AJ147-$AI147-$AH147-$AG147-$AF147-$AE147*(1+EU$3))/$AJ147,'Технический лист'!$I:$J,2,1)-VLOOKUP($AO147,'Технический лист'!$I:$J,2,1)),1+(1-$AU147))</f>
        <v/>
      </c>
      <c r="EV147" s="173" t="n">
        <v>1</v>
      </c>
      <c r="EW147" s="172">
        <f>MIN(1,MAX(VLOOKUP(($AJ147-$AI147-$AH147-$AG147-$AF147-$AE147*(1+EW$3))/$AJ147,'Технический лист'!$A:$B,2,1),(EV147-0.05)))</f>
        <v/>
      </c>
      <c r="EX147" s="172">
        <f>MIN(1,MAX(VLOOKUP(($AJ147-$AI147-$AH147-$AG147-$AF147-$AE147*(1+EX$3))/$AJ147,'Технический лист'!$A:$B,2,1),(EW147-0.05)))</f>
        <v/>
      </c>
      <c r="EY147" s="172">
        <f>MIN(1,MAX(VLOOKUP(($AJ147-$AI147-$AH147-$AG147-$AF147-$AE147*(1+EY$3))/$AJ147,'Технический лист'!$A:$B,2,1),(EX147-0.05)))</f>
        <v/>
      </c>
      <c r="EZ147" s="172">
        <f>MIN(1,MAX(VLOOKUP(($AJ147-$AI147-$AH147-$AG147-$AF147-$AE147*(1+EZ$3))/$AJ147,'Технический лист'!$A:$B,2,1),(EY147-0.05)))</f>
        <v/>
      </c>
      <c r="FA147" s="172">
        <f>MIN(1,MAX(VLOOKUP(($AJ147-$AI147-$AH147-$AG147-$AF147-$AE147*(1+FA$3))/$AJ147,'Технический лист'!$A:$B,2,1),(EZ147-0.05)))</f>
        <v/>
      </c>
      <c r="FB147" s="172">
        <f>MIN(1,MAX(VLOOKUP(($AJ147-$AI147-$AH147-$AG147-$AF147-$AE147*(1+FB$3))/$AJ147,'Технический лист'!$A:$B,2,1),(FA147-0.05)))</f>
        <v/>
      </c>
      <c r="FC147" s="172">
        <f>MIN(1,MAX(VLOOKUP(($AJ147-$AI147-$AH147-$AG147-$AF147-$AE147*(1+FC$3))/$AJ147,'Технический лист'!$A:$B,2,1),(FB147-0.05)))</f>
        <v/>
      </c>
      <c r="FD147" s="172">
        <f>MIN(1,MAX(VLOOKUP(($AJ147-$AI147-$AH147-$AG147-$AF147-$AE147*(1+FD$3))/$AJ147,'Технический лист'!$A:$B,2,1),(FC147-0.05)))</f>
        <v/>
      </c>
      <c r="FE147" s="172">
        <f>MIN(1,MAX(VLOOKUP(($AJ147-$AI147-$AH147-$AG147-$AF147-$AE147*(1+FE$3))/$AJ147,'Технический лист'!$A:$B,2,1),(FD147-0.05)))</f>
        <v/>
      </c>
      <c r="FF147" s="172">
        <f>MIN(1,MAX(VLOOKUP(($AJ147-$AI147-$AH147-$AG147-$AF147-$AE147*(1+FF$3))/$AJ147,'Технический лист'!$A:$B,2,1),(FE147-0.05)))</f>
        <v/>
      </c>
      <c r="FG147" s="172">
        <f>MIN(1,MAX(VLOOKUP(($AJ147-$AI147-$AH147-$AG147-$AF147-$AE147*(1+FG$3))/$AJ147,'Технический лист'!$A:$B,2,1),(FF147-0.05)))</f>
        <v/>
      </c>
      <c r="FH147" s="172">
        <f>MIN(1,MAX(VLOOKUP(($AJ147-$AI147-$AH147-$AG147-$AF147-$AE147*(1+FH$3))/$AJ147,'Технический лист'!$A:$B,2,1),(FG147-0.05)))</f>
        <v/>
      </c>
      <c r="FI147" s="172">
        <f>MIN(1,MAX(VLOOKUP(($AJ147-$AI147-$AH147-$AG147-$AF147-$AE147*(1+FI$3))/$AJ147,'Технический лист'!$A:$B,2,1),(FH147-0.05)))</f>
        <v/>
      </c>
      <c r="FJ147" s="172">
        <f>MIN(1,MAX(VLOOKUP(($AJ147-$AI147-$AH147-$AG147-$AF147-$AE147*(1+FJ$3))/$AJ147,'Технический лист'!$A:$B,2,1),(FI147-0.05)))</f>
        <v/>
      </c>
      <c r="FK147" s="172">
        <f>MIN(1,MAX(VLOOKUP(($AJ147-$AI147-$AH147-$AG147-$AF147-$AE147*(1+FK$3))/$AJ147,'Технический лист'!$A:$B,2,1),(FJ147-0.05)))</f>
        <v/>
      </c>
      <c r="FL147" s="172">
        <f>MIN(1,MAX(VLOOKUP(($AJ147-$AI147-$AH147-$AG147-$AF147-$AE147*(1+FL$3))/$AJ147,'Технический лист'!$A:$B,2,1),(FK147-0.05)))</f>
        <v/>
      </c>
      <c r="FM147" s="172">
        <f>MIN(1,MAX(VLOOKUP(($AJ147-$AI147-$AH147-$AG147-$AF147-$AE147*(1+FM$3))/$AJ147,'Технический лист'!$A:$B,2,1),(FL147-0.05)))</f>
        <v/>
      </c>
      <c r="FN147" s="172">
        <f>MIN(1,MAX(VLOOKUP(($AJ147-$AI147-$AH147-$AG147-$AF147-$AE147*(1+FN$3))/$AJ147,'Технический лист'!$A:$B,2,1),(FM147-0.05)))</f>
        <v/>
      </c>
      <c r="FO147" s="172">
        <f>MIN(1,MAX(VLOOKUP(($AJ147-$AI147-$AH147-$AG147-$AF147-$AE147*(1+FO$3))/$AJ147,'Технический лист'!$A:$B,2,1),(FN147-0.05)))</f>
        <v/>
      </c>
      <c r="FP147" s="172">
        <f>MIN(1,MAX(VLOOKUP(($AJ147-$AI147-$AH147-$AG147-$AF147-$AE147*(1+FP$3))/$AJ147,'Технический лист'!$A:$B,2,1),(FO147-0.05)))</f>
        <v/>
      </c>
      <c r="FQ147" s="172">
        <f>MIN(1,MAX(VLOOKUP(($AJ147-$AI147-$AH147-$AG147-$AF147-$AE147*(1+FQ$3))/$AJ147,'Технический лист'!$A:$B,2,1),(FP147-0.05)))</f>
        <v/>
      </c>
      <c r="FR147" s="172">
        <f>MIN(1,MAX(VLOOKUP(($AJ147-$AI147-$AH147-$AG147-$AF147-$AE147*(1+FR$3))/$AJ147,'Технический лист'!$A:$B,2,1),(FQ147-0.05)))</f>
        <v/>
      </c>
      <c r="FS147" s="172">
        <f>MIN(1,MAX(VLOOKUP(($AJ147-$AI147-$AH147-$AG147-$AF147-$AE147*(1+FS$3))/$AJ147,'Технический лист'!$A:$B,2,1),(FR147-0.05)))</f>
        <v/>
      </c>
      <c r="FT147" s="172">
        <f>MIN(1,MAX(VLOOKUP(($AJ147-$AI147-$AH147-$AG147-$AF147-$AE147*(1+FT$3))/$AJ147,'Технический лист'!$A:$B,2,1),(FS147-0.05)))</f>
        <v/>
      </c>
      <c r="FU147" s="172">
        <f>MIN(1,MAX(VLOOKUP(($AJ147-$AI147-$AH147-$AG147-$AF147-$AE147*(1+FU$3))/$AJ147,'Технический лист'!$A:$B,2,1),(FT147-0.05)))</f>
        <v/>
      </c>
      <c r="FV147" s="172">
        <f>MIN(1,MAX(VLOOKUP(($AJ147-$AI147-$AH147-$AG147-$AF147-$AE147*(1+FV$3))/$AJ147,'Технический лист'!$A:$B,2,1),(FU147-0.05)))</f>
        <v/>
      </c>
      <c r="FW147" s="172">
        <f>MIN(1,MAX(VLOOKUP(($AJ147-$AI147-$AH147-$AG147-$AF147-$AE147*(1+FW$3))/$AJ147,'Технический лист'!$A:$B,2,1),(FV147-0.05)))</f>
        <v/>
      </c>
      <c r="FX147" s="172">
        <f>MIN(1,MAX(VLOOKUP(($AJ147-$AI147-$AH147-$AG147-$AF147-$AE147*(1+FX$3))/$AJ147,'Технический лист'!$A:$B,2,1),(FW147-0.05)))</f>
        <v/>
      </c>
      <c r="FY147" s="172">
        <f>MIN(1,MAX(VLOOKUP(($AJ147-$AI147-$AH147-$AG147-$AF147-$AE147*(1+FY$3))/$AJ147,'Технический лист'!$A:$B,2,1),(FX147-0.05)))</f>
        <v/>
      </c>
      <c r="FZ147" s="172">
        <f>MIN(1,MAX(VLOOKUP(($AJ147-$AI147-$AH147-$AG147-$AF147-$AE147*(1+FZ$3))/$AJ147,'Технический лист'!$A:$B,2,1),(FY147-0.05)))</f>
        <v/>
      </c>
      <c r="GA147" s="172">
        <f>MIN(1,MAX(VLOOKUP(($AJ147-$AI147-$AH147-$AG147-$AF147-$AE147*(1+GA$3))/$AJ147,'Технический лист'!$A:$B,2,1),(FZ147-0.05)))</f>
        <v/>
      </c>
      <c r="GB147" s="172">
        <f>MIN(1,MAX(VLOOKUP(($AJ147-$AI147-$AH147-$AG147-$AF147-$AE147*(1+GB$3))/$AJ147,'Технический лист'!$A:$B,2,1),(GA147-0.05)))</f>
        <v/>
      </c>
      <c r="GC147" s="172">
        <f>MIN(1,MAX(VLOOKUP(($AJ147-$AI147-$AH147-$AG147-$AF147-$AE147*(1+GC$3))/$AJ147,'Технический лист'!$A:$B,2,1),(GB147-0.05)))</f>
        <v/>
      </c>
      <c r="GD147" s="172">
        <f>MIN(1,MAX(VLOOKUP(($AJ147-$AI147-$AH147-$AG147-$AF147-$AE147*(1+GD$3))/$AJ147,'Технический лист'!$A:$B,2,1),(GC147-0.05)))</f>
        <v/>
      </c>
      <c r="GE147" s="172">
        <f>MIN(1,MAX(VLOOKUP(($AJ147-$AI147-$AH147-$AG147-$AF147-$AE147*(1+GE$3))/$AJ147,'Технический лист'!$A:$B,2,1),(GD147-0.05)))</f>
        <v/>
      </c>
      <c r="GF147" s="172">
        <f>MIN(1,MAX(VLOOKUP(($AJ147-$AI147-$AH147-$AG147-$AF147-$AE147*(1+GF$3))/$AJ147,'Технический лист'!$A:$B,2,1),(GE147-0.05)))</f>
        <v/>
      </c>
      <c r="GG147" s="172">
        <f>MIN(1,MAX(VLOOKUP(($AJ147-$AI147-$AH147-$AG147-$AF147-$AE147*(1+GG$3))/$AJ147,'Технический лист'!$A:$B,2,1),(GF147-0.05)))</f>
        <v/>
      </c>
      <c r="GH147" s="172">
        <f>MIN(1,MAX(VLOOKUP(($AJ147-$AI147-$AH147-$AG147-$AF147-$AE147*(1+GH$3))/$AJ147,'Технический лист'!$A:$B,2,1),(GG147-0.05)))</f>
        <v/>
      </c>
      <c r="GI147" s="172">
        <f>MIN(1,MAX(VLOOKUP(($AJ147-$AI147-$AH147-$AG147-$AF147-$AE147*(1+GI$3))/$AJ147,'Технический лист'!$A:$B,2,1),(GH147-0.05)))</f>
        <v/>
      </c>
      <c r="GJ147" s="172">
        <f>MIN(1,MAX(VLOOKUP(($AJ147-$AI147-$AH147-$AG147-$AF147-$AE147*(1+GJ$3))/$AJ147,'Технический лист'!$A:$B,2,1),(GI147-0.05)))</f>
        <v/>
      </c>
      <c r="GK147" s="172">
        <f>MIN(1,MAX(VLOOKUP(($AJ147-$AI147-$AH147-$AG147-$AF147-$AE147*(1+GK$3))/$AJ147,'Технический лист'!$A:$B,2,1),(GJ147-0.05)))</f>
        <v/>
      </c>
      <c r="GL147" s="172">
        <f>MIN(1,MAX(VLOOKUP(($AJ147-$AI147-$AH147-$AG147-$AF147-$AE147*(1+GL$3))/$AJ147,'Технический лист'!$A:$B,2,1),(GK147-0.05)))</f>
        <v/>
      </c>
      <c r="GM147" s="172">
        <f>MIN(1,MAX(VLOOKUP(($AJ147-$AI147-$AH147-$AG147-$AF147-$AE147*(1+GM$3))/$AJ147,'Технический лист'!$A:$B,2,1),(GL147-0.05)))</f>
        <v/>
      </c>
      <c r="GN147" s="172">
        <f>MIN(1,MAX(VLOOKUP(($AJ147-$AI147-$AH147-$AG147-$AF147-$AE147*(1+GN$3))/$AJ147,'Технический лист'!$A:$B,2,1),(GM147-0.05)))</f>
        <v/>
      </c>
      <c r="GO147" s="172">
        <f>MIN(1,MAX(VLOOKUP(($AJ147-$AI147-$AH147-$AG147-$AF147-$AE147*(1+GO$3))/$AJ147,'Технический лист'!$A:$B,2,1),(GN147-0.05)))</f>
        <v/>
      </c>
      <c r="GP147" s="172">
        <f>MIN(1,MAX(VLOOKUP(($AJ147-$AI147-$AH147-$AG147-$AF147-$AE147*(1+GP$3))/$AJ147,'Технический лист'!$A:$B,2,1),(GO147-0.05)))</f>
        <v/>
      </c>
      <c r="GQ147" s="172">
        <f>MIN(1,MAX(VLOOKUP(($AJ147-$AI147-$AH147-$AG147-$AF147-$AE147*(1+GQ$3))/$AJ147,'Технический лист'!$A:$B,2,1),(GP147-0.05)))</f>
        <v/>
      </c>
      <c r="GR147" s="172">
        <f>MIN(1,MAX(VLOOKUP(($AJ147-$AI147-$AH147-$AG147-$AF147-$AE147*(1+GR$3))/$AJ147,'Технический лист'!$A:$B,2,1),(GQ147-0.05)))</f>
        <v/>
      </c>
      <c r="GS147" s="172">
        <f>MIN(1,MAX(VLOOKUP(($AJ147-$AI147-$AH147-$AG147-$AF147-$AE147*(1+GS$3))/$AJ147,'Технический лист'!$A:$B,2,1),(GR147-0.05)))</f>
        <v/>
      </c>
      <c r="GT147" s="172">
        <f>MIN(1,MAX(VLOOKUP(($AJ147-$AI147-$AH147-$AG147-$AF147-$AE147*(1+GT$3))/$AJ147,'Технический лист'!$A:$B,2,1),(GS147-0.05)))</f>
        <v/>
      </c>
      <c r="GU147" s="172">
        <f>MIN(1,MAX(VLOOKUP(($AJ147-$AI147-$AH147-$AG147-$AF147-$AE147*(1+GU$3))/$AJ147,'Технический лист'!$A:$B,2,1),(GT147-0.05)))</f>
        <v/>
      </c>
      <c r="GV147" s="172">
        <f>MIN(1,MAX(VLOOKUP(($AJ147-$AI147-$AH147-$AG147-$AF147-$AE147*(1+GV$3))/$AJ147,'Технический лист'!$A:$B,2,1),(GU147-0.05)))</f>
        <v/>
      </c>
      <c r="GW147" s="172">
        <f>MIN(1,MAX(VLOOKUP(($AJ147-$AI147-$AH147-$AG147-$AF147-$AE147*(1+GW$3))/$AJ147,'Технический лист'!$A:$B,2,1),(GV147-0.05)))</f>
        <v/>
      </c>
      <c r="GX147" s="172">
        <f>MIN(1,MAX(VLOOKUP(($AJ147-$AI147-$AH147-$AG147-$AF147-$AE147*(1+GX$3))/$AJ147,'Технический лист'!$A:$B,2,1),(GW147-0.05)))</f>
        <v/>
      </c>
      <c r="GY147" s="172">
        <f>MIN(1,MAX(VLOOKUP(($AJ147-$AI147-$AH147-$AG147-$AF147-$AE147*(1+GY$3))/$AJ147,'Технический лист'!$A:$B,2,1),(GX147-0.05)))</f>
        <v/>
      </c>
      <c r="GZ147" s="172">
        <f>MIN(1,MAX(VLOOKUP(($AJ147-$AI147-$AH147-$AG147-$AF147-$AE147*(1+GZ$3))/$AJ147,'Технический лист'!$A:$B,2,1),(GY147-0.05)))</f>
        <v/>
      </c>
      <c r="HA147" s="172">
        <f>MIN(1,MAX(VLOOKUP(($AJ147-$AI147-$AH147-$AG147-$AF147-$AE147*(1+HA$3))/$AJ147,'Технический лист'!$A:$B,2,1),(GZ147-0.05)))</f>
        <v/>
      </c>
      <c r="HB147" s="172">
        <f>MIN(1,MAX(VLOOKUP(($AJ147-$AI147-$AH147-$AG147-$AF147-$AE147*(1+HB$3))/$AJ147,'Технический лист'!$A:$B,2,1),(HA147-0.05)))</f>
        <v/>
      </c>
      <c r="HC147" s="172">
        <f>MIN(1,MAX(VLOOKUP(($AJ147-$AI147-$AH147-$AG147-$AF147-$AE147*(1+HC$3))/$AJ147,'Технический лист'!$A:$B,2,1),(HB147-0.05)))</f>
        <v/>
      </c>
      <c r="HD147" s="172">
        <f>MIN(1,MAX(VLOOKUP(($AJ147-$AI147-$AH147-$AG147-$AF147-$AE147*(1+HD$3))/$AJ147,'Технический лист'!$A:$B,2,1),(HC147-0.05)))</f>
        <v/>
      </c>
      <c r="HE147" s="172">
        <f>MIN(1,MAX(VLOOKUP(($AJ147-$AI147-$AH147-$AG147-$AF147-$AE147*(1+HE$3))/$AJ147,'Технический лист'!$A:$B,2,1),(HD147-0.05)))</f>
        <v/>
      </c>
      <c r="HF147" s="172">
        <f>MIN(1,MAX(VLOOKUP(($AJ147-$AI147-$AH147-$AG147-$AF147-$AE147*(1+HF$3))/$AJ147,'Технический лист'!$A:$B,2,1),(HE147-0.05)))</f>
        <v/>
      </c>
      <c r="HG147" s="172">
        <f>MIN(1,MAX(VLOOKUP(($AJ147-$AI147-$AH147-$AG147-$AF147-$AE147*(1+HG$3))/$AJ147,'Технический лист'!$A:$B,2,1),(HF147-0.05)))</f>
        <v/>
      </c>
      <c r="HH147" s="172">
        <f>MIN(1,MAX(VLOOKUP(($AJ147-$AI147-$AH147-$AG147-$AF147-$AE147*(1+HH$3))/$AJ147,'Технический лист'!$A:$B,2,1),(HG147-0.05)))</f>
        <v/>
      </c>
      <c r="HI147" s="172">
        <f>MIN(1,MAX(VLOOKUP(($AJ147-$AI147-$AH147-$AG147-$AF147-$AE147*(1+HI$3))/$AJ147,'Технический лист'!$A:$B,2,1),(HH147-0.05)))</f>
        <v/>
      </c>
      <c r="HJ147" s="172">
        <f>MIN(1,MAX(VLOOKUP(($AJ147-$AI147-$AH147-$AG147-$AF147-$AE147*(1+HJ$3))/$AJ147,'Технический лист'!$A:$B,2,1),(HI147-0.05)))</f>
        <v/>
      </c>
      <c r="HK147" s="172">
        <f>MIN(1,MAX(VLOOKUP(($AJ147-$AI147-$AH147-$AG147-$AF147-$AE147*(1+HK$3))/$AJ147,'Технический лист'!$A:$B,2,1),(HJ147-0.05)))</f>
        <v/>
      </c>
      <c r="HL147" s="172">
        <f>MIN(1,MAX(VLOOKUP(($AJ147-$AI147-$AH147-$AG147-$AF147-$AE147*(1+HL$3))/$AJ147,'Технический лист'!$A:$B,2,1),(HK147-0.05)))</f>
        <v/>
      </c>
      <c r="HM147" s="172">
        <f>MIN(1,MAX(VLOOKUP(($AJ147-$AI147-$AH147-$AG147-$AF147-$AE147*(1+HM$3))/$AJ147,'Технический лист'!$A:$B,2,1),(HL147-0.05)))</f>
        <v/>
      </c>
      <c r="HN147" s="172">
        <f>MIN(1,MAX(VLOOKUP(($AJ147-$AI147-$AH147-$AG147-$AF147-$AE147*(1+HN$3))/$AJ147,'Технический лист'!$A:$B,2,1),(HM147-0.05)))</f>
        <v/>
      </c>
      <c r="HO147" s="172">
        <f>MIN(1,MAX(VLOOKUP(($AJ147-$AI147-$AH147-$AG147-$AF147-$AE147*(1+HO$3))/$AJ147,'Технический лист'!$A:$B,2,1),(HN147-0.05)))</f>
        <v/>
      </c>
      <c r="HP147" s="172">
        <f>MIN(1,MAX(VLOOKUP(($AJ147-$AI147-$AH147-$AG147-$AF147-$AE147*(1+HP$3))/$AJ147,'Технический лист'!$A:$B,2,1),(HO147-0.05)))</f>
        <v/>
      </c>
      <c r="HQ147" s="172">
        <f>MIN(1,MAX(VLOOKUP(($AJ147-$AI147-$AH147-$AG147-$AF147-$AE147*(1+HQ$3))/$AJ147,'Технический лист'!$A:$B,2,1),(HP147-0.05)))</f>
        <v/>
      </c>
      <c r="HR147" s="172">
        <f>MIN(1,MAX(VLOOKUP(($AJ147-$AI147-$AH147-$AG147-$AF147-$AE147*(1+HR$3))/$AJ147,'Технический лист'!$A:$B,2,1),(HQ147-0.05)))</f>
        <v/>
      </c>
      <c r="HS147" s="172">
        <f>MIN(1,MAX(VLOOKUP(($AJ147-$AI147-$AH147-$AG147-$AF147-$AE147*(1+HS$3))/$AJ147,'Технический лист'!$A:$B,2,1),(HR147-0.05)))</f>
        <v/>
      </c>
      <c r="HT147" s="172">
        <f>MIN(1,MAX(VLOOKUP(($AJ147-$AI147-$AH147-$AG147-$AF147-$AE147*(1+HT$3))/$AJ147,'Технический лист'!$A:$B,2,1),(HS147-0.05)))</f>
        <v/>
      </c>
      <c r="HU147" s="172">
        <f>MIN(1,MAX(VLOOKUP(($AJ147-$AI147-$AH147-$AG147-$AF147-$AE147*(1+HU$3))/$AJ147,'Технический лист'!$A:$B,2,1),(HT147-0.05)))</f>
        <v/>
      </c>
      <c r="HV147" s="172">
        <f>MIN(1,MAX(VLOOKUP(($AJ147-$AI147-$AH147-$AG147-$AF147-$AE147*(1+HV$3))/$AJ147,'Технический лист'!$A:$B,2,1),(HU147-0.05)))</f>
        <v/>
      </c>
      <c r="HW147" s="172">
        <f>MIN(1,MAX(VLOOKUP(($AJ147-$AI147-$AH147-$AG147-$AF147-$AE147*(1+HW$3))/$AJ147,'Технический лист'!$A:$B,2,1),(HV147-0.05)))</f>
        <v/>
      </c>
      <c r="HX147" s="172">
        <f>MIN(1,MAX(VLOOKUP(($AJ147-$AI147-$AH147-$AG147-$AF147-$AE147*(1+HX$3))/$AJ147,'Технический лист'!$A:$B,2,1),(HW147-0.05)))</f>
        <v/>
      </c>
      <c r="HY147" s="172">
        <f>MIN(1,MAX(VLOOKUP(($AJ147-$AI147-$AH147-$AG147-$AF147-$AE147*(1+HY$3))/$AJ147,'Технический лист'!$A:$B,2,1),(HX147-0.05)))</f>
        <v/>
      </c>
      <c r="HZ147" s="172">
        <f>MIN(1,MAX(VLOOKUP(($AJ147-$AI147-$AH147-$AG147-$AF147-$AE147*(1+HZ$3))/$AJ147,'Технический лист'!$A:$B,2,1),(HY147-0.05)))</f>
        <v/>
      </c>
      <c r="IA147" s="172">
        <f>MIN(1,MAX(VLOOKUP(($AJ147-$AI147-$AH147-$AG147-$AF147-$AE147*(1+IA$3))/$AJ147,'Технический лист'!$A:$B,2,1),(HZ147-0.05)))</f>
        <v/>
      </c>
      <c r="IB147" s="172">
        <f>MIN(1,MAX(VLOOKUP(($AJ147-$AI147-$AH147-$AG147-$AF147-$AE147*(1+IB$3))/$AJ147,'Технический лист'!$A:$B,2,1),(IA147-0.05)))</f>
        <v/>
      </c>
      <c r="IC147" s="172">
        <f>MIN(1,MAX(VLOOKUP(($AJ147-$AI147-$AH147-$AG147-$AF147-$AE147*(1+IC$3))/$AJ147,'Технический лист'!$A:$B,2,1),(IB147-0.05)))</f>
        <v/>
      </c>
      <c r="ID147" s="172">
        <f>MIN(1,MAX(VLOOKUP(($AJ147-$AI147-$AH147-$AG147-$AF147-$AE147*(1+ID$3))/$AJ147,'Технический лист'!$A:$B,2,1),(IC147-0.05)))</f>
        <v/>
      </c>
      <c r="IE147" s="172">
        <f>MIN(1,MAX(VLOOKUP(($AJ147-$AI147-$AH147-$AG147-$AF147-$AE147*(1+IE$3))/$AJ147,'Технический лист'!$A:$B,2,1),(ID147-0.05)))</f>
        <v/>
      </c>
      <c r="IF147" s="172">
        <f>MIN(1,MAX(VLOOKUP(($AJ147-$AI147-$AH147-$AG147-$AF147-$AE147*(1+IF$3))/$AJ147,'Технический лист'!$A:$B,2,1),(IE147-0.05)))</f>
        <v/>
      </c>
      <c r="IG147" s="172">
        <f>MIN(1,MAX(VLOOKUP(($AJ147-$AI147-$AH147-$AG147-$AF147-$AE147*(1+IG$3))/$AJ147,'Технический лист'!$A:$B,2,1),(IF147-0.05)))</f>
        <v/>
      </c>
      <c r="IH147" s="172">
        <f>MIN(1,MAX(VLOOKUP(($AJ147-$AI147-$AH147-$AG147-$AF147-$AE147*(1+IH$3))/$AJ147,'Технический лист'!$A:$B,2,1),(IG147-0.05)))</f>
        <v/>
      </c>
      <c r="II147" s="172">
        <f>MIN(1,MAX(VLOOKUP(($AJ147-$AI147-$AH147-$AG147-$AF147-$AE147*(1+II$3))/$AJ147,'Технический лист'!$A:$B,2,1),(IH147-0.05)))</f>
        <v/>
      </c>
      <c r="IJ147" s="172">
        <f>MIN(1,MAX(VLOOKUP(($AJ147-$AI147-$AH147-$AG147-$AF147-$AE147*(1+IJ$3))/$AJ147,'Технический лист'!$A:$B,2,1),(II147-0.05)))</f>
        <v/>
      </c>
      <c r="IK147" s="172">
        <f>MIN(1,MAX(VLOOKUP(($AJ147-$AI147-$AH147-$AG147-$AF147-$AE147*(1+IK$3))/$AJ147,'Технический лист'!$A:$B,2,1),(IJ147-0.05)))</f>
        <v/>
      </c>
      <c r="IL147" s="172">
        <f>MIN(1,MAX(VLOOKUP(($AJ147-$AI147-$AH147-$AG147-$AF147-$AE147*(1+IL$3))/$AJ147,'Технический лист'!$A:$B,2,1),(IK147-0.05)))</f>
        <v/>
      </c>
      <c r="IM147" s="172">
        <f>MIN(1,MAX(VLOOKUP(($AJ147-$AI147-$AH147-$AG147-$AF147-$AE147*(1+IM$3))/$AJ147,'Технический лист'!$A:$B,2,1),(IL147-0.05)))</f>
        <v/>
      </c>
      <c r="IN147" s="172">
        <f>MIN(1,MAX(VLOOKUP(($AJ147-$AI147-$AH147-$AG147-$AF147-$AE147*(1+IN$3))/$AJ147,'Технический лист'!$A:$B,2,1),(IM147-0.05)))</f>
        <v/>
      </c>
      <c r="IO147" s="172">
        <f>MIN(1,MAX(VLOOKUP(($AJ147-$AI147-$AH147-$AG147-$AF147-$AE147*(1+IO$3))/$AJ147,'Технический лист'!$A:$B,2,1),(IN147-0.05)))</f>
        <v/>
      </c>
      <c r="IP147" s="172">
        <f>MIN(1,MAX(VLOOKUP(($AJ147-$AI147-$AH147-$AG147-$AF147-$AE147*(1+IP$3))/$AJ147,'Технический лист'!$A:$B,2,1),(IO147-0.05)))</f>
        <v/>
      </c>
      <c r="IQ147" s="172">
        <f>MIN(1,MAX(VLOOKUP(($AJ147-$AI147-$AH147-$AG147-$AF147-$AE147*(1+IQ$3))/$AJ147,'Технический лист'!$A:$B,2,1),(IP147-0.05)))</f>
        <v/>
      </c>
      <c r="IR147" s="172">
        <f>MIN(1,MAX(VLOOKUP(($AJ147-$AI147-$AH147-$AG147-$AF147-$AE147*(1+IR$3))/$AJ147,'Технический лист'!$A:$B,2,1),(IQ147-0.05)))</f>
        <v/>
      </c>
    </row>
    <row r="148" ht="58.3" customHeight="1" s="123">
      <c r="A148" s="89" t="inlineStr">
        <is>
          <t>ЦМ (продукция)</t>
        </is>
      </c>
      <c r="B148" s="90" t="n">
        <v>10</v>
      </c>
      <c r="C148" s="5" t="inlineStr">
        <is>
          <t>Остальные грузы</t>
        </is>
      </c>
      <c r="D148" s="91" t="n">
        <v>33304</v>
      </c>
      <c r="E148" s="91" t="inlineStr">
        <is>
          <t xml:space="preserve">Лом и отходы цветных металлов, не поименованные в алфавите </t>
        </is>
      </c>
      <c r="F148" s="92" t="inlineStr">
        <is>
          <t>ЛОМ И ОТХОДЫ ЦВЕТНЫХ МЕТА</t>
        </is>
      </c>
      <c r="G148" s="91" t="inlineStr">
        <is>
          <t>ЗАБ</t>
        </is>
      </c>
      <c r="H148" s="91" t="inlineStr">
        <is>
          <t>ОКТ</t>
        </is>
      </c>
      <c r="I148" s="91" t="inlineStr">
        <is>
          <t>БЛАГОВЕЩЕНСК</t>
        </is>
      </c>
      <c r="J148" s="91" t="inlineStr">
        <is>
          <t>ВЕЛ НОВГОРОД</t>
        </is>
      </c>
      <c r="K148" s="91" t="n">
        <v>8453</v>
      </c>
      <c r="L148" s="77" t="inlineStr">
        <is>
          <t>Платформы</t>
        </is>
      </c>
      <c r="M148" s="91" t="inlineStr">
        <is>
          <t>Внутр. перевозки</t>
        </is>
      </c>
      <c r="N148" s="91" t="inlineStr">
        <is>
          <t>контейнерная</t>
        </is>
      </c>
      <c r="O148" s="91" t="inlineStr">
        <is>
          <t xml:space="preserve">Северо-Западное </t>
        </is>
      </c>
      <c r="P148" s="89" t="inlineStr">
        <is>
          <t>'000055103129</t>
        </is>
      </c>
      <c r="Q148" s="91" t="inlineStr">
        <is>
          <t>ПАО "ГМК "Норильский никель"</t>
        </is>
      </c>
      <c r="R148" s="91" t="inlineStr">
        <is>
          <t>ПАО "ГМК "Норильский никель"</t>
        </is>
      </c>
      <c r="S148" s="87" t="n">
        <v>676</v>
      </c>
      <c r="T148" s="87" t="n">
        <v>5715247</v>
      </c>
      <c r="U148" s="88" t="n">
        <v>0</v>
      </c>
      <c r="V148" s="88" t="n">
        <v>29</v>
      </c>
      <c r="W148" s="87" t="n">
        <v>2520327</v>
      </c>
      <c r="X148" s="112" t="n">
        <v>50</v>
      </c>
      <c r="Y148" s="112" t="inlineStr">
        <is>
          <t>контейнерная</t>
        </is>
      </c>
      <c r="Z148" s="113" t="n">
        <v>22</v>
      </c>
      <c r="AA148" s="113" t="n">
        <v>0</v>
      </c>
      <c r="AB148" s="113" t="n">
        <v>4</v>
      </c>
      <c r="AC148" s="161">
        <f>252998/X148</f>
        <v/>
      </c>
      <c r="AD148" s="161" t="n">
        <v>0</v>
      </c>
      <c r="AE148" s="161">
        <f>AC148</f>
        <v/>
      </c>
      <c r="AF148" s="162">
        <f>(AB148+AA148+Z148)*'Ставки аренды'!$B$6/X148</f>
        <v/>
      </c>
      <c r="AG148" s="164" t="n">
        <v>0</v>
      </c>
      <c r="AH148" s="164" t="n">
        <v>0</v>
      </c>
      <c r="AI148" s="165">
        <f>575152/1082467*AJ148</f>
        <v/>
      </c>
      <c r="AJ148" s="166">
        <f>Цены!D31</f>
        <v/>
      </c>
      <c r="AK148" s="164">
        <f>AJ148/Цены!$B$1</f>
        <v/>
      </c>
      <c r="AL148" s="164">
        <f>AE148+AF148+AG148</f>
        <v/>
      </c>
      <c r="AM148" s="164">
        <f>AJ148-AL148</f>
        <v/>
      </c>
      <c r="AN148" s="164">
        <f>AI148+AH148+AG148+AF148+AE148</f>
        <v/>
      </c>
      <c r="AO148" s="167">
        <f>(AJ148-AN148)/AJ148</f>
        <v/>
      </c>
      <c r="AP148" s="168">
        <f>AL148/AJ148</f>
        <v/>
      </c>
      <c r="AQ148" s="168">
        <f>AE148/AJ148</f>
        <v/>
      </c>
      <c r="AR148" s="168">
        <f>AE148/AL148</f>
        <v/>
      </c>
      <c r="AS148" s="169" t="n">
        <v>1</v>
      </c>
      <c r="AT148" s="121">
        <f>S148*AS148</f>
        <v/>
      </c>
      <c r="AU148" s="83" t="n">
        <v>0.9</v>
      </c>
      <c r="AV148" s="170">
        <f>(AJ148-(AE148*(1+$IS$2)+AF148+AG148+AH148+AI148))/AJ148</f>
        <v/>
      </c>
      <c r="AW148" s="171">
        <f>(AE148*(1+$IS$2)+AF148+AG148)/AJ148</f>
        <v/>
      </c>
      <c r="AX148" s="171">
        <f>(AE148*(1+$IS$2))/AJ148</f>
        <v/>
      </c>
      <c r="AY148" s="171">
        <f>(AE148*(1+$IS$2))/(AE148*(1+$IS$2)+AF148+AG148)</f>
        <v/>
      </c>
      <c r="AZ148" s="172">
        <f>MIN(IF($AU148=100%,1,1+VLOOKUP(($AJ148-$AI148-$AH148-$AG148-$AF148-$AE148*(1+AZ$3))/$AJ148,'Технический лист'!$I:$J,2,1)-VLOOKUP($AO148,'Технический лист'!$I:$J,2,1)),1+(1-$AU148))</f>
        <v/>
      </c>
      <c r="BA148" s="172">
        <f>MIN(IF($AU148=100%,1,1+VLOOKUP(($AJ148-$AI148-$AH148-$AG148-$AF148-$AE148*(1+BA$3))/$AJ148,'Технический лист'!$I:$J,2,1)-VLOOKUP($AO148,'Технический лист'!$I:$J,2,1)),1+(1-$AU148))</f>
        <v/>
      </c>
      <c r="BB148" s="172">
        <f>MIN(IF($AU148=100%,1,1+VLOOKUP(($AJ148-$AI148-$AH148-$AG148-$AF148-$AE148*(1+BB$3))/$AJ148,'Технический лист'!$I:$J,2,1)-VLOOKUP($AO148,'Технический лист'!$I:$J,2,1)),1+(1-$AU148))</f>
        <v/>
      </c>
      <c r="BC148" s="172">
        <f>MIN(IF($AU148=100%,1,1+VLOOKUP(($AJ148-$AI148-$AH148-$AG148-$AF148-$AE148*(1+BC$3))/$AJ148,'Технический лист'!$I:$J,2,1)-VLOOKUP($AO148,'Технический лист'!$I:$J,2,1)),1+(1-$AU148))</f>
        <v/>
      </c>
      <c r="BD148" s="172">
        <f>MIN(IF($AU148=100%,1,1+VLOOKUP(($AJ148-$AI148-$AH148-$AG148-$AF148-$AE148*(1+BD$3))/$AJ148,'Технический лист'!$I:$J,2,1)-VLOOKUP($AO148,'Технический лист'!$I:$J,2,1)),1+(1-$AU148))</f>
        <v/>
      </c>
      <c r="BE148" s="172">
        <f>MIN(IF($AU148=100%,1,1+VLOOKUP(($AJ148-$AI148-$AH148-$AG148-$AF148-$AE148*(1+BE$3))/$AJ148,'Технический лист'!$I:$J,2,1)-VLOOKUP($AO148,'Технический лист'!$I:$J,2,1)),1+(1-$AU148))</f>
        <v/>
      </c>
      <c r="BF148" s="172">
        <f>MIN(IF($AU148=100%,1,1+VLOOKUP(($AJ148-$AI148-$AH148-$AG148-$AF148-$AE148*(1+BF$3))/$AJ148,'Технический лист'!$I:$J,2,1)-VLOOKUP($AO148,'Технический лист'!$I:$J,2,1)),1+(1-$AU148))</f>
        <v/>
      </c>
      <c r="BG148" s="172">
        <f>MIN(IF($AU148=100%,1,1+VLOOKUP(($AJ148-$AI148-$AH148-$AG148-$AF148-$AE148*(1+BG$3))/$AJ148,'Технический лист'!$I:$J,2,1)-VLOOKUP($AO148,'Технический лист'!$I:$J,2,1)),1+(1-$AU148))</f>
        <v/>
      </c>
      <c r="BH148" s="172">
        <f>MIN(IF($AU148=100%,1,1+VLOOKUP(($AJ148-$AI148-$AH148-$AG148-$AF148-$AE148*(1+BH$3))/$AJ148,'Технический лист'!$I:$J,2,1)-VLOOKUP($AO148,'Технический лист'!$I:$J,2,1)),1+(1-$AU148))</f>
        <v/>
      </c>
      <c r="BI148" s="172">
        <f>MIN(IF($AU148=100%,1,1+VLOOKUP(($AJ148-$AI148-$AH148-$AG148-$AF148-$AE148*(1+BI$3))/$AJ148,'Технический лист'!$I:$J,2,1)-VLOOKUP($AO148,'Технический лист'!$I:$J,2,1)),1+(1-$AU148))</f>
        <v/>
      </c>
      <c r="BJ148" s="172">
        <f>MIN(IF($AU148=100%,1,1+VLOOKUP(($AJ148-$AI148-$AH148-$AG148-$AF148-$AE148*(1+BJ$3))/$AJ148,'Технический лист'!$I:$J,2,1)-VLOOKUP($AO148,'Технический лист'!$I:$J,2,1)),1+(1-$AU148))</f>
        <v/>
      </c>
      <c r="BK148" s="172">
        <f>MIN(IF($AU148=100%,1,1+VLOOKUP(($AJ148-$AI148-$AH148-$AG148-$AF148-$AE148*(1+BK$3))/$AJ148,'Технический лист'!$I:$J,2,1)-VLOOKUP($AO148,'Технический лист'!$I:$J,2,1)),1+(1-$AU148))</f>
        <v/>
      </c>
      <c r="BL148" s="172">
        <f>MIN(IF($AU148=100%,1,1+VLOOKUP(($AJ148-$AI148-$AH148-$AG148-$AF148-$AE148*(1+BL$3))/$AJ148,'Технический лист'!$I:$J,2,1)-VLOOKUP($AO148,'Технический лист'!$I:$J,2,1)),1+(1-$AU148))</f>
        <v/>
      </c>
      <c r="BM148" s="172">
        <f>MIN(IF($AU148=100%,1,1+VLOOKUP(($AJ148-$AI148-$AH148-$AG148-$AF148-$AE148*(1+BM$3))/$AJ148,'Технический лист'!$I:$J,2,1)-VLOOKUP($AO148,'Технический лист'!$I:$J,2,1)),1+(1-$AU148))</f>
        <v/>
      </c>
      <c r="BN148" s="172">
        <f>MIN(IF($AU148=100%,1,1+VLOOKUP(($AJ148-$AI148-$AH148-$AG148-$AF148-$AE148*(1+BN$3))/$AJ148,'Технический лист'!$I:$J,2,1)-VLOOKUP($AO148,'Технический лист'!$I:$J,2,1)),1+(1-$AU148))</f>
        <v/>
      </c>
      <c r="BO148" s="172">
        <f>MIN(IF($AU148=100%,1,1+VLOOKUP(($AJ148-$AI148-$AH148-$AG148-$AF148-$AE148*(1+BO$3))/$AJ148,'Технический лист'!$I:$J,2,1)-VLOOKUP($AO148,'Технический лист'!$I:$J,2,1)),1+(1-$AU148))</f>
        <v/>
      </c>
      <c r="BP148" s="172">
        <f>MIN(IF($AU148=100%,1,1+VLOOKUP(($AJ148-$AI148-$AH148-$AG148-$AF148-$AE148*(1+BP$3))/$AJ148,'Технический лист'!$I:$J,2,1)-VLOOKUP($AO148,'Технический лист'!$I:$J,2,1)),1+(1-$AU148))</f>
        <v/>
      </c>
      <c r="BQ148" s="172">
        <f>MIN(IF($AU148=100%,1,1+VLOOKUP(($AJ148-$AI148-$AH148-$AG148-$AF148-$AE148*(1+BQ$3))/$AJ148,'Технический лист'!$I:$J,2,1)-VLOOKUP($AO148,'Технический лист'!$I:$J,2,1)),1+(1-$AU148))</f>
        <v/>
      </c>
      <c r="BR148" s="172">
        <f>MIN(IF($AU148=100%,1,1+VLOOKUP(($AJ148-$AI148-$AH148-$AG148-$AF148-$AE148*(1+BR$3))/$AJ148,'Технический лист'!$I:$J,2,1)-VLOOKUP($AO148,'Технический лист'!$I:$J,2,1)),1+(1-$AU148))</f>
        <v/>
      </c>
      <c r="BS148" s="172">
        <f>MIN(IF($AU148=100%,1,1+VLOOKUP(($AJ148-$AI148-$AH148-$AG148-$AF148-$AE148*(1+BS$3))/$AJ148,'Технический лист'!$I:$J,2,1)-VLOOKUP($AO148,'Технический лист'!$I:$J,2,1)),1+(1-$AU148))</f>
        <v/>
      </c>
      <c r="BT148" s="172">
        <f>MIN(IF($AU148=100%,1,1+VLOOKUP(($AJ148-$AI148-$AH148-$AG148-$AF148-$AE148*(1+BT$3))/$AJ148,'Технический лист'!$I:$J,2,1)-VLOOKUP($AO148,'Технический лист'!$I:$J,2,1)),1+(1-$AU148))</f>
        <v/>
      </c>
      <c r="BU148" s="172">
        <f>MIN(IF($AU148=100%,1,1+VLOOKUP(($AJ148-$AI148-$AH148-$AG148-$AF148-$AE148*(1+BU$3))/$AJ148,'Технический лист'!$I:$J,2,1)-VLOOKUP($AO148,'Технический лист'!$I:$J,2,1)),1+(1-$AU148))</f>
        <v/>
      </c>
      <c r="BV148" s="172">
        <f>MIN(IF($AU148=100%,1,1+VLOOKUP(($AJ148-$AI148-$AH148-$AG148-$AF148-$AE148*(1+BV$3))/$AJ148,'Технический лист'!$I:$J,2,1)-VLOOKUP($AO148,'Технический лист'!$I:$J,2,1)),1+(1-$AU148))</f>
        <v/>
      </c>
      <c r="BW148" s="172">
        <f>MIN(IF($AU148=100%,1,1+VLOOKUP(($AJ148-$AI148-$AH148-$AG148-$AF148-$AE148*(1+BW$3))/$AJ148,'Технический лист'!$I:$J,2,1)-VLOOKUP($AO148,'Технический лист'!$I:$J,2,1)),1+(1-$AU148))</f>
        <v/>
      </c>
      <c r="BX148" s="172">
        <f>MIN(IF($AU148=100%,1,1+VLOOKUP(($AJ148-$AI148-$AH148-$AG148-$AF148-$AE148*(1+BX$3))/$AJ148,'Технический лист'!$I:$J,2,1)-VLOOKUP($AO148,'Технический лист'!$I:$J,2,1)),1+(1-$AU148))</f>
        <v/>
      </c>
      <c r="BY148" s="172">
        <f>MIN(IF($AU148=100%,1,1+VLOOKUP(($AJ148-$AI148-$AH148-$AG148-$AF148-$AE148*(1+BY$3))/$AJ148,'Технический лист'!$I:$J,2,1)-VLOOKUP($AO148,'Технический лист'!$I:$J,2,1)),1+(1-$AU148))</f>
        <v/>
      </c>
      <c r="BZ148" s="172">
        <f>MIN(IF($AU148=100%,1,1+VLOOKUP(($AJ148-$AI148-$AH148-$AG148-$AF148-$AE148*(1+BZ$3))/$AJ148,'Технический лист'!$I:$J,2,1)-VLOOKUP($AO148,'Технический лист'!$I:$J,2,1)),1+(1-$AU148))</f>
        <v/>
      </c>
      <c r="CA148" s="172">
        <f>MIN(IF($AU148=100%,1,1+VLOOKUP(($AJ148-$AI148-$AH148-$AG148-$AF148-$AE148*(1+CA$3))/$AJ148,'Технический лист'!$I:$J,2,1)-VLOOKUP($AO148,'Технический лист'!$I:$J,2,1)),1+(1-$AU148))</f>
        <v/>
      </c>
      <c r="CB148" s="172">
        <f>MIN(IF($AU148=100%,1,1+VLOOKUP(($AJ148-$AI148-$AH148-$AG148-$AF148-$AE148*(1+CB$3))/$AJ148,'Технический лист'!$I:$J,2,1)-VLOOKUP($AO148,'Технический лист'!$I:$J,2,1)),1+(1-$AU148))</f>
        <v/>
      </c>
      <c r="CC148" s="172">
        <f>MIN(IF($AU148=100%,1,1+VLOOKUP(($AJ148-$AI148-$AH148-$AG148-$AF148-$AE148*(1+CC$3))/$AJ148,'Технический лист'!$I:$J,2,1)-VLOOKUP($AO148,'Технический лист'!$I:$J,2,1)),1+(1-$AU148))</f>
        <v/>
      </c>
      <c r="CD148" s="172">
        <f>MIN(IF($AU148=100%,1,1+VLOOKUP(($AJ148-$AI148-$AH148-$AG148-$AF148-$AE148*(1+CD$3))/$AJ148,'Технический лист'!$I:$J,2,1)-VLOOKUP($AO148,'Технический лист'!$I:$J,2,1)),1+(1-$AU148))</f>
        <v/>
      </c>
      <c r="CE148" s="172">
        <f>MIN(IF($AU148=100%,1,1+VLOOKUP(($AJ148-$AI148-$AH148-$AG148-$AF148-$AE148*(1+CE$3))/$AJ148,'Технический лист'!$I:$J,2,1)-VLOOKUP($AO148,'Технический лист'!$I:$J,2,1)),1+(1-$AU148))</f>
        <v/>
      </c>
      <c r="CF148" s="172">
        <f>MIN(IF($AU148=100%,1,1+VLOOKUP(($AJ148-$AI148-$AH148-$AG148-$AF148-$AE148*(1+CF$3))/$AJ148,'Технический лист'!$I:$J,2,1)-VLOOKUP($AO148,'Технический лист'!$I:$J,2,1)),1+(1-$AU148))</f>
        <v/>
      </c>
      <c r="CG148" s="172">
        <f>MIN(IF($AU148=100%,1,1+VLOOKUP(($AJ148-$AI148-$AH148-$AG148-$AF148-$AE148*(1+CG$3))/$AJ148,'Технический лист'!$I:$J,2,1)-VLOOKUP($AO148,'Технический лист'!$I:$J,2,1)),1+(1-$AU148))</f>
        <v/>
      </c>
      <c r="CH148" s="172">
        <f>MIN(IF($AU148=100%,1,1+VLOOKUP(($AJ148-$AI148-$AH148-$AG148-$AF148-$AE148*(1+CH$3))/$AJ148,'Технический лист'!$I:$J,2,1)-VLOOKUP($AO148,'Технический лист'!$I:$J,2,1)),1+(1-$AU148))</f>
        <v/>
      </c>
      <c r="CI148" s="172">
        <f>MIN(IF($AU148=100%,1,1+VLOOKUP(($AJ148-$AI148-$AH148-$AG148-$AF148-$AE148*(1+CI$3))/$AJ148,'Технический лист'!$I:$J,2,1)-VLOOKUP($AO148,'Технический лист'!$I:$J,2,1)),1+(1-$AU148))</f>
        <v/>
      </c>
      <c r="CJ148" s="172">
        <f>MIN(IF($AU148=100%,1,1+VLOOKUP(($AJ148-$AI148-$AH148-$AG148-$AF148-$AE148*(1+CJ$3))/$AJ148,'Технический лист'!$I:$J,2,1)-VLOOKUP($AO148,'Технический лист'!$I:$J,2,1)),1+(1-$AU148))</f>
        <v/>
      </c>
      <c r="CK148" s="172">
        <f>MIN(IF($AU148=100%,1,1+VLOOKUP(($AJ148-$AI148-$AH148-$AG148-$AF148-$AE148*(1+CK$3))/$AJ148,'Технический лист'!$I:$J,2,1)-VLOOKUP($AO148,'Технический лист'!$I:$J,2,1)),1+(1-$AU148))</f>
        <v/>
      </c>
      <c r="CL148" s="172">
        <f>MIN(IF($AU148=100%,1,1+VLOOKUP(($AJ148-$AI148-$AH148-$AG148-$AF148-$AE148*(1+CL$3))/$AJ148,'Технический лист'!$I:$J,2,1)-VLOOKUP($AO148,'Технический лист'!$I:$J,2,1)),1+(1-$AU148))</f>
        <v/>
      </c>
      <c r="CM148" s="172">
        <f>MIN(IF($AU148=100%,1,1+VLOOKUP(($AJ148-$AI148-$AH148-$AG148-$AF148-$AE148*(1+CM$3))/$AJ148,'Технический лист'!$I:$J,2,1)-VLOOKUP($AO148,'Технический лист'!$I:$J,2,1)),1+(1-$AU148))</f>
        <v/>
      </c>
      <c r="CN148" s="172">
        <f>MIN(IF($AU148=100%,1,1+VLOOKUP(($AJ148-$AI148-$AH148-$AG148-$AF148-$AE148*(1+CN$3))/$AJ148,'Технический лист'!$I:$J,2,1)-VLOOKUP($AO148,'Технический лист'!$I:$J,2,1)),1+(1-$AU148))</f>
        <v/>
      </c>
      <c r="CO148" s="172">
        <f>MIN(IF($AU148=100%,1,1+VLOOKUP(($AJ148-$AI148-$AH148-$AG148-$AF148-$AE148*(1+CO$3))/$AJ148,'Технический лист'!$I:$J,2,1)-VLOOKUP($AO148,'Технический лист'!$I:$J,2,1)),1+(1-$AU148))</f>
        <v/>
      </c>
      <c r="CP148" s="172">
        <f>MIN(IF($AU148=100%,1,1+VLOOKUP(($AJ148-$AI148-$AH148-$AG148-$AF148-$AE148*(1+CP$3))/$AJ148,'Технический лист'!$I:$J,2,1)-VLOOKUP($AO148,'Технический лист'!$I:$J,2,1)),1+(1-$AU148))</f>
        <v/>
      </c>
      <c r="CQ148" s="172">
        <f>MIN(IF($AU148=100%,1,1+VLOOKUP(($AJ148-$AI148-$AH148-$AG148-$AF148-$AE148*(1+CQ$3))/$AJ148,'Технический лист'!$I:$J,2,1)-VLOOKUP($AO148,'Технический лист'!$I:$J,2,1)),1+(1-$AU148))</f>
        <v/>
      </c>
      <c r="CR148" s="172">
        <f>MIN(IF($AU148=100%,1,1+VLOOKUP(($AJ148-$AI148-$AH148-$AG148-$AF148-$AE148*(1+CR$3))/$AJ148,'Технический лист'!$I:$J,2,1)-VLOOKUP($AO148,'Технический лист'!$I:$J,2,1)),1+(1-$AU148))</f>
        <v/>
      </c>
      <c r="CS148" s="172">
        <f>MIN(IF($AU148=100%,1,1+VLOOKUP(($AJ148-$AI148-$AH148-$AG148-$AF148-$AE148*(1+CS$3))/$AJ148,'Технический лист'!$I:$J,2,1)-VLOOKUP($AO148,'Технический лист'!$I:$J,2,1)),1+(1-$AU148))</f>
        <v/>
      </c>
      <c r="CT148" s="172">
        <f>MIN(IF($AU148=100%,1,1+VLOOKUP(($AJ148-$AI148-$AH148-$AG148-$AF148-$AE148*(1+CT$3))/$AJ148,'Технический лист'!$I:$J,2,1)-VLOOKUP($AO148,'Технический лист'!$I:$J,2,1)),1+(1-$AU148))</f>
        <v/>
      </c>
      <c r="CU148" s="172">
        <f>MIN(IF($AU148=100%,1,1+VLOOKUP(($AJ148-$AI148-$AH148-$AG148-$AF148-$AE148*(1+CU$3))/$AJ148,'Технический лист'!$I:$J,2,1)-VLOOKUP($AO148,'Технический лист'!$I:$J,2,1)),1+(1-$AU148))</f>
        <v/>
      </c>
      <c r="CV148" s="172">
        <f>MIN(IF($AU148=100%,1,1+VLOOKUP(($AJ148-$AI148-$AH148-$AG148-$AF148-$AE148*(1+CV$3))/$AJ148,'Технический лист'!$I:$J,2,1)-VLOOKUP($AO148,'Технический лист'!$I:$J,2,1)),1+(1-$AU148))</f>
        <v/>
      </c>
      <c r="CW148" s="172">
        <f>MIN(IF($AU148=100%,1,1+VLOOKUP(($AJ148-$AI148-$AH148-$AG148-$AF148-$AE148*(1+CW$3))/$AJ148,'Технический лист'!$I:$J,2,1)-VLOOKUP($AO148,'Технический лист'!$I:$J,2,1)),1+(1-$AU148))</f>
        <v/>
      </c>
      <c r="CX148" s="172">
        <f>MIN(IF($AU148=100%,1,1+VLOOKUP(($AJ148-$AI148-$AH148-$AG148-$AF148-$AE148*(1+CX$3))/$AJ148,'Технический лист'!$I:$J,2,1)-VLOOKUP($AO148,'Технический лист'!$I:$J,2,1)),1+(1-$AU148))</f>
        <v/>
      </c>
      <c r="CY148" s="172">
        <f>MIN(IF($AU148=100%,1,1+VLOOKUP(($AJ148-$AI148-$AH148-$AG148-$AF148-$AE148*(1+CY$3))/$AJ148,'Технический лист'!$I:$J,2,1)-VLOOKUP($AO148,'Технический лист'!$I:$J,2,1)),1+(1-$AU148))</f>
        <v/>
      </c>
      <c r="CZ148" s="172">
        <f>MIN(IF($AU148=100%,1,1+VLOOKUP(($AJ148-$AI148-$AH148-$AG148-$AF148-$AE148*(1+CZ$3))/$AJ148,'Технический лист'!$I:$J,2,1)-VLOOKUP($AO148,'Технический лист'!$I:$J,2,1)),1+(1-$AU148))</f>
        <v/>
      </c>
      <c r="DA148" s="172">
        <f>MIN(IF($AU148=100%,1,1+VLOOKUP(($AJ148-$AI148-$AH148-$AG148-$AF148-$AE148*(1+DA$3))/$AJ148,'Технический лист'!$I:$J,2,1)-VLOOKUP($AO148,'Технический лист'!$I:$J,2,1)),1+(1-$AU148))</f>
        <v/>
      </c>
      <c r="DB148" s="172">
        <f>MIN(IF($AU148=100%,1,1+VLOOKUP(($AJ148-$AI148-$AH148-$AG148-$AF148-$AE148*(1+DB$3))/$AJ148,'Технический лист'!$I:$J,2,1)-VLOOKUP($AO148,'Технический лист'!$I:$J,2,1)),1+(1-$AU148))</f>
        <v/>
      </c>
      <c r="DC148" s="172">
        <f>MIN(IF($AU148=100%,1,1+VLOOKUP(($AJ148-$AI148-$AH148-$AG148-$AF148-$AE148*(1+DC$3))/$AJ148,'Технический лист'!$I:$J,2,1)-VLOOKUP($AO148,'Технический лист'!$I:$J,2,1)),1+(1-$AU148))</f>
        <v/>
      </c>
      <c r="DD148" s="172">
        <f>MIN(IF($AU148=100%,1,1+VLOOKUP(($AJ148-$AI148-$AH148-$AG148-$AF148-$AE148*(1+DD$3))/$AJ148,'Технический лист'!$I:$J,2,1)-VLOOKUP($AO148,'Технический лист'!$I:$J,2,1)),1+(1-$AU148))</f>
        <v/>
      </c>
      <c r="DE148" s="172">
        <f>MIN(IF($AU148=100%,1,1+VLOOKUP(($AJ148-$AI148-$AH148-$AG148-$AF148-$AE148*(1+DE$3))/$AJ148,'Технический лист'!$I:$J,2,1)-VLOOKUP($AO148,'Технический лист'!$I:$J,2,1)),1+(1-$AU148))</f>
        <v/>
      </c>
      <c r="DF148" s="172">
        <f>MIN(IF($AU148=100%,1,1+VLOOKUP(($AJ148-$AI148-$AH148-$AG148-$AF148-$AE148*(1+DF$3))/$AJ148,'Технический лист'!$I:$J,2,1)-VLOOKUP($AO148,'Технический лист'!$I:$J,2,1)),1+(1-$AU148))</f>
        <v/>
      </c>
      <c r="DG148" s="172">
        <f>MIN(IF($AU148=100%,1,1+VLOOKUP(($AJ148-$AI148-$AH148-$AG148-$AF148-$AE148*(1+DG$3))/$AJ148,'Технический лист'!$I:$J,2,1)-VLOOKUP($AO148,'Технический лист'!$I:$J,2,1)),1+(1-$AU148))</f>
        <v/>
      </c>
      <c r="DH148" s="172">
        <f>MIN(IF($AU148=100%,1,1+VLOOKUP(($AJ148-$AI148-$AH148-$AG148-$AF148-$AE148*(1+DH$3))/$AJ148,'Технический лист'!$I:$J,2,1)-VLOOKUP($AO148,'Технический лист'!$I:$J,2,1)),1+(1-$AU148))</f>
        <v/>
      </c>
      <c r="DI148" s="172">
        <f>MIN(IF($AU148=100%,1,1+VLOOKUP(($AJ148-$AI148-$AH148-$AG148-$AF148-$AE148*(1+DI$3))/$AJ148,'Технический лист'!$I:$J,2,1)-VLOOKUP($AO148,'Технический лист'!$I:$J,2,1)),1+(1-$AU148))</f>
        <v/>
      </c>
      <c r="DJ148" s="172">
        <f>MIN(IF($AU148=100%,1,1+VLOOKUP(($AJ148-$AI148-$AH148-$AG148-$AF148-$AE148*(1+DJ$3))/$AJ148,'Технический лист'!$I:$J,2,1)-VLOOKUP($AO148,'Технический лист'!$I:$J,2,1)),1+(1-$AU148))</f>
        <v/>
      </c>
      <c r="DK148" s="172">
        <f>MIN(IF($AU148=100%,1,1+VLOOKUP(($AJ148-$AI148-$AH148-$AG148-$AF148-$AE148*(1+DK$3))/$AJ148,'Технический лист'!$I:$J,2,1)-VLOOKUP($AO148,'Технический лист'!$I:$J,2,1)),1+(1-$AU148))</f>
        <v/>
      </c>
      <c r="DL148" s="172">
        <f>MIN(IF($AU148=100%,1,1+VLOOKUP(($AJ148-$AI148-$AH148-$AG148-$AF148-$AE148*(1+DL$3))/$AJ148,'Технический лист'!$I:$J,2,1)-VLOOKUP($AO148,'Технический лист'!$I:$J,2,1)),1+(1-$AU148))</f>
        <v/>
      </c>
      <c r="DM148" s="172">
        <f>MIN(IF($AU148=100%,1,1+VLOOKUP(($AJ148-$AI148-$AH148-$AG148-$AF148-$AE148*(1+DM$3))/$AJ148,'Технический лист'!$I:$J,2,1)-VLOOKUP($AO148,'Технический лист'!$I:$J,2,1)),1+(1-$AU148))</f>
        <v/>
      </c>
      <c r="DN148" s="172">
        <f>MIN(IF($AU148=100%,1,1+VLOOKUP(($AJ148-$AI148-$AH148-$AG148-$AF148-$AE148*(1+DN$3))/$AJ148,'Технический лист'!$I:$J,2,1)-VLOOKUP($AO148,'Технический лист'!$I:$J,2,1)),1+(1-$AU148))</f>
        <v/>
      </c>
      <c r="DO148" s="172">
        <f>MIN(IF($AU148=100%,1,1+VLOOKUP(($AJ148-$AI148-$AH148-$AG148-$AF148-$AE148*(1+DO$3))/$AJ148,'Технический лист'!$I:$J,2,1)-VLOOKUP($AO148,'Технический лист'!$I:$J,2,1)),1+(1-$AU148))</f>
        <v/>
      </c>
      <c r="DP148" s="172">
        <f>MIN(IF($AU148=100%,1,1+VLOOKUP(($AJ148-$AI148-$AH148-$AG148-$AF148-$AE148*(1+DP$3))/$AJ148,'Технический лист'!$I:$J,2,1)-VLOOKUP($AO148,'Технический лист'!$I:$J,2,1)),1+(1-$AU148))</f>
        <v/>
      </c>
      <c r="DQ148" s="172">
        <f>MIN(IF($AU148=100%,1,1+VLOOKUP(($AJ148-$AI148-$AH148-$AG148-$AF148-$AE148*(1+DQ$3))/$AJ148,'Технический лист'!$I:$J,2,1)-VLOOKUP($AO148,'Технический лист'!$I:$J,2,1)),1+(1-$AU148))</f>
        <v/>
      </c>
      <c r="DR148" s="172">
        <f>MIN(IF($AU148=100%,1,1+VLOOKUP(($AJ148-$AI148-$AH148-$AG148-$AF148-$AE148*(1+DR$3))/$AJ148,'Технический лист'!$I:$J,2,1)-VLOOKUP($AO148,'Технический лист'!$I:$J,2,1)),1+(1-$AU148))</f>
        <v/>
      </c>
      <c r="DS148" s="172">
        <f>MIN(IF($AU148=100%,1,1+VLOOKUP(($AJ148-$AI148-$AH148-$AG148-$AF148-$AE148*(1+DS$3))/$AJ148,'Технический лист'!$I:$J,2,1)-VLOOKUP($AO148,'Технический лист'!$I:$J,2,1)),1+(1-$AU148))</f>
        <v/>
      </c>
      <c r="DT148" s="172">
        <f>MIN(IF($AU148=100%,1,1+VLOOKUP(($AJ148-$AI148-$AH148-$AG148-$AF148-$AE148*(1+DT$3))/$AJ148,'Технический лист'!$I:$J,2,1)-VLOOKUP($AO148,'Технический лист'!$I:$J,2,1)),1+(1-$AU148))</f>
        <v/>
      </c>
      <c r="DU148" s="172">
        <f>MIN(IF($AU148=100%,1,1+VLOOKUP(($AJ148-$AI148-$AH148-$AG148-$AF148-$AE148*(1+DU$3))/$AJ148,'Технический лист'!$I:$J,2,1)-VLOOKUP($AO148,'Технический лист'!$I:$J,2,1)),1+(1-$AU148))</f>
        <v/>
      </c>
      <c r="DV148" s="172">
        <f>MIN(IF($AU148=100%,1,1+VLOOKUP(($AJ148-$AI148-$AH148-$AG148-$AF148-$AE148*(1+DV$3))/$AJ148,'Технический лист'!$I:$J,2,1)-VLOOKUP($AO148,'Технический лист'!$I:$J,2,1)),1+(1-$AU148))</f>
        <v/>
      </c>
      <c r="DW148" s="172">
        <f>MIN(IF($AU148=100%,1,1+VLOOKUP(($AJ148-$AI148-$AH148-$AG148-$AF148-$AE148*(1+DW$3))/$AJ148,'Технический лист'!$I:$J,2,1)-VLOOKUP($AO148,'Технический лист'!$I:$J,2,1)),1+(1-$AU148))</f>
        <v/>
      </c>
      <c r="DX148" s="172">
        <f>MIN(IF($AU148=100%,1,1+VLOOKUP(($AJ148-$AI148-$AH148-$AG148-$AF148-$AE148*(1+DX$3))/$AJ148,'Технический лист'!$I:$J,2,1)-VLOOKUP($AO148,'Технический лист'!$I:$J,2,1)),1+(1-$AU148))</f>
        <v/>
      </c>
      <c r="DY148" s="172">
        <f>MIN(IF($AU148=100%,1,1+VLOOKUP(($AJ148-$AI148-$AH148-$AG148-$AF148-$AE148*(1+DY$3))/$AJ148,'Технический лист'!$I:$J,2,1)-VLOOKUP($AO148,'Технический лист'!$I:$J,2,1)),1+(1-$AU148))</f>
        <v/>
      </c>
      <c r="DZ148" s="172">
        <f>MIN(IF($AU148=100%,1,1+VLOOKUP(($AJ148-$AI148-$AH148-$AG148-$AF148-$AE148*(1+DZ$3))/$AJ148,'Технический лист'!$I:$J,2,1)-VLOOKUP($AO148,'Технический лист'!$I:$J,2,1)),1+(1-$AU148))</f>
        <v/>
      </c>
      <c r="EA148" s="172">
        <f>MIN(IF($AU148=100%,1,1+VLOOKUP(($AJ148-$AI148-$AH148-$AG148-$AF148-$AE148*(1+EA$3))/$AJ148,'Технический лист'!$I:$J,2,1)-VLOOKUP($AO148,'Технический лист'!$I:$J,2,1)),1+(1-$AU148))</f>
        <v/>
      </c>
      <c r="EB148" s="172">
        <f>MIN(IF($AU148=100%,1,1+VLOOKUP(($AJ148-$AI148-$AH148-$AG148-$AF148-$AE148*(1+EB$3))/$AJ148,'Технический лист'!$I:$J,2,1)-VLOOKUP($AO148,'Технический лист'!$I:$J,2,1)),1+(1-$AU148))</f>
        <v/>
      </c>
      <c r="EC148" s="172">
        <f>MIN(IF($AU148=100%,1,1+VLOOKUP(($AJ148-$AI148-$AH148-$AG148-$AF148-$AE148*(1+EC$3))/$AJ148,'Технический лист'!$I:$J,2,1)-VLOOKUP($AO148,'Технический лист'!$I:$J,2,1)),1+(1-$AU148))</f>
        <v/>
      </c>
      <c r="ED148" s="172">
        <f>MIN(IF($AU148=100%,1,1+VLOOKUP(($AJ148-$AI148-$AH148-$AG148-$AF148-$AE148*(1+ED$3))/$AJ148,'Технический лист'!$I:$J,2,1)-VLOOKUP($AO148,'Технический лист'!$I:$J,2,1)),1+(1-$AU148))</f>
        <v/>
      </c>
      <c r="EE148" s="172">
        <f>MIN(IF($AU148=100%,1,1+VLOOKUP(($AJ148-$AI148-$AH148-$AG148-$AF148-$AE148*(1+EE$3))/$AJ148,'Технический лист'!$I:$J,2,1)-VLOOKUP($AO148,'Технический лист'!$I:$J,2,1)),1+(1-$AU148))</f>
        <v/>
      </c>
      <c r="EF148" s="172">
        <f>MIN(IF($AU148=100%,1,1+VLOOKUP(($AJ148-$AI148-$AH148-$AG148-$AF148-$AE148*(1+EF$3))/$AJ148,'Технический лист'!$I:$J,2,1)-VLOOKUP($AO148,'Технический лист'!$I:$J,2,1)),1+(1-$AU148))</f>
        <v/>
      </c>
      <c r="EG148" s="172">
        <f>MIN(IF($AU148=100%,1,1+VLOOKUP(($AJ148-$AI148-$AH148-$AG148-$AF148-$AE148*(1+EG$3))/$AJ148,'Технический лист'!$I:$J,2,1)-VLOOKUP($AO148,'Технический лист'!$I:$J,2,1)),1+(1-$AU148))</f>
        <v/>
      </c>
      <c r="EH148" s="172">
        <f>MIN(IF($AU148=100%,1,1+VLOOKUP(($AJ148-$AI148-$AH148-$AG148-$AF148-$AE148*(1+EH$3))/$AJ148,'Технический лист'!$I:$J,2,1)-VLOOKUP($AO148,'Технический лист'!$I:$J,2,1)),1+(1-$AU148))</f>
        <v/>
      </c>
      <c r="EI148" s="172">
        <f>MIN(IF($AU148=100%,1,1+VLOOKUP(($AJ148-$AI148-$AH148-$AG148-$AF148-$AE148*(1+EI$3))/$AJ148,'Технический лист'!$I:$J,2,1)-VLOOKUP($AO148,'Технический лист'!$I:$J,2,1)),1+(1-$AU148))</f>
        <v/>
      </c>
      <c r="EJ148" s="172">
        <f>MIN(IF($AU148=100%,1,1+VLOOKUP(($AJ148-$AI148-$AH148-$AG148-$AF148-$AE148*(1+EJ$3))/$AJ148,'Технический лист'!$I:$J,2,1)-VLOOKUP($AO148,'Технический лист'!$I:$J,2,1)),1+(1-$AU148))</f>
        <v/>
      </c>
      <c r="EK148" s="172">
        <f>MIN(IF($AU148=100%,1,1+VLOOKUP(($AJ148-$AI148-$AH148-$AG148-$AF148-$AE148*(1+EK$3))/$AJ148,'Технический лист'!$I:$J,2,1)-VLOOKUP($AO148,'Технический лист'!$I:$J,2,1)),1+(1-$AU148))</f>
        <v/>
      </c>
      <c r="EL148" s="172">
        <f>MIN(IF($AU148=100%,1,1+VLOOKUP(($AJ148-$AI148-$AH148-$AG148-$AF148-$AE148*(1+EL$3))/$AJ148,'Технический лист'!$I:$J,2,1)-VLOOKUP($AO148,'Технический лист'!$I:$J,2,1)),1+(1-$AU148))</f>
        <v/>
      </c>
      <c r="EM148" s="172">
        <f>MIN(IF($AU148=100%,1,1+VLOOKUP(($AJ148-$AI148-$AH148-$AG148-$AF148-$AE148*(1+EM$3))/$AJ148,'Технический лист'!$I:$J,2,1)-VLOOKUP($AO148,'Технический лист'!$I:$J,2,1)),1+(1-$AU148))</f>
        <v/>
      </c>
      <c r="EN148" s="172">
        <f>MIN(IF($AU148=100%,1,1+VLOOKUP(($AJ148-$AI148-$AH148-$AG148-$AF148-$AE148*(1+EN$3))/$AJ148,'Технический лист'!$I:$J,2,1)-VLOOKUP($AO148,'Технический лист'!$I:$J,2,1)),1+(1-$AU148))</f>
        <v/>
      </c>
      <c r="EO148" s="172">
        <f>MIN(IF($AU148=100%,1,1+VLOOKUP(($AJ148-$AI148-$AH148-$AG148-$AF148-$AE148*(1+EO$3))/$AJ148,'Технический лист'!$I:$J,2,1)-VLOOKUP($AO148,'Технический лист'!$I:$J,2,1)),1+(1-$AU148))</f>
        <v/>
      </c>
      <c r="EP148" s="172">
        <f>MIN(IF($AU148=100%,1,1+VLOOKUP(($AJ148-$AI148-$AH148-$AG148-$AF148-$AE148*(1+EP$3))/$AJ148,'Технический лист'!$I:$J,2,1)-VLOOKUP($AO148,'Технический лист'!$I:$J,2,1)),1+(1-$AU148))</f>
        <v/>
      </c>
      <c r="EQ148" s="172">
        <f>MIN(IF($AU148=100%,1,1+VLOOKUP(($AJ148-$AI148-$AH148-$AG148-$AF148-$AE148*(1+EQ$3))/$AJ148,'Технический лист'!$I:$J,2,1)-VLOOKUP($AO148,'Технический лист'!$I:$J,2,1)),1+(1-$AU148))</f>
        <v/>
      </c>
      <c r="ER148" s="172">
        <f>MIN(IF($AU148=100%,1,1+VLOOKUP(($AJ148-$AI148-$AH148-$AG148-$AF148-$AE148*(1+ER$3))/$AJ148,'Технический лист'!$I:$J,2,1)-VLOOKUP($AO148,'Технический лист'!$I:$J,2,1)),1+(1-$AU148))</f>
        <v/>
      </c>
      <c r="ES148" s="172">
        <f>MIN(IF($AU148=100%,1,1+VLOOKUP(($AJ148-$AI148-$AH148-$AG148-$AF148-$AE148*(1+ES$3))/$AJ148,'Технический лист'!$I:$J,2,1)-VLOOKUP($AO148,'Технический лист'!$I:$J,2,1)),1+(1-$AU148))</f>
        <v/>
      </c>
      <c r="ET148" s="172">
        <f>MIN(IF($AU148=100%,1,1+VLOOKUP(($AJ148-$AI148-$AH148-$AG148-$AF148-$AE148*(1+ET$3))/$AJ148,'Технический лист'!$I:$J,2,1)-VLOOKUP($AO148,'Технический лист'!$I:$J,2,1)),1+(1-$AU148))</f>
        <v/>
      </c>
      <c r="EU148" s="172">
        <f>MIN(IF($AU148=100%,1,1+VLOOKUP(($AJ148-$AI148-$AH148-$AG148-$AF148-$AE148*(1+EU$3))/$AJ148,'Технический лист'!$I:$J,2,1)-VLOOKUP($AO148,'Технический лист'!$I:$J,2,1)),1+(1-$AU148))</f>
        <v/>
      </c>
      <c r="EV148" s="173" t="n">
        <v>1</v>
      </c>
      <c r="EW148" s="172">
        <f>MIN(1,MAX(VLOOKUP(($AJ148-$AI148-$AH148-$AG148-$AF148-$AE148*(1+EW$3))/$AJ148,'Технический лист'!$A:$B,2,1),(EV148-0.05)))</f>
        <v/>
      </c>
      <c r="EX148" s="172">
        <f>MIN(1,MAX(VLOOKUP(($AJ148-$AI148-$AH148-$AG148-$AF148-$AE148*(1+EX$3))/$AJ148,'Технический лист'!$A:$B,2,1),(EW148-0.05)))</f>
        <v/>
      </c>
      <c r="EY148" s="172">
        <f>MIN(1,MAX(VLOOKUP(($AJ148-$AI148-$AH148-$AG148-$AF148-$AE148*(1+EY$3))/$AJ148,'Технический лист'!$A:$B,2,1),(EX148-0.05)))</f>
        <v/>
      </c>
      <c r="EZ148" s="172">
        <f>MIN(1,MAX(VLOOKUP(($AJ148-$AI148-$AH148-$AG148-$AF148-$AE148*(1+EZ$3))/$AJ148,'Технический лист'!$A:$B,2,1),(EY148-0.05)))</f>
        <v/>
      </c>
      <c r="FA148" s="172">
        <f>MIN(1,MAX(VLOOKUP(($AJ148-$AI148-$AH148-$AG148-$AF148-$AE148*(1+FA$3))/$AJ148,'Технический лист'!$A:$B,2,1),(EZ148-0.05)))</f>
        <v/>
      </c>
      <c r="FB148" s="172">
        <f>MIN(1,MAX(VLOOKUP(($AJ148-$AI148-$AH148-$AG148-$AF148-$AE148*(1+FB$3))/$AJ148,'Технический лист'!$A:$B,2,1),(FA148-0.05)))</f>
        <v/>
      </c>
      <c r="FC148" s="172">
        <f>MIN(1,MAX(VLOOKUP(($AJ148-$AI148-$AH148-$AG148-$AF148-$AE148*(1+FC$3))/$AJ148,'Технический лист'!$A:$B,2,1),(FB148-0.05)))</f>
        <v/>
      </c>
      <c r="FD148" s="172">
        <f>MIN(1,MAX(VLOOKUP(($AJ148-$AI148-$AH148-$AG148-$AF148-$AE148*(1+FD$3))/$AJ148,'Технический лист'!$A:$B,2,1),(FC148-0.05)))</f>
        <v/>
      </c>
      <c r="FE148" s="172">
        <f>MIN(1,MAX(VLOOKUP(($AJ148-$AI148-$AH148-$AG148-$AF148-$AE148*(1+FE$3))/$AJ148,'Технический лист'!$A:$B,2,1),(FD148-0.05)))</f>
        <v/>
      </c>
      <c r="FF148" s="172">
        <f>MIN(1,MAX(VLOOKUP(($AJ148-$AI148-$AH148-$AG148-$AF148-$AE148*(1+FF$3))/$AJ148,'Технический лист'!$A:$B,2,1),(FE148-0.05)))</f>
        <v/>
      </c>
      <c r="FG148" s="172">
        <f>MIN(1,MAX(VLOOKUP(($AJ148-$AI148-$AH148-$AG148-$AF148-$AE148*(1+FG$3))/$AJ148,'Технический лист'!$A:$B,2,1),(FF148-0.05)))</f>
        <v/>
      </c>
      <c r="FH148" s="172">
        <f>MIN(1,MAX(VLOOKUP(($AJ148-$AI148-$AH148-$AG148-$AF148-$AE148*(1+FH$3))/$AJ148,'Технический лист'!$A:$B,2,1),(FG148-0.05)))</f>
        <v/>
      </c>
      <c r="FI148" s="172">
        <f>MIN(1,MAX(VLOOKUP(($AJ148-$AI148-$AH148-$AG148-$AF148-$AE148*(1+FI$3))/$AJ148,'Технический лист'!$A:$B,2,1),(FH148-0.05)))</f>
        <v/>
      </c>
      <c r="FJ148" s="172">
        <f>MIN(1,MAX(VLOOKUP(($AJ148-$AI148-$AH148-$AG148-$AF148-$AE148*(1+FJ$3))/$AJ148,'Технический лист'!$A:$B,2,1),(FI148-0.05)))</f>
        <v/>
      </c>
      <c r="FK148" s="172">
        <f>MIN(1,MAX(VLOOKUP(($AJ148-$AI148-$AH148-$AG148-$AF148-$AE148*(1+FK$3))/$AJ148,'Технический лист'!$A:$B,2,1),(FJ148-0.05)))</f>
        <v/>
      </c>
      <c r="FL148" s="172">
        <f>MIN(1,MAX(VLOOKUP(($AJ148-$AI148-$AH148-$AG148-$AF148-$AE148*(1+FL$3))/$AJ148,'Технический лист'!$A:$B,2,1),(FK148-0.05)))</f>
        <v/>
      </c>
      <c r="FM148" s="172">
        <f>MIN(1,MAX(VLOOKUP(($AJ148-$AI148-$AH148-$AG148-$AF148-$AE148*(1+FM$3))/$AJ148,'Технический лист'!$A:$B,2,1),(FL148-0.05)))</f>
        <v/>
      </c>
      <c r="FN148" s="172">
        <f>MIN(1,MAX(VLOOKUP(($AJ148-$AI148-$AH148-$AG148-$AF148-$AE148*(1+FN$3))/$AJ148,'Технический лист'!$A:$B,2,1),(FM148-0.05)))</f>
        <v/>
      </c>
      <c r="FO148" s="172">
        <f>MIN(1,MAX(VLOOKUP(($AJ148-$AI148-$AH148-$AG148-$AF148-$AE148*(1+FO$3))/$AJ148,'Технический лист'!$A:$B,2,1),(FN148-0.05)))</f>
        <v/>
      </c>
      <c r="FP148" s="172">
        <f>MIN(1,MAX(VLOOKUP(($AJ148-$AI148-$AH148-$AG148-$AF148-$AE148*(1+FP$3))/$AJ148,'Технический лист'!$A:$B,2,1),(FO148-0.05)))</f>
        <v/>
      </c>
      <c r="FQ148" s="172">
        <f>MIN(1,MAX(VLOOKUP(($AJ148-$AI148-$AH148-$AG148-$AF148-$AE148*(1+FQ$3))/$AJ148,'Технический лист'!$A:$B,2,1),(FP148-0.05)))</f>
        <v/>
      </c>
      <c r="FR148" s="172">
        <f>MIN(1,MAX(VLOOKUP(($AJ148-$AI148-$AH148-$AG148-$AF148-$AE148*(1+FR$3))/$AJ148,'Технический лист'!$A:$B,2,1),(FQ148-0.05)))</f>
        <v/>
      </c>
      <c r="FS148" s="172">
        <f>MIN(1,MAX(VLOOKUP(($AJ148-$AI148-$AH148-$AG148-$AF148-$AE148*(1+FS$3))/$AJ148,'Технический лист'!$A:$B,2,1),(FR148-0.05)))</f>
        <v/>
      </c>
      <c r="FT148" s="172">
        <f>MIN(1,MAX(VLOOKUP(($AJ148-$AI148-$AH148-$AG148-$AF148-$AE148*(1+FT$3))/$AJ148,'Технический лист'!$A:$B,2,1),(FS148-0.05)))</f>
        <v/>
      </c>
      <c r="FU148" s="172">
        <f>MIN(1,MAX(VLOOKUP(($AJ148-$AI148-$AH148-$AG148-$AF148-$AE148*(1+FU$3))/$AJ148,'Технический лист'!$A:$B,2,1),(FT148-0.05)))</f>
        <v/>
      </c>
      <c r="FV148" s="172">
        <f>MIN(1,MAX(VLOOKUP(($AJ148-$AI148-$AH148-$AG148-$AF148-$AE148*(1+FV$3))/$AJ148,'Технический лист'!$A:$B,2,1),(FU148-0.05)))</f>
        <v/>
      </c>
      <c r="FW148" s="172">
        <f>MIN(1,MAX(VLOOKUP(($AJ148-$AI148-$AH148-$AG148-$AF148-$AE148*(1+FW$3))/$AJ148,'Технический лист'!$A:$B,2,1),(FV148-0.05)))</f>
        <v/>
      </c>
      <c r="FX148" s="172">
        <f>MIN(1,MAX(VLOOKUP(($AJ148-$AI148-$AH148-$AG148-$AF148-$AE148*(1+FX$3))/$AJ148,'Технический лист'!$A:$B,2,1),(FW148-0.05)))</f>
        <v/>
      </c>
      <c r="FY148" s="172">
        <f>MIN(1,MAX(VLOOKUP(($AJ148-$AI148-$AH148-$AG148-$AF148-$AE148*(1+FY$3))/$AJ148,'Технический лист'!$A:$B,2,1),(FX148-0.05)))</f>
        <v/>
      </c>
      <c r="FZ148" s="172">
        <f>MIN(1,MAX(VLOOKUP(($AJ148-$AI148-$AH148-$AG148-$AF148-$AE148*(1+FZ$3))/$AJ148,'Технический лист'!$A:$B,2,1),(FY148-0.05)))</f>
        <v/>
      </c>
      <c r="GA148" s="172">
        <f>MIN(1,MAX(VLOOKUP(($AJ148-$AI148-$AH148-$AG148-$AF148-$AE148*(1+GA$3))/$AJ148,'Технический лист'!$A:$B,2,1),(FZ148-0.05)))</f>
        <v/>
      </c>
      <c r="GB148" s="172">
        <f>MIN(1,MAX(VLOOKUP(($AJ148-$AI148-$AH148-$AG148-$AF148-$AE148*(1+GB$3))/$AJ148,'Технический лист'!$A:$B,2,1),(GA148-0.05)))</f>
        <v/>
      </c>
      <c r="GC148" s="172">
        <f>MIN(1,MAX(VLOOKUP(($AJ148-$AI148-$AH148-$AG148-$AF148-$AE148*(1+GC$3))/$AJ148,'Технический лист'!$A:$B,2,1),(GB148-0.05)))</f>
        <v/>
      </c>
      <c r="GD148" s="172">
        <f>MIN(1,MAX(VLOOKUP(($AJ148-$AI148-$AH148-$AG148-$AF148-$AE148*(1+GD$3))/$AJ148,'Технический лист'!$A:$B,2,1),(GC148-0.05)))</f>
        <v/>
      </c>
      <c r="GE148" s="172">
        <f>MIN(1,MAX(VLOOKUP(($AJ148-$AI148-$AH148-$AG148-$AF148-$AE148*(1+GE$3))/$AJ148,'Технический лист'!$A:$B,2,1),(GD148-0.05)))</f>
        <v/>
      </c>
      <c r="GF148" s="172">
        <f>MIN(1,MAX(VLOOKUP(($AJ148-$AI148-$AH148-$AG148-$AF148-$AE148*(1+GF$3))/$AJ148,'Технический лист'!$A:$B,2,1),(GE148-0.05)))</f>
        <v/>
      </c>
      <c r="GG148" s="172">
        <f>MIN(1,MAX(VLOOKUP(($AJ148-$AI148-$AH148-$AG148-$AF148-$AE148*(1+GG$3))/$AJ148,'Технический лист'!$A:$B,2,1),(GF148-0.05)))</f>
        <v/>
      </c>
      <c r="GH148" s="172">
        <f>MIN(1,MAX(VLOOKUP(($AJ148-$AI148-$AH148-$AG148-$AF148-$AE148*(1+GH$3))/$AJ148,'Технический лист'!$A:$B,2,1),(GG148-0.05)))</f>
        <v/>
      </c>
      <c r="GI148" s="172">
        <f>MIN(1,MAX(VLOOKUP(($AJ148-$AI148-$AH148-$AG148-$AF148-$AE148*(1+GI$3))/$AJ148,'Технический лист'!$A:$B,2,1),(GH148-0.05)))</f>
        <v/>
      </c>
      <c r="GJ148" s="172">
        <f>MIN(1,MAX(VLOOKUP(($AJ148-$AI148-$AH148-$AG148-$AF148-$AE148*(1+GJ$3))/$AJ148,'Технический лист'!$A:$B,2,1),(GI148-0.05)))</f>
        <v/>
      </c>
      <c r="GK148" s="172">
        <f>MIN(1,MAX(VLOOKUP(($AJ148-$AI148-$AH148-$AG148-$AF148-$AE148*(1+GK$3))/$AJ148,'Технический лист'!$A:$B,2,1),(GJ148-0.05)))</f>
        <v/>
      </c>
      <c r="GL148" s="172">
        <f>MIN(1,MAX(VLOOKUP(($AJ148-$AI148-$AH148-$AG148-$AF148-$AE148*(1+GL$3))/$AJ148,'Технический лист'!$A:$B,2,1),(GK148-0.05)))</f>
        <v/>
      </c>
      <c r="GM148" s="172">
        <f>MIN(1,MAX(VLOOKUP(($AJ148-$AI148-$AH148-$AG148-$AF148-$AE148*(1+GM$3))/$AJ148,'Технический лист'!$A:$B,2,1),(GL148-0.05)))</f>
        <v/>
      </c>
      <c r="GN148" s="172">
        <f>MIN(1,MAX(VLOOKUP(($AJ148-$AI148-$AH148-$AG148-$AF148-$AE148*(1+GN$3))/$AJ148,'Технический лист'!$A:$B,2,1),(GM148-0.05)))</f>
        <v/>
      </c>
      <c r="GO148" s="172">
        <f>MIN(1,MAX(VLOOKUP(($AJ148-$AI148-$AH148-$AG148-$AF148-$AE148*(1+GO$3))/$AJ148,'Технический лист'!$A:$B,2,1),(GN148-0.05)))</f>
        <v/>
      </c>
      <c r="GP148" s="172">
        <f>MIN(1,MAX(VLOOKUP(($AJ148-$AI148-$AH148-$AG148-$AF148-$AE148*(1+GP$3))/$AJ148,'Технический лист'!$A:$B,2,1),(GO148-0.05)))</f>
        <v/>
      </c>
      <c r="GQ148" s="172">
        <f>MIN(1,MAX(VLOOKUP(($AJ148-$AI148-$AH148-$AG148-$AF148-$AE148*(1+GQ$3))/$AJ148,'Технический лист'!$A:$B,2,1),(GP148-0.05)))</f>
        <v/>
      </c>
      <c r="GR148" s="172">
        <f>MIN(1,MAX(VLOOKUP(($AJ148-$AI148-$AH148-$AG148-$AF148-$AE148*(1+GR$3))/$AJ148,'Технический лист'!$A:$B,2,1),(GQ148-0.05)))</f>
        <v/>
      </c>
      <c r="GS148" s="172">
        <f>MIN(1,MAX(VLOOKUP(($AJ148-$AI148-$AH148-$AG148-$AF148-$AE148*(1+GS$3))/$AJ148,'Технический лист'!$A:$B,2,1),(GR148-0.05)))</f>
        <v/>
      </c>
      <c r="GT148" s="172">
        <f>MIN(1,MAX(VLOOKUP(($AJ148-$AI148-$AH148-$AG148-$AF148-$AE148*(1+GT$3))/$AJ148,'Технический лист'!$A:$B,2,1),(GS148-0.05)))</f>
        <v/>
      </c>
      <c r="GU148" s="172">
        <f>MIN(1,MAX(VLOOKUP(($AJ148-$AI148-$AH148-$AG148-$AF148-$AE148*(1+GU$3))/$AJ148,'Технический лист'!$A:$B,2,1),(GT148-0.05)))</f>
        <v/>
      </c>
      <c r="GV148" s="172">
        <f>MIN(1,MAX(VLOOKUP(($AJ148-$AI148-$AH148-$AG148-$AF148-$AE148*(1+GV$3))/$AJ148,'Технический лист'!$A:$B,2,1),(GU148-0.05)))</f>
        <v/>
      </c>
      <c r="GW148" s="172">
        <f>MIN(1,MAX(VLOOKUP(($AJ148-$AI148-$AH148-$AG148-$AF148-$AE148*(1+GW$3))/$AJ148,'Технический лист'!$A:$B,2,1),(GV148-0.05)))</f>
        <v/>
      </c>
      <c r="GX148" s="172">
        <f>MIN(1,MAX(VLOOKUP(($AJ148-$AI148-$AH148-$AG148-$AF148-$AE148*(1+GX$3))/$AJ148,'Технический лист'!$A:$B,2,1),(GW148-0.05)))</f>
        <v/>
      </c>
      <c r="GY148" s="172">
        <f>MIN(1,MAX(VLOOKUP(($AJ148-$AI148-$AH148-$AG148-$AF148-$AE148*(1+GY$3))/$AJ148,'Технический лист'!$A:$B,2,1),(GX148-0.05)))</f>
        <v/>
      </c>
      <c r="GZ148" s="172">
        <f>MIN(1,MAX(VLOOKUP(($AJ148-$AI148-$AH148-$AG148-$AF148-$AE148*(1+GZ$3))/$AJ148,'Технический лист'!$A:$B,2,1),(GY148-0.05)))</f>
        <v/>
      </c>
      <c r="HA148" s="172">
        <f>MIN(1,MAX(VLOOKUP(($AJ148-$AI148-$AH148-$AG148-$AF148-$AE148*(1+HA$3))/$AJ148,'Технический лист'!$A:$B,2,1),(GZ148-0.05)))</f>
        <v/>
      </c>
      <c r="HB148" s="172">
        <f>MIN(1,MAX(VLOOKUP(($AJ148-$AI148-$AH148-$AG148-$AF148-$AE148*(1+HB$3))/$AJ148,'Технический лист'!$A:$B,2,1),(HA148-0.05)))</f>
        <v/>
      </c>
      <c r="HC148" s="172">
        <f>MIN(1,MAX(VLOOKUP(($AJ148-$AI148-$AH148-$AG148-$AF148-$AE148*(1+HC$3))/$AJ148,'Технический лист'!$A:$B,2,1),(HB148-0.05)))</f>
        <v/>
      </c>
      <c r="HD148" s="172">
        <f>MIN(1,MAX(VLOOKUP(($AJ148-$AI148-$AH148-$AG148-$AF148-$AE148*(1+HD$3))/$AJ148,'Технический лист'!$A:$B,2,1),(HC148-0.05)))</f>
        <v/>
      </c>
      <c r="HE148" s="172">
        <f>MIN(1,MAX(VLOOKUP(($AJ148-$AI148-$AH148-$AG148-$AF148-$AE148*(1+HE$3))/$AJ148,'Технический лист'!$A:$B,2,1),(HD148-0.05)))</f>
        <v/>
      </c>
      <c r="HF148" s="172">
        <f>MIN(1,MAX(VLOOKUP(($AJ148-$AI148-$AH148-$AG148-$AF148-$AE148*(1+HF$3))/$AJ148,'Технический лист'!$A:$B,2,1),(HE148-0.05)))</f>
        <v/>
      </c>
      <c r="HG148" s="172">
        <f>MIN(1,MAX(VLOOKUP(($AJ148-$AI148-$AH148-$AG148-$AF148-$AE148*(1+HG$3))/$AJ148,'Технический лист'!$A:$B,2,1),(HF148-0.05)))</f>
        <v/>
      </c>
      <c r="HH148" s="172">
        <f>MIN(1,MAX(VLOOKUP(($AJ148-$AI148-$AH148-$AG148-$AF148-$AE148*(1+HH$3))/$AJ148,'Технический лист'!$A:$B,2,1),(HG148-0.05)))</f>
        <v/>
      </c>
      <c r="HI148" s="172">
        <f>MIN(1,MAX(VLOOKUP(($AJ148-$AI148-$AH148-$AG148-$AF148-$AE148*(1+HI$3))/$AJ148,'Технический лист'!$A:$B,2,1),(HH148-0.05)))</f>
        <v/>
      </c>
      <c r="HJ148" s="172">
        <f>MIN(1,MAX(VLOOKUP(($AJ148-$AI148-$AH148-$AG148-$AF148-$AE148*(1+HJ$3))/$AJ148,'Технический лист'!$A:$B,2,1),(HI148-0.05)))</f>
        <v/>
      </c>
      <c r="HK148" s="172">
        <f>MIN(1,MAX(VLOOKUP(($AJ148-$AI148-$AH148-$AG148-$AF148-$AE148*(1+HK$3))/$AJ148,'Технический лист'!$A:$B,2,1),(HJ148-0.05)))</f>
        <v/>
      </c>
      <c r="HL148" s="172">
        <f>MIN(1,MAX(VLOOKUP(($AJ148-$AI148-$AH148-$AG148-$AF148-$AE148*(1+HL$3))/$AJ148,'Технический лист'!$A:$B,2,1),(HK148-0.05)))</f>
        <v/>
      </c>
      <c r="HM148" s="172">
        <f>MIN(1,MAX(VLOOKUP(($AJ148-$AI148-$AH148-$AG148-$AF148-$AE148*(1+HM$3))/$AJ148,'Технический лист'!$A:$B,2,1),(HL148-0.05)))</f>
        <v/>
      </c>
      <c r="HN148" s="172">
        <f>MIN(1,MAX(VLOOKUP(($AJ148-$AI148-$AH148-$AG148-$AF148-$AE148*(1+HN$3))/$AJ148,'Технический лист'!$A:$B,2,1),(HM148-0.05)))</f>
        <v/>
      </c>
      <c r="HO148" s="172">
        <f>MIN(1,MAX(VLOOKUP(($AJ148-$AI148-$AH148-$AG148-$AF148-$AE148*(1+HO$3))/$AJ148,'Технический лист'!$A:$B,2,1),(HN148-0.05)))</f>
        <v/>
      </c>
      <c r="HP148" s="172">
        <f>MIN(1,MAX(VLOOKUP(($AJ148-$AI148-$AH148-$AG148-$AF148-$AE148*(1+HP$3))/$AJ148,'Технический лист'!$A:$B,2,1),(HO148-0.05)))</f>
        <v/>
      </c>
      <c r="HQ148" s="172">
        <f>MIN(1,MAX(VLOOKUP(($AJ148-$AI148-$AH148-$AG148-$AF148-$AE148*(1+HQ$3))/$AJ148,'Технический лист'!$A:$B,2,1),(HP148-0.05)))</f>
        <v/>
      </c>
      <c r="HR148" s="172">
        <f>MIN(1,MAX(VLOOKUP(($AJ148-$AI148-$AH148-$AG148-$AF148-$AE148*(1+HR$3))/$AJ148,'Технический лист'!$A:$B,2,1),(HQ148-0.05)))</f>
        <v/>
      </c>
      <c r="HS148" s="172">
        <f>MIN(1,MAX(VLOOKUP(($AJ148-$AI148-$AH148-$AG148-$AF148-$AE148*(1+HS$3))/$AJ148,'Технический лист'!$A:$B,2,1),(HR148-0.05)))</f>
        <v/>
      </c>
      <c r="HT148" s="172">
        <f>MIN(1,MAX(VLOOKUP(($AJ148-$AI148-$AH148-$AG148-$AF148-$AE148*(1+HT$3))/$AJ148,'Технический лист'!$A:$B,2,1),(HS148-0.05)))</f>
        <v/>
      </c>
      <c r="HU148" s="172">
        <f>MIN(1,MAX(VLOOKUP(($AJ148-$AI148-$AH148-$AG148-$AF148-$AE148*(1+HU$3))/$AJ148,'Технический лист'!$A:$B,2,1),(HT148-0.05)))</f>
        <v/>
      </c>
      <c r="HV148" s="172">
        <f>MIN(1,MAX(VLOOKUP(($AJ148-$AI148-$AH148-$AG148-$AF148-$AE148*(1+HV$3))/$AJ148,'Технический лист'!$A:$B,2,1),(HU148-0.05)))</f>
        <v/>
      </c>
      <c r="HW148" s="172">
        <f>MIN(1,MAX(VLOOKUP(($AJ148-$AI148-$AH148-$AG148-$AF148-$AE148*(1+HW$3))/$AJ148,'Технический лист'!$A:$B,2,1),(HV148-0.05)))</f>
        <v/>
      </c>
      <c r="HX148" s="172">
        <f>MIN(1,MAX(VLOOKUP(($AJ148-$AI148-$AH148-$AG148-$AF148-$AE148*(1+HX$3))/$AJ148,'Технический лист'!$A:$B,2,1),(HW148-0.05)))</f>
        <v/>
      </c>
      <c r="HY148" s="172">
        <f>MIN(1,MAX(VLOOKUP(($AJ148-$AI148-$AH148-$AG148-$AF148-$AE148*(1+HY$3))/$AJ148,'Технический лист'!$A:$B,2,1),(HX148-0.05)))</f>
        <v/>
      </c>
      <c r="HZ148" s="172">
        <f>MIN(1,MAX(VLOOKUP(($AJ148-$AI148-$AH148-$AG148-$AF148-$AE148*(1+HZ$3))/$AJ148,'Технический лист'!$A:$B,2,1),(HY148-0.05)))</f>
        <v/>
      </c>
      <c r="IA148" s="172">
        <f>MIN(1,MAX(VLOOKUP(($AJ148-$AI148-$AH148-$AG148-$AF148-$AE148*(1+IA$3))/$AJ148,'Технический лист'!$A:$B,2,1),(HZ148-0.05)))</f>
        <v/>
      </c>
      <c r="IB148" s="172">
        <f>MIN(1,MAX(VLOOKUP(($AJ148-$AI148-$AH148-$AG148-$AF148-$AE148*(1+IB$3))/$AJ148,'Технический лист'!$A:$B,2,1),(IA148-0.05)))</f>
        <v/>
      </c>
      <c r="IC148" s="172">
        <f>MIN(1,MAX(VLOOKUP(($AJ148-$AI148-$AH148-$AG148-$AF148-$AE148*(1+IC$3))/$AJ148,'Технический лист'!$A:$B,2,1),(IB148-0.05)))</f>
        <v/>
      </c>
      <c r="ID148" s="172">
        <f>MIN(1,MAX(VLOOKUP(($AJ148-$AI148-$AH148-$AG148-$AF148-$AE148*(1+ID$3))/$AJ148,'Технический лист'!$A:$B,2,1),(IC148-0.05)))</f>
        <v/>
      </c>
      <c r="IE148" s="172">
        <f>MIN(1,MAX(VLOOKUP(($AJ148-$AI148-$AH148-$AG148-$AF148-$AE148*(1+IE$3))/$AJ148,'Технический лист'!$A:$B,2,1),(ID148-0.05)))</f>
        <v/>
      </c>
      <c r="IF148" s="172">
        <f>MIN(1,MAX(VLOOKUP(($AJ148-$AI148-$AH148-$AG148-$AF148-$AE148*(1+IF$3))/$AJ148,'Технический лист'!$A:$B,2,1),(IE148-0.05)))</f>
        <v/>
      </c>
      <c r="IG148" s="172">
        <f>MIN(1,MAX(VLOOKUP(($AJ148-$AI148-$AH148-$AG148-$AF148-$AE148*(1+IG$3))/$AJ148,'Технический лист'!$A:$B,2,1),(IF148-0.05)))</f>
        <v/>
      </c>
      <c r="IH148" s="172">
        <f>MIN(1,MAX(VLOOKUP(($AJ148-$AI148-$AH148-$AG148-$AF148-$AE148*(1+IH$3))/$AJ148,'Технический лист'!$A:$B,2,1),(IG148-0.05)))</f>
        <v/>
      </c>
      <c r="II148" s="172">
        <f>MIN(1,MAX(VLOOKUP(($AJ148-$AI148-$AH148-$AG148-$AF148-$AE148*(1+II$3))/$AJ148,'Технический лист'!$A:$B,2,1),(IH148-0.05)))</f>
        <v/>
      </c>
      <c r="IJ148" s="172">
        <f>MIN(1,MAX(VLOOKUP(($AJ148-$AI148-$AH148-$AG148-$AF148-$AE148*(1+IJ$3))/$AJ148,'Технический лист'!$A:$B,2,1),(II148-0.05)))</f>
        <v/>
      </c>
      <c r="IK148" s="172">
        <f>MIN(1,MAX(VLOOKUP(($AJ148-$AI148-$AH148-$AG148-$AF148-$AE148*(1+IK$3))/$AJ148,'Технический лист'!$A:$B,2,1),(IJ148-0.05)))</f>
        <v/>
      </c>
      <c r="IL148" s="172">
        <f>MIN(1,MAX(VLOOKUP(($AJ148-$AI148-$AH148-$AG148-$AF148-$AE148*(1+IL$3))/$AJ148,'Технический лист'!$A:$B,2,1),(IK148-0.05)))</f>
        <v/>
      </c>
      <c r="IM148" s="172">
        <f>MIN(1,MAX(VLOOKUP(($AJ148-$AI148-$AH148-$AG148-$AF148-$AE148*(1+IM$3))/$AJ148,'Технический лист'!$A:$B,2,1),(IL148-0.05)))</f>
        <v/>
      </c>
      <c r="IN148" s="172">
        <f>MIN(1,MAX(VLOOKUP(($AJ148-$AI148-$AH148-$AG148-$AF148-$AE148*(1+IN$3))/$AJ148,'Технический лист'!$A:$B,2,1),(IM148-0.05)))</f>
        <v/>
      </c>
      <c r="IO148" s="172">
        <f>MIN(1,MAX(VLOOKUP(($AJ148-$AI148-$AH148-$AG148-$AF148-$AE148*(1+IO$3))/$AJ148,'Технический лист'!$A:$B,2,1),(IN148-0.05)))</f>
        <v/>
      </c>
      <c r="IP148" s="172">
        <f>MIN(1,MAX(VLOOKUP(($AJ148-$AI148-$AH148-$AG148-$AF148-$AE148*(1+IP$3))/$AJ148,'Технический лист'!$A:$B,2,1),(IO148-0.05)))</f>
        <v/>
      </c>
      <c r="IQ148" s="172">
        <f>MIN(1,MAX(VLOOKUP(($AJ148-$AI148-$AH148-$AG148-$AF148-$AE148*(1+IQ$3))/$AJ148,'Технический лист'!$A:$B,2,1),(IP148-0.05)))</f>
        <v/>
      </c>
      <c r="IR148" s="172">
        <f>MIN(1,MAX(VLOOKUP(($AJ148-$AI148-$AH148-$AG148-$AF148-$AE148*(1+IR$3))/$AJ148,'Технический лист'!$A:$B,2,1),(IQ148-0.05)))</f>
        <v/>
      </c>
    </row>
    <row r="149" ht="29.15" customHeight="1" s="123">
      <c r="A149" s="89" t="inlineStr">
        <is>
          <t>ЧМ (продукция)</t>
        </is>
      </c>
      <c r="B149" s="90" t="n">
        <v>10</v>
      </c>
      <c r="C149" s="5" t="inlineStr">
        <is>
          <t>Остальные грузы</t>
        </is>
      </c>
      <c r="D149" s="91" t="n">
        <v>31609</v>
      </c>
      <c r="E149" s="91" t="inlineStr">
        <is>
          <t xml:space="preserve">Окалина черных металлов </t>
        </is>
      </c>
      <c r="F149" s="92" t="inlineStr">
        <is>
          <t>ЛОМ ЧЕРНЫХ МЕТАЛЛОВ</t>
        </is>
      </c>
      <c r="G149" s="91" t="inlineStr">
        <is>
          <t>КБШ</t>
        </is>
      </c>
      <c r="H149" s="91" t="inlineStr">
        <is>
          <t>ЮУР</t>
        </is>
      </c>
      <c r="I149" s="91" t="inlineStr">
        <is>
          <t>БЕЛОРЕЦК</t>
        </is>
      </c>
      <c r="J149" s="91" t="inlineStr">
        <is>
          <t>МЕТАЛЛУРГИЧ.</t>
        </is>
      </c>
      <c r="K149" s="91" t="n">
        <v>534</v>
      </c>
      <c r="L149" s="91" t="inlineStr">
        <is>
          <t>Полувагоны</t>
        </is>
      </c>
      <c r="M149" s="91" t="inlineStr">
        <is>
          <t>Внутр. перевозки</t>
        </is>
      </c>
      <c r="N149" s="91" t="inlineStr">
        <is>
          <t>вагонная</t>
        </is>
      </c>
      <c r="O149" s="91" t="inlineStr">
        <is>
          <t xml:space="preserve">Южное </t>
        </is>
      </c>
      <c r="P149" s="89" t="inlineStr">
        <is>
          <t>'000000187263</t>
        </is>
      </c>
      <c r="Q149" s="91" t="inlineStr">
        <is>
          <t>'АО "Белорецкий металлургический комбинат"</t>
        </is>
      </c>
      <c r="R149" s="91" t="inlineStr">
        <is>
          <t>ПАО "Мечел"</t>
        </is>
      </c>
      <c r="S149" s="87" t="n">
        <v>12926</v>
      </c>
      <c r="T149" s="87" t="n">
        <v>6902522</v>
      </c>
      <c r="U149" s="88" t="n">
        <v>190</v>
      </c>
      <c r="V149" s="88" t="n">
        <v>0</v>
      </c>
      <c r="W149" s="87" t="n">
        <v>18705603</v>
      </c>
      <c r="X149" s="112" t="n">
        <v>62</v>
      </c>
      <c r="Y149" s="112" t="inlineStr">
        <is>
          <t>повагонная</t>
        </is>
      </c>
      <c r="Z149" s="113" t="n">
        <v>6</v>
      </c>
      <c r="AA149" s="113" t="n">
        <v>5</v>
      </c>
      <c r="AB149" s="113" t="n">
        <v>4</v>
      </c>
      <c r="AC149" s="161" t="n">
        <v>1716.31</v>
      </c>
      <c r="AD149" s="161">
        <f>AE149-AC149</f>
        <v/>
      </c>
      <c r="AE149" s="161" t="n">
        <v>1921.68</v>
      </c>
      <c r="AF149" s="162">
        <f>(Z149+AA149+AB149)*'Ставки аренды'!$B$3/X149</f>
        <v/>
      </c>
      <c r="AG149" s="164" t="n">
        <v>0</v>
      </c>
      <c r="AH149" s="164" t="n">
        <v>0</v>
      </c>
      <c r="AI149" s="165">
        <f>242262/286977*AJ149</f>
        <v/>
      </c>
      <c r="AJ149" s="166">
        <f>Цены!$D$10</f>
        <v/>
      </c>
      <c r="AK149" s="164">
        <f>AJ149/Цены!$B$1</f>
        <v/>
      </c>
      <c r="AL149" s="164">
        <f>AE149+AF149+AG149</f>
        <v/>
      </c>
      <c r="AM149" s="164">
        <f>AJ149-AL149</f>
        <v/>
      </c>
      <c r="AN149" s="164">
        <f>AI149+AH149+AG149+AF149+AE149</f>
        <v/>
      </c>
      <c r="AO149" s="167">
        <f>(AJ149-AN149)/AJ149</f>
        <v/>
      </c>
      <c r="AP149" s="168">
        <f>AL149/AJ149</f>
        <v/>
      </c>
      <c r="AQ149" s="168">
        <f>AE149/AJ149</f>
        <v/>
      </c>
      <c r="AR149" s="168">
        <f>AE149/AL149</f>
        <v/>
      </c>
      <c r="AS149" s="169" t="n">
        <v>1</v>
      </c>
      <c r="AT149" s="121">
        <f>S149*AS149</f>
        <v/>
      </c>
      <c r="AU149" s="7" t="inlineStr">
        <is>
          <t>Внутренняя логистика</t>
        </is>
      </c>
      <c r="AV149" s="170">
        <f>(AJ149-(AE149*(1+$IS$2)+AF149+AG149+AH149+AI149))/AJ149</f>
        <v/>
      </c>
      <c r="AW149" s="171">
        <f>(AE149*(1+$IS$2)+AF149+AG149)/AJ149</f>
        <v/>
      </c>
      <c r="AX149" s="171">
        <f>(AE149*(1+$IS$2))/AJ149</f>
        <v/>
      </c>
      <c r="AY149" s="171">
        <f>(AE149*(1+$IS$2))/(AE149*(1+$IS$2)+AF149+AG149)</f>
        <v/>
      </c>
      <c r="AZ149" s="172" t="n">
        <v>1</v>
      </c>
      <c r="BA149" s="172" t="n">
        <v>1</v>
      </c>
      <c r="BB149" s="172" t="n">
        <v>1</v>
      </c>
      <c r="BC149" s="172" t="n">
        <v>1</v>
      </c>
      <c r="BD149" s="172" t="n">
        <v>1</v>
      </c>
      <c r="BE149" s="172" t="n">
        <v>1</v>
      </c>
      <c r="BF149" s="172" t="n">
        <v>1</v>
      </c>
      <c r="BG149" s="172" t="n">
        <v>1</v>
      </c>
      <c r="BH149" s="172" t="n">
        <v>1</v>
      </c>
      <c r="BI149" s="172" t="n">
        <v>1</v>
      </c>
      <c r="BJ149" s="172" t="n">
        <v>1</v>
      </c>
      <c r="BK149" s="172" t="n">
        <v>1</v>
      </c>
      <c r="BL149" s="172" t="n">
        <v>1</v>
      </c>
      <c r="BM149" s="172" t="n">
        <v>1</v>
      </c>
      <c r="BN149" s="172" t="n">
        <v>1</v>
      </c>
      <c r="BO149" s="172" t="n">
        <v>1</v>
      </c>
      <c r="BP149" s="172" t="n">
        <v>1</v>
      </c>
      <c r="BQ149" s="172" t="n">
        <v>1</v>
      </c>
      <c r="BR149" s="172" t="n">
        <v>1</v>
      </c>
      <c r="BS149" s="172" t="n">
        <v>1</v>
      </c>
      <c r="BT149" s="172" t="n">
        <v>1</v>
      </c>
      <c r="BU149" s="172" t="n">
        <v>1</v>
      </c>
      <c r="BV149" s="172" t="n">
        <v>1</v>
      </c>
      <c r="BW149" s="172" t="n">
        <v>1</v>
      </c>
      <c r="BX149" s="172" t="n">
        <v>1</v>
      </c>
      <c r="BY149" s="172" t="n">
        <v>1</v>
      </c>
      <c r="BZ149" s="172" t="n">
        <v>1</v>
      </c>
      <c r="CA149" s="172" t="n">
        <v>1</v>
      </c>
      <c r="CB149" s="172" t="n">
        <v>1</v>
      </c>
      <c r="CC149" s="172" t="n">
        <v>1</v>
      </c>
      <c r="CD149" s="172" t="n">
        <v>1</v>
      </c>
      <c r="CE149" s="172" t="n">
        <v>1</v>
      </c>
      <c r="CF149" s="172" t="n">
        <v>1</v>
      </c>
      <c r="CG149" s="172" t="n">
        <v>1</v>
      </c>
      <c r="CH149" s="172" t="n">
        <v>1</v>
      </c>
      <c r="CI149" s="172" t="n">
        <v>1</v>
      </c>
      <c r="CJ149" s="172" t="n">
        <v>1</v>
      </c>
      <c r="CK149" s="172" t="n">
        <v>1</v>
      </c>
      <c r="CL149" s="172" t="n">
        <v>1</v>
      </c>
      <c r="CM149" s="172" t="n">
        <v>1</v>
      </c>
      <c r="CN149" s="172" t="n">
        <v>1</v>
      </c>
      <c r="CO149" s="172" t="n">
        <v>1</v>
      </c>
      <c r="CP149" s="172" t="n">
        <v>1</v>
      </c>
      <c r="CQ149" s="172" t="n">
        <v>1</v>
      </c>
      <c r="CR149" s="172" t="n">
        <v>1</v>
      </c>
      <c r="CS149" s="172" t="n">
        <v>1</v>
      </c>
      <c r="CT149" s="172" t="n">
        <v>1</v>
      </c>
      <c r="CU149" s="172" t="n">
        <v>1</v>
      </c>
      <c r="CV149" s="172" t="n">
        <v>1</v>
      </c>
      <c r="CW149" s="172" t="n">
        <v>1</v>
      </c>
      <c r="CX149" s="172" t="n">
        <v>1</v>
      </c>
      <c r="CY149" s="172" t="n">
        <v>1</v>
      </c>
      <c r="CZ149" s="172" t="n">
        <v>1</v>
      </c>
      <c r="DA149" s="172" t="n">
        <v>1</v>
      </c>
      <c r="DB149" s="172" t="n">
        <v>1</v>
      </c>
      <c r="DC149" s="172" t="n">
        <v>1</v>
      </c>
      <c r="DD149" s="172" t="n">
        <v>1</v>
      </c>
      <c r="DE149" s="172" t="n">
        <v>1</v>
      </c>
      <c r="DF149" s="172" t="n">
        <v>1</v>
      </c>
      <c r="DG149" s="172" t="n">
        <v>1</v>
      </c>
      <c r="DH149" s="172" t="n">
        <v>1</v>
      </c>
      <c r="DI149" s="172" t="n">
        <v>1</v>
      </c>
      <c r="DJ149" s="172" t="n">
        <v>1</v>
      </c>
      <c r="DK149" s="172" t="n">
        <v>1</v>
      </c>
      <c r="DL149" s="172" t="n">
        <v>1</v>
      </c>
      <c r="DM149" s="172" t="n">
        <v>1</v>
      </c>
      <c r="DN149" s="172" t="n">
        <v>1</v>
      </c>
      <c r="DO149" s="172" t="n">
        <v>1</v>
      </c>
      <c r="DP149" s="172" t="n">
        <v>1</v>
      </c>
      <c r="DQ149" s="172" t="n">
        <v>1</v>
      </c>
      <c r="DR149" s="172" t="n">
        <v>1</v>
      </c>
      <c r="DS149" s="172" t="n">
        <v>1</v>
      </c>
      <c r="DT149" s="172" t="n">
        <v>1</v>
      </c>
      <c r="DU149" s="172" t="n">
        <v>1</v>
      </c>
      <c r="DV149" s="172" t="n">
        <v>1</v>
      </c>
      <c r="DW149" s="172" t="n">
        <v>1</v>
      </c>
      <c r="DX149" s="172" t="n">
        <v>1</v>
      </c>
      <c r="DY149" s="172" t="n">
        <v>1</v>
      </c>
      <c r="DZ149" s="172" t="n">
        <v>1</v>
      </c>
      <c r="EA149" s="172" t="n">
        <v>1</v>
      </c>
      <c r="EB149" s="172" t="n">
        <v>1</v>
      </c>
      <c r="EC149" s="172" t="n">
        <v>1</v>
      </c>
      <c r="ED149" s="172" t="n">
        <v>1</v>
      </c>
      <c r="EE149" s="172" t="n">
        <v>1</v>
      </c>
      <c r="EF149" s="172" t="n">
        <v>1</v>
      </c>
      <c r="EG149" s="172" t="n">
        <v>1</v>
      </c>
      <c r="EH149" s="172" t="n">
        <v>1</v>
      </c>
      <c r="EI149" s="172" t="n">
        <v>1</v>
      </c>
      <c r="EJ149" s="172" t="n">
        <v>1</v>
      </c>
      <c r="EK149" s="172" t="n">
        <v>1</v>
      </c>
      <c r="EL149" s="172" t="n">
        <v>1</v>
      </c>
      <c r="EM149" s="172" t="n">
        <v>1</v>
      </c>
      <c r="EN149" s="172" t="n">
        <v>1</v>
      </c>
      <c r="EO149" s="172" t="n">
        <v>1</v>
      </c>
      <c r="EP149" s="172" t="n">
        <v>1</v>
      </c>
      <c r="EQ149" s="172" t="n">
        <v>1</v>
      </c>
      <c r="ER149" s="172" t="n">
        <v>1</v>
      </c>
      <c r="ES149" s="172" t="n">
        <v>1</v>
      </c>
      <c r="ET149" s="172" t="n">
        <v>1</v>
      </c>
      <c r="EU149" s="172" t="n">
        <v>1</v>
      </c>
      <c r="EV149" s="173" t="n">
        <v>1</v>
      </c>
      <c r="EW149" s="172" t="n">
        <v>1</v>
      </c>
      <c r="EX149" s="172" t="n">
        <v>1</v>
      </c>
      <c r="EY149" s="172" t="n">
        <v>1</v>
      </c>
      <c r="EZ149" s="172" t="n">
        <v>1</v>
      </c>
      <c r="FA149" s="172" t="n">
        <v>1</v>
      </c>
      <c r="FB149" s="172" t="n">
        <v>1</v>
      </c>
      <c r="FC149" s="172" t="n">
        <v>1</v>
      </c>
      <c r="FD149" s="172" t="n">
        <v>1</v>
      </c>
      <c r="FE149" s="172" t="n">
        <v>1</v>
      </c>
      <c r="FF149" s="172" t="n">
        <v>1</v>
      </c>
      <c r="FG149" s="172" t="n">
        <v>1</v>
      </c>
      <c r="FH149" s="172" t="n">
        <v>1</v>
      </c>
      <c r="FI149" s="172" t="n">
        <v>1</v>
      </c>
      <c r="FJ149" s="172" t="n">
        <v>1</v>
      </c>
      <c r="FK149" s="172" t="n">
        <v>1</v>
      </c>
      <c r="FL149" s="172" t="n">
        <v>1</v>
      </c>
      <c r="FM149" s="172" t="n">
        <v>1</v>
      </c>
      <c r="FN149" s="172" t="n">
        <v>1</v>
      </c>
      <c r="FO149" s="172" t="n">
        <v>1</v>
      </c>
      <c r="FP149" s="172" t="n">
        <v>1</v>
      </c>
      <c r="FQ149" s="172" t="n">
        <v>1</v>
      </c>
      <c r="FR149" s="172" t="n">
        <v>1</v>
      </c>
      <c r="FS149" s="172" t="n">
        <v>1</v>
      </c>
      <c r="FT149" s="172" t="n">
        <v>1</v>
      </c>
      <c r="FU149" s="172" t="n">
        <v>1</v>
      </c>
      <c r="FV149" s="172" t="n">
        <v>1</v>
      </c>
      <c r="FW149" s="172" t="n">
        <v>1</v>
      </c>
      <c r="FX149" s="172" t="n">
        <v>1</v>
      </c>
      <c r="FY149" s="172" t="n">
        <v>1</v>
      </c>
      <c r="FZ149" s="172" t="n">
        <v>1</v>
      </c>
      <c r="GA149" s="172" t="n">
        <v>1</v>
      </c>
      <c r="GB149" s="172" t="n">
        <v>1</v>
      </c>
      <c r="GC149" s="172" t="n">
        <v>1</v>
      </c>
      <c r="GD149" s="172" t="n">
        <v>1</v>
      </c>
      <c r="GE149" s="172" t="n">
        <v>1</v>
      </c>
      <c r="GF149" s="172" t="n">
        <v>1</v>
      </c>
      <c r="GG149" s="172" t="n">
        <v>1</v>
      </c>
      <c r="GH149" s="172" t="n">
        <v>1</v>
      </c>
      <c r="GI149" s="172" t="n">
        <v>1</v>
      </c>
      <c r="GJ149" s="172" t="n">
        <v>1</v>
      </c>
      <c r="GK149" s="172" t="n">
        <v>1</v>
      </c>
      <c r="GL149" s="172" t="n">
        <v>1</v>
      </c>
      <c r="GM149" s="172" t="n">
        <v>1</v>
      </c>
      <c r="GN149" s="172" t="n">
        <v>1</v>
      </c>
      <c r="GO149" s="172" t="n">
        <v>1</v>
      </c>
      <c r="GP149" s="172" t="n">
        <v>1</v>
      </c>
      <c r="GQ149" s="172" t="n">
        <v>1</v>
      </c>
      <c r="GR149" s="172" t="n">
        <v>1</v>
      </c>
      <c r="GS149" s="172" t="n">
        <v>1</v>
      </c>
      <c r="GT149" s="172" t="n">
        <v>1</v>
      </c>
      <c r="GU149" s="172" t="n">
        <v>1</v>
      </c>
      <c r="GV149" s="172" t="n">
        <v>1</v>
      </c>
      <c r="GW149" s="172" t="n">
        <v>1</v>
      </c>
      <c r="GX149" s="172" t="n">
        <v>1</v>
      </c>
      <c r="GY149" s="172" t="n">
        <v>1</v>
      </c>
      <c r="GZ149" s="172" t="n">
        <v>1</v>
      </c>
      <c r="HA149" s="172" t="n">
        <v>1</v>
      </c>
      <c r="HB149" s="172" t="n">
        <v>1</v>
      </c>
      <c r="HC149" s="172" t="n">
        <v>1</v>
      </c>
      <c r="HD149" s="172" t="n">
        <v>1</v>
      </c>
      <c r="HE149" s="172" t="n">
        <v>1</v>
      </c>
      <c r="HF149" s="172" t="n">
        <v>1</v>
      </c>
      <c r="HG149" s="172" t="n">
        <v>1</v>
      </c>
      <c r="HH149" s="172" t="n">
        <v>1</v>
      </c>
      <c r="HI149" s="172" t="n">
        <v>1</v>
      </c>
      <c r="HJ149" s="172" t="n">
        <v>1</v>
      </c>
      <c r="HK149" s="172" t="n">
        <v>1</v>
      </c>
      <c r="HL149" s="172" t="n">
        <v>1</v>
      </c>
      <c r="HM149" s="172" t="n">
        <v>1</v>
      </c>
      <c r="HN149" s="172" t="n">
        <v>1</v>
      </c>
      <c r="HO149" s="172" t="n">
        <v>1</v>
      </c>
      <c r="HP149" s="172" t="n">
        <v>1</v>
      </c>
      <c r="HQ149" s="172" t="n">
        <v>1</v>
      </c>
      <c r="HR149" s="172" t="n">
        <v>1</v>
      </c>
      <c r="HS149" s="172" t="n">
        <v>1</v>
      </c>
      <c r="HT149" s="172" t="n">
        <v>1</v>
      </c>
      <c r="HU149" s="172" t="n">
        <v>1</v>
      </c>
      <c r="HV149" s="172" t="n">
        <v>1</v>
      </c>
      <c r="HW149" s="172" t="n">
        <v>1</v>
      </c>
      <c r="HX149" s="172" t="n">
        <v>1</v>
      </c>
      <c r="HY149" s="172" t="n">
        <v>1</v>
      </c>
      <c r="HZ149" s="172" t="n">
        <v>1</v>
      </c>
      <c r="IA149" s="172" t="n">
        <v>1</v>
      </c>
      <c r="IB149" s="172" t="n">
        <v>1</v>
      </c>
      <c r="IC149" s="172" t="n">
        <v>1</v>
      </c>
      <c r="ID149" s="172" t="n">
        <v>1</v>
      </c>
      <c r="IE149" s="172" t="n">
        <v>1</v>
      </c>
      <c r="IF149" s="172" t="n">
        <v>1</v>
      </c>
      <c r="IG149" s="172" t="n">
        <v>1</v>
      </c>
      <c r="IH149" s="172" t="n">
        <v>1</v>
      </c>
      <c r="II149" s="172" t="n">
        <v>1</v>
      </c>
      <c r="IJ149" s="172" t="n">
        <v>1</v>
      </c>
      <c r="IK149" s="172" t="n">
        <v>1</v>
      </c>
      <c r="IL149" s="172" t="n">
        <v>1</v>
      </c>
      <c r="IM149" s="172" t="n">
        <v>1</v>
      </c>
      <c r="IN149" s="172" t="n">
        <v>1</v>
      </c>
      <c r="IO149" s="172" t="n">
        <v>1</v>
      </c>
      <c r="IP149" s="172" t="n">
        <v>1</v>
      </c>
      <c r="IQ149" s="172" t="n">
        <v>1</v>
      </c>
      <c r="IR149" s="172" t="n">
        <v>1</v>
      </c>
    </row>
    <row r="150" ht="43.75" customHeight="1" s="123">
      <c r="A150" s="89" t="inlineStr">
        <is>
          <t>ЧМ (продукция)</t>
        </is>
      </c>
      <c r="B150" s="90" t="n">
        <v>10</v>
      </c>
      <c r="C150" s="5" t="inlineStr">
        <is>
          <t>Остальные грузы</t>
        </is>
      </c>
      <c r="D150" s="91" t="n">
        <v>31607</v>
      </c>
      <c r="E150" s="91" t="inlineStr">
        <is>
          <t xml:space="preserve">Лом черных металлов, не поименованный в алфавите </t>
        </is>
      </c>
      <c r="F150" s="92" t="inlineStr">
        <is>
          <t>ЛОМ ЧЕРНЫХ МЕТАЛЛОВ</t>
        </is>
      </c>
      <c r="G150" s="91" t="inlineStr">
        <is>
          <t>ЮУР</t>
        </is>
      </c>
      <c r="H150" s="91" t="inlineStr">
        <is>
          <t>ВСБ</t>
        </is>
      </c>
      <c r="I150" s="91" t="inlineStr">
        <is>
          <t>МЕТАЛЛУРГИЧ.</t>
        </is>
      </c>
      <c r="J150" s="91" t="inlineStr">
        <is>
          <t>БАГУЛЬНАЯ</t>
        </is>
      </c>
      <c r="K150" s="91" t="n">
        <v>2904</v>
      </c>
      <c r="L150" s="91" t="inlineStr">
        <is>
          <t>Полувагоны</t>
        </is>
      </c>
      <c r="M150" s="91" t="inlineStr">
        <is>
          <t>Внутр. перевозки</t>
        </is>
      </c>
      <c r="N150" s="91" t="inlineStr">
        <is>
          <t>вагонная</t>
        </is>
      </c>
      <c r="O150" s="91" t="inlineStr">
        <is>
          <t xml:space="preserve">Восточное </t>
        </is>
      </c>
      <c r="P150" s="89" t="inlineStr">
        <is>
          <t>'000000186465</t>
        </is>
      </c>
      <c r="Q150" s="91" t="inlineStr">
        <is>
          <t>ПАО "Челябинский металлургический комбинат"</t>
        </is>
      </c>
      <c r="R150" s="91" t="inlineStr">
        <is>
          <t>ПАО "Мечел"</t>
        </is>
      </c>
      <c r="S150" s="87" t="n">
        <v>2735</v>
      </c>
      <c r="T150" s="87" t="n">
        <v>7943746</v>
      </c>
      <c r="U150" s="88" t="n">
        <v>45</v>
      </c>
      <c r="V150" s="88" t="n">
        <v>0</v>
      </c>
      <c r="W150" s="87" t="n">
        <v>13674635</v>
      </c>
      <c r="X150" s="112" t="n">
        <v>62</v>
      </c>
      <c r="Y150" s="112" t="inlineStr">
        <is>
          <t>повагонная</t>
        </is>
      </c>
      <c r="Z150" s="113" t="n">
        <v>11</v>
      </c>
      <c r="AA150" s="113" t="n">
        <v>9</v>
      </c>
      <c r="AB150" s="113" t="n">
        <v>4</v>
      </c>
      <c r="AC150" s="161" t="n">
        <v>5437.77</v>
      </c>
      <c r="AD150" s="161">
        <f>AE150-AC150</f>
        <v/>
      </c>
      <c r="AE150" s="161" t="n">
        <v>6179.94</v>
      </c>
      <c r="AF150" s="162">
        <f>(Z150+AA150+AB150)*'Ставки аренды'!$B$3/X150</f>
        <v/>
      </c>
      <c r="AG150" s="164" t="n">
        <v>0</v>
      </c>
      <c r="AH150" s="164" t="n">
        <v>0</v>
      </c>
      <c r="AI150" s="165">
        <f>131496272/143742760*AJ150</f>
        <v/>
      </c>
      <c r="AJ150" s="166">
        <f>Цены!$D$10</f>
        <v/>
      </c>
      <c r="AK150" s="164">
        <f>AJ150/Цены!$B$1</f>
        <v/>
      </c>
      <c r="AL150" s="164">
        <f>AE150+AF150+AG150</f>
        <v/>
      </c>
      <c r="AM150" s="164">
        <f>AJ150-AL150</f>
        <v/>
      </c>
      <c r="AN150" s="164">
        <f>AI150+AH150+AG150+AF150+AE150</f>
        <v/>
      </c>
      <c r="AO150" s="167">
        <f>(AJ150-AN150)/AJ150</f>
        <v/>
      </c>
      <c r="AP150" s="168">
        <f>AL150/AJ150</f>
        <v/>
      </c>
      <c r="AQ150" s="168">
        <f>AE150/AJ150</f>
        <v/>
      </c>
      <c r="AR150" s="168">
        <f>AE150/AL150</f>
        <v/>
      </c>
      <c r="AS150" s="169" t="n">
        <v>1</v>
      </c>
      <c r="AT150" s="121">
        <f>S150*AS150</f>
        <v/>
      </c>
      <c r="AU150" s="83" t="n">
        <v>0.8</v>
      </c>
      <c r="AV150" s="170">
        <f>(AJ150-(AE150*(1+$IS$2)+AF150+AG150+AH150+AI150))/AJ150</f>
        <v/>
      </c>
      <c r="AW150" s="171">
        <f>(AE150*(1+$IS$2)+AF150+AG150)/AJ150</f>
        <v/>
      </c>
      <c r="AX150" s="171">
        <f>(AE150*(1+$IS$2))/AJ150</f>
        <v/>
      </c>
      <c r="AY150" s="171">
        <f>(AE150*(1+$IS$2))/(AE150*(1+$IS$2)+AF150+AG150)</f>
        <v/>
      </c>
      <c r="AZ150" s="172">
        <f>MIN(IF($AU150=100%,1,1+VLOOKUP(($AJ150-$AI150-$AH150-$AG150-$AF150-$AE150*(1+AZ$3))/$AJ150,'Технический лист'!$I:$J,2,1)-VLOOKUP($AO150,'Технический лист'!$I:$J,2,1)),1+(1-$AU150))</f>
        <v/>
      </c>
      <c r="BA150" s="172">
        <f>MIN(IF($AU150=100%,1,1+VLOOKUP(($AJ150-$AI150-$AH150-$AG150-$AF150-$AE150*(1+BA$3))/$AJ150,'Технический лист'!$I:$J,2,1)-VLOOKUP($AO150,'Технический лист'!$I:$J,2,1)),1+(1-$AU150))</f>
        <v/>
      </c>
      <c r="BB150" s="172">
        <f>MIN(IF($AU150=100%,1,1+VLOOKUP(($AJ150-$AI150-$AH150-$AG150-$AF150-$AE150*(1+BB$3))/$AJ150,'Технический лист'!$I:$J,2,1)-VLOOKUP($AO150,'Технический лист'!$I:$J,2,1)),1+(1-$AU150))</f>
        <v/>
      </c>
      <c r="BC150" s="172">
        <f>MIN(IF($AU150=100%,1,1+VLOOKUP(($AJ150-$AI150-$AH150-$AG150-$AF150-$AE150*(1+BC$3))/$AJ150,'Технический лист'!$I:$J,2,1)-VLOOKUP($AO150,'Технический лист'!$I:$J,2,1)),1+(1-$AU150))</f>
        <v/>
      </c>
      <c r="BD150" s="172">
        <f>MIN(IF($AU150=100%,1,1+VLOOKUP(($AJ150-$AI150-$AH150-$AG150-$AF150-$AE150*(1+BD$3))/$AJ150,'Технический лист'!$I:$J,2,1)-VLOOKUP($AO150,'Технический лист'!$I:$J,2,1)),1+(1-$AU150))</f>
        <v/>
      </c>
      <c r="BE150" s="172">
        <f>MIN(IF($AU150=100%,1,1+VLOOKUP(($AJ150-$AI150-$AH150-$AG150-$AF150-$AE150*(1+BE$3))/$AJ150,'Технический лист'!$I:$J,2,1)-VLOOKUP($AO150,'Технический лист'!$I:$J,2,1)),1+(1-$AU150))</f>
        <v/>
      </c>
      <c r="BF150" s="172">
        <f>MIN(IF($AU150=100%,1,1+VLOOKUP(($AJ150-$AI150-$AH150-$AG150-$AF150-$AE150*(1+BF$3))/$AJ150,'Технический лист'!$I:$J,2,1)-VLOOKUP($AO150,'Технический лист'!$I:$J,2,1)),1+(1-$AU150))</f>
        <v/>
      </c>
      <c r="BG150" s="172">
        <f>MIN(IF($AU150=100%,1,1+VLOOKUP(($AJ150-$AI150-$AH150-$AG150-$AF150-$AE150*(1+BG$3))/$AJ150,'Технический лист'!$I:$J,2,1)-VLOOKUP($AO150,'Технический лист'!$I:$J,2,1)),1+(1-$AU150))</f>
        <v/>
      </c>
      <c r="BH150" s="172">
        <f>MIN(IF($AU150=100%,1,1+VLOOKUP(($AJ150-$AI150-$AH150-$AG150-$AF150-$AE150*(1+BH$3))/$AJ150,'Технический лист'!$I:$J,2,1)-VLOOKUP($AO150,'Технический лист'!$I:$J,2,1)),1+(1-$AU150))</f>
        <v/>
      </c>
      <c r="BI150" s="172">
        <f>MIN(IF($AU150=100%,1,1+VLOOKUP(($AJ150-$AI150-$AH150-$AG150-$AF150-$AE150*(1+BI$3))/$AJ150,'Технический лист'!$I:$J,2,1)-VLOOKUP($AO150,'Технический лист'!$I:$J,2,1)),1+(1-$AU150))</f>
        <v/>
      </c>
      <c r="BJ150" s="172">
        <f>MIN(IF($AU150=100%,1,1+VLOOKUP(($AJ150-$AI150-$AH150-$AG150-$AF150-$AE150*(1+BJ$3))/$AJ150,'Технический лист'!$I:$J,2,1)-VLOOKUP($AO150,'Технический лист'!$I:$J,2,1)),1+(1-$AU150))</f>
        <v/>
      </c>
      <c r="BK150" s="172">
        <f>MIN(IF($AU150=100%,1,1+VLOOKUP(($AJ150-$AI150-$AH150-$AG150-$AF150-$AE150*(1+BK$3))/$AJ150,'Технический лист'!$I:$J,2,1)-VLOOKUP($AO150,'Технический лист'!$I:$J,2,1)),1+(1-$AU150))</f>
        <v/>
      </c>
      <c r="BL150" s="172">
        <f>MIN(IF($AU150=100%,1,1+VLOOKUP(($AJ150-$AI150-$AH150-$AG150-$AF150-$AE150*(1+BL$3))/$AJ150,'Технический лист'!$I:$J,2,1)-VLOOKUP($AO150,'Технический лист'!$I:$J,2,1)),1+(1-$AU150))</f>
        <v/>
      </c>
      <c r="BM150" s="172">
        <f>MIN(IF($AU150=100%,1,1+VLOOKUP(($AJ150-$AI150-$AH150-$AG150-$AF150-$AE150*(1+BM$3))/$AJ150,'Технический лист'!$I:$J,2,1)-VLOOKUP($AO150,'Технический лист'!$I:$J,2,1)),1+(1-$AU150))</f>
        <v/>
      </c>
      <c r="BN150" s="172">
        <f>MIN(IF($AU150=100%,1,1+VLOOKUP(($AJ150-$AI150-$AH150-$AG150-$AF150-$AE150*(1+BN$3))/$AJ150,'Технический лист'!$I:$J,2,1)-VLOOKUP($AO150,'Технический лист'!$I:$J,2,1)),1+(1-$AU150))</f>
        <v/>
      </c>
      <c r="BO150" s="172">
        <f>MIN(IF($AU150=100%,1,1+VLOOKUP(($AJ150-$AI150-$AH150-$AG150-$AF150-$AE150*(1+BO$3))/$AJ150,'Технический лист'!$I:$J,2,1)-VLOOKUP($AO150,'Технический лист'!$I:$J,2,1)),1+(1-$AU150))</f>
        <v/>
      </c>
      <c r="BP150" s="172">
        <f>MIN(IF($AU150=100%,1,1+VLOOKUP(($AJ150-$AI150-$AH150-$AG150-$AF150-$AE150*(1+BP$3))/$AJ150,'Технический лист'!$I:$J,2,1)-VLOOKUP($AO150,'Технический лист'!$I:$J,2,1)),1+(1-$AU150))</f>
        <v/>
      </c>
      <c r="BQ150" s="172">
        <f>MIN(IF($AU150=100%,1,1+VLOOKUP(($AJ150-$AI150-$AH150-$AG150-$AF150-$AE150*(1+BQ$3))/$AJ150,'Технический лист'!$I:$J,2,1)-VLOOKUP($AO150,'Технический лист'!$I:$J,2,1)),1+(1-$AU150))</f>
        <v/>
      </c>
      <c r="BR150" s="172">
        <f>MIN(IF($AU150=100%,1,1+VLOOKUP(($AJ150-$AI150-$AH150-$AG150-$AF150-$AE150*(1+BR$3))/$AJ150,'Технический лист'!$I:$J,2,1)-VLOOKUP($AO150,'Технический лист'!$I:$J,2,1)),1+(1-$AU150))</f>
        <v/>
      </c>
      <c r="BS150" s="172">
        <f>MIN(IF($AU150=100%,1,1+VLOOKUP(($AJ150-$AI150-$AH150-$AG150-$AF150-$AE150*(1+BS$3))/$AJ150,'Технический лист'!$I:$J,2,1)-VLOOKUP($AO150,'Технический лист'!$I:$J,2,1)),1+(1-$AU150))</f>
        <v/>
      </c>
      <c r="BT150" s="172">
        <f>MIN(IF($AU150=100%,1,1+VLOOKUP(($AJ150-$AI150-$AH150-$AG150-$AF150-$AE150*(1+BT$3))/$AJ150,'Технический лист'!$I:$J,2,1)-VLOOKUP($AO150,'Технический лист'!$I:$J,2,1)),1+(1-$AU150))</f>
        <v/>
      </c>
      <c r="BU150" s="172">
        <f>MIN(IF($AU150=100%,1,1+VLOOKUP(($AJ150-$AI150-$AH150-$AG150-$AF150-$AE150*(1+BU$3))/$AJ150,'Технический лист'!$I:$J,2,1)-VLOOKUP($AO150,'Технический лист'!$I:$J,2,1)),1+(1-$AU150))</f>
        <v/>
      </c>
      <c r="BV150" s="172">
        <f>MIN(IF($AU150=100%,1,1+VLOOKUP(($AJ150-$AI150-$AH150-$AG150-$AF150-$AE150*(1+BV$3))/$AJ150,'Технический лист'!$I:$J,2,1)-VLOOKUP($AO150,'Технический лист'!$I:$J,2,1)),1+(1-$AU150))</f>
        <v/>
      </c>
      <c r="BW150" s="172">
        <f>MIN(IF($AU150=100%,1,1+VLOOKUP(($AJ150-$AI150-$AH150-$AG150-$AF150-$AE150*(1+BW$3))/$AJ150,'Технический лист'!$I:$J,2,1)-VLOOKUP($AO150,'Технический лист'!$I:$J,2,1)),1+(1-$AU150))</f>
        <v/>
      </c>
      <c r="BX150" s="172">
        <f>MIN(IF($AU150=100%,1,1+VLOOKUP(($AJ150-$AI150-$AH150-$AG150-$AF150-$AE150*(1+BX$3))/$AJ150,'Технический лист'!$I:$J,2,1)-VLOOKUP($AO150,'Технический лист'!$I:$J,2,1)),1+(1-$AU150))</f>
        <v/>
      </c>
      <c r="BY150" s="172">
        <f>MIN(IF($AU150=100%,1,1+VLOOKUP(($AJ150-$AI150-$AH150-$AG150-$AF150-$AE150*(1+BY$3))/$AJ150,'Технический лист'!$I:$J,2,1)-VLOOKUP($AO150,'Технический лист'!$I:$J,2,1)),1+(1-$AU150))</f>
        <v/>
      </c>
      <c r="BZ150" s="172">
        <f>MIN(IF($AU150=100%,1,1+VLOOKUP(($AJ150-$AI150-$AH150-$AG150-$AF150-$AE150*(1+BZ$3))/$AJ150,'Технический лист'!$I:$J,2,1)-VLOOKUP($AO150,'Технический лист'!$I:$J,2,1)),1+(1-$AU150))</f>
        <v/>
      </c>
      <c r="CA150" s="172">
        <f>MIN(IF($AU150=100%,1,1+VLOOKUP(($AJ150-$AI150-$AH150-$AG150-$AF150-$AE150*(1+CA$3))/$AJ150,'Технический лист'!$I:$J,2,1)-VLOOKUP($AO150,'Технический лист'!$I:$J,2,1)),1+(1-$AU150))</f>
        <v/>
      </c>
      <c r="CB150" s="172">
        <f>MIN(IF($AU150=100%,1,1+VLOOKUP(($AJ150-$AI150-$AH150-$AG150-$AF150-$AE150*(1+CB$3))/$AJ150,'Технический лист'!$I:$J,2,1)-VLOOKUP($AO150,'Технический лист'!$I:$J,2,1)),1+(1-$AU150))</f>
        <v/>
      </c>
      <c r="CC150" s="172">
        <f>MIN(IF($AU150=100%,1,1+VLOOKUP(($AJ150-$AI150-$AH150-$AG150-$AF150-$AE150*(1+CC$3))/$AJ150,'Технический лист'!$I:$J,2,1)-VLOOKUP($AO150,'Технический лист'!$I:$J,2,1)),1+(1-$AU150))</f>
        <v/>
      </c>
      <c r="CD150" s="172">
        <f>MIN(IF($AU150=100%,1,1+VLOOKUP(($AJ150-$AI150-$AH150-$AG150-$AF150-$AE150*(1+CD$3))/$AJ150,'Технический лист'!$I:$J,2,1)-VLOOKUP($AO150,'Технический лист'!$I:$J,2,1)),1+(1-$AU150))</f>
        <v/>
      </c>
      <c r="CE150" s="172">
        <f>MIN(IF($AU150=100%,1,1+VLOOKUP(($AJ150-$AI150-$AH150-$AG150-$AF150-$AE150*(1+CE$3))/$AJ150,'Технический лист'!$I:$J,2,1)-VLOOKUP($AO150,'Технический лист'!$I:$J,2,1)),1+(1-$AU150))</f>
        <v/>
      </c>
      <c r="CF150" s="172">
        <f>MIN(IF($AU150=100%,1,1+VLOOKUP(($AJ150-$AI150-$AH150-$AG150-$AF150-$AE150*(1+CF$3))/$AJ150,'Технический лист'!$I:$J,2,1)-VLOOKUP($AO150,'Технический лист'!$I:$J,2,1)),1+(1-$AU150))</f>
        <v/>
      </c>
      <c r="CG150" s="172">
        <f>MIN(IF($AU150=100%,1,1+VLOOKUP(($AJ150-$AI150-$AH150-$AG150-$AF150-$AE150*(1+CG$3))/$AJ150,'Технический лист'!$I:$J,2,1)-VLOOKUP($AO150,'Технический лист'!$I:$J,2,1)),1+(1-$AU150))</f>
        <v/>
      </c>
      <c r="CH150" s="172">
        <f>MIN(IF($AU150=100%,1,1+VLOOKUP(($AJ150-$AI150-$AH150-$AG150-$AF150-$AE150*(1+CH$3))/$AJ150,'Технический лист'!$I:$J,2,1)-VLOOKUP($AO150,'Технический лист'!$I:$J,2,1)),1+(1-$AU150))</f>
        <v/>
      </c>
      <c r="CI150" s="172">
        <f>MIN(IF($AU150=100%,1,1+VLOOKUP(($AJ150-$AI150-$AH150-$AG150-$AF150-$AE150*(1+CI$3))/$AJ150,'Технический лист'!$I:$J,2,1)-VLOOKUP($AO150,'Технический лист'!$I:$J,2,1)),1+(1-$AU150))</f>
        <v/>
      </c>
      <c r="CJ150" s="172">
        <f>MIN(IF($AU150=100%,1,1+VLOOKUP(($AJ150-$AI150-$AH150-$AG150-$AF150-$AE150*(1+CJ$3))/$AJ150,'Технический лист'!$I:$J,2,1)-VLOOKUP($AO150,'Технический лист'!$I:$J,2,1)),1+(1-$AU150))</f>
        <v/>
      </c>
      <c r="CK150" s="172">
        <f>MIN(IF($AU150=100%,1,1+VLOOKUP(($AJ150-$AI150-$AH150-$AG150-$AF150-$AE150*(1+CK$3))/$AJ150,'Технический лист'!$I:$J,2,1)-VLOOKUP($AO150,'Технический лист'!$I:$J,2,1)),1+(1-$AU150))</f>
        <v/>
      </c>
      <c r="CL150" s="172">
        <f>MIN(IF($AU150=100%,1,1+VLOOKUP(($AJ150-$AI150-$AH150-$AG150-$AF150-$AE150*(1+CL$3))/$AJ150,'Технический лист'!$I:$J,2,1)-VLOOKUP($AO150,'Технический лист'!$I:$J,2,1)),1+(1-$AU150))</f>
        <v/>
      </c>
      <c r="CM150" s="172">
        <f>MIN(IF($AU150=100%,1,1+VLOOKUP(($AJ150-$AI150-$AH150-$AG150-$AF150-$AE150*(1+CM$3))/$AJ150,'Технический лист'!$I:$J,2,1)-VLOOKUP($AO150,'Технический лист'!$I:$J,2,1)),1+(1-$AU150))</f>
        <v/>
      </c>
      <c r="CN150" s="172">
        <f>MIN(IF($AU150=100%,1,1+VLOOKUP(($AJ150-$AI150-$AH150-$AG150-$AF150-$AE150*(1+CN$3))/$AJ150,'Технический лист'!$I:$J,2,1)-VLOOKUP($AO150,'Технический лист'!$I:$J,2,1)),1+(1-$AU150))</f>
        <v/>
      </c>
      <c r="CO150" s="172">
        <f>MIN(IF($AU150=100%,1,1+VLOOKUP(($AJ150-$AI150-$AH150-$AG150-$AF150-$AE150*(1+CO$3))/$AJ150,'Технический лист'!$I:$J,2,1)-VLOOKUP($AO150,'Технический лист'!$I:$J,2,1)),1+(1-$AU150))</f>
        <v/>
      </c>
      <c r="CP150" s="172">
        <f>MIN(IF($AU150=100%,1,1+VLOOKUP(($AJ150-$AI150-$AH150-$AG150-$AF150-$AE150*(1+CP$3))/$AJ150,'Технический лист'!$I:$J,2,1)-VLOOKUP($AO150,'Технический лист'!$I:$J,2,1)),1+(1-$AU150))</f>
        <v/>
      </c>
      <c r="CQ150" s="172">
        <f>MIN(IF($AU150=100%,1,1+VLOOKUP(($AJ150-$AI150-$AH150-$AG150-$AF150-$AE150*(1+CQ$3))/$AJ150,'Технический лист'!$I:$J,2,1)-VLOOKUP($AO150,'Технический лист'!$I:$J,2,1)),1+(1-$AU150))</f>
        <v/>
      </c>
      <c r="CR150" s="172">
        <f>MIN(IF($AU150=100%,1,1+VLOOKUP(($AJ150-$AI150-$AH150-$AG150-$AF150-$AE150*(1+CR$3))/$AJ150,'Технический лист'!$I:$J,2,1)-VLOOKUP($AO150,'Технический лист'!$I:$J,2,1)),1+(1-$AU150))</f>
        <v/>
      </c>
      <c r="CS150" s="172">
        <f>MIN(IF($AU150=100%,1,1+VLOOKUP(($AJ150-$AI150-$AH150-$AG150-$AF150-$AE150*(1+CS$3))/$AJ150,'Технический лист'!$I:$J,2,1)-VLOOKUP($AO150,'Технический лист'!$I:$J,2,1)),1+(1-$AU150))</f>
        <v/>
      </c>
      <c r="CT150" s="172">
        <f>MIN(IF($AU150=100%,1,1+VLOOKUP(($AJ150-$AI150-$AH150-$AG150-$AF150-$AE150*(1+CT$3))/$AJ150,'Технический лист'!$I:$J,2,1)-VLOOKUP($AO150,'Технический лист'!$I:$J,2,1)),1+(1-$AU150))</f>
        <v/>
      </c>
      <c r="CU150" s="172">
        <f>MIN(IF($AU150=100%,1,1+VLOOKUP(($AJ150-$AI150-$AH150-$AG150-$AF150-$AE150*(1+CU$3))/$AJ150,'Технический лист'!$I:$J,2,1)-VLOOKUP($AO150,'Технический лист'!$I:$J,2,1)),1+(1-$AU150))</f>
        <v/>
      </c>
      <c r="CV150" s="172">
        <f>MIN(IF($AU150=100%,1,1+VLOOKUP(($AJ150-$AI150-$AH150-$AG150-$AF150-$AE150*(1+CV$3))/$AJ150,'Технический лист'!$I:$J,2,1)-VLOOKUP($AO150,'Технический лист'!$I:$J,2,1)),1+(1-$AU150))</f>
        <v/>
      </c>
      <c r="CW150" s="172">
        <f>MIN(IF($AU150=100%,1,1+VLOOKUP(($AJ150-$AI150-$AH150-$AG150-$AF150-$AE150*(1+CW$3))/$AJ150,'Технический лист'!$I:$J,2,1)-VLOOKUP($AO150,'Технический лист'!$I:$J,2,1)),1+(1-$AU150))</f>
        <v/>
      </c>
      <c r="CX150" s="172">
        <f>MIN(IF($AU150=100%,1,1+VLOOKUP(($AJ150-$AI150-$AH150-$AG150-$AF150-$AE150*(1+CX$3))/$AJ150,'Технический лист'!$I:$J,2,1)-VLOOKUP($AO150,'Технический лист'!$I:$J,2,1)),1+(1-$AU150))</f>
        <v/>
      </c>
      <c r="CY150" s="172">
        <f>MIN(IF($AU150=100%,1,1+VLOOKUP(($AJ150-$AI150-$AH150-$AG150-$AF150-$AE150*(1+CY$3))/$AJ150,'Технический лист'!$I:$J,2,1)-VLOOKUP($AO150,'Технический лист'!$I:$J,2,1)),1+(1-$AU150))</f>
        <v/>
      </c>
      <c r="CZ150" s="172">
        <f>MIN(IF($AU150=100%,1,1+VLOOKUP(($AJ150-$AI150-$AH150-$AG150-$AF150-$AE150*(1+CZ$3))/$AJ150,'Технический лист'!$I:$J,2,1)-VLOOKUP($AO150,'Технический лист'!$I:$J,2,1)),1+(1-$AU150))</f>
        <v/>
      </c>
      <c r="DA150" s="172">
        <f>MIN(IF($AU150=100%,1,1+VLOOKUP(($AJ150-$AI150-$AH150-$AG150-$AF150-$AE150*(1+DA$3))/$AJ150,'Технический лист'!$I:$J,2,1)-VLOOKUP($AO150,'Технический лист'!$I:$J,2,1)),1+(1-$AU150))</f>
        <v/>
      </c>
      <c r="DB150" s="172">
        <f>MIN(IF($AU150=100%,1,1+VLOOKUP(($AJ150-$AI150-$AH150-$AG150-$AF150-$AE150*(1+DB$3))/$AJ150,'Технический лист'!$I:$J,2,1)-VLOOKUP($AO150,'Технический лист'!$I:$J,2,1)),1+(1-$AU150))</f>
        <v/>
      </c>
      <c r="DC150" s="172">
        <f>MIN(IF($AU150=100%,1,1+VLOOKUP(($AJ150-$AI150-$AH150-$AG150-$AF150-$AE150*(1+DC$3))/$AJ150,'Технический лист'!$I:$J,2,1)-VLOOKUP($AO150,'Технический лист'!$I:$J,2,1)),1+(1-$AU150))</f>
        <v/>
      </c>
      <c r="DD150" s="172">
        <f>MIN(IF($AU150=100%,1,1+VLOOKUP(($AJ150-$AI150-$AH150-$AG150-$AF150-$AE150*(1+DD$3))/$AJ150,'Технический лист'!$I:$J,2,1)-VLOOKUP($AO150,'Технический лист'!$I:$J,2,1)),1+(1-$AU150))</f>
        <v/>
      </c>
      <c r="DE150" s="172">
        <f>MIN(IF($AU150=100%,1,1+VLOOKUP(($AJ150-$AI150-$AH150-$AG150-$AF150-$AE150*(1+DE$3))/$AJ150,'Технический лист'!$I:$J,2,1)-VLOOKUP($AO150,'Технический лист'!$I:$J,2,1)),1+(1-$AU150))</f>
        <v/>
      </c>
      <c r="DF150" s="172">
        <f>MIN(IF($AU150=100%,1,1+VLOOKUP(($AJ150-$AI150-$AH150-$AG150-$AF150-$AE150*(1+DF$3))/$AJ150,'Технический лист'!$I:$J,2,1)-VLOOKUP($AO150,'Технический лист'!$I:$J,2,1)),1+(1-$AU150))</f>
        <v/>
      </c>
      <c r="DG150" s="172">
        <f>MIN(IF($AU150=100%,1,1+VLOOKUP(($AJ150-$AI150-$AH150-$AG150-$AF150-$AE150*(1+DG$3))/$AJ150,'Технический лист'!$I:$J,2,1)-VLOOKUP($AO150,'Технический лист'!$I:$J,2,1)),1+(1-$AU150))</f>
        <v/>
      </c>
      <c r="DH150" s="172">
        <f>MIN(IF($AU150=100%,1,1+VLOOKUP(($AJ150-$AI150-$AH150-$AG150-$AF150-$AE150*(1+DH$3))/$AJ150,'Технический лист'!$I:$J,2,1)-VLOOKUP($AO150,'Технический лист'!$I:$J,2,1)),1+(1-$AU150))</f>
        <v/>
      </c>
      <c r="DI150" s="172">
        <f>MIN(IF($AU150=100%,1,1+VLOOKUP(($AJ150-$AI150-$AH150-$AG150-$AF150-$AE150*(1+DI$3))/$AJ150,'Технический лист'!$I:$J,2,1)-VLOOKUP($AO150,'Технический лист'!$I:$J,2,1)),1+(1-$AU150))</f>
        <v/>
      </c>
      <c r="DJ150" s="172">
        <f>MIN(IF($AU150=100%,1,1+VLOOKUP(($AJ150-$AI150-$AH150-$AG150-$AF150-$AE150*(1+DJ$3))/$AJ150,'Технический лист'!$I:$J,2,1)-VLOOKUP($AO150,'Технический лист'!$I:$J,2,1)),1+(1-$AU150))</f>
        <v/>
      </c>
      <c r="DK150" s="172">
        <f>MIN(IF($AU150=100%,1,1+VLOOKUP(($AJ150-$AI150-$AH150-$AG150-$AF150-$AE150*(1+DK$3))/$AJ150,'Технический лист'!$I:$J,2,1)-VLOOKUP($AO150,'Технический лист'!$I:$J,2,1)),1+(1-$AU150))</f>
        <v/>
      </c>
      <c r="DL150" s="172">
        <f>MIN(IF($AU150=100%,1,1+VLOOKUP(($AJ150-$AI150-$AH150-$AG150-$AF150-$AE150*(1+DL$3))/$AJ150,'Технический лист'!$I:$J,2,1)-VLOOKUP($AO150,'Технический лист'!$I:$J,2,1)),1+(1-$AU150))</f>
        <v/>
      </c>
      <c r="DM150" s="172">
        <f>MIN(IF($AU150=100%,1,1+VLOOKUP(($AJ150-$AI150-$AH150-$AG150-$AF150-$AE150*(1+DM$3))/$AJ150,'Технический лист'!$I:$J,2,1)-VLOOKUP($AO150,'Технический лист'!$I:$J,2,1)),1+(1-$AU150))</f>
        <v/>
      </c>
      <c r="DN150" s="172">
        <f>MIN(IF($AU150=100%,1,1+VLOOKUP(($AJ150-$AI150-$AH150-$AG150-$AF150-$AE150*(1+DN$3))/$AJ150,'Технический лист'!$I:$J,2,1)-VLOOKUP($AO150,'Технический лист'!$I:$J,2,1)),1+(1-$AU150))</f>
        <v/>
      </c>
      <c r="DO150" s="172">
        <f>MIN(IF($AU150=100%,1,1+VLOOKUP(($AJ150-$AI150-$AH150-$AG150-$AF150-$AE150*(1+DO$3))/$AJ150,'Технический лист'!$I:$J,2,1)-VLOOKUP($AO150,'Технический лист'!$I:$J,2,1)),1+(1-$AU150))</f>
        <v/>
      </c>
      <c r="DP150" s="172">
        <f>MIN(IF($AU150=100%,1,1+VLOOKUP(($AJ150-$AI150-$AH150-$AG150-$AF150-$AE150*(1+DP$3))/$AJ150,'Технический лист'!$I:$J,2,1)-VLOOKUP($AO150,'Технический лист'!$I:$J,2,1)),1+(1-$AU150))</f>
        <v/>
      </c>
      <c r="DQ150" s="172">
        <f>MIN(IF($AU150=100%,1,1+VLOOKUP(($AJ150-$AI150-$AH150-$AG150-$AF150-$AE150*(1+DQ$3))/$AJ150,'Технический лист'!$I:$J,2,1)-VLOOKUP($AO150,'Технический лист'!$I:$J,2,1)),1+(1-$AU150))</f>
        <v/>
      </c>
      <c r="DR150" s="172">
        <f>MIN(IF($AU150=100%,1,1+VLOOKUP(($AJ150-$AI150-$AH150-$AG150-$AF150-$AE150*(1+DR$3))/$AJ150,'Технический лист'!$I:$J,2,1)-VLOOKUP($AO150,'Технический лист'!$I:$J,2,1)),1+(1-$AU150))</f>
        <v/>
      </c>
      <c r="DS150" s="172">
        <f>MIN(IF($AU150=100%,1,1+VLOOKUP(($AJ150-$AI150-$AH150-$AG150-$AF150-$AE150*(1+DS$3))/$AJ150,'Технический лист'!$I:$J,2,1)-VLOOKUP($AO150,'Технический лист'!$I:$J,2,1)),1+(1-$AU150))</f>
        <v/>
      </c>
      <c r="DT150" s="172">
        <f>MIN(IF($AU150=100%,1,1+VLOOKUP(($AJ150-$AI150-$AH150-$AG150-$AF150-$AE150*(1+DT$3))/$AJ150,'Технический лист'!$I:$J,2,1)-VLOOKUP($AO150,'Технический лист'!$I:$J,2,1)),1+(1-$AU150))</f>
        <v/>
      </c>
      <c r="DU150" s="172">
        <f>MIN(IF($AU150=100%,1,1+VLOOKUP(($AJ150-$AI150-$AH150-$AG150-$AF150-$AE150*(1+DU$3))/$AJ150,'Технический лист'!$I:$J,2,1)-VLOOKUP($AO150,'Технический лист'!$I:$J,2,1)),1+(1-$AU150))</f>
        <v/>
      </c>
      <c r="DV150" s="172">
        <f>MIN(IF($AU150=100%,1,1+VLOOKUP(($AJ150-$AI150-$AH150-$AG150-$AF150-$AE150*(1+DV$3))/$AJ150,'Технический лист'!$I:$J,2,1)-VLOOKUP($AO150,'Технический лист'!$I:$J,2,1)),1+(1-$AU150))</f>
        <v/>
      </c>
      <c r="DW150" s="172">
        <f>MIN(IF($AU150=100%,1,1+VLOOKUP(($AJ150-$AI150-$AH150-$AG150-$AF150-$AE150*(1+DW$3))/$AJ150,'Технический лист'!$I:$J,2,1)-VLOOKUP($AO150,'Технический лист'!$I:$J,2,1)),1+(1-$AU150))</f>
        <v/>
      </c>
      <c r="DX150" s="172">
        <f>MIN(IF($AU150=100%,1,1+VLOOKUP(($AJ150-$AI150-$AH150-$AG150-$AF150-$AE150*(1+DX$3))/$AJ150,'Технический лист'!$I:$J,2,1)-VLOOKUP($AO150,'Технический лист'!$I:$J,2,1)),1+(1-$AU150))</f>
        <v/>
      </c>
      <c r="DY150" s="172">
        <f>MIN(IF($AU150=100%,1,1+VLOOKUP(($AJ150-$AI150-$AH150-$AG150-$AF150-$AE150*(1+DY$3))/$AJ150,'Технический лист'!$I:$J,2,1)-VLOOKUP($AO150,'Технический лист'!$I:$J,2,1)),1+(1-$AU150))</f>
        <v/>
      </c>
      <c r="DZ150" s="172">
        <f>MIN(IF($AU150=100%,1,1+VLOOKUP(($AJ150-$AI150-$AH150-$AG150-$AF150-$AE150*(1+DZ$3))/$AJ150,'Технический лист'!$I:$J,2,1)-VLOOKUP($AO150,'Технический лист'!$I:$J,2,1)),1+(1-$AU150))</f>
        <v/>
      </c>
      <c r="EA150" s="172">
        <f>MIN(IF($AU150=100%,1,1+VLOOKUP(($AJ150-$AI150-$AH150-$AG150-$AF150-$AE150*(1+EA$3))/$AJ150,'Технический лист'!$I:$J,2,1)-VLOOKUP($AO150,'Технический лист'!$I:$J,2,1)),1+(1-$AU150))</f>
        <v/>
      </c>
      <c r="EB150" s="172">
        <f>MIN(IF($AU150=100%,1,1+VLOOKUP(($AJ150-$AI150-$AH150-$AG150-$AF150-$AE150*(1+EB$3))/$AJ150,'Технический лист'!$I:$J,2,1)-VLOOKUP($AO150,'Технический лист'!$I:$J,2,1)),1+(1-$AU150))</f>
        <v/>
      </c>
      <c r="EC150" s="172">
        <f>MIN(IF($AU150=100%,1,1+VLOOKUP(($AJ150-$AI150-$AH150-$AG150-$AF150-$AE150*(1+EC$3))/$AJ150,'Технический лист'!$I:$J,2,1)-VLOOKUP($AO150,'Технический лист'!$I:$J,2,1)),1+(1-$AU150))</f>
        <v/>
      </c>
      <c r="ED150" s="172">
        <f>MIN(IF($AU150=100%,1,1+VLOOKUP(($AJ150-$AI150-$AH150-$AG150-$AF150-$AE150*(1+ED$3))/$AJ150,'Технический лист'!$I:$J,2,1)-VLOOKUP($AO150,'Технический лист'!$I:$J,2,1)),1+(1-$AU150))</f>
        <v/>
      </c>
      <c r="EE150" s="172">
        <f>MIN(IF($AU150=100%,1,1+VLOOKUP(($AJ150-$AI150-$AH150-$AG150-$AF150-$AE150*(1+EE$3))/$AJ150,'Технический лист'!$I:$J,2,1)-VLOOKUP($AO150,'Технический лист'!$I:$J,2,1)),1+(1-$AU150))</f>
        <v/>
      </c>
      <c r="EF150" s="172">
        <f>MIN(IF($AU150=100%,1,1+VLOOKUP(($AJ150-$AI150-$AH150-$AG150-$AF150-$AE150*(1+EF$3))/$AJ150,'Технический лист'!$I:$J,2,1)-VLOOKUP($AO150,'Технический лист'!$I:$J,2,1)),1+(1-$AU150))</f>
        <v/>
      </c>
      <c r="EG150" s="172">
        <f>MIN(IF($AU150=100%,1,1+VLOOKUP(($AJ150-$AI150-$AH150-$AG150-$AF150-$AE150*(1+EG$3))/$AJ150,'Технический лист'!$I:$J,2,1)-VLOOKUP($AO150,'Технический лист'!$I:$J,2,1)),1+(1-$AU150))</f>
        <v/>
      </c>
      <c r="EH150" s="172">
        <f>MIN(IF($AU150=100%,1,1+VLOOKUP(($AJ150-$AI150-$AH150-$AG150-$AF150-$AE150*(1+EH$3))/$AJ150,'Технический лист'!$I:$J,2,1)-VLOOKUP($AO150,'Технический лист'!$I:$J,2,1)),1+(1-$AU150))</f>
        <v/>
      </c>
      <c r="EI150" s="172">
        <f>MIN(IF($AU150=100%,1,1+VLOOKUP(($AJ150-$AI150-$AH150-$AG150-$AF150-$AE150*(1+EI$3))/$AJ150,'Технический лист'!$I:$J,2,1)-VLOOKUP($AO150,'Технический лист'!$I:$J,2,1)),1+(1-$AU150))</f>
        <v/>
      </c>
      <c r="EJ150" s="172">
        <f>MIN(IF($AU150=100%,1,1+VLOOKUP(($AJ150-$AI150-$AH150-$AG150-$AF150-$AE150*(1+EJ$3))/$AJ150,'Технический лист'!$I:$J,2,1)-VLOOKUP($AO150,'Технический лист'!$I:$J,2,1)),1+(1-$AU150))</f>
        <v/>
      </c>
      <c r="EK150" s="172">
        <f>MIN(IF($AU150=100%,1,1+VLOOKUP(($AJ150-$AI150-$AH150-$AG150-$AF150-$AE150*(1+EK$3))/$AJ150,'Технический лист'!$I:$J,2,1)-VLOOKUP($AO150,'Технический лист'!$I:$J,2,1)),1+(1-$AU150))</f>
        <v/>
      </c>
      <c r="EL150" s="172">
        <f>MIN(IF($AU150=100%,1,1+VLOOKUP(($AJ150-$AI150-$AH150-$AG150-$AF150-$AE150*(1+EL$3))/$AJ150,'Технический лист'!$I:$J,2,1)-VLOOKUP($AO150,'Технический лист'!$I:$J,2,1)),1+(1-$AU150))</f>
        <v/>
      </c>
      <c r="EM150" s="172">
        <f>MIN(IF($AU150=100%,1,1+VLOOKUP(($AJ150-$AI150-$AH150-$AG150-$AF150-$AE150*(1+EM$3))/$AJ150,'Технический лист'!$I:$J,2,1)-VLOOKUP($AO150,'Технический лист'!$I:$J,2,1)),1+(1-$AU150))</f>
        <v/>
      </c>
      <c r="EN150" s="172">
        <f>MIN(IF($AU150=100%,1,1+VLOOKUP(($AJ150-$AI150-$AH150-$AG150-$AF150-$AE150*(1+EN$3))/$AJ150,'Технический лист'!$I:$J,2,1)-VLOOKUP($AO150,'Технический лист'!$I:$J,2,1)),1+(1-$AU150))</f>
        <v/>
      </c>
      <c r="EO150" s="172">
        <f>MIN(IF($AU150=100%,1,1+VLOOKUP(($AJ150-$AI150-$AH150-$AG150-$AF150-$AE150*(1+EO$3))/$AJ150,'Технический лист'!$I:$J,2,1)-VLOOKUP($AO150,'Технический лист'!$I:$J,2,1)),1+(1-$AU150))</f>
        <v/>
      </c>
      <c r="EP150" s="172">
        <f>MIN(IF($AU150=100%,1,1+VLOOKUP(($AJ150-$AI150-$AH150-$AG150-$AF150-$AE150*(1+EP$3))/$AJ150,'Технический лист'!$I:$J,2,1)-VLOOKUP($AO150,'Технический лист'!$I:$J,2,1)),1+(1-$AU150))</f>
        <v/>
      </c>
      <c r="EQ150" s="172">
        <f>MIN(IF($AU150=100%,1,1+VLOOKUP(($AJ150-$AI150-$AH150-$AG150-$AF150-$AE150*(1+EQ$3))/$AJ150,'Технический лист'!$I:$J,2,1)-VLOOKUP($AO150,'Технический лист'!$I:$J,2,1)),1+(1-$AU150))</f>
        <v/>
      </c>
      <c r="ER150" s="172">
        <f>MIN(IF($AU150=100%,1,1+VLOOKUP(($AJ150-$AI150-$AH150-$AG150-$AF150-$AE150*(1+ER$3))/$AJ150,'Технический лист'!$I:$J,2,1)-VLOOKUP($AO150,'Технический лист'!$I:$J,2,1)),1+(1-$AU150))</f>
        <v/>
      </c>
      <c r="ES150" s="172">
        <f>MIN(IF($AU150=100%,1,1+VLOOKUP(($AJ150-$AI150-$AH150-$AG150-$AF150-$AE150*(1+ES$3))/$AJ150,'Технический лист'!$I:$J,2,1)-VLOOKUP($AO150,'Технический лист'!$I:$J,2,1)),1+(1-$AU150))</f>
        <v/>
      </c>
      <c r="ET150" s="172">
        <f>MIN(IF($AU150=100%,1,1+VLOOKUP(($AJ150-$AI150-$AH150-$AG150-$AF150-$AE150*(1+ET$3))/$AJ150,'Технический лист'!$I:$J,2,1)-VLOOKUP($AO150,'Технический лист'!$I:$J,2,1)),1+(1-$AU150))</f>
        <v/>
      </c>
      <c r="EU150" s="172">
        <f>MIN(IF($AU150=100%,1,1+VLOOKUP(($AJ150-$AI150-$AH150-$AG150-$AF150-$AE150*(1+EU$3))/$AJ150,'Технический лист'!$I:$J,2,1)-VLOOKUP($AO150,'Технический лист'!$I:$J,2,1)),1+(1-$AU150))</f>
        <v/>
      </c>
      <c r="EV150" s="173" t="n">
        <v>1</v>
      </c>
      <c r="EW150" s="172">
        <f>MIN(1,MAX(VLOOKUP(($AJ150-$AI150-$AH150-$AG150-$AF150-$AE150*(1+EW$3))/$AJ150,'Технический лист'!$A:$B,2,1),(EV150-0.05)))</f>
        <v/>
      </c>
      <c r="EX150" s="172">
        <f>MIN(1,MAX(VLOOKUP(($AJ150-$AI150-$AH150-$AG150-$AF150-$AE150*(1+EX$3))/$AJ150,'Технический лист'!$A:$B,2,1),(EW150-0.05)))</f>
        <v/>
      </c>
      <c r="EY150" s="172">
        <f>MIN(1,MAX(VLOOKUP(($AJ150-$AI150-$AH150-$AG150-$AF150-$AE150*(1+EY$3))/$AJ150,'Технический лист'!$A:$B,2,1),(EX150-0.05)))</f>
        <v/>
      </c>
      <c r="EZ150" s="172">
        <f>MIN(1,MAX(VLOOKUP(($AJ150-$AI150-$AH150-$AG150-$AF150-$AE150*(1+EZ$3))/$AJ150,'Технический лист'!$A:$B,2,1),(EY150-0.05)))</f>
        <v/>
      </c>
      <c r="FA150" s="172">
        <f>MIN(1,MAX(VLOOKUP(($AJ150-$AI150-$AH150-$AG150-$AF150-$AE150*(1+FA$3))/$AJ150,'Технический лист'!$A:$B,2,1),(EZ150-0.05)))</f>
        <v/>
      </c>
      <c r="FB150" s="172">
        <f>MIN(1,MAX(VLOOKUP(($AJ150-$AI150-$AH150-$AG150-$AF150-$AE150*(1+FB$3))/$AJ150,'Технический лист'!$A:$B,2,1),(FA150-0.05)))</f>
        <v/>
      </c>
      <c r="FC150" s="172">
        <f>MIN(1,MAX(VLOOKUP(($AJ150-$AI150-$AH150-$AG150-$AF150-$AE150*(1+FC$3))/$AJ150,'Технический лист'!$A:$B,2,1),(FB150-0.05)))</f>
        <v/>
      </c>
      <c r="FD150" s="172">
        <f>MIN(1,MAX(VLOOKUP(($AJ150-$AI150-$AH150-$AG150-$AF150-$AE150*(1+FD$3))/$AJ150,'Технический лист'!$A:$B,2,1),(FC150-0.05)))</f>
        <v/>
      </c>
      <c r="FE150" s="172">
        <f>MIN(1,MAX(VLOOKUP(($AJ150-$AI150-$AH150-$AG150-$AF150-$AE150*(1+FE$3))/$AJ150,'Технический лист'!$A:$B,2,1),(FD150-0.05)))</f>
        <v/>
      </c>
      <c r="FF150" s="172">
        <f>MIN(1,MAX(VLOOKUP(($AJ150-$AI150-$AH150-$AG150-$AF150-$AE150*(1+FF$3))/$AJ150,'Технический лист'!$A:$B,2,1),(FE150-0.05)))</f>
        <v/>
      </c>
      <c r="FG150" s="172">
        <f>MIN(1,MAX(VLOOKUP(($AJ150-$AI150-$AH150-$AG150-$AF150-$AE150*(1+FG$3))/$AJ150,'Технический лист'!$A:$B,2,1),(FF150-0.05)))</f>
        <v/>
      </c>
      <c r="FH150" s="172">
        <f>MIN(1,MAX(VLOOKUP(($AJ150-$AI150-$AH150-$AG150-$AF150-$AE150*(1+FH$3))/$AJ150,'Технический лист'!$A:$B,2,1),(FG150-0.05)))</f>
        <v/>
      </c>
      <c r="FI150" s="172">
        <f>MIN(1,MAX(VLOOKUP(($AJ150-$AI150-$AH150-$AG150-$AF150-$AE150*(1+FI$3))/$AJ150,'Технический лист'!$A:$B,2,1),(FH150-0.05)))</f>
        <v/>
      </c>
      <c r="FJ150" s="172">
        <f>MIN(1,MAX(VLOOKUP(($AJ150-$AI150-$AH150-$AG150-$AF150-$AE150*(1+FJ$3))/$AJ150,'Технический лист'!$A:$B,2,1),(FI150-0.05)))</f>
        <v/>
      </c>
      <c r="FK150" s="172">
        <f>MIN(1,MAX(VLOOKUP(($AJ150-$AI150-$AH150-$AG150-$AF150-$AE150*(1+FK$3))/$AJ150,'Технический лист'!$A:$B,2,1),(FJ150-0.05)))</f>
        <v/>
      </c>
      <c r="FL150" s="172">
        <f>MIN(1,MAX(VLOOKUP(($AJ150-$AI150-$AH150-$AG150-$AF150-$AE150*(1+FL$3))/$AJ150,'Технический лист'!$A:$B,2,1),(FK150-0.05)))</f>
        <v/>
      </c>
      <c r="FM150" s="172">
        <f>MIN(1,MAX(VLOOKUP(($AJ150-$AI150-$AH150-$AG150-$AF150-$AE150*(1+FM$3))/$AJ150,'Технический лист'!$A:$B,2,1),(FL150-0.05)))</f>
        <v/>
      </c>
      <c r="FN150" s="172">
        <f>MIN(1,MAX(VLOOKUP(($AJ150-$AI150-$AH150-$AG150-$AF150-$AE150*(1+FN$3))/$AJ150,'Технический лист'!$A:$B,2,1),(FM150-0.05)))</f>
        <v/>
      </c>
      <c r="FO150" s="172">
        <f>MIN(1,MAX(VLOOKUP(($AJ150-$AI150-$AH150-$AG150-$AF150-$AE150*(1+FO$3))/$AJ150,'Технический лист'!$A:$B,2,1),(FN150-0.05)))</f>
        <v/>
      </c>
      <c r="FP150" s="172">
        <f>MIN(1,MAX(VLOOKUP(($AJ150-$AI150-$AH150-$AG150-$AF150-$AE150*(1+FP$3))/$AJ150,'Технический лист'!$A:$B,2,1),(FO150-0.05)))</f>
        <v/>
      </c>
      <c r="FQ150" s="172">
        <f>MIN(1,MAX(VLOOKUP(($AJ150-$AI150-$AH150-$AG150-$AF150-$AE150*(1+FQ$3))/$AJ150,'Технический лист'!$A:$B,2,1),(FP150-0.05)))</f>
        <v/>
      </c>
      <c r="FR150" s="172">
        <f>MIN(1,MAX(VLOOKUP(($AJ150-$AI150-$AH150-$AG150-$AF150-$AE150*(1+FR$3))/$AJ150,'Технический лист'!$A:$B,2,1),(FQ150-0.05)))</f>
        <v/>
      </c>
      <c r="FS150" s="172">
        <f>MIN(1,MAX(VLOOKUP(($AJ150-$AI150-$AH150-$AG150-$AF150-$AE150*(1+FS$3))/$AJ150,'Технический лист'!$A:$B,2,1),(FR150-0.05)))</f>
        <v/>
      </c>
      <c r="FT150" s="172">
        <f>MIN(1,MAX(VLOOKUP(($AJ150-$AI150-$AH150-$AG150-$AF150-$AE150*(1+FT$3))/$AJ150,'Технический лист'!$A:$B,2,1),(FS150-0.05)))</f>
        <v/>
      </c>
      <c r="FU150" s="172">
        <f>MIN(1,MAX(VLOOKUP(($AJ150-$AI150-$AH150-$AG150-$AF150-$AE150*(1+FU$3))/$AJ150,'Технический лист'!$A:$B,2,1),(FT150-0.05)))</f>
        <v/>
      </c>
      <c r="FV150" s="172">
        <f>MIN(1,MAX(VLOOKUP(($AJ150-$AI150-$AH150-$AG150-$AF150-$AE150*(1+FV$3))/$AJ150,'Технический лист'!$A:$B,2,1),(FU150-0.05)))</f>
        <v/>
      </c>
      <c r="FW150" s="172">
        <f>MIN(1,MAX(VLOOKUP(($AJ150-$AI150-$AH150-$AG150-$AF150-$AE150*(1+FW$3))/$AJ150,'Технический лист'!$A:$B,2,1),(FV150-0.05)))</f>
        <v/>
      </c>
      <c r="FX150" s="172">
        <f>MIN(1,MAX(VLOOKUP(($AJ150-$AI150-$AH150-$AG150-$AF150-$AE150*(1+FX$3))/$AJ150,'Технический лист'!$A:$B,2,1),(FW150-0.05)))</f>
        <v/>
      </c>
      <c r="FY150" s="172">
        <f>MIN(1,MAX(VLOOKUP(($AJ150-$AI150-$AH150-$AG150-$AF150-$AE150*(1+FY$3))/$AJ150,'Технический лист'!$A:$B,2,1),(FX150-0.05)))</f>
        <v/>
      </c>
      <c r="FZ150" s="172">
        <f>MIN(1,MAX(VLOOKUP(($AJ150-$AI150-$AH150-$AG150-$AF150-$AE150*(1+FZ$3))/$AJ150,'Технический лист'!$A:$B,2,1),(FY150-0.05)))</f>
        <v/>
      </c>
      <c r="GA150" s="172">
        <f>MIN(1,MAX(VLOOKUP(($AJ150-$AI150-$AH150-$AG150-$AF150-$AE150*(1+GA$3))/$AJ150,'Технический лист'!$A:$B,2,1),(FZ150-0.05)))</f>
        <v/>
      </c>
      <c r="GB150" s="172">
        <f>MIN(1,MAX(VLOOKUP(($AJ150-$AI150-$AH150-$AG150-$AF150-$AE150*(1+GB$3))/$AJ150,'Технический лист'!$A:$B,2,1),(GA150-0.05)))</f>
        <v/>
      </c>
      <c r="GC150" s="172">
        <f>MIN(1,MAX(VLOOKUP(($AJ150-$AI150-$AH150-$AG150-$AF150-$AE150*(1+GC$3))/$AJ150,'Технический лист'!$A:$B,2,1),(GB150-0.05)))</f>
        <v/>
      </c>
      <c r="GD150" s="172">
        <f>MIN(1,MAX(VLOOKUP(($AJ150-$AI150-$AH150-$AG150-$AF150-$AE150*(1+GD$3))/$AJ150,'Технический лист'!$A:$B,2,1),(GC150-0.05)))</f>
        <v/>
      </c>
      <c r="GE150" s="172">
        <f>MIN(1,MAX(VLOOKUP(($AJ150-$AI150-$AH150-$AG150-$AF150-$AE150*(1+GE$3))/$AJ150,'Технический лист'!$A:$B,2,1),(GD150-0.05)))</f>
        <v/>
      </c>
      <c r="GF150" s="172">
        <f>MIN(1,MAX(VLOOKUP(($AJ150-$AI150-$AH150-$AG150-$AF150-$AE150*(1+GF$3))/$AJ150,'Технический лист'!$A:$B,2,1),(GE150-0.05)))</f>
        <v/>
      </c>
      <c r="GG150" s="172">
        <f>MIN(1,MAX(VLOOKUP(($AJ150-$AI150-$AH150-$AG150-$AF150-$AE150*(1+GG$3))/$AJ150,'Технический лист'!$A:$B,2,1),(GF150-0.05)))</f>
        <v/>
      </c>
      <c r="GH150" s="172">
        <f>MIN(1,MAX(VLOOKUP(($AJ150-$AI150-$AH150-$AG150-$AF150-$AE150*(1+GH$3))/$AJ150,'Технический лист'!$A:$B,2,1),(GG150-0.05)))</f>
        <v/>
      </c>
      <c r="GI150" s="172">
        <f>MIN(1,MAX(VLOOKUP(($AJ150-$AI150-$AH150-$AG150-$AF150-$AE150*(1+GI$3))/$AJ150,'Технический лист'!$A:$B,2,1),(GH150-0.05)))</f>
        <v/>
      </c>
      <c r="GJ150" s="172">
        <f>MIN(1,MAX(VLOOKUP(($AJ150-$AI150-$AH150-$AG150-$AF150-$AE150*(1+GJ$3))/$AJ150,'Технический лист'!$A:$B,2,1),(GI150-0.05)))</f>
        <v/>
      </c>
      <c r="GK150" s="172">
        <f>MIN(1,MAX(VLOOKUP(($AJ150-$AI150-$AH150-$AG150-$AF150-$AE150*(1+GK$3))/$AJ150,'Технический лист'!$A:$B,2,1),(GJ150-0.05)))</f>
        <v/>
      </c>
      <c r="GL150" s="172">
        <f>MIN(1,MAX(VLOOKUP(($AJ150-$AI150-$AH150-$AG150-$AF150-$AE150*(1+GL$3))/$AJ150,'Технический лист'!$A:$B,2,1),(GK150-0.05)))</f>
        <v/>
      </c>
      <c r="GM150" s="172">
        <f>MIN(1,MAX(VLOOKUP(($AJ150-$AI150-$AH150-$AG150-$AF150-$AE150*(1+GM$3))/$AJ150,'Технический лист'!$A:$B,2,1),(GL150-0.05)))</f>
        <v/>
      </c>
      <c r="GN150" s="172">
        <f>MIN(1,MAX(VLOOKUP(($AJ150-$AI150-$AH150-$AG150-$AF150-$AE150*(1+GN$3))/$AJ150,'Технический лист'!$A:$B,2,1),(GM150-0.05)))</f>
        <v/>
      </c>
      <c r="GO150" s="172">
        <f>MIN(1,MAX(VLOOKUP(($AJ150-$AI150-$AH150-$AG150-$AF150-$AE150*(1+GO$3))/$AJ150,'Технический лист'!$A:$B,2,1),(GN150-0.05)))</f>
        <v/>
      </c>
      <c r="GP150" s="172">
        <f>MIN(1,MAX(VLOOKUP(($AJ150-$AI150-$AH150-$AG150-$AF150-$AE150*(1+GP$3))/$AJ150,'Технический лист'!$A:$B,2,1),(GO150-0.05)))</f>
        <v/>
      </c>
      <c r="GQ150" s="172">
        <f>MIN(1,MAX(VLOOKUP(($AJ150-$AI150-$AH150-$AG150-$AF150-$AE150*(1+GQ$3))/$AJ150,'Технический лист'!$A:$B,2,1),(GP150-0.05)))</f>
        <v/>
      </c>
      <c r="GR150" s="172">
        <f>MIN(1,MAX(VLOOKUP(($AJ150-$AI150-$AH150-$AG150-$AF150-$AE150*(1+GR$3))/$AJ150,'Технический лист'!$A:$B,2,1),(GQ150-0.05)))</f>
        <v/>
      </c>
      <c r="GS150" s="172">
        <f>MIN(1,MAX(VLOOKUP(($AJ150-$AI150-$AH150-$AG150-$AF150-$AE150*(1+GS$3))/$AJ150,'Технический лист'!$A:$B,2,1),(GR150-0.05)))</f>
        <v/>
      </c>
      <c r="GT150" s="172">
        <f>MIN(1,MAX(VLOOKUP(($AJ150-$AI150-$AH150-$AG150-$AF150-$AE150*(1+GT$3))/$AJ150,'Технический лист'!$A:$B,2,1),(GS150-0.05)))</f>
        <v/>
      </c>
      <c r="GU150" s="172">
        <f>MIN(1,MAX(VLOOKUP(($AJ150-$AI150-$AH150-$AG150-$AF150-$AE150*(1+GU$3))/$AJ150,'Технический лист'!$A:$B,2,1),(GT150-0.05)))</f>
        <v/>
      </c>
      <c r="GV150" s="172">
        <f>MIN(1,MAX(VLOOKUP(($AJ150-$AI150-$AH150-$AG150-$AF150-$AE150*(1+GV$3))/$AJ150,'Технический лист'!$A:$B,2,1),(GU150-0.05)))</f>
        <v/>
      </c>
      <c r="GW150" s="172">
        <f>MIN(1,MAX(VLOOKUP(($AJ150-$AI150-$AH150-$AG150-$AF150-$AE150*(1+GW$3))/$AJ150,'Технический лист'!$A:$B,2,1),(GV150-0.05)))</f>
        <v/>
      </c>
      <c r="GX150" s="172">
        <f>MIN(1,MAX(VLOOKUP(($AJ150-$AI150-$AH150-$AG150-$AF150-$AE150*(1+GX$3))/$AJ150,'Технический лист'!$A:$B,2,1),(GW150-0.05)))</f>
        <v/>
      </c>
      <c r="GY150" s="172">
        <f>MIN(1,MAX(VLOOKUP(($AJ150-$AI150-$AH150-$AG150-$AF150-$AE150*(1+GY$3))/$AJ150,'Технический лист'!$A:$B,2,1),(GX150-0.05)))</f>
        <v/>
      </c>
      <c r="GZ150" s="172">
        <f>MIN(1,MAX(VLOOKUP(($AJ150-$AI150-$AH150-$AG150-$AF150-$AE150*(1+GZ$3))/$AJ150,'Технический лист'!$A:$B,2,1),(GY150-0.05)))</f>
        <v/>
      </c>
      <c r="HA150" s="172">
        <f>MIN(1,MAX(VLOOKUP(($AJ150-$AI150-$AH150-$AG150-$AF150-$AE150*(1+HA$3))/$AJ150,'Технический лист'!$A:$B,2,1),(GZ150-0.05)))</f>
        <v/>
      </c>
      <c r="HB150" s="172">
        <f>MIN(1,MAX(VLOOKUP(($AJ150-$AI150-$AH150-$AG150-$AF150-$AE150*(1+HB$3))/$AJ150,'Технический лист'!$A:$B,2,1),(HA150-0.05)))</f>
        <v/>
      </c>
      <c r="HC150" s="172">
        <f>MIN(1,MAX(VLOOKUP(($AJ150-$AI150-$AH150-$AG150-$AF150-$AE150*(1+HC$3))/$AJ150,'Технический лист'!$A:$B,2,1),(HB150-0.05)))</f>
        <v/>
      </c>
      <c r="HD150" s="172">
        <f>MIN(1,MAX(VLOOKUP(($AJ150-$AI150-$AH150-$AG150-$AF150-$AE150*(1+HD$3))/$AJ150,'Технический лист'!$A:$B,2,1),(HC150-0.05)))</f>
        <v/>
      </c>
      <c r="HE150" s="172">
        <f>MIN(1,MAX(VLOOKUP(($AJ150-$AI150-$AH150-$AG150-$AF150-$AE150*(1+HE$3))/$AJ150,'Технический лист'!$A:$B,2,1),(HD150-0.05)))</f>
        <v/>
      </c>
      <c r="HF150" s="172">
        <f>MIN(1,MAX(VLOOKUP(($AJ150-$AI150-$AH150-$AG150-$AF150-$AE150*(1+HF$3))/$AJ150,'Технический лист'!$A:$B,2,1),(HE150-0.05)))</f>
        <v/>
      </c>
      <c r="HG150" s="172">
        <f>MIN(1,MAX(VLOOKUP(($AJ150-$AI150-$AH150-$AG150-$AF150-$AE150*(1+HG$3))/$AJ150,'Технический лист'!$A:$B,2,1),(HF150-0.05)))</f>
        <v/>
      </c>
      <c r="HH150" s="172">
        <f>MIN(1,MAX(VLOOKUP(($AJ150-$AI150-$AH150-$AG150-$AF150-$AE150*(1+HH$3))/$AJ150,'Технический лист'!$A:$B,2,1),(HG150-0.05)))</f>
        <v/>
      </c>
      <c r="HI150" s="172">
        <f>MIN(1,MAX(VLOOKUP(($AJ150-$AI150-$AH150-$AG150-$AF150-$AE150*(1+HI$3))/$AJ150,'Технический лист'!$A:$B,2,1),(HH150-0.05)))</f>
        <v/>
      </c>
      <c r="HJ150" s="172">
        <f>MIN(1,MAX(VLOOKUP(($AJ150-$AI150-$AH150-$AG150-$AF150-$AE150*(1+HJ$3))/$AJ150,'Технический лист'!$A:$B,2,1),(HI150-0.05)))</f>
        <v/>
      </c>
      <c r="HK150" s="172">
        <f>MIN(1,MAX(VLOOKUP(($AJ150-$AI150-$AH150-$AG150-$AF150-$AE150*(1+HK$3))/$AJ150,'Технический лист'!$A:$B,2,1),(HJ150-0.05)))</f>
        <v/>
      </c>
      <c r="HL150" s="172">
        <f>MIN(1,MAX(VLOOKUP(($AJ150-$AI150-$AH150-$AG150-$AF150-$AE150*(1+HL$3))/$AJ150,'Технический лист'!$A:$B,2,1),(HK150-0.05)))</f>
        <v/>
      </c>
      <c r="HM150" s="172">
        <f>MIN(1,MAX(VLOOKUP(($AJ150-$AI150-$AH150-$AG150-$AF150-$AE150*(1+HM$3))/$AJ150,'Технический лист'!$A:$B,2,1),(HL150-0.05)))</f>
        <v/>
      </c>
      <c r="HN150" s="172">
        <f>MIN(1,MAX(VLOOKUP(($AJ150-$AI150-$AH150-$AG150-$AF150-$AE150*(1+HN$3))/$AJ150,'Технический лист'!$A:$B,2,1),(HM150-0.05)))</f>
        <v/>
      </c>
      <c r="HO150" s="172">
        <f>MIN(1,MAX(VLOOKUP(($AJ150-$AI150-$AH150-$AG150-$AF150-$AE150*(1+HO$3))/$AJ150,'Технический лист'!$A:$B,2,1),(HN150-0.05)))</f>
        <v/>
      </c>
      <c r="HP150" s="172">
        <f>MIN(1,MAX(VLOOKUP(($AJ150-$AI150-$AH150-$AG150-$AF150-$AE150*(1+HP$3))/$AJ150,'Технический лист'!$A:$B,2,1),(HO150-0.05)))</f>
        <v/>
      </c>
      <c r="HQ150" s="172">
        <f>MIN(1,MAX(VLOOKUP(($AJ150-$AI150-$AH150-$AG150-$AF150-$AE150*(1+HQ$3))/$AJ150,'Технический лист'!$A:$B,2,1),(HP150-0.05)))</f>
        <v/>
      </c>
      <c r="HR150" s="172">
        <f>MIN(1,MAX(VLOOKUP(($AJ150-$AI150-$AH150-$AG150-$AF150-$AE150*(1+HR$3))/$AJ150,'Технический лист'!$A:$B,2,1),(HQ150-0.05)))</f>
        <v/>
      </c>
      <c r="HS150" s="172">
        <f>MIN(1,MAX(VLOOKUP(($AJ150-$AI150-$AH150-$AG150-$AF150-$AE150*(1+HS$3))/$AJ150,'Технический лист'!$A:$B,2,1),(HR150-0.05)))</f>
        <v/>
      </c>
      <c r="HT150" s="172">
        <f>MIN(1,MAX(VLOOKUP(($AJ150-$AI150-$AH150-$AG150-$AF150-$AE150*(1+HT$3))/$AJ150,'Технический лист'!$A:$B,2,1),(HS150-0.05)))</f>
        <v/>
      </c>
      <c r="HU150" s="172">
        <f>MIN(1,MAX(VLOOKUP(($AJ150-$AI150-$AH150-$AG150-$AF150-$AE150*(1+HU$3))/$AJ150,'Технический лист'!$A:$B,2,1),(HT150-0.05)))</f>
        <v/>
      </c>
      <c r="HV150" s="172">
        <f>MIN(1,MAX(VLOOKUP(($AJ150-$AI150-$AH150-$AG150-$AF150-$AE150*(1+HV$3))/$AJ150,'Технический лист'!$A:$B,2,1),(HU150-0.05)))</f>
        <v/>
      </c>
      <c r="HW150" s="172">
        <f>MIN(1,MAX(VLOOKUP(($AJ150-$AI150-$AH150-$AG150-$AF150-$AE150*(1+HW$3))/$AJ150,'Технический лист'!$A:$B,2,1),(HV150-0.05)))</f>
        <v/>
      </c>
      <c r="HX150" s="172">
        <f>MIN(1,MAX(VLOOKUP(($AJ150-$AI150-$AH150-$AG150-$AF150-$AE150*(1+HX$3))/$AJ150,'Технический лист'!$A:$B,2,1),(HW150-0.05)))</f>
        <v/>
      </c>
      <c r="HY150" s="172">
        <f>MIN(1,MAX(VLOOKUP(($AJ150-$AI150-$AH150-$AG150-$AF150-$AE150*(1+HY$3))/$AJ150,'Технический лист'!$A:$B,2,1),(HX150-0.05)))</f>
        <v/>
      </c>
      <c r="HZ150" s="172">
        <f>MIN(1,MAX(VLOOKUP(($AJ150-$AI150-$AH150-$AG150-$AF150-$AE150*(1+HZ$3))/$AJ150,'Технический лист'!$A:$B,2,1),(HY150-0.05)))</f>
        <v/>
      </c>
      <c r="IA150" s="172">
        <f>MIN(1,MAX(VLOOKUP(($AJ150-$AI150-$AH150-$AG150-$AF150-$AE150*(1+IA$3))/$AJ150,'Технический лист'!$A:$B,2,1),(HZ150-0.05)))</f>
        <v/>
      </c>
      <c r="IB150" s="172">
        <f>MIN(1,MAX(VLOOKUP(($AJ150-$AI150-$AH150-$AG150-$AF150-$AE150*(1+IB$3))/$AJ150,'Технический лист'!$A:$B,2,1),(IA150-0.05)))</f>
        <v/>
      </c>
      <c r="IC150" s="172">
        <f>MIN(1,MAX(VLOOKUP(($AJ150-$AI150-$AH150-$AG150-$AF150-$AE150*(1+IC$3))/$AJ150,'Технический лист'!$A:$B,2,1),(IB150-0.05)))</f>
        <v/>
      </c>
      <c r="ID150" s="172">
        <f>MIN(1,MAX(VLOOKUP(($AJ150-$AI150-$AH150-$AG150-$AF150-$AE150*(1+ID$3))/$AJ150,'Технический лист'!$A:$B,2,1),(IC150-0.05)))</f>
        <v/>
      </c>
      <c r="IE150" s="172">
        <f>MIN(1,MAX(VLOOKUP(($AJ150-$AI150-$AH150-$AG150-$AF150-$AE150*(1+IE$3))/$AJ150,'Технический лист'!$A:$B,2,1),(ID150-0.05)))</f>
        <v/>
      </c>
      <c r="IF150" s="172">
        <f>MIN(1,MAX(VLOOKUP(($AJ150-$AI150-$AH150-$AG150-$AF150-$AE150*(1+IF$3))/$AJ150,'Технический лист'!$A:$B,2,1),(IE150-0.05)))</f>
        <v/>
      </c>
      <c r="IG150" s="172">
        <f>MIN(1,MAX(VLOOKUP(($AJ150-$AI150-$AH150-$AG150-$AF150-$AE150*(1+IG$3))/$AJ150,'Технический лист'!$A:$B,2,1),(IF150-0.05)))</f>
        <v/>
      </c>
      <c r="IH150" s="172">
        <f>MIN(1,MAX(VLOOKUP(($AJ150-$AI150-$AH150-$AG150-$AF150-$AE150*(1+IH$3))/$AJ150,'Технический лист'!$A:$B,2,1),(IG150-0.05)))</f>
        <v/>
      </c>
      <c r="II150" s="172">
        <f>MIN(1,MAX(VLOOKUP(($AJ150-$AI150-$AH150-$AG150-$AF150-$AE150*(1+II$3))/$AJ150,'Технический лист'!$A:$B,2,1),(IH150-0.05)))</f>
        <v/>
      </c>
      <c r="IJ150" s="172">
        <f>MIN(1,MAX(VLOOKUP(($AJ150-$AI150-$AH150-$AG150-$AF150-$AE150*(1+IJ$3))/$AJ150,'Технический лист'!$A:$B,2,1),(II150-0.05)))</f>
        <v/>
      </c>
      <c r="IK150" s="172">
        <f>MIN(1,MAX(VLOOKUP(($AJ150-$AI150-$AH150-$AG150-$AF150-$AE150*(1+IK$3))/$AJ150,'Технический лист'!$A:$B,2,1),(IJ150-0.05)))</f>
        <v/>
      </c>
      <c r="IL150" s="172">
        <f>MIN(1,MAX(VLOOKUP(($AJ150-$AI150-$AH150-$AG150-$AF150-$AE150*(1+IL$3))/$AJ150,'Технический лист'!$A:$B,2,1),(IK150-0.05)))</f>
        <v/>
      </c>
      <c r="IM150" s="172">
        <f>MIN(1,MAX(VLOOKUP(($AJ150-$AI150-$AH150-$AG150-$AF150-$AE150*(1+IM$3))/$AJ150,'Технический лист'!$A:$B,2,1),(IL150-0.05)))</f>
        <v/>
      </c>
      <c r="IN150" s="172">
        <f>MIN(1,MAX(VLOOKUP(($AJ150-$AI150-$AH150-$AG150-$AF150-$AE150*(1+IN$3))/$AJ150,'Технический лист'!$A:$B,2,1),(IM150-0.05)))</f>
        <v/>
      </c>
      <c r="IO150" s="172">
        <f>MIN(1,MAX(VLOOKUP(($AJ150-$AI150-$AH150-$AG150-$AF150-$AE150*(1+IO$3))/$AJ150,'Технический лист'!$A:$B,2,1),(IN150-0.05)))</f>
        <v/>
      </c>
      <c r="IP150" s="172">
        <f>MIN(1,MAX(VLOOKUP(($AJ150-$AI150-$AH150-$AG150-$AF150-$AE150*(1+IP$3))/$AJ150,'Технический лист'!$A:$B,2,1),(IO150-0.05)))</f>
        <v/>
      </c>
      <c r="IQ150" s="172">
        <f>MIN(1,MAX(VLOOKUP(($AJ150-$AI150-$AH150-$AG150-$AF150-$AE150*(1+IQ$3))/$AJ150,'Технический лист'!$A:$B,2,1),(IP150-0.05)))</f>
        <v/>
      </c>
      <c r="IR150" s="172">
        <f>MIN(1,MAX(VLOOKUP(($AJ150-$AI150-$AH150-$AG150-$AF150-$AE150*(1+IR$3))/$AJ150,'Технический лист'!$A:$B,2,1),(IQ150-0.05)))</f>
        <v/>
      </c>
    </row>
    <row r="151">
      <c r="A151" s="89" t="inlineStr">
        <is>
          <t>ЧМ (продукция)</t>
        </is>
      </c>
      <c r="B151" s="90" t="n">
        <v>10</v>
      </c>
      <c r="C151" s="5" t="inlineStr">
        <is>
          <t>Остальные грузы</t>
        </is>
      </c>
      <c r="D151" s="91" t="n">
        <v>31605</v>
      </c>
      <c r="E151" s="91" t="inlineStr">
        <is>
          <t xml:space="preserve">Лом стальной сборный </t>
        </is>
      </c>
      <c r="F151" s="92" t="inlineStr">
        <is>
          <t>ЛОМ ЧЕРНЫХ МЕТАЛЛОВ</t>
        </is>
      </c>
      <c r="G151" s="91" t="inlineStr">
        <is>
          <t>ЮУР</t>
        </is>
      </c>
      <c r="H151" s="91" t="inlineStr">
        <is>
          <t>ЮУР</t>
        </is>
      </c>
      <c r="I151" s="91" t="inlineStr">
        <is>
          <t>ЭЛЕКТРОСТАН.</t>
        </is>
      </c>
      <c r="J151" s="91" t="inlineStr">
        <is>
          <t>МАГНИТОГ-ГР</t>
        </is>
      </c>
      <c r="K151" s="91" t="n">
        <v>408</v>
      </c>
      <c r="L151" s="91" t="inlineStr">
        <is>
          <t>Полувагоны</t>
        </is>
      </c>
      <c r="M151" s="91" t="inlineStr">
        <is>
          <t>Внутр. перевозки</t>
        </is>
      </c>
      <c r="N151" s="91" t="inlineStr">
        <is>
          <t>вагонная</t>
        </is>
      </c>
      <c r="O151" s="91" t="inlineStr">
        <is>
          <t xml:space="preserve">Южное </t>
        </is>
      </c>
      <c r="P151" s="89" t="inlineStr">
        <is>
          <t>'000000187547</t>
        </is>
      </c>
      <c r="Q151" s="91" t="inlineStr">
        <is>
          <t>ОАО "Челябвтормет"</t>
        </is>
      </c>
      <c r="R151" s="91" t="inlineStr">
        <is>
          <t>ПАО "ММК"</t>
        </is>
      </c>
      <c r="S151" s="87" t="n">
        <v>56004</v>
      </c>
      <c r="T151" s="87" t="n">
        <v>22849509</v>
      </c>
      <c r="U151" s="88" t="n">
        <v>862</v>
      </c>
      <c r="V151" s="88" t="n">
        <v>0</v>
      </c>
      <c r="W151" s="87" t="n">
        <v>67224375</v>
      </c>
      <c r="X151" s="112" t="n">
        <v>62</v>
      </c>
      <c r="Y151" s="112" t="inlineStr">
        <is>
          <t>повагонная</t>
        </is>
      </c>
      <c r="Z151" s="113" t="n">
        <v>5</v>
      </c>
      <c r="AA151" s="113" t="n">
        <v>4</v>
      </c>
      <c r="AB151" s="113" t="n">
        <v>4</v>
      </c>
      <c r="AC151" s="161" t="n">
        <v>1479.63</v>
      </c>
      <c r="AD151" s="161">
        <f>AE151-AC151</f>
        <v/>
      </c>
      <c r="AE151" s="161" t="n">
        <v>1644.63</v>
      </c>
      <c r="AF151" s="162">
        <f>(Z151+AA151+AB151)*'Ставки аренды'!$B$3/X151</f>
        <v/>
      </c>
      <c r="AG151" s="164" t="n">
        <v>0</v>
      </c>
      <c r="AH151" s="164" t="n">
        <v>0</v>
      </c>
      <c r="AI151" s="165">
        <f>0.9*AJ151</f>
        <v/>
      </c>
      <c r="AJ151" s="166">
        <f>Цены!D10</f>
        <v/>
      </c>
      <c r="AK151" s="164">
        <f>AJ151/Цены!$B$1</f>
        <v/>
      </c>
      <c r="AL151" s="164">
        <f>AE151+AF151+AG151</f>
        <v/>
      </c>
      <c r="AM151" s="164">
        <f>AJ151-AL151</f>
        <v/>
      </c>
      <c r="AN151" s="164">
        <f>AI151+AH151+AG151+AF151+AE151</f>
        <v/>
      </c>
      <c r="AO151" s="167">
        <f>(AJ151-AN151)/AJ151</f>
        <v/>
      </c>
      <c r="AP151" s="168">
        <f>AL151/AJ151</f>
        <v/>
      </c>
      <c r="AQ151" s="168">
        <f>AE151/AJ151</f>
        <v/>
      </c>
      <c r="AR151" s="168">
        <f>AE151/AL151</f>
        <v/>
      </c>
      <c r="AS151" s="169" t="n">
        <v>1</v>
      </c>
      <c r="AT151" s="121">
        <f>S151*AS151</f>
        <v/>
      </c>
      <c r="AU151" s="83" t="n">
        <v>0.8</v>
      </c>
      <c r="AV151" s="170">
        <f>(AJ151-(AE151*(1+$IS$2)+AF151+AG151+AH151+AI151))/AJ151</f>
        <v/>
      </c>
      <c r="AW151" s="171">
        <f>(AE151*(1+$IS$2)+AF151+AG151)/AJ151</f>
        <v/>
      </c>
      <c r="AX151" s="171">
        <f>(AE151*(1+$IS$2))/AJ151</f>
        <v/>
      </c>
      <c r="AY151" s="171">
        <f>(AE151*(1+$IS$2))/(AE151*(1+$IS$2)+AF151+AG151)</f>
        <v/>
      </c>
      <c r="AZ151" s="172">
        <f>MIN(IF($AU151=100%,1,1+VLOOKUP(($AJ151-$AI151-$AH151-$AG151-$AF151-$AE151*(1+AZ$3))/$AJ151,'Технический лист'!$I:$J,2,1)-VLOOKUP($AO151,'Технический лист'!$I:$J,2,1)),1+(1-$AU151))</f>
        <v/>
      </c>
      <c r="BA151" s="172">
        <f>MIN(IF($AU151=100%,1,1+VLOOKUP(($AJ151-$AI151-$AH151-$AG151-$AF151-$AE151*(1+BA$3))/$AJ151,'Технический лист'!$I:$J,2,1)-VLOOKUP($AO151,'Технический лист'!$I:$J,2,1)),1+(1-$AU151))</f>
        <v/>
      </c>
      <c r="BB151" s="172">
        <f>MIN(IF($AU151=100%,1,1+VLOOKUP(($AJ151-$AI151-$AH151-$AG151-$AF151-$AE151*(1+BB$3))/$AJ151,'Технический лист'!$I:$J,2,1)-VLOOKUP($AO151,'Технический лист'!$I:$J,2,1)),1+(1-$AU151))</f>
        <v/>
      </c>
      <c r="BC151" s="172">
        <f>MIN(IF($AU151=100%,1,1+VLOOKUP(($AJ151-$AI151-$AH151-$AG151-$AF151-$AE151*(1+BC$3))/$AJ151,'Технический лист'!$I:$J,2,1)-VLOOKUP($AO151,'Технический лист'!$I:$J,2,1)),1+(1-$AU151))</f>
        <v/>
      </c>
      <c r="BD151" s="172">
        <f>MIN(IF($AU151=100%,1,1+VLOOKUP(($AJ151-$AI151-$AH151-$AG151-$AF151-$AE151*(1+BD$3))/$AJ151,'Технический лист'!$I:$J,2,1)-VLOOKUP($AO151,'Технический лист'!$I:$J,2,1)),1+(1-$AU151))</f>
        <v/>
      </c>
      <c r="BE151" s="172">
        <f>MIN(IF($AU151=100%,1,1+VLOOKUP(($AJ151-$AI151-$AH151-$AG151-$AF151-$AE151*(1+BE$3))/$AJ151,'Технический лист'!$I:$J,2,1)-VLOOKUP($AO151,'Технический лист'!$I:$J,2,1)),1+(1-$AU151))</f>
        <v/>
      </c>
      <c r="BF151" s="172">
        <f>MIN(IF($AU151=100%,1,1+VLOOKUP(($AJ151-$AI151-$AH151-$AG151-$AF151-$AE151*(1+BF$3))/$AJ151,'Технический лист'!$I:$J,2,1)-VLOOKUP($AO151,'Технический лист'!$I:$J,2,1)),1+(1-$AU151))</f>
        <v/>
      </c>
      <c r="BG151" s="172">
        <f>MIN(IF($AU151=100%,1,1+VLOOKUP(($AJ151-$AI151-$AH151-$AG151-$AF151-$AE151*(1+BG$3))/$AJ151,'Технический лист'!$I:$J,2,1)-VLOOKUP($AO151,'Технический лист'!$I:$J,2,1)),1+(1-$AU151))</f>
        <v/>
      </c>
      <c r="BH151" s="172">
        <f>MIN(IF($AU151=100%,1,1+VLOOKUP(($AJ151-$AI151-$AH151-$AG151-$AF151-$AE151*(1+BH$3))/$AJ151,'Технический лист'!$I:$J,2,1)-VLOOKUP($AO151,'Технический лист'!$I:$J,2,1)),1+(1-$AU151))</f>
        <v/>
      </c>
      <c r="BI151" s="172">
        <f>MIN(IF($AU151=100%,1,1+VLOOKUP(($AJ151-$AI151-$AH151-$AG151-$AF151-$AE151*(1+BI$3))/$AJ151,'Технический лист'!$I:$J,2,1)-VLOOKUP($AO151,'Технический лист'!$I:$J,2,1)),1+(1-$AU151))</f>
        <v/>
      </c>
      <c r="BJ151" s="172">
        <f>MIN(IF($AU151=100%,1,1+VLOOKUP(($AJ151-$AI151-$AH151-$AG151-$AF151-$AE151*(1+BJ$3))/$AJ151,'Технический лист'!$I:$J,2,1)-VLOOKUP($AO151,'Технический лист'!$I:$J,2,1)),1+(1-$AU151))</f>
        <v/>
      </c>
      <c r="BK151" s="172">
        <f>MIN(IF($AU151=100%,1,1+VLOOKUP(($AJ151-$AI151-$AH151-$AG151-$AF151-$AE151*(1+BK$3))/$AJ151,'Технический лист'!$I:$J,2,1)-VLOOKUP($AO151,'Технический лист'!$I:$J,2,1)),1+(1-$AU151))</f>
        <v/>
      </c>
      <c r="BL151" s="172">
        <f>MIN(IF($AU151=100%,1,1+VLOOKUP(($AJ151-$AI151-$AH151-$AG151-$AF151-$AE151*(1+BL$3))/$AJ151,'Технический лист'!$I:$J,2,1)-VLOOKUP($AO151,'Технический лист'!$I:$J,2,1)),1+(1-$AU151))</f>
        <v/>
      </c>
      <c r="BM151" s="172">
        <f>MIN(IF($AU151=100%,1,1+VLOOKUP(($AJ151-$AI151-$AH151-$AG151-$AF151-$AE151*(1+BM$3))/$AJ151,'Технический лист'!$I:$J,2,1)-VLOOKUP($AO151,'Технический лист'!$I:$J,2,1)),1+(1-$AU151))</f>
        <v/>
      </c>
      <c r="BN151" s="172">
        <f>MIN(IF($AU151=100%,1,1+VLOOKUP(($AJ151-$AI151-$AH151-$AG151-$AF151-$AE151*(1+BN$3))/$AJ151,'Технический лист'!$I:$J,2,1)-VLOOKUP($AO151,'Технический лист'!$I:$J,2,1)),1+(1-$AU151))</f>
        <v/>
      </c>
      <c r="BO151" s="172">
        <f>MIN(IF($AU151=100%,1,1+VLOOKUP(($AJ151-$AI151-$AH151-$AG151-$AF151-$AE151*(1+BO$3))/$AJ151,'Технический лист'!$I:$J,2,1)-VLOOKUP($AO151,'Технический лист'!$I:$J,2,1)),1+(1-$AU151))</f>
        <v/>
      </c>
      <c r="BP151" s="172">
        <f>MIN(IF($AU151=100%,1,1+VLOOKUP(($AJ151-$AI151-$AH151-$AG151-$AF151-$AE151*(1+BP$3))/$AJ151,'Технический лист'!$I:$J,2,1)-VLOOKUP($AO151,'Технический лист'!$I:$J,2,1)),1+(1-$AU151))</f>
        <v/>
      </c>
      <c r="BQ151" s="172">
        <f>MIN(IF($AU151=100%,1,1+VLOOKUP(($AJ151-$AI151-$AH151-$AG151-$AF151-$AE151*(1+BQ$3))/$AJ151,'Технический лист'!$I:$J,2,1)-VLOOKUP($AO151,'Технический лист'!$I:$J,2,1)),1+(1-$AU151))</f>
        <v/>
      </c>
      <c r="BR151" s="172">
        <f>MIN(IF($AU151=100%,1,1+VLOOKUP(($AJ151-$AI151-$AH151-$AG151-$AF151-$AE151*(1+BR$3))/$AJ151,'Технический лист'!$I:$J,2,1)-VLOOKUP($AO151,'Технический лист'!$I:$J,2,1)),1+(1-$AU151))</f>
        <v/>
      </c>
      <c r="BS151" s="172">
        <f>MIN(IF($AU151=100%,1,1+VLOOKUP(($AJ151-$AI151-$AH151-$AG151-$AF151-$AE151*(1+BS$3))/$AJ151,'Технический лист'!$I:$J,2,1)-VLOOKUP($AO151,'Технический лист'!$I:$J,2,1)),1+(1-$AU151))</f>
        <v/>
      </c>
      <c r="BT151" s="172">
        <f>MIN(IF($AU151=100%,1,1+VLOOKUP(($AJ151-$AI151-$AH151-$AG151-$AF151-$AE151*(1+BT$3))/$AJ151,'Технический лист'!$I:$J,2,1)-VLOOKUP($AO151,'Технический лист'!$I:$J,2,1)),1+(1-$AU151))</f>
        <v/>
      </c>
      <c r="BU151" s="172">
        <f>MIN(IF($AU151=100%,1,1+VLOOKUP(($AJ151-$AI151-$AH151-$AG151-$AF151-$AE151*(1+BU$3))/$AJ151,'Технический лист'!$I:$J,2,1)-VLOOKUP($AO151,'Технический лист'!$I:$J,2,1)),1+(1-$AU151))</f>
        <v/>
      </c>
      <c r="BV151" s="172">
        <f>MIN(IF($AU151=100%,1,1+VLOOKUP(($AJ151-$AI151-$AH151-$AG151-$AF151-$AE151*(1+BV$3))/$AJ151,'Технический лист'!$I:$J,2,1)-VLOOKUP($AO151,'Технический лист'!$I:$J,2,1)),1+(1-$AU151))</f>
        <v/>
      </c>
      <c r="BW151" s="172">
        <f>MIN(IF($AU151=100%,1,1+VLOOKUP(($AJ151-$AI151-$AH151-$AG151-$AF151-$AE151*(1+BW$3))/$AJ151,'Технический лист'!$I:$J,2,1)-VLOOKUP($AO151,'Технический лист'!$I:$J,2,1)),1+(1-$AU151))</f>
        <v/>
      </c>
      <c r="BX151" s="172">
        <f>MIN(IF($AU151=100%,1,1+VLOOKUP(($AJ151-$AI151-$AH151-$AG151-$AF151-$AE151*(1+BX$3))/$AJ151,'Технический лист'!$I:$J,2,1)-VLOOKUP($AO151,'Технический лист'!$I:$J,2,1)),1+(1-$AU151))</f>
        <v/>
      </c>
      <c r="BY151" s="172">
        <f>MIN(IF($AU151=100%,1,1+VLOOKUP(($AJ151-$AI151-$AH151-$AG151-$AF151-$AE151*(1+BY$3))/$AJ151,'Технический лист'!$I:$J,2,1)-VLOOKUP($AO151,'Технический лист'!$I:$J,2,1)),1+(1-$AU151))</f>
        <v/>
      </c>
      <c r="BZ151" s="172">
        <f>MIN(IF($AU151=100%,1,1+VLOOKUP(($AJ151-$AI151-$AH151-$AG151-$AF151-$AE151*(1+BZ$3))/$AJ151,'Технический лист'!$I:$J,2,1)-VLOOKUP($AO151,'Технический лист'!$I:$J,2,1)),1+(1-$AU151))</f>
        <v/>
      </c>
      <c r="CA151" s="172">
        <f>MIN(IF($AU151=100%,1,1+VLOOKUP(($AJ151-$AI151-$AH151-$AG151-$AF151-$AE151*(1+CA$3))/$AJ151,'Технический лист'!$I:$J,2,1)-VLOOKUP($AO151,'Технический лист'!$I:$J,2,1)),1+(1-$AU151))</f>
        <v/>
      </c>
      <c r="CB151" s="172">
        <f>MIN(IF($AU151=100%,1,1+VLOOKUP(($AJ151-$AI151-$AH151-$AG151-$AF151-$AE151*(1+CB$3))/$AJ151,'Технический лист'!$I:$J,2,1)-VLOOKUP($AO151,'Технический лист'!$I:$J,2,1)),1+(1-$AU151))</f>
        <v/>
      </c>
      <c r="CC151" s="172">
        <f>MIN(IF($AU151=100%,1,1+VLOOKUP(($AJ151-$AI151-$AH151-$AG151-$AF151-$AE151*(1+CC$3))/$AJ151,'Технический лист'!$I:$J,2,1)-VLOOKUP($AO151,'Технический лист'!$I:$J,2,1)),1+(1-$AU151))</f>
        <v/>
      </c>
      <c r="CD151" s="172">
        <f>MIN(IF($AU151=100%,1,1+VLOOKUP(($AJ151-$AI151-$AH151-$AG151-$AF151-$AE151*(1+CD$3))/$AJ151,'Технический лист'!$I:$J,2,1)-VLOOKUP($AO151,'Технический лист'!$I:$J,2,1)),1+(1-$AU151))</f>
        <v/>
      </c>
      <c r="CE151" s="172">
        <f>MIN(IF($AU151=100%,1,1+VLOOKUP(($AJ151-$AI151-$AH151-$AG151-$AF151-$AE151*(1+CE$3))/$AJ151,'Технический лист'!$I:$J,2,1)-VLOOKUP($AO151,'Технический лист'!$I:$J,2,1)),1+(1-$AU151))</f>
        <v/>
      </c>
      <c r="CF151" s="172">
        <f>MIN(IF($AU151=100%,1,1+VLOOKUP(($AJ151-$AI151-$AH151-$AG151-$AF151-$AE151*(1+CF$3))/$AJ151,'Технический лист'!$I:$J,2,1)-VLOOKUP($AO151,'Технический лист'!$I:$J,2,1)),1+(1-$AU151))</f>
        <v/>
      </c>
      <c r="CG151" s="172">
        <f>MIN(IF($AU151=100%,1,1+VLOOKUP(($AJ151-$AI151-$AH151-$AG151-$AF151-$AE151*(1+CG$3))/$AJ151,'Технический лист'!$I:$J,2,1)-VLOOKUP($AO151,'Технический лист'!$I:$J,2,1)),1+(1-$AU151))</f>
        <v/>
      </c>
      <c r="CH151" s="172">
        <f>MIN(IF($AU151=100%,1,1+VLOOKUP(($AJ151-$AI151-$AH151-$AG151-$AF151-$AE151*(1+CH$3))/$AJ151,'Технический лист'!$I:$J,2,1)-VLOOKUP($AO151,'Технический лист'!$I:$J,2,1)),1+(1-$AU151))</f>
        <v/>
      </c>
      <c r="CI151" s="172">
        <f>MIN(IF($AU151=100%,1,1+VLOOKUP(($AJ151-$AI151-$AH151-$AG151-$AF151-$AE151*(1+CI$3))/$AJ151,'Технический лист'!$I:$J,2,1)-VLOOKUP($AO151,'Технический лист'!$I:$J,2,1)),1+(1-$AU151))</f>
        <v/>
      </c>
      <c r="CJ151" s="172">
        <f>MIN(IF($AU151=100%,1,1+VLOOKUP(($AJ151-$AI151-$AH151-$AG151-$AF151-$AE151*(1+CJ$3))/$AJ151,'Технический лист'!$I:$J,2,1)-VLOOKUP($AO151,'Технический лист'!$I:$J,2,1)),1+(1-$AU151))</f>
        <v/>
      </c>
      <c r="CK151" s="172">
        <f>MIN(IF($AU151=100%,1,1+VLOOKUP(($AJ151-$AI151-$AH151-$AG151-$AF151-$AE151*(1+CK$3))/$AJ151,'Технический лист'!$I:$J,2,1)-VLOOKUP($AO151,'Технический лист'!$I:$J,2,1)),1+(1-$AU151))</f>
        <v/>
      </c>
      <c r="CL151" s="172">
        <f>MIN(IF($AU151=100%,1,1+VLOOKUP(($AJ151-$AI151-$AH151-$AG151-$AF151-$AE151*(1+CL$3))/$AJ151,'Технический лист'!$I:$J,2,1)-VLOOKUP($AO151,'Технический лист'!$I:$J,2,1)),1+(1-$AU151))</f>
        <v/>
      </c>
      <c r="CM151" s="172">
        <f>MIN(IF($AU151=100%,1,1+VLOOKUP(($AJ151-$AI151-$AH151-$AG151-$AF151-$AE151*(1+CM$3))/$AJ151,'Технический лист'!$I:$J,2,1)-VLOOKUP($AO151,'Технический лист'!$I:$J,2,1)),1+(1-$AU151))</f>
        <v/>
      </c>
      <c r="CN151" s="172">
        <f>MIN(IF($AU151=100%,1,1+VLOOKUP(($AJ151-$AI151-$AH151-$AG151-$AF151-$AE151*(1+CN$3))/$AJ151,'Технический лист'!$I:$J,2,1)-VLOOKUP($AO151,'Технический лист'!$I:$J,2,1)),1+(1-$AU151))</f>
        <v/>
      </c>
      <c r="CO151" s="172">
        <f>MIN(IF($AU151=100%,1,1+VLOOKUP(($AJ151-$AI151-$AH151-$AG151-$AF151-$AE151*(1+CO$3))/$AJ151,'Технический лист'!$I:$J,2,1)-VLOOKUP($AO151,'Технический лист'!$I:$J,2,1)),1+(1-$AU151))</f>
        <v/>
      </c>
      <c r="CP151" s="172">
        <f>MIN(IF($AU151=100%,1,1+VLOOKUP(($AJ151-$AI151-$AH151-$AG151-$AF151-$AE151*(1+CP$3))/$AJ151,'Технический лист'!$I:$J,2,1)-VLOOKUP($AO151,'Технический лист'!$I:$J,2,1)),1+(1-$AU151))</f>
        <v/>
      </c>
      <c r="CQ151" s="172">
        <f>MIN(IF($AU151=100%,1,1+VLOOKUP(($AJ151-$AI151-$AH151-$AG151-$AF151-$AE151*(1+CQ$3))/$AJ151,'Технический лист'!$I:$J,2,1)-VLOOKUP($AO151,'Технический лист'!$I:$J,2,1)),1+(1-$AU151))</f>
        <v/>
      </c>
      <c r="CR151" s="172">
        <f>MIN(IF($AU151=100%,1,1+VLOOKUP(($AJ151-$AI151-$AH151-$AG151-$AF151-$AE151*(1+CR$3))/$AJ151,'Технический лист'!$I:$J,2,1)-VLOOKUP($AO151,'Технический лист'!$I:$J,2,1)),1+(1-$AU151))</f>
        <v/>
      </c>
      <c r="CS151" s="172">
        <f>MIN(IF($AU151=100%,1,1+VLOOKUP(($AJ151-$AI151-$AH151-$AG151-$AF151-$AE151*(1+CS$3))/$AJ151,'Технический лист'!$I:$J,2,1)-VLOOKUP($AO151,'Технический лист'!$I:$J,2,1)),1+(1-$AU151))</f>
        <v/>
      </c>
      <c r="CT151" s="172">
        <f>MIN(IF($AU151=100%,1,1+VLOOKUP(($AJ151-$AI151-$AH151-$AG151-$AF151-$AE151*(1+CT$3))/$AJ151,'Технический лист'!$I:$J,2,1)-VLOOKUP($AO151,'Технический лист'!$I:$J,2,1)),1+(1-$AU151))</f>
        <v/>
      </c>
      <c r="CU151" s="172">
        <f>MIN(IF($AU151=100%,1,1+VLOOKUP(($AJ151-$AI151-$AH151-$AG151-$AF151-$AE151*(1+CU$3))/$AJ151,'Технический лист'!$I:$J,2,1)-VLOOKUP($AO151,'Технический лист'!$I:$J,2,1)),1+(1-$AU151))</f>
        <v/>
      </c>
      <c r="CV151" s="172">
        <f>MIN(IF($AU151=100%,1,1+VLOOKUP(($AJ151-$AI151-$AH151-$AG151-$AF151-$AE151*(1+CV$3))/$AJ151,'Технический лист'!$I:$J,2,1)-VLOOKUP($AO151,'Технический лист'!$I:$J,2,1)),1+(1-$AU151))</f>
        <v/>
      </c>
      <c r="CW151" s="172">
        <f>MIN(IF($AU151=100%,1,1+VLOOKUP(($AJ151-$AI151-$AH151-$AG151-$AF151-$AE151*(1+CW$3))/$AJ151,'Технический лист'!$I:$J,2,1)-VLOOKUP($AO151,'Технический лист'!$I:$J,2,1)),1+(1-$AU151))</f>
        <v/>
      </c>
      <c r="CX151" s="172">
        <f>MIN(IF($AU151=100%,1,1+VLOOKUP(($AJ151-$AI151-$AH151-$AG151-$AF151-$AE151*(1+CX$3))/$AJ151,'Технический лист'!$I:$J,2,1)-VLOOKUP($AO151,'Технический лист'!$I:$J,2,1)),1+(1-$AU151))</f>
        <v/>
      </c>
      <c r="CY151" s="172">
        <f>MIN(IF($AU151=100%,1,1+VLOOKUP(($AJ151-$AI151-$AH151-$AG151-$AF151-$AE151*(1+CY$3))/$AJ151,'Технический лист'!$I:$J,2,1)-VLOOKUP($AO151,'Технический лист'!$I:$J,2,1)),1+(1-$AU151))</f>
        <v/>
      </c>
      <c r="CZ151" s="172">
        <f>MIN(IF($AU151=100%,1,1+VLOOKUP(($AJ151-$AI151-$AH151-$AG151-$AF151-$AE151*(1+CZ$3))/$AJ151,'Технический лист'!$I:$J,2,1)-VLOOKUP($AO151,'Технический лист'!$I:$J,2,1)),1+(1-$AU151))</f>
        <v/>
      </c>
      <c r="DA151" s="172">
        <f>MIN(IF($AU151=100%,1,1+VLOOKUP(($AJ151-$AI151-$AH151-$AG151-$AF151-$AE151*(1+DA$3))/$AJ151,'Технический лист'!$I:$J,2,1)-VLOOKUP($AO151,'Технический лист'!$I:$J,2,1)),1+(1-$AU151))</f>
        <v/>
      </c>
      <c r="DB151" s="172">
        <f>MIN(IF($AU151=100%,1,1+VLOOKUP(($AJ151-$AI151-$AH151-$AG151-$AF151-$AE151*(1+DB$3))/$AJ151,'Технический лист'!$I:$J,2,1)-VLOOKUP($AO151,'Технический лист'!$I:$J,2,1)),1+(1-$AU151))</f>
        <v/>
      </c>
      <c r="DC151" s="172">
        <f>MIN(IF($AU151=100%,1,1+VLOOKUP(($AJ151-$AI151-$AH151-$AG151-$AF151-$AE151*(1+DC$3))/$AJ151,'Технический лист'!$I:$J,2,1)-VLOOKUP($AO151,'Технический лист'!$I:$J,2,1)),1+(1-$AU151))</f>
        <v/>
      </c>
      <c r="DD151" s="172">
        <f>MIN(IF($AU151=100%,1,1+VLOOKUP(($AJ151-$AI151-$AH151-$AG151-$AF151-$AE151*(1+DD$3))/$AJ151,'Технический лист'!$I:$J,2,1)-VLOOKUP($AO151,'Технический лист'!$I:$J,2,1)),1+(1-$AU151))</f>
        <v/>
      </c>
      <c r="DE151" s="172">
        <f>MIN(IF($AU151=100%,1,1+VLOOKUP(($AJ151-$AI151-$AH151-$AG151-$AF151-$AE151*(1+DE$3))/$AJ151,'Технический лист'!$I:$J,2,1)-VLOOKUP($AO151,'Технический лист'!$I:$J,2,1)),1+(1-$AU151))</f>
        <v/>
      </c>
      <c r="DF151" s="172">
        <f>MIN(IF($AU151=100%,1,1+VLOOKUP(($AJ151-$AI151-$AH151-$AG151-$AF151-$AE151*(1+DF$3))/$AJ151,'Технический лист'!$I:$J,2,1)-VLOOKUP($AO151,'Технический лист'!$I:$J,2,1)),1+(1-$AU151))</f>
        <v/>
      </c>
      <c r="DG151" s="172">
        <f>MIN(IF($AU151=100%,1,1+VLOOKUP(($AJ151-$AI151-$AH151-$AG151-$AF151-$AE151*(1+DG$3))/$AJ151,'Технический лист'!$I:$J,2,1)-VLOOKUP($AO151,'Технический лист'!$I:$J,2,1)),1+(1-$AU151))</f>
        <v/>
      </c>
      <c r="DH151" s="172">
        <f>MIN(IF($AU151=100%,1,1+VLOOKUP(($AJ151-$AI151-$AH151-$AG151-$AF151-$AE151*(1+DH$3))/$AJ151,'Технический лист'!$I:$J,2,1)-VLOOKUP($AO151,'Технический лист'!$I:$J,2,1)),1+(1-$AU151))</f>
        <v/>
      </c>
      <c r="DI151" s="172">
        <f>MIN(IF($AU151=100%,1,1+VLOOKUP(($AJ151-$AI151-$AH151-$AG151-$AF151-$AE151*(1+DI$3))/$AJ151,'Технический лист'!$I:$J,2,1)-VLOOKUP($AO151,'Технический лист'!$I:$J,2,1)),1+(1-$AU151))</f>
        <v/>
      </c>
      <c r="DJ151" s="172">
        <f>MIN(IF($AU151=100%,1,1+VLOOKUP(($AJ151-$AI151-$AH151-$AG151-$AF151-$AE151*(1+DJ$3))/$AJ151,'Технический лист'!$I:$J,2,1)-VLOOKUP($AO151,'Технический лист'!$I:$J,2,1)),1+(1-$AU151))</f>
        <v/>
      </c>
      <c r="DK151" s="172">
        <f>MIN(IF($AU151=100%,1,1+VLOOKUP(($AJ151-$AI151-$AH151-$AG151-$AF151-$AE151*(1+DK$3))/$AJ151,'Технический лист'!$I:$J,2,1)-VLOOKUP($AO151,'Технический лист'!$I:$J,2,1)),1+(1-$AU151))</f>
        <v/>
      </c>
      <c r="DL151" s="172">
        <f>MIN(IF($AU151=100%,1,1+VLOOKUP(($AJ151-$AI151-$AH151-$AG151-$AF151-$AE151*(1+DL$3))/$AJ151,'Технический лист'!$I:$J,2,1)-VLOOKUP($AO151,'Технический лист'!$I:$J,2,1)),1+(1-$AU151))</f>
        <v/>
      </c>
      <c r="DM151" s="172">
        <f>MIN(IF($AU151=100%,1,1+VLOOKUP(($AJ151-$AI151-$AH151-$AG151-$AF151-$AE151*(1+DM$3))/$AJ151,'Технический лист'!$I:$J,2,1)-VLOOKUP($AO151,'Технический лист'!$I:$J,2,1)),1+(1-$AU151))</f>
        <v/>
      </c>
      <c r="DN151" s="172">
        <f>MIN(IF($AU151=100%,1,1+VLOOKUP(($AJ151-$AI151-$AH151-$AG151-$AF151-$AE151*(1+DN$3))/$AJ151,'Технический лист'!$I:$J,2,1)-VLOOKUP($AO151,'Технический лист'!$I:$J,2,1)),1+(1-$AU151))</f>
        <v/>
      </c>
      <c r="DO151" s="172">
        <f>MIN(IF($AU151=100%,1,1+VLOOKUP(($AJ151-$AI151-$AH151-$AG151-$AF151-$AE151*(1+DO$3))/$AJ151,'Технический лист'!$I:$J,2,1)-VLOOKUP($AO151,'Технический лист'!$I:$J,2,1)),1+(1-$AU151))</f>
        <v/>
      </c>
      <c r="DP151" s="172">
        <f>MIN(IF($AU151=100%,1,1+VLOOKUP(($AJ151-$AI151-$AH151-$AG151-$AF151-$AE151*(1+DP$3))/$AJ151,'Технический лист'!$I:$J,2,1)-VLOOKUP($AO151,'Технический лист'!$I:$J,2,1)),1+(1-$AU151))</f>
        <v/>
      </c>
      <c r="DQ151" s="172">
        <f>MIN(IF($AU151=100%,1,1+VLOOKUP(($AJ151-$AI151-$AH151-$AG151-$AF151-$AE151*(1+DQ$3))/$AJ151,'Технический лист'!$I:$J,2,1)-VLOOKUP($AO151,'Технический лист'!$I:$J,2,1)),1+(1-$AU151))</f>
        <v/>
      </c>
      <c r="DR151" s="172">
        <f>MIN(IF($AU151=100%,1,1+VLOOKUP(($AJ151-$AI151-$AH151-$AG151-$AF151-$AE151*(1+DR$3))/$AJ151,'Технический лист'!$I:$J,2,1)-VLOOKUP($AO151,'Технический лист'!$I:$J,2,1)),1+(1-$AU151))</f>
        <v/>
      </c>
      <c r="DS151" s="172">
        <f>MIN(IF($AU151=100%,1,1+VLOOKUP(($AJ151-$AI151-$AH151-$AG151-$AF151-$AE151*(1+DS$3))/$AJ151,'Технический лист'!$I:$J,2,1)-VLOOKUP($AO151,'Технический лист'!$I:$J,2,1)),1+(1-$AU151))</f>
        <v/>
      </c>
      <c r="DT151" s="172">
        <f>MIN(IF($AU151=100%,1,1+VLOOKUP(($AJ151-$AI151-$AH151-$AG151-$AF151-$AE151*(1+DT$3))/$AJ151,'Технический лист'!$I:$J,2,1)-VLOOKUP($AO151,'Технический лист'!$I:$J,2,1)),1+(1-$AU151))</f>
        <v/>
      </c>
      <c r="DU151" s="172">
        <f>MIN(IF($AU151=100%,1,1+VLOOKUP(($AJ151-$AI151-$AH151-$AG151-$AF151-$AE151*(1+DU$3))/$AJ151,'Технический лист'!$I:$J,2,1)-VLOOKUP($AO151,'Технический лист'!$I:$J,2,1)),1+(1-$AU151))</f>
        <v/>
      </c>
      <c r="DV151" s="172">
        <f>MIN(IF($AU151=100%,1,1+VLOOKUP(($AJ151-$AI151-$AH151-$AG151-$AF151-$AE151*(1+DV$3))/$AJ151,'Технический лист'!$I:$J,2,1)-VLOOKUP($AO151,'Технический лист'!$I:$J,2,1)),1+(1-$AU151))</f>
        <v/>
      </c>
      <c r="DW151" s="172">
        <f>MIN(IF($AU151=100%,1,1+VLOOKUP(($AJ151-$AI151-$AH151-$AG151-$AF151-$AE151*(1+DW$3))/$AJ151,'Технический лист'!$I:$J,2,1)-VLOOKUP($AO151,'Технический лист'!$I:$J,2,1)),1+(1-$AU151))</f>
        <v/>
      </c>
      <c r="DX151" s="172">
        <f>MIN(IF($AU151=100%,1,1+VLOOKUP(($AJ151-$AI151-$AH151-$AG151-$AF151-$AE151*(1+DX$3))/$AJ151,'Технический лист'!$I:$J,2,1)-VLOOKUP($AO151,'Технический лист'!$I:$J,2,1)),1+(1-$AU151))</f>
        <v/>
      </c>
      <c r="DY151" s="172">
        <f>MIN(IF($AU151=100%,1,1+VLOOKUP(($AJ151-$AI151-$AH151-$AG151-$AF151-$AE151*(1+DY$3))/$AJ151,'Технический лист'!$I:$J,2,1)-VLOOKUP($AO151,'Технический лист'!$I:$J,2,1)),1+(1-$AU151))</f>
        <v/>
      </c>
      <c r="DZ151" s="172">
        <f>MIN(IF($AU151=100%,1,1+VLOOKUP(($AJ151-$AI151-$AH151-$AG151-$AF151-$AE151*(1+DZ$3))/$AJ151,'Технический лист'!$I:$J,2,1)-VLOOKUP($AO151,'Технический лист'!$I:$J,2,1)),1+(1-$AU151))</f>
        <v/>
      </c>
      <c r="EA151" s="172">
        <f>MIN(IF($AU151=100%,1,1+VLOOKUP(($AJ151-$AI151-$AH151-$AG151-$AF151-$AE151*(1+EA$3))/$AJ151,'Технический лист'!$I:$J,2,1)-VLOOKUP($AO151,'Технический лист'!$I:$J,2,1)),1+(1-$AU151))</f>
        <v/>
      </c>
      <c r="EB151" s="172">
        <f>MIN(IF($AU151=100%,1,1+VLOOKUP(($AJ151-$AI151-$AH151-$AG151-$AF151-$AE151*(1+EB$3))/$AJ151,'Технический лист'!$I:$J,2,1)-VLOOKUP($AO151,'Технический лист'!$I:$J,2,1)),1+(1-$AU151))</f>
        <v/>
      </c>
      <c r="EC151" s="172">
        <f>MIN(IF($AU151=100%,1,1+VLOOKUP(($AJ151-$AI151-$AH151-$AG151-$AF151-$AE151*(1+EC$3))/$AJ151,'Технический лист'!$I:$J,2,1)-VLOOKUP($AO151,'Технический лист'!$I:$J,2,1)),1+(1-$AU151))</f>
        <v/>
      </c>
      <c r="ED151" s="172">
        <f>MIN(IF($AU151=100%,1,1+VLOOKUP(($AJ151-$AI151-$AH151-$AG151-$AF151-$AE151*(1+ED$3))/$AJ151,'Технический лист'!$I:$J,2,1)-VLOOKUP($AO151,'Технический лист'!$I:$J,2,1)),1+(1-$AU151))</f>
        <v/>
      </c>
      <c r="EE151" s="172">
        <f>MIN(IF($AU151=100%,1,1+VLOOKUP(($AJ151-$AI151-$AH151-$AG151-$AF151-$AE151*(1+EE$3))/$AJ151,'Технический лист'!$I:$J,2,1)-VLOOKUP($AO151,'Технический лист'!$I:$J,2,1)),1+(1-$AU151))</f>
        <v/>
      </c>
      <c r="EF151" s="172">
        <f>MIN(IF($AU151=100%,1,1+VLOOKUP(($AJ151-$AI151-$AH151-$AG151-$AF151-$AE151*(1+EF$3))/$AJ151,'Технический лист'!$I:$J,2,1)-VLOOKUP($AO151,'Технический лист'!$I:$J,2,1)),1+(1-$AU151))</f>
        <v/>
      </c>
      <c r="EG151" s="172">
        <f>MIN(IF($AU151=100%,1,1+VLOOKUP(($AJ151-$AI151-$AH151-$AG151-$AF151-$AE151*(1+EG$3))/$AJ151,'Технический лист'!$I:$J,2,1)-VLOOKUP($AO151,'Технический лист'!$I:$J,2,1)),1+(1-$AU151))</f>
        <v/>
      </c>
      <c r="EH151" s="172">
        <f>MIN(IF($AU151=100%,1,1+VLOOKUP(($AJ151-$AI151-$AH151-$AG151-$AF151-$AE151*(1+EH$3))/$AJ151,'Технический лист'!$I:$J,2,1)-VLOOKUP($AO151,'Технический лист'!$I:$J,2,1)),1+(1-$AU151))</f>
        <v/>
      </c>
      <c r="EI151" s="172">
        <f>MIN(IF($AU151=100%,1,1+VLOOKUP(($AJ151-$AI151-$AH151-$AG151-$AF151-$AE151*(1+EI$3))/$AJ151,'Технический лист'!$I:$J,2,1)-VLOOKUP($AO151,'Технический лист'!$I:$J,2,1)),1+(1-$AU151))</f>
        <v/>
      </c>
      <c r="EJ151" s="172">
        <f>MIN(IF($AU151=100%,1,1+VLOOKUP(($AJ151-$AI151-$AH151-$AG151-$AF151-$AE151*(1+EJ$3))/$AJ151,'Технический лист'!$I:$J,2,1)-VLOOKUP($AO151,'Технический лист'!$I:$J,2,1)),1+(1-$AU151))</f>
        <v/>
      </c>
      <c r="EK151" s="172">
        <f>MIN(IF($AU151=100%,1,1+VLOOKUP(($AJ151-$AI151-$AH151-$AG151-$AF151-$AE151*(1+EK$3))/$AJ151,'Технический лист'!$I:$J,2,1)-VLOOKUP($AO151,'Технический лист'!$I:$J,2,1)),1+(1-$AU151))</f>
        <v/>
      </c>
      <c r="EL151" s="172">
        <f>MIN(IF($AU151=100%,1,1+VLOOKUP(($AJ151-$AI151-$AH151-$AG151-$AF151-$AE151*(1+EL$3))/$AJ151,'Технический лист'!$I:$J,2,1)-VLOOKUP($AO151,'Технический лист'!$I:$J,2,1)),1+(1-$AU151))</f>
        <v/>
      </c>
      <c r="EM151" s="172">
        <f>MIN(IF($AU151=100%,1,1+VLOOKUP(($AJ151-$AI151-$AH151-$AG151-$AF151-$AE151*(1+EM$3))/$AJ151,'Технический лист'!$I:$J,2,1)-VLOOKUP($AO151,'Технический лист'!$I:$J,2,1)),1+(1-$AU151))</f>
        <v/>
      </c>
      <c r="EN151" s="172">
        <f>MIN(IF($AU151=100%,1,1+VLOOKUP(($AJ151-$AI151-$AH151-$AG151-$AF151-$AE151*(1+EN$3))/$AJ151,'Технический лист'!$I:$J,2,1)-VLOOKUP($AO151,'Технический лист'!$I:$J,2,1)),1+(1-$AU151))</f>
        <v/>
      </c>
      <c r="EO151" s="172">
        <f>MIN(IF($AU151=100%,1,1+VLOOKUP(($AJ151-$AI151-$AH151-$AG151-$AF151-$AE151*(1+EO$3))/$AJ151,'Технический лист'!$I:$J,2,1)-VLOOKUP($AO151,'Технический лист'!$I:$J,2,1)),1+(1-$AU151))</f>
        <v/>
      </c>
      <c r="EP151" s="172">
        <f>MIN(IF($AU151=100%,1,1+VLOOKUP(($AJ151-$AI151-$AH151-$AG151-$AF151-$AE151*(1+EP$3))/$AJ151,'Технический лист'!$I:$J,2,1)-VLOOKUP($AO151,'Технический лист'!$I:$J,2,1)),1+(1-$AU151))</f>
        <v/>
      </c>
      <c r="EQ151" s="172">
        <f>MIN(IF($AU151=100%,1,1+VLOOKUP(($AJ151-$AI151-$AH151-$AG151-$AF151-$AE151*(1+EQ$3))/$AJ151,'Технический лист'!$I:$J,2,1)-VLOOKUP($AO151,'Технический лист'!$I:$J,2,1)),1+(1-$AU151))</f>
        <v/>
      </c>
      <c r="ER151" s="172">
        <f>MIN(IF($AU151=100%,1,1+VLOOKUP(($AJ151-$AI151-$AH151-$AG151-$AF151-$AE151*(1+ER$3))/$AJ151,'Технический лист'!$I:$J,2,1)-VLOOKUP($AO151,'Технический лист'!$I:$J,2,1)),1+(1-$AU151))</f>
        <v/>
      </c>
      <c r="ES151" s="172">
        <f>MIN(IF($AU151=100%,1,1+VLOOKUP(($AJ151-$AI151-$AH151-$AG151-$AF151-$AE151*(1+ES$3))/$AJ151,'Технический лист'!$I:$J,2,1)-VLOOKUP($AO151,'Технический лист'!$I:$J,2,1)),1+(1-$AU151))</f>
        <v/>
      </c>
      <c r="ET151" s="172">
        <f>MIN(IF($AU151=100%,1,1+VLOOKUP(($AJ151-$AI151-$AH151-$AG151-$AF151-$AE151*(1+ET$3))/$AJ151,'Технический лист'!$I:$J,2,1)-VLOOKUP($AO151,'Технический лист'!$I:$J,2,1)),1+(1-$AU151))</f>
        <v/>
      </c>
      <c r="EU151" s="172">
        <f>MIN(IF($AU151=100%,1,1+VLOOKUP(($AJ151-$AI151-$AH151-$AG151-$AF151-$AE151*(1+EU$3))/$AJ151,'Технический лист'!$I:$J,2,1)-VLOOKUP($AO151,'Технический лист'!$I:$J,2,1)),1+(1-$AU151))</f>
        <v/>
      </c>
      <c r="EV151" s="173" t="n">
        <v>1</v>
      </c>
      <c r="EW151" s="172">
        <f>MIN(1,MAX(VLOOKUP(($AJ151-$AI151-$AH151-$AG151-$AF151-$AE151*(1+EW$3))/$AJ151,'Технический лист'!$A:$B,2,1),(EV151-0.05)))</f>
        <v/>
      </c>
      <c r="EX151" s="172">
        <f>MIN(1,MAX(VLOOKUP(($AJ151-$AI151-$AH151-$AG151-$AF151-$AE151*(1+EX$3))/$AJ151,'Технический лист'!$A:$B,2,1),(EW151-0.05)))</f>
        <v/>
      </c>
      <c r="EY151" s="172">
        <f>MIN(1,MAX(VLOOKUP(($AJ151-$AI151-$AH151-$AG151-$AF151-$AE151*(1+EY$3))/$AJ151,'Технический лист'!$A:$B,2,1),(EX151-0.05)))</f>
        <v/>
      </c>
      <c r="EZ151" s="172">
        <f>MIN(1,MAX(VLOOKUP(($AJ151-$AI151-$AH151-$AG151-$AF151-$AE151*(1+EZ$3))/$AJ151,'Технический лист'!$A:$B,2,1),(EY151-0.05)))</f>
        <v/>
      </c>
      <c r="FA151" s="172">
        <f>MIN(1,MAX(VLOOKUP(($AJ151-$AI151-$AH151-$AG151-$AF151-$AE151*(1+FA$3))/$AJ151,'Технический лист'!$A:$B,2,1),(EZ151-0.05)))</f>
        <v/>
      </c>
      <c r="FB151" s="172">
        <f>MIN(1,MAX(VLOOKUP(($AJ151-$AI151-$AH151-$AG151-$AF151-$AE151*(1+FB$3))/$AJ151,'Технический лист'!$A:$B,2,1),(FA151-0.05)))</f>
        <v/>
      </c>
      <c r="FC151" s="172">
        <f>MIN(1,MAX(VLOOKUP(($AJ151-$AI151-$AH151-$AG151-$AF151-$AE151*(1+FC$3))/$AJ151,'Технический лист'!$A:$B,2,1),(FB151-0.05)))</f>
        <v/>
      </c>
      <c r="FD151" s="172">
        <f>MIN(1,MAX(VLOOKUP(($AJ151-$AI151-$AH151-$AG151-$AF151-$AE151*(1+FD$3))/$AJ151,'Технический лист'!$A:$B,2,1),(FC151-0.05)))</f>
        <v/>
      </c>
      <c r="FE151" s="172">
        <f>MIN(1,MAX(VLOOKUP(($AJ151-$AI151-$AH151-$AG151-$AF151-$AE151*(1+FE$3))/$AJ151,'Технический лист'!$A:$B,2,1),(FD151-0.05)))</f>
        <v/>
      </c>
      <c r="FF151" s="172">
        <f>MIN(1,MAX(VLOOKUP(($AJ151-$AI151-$AH151-$AG151-$AF151-$AE151*(1+FF$3))/$AJ151,'Технический лист'!$A:$B,2,1),(FE151-0.05)))</f>
        <v/>
      </c>
      <c r="FG151" s="172">
        <f>MIN(1,MAX(VLOOKUP(($AJ151-$AI151-$AH151-$AG151-$AF151-$AE151*(1+FG$3))/$AJ151,'Технический лист'!$A:$B,2,1),(FF151-0.05)))</f>
        <v/>
      </c>
      <c r="FH151" s="172">
        <f>MIN(1,MAX(VLOOKUP(($AJ151-$AI151-$AH151-$AG151-$AF151-$AE151*(1+FH$3))/$AJ151,'Технический лист'!$A:$B,2,1),(FG151-0.05)))</f>
        <v/>
      </c>
      <c r="FI151" s="172">
        <f>MIN(1,MAX(VLOOKUP(($AJ151-$AI151-$AH151-$AG151-$AF151-$AE151*(1+FI$3))/$AJ151,'Технический лист'!$A:$B,2,1),(FH151-0.05)))</f>
        <v/>
      </c>
      <c r="FJ151" s="172">
        <f>MIN(1,MAX(VLOOKUP(($AJ151-$AI151-$AH151-$AG151-$AF151-$AE151*(1+FJ$3))/$AJ151,'Технический лист'!$A:$B,2,1),(FI151-0.05)))</f>
        <v/>
      </c>
      <c r="FK151" s="172">
        <f>MIN(1,MAX(VLOOKUP(($AJ151-$AI151-$AH151-$AG151-$AF151-$AE151*(1+FK$3))/$AJ151,'Технический лист'!$A:$B,2,1),(FJ151-0.05)))</f>
        <v/>
      </c>
      <c r="FL151" s="172">
        <f>MIN(1,MAX(VLOOKUP(($AJ151-$AI151-$AH151-$AG151-$AF151-$AE151*(1+FL$3))/$AJ151,'Технический лист'!$A:$B,2,1),(FK151-0.05)))</f>
        <v/>
      </c>
      <c r="FM151" s="172">
        <f>MIN(1,MAX(VLOOKUP(($AJ151-$AI151-$AH151-$AG151-$AF151-$AE151*(1+FM$3))/$AJ151,'Технический лист'!$A:$B,2,1),(FL151-0.05)))</f>
        <v/>
      </c>
      <c r="FN151" s="172">
        <f>MIN(1,MAX(VLOOKUP(($AJ151-$AI151-$AH151-$AG151-$AF151-$AE151*(1+FN$3))/$AJ151,'Технический лист'!$A:$B,2,1),(FM151-0.05)))</f>
        <v/>
      </c>
      <c r="FO151" s="172">
        <f>MIN(1,MAX(VLOOKUP(($AJ151-$AI151-$AH151-$AG151-$AF151-$AE151*(1+FO$3))/$AJ151,'Технический лист'!$A:$B,2,1),(FN151-0.05)))</f>
        <v/>
      </c>
      <c r="FP151" s="172">
        <f>MIN(1,MAX(VLOOKUP(($AJ151-$AI151-$AH151-$AG151-$AF151-$AE151*(1+FP$3))/$AJ151,'Технический лист'!$A:$B,2,1),(FO151-0.05)))</f>
        <v/>
      </c>
      <c r="FQ151" s="172">
        <f>MIN(1,MAX(VLOOKUP(($AJ151-$AI151-$AH151-$AG151-$AF151-$AE151*(1+FQ$3))/$AJ151,'Технический лист'!$A:$B,2,1),(FP151-0.05)))</f>
        <v/>
      </c>
      <c r="FR151" s="172">
        <f>MIN(1,MAX(VLOOKUP(($AJ151-$AI151-$AH151-$AG151-$AF151-$AE151*(1+FR$3))/$AJ151,'Технический лист'!$A:$B,2,1),(FQ151-0.05)))</f>
        <v/>
      </c>
      <c r="FS151" s="172">
        <f>MIN(1,MAX(VLOOKUP(($AJ151-$AI151-$AH151-$AG151-$AF151-$AE151*(1+FS$3))/$AJ151,'Технический лист'!$A:$B,2,1),(FR151-0.05)))</f>
        <v/>
      </c>
      <c r="FT151" s="172">
        <f>MIN(1,MAX(VLOOKUP(($AJ151-$AI151-$AH151-$AG151-$AF151-$AE151*(1+FT$3))/$AJ151,'Технический лист'!$A:$B,2,1),(FS151-0.05)))</f>
        <v/>
      </c>
      <c r="FU151" s="172">
        <f>MIN(1,MAX(VLOOKUP(($AJ151-$AI151-$AH151-$AG151-$AF151-$AE151*(1+FU$3))/$AJ151,'Технический лист'!$A:$B,2,1),(FT151-0.05)))</f>
        <v/>
      </c>
      <c r="FV151" s="172">
        <f>MIN(1,MAX(VLOOKUP(($AJ151-$AI151-$AH151-$AG151-$AF151-$AE151*(1+FV$3))/$AJ151,'Технический лист'!$A:$B,2,1),(FU151-0.05)))</f>
        <v/>
      </c>
      <c r="FW151" s="172">
        <f>MIN(1,MAX(VLOOKUP(($AJ151-$AI151-$AH151-$AG151-$AF151-$AE151*(1+FW$3))/$AJ151,'Технический лист'!$A:$B,2,1),(FV151-0.05)))</f>
        <v/>
      </c>
      <c r="FX151" s="172">
        <f>MIN(1,MAX(VLOOKUP(($AJ151-$AI151-$AH151-$AG151-$AF151-$AE151*(1+FX$3))/$AJ151,'Технический лист'!$A:$B,2,1),(FW151-0.05)))</f>
        <v/>
      </c>
      <c r="FY151" s="172">
        <f>MIN(1,MAX(VLOOKUP(($AJ151-$AI151-$AH151-$AG151-$AF151-$AE151*(1+FY$3))/$AJ151,'Технический лист'!$A:$B,2,1),(FX151-0.05)))</f>
        <v/>
      </c>
      <c r="FZ151" s="172">
        <f>MIN(1,MAX(VLOOKUP(($AJ151-$AI151-$AH151-$AG151-$AF151-$AE151*(1+FZ$3))/$AJ151,'Технический лист'!$A:$B,2,1),(FY151-0.05)))</f>
        <v/>
      </c>
      <c r="GA151" s="172">
        <f>MIN(1,MAX(VLOOKUP(($AJ151-$AI151-$AH151-$AG151-$AF151-$AE151*(1+GA$3))/$AJ151,'Технический лист'!$A:$B,2,1),(FZ151-0.05)))</f>
        <v/>
      </c>
      <c r="GB151" s="172">
        <f>MIN(1,MAX(VLOOKUP(($AJ151-$AI151-$AH151-$AG151-$AF151-$AE151*(1+GB$3))/$AJ151,'Технический лист'!$A:$B,2,1),(GA151-0.05)))</f>
        <v/>
      </c>
      <c r="GC151" s="172">
        <f>MIN(1,MAX(VLOOKUP(($AJ151-$AI151-$AH151-$AG151-$AF151-$AE151*(1+GC$3))/$AJ151,'Технический лист'!$A:$B,2,1),(GB151-0.05)))</f>
        <v/>
      </c>
      <c r="GD151" s="172">
        <f>MIN(1,MAX(VLOOKUP(($AJ151-$AI151-$AH151-$AG151-$AF151-$AE151*(1+GD$3))/$AJ151,'Технический лист'!$A:$B,2,1),(GC151-0.05)))</f>
        <v/>
      </c>
      <c r="GE151" s="172">
        <f>MIN(1,MAX(VLOOKUP(($AJ151-$AI151-$AH151-$AG151-$AF151-$AE151*(1+GE$3))/$AJ151,'Технический лист'!$A:$B,2,1),(GD151-0.05)))</f>
        <v/>
      </c>
      <c r="GF151" s="172">
        <f>MIN(1,MAX(VLOOKUP(($AJ151-$AI151-$AH151-$AG151-$AF151-$AE151*(1+GF$3))/$AJ151,'Технический лист'!$A:$B,2,1),(GE151-0.05)))</f>
        <v/>
      </c>
      <c r="GG151" s="172">
        <f>MIN(1,MAX(VLOOKUP(($AJ151-$AI151-$AH151-$AG151-$AF151-$AE151*(1+GG$3))/$AJ151,'Технический лист'!$A:$B,2,1),(GF151-0.05)))</f>
        <v/>
      </c>
      <c r="GH151" s="172">
        <f>MIN(1,MAX(VLOOKUP(($AJ151-$AI151-$AH151-$AG151-$AF151-$AE151*(1+GH$3))/$AJ151,'Технический лист'!$A:$B,2,1),(GG151-0.05)))</f>
        <v/>
      </c>
      <c r="GI151" s="172">
        <f>MIN(1,MAX(VLOOKUP(($AJ151-$AI151-$AH151-$AG151-$AF151-$AE151*(1+GI$3))/$AJ151,'Технический лист'!$A:$B,2,1),(GH151-0.05)))</f>
        <v/>
      </c>
      <c r="GJ151" s="172">
        <f>MIN(1,MAX(VLOOKUP(($AJ151-$AI151-$AH151-$AG151-$AF151-$AE151*(1+GJ$3))/$AJ151,'Технический лист'!$A:$B,2,1),(GI151-0.05)))</f>
        <v/>
      </c>
      <c r="GK151" s="172">
        <f>MIN(1,MAX(VLOOKUP(($AJ151-$AI151-$AH151-$AG151-$AF151-$AE151*(1+GK$3))/$AJ151,'Технический лист'!$A:$B,2,1),(GJ151-0.05)))</f>
        <v/>
      </c>
      <c r="GL151" s="172">
        <f>MIN(1,MAX(VLOOKUP(($AJ151-$AI151-$AH151-$AG151-$AF151-$AE151*(1+GL$3))/$AJ151,'Технический лист'!$A:$B,2,1),(GK151-0.05)))</f>
        <v/>
      </c>
      <c r="GM151" s="172">
        <f>MIN(1,MAX(VLOOKUP(($AJ151-$AI151-$AH151-$AG151-$AF151-$AE151*(1+GM$3))/$AJ151,'Технический лист'!$A:$B,2,1),(GL151-0.05)))</f>
        <v/>
      </c>
      <c r="GN151" s="172">
        <f>MIN(1,MAX(VLOOKUP(($AJ151-$AI151-$AH151-$AG151-$AF151-$AE151*(1+GN$3))/$AJ151,'Технический лист'!$A:$B,2,1),(GM151-0.05)))</f>
        <v/>
      </c>
      <c r="GO151" s="172">
        <f>MIN(1,MAX(VLOOKUP(($AJ151-$AI151-$AH151-$AG151-$AF151-$AE151*(1+GO$3))/$AJ151,'Технический лист'!$A:$B,2,1),(GN151-0.05)))</f>
        <v/>
      </c>
      <c r="GP151" s="172">
        <f>MIN(1,MAX(VLOOKUP(($AJ151-$AI151-$AH151-$AG151-$AF151-$AE151*(1+GP$3))/$AJ151,'Технический лист'!$A:$B,2,1),(GO151-0.05)))</f>
        <v/>
      </c>
      <c r="GQ151" s="172">
        <f>MIN(1,MAX(VLOOKUP(($AJ151-$AI151-$AH151-$AG151-$AF151-$AE151*(1+GQ$3))/$AJ151,'Технический лист'!$A:$B,2,1),(GP151-0.05)))</f>
        <v/>
      </c>
      <c r="GR151" s="172">
        <f>MIN(1,MAX(VLOOKUP(($AJ151-$AI151-$AH151-$AG151-$AF151-$AE151*(1+GR$3))/$AJ151,'Технический лист'!$A:$B,2,1),(GQ151-0.05)))</f>
        <v/>
      </c>
      <c r="GS151" s="172">
        <f>MIN(1,MAX(VLOOKUP(($AJ151-$AI151-$AH151-$AG151-$AF151-$AE151*(1+GS$3))/$AJ151,'Технический лист'!$A:$B,2,1),(GR151-0.05)))</f>
        <v/>
      </c>
      <c r="GT151" s="172">
        <f>MIN(1,MAX(VLOOKUP(($AJ151-$AI151-$AH151-$AG151-$AF151-$AE151*(1+GT$3))/$AJ151,'Технический лист'!$A:$B,2,1),(GS151-0.05)))</f>
        <v/>
      </c>
      <c r="GU151" s="172">
        <f>MIN(1,MAX(VLOOKUP(($AJ151-$AI151-$AH151-$AG151-$AF151-$AE151*(1+GU$3))/$AJ151,'Технический лист'!$A:$B,2,1),(GT151-0.05)))</f>
        <v/>
      </c>
      <c r="GV151" s="172">
        <f>MIN(1,MAX(VLOOKUP(($AJ151-$AI151-$AH151-$AG151-$AF151-$AE151*(1+GV$3))/$AJ151,'Технический лист'!$A:$B,2,1),(GU151-0.05)))</f>
        <v/>
      </c>
      <c r="GW151" s="172">
        <f>MIN(1,MAX(VLOOKUP(($AJ151-$AI151-$AH151-$AG151-$AF151-$AE151*(1+GW$3))/$AJ151,'Технический лист'!$A:$B,2,1),(GV151-0.05)))</f>
        <v/>
      </c>
      <c r="GX151" s="172">
        <f>MIN(1,MAX(VLOOKUP(($AJ151-$AI151-$AH151-$AG151-$AF151-$AE151*(1+GX$3))/$AJ151,'Технический лист'!$A:$B,2,1),(GW151-0.05)))</f>
        <v/>
      </c>
      <c r="GY151" s="172">
        <f>MIN(1,MAX(VLOOKUP(($AJ151-$AI151-$AH151-$AG151-$AF151-$AE151*(1+GY$3))/$AJ151,'Технический лист'!$A:$B,2,1),(GX151-0.05)))</f>
        <v/>
      </c>
      <c r="GZ151" s="172">
        <f>MIN(1,MAX(VLOOKUP(($AJ151-$AI151-$AH151-$AG151-$AF151-$AE151*(1+GZ$3))/$AJ151,'Технический лист'!$A:$B,2,1),(GY151-0.05)))</f>
        <v/>
      </c>
      <c r="HA151" s="172">
        <f>MIN(1,MAX(VLOOKUP(($AJ151-$AI151-$AH151-$AG151-$AF151-$AE151*(1+HA$3))/$AJ151,'Технический лист'!$A:$B,2,1),(GZ151-0.05)))</f>
        <v/>
      </c>
      <c r="HB151" s="172">
        <f>MIN(1,MAX(VLOOKUP(($AJ151-$AI151-$AH151-$AG151-$AF151-$AE151*(1+HB$3))/$AJ151,'Технический лист'!$A:$B,2,1),(HA151-0.05)))</f>
        <v/>
      </c>
      <c r="HC151" s="172">
        <f>MIN(1,MAX(VLOOKUP(($AJ151-$AI151-$AH151-$AG151-$AF151-$AE151*(1+HC$3))/$AJ151,'Технический лист'!$A:$B,2,1),(HB151-0.05)))</f>
        <v/>
      </c>
      <c r="HD151" s="172">
        <f>MIN(1,MAX(VLOOKUP(($AJ151-$AI151-$AH151-$AG151-$AF151-$AE151*(1+HD$3))/$AJ151,'Технический лист'!$A:$B,2,1),(HC151-0.05)))</f>
        <v/>
      </c>
      <c r="HE151" s="172">
        <f>MIN(1,MAX(VLOOKUP(($AJ151-$AI151-$AH151-$AG151-$AF151-$AE151*(1+HE$3))/$AJ151,'Технический лист'!$A:$B,2,1),(HD151-0.05)))</f>
        <v/>
      </c>
      <c r="HF151" s="172">
        <f>MIN(1,MAX(VLOOKUP(($AJ151-$AI151-$AH151-$AG151-$AF151-$AE151*(1+HF$3))/$AJ151,'Технический лист'!$A:$B,2,1),(HE151-0.05)))</f>
        <v/>
      </c>
      <c r="HG151" s="172">
        <f>MIN(1,MAX(VLOOKUP(($AJ151-$AI151-$AH151-$AG151-$AF151-$AE151*(1+HG$3))/$AJ151,'Технический лист'!$A:$B,2,1),(HF151-0.05)))</f>
        <v/>
      </c>
      <c r="HH151" s="172">
        <f>MIN(1,MAX(VLOOKUP(($AJ151-$AI151-$AH151-$AG151-$AF151-$AE151*(1+HH$3))/$AJ151,'Технический лист'!$A:$B,2,1),(HG151-0.05)))</f>
        <v/>
      </c>
      <c r="HI151" s="172">
        <f>MIN(1,MAX(VLOOKUP(($AJ151-$AI151-$AH151-$AG151-$AF151-$AE151*(1+HI$3))/$AJ151,'Технический лист'!$A:$B,2,1),(HH151-0.05)))</f>
        <v/>
      </c>
      <c r="HJ151" s="172">
        <f>MIN(1,MAX(VLOOKUP(($AJ151-$AI151-$AH151-$AG151-$AF151-$AE151*(1+HJ$3))/$AJ151,'Технический лист'!$A:$B,2,1),(HI151-0.05)))</f>
        <v/>
      </c>
      <c r="HK151" s="172">
        <f>MIN(1,MAX(VLOOKUP(($AJ151-$AI151-$AH151-$AG151-$AF151-$AE151*(1+HK$3))/$AJ151,'Технический лист'!$A:$B,2,1),(HJ151-0.05)))</f>
        <v/>
      </c>
      <c r="HL151" s="172">
        <f>MIN(1,MAX(VLOOKUP(($AJ151-$AI151-$AH151-$AG151-$AF151-$AE151*(1+HL$3))/$AJ151,'Технический лист'!$A:$B,2,1),(HK151-0.05)))</f>
        <v/>
      </c>
      <c r="HM151" s="172">
        <f>MIN(1,MAX(VLOOKUP(($AJ151-$AI151-$AH151-$AG151-$AF151-$AE151*(1+HM$3))/$AJ151,'Технический лист'!$A:$B,2,1),(HL151-0.05)))</f>
        <v/>
      </c>
      <c r="HN151" s="172">
        <f>MIN(1,MAX(VLOOKUP(($AJ151-$AI151-$AH151-$AG151-$AF151-$AE151*(1+HN$3))/$AJ151,'Технический лист'!$A:$B,2,1),(HM151-0.05)))</f>
        <v/>
      </c>
      <c r="HO151" s="172">
        <f>MIN(1,MAX(VLOOKUP(($AJ151-$AI151-$AH151-$AG151-$AF151-$AE151*(1+HO$3))/$AJ151,'Технический лист'!$A:$B,2,1),(HN151-0.05)))</f>
        <v/>
      </c>
      <c r="HP151" s="172">
        <f>MIN(1,MAX(VLOOKUP(($AJ151-$AI151-$AH151-$AG151-$AF151-$AE151*(1+HP$3))/$AJ151,'Технический лист'!$A:$B,2,1),(HO151-0.05)))</f>
        <v/>
      </c>
      <c r="HQ151" s="172">
        <f>MIN(1,MAX(VLOOKUP(($AJ151-$AI151-$AH151-$AG151-$AF151-$AE151*(1+HQ$3))/$AJ151,'Технический лист'!$A:$B,2,1),(HP151-0.05)))</f>
        <v/>
      </c>
      <c r="HR151" s="172">
        <f>MIN(1,MAX(VLOOKUP(($AJ151-$AI151-$AH151-$AG151-$AF151-$AE151*(1+HR$3))/$AJ151,'Технический лист'!$A:$B,2,1),(HQ151-0.05)))</f>
        <v/>
      </c>
      <c r="HS151" s="172">
        <f>MIN(1,MAX(VLOOKUP(($AJ151-$AI151-$AH151-$AG151-$AF151-$AE151*(1+HS$3))/$AJ151,'Технический лист'!$A:$B,2,1),(HR151-0.05)))</f>
        <v/>
      </c>
      <c r="HT151" s="172">
        <f>MIN(1,MAX(VLOOKUP(($AJ151-$AI151-$AH151-$AG151-$AF151-$AE151*(1+HT$3))/$AJ151,'Технический лист'!$A:$B,2,1),(HS151-0.05)))</f>
        <v/>
      </c>
      <c r="HU151" s="172">
        <f>MIN(1,MAX(VLOOKUP(($AJ151-$AI151-$AH151-$AG151-$AF151-$AE151*(1+HU$3))/$AJ151,'Технический лист'!$A:$B,2,1),(HT151-0.05)))</f>
        <v/>
      </c>
      <c r="HV151" s="172">
        <f>MIN(1,MAX(VLOOKUP(($AJ151-$AI151-$AH151-$AG151-$AF151-$AE151*(1+HV$3))/$AJ151,'Технический лист'!$A:$B,2,1),(HU151-0.05)))</f>
        <v/>
      </c>
      <c r="HW151" s="172">
        <f>MIN(1,MAX(VLOOKUP(($AJ151-$AI151-$AH151-$AG151-$AF151-$AE151*(1+HW$3))/$AJ151,'Технический лист'!$A:$B,2,1),(HV151-0.05)))</f>
        <v/>
      </c>
      <c r="HX151" s="172">
        <f>MIN(1,MAX(VLOOKUP(($AJ151-$AI151-$AH151-$AG151-$AF151-$AE151*(1+HX$3))/$AJ151,'Технический лист'!$A:$B,2,1),(HW151-0.05)))</f>
        <v/>
      </c>
      <c r="HY151" s="172">
        <f>MIN(1,MAX(VLOOKUP(($AJ151-$AI151-$AH151-$AG151-$AF151-$AE151*(1+HY$3))/$AJ151,'Технический лист'!$A:$B,2,1),(HX151-0.05)))</f>
        <v/>
      </c>
      <c r="HZ151" s="172">
        <f>MIN(1,MAX(VLOOKUP(($AJ151-$AI151-$AH151-$AG151-$AF151-$AE151*(1+HZ$3))/$AJ151,'Технический лист'!$A:$B,2,1),(HY151-0.05)))</f>
        <v/>
      </c>
      <c r="IA151" s="172">
        <f>MIN(1,MAX(VLOOKUP(($AJ151-$AI151-$AH151-$AG151-$AF151-$AE151*(1+IA$3))/$AJ151,'Технический лист'!$A:$B,2,1),(HZ151-0.05)))</f>
        <v/>
      </c>
      <c r="IB151" s="172">
        <f>MIN(1,MAX(VLOOKUP(($AJ151-$AI151-$AH151-$AG151-$AF151-$AE151*(1+IB$3))/$AJ151,'Технический лист'!$A:$B,2,1),(IA151-0.05)))</f>
        <v/>
      </c>
      <c r="IC151" s="172">
        <f>MIN(1,MAX(VLOOKUP(($AJ151-$AI151-$AH151-$AG151-$AF151-$AE151*(1+IC$3))/$AJ151,'Технический лист'!$A:$B,2,1),(IB151-0.05)))</f>
        <v/>
      </c>
      <c r="ID151" s="172">
        <f>MIN(1,MAX(VLOOKUP(($AJ151-$AI151-$AH151-$AG151-$AF151-$AE151*(1+ID$3))/$AJ151,'Технический лист'!$A:$B,2,1),(IC151-0.05)))</f>
        <v/>
      </c>
      <c r="IE151" s="172">
        <f>MIN(1,MAX(VLOOKUP(($AJ151-$AI151-$AH151-$AG151-$AF151-$AE151*(1+IE$3))/$AJ151,'Технический лист'!$A:$B,2,1),(ID151-0.05)))</f>
        <v/>
      </c>
      <c r="IF151" s="172">
        <f>MIN(1,MAX(VLOOKUP(($AJ151-$AI151-$AH151-$AG151-$AF151-$AE151*(1+IF$3))/$AJ151,'Технический лист'!$A:$B,2,1),(IE151-0.05)))</f>
        <v/>
      </c>
      <c r="IG151" s="172">
        <f>MIN(1,MAX(VLOOKUP(($AJ151-$AI151-$AH151-$AG151-$AF151-$AE151*(1+IG$3))/$AJ151,'Технический лист'!$A:$B,2,1),(IF151-0.05)))</f>
        <v/>
      </c>
      <c r="IH151" s="172">
        <f>MIN(1,MAX(VLOOKUP(($AJ151-$AI151-$AH151-$AG151-$AF151-$AE151*(1+IH$3))/$AJ151,'Технический лист'!$A:$B,2,1),(IG151-0.05)))</f>
        <v/>
      </c>
      <c r="II151" s="172">
        <f>MIN(1,MAX(VLOOKUP(($AJ151-$AI151-$AH151-$AG151-$AF151-$AE151*(1+II$3))/$AJ151,'Технический лист'!$A:$B,2,1),(IH151-0.05)))</f>
        <v/>
      </c>
      <c r="IJ151" s="172">
        <f>MIN(1,MAX(VLOOKUP(($AJ151-$AI151-$AH151-$AG151-$AF151-$AE151*(1+IJ$3))/$AJ151,'Технический лист'!$A:$B,2,1),(II151-0.05)))</f>
        <v/>
      </c>
      <c r="IK151" s="172">
        <f>MIN(1,MAX(VLOOKUP(($AJ151-$AI151-$AH151-$AG151-$AF151-$AE151*(1+IK$3))/$AJ151,'Технический лист'!$A:$B,2,1),(IJ151-0.05)))</f>
        <v/>
      </c>
      <c r="IL151" s="172">
        <f>MIN(1,MAX(VLOOKUP(($AJ151-$AI151-$AH151-$AG151-$AF151-$AE151*(1+IL$3))/$AJ151,'Технический лист'!$A:$B,2,1),(IK151-0.05)))</f>
        <v/>
      </c>
      <c r="IM151" s="172">
        <f>MIN(1,MAX(VLOOKUP(($AJ151-$AI151-$AH151-$AG151-$AF151-$AE151*(1+IM$3))/$AJ151,'Технический лист'!$A:$B,2,1),(IL151-0.05)))</f>
        <v/>
      </c>
      <c r="IN151" s="172">
        <f>MIN(1,MAX(VLOOKUP(($AJ151-$AI151-$AH151-$AG151-$AF151-$AE151*(1+IN$3))/$AJ151,'Технический лист'!$A:$B,2,1),(IM151-0.05)))</f>
        <v/>
      </c>
      <c r="IO151" s="172">
        <f>MIN(1,MAX(VLOOKUP(($AJ151-$AI151-$AH151-$AG151-$AF151-$AE151*(1+IO$3))/$AJ151,'Технический лист'!$A:$B,2,1),(IN151-0.05)))</f>
        <v/>
      </c>
      <c r="IP151" s="172">
        <f>MIN(1,MAX(VLOOKUP(($AJ151-$AI151-$AH151-$AG151-$AF151-$AE151*(1+IP$3))/$AJ151,'Технический лист'!$A:$B,2,1),(IO151-0.05)))</f>
        <v/>
      </c>
      <c r="IQ151" s="172">
        <f>MIN(1,MAX(VLOOKUP(($AJ151-$AI151-$AH151-$AG151-$AF151-$AE151*(1+IQ$3))/$AJ151,'Технический лист'!$A:$B,2,1),(IP151-0.05)))</f>
        <v/>
      </c>
      <c r="IR151" s="172">
        <f>MIN(1,MAX(VLOOKUP(($AJ151-$AI151-$AH151-$AG151-$AF151-$AE151*(1+IR$3))/$AJ151,'Технический лист'!$A:$B,2,1),(IQ151-0.05)))</f>
        <v/>
      </c>
    </row>
    <row r="152" ht="43.75" customHeight="1" s="123">
      <c r="A152" s="89" t="inlineStr">
        <is>
          <t>ЧМ (продукция)</t>
        </is>
      </c>
      <c r="B152" s="90" t="n">
        <v>10</v>
      </c>
      <c r="C152" s="5" t="inlineStr">
        <is>
          <t>Остальные грузы</t>
        </is>
      </c>
      <c r="D152" s="91" t="n">
        <v>31607</v>
      </c>
      <c r="E152" s="91" t="inlineStr">
        <is>
          <t xml:space="preserve">Лом черных металлов, не поименованный в алфавите </t>
        </is>
      </c>
      <c r="F152" s="92" t="inlineStr">
        <is>
          <t>ЛОМ ЧЕРНЫХ МЕТАЛЛОВ</t>
        </is>
      </c>
      <c r="G152" s="91" t="inlineStr">
        <is>
          <t>МСК</t>
        </is>
      </c>
      <c r="H152" s="91" t="inlineStr">
        <is>
          <t>ЮВС</t>
        </is>
      </c>
      <c r="I152" s="91" t="inlineStr">
        <is>
          <t>МЫТИЩИ</t>
        </is>
      </c>
      <c r="J152" s="91" t="inlineStr">
        <is>
          <t>НОВОЛИПЕЦК</t>
        </is>
      </c>
      <c r="K152" s="91" t="n">
        <v>644</v>
      </c>
      <c r="L152" s="91" t="inlineStr">
        <is>
          <t>Полувагоны</t>
        </is>
      </c>
      <c r="M152" s="91" t="inlineStr">
        <is>
          <t>Внутр. перевозки</t>
        </is>
      </c>
      <c r="N152" s="91" t="inlineStr">
        <is>
          <t>вагонная</t>
        </is>
      </c>
      <c r="O152" s="91" t="inlineStr">
        <is>
          <t xml:space="preserve">Южное </t>
        </is>
      </c>
      <c r="P152" s="89" t="inlineStr">
        <is>
          <t>'000063491418</t>
        </is>
      </c>
      <c r="Q152" s="91" t="inlineStr">
        <is>
          <t>ООО "Вторчермет НЛМК Центр"</t>
        </is>
      </c>
      <c r="R152" s="91" t="inlineStr">
        <is>
          <t>ПАО "НЛМК"</t>
        </is>
      </c>
      <c r="S152" s="87" t="n">
        <v>240077</v>
      </c>
      <c r="T152" s="87" t="n">
        <v>154721899</v>
      </c>
      <c r="U152" s="88" t="n">
        <v>3599</v>
      </c>
      <c r="V152" s="88" t="n">
        <v>0</v>
      </c>
      <c r="W152" s="87" t="n">
        <v>368508213</v>
      </c>
      <c r="X152" s="112" t="n">
        <v>62</v>
      </c>
      <c r="Y152" s="112" t="inlineStr">
        <is>
          <t>повагонная</t>
        </is>
      </c>
      <c r="Z152" s="113" t="n">
        <v>6</v>
      </c>
      <c r="AA152" s="113" t="n">
        <v>6</v>
      </c>
      <c r="AB152" s="113" t="n">
        <v>4</v>
      </c>
      <c r="AC152" s="161" t="n">
        <v>1960.21</v>
      </c>
      <c r="AD152" s="161">
        <f>AE152-AC152</f>
        <v/>
      </c>
      <c r="AE152" s="161" t="n">
        <v>2214.44</v>
      </c>
      <c r="AF152" s="162">
        <f>(Z152+AA152+AB152)*'Ставки аренды'!$B$3/X152</f>
        <v/>
      </c>
      <c r="AG152" s="164" t="n">
        <v>0</v>
      </c>
      <c r="AH152" s="164" t="n">
        <v>0</v>
      </c>
      <c r="AI152" s="165">
        <f>13011118/14150862*AJ152</f>
        <v/>
      </c>
      <c r="AJ152" s="166">
        <f>Цены!$D$10</f>
        <v/>
      </c>
      <c r="AK152" s="164">
        <f>AJ152/Цены!$B$1</f>
        <v/>
      </c>
      <c r="AL152" s="164">
        <f>AE152+AF152+AG152</f>
        <v/>
      </c>
      <c r="AM152" s="164">
        <f>AJ152-AL152</f>
        <v/>
      </c>
      <c r="AN152" s="164">
        <f>AI152+AH152+AG152+AF152+AE152</f>
        <v/>
      </c>
      <c r="AO152" s="167">
        <f>(AJ152-AN152)/AJ152</f>
        <v/>
      </c>
      <c r="AP152" s="168">
        <f>AL152/AJ152</f>
        <v/>
      </c>
      <c r="AQ152" s="168">
        <f>AE152/AJ152</f>
        <v/>
      </c>
      <c r="AR152" s="168">
        <f>AE152/AL152</f>
        <v/>
      </c>
      <c r="AS152" s="169" t="n">
        <v>1</v>
      </c>
      <c r="AT152" s="121">
        <f>S152*AS152</f>
        <v/>
      </c>
      <c r="AU152" s="7" t="inlineStr">
        <is>
          <t>Внутренняя логистика</t>
        </is>
      </c>
      <c r="AV152" s="170">
        <f>(AJ152-(AE152*(1+$IS$2)+AF152+AG152+AH152+AI152))/AJ152</f>
        <v/>
      </c>
      <c r="AW152" s="171">
        <f>(AE152*(1+$IS$2)+AF152+AG152)/AJ152</f>
        <v/>
      </c>
      <c r="AX152" s="171">
        <f>(AE152*(1+$IS$2))/AJ152</f>
        <v/>
      </c>
      <c r="AY152" s="171">
        <f>(AE152*(1+$IS$2))/(AE152*(1+$IS$2)+AF152+AG152)</f>
        <v/>
      </c>
      <c r="AZ152" s="172" t="n">
        <v>1</v>
      </c>
      <c r="BA152" s="172" t="n">
        <v>1</v>
      </c>
      <c r="BB152" s="172" t="n">
        <v>1</v>
      </c>
      <c r="BC152" s="172" t="n">
        <v>1</v>
      </c>
      <c r="BD152" s="172" t="n">
        <v>1</v>
      </c>
      <c r="BE152" s="172" t="n">
        <v>1</v>
      </c>
      <c r="BF152" s="172" t="n">
        <v>1</v>
      </c>
      <c r="BG152" s="172" t="n">
        <v>1</v>
      </c>
      <c r="BH152" s="172" t="n">
        <v>1</v>
      </c>
      <c r="BI152" s="172" t="n">
        <v>1</v>
      </c>
      <c r="BJ152" s="172" t="n">
        <v>1</v>
      </c>
      <c r="BK152" s="172" t="n">
        <v>1</v>
      </c>
      <c r="BL152" s="172" t="n">
        <v>1</v>
      </c>
      <c r="BM152" s="172" t="n">
        <v>1</v>
      </c>
      <c r="BN152" s="172" t="n">
        <v>1</v>
      </c>
      <c r="BO152" s="172" t="n">
        <v>1</v>
      </c>
      <c r="BP152" s="172" t="n">
        <v>1</v>
      </c>
      <c r="BQ152" s="172" t="n">
        <v>1</v>
      </c>
      <c r="BR152" s="172" t="n">
        <v>1</v>
      </c>
      <c r="BS152" s="172" t="n">
        <v>1</v>
      </c>
      <c r="BT152" s="172" t="n">
        <v>1</v>
      </c>
      <c r="BU152" s="172" t="n">
        <v>1</v>
      </c>
      <c r="BV152" s="172" t="n">
        <v>1</v>
      </c>
      <c r="BW152" s="172" t="n">
        <v>1</v>
      </c>
      <c r="BX152" s="172" t="n">
        <v>1</v>
      </c>
      <c r="BY152" s="172" t="n">
        <v>1</v>
      </c>
      <c r="BZ152" s="172" t="n">
        <v>1</v>
      </c>
      <c r="CA152" s="172" t="n">
        <v>1</v>
      </c>
      <c r="CB152" s="172" t="n">
        <v>1</v>
      </c>
      <c r="CC152" s="172" t="n">
        <v>1</v>
      </c>
      <c r="CD152" s="172" t="n">
        <v>1</v>
      </c>
      <c r="CE152" s="172" t="n">
        <v>1</v>
      </c>
      <c r="CF152" s="172" t="n">
        <v>1</v>
      </c>
      <c r="CG152" s="172" t="n">
        <v>1</v>
      </c>
      <c r="CH152" s="172" t="n">
        <v>1</v>
      </c>
      <c r="CI152" s="172" t="n">
        <v>1</v>
      </c>
      <c r="CJ152" s="172" t="n">
        <v>1</v>
      </c>
      <c r="CK152" s="172" t="n">
        <v>1</v>
      </c>
      <c r="CL152" s="172" t="n">
        <v>1</v>
      </c>
      <c r="CM152" s="172" t="n">
        <v>1</v>
      </c>
      <c r="CN152" s="172" t="n">
        <v>1</v>
      </c>
      <c r="CO152" s="172" t="n">
        <v>1</v>
      </c>
      <c r="CP152" s="172" t="n">
        <v>1</v>
      </c>
      <c r="CQ152" s="172" t="n">
        <v>1</v>
      </c>
      <c r="CR152" s="172" t="n">
        <v>1</v>
      </c>
      <c r="CS152" s="172" t="n">
        <v>1</v>
      </c>
      <c r="CT152" s="172" t="n">
        <v>1</v>
      </c>
      <c r="CU152" s="172" t="n">
        <v>1</v>
      </c>
      <c r="CV152" s="172" t="n">
        <v>1</v>
      </c>
      <c r="CW152" s="172" t="n">
        <v>1</v>
      </c>
      <c r="CX152" s="172" t="n">
        <v>1</v>
      </c>
      <c r="CY152" s="172" t="n">
        <v>1</v>
      </c>
      <c r="CZ152" s="172" t="n">
        <v>1</v>
      </c>
      <c r="DA152" s="172" t="n">
        <v>1</v>
      </c>
      <c r="DB152" s="172" t="n">
        <v>1</v>
      </c>
      <c r="DC152" s="172" t="n">
        <v>1</v>
      </c>
      <c r="DD152" s="172" t="n">
        <v>1</v>
      </c>
      <c r="DE152" s="172" t="n">
        <v>1</v>
      </c>
      <c r="DF152" s="172" t="n">
        <v>1</v>
      </c>
      <c r="DG152" s="172" t="n">
        <v>1</v>
      </c>
      <c r="DH152" s="172" t="n">
        <v>1</v>
      </c>
      <c r="DI152" s="172" t="n">
        <v>1</v>
      </c>
      <c r="DJ152" s="172" t="n">
        <v>1</v>
      </c>
      <c r="DK152" s="172" t="n">
        <v>1</v>
      </c>
      <c r="DL152" s="172" t="n">
        <v>1</v>
      </c>
      <c r="DM152" s="172" t="n">
        <v>1</v>
      </c>
      <c r="DN152" s="172" t="n">
        <v>1</v>
      </c>
      <c r="DO152" s="172" t="n">
        <v>1</v>
      </c>
      <c r="DP152" s="172" t="n">
        <v>1</v>
      </c>
      <c r="DQ152" s="172" t="n">
        <v>1</v>
      </c>
      <c r="DR152" s="172" t="n">
        <v>1</v>
      </c>
      <c r="DS152" s="172" t="n">
        <v>1</v>
      </c>
      <c r="DT152" s="172" t="n">
        <v>1</v>
      </c>
      <c r="DU152" s="172" t="n">
        <v>1</v>
      </c>
      <c r="DV152" s="172" t="n">
        <v>1</v>
      </c>
      <c r="DW152" s="172" t="n">
        <v>1</v>
      </c>
      <c r="DX152" s="172" t="n">
        <v>1</v>
      </c>
      <c r="DY152" s="172" t="n">
        <v>1</v>
      </c>
      <c r="DZ152" s="172" t="n">
        <v>1</v>
      </c>
      <c r="EA152" s="172" t="n">
        <v>1</v>
      </c>
      <c r="EB152" s="172" t="n">
        <v>1</v>
      </c>
      <c r="EC152" s="172" t="n">
        <v>1</v>
      </c>
      <c r="ED152" s="172" t="n">
        <v>1</v>
      </c>
      <c r="EE152" s="172" t="n">
        <v>1</v>
      </c>
      <c r="EF152" s="172" t="n">
        <v>1</v>
      </c>
      <c r="EG152" s="172" t="n">
        <v>1</v>
      </c>
      <c r="EH152" s="172" t="n">
        <v>1</v>
      </c>
      <c r="EI152" s="172" t="n">
        <v>1</v>
      </c>
      <c r="EJ152" s="172" t="n">
        <v>1</v>
      </c>
      <c r="EK152" s="172" t="n">
        <v>1</v>
      </c>
      <c r="EL152" s="172" t="n">
        <v>1</v>
      </c>
      <c r="EM152" s="172" t="n">
        <v>1</v>
      </c>
      <c r="EN152" s="172" t="n">
        <v>1</v>
      </c>
      <c r="EO152" s="172" t="n">
        <v>1</v>
      </c>
      <c r="EP152" s="172" t="n">
        <v>1</v>
      </c>
      <c r="EQ152" s="172" t="n">
        <v>1</v>
      </c>
      <c r="ER152" s="172" t="n">
        <v>1</v>
      </c>
      <c r="ES152" s="172" t="n">
        <v>1</v>
      </c>
      <c r="ET152" s="172" t="n">
        <v>1</v>
      </c>
      <c r="EU152" s="172" t="n">
        <v>1</v>
      </c>
      <c r="EV152" s="173" t="n">
        <v>1</v>
      </c>
      <c r="EW152" s="172" t="n">
        <v>1</v>
      </c>
      <c r="EX152" s="172" t="n">
        <v>1</v>
      </c>
      <c r="EY152" s="172" t="n">
        <v>1</v>
      </c>
      <c r="EZ152" s="172" t="n">
        <v>1</v>
      </c>
      <c r="FA152" s="172" t="n">
        <v>1</v>
      </c>
      <c r="FB152" s="172" t="n">
        <v>1</v>
      </c>
      <c r="FC152" s="172" t="n">
        <v>1</v>
      </c>
      <c r="FD152" s="172" t="n">
        <v>1</v>
      </c>
      <c r="FE152" s="172" t="n">
        <v>1</v>
      </c>
      <c r="FF152" s="172" t="n">
        <v>1</v>
      </c>
      <c r="FG152" s="172" t="n">
        <v>1</v>
      </c>
      <c r="FH152" s="172" t="n">
        <v>1</v>
      </c>
      <c r="FI152" s="172" t="n">
        <v>1</v>
      </c>
      <c r="FJ152" s="172" t="n">
        <v>1</v>
      </c>
      <c r="FK152" s="172" t="n">
        <v>1</v>
      </c>
      <c r="FL152" s="172" t="n">
        <v>1</v>
      </c>
      <c r="FM152" s="172" t="n">
        <v>1</v>
      </c>
      <c r="FN152" s="172" t="n">
        <v>1</v>
      </c>
      <c r="FO152" s="172" t="n">
        <v>1</v>
      </c>
      <c r="FP152" s="172" t="n">
        <v>1</v>
      </c>
      <c r="FQ152" s="172" t="n">
        <v>1</v>
      </c>
      <c r="FR152" s="172" t="n">
        <v>1</v>
      </c>
      <c r="FS152" s="172" t="n">
        <v>1</v>
      </c>
      <c r="FT152" s="172" t="n">
        <v>1</v>
      </c>
      <c r="FU152" s="172" t="n">
        <v>1</v>
      </c>
      <c r="FV152" s="172" t="n">
        <v>1</v>
      </c>
      <c r="FW152" s="172" t="n">
        <v>1</v>
      </c>
      <c r="FX152" s="172" t="n">
        <v>1</v>
      </c>
      <c r="FY152" s="172" t="n">
        <v>1</v>
      </c>
      <c r="FZ152" s="172" t="n">
        <v>1</v>
      </c>
      <c r="GA152" s="172" t="n">
        <v>1</v>
      </c>
      <c r="GB152" s="172" t="n">
        <v>1</v>
      </c>
      <c r="GC152" s="172" t="n">
        <v>1</v>
      </c>
      <c r="GD152" s="172" t="n">
        <v>1</v>
      </c>
      <c r="GE152" s="172" t="n">
        <v>1</v>
      </c>
      <c r="GF152" s="172" t="n">
        <v>1</v>
      </c>
      <c r="GG152" s="172" t="n">
        <v>1</v>
      </c>
      <c r="GH152" s="172" t="n">
        <v>1</v>
      </c>
      <c r="GI152" s="172" t="n">
        <v>1</v>
      </c>
      <c r="GJ152" s="172" t="n">
        <v>1</v>
      </c>
      <c r="GK152" s="172" t="n">
        <v>1</v>
      </c>
      <c r="GL152" s="172" t="n">
        <v>1</v>
      </c>
      <c r="GM152" s="172" t="n">
        <v>1</v>
      </c>
      <c r="GN152" s="172" t="n">
        <v>1</v>
      </c>
      <c r="GO152" s="172" t="n">
        <v>1</v>
      </c>
      <c r="GP152" s="172" t="n">
        <v>1</v>
      </c>
      <c r="GQ152" s="172" t="n">
        <v>1</v>
      </c>
      <c r="GR152" s="172" t="n">
        <v>1</v>
      </c>
      <c r="GS152" s="172" t="n">
        <v>1</v>
      </c>
      <c r="GT152" s="172" t="n">
        <v>1</v>
      </c>
      <c r="GU152" s="172" t="n">
        <v>1</v>
      </c>
      <c r="GV152" s="172" t="n">
        <v>1</v>
      </c>
      <c r="GW152" s="172" t="n">
        <v>1</v>
      </c>
      <c r="GX152" s="172" t="n">
        <v>1</v>
      </c>
      <c r="GY152" s="172" t="n">
        <v>1</v>
      </c>
      <c r="GZ152" s="172" t="n">
        <v>1</v>
      </c>
      <c r="HA152" s="172" t="n">
        <v>1</v>
      </c>
      <c r="HB152" s="172" t="n">
        <v>1</v>
      </c>
      <c r="HC152" s="172" t="n">
        <v>1</v>
      </c>
      <c r="HD152" s="172" t="n">
        <v>1</v>
      </c>
      <c r="HE152" s="172" t="n">
        <v>1</v>
      </c>
      <c r="HF152" s="172" t="n">
        <v>1</v>
      </c>
      <c r="HG152" s="172" t="n">
        <v>1</v>
      </c>
      <c r="HH152" s="172" t="n">
        <v>1</v>
      </c>
      <c r="HI152" s="172" t="n">
        <v>1</v>
      </c>
      <c r="HJ152" s="172" t="n">
        <v>1</v>
      </c>
      <c r="HK152" s="172" t="n">
        <v>1</v>
      </c>
      <c r="HL152" s="172" t="n">
        <v>1</v>
      </c>
      <c r="HM152" s="172" t="n">
        <v>1</v>
      </c>
      <c r="HN152" s="172" t="n">
        <v>1</v>
      </c>
      <c r="HO152" s="172" t="n">
        <v>1</v>
      </c>
      <c r="HP152" s="172" t="n">
        <v>1</v>
      </c>
      <c r="HQ152" s="172" t="n">
        <v>1</v>
      </c>
      <c r="HR152" s="172" t="n">
        <v>1</v>
      </c>
      <c r="HS152" s="172" t="n">
        <v>1</v>
      </c>
      <c r="HT152" s="172" t="n">
        <v>1</v>
      </c>
      <c r="HU152" s="172" t="n">
        <v>1</v>
      </c>
      <c r="HV152" s="172" t="n">
        <v>1</v>
      </c>
      <c r="HW152" s="172" t="n">
        <v>1</v>
      </c>
      <c r="HX152" s="172" t="n">
        <v>1</v>
      </c>
      <c r="HY152" s="172" t="n">
        <v>1</v>
      </c>
      <c r="HZ152" s="172" t="n">
        <v>1</v>
      </c>
      <c r="IA152" s="172" t="n">
        <v>1</v>
      </c>
      <c r="IB152" s="172" t="n">
        <v>1</v>
      </c>
      <c r="IC152" s="172" t="n">
        <v>1</v>
      </c>
      <c r="ID152" s="172" t="n">
        <v>1</v>
      </c>
      <c r="IE152" s="172" t="n">
        <v>1</v>
      </c>
      <c r="IF152" s="172" t="n">
        <v>1</v>
      </c>
      <c r="IG152" s="172" t="n">
        <v>1</v>
      </c>
      <c r="IH152" s="172" t="n">
        <v>1</v>
      </c>
      <c r="II152" s="172" t="n">
        <v>1</v>
      </c>
      <c r="IJ152" s="172" t="n">
        <v>1</v>
      </c>
      <c r="IK152" s="172" t="n">
        <v>1</v>
      </c>
      <c r="IL152" s="172" t="n">
        <v>1</v>
      </c>
      <c r="IM152" s="172" t="n">
        <v>1</v>
      </c>
      <c r="IN152" s="172" t="n">
        <v>1</v>
      </c>
      <c r="IO152" s="172" t="n">
        <v>1</v>
      </c>
      <c r="IP152" s="172" t="n">
        <v>1</v>
      </c>
      <c r="IQ152" s="172" t="n">
        <v>1</v>
      </c>
      <c r="IR152" s="172" t="n">
        <v>1</v>
      </c>
    </row>
    <row r="153" ht="43.75" customHeight="1" s="123">
      <c r="A153" s="89" t="inlineStr">
        <is>
          <t>ЧМ (продукция)</t>
        </is>
      </c>
      <c r="B153" s="90" t="n">
        <v>10</v>
      </c>
      <c r="C153" s="5" t="inlineStr">
        <is>
          <t>Остальные грузы</t>
        </is>
      </c>
      <c r="D153" s="91" t="n">
        <v>31608</v>
      </c>
      <c r="E153" s="91" t="inlineStr">
        <is>
          <t xml:space="preserve">Обрезь черных металлов от прокатного производства </t>
        </is>
      </c>
      <c r="F153" s="92" t="inlineStr">
        <is>
          <t>ЛОМ ЧЕРНЫХ МЕТАЛЛОВ</t>
        </is>
      </c>
      <c r="G153" s="91" t="inlineStr">
        <is>
          <t>ОКТ</t>
        </is>
      </c>
      <c r="H153" s="91" t="inlineStr">
        <is>
          <t>СЕВ</t>
        </is>
      </c>
      <c r="I153" s="91" t="inlineStr">
        <is>
          <t>КОЛПИНО</t>
        </is>
      </c>
      <c r="J153" s="91" t="inlineStr">
        <is>
          <t>ЧЕРЕПОВЕЦ 2</t>
        </is>
      </c>
      <c r="K153" s="91" t="n">
        <v>475</v>
      </c>
      <c r="L153" s="91" t="inlineStr">
        <is>
          <t>Полувагоны</t>
        </is>
      </c>
      <c r="M153" s="91" t="inlineStr">
        <is>
          <t>Внутр. перевозки</t>
        </is>
      </c>
      <c r="N153" s="91" t="inlineStr">
        <is>
          <t>вагонная</t>
        </is>
      </c>
      <c r="O153" s="91" t="inlineStr">
        <is>
          <t xml:space="preserve">Северо-Западное </t>
        </is>
      </c>
      <c r="P153" s="89" t="inlineStr">
        <is>
          <t>'000000186217</t>
        </is>
      </c>
      <c r="Q153" s="91" t="inlineStr">
        <is>
          <t>ПАО "Северсталь"</t>
        </is>
      </c>
      <c r="R153" s="91" t="inlineStr">
        <is>
          <t>ПАО "СЕВЕРСТАЛЬ"</t>
        </is>
      </c>
      <c r="S153" s="87" t="n">
        <v>53772</v>
      </c>
      <c r="T153" s="87" t="n">
        <v>25541775</v>
      </c>
      <c r="U153" s="88" t="n">
        <v>864</v>
      </c>
      <c r="V153" s="88" t="n">
        <v>0</v>
      </c>
      <c r="W153" s="87" t="n">
        <v>71991506</v>
      </c>
      <c r="X153" s="112" t="n">
        <v>62</v>
      </c>
      <c r="Y153" s="112" t="inlineStr">
        <is>
          <t>повагонная</t>
        </is>
      </c>
      <c r="Z153" s="113" t="n">
        <v>6</v>
      </c>
      <c r="AA153" s="113" t="n">
        <v>5</v>
      </c>
      <c r="AB153" s="113" t="n">
        <v>4</v>
      </c>
      <c r="AC153" s="161" t="n">
        <v>1601.56</v>
      </c>
      <c r="AD153" s="161">
        <f>AE153-AC153</f>
        <v/>
      </c>
      <c r="AE153" s="161" t="n">
        <v>1790.74</v>
      </c>
      <c r="AF153" s="162">
        <f>(Z153+AA153+AB153)*'Ставки аренды'!$B$3/X153</f>
        <v/>
      </c>
      <c r="AG153" s="164" t="n">
        <v>0</v>
      </c>
      <c r="AH153" s="164" t="n">
        <v>0</v>
      </c>
      <c r="AI153" s="174">
        <f>507353/712157*AJ153</f>
        <v/>
      </c>
      <c r="AJ153" s="166">
        <f>Цены!$D$10</f>
        <v/>
      </c>
      <c r="AK153" s="164">
        <f>AJ153/Цены!$B$1</f>
        <v/>
      </c>
      <c r="AL153" s="164">
        <f>AE153+AF153+AG153</f>
        <v/>
      </c>
      <c r="AM153" s="164">
        <f>AJ153-AL153</f>
        <v/>
      </c>
      <c r="AN153" s="164">
        <f>AI153+AH153+AG153+AF153+AE153</f>
        <v/>
      </c>
      <c r="AO153" s="167">
        <f>(AJ153-AN153)/AJ153</f>
        <v/>
      </c>
      <c r="AP153" s="168">
        <f>AL153/AJ153</f>
        <v/>
      </c>
      <c r="AQ153" s="168">
        <f>AE153/AJ153</f>
        <v/>
      </c>
      <c r="AR153" s="168">
        <f>AE153/AL153</f>
        <v/>
      </c>
      <c r="AS153" s="169" t="n">
        <v>1</v>
      </c>
      <c r="AT153" s="121">
        <f>S153*AS153</f>
        <v/>
      </c>
      <c r="AU153" s="7" t="inlineStr">
        <is>
          <t>Внутренняя логистика</t>
        </is>
      </c>
      <c r="AV153" s="170">
        <f>(AJ153-(AE153*(1+$IS$2)+AF153+AG153+AH153+AI153))/AJ153</f>
        <v/>
      </c>
      <c r="AW153" s="171">
        <f>(AE153*(1+$IS$2)+AF153+AG153)/AJ153</f>
        <v/>
      </c>
      <c r="AX153" s="171">
        <f>(AE153*(1+$IS$2))/AJ153</f>
        <v/>
      </c>
      <c r="AY153" s="171">
        <f>(AE153*(1+$IS$2))/(AE153*(1+$IS$2)+AF153+AG153)</f>
        <v/>
      </c>
      <c r="AZ153" s="172" t="n">
        <v>1</v>
      </c>
      <c r="BA153" s="172" t="n">
        <v>1</v>
      </c>
      <c r="BB153" s="172" t="n">
        <v>1</v>
      </c>
      <c r="BC153" s="172" t="n">
        <v>1</v>
      </c>
      <c r="BD153" s="172" t="n">
        <v>1</v>
      </c>
      <c r="BE153" s="172" t="n">
        <v>1</v>
      </c>
      <c r="BF153" s="172" t="n">
        <v>1</v>
      </c>
      <c r="BG153" s="172" t="n">
        <v>1</v>
      </c>
      <c r="BH153" s="172" t="n">
        <v>1</v>
      </c>
      <c r="BI153" s="172" t="n">
        <v>1</v>
      </c>
      <c r="BJ153" s="172" t="n">
        <v>1</v>
      </c>
      <c r="BK153" s="172" t="n">
        <v>1</v>
      </c>
      <c r="BL153" s="172" t="n">
        <v>1</v>
      </c>
      <c r="BM153" s="172" t="n">
        <v>1</v>
      </c>
      <c r="BN153" s="172" t="n">
        <v>1</v>
      </c>
      <c r="BO153" s="172" t="n">
        <v>1</v>
      </c>
      <c r="BP153" s="172" t="n">
        <v>1</v>
      </c>
      <c r="BQ153" s="172" t="n">
        <v>1</v>
      </c>
      <c r="BR153" s="172" t="n">
        <v>1</v>
      </c>
      <c r="BS153" s="172" t="n">
        <v>1</v>
      </c>
      <c r="BT153" s="172" t="n">
        <v>1</v>
      </c>
      <c r="BU153" s="172" t="n">
        <v>1</v>
      </c>
      <c r="BV153" s="172" t="n">
        <v>1</v>
      </c>
      <c r="BW153" s="172" t="n">
        <v>1</v>
      </c>
      <c r="BX153" s="172" t="n">
        <v>1</v>
      </c>
      <c r="BY153" s="172" t="n">
        <v>1</v>
      </c>
      <c r="BZ153" s="172" t="n">
        <v>1</v>
      </c>
      <c r="CA153" s="172" t="n">
        <v>1</v>
      </c>
      <c r="CB153" s="172" t="n">
        <v>1</v>
      </c>
      <c r="CC153" s="172" t="n">
        <v>1</v>
      </c>
      <c r="CD153" s="172" t="n">
        <v>1</v>
      </c>
      <c r="CE153" s="172" t="n">
        <v>1</v>
      </c>
      <c r="CF153" s="172" t="n">
        <v>1</v>
      </c>
      <c r="CG153" s="172" t="n">
        <v>1</v>
      </c>
      <c r="CH153" s="172" t="n">
        <v>1</v>
      </c>
      <c r="CI153" s="172" t="n">
        <v>1</v>
      </c>
      <c r="CJ153" s="172" t="n">
        <v>1</v>
      </c>
      <c r="CK153" s="172" t="n">
        <v>1</v>
      </c>
      <c r="CL153" s="172" t="n">
        <v>1</v>
      </c>
      <c r="CM153" s="172" t="n">
        <v>1</v>
      </c>
      <c r="CN153" s="172" t="n">
        <v>1</v>
      </c>
      <c r="CO153" s="172" t="n">
        <v>1</v>
      </c>
      <c r="CP153" s="172" t="n">
        <v>1</v>
      </c>
      <c r="CQ153" s="172" t="n">
        <v>1</v>
      </c>
      <c r="CR153" s="172" t="n">
        <v>1</v>
      </c>
      <c r="CS153" s="172" t="n">
        <v>1</v>
      </c>
      <c r="CT153" s="172" t="n">
        <v>1</v>
      </c>
      <c r="CU153" s="172" t="n">
        <v>1</v>
      </c>
      <c r="CV153" s="172" t="n">
        <v>1</v>
      </c>
      <c r="CW153" s="172" t="n">
        <v>1</v>
      </c>
      <c r="CX153" s="172" t="n">
        <v>1</v>
      </c>
      <c r="CY153" s="172" t="n">
        <v>1</v>
      </c>
      <c r="CZ153" s="172" t="n">
        <v>1</v>
      </c>
      <c r="DA153" s="172" t="n">
        <v>1</v>
      </c>
      <c r="DB153" s="172" t="n">
        <v>1</v>
      </c>
      <c r="DC153" s="172" t="n">
        <v>1</v>
      </c>
      <c r="DD153" s="172" t="n">
        <v>1</v>
      </c>
      <c r="DE153" s="172" t="n">
        <v>1</v>
      </c>
      <c r="DF153" s="172" t="n">
        <v>1</v>
      </c>
      <c r="DG153" s="172" t="n">
        <v>1</v>
      </c>
      <c r="DH153" s="172" t="n">
        <v>1</v>
      </c>
      <c r="DI153" s="172" t="n">
        <v>1</v>
      </c>
      <c r="DJ153" s="172" t="n">
        <v>1</v>
      </c>
      <c r="DK153" s="172" t="n">
        <v>1</v>
      </c>
      <c r="DL153" s="172" t="n">
        <v>1</v>
      </c>
      <c r="DM153" s="172" t="n">
        <v>1</v>
      </c>
      <c r="DN153" s="172" t="n">
        <v>1</v>
      </c>
      <c r="DO153" s="172" t="n">
        <v>1</v>
      </c>
      <c r="DP153" s="172" t="n">
        <v>1</v>
      </c>
      <c r="DQ153" s="172" t="n">
        <v>1</v>
      </c>
      <c r="DR153" s="172" t="n">
        <v>1</v>
      </c>
      <c r="DS153" s="172" t="n">
        <v>1</v>
      </c>
      <c r="DT153" s="172" t="n">
        <v>1</v>
      </c>
      <c r="DU153" s="172" t="n">
        <v>1</v>
      </c>
      <c r="DV153" s="172" t="n">
        <v>1</v>
      </c>
      <c r="DW153" s="172" t="n">
        <v>1</v>
      </c>
      <c r="DX153" s="172" t="n">
        <v>1</v>
      </c>
      <c r="DY153" s="172" t="n">
        <v>1</v>
      </c>
      <c r="DZ153" s="172" t="n">
        <v>1</v>
      </c>
      <c r="EA153" s="172" t="n">
        <v>1</v>
      </c>
      <c r="EB153" s="172" t="n">
        <v>1</v>
      </c>
      <c r="EC153" s="172" t="n">
        <v>1</v>
      </c>
      <c r="ED153" s="172" t="n">
        <v>1</v>
      </c>
      <c r="EE153" s="172" t="n">
        <v>1</v>
      </c>
      <c r="EF153" s="172" t="n">
        <v>1</v>
      </c>
      <c r="EG153" s="172" t="n">
        <v>1</v>
      </c>
      <c r="EH153" s="172" t="n">
        <v>1</v>
      </c>
      <c r="EI153" s="172" t="n">
        <v>1</v>
      </c>
      <c r="EJ153" s="172" t="n">
        <v>1</v>
      </c>
      <c r="EK153" s="172" t="n">
        <v>1</v>
      </c>
      <c r="EL153" s="172" t="n">
        <v>1</v>
      </c>
      <c r="EM153" s="172" t="n">
        <v>1</v>
      </c>
      <c r="EN153" s="172" t="n">
        <v>1</v>
      </c>
      <c r="EO153" s="172" t="n">
        <v>1</v>
      </c>
      <c r="EP153" s="172" t="n">
        <v>1</v>
      </c>
      <c r="EQ153" s="172" t="n">
        <v>1</v>
      </c>
      <c r="ER153" s="172" t="n">
        <v>1</v>
      </c>
      <c r="ES153" s="172" t="n">
        <v>1</v>
      </c>
      <c r="ET153" s="172" t="n">
        <v>1</v>
      </c>
      <c r="EU153" s="172" t="n">
        <v>1</v>
      </c>
      <c r="EV153" s="173" t="n">
        <v>1</v>
      </c>
      <c r="EW153" s="172" t="n">
        <v>1</v>
      </c>
      <c r="EX153" s="172" t="n">
        <v>1</v>
      </c>
      <c r="EY153" s="172" t="n">
        <v>1</v>
      </c>
      <c r="EZ153" s="172" t="n">
        <v>1</v>
      </c>
      <c r="FA153" s="172" t="n">
        <v>1</v>
      </c>
      <c r="FB153" s="172" t="n">
        <v>1</v>
      </c>
      <c r="FC153" s="172" t="n">
        <v>1</v>
      </c>
      <c r="FD153" s="172" t="n">
        <v>1</v>
      </c>
      <c r="FE153" s="172" t="n">
        <v>1</v>
      </c>
      <c r="FF153" s="172" t="n">
        <v>1</v>
      </c>
      <c r="FG153" s="172" t="n">
        <v>1</v>
      </c>
      <c r="FH153" s="172" t="n">
        <v>1</v>
      </c>
      <c r="FI153" s="172" t="n">
        <v>1</v>
      </c>
      <c r="FJ153" s="172" t="n">
        <v>1</v>
      </c>
      <c r="FK153" s="172" t="n">
        <v>1</v>
      </c>
      <c r="FL153" s="172" t="n">
        <v>1</v>
      </c>
      <c r="FM153" s="172" t="n">
        <v>1</v>
      </c>
      <c r="FN153" s="172" t="n">
        <v>1</v>
      </c>
      <c r="FO153" s="172" t="n">
        <v>1</v>
      </c>
      <c r="FP153" s="172" t="n">
        <v>1</v>
      </c>
      <c r="FQ153" s="172" t="n">
        <v>1</v>
      </c>
      <c r="FR153" s="172" t="n">
        <v>1</v>
      </c>
      <c r="FS153" s="172" t="n">
        <v>1</v>
      </c>
      <c r="FT153" s="172" t="n">
        <v>1</v>
      </c>
      <c r="FU153" s="172" t="n">
        <v>1</v>
      </c>
      <c r="FV153" s="172" t="n">
        <v>1</v>
      </c>
      <c r="FW153" s="172" t="n">
        <v>1</v>
      </c>
      <c r="FX153" s="172" t="n">
        <v>1</v>
      </c>
      <c r="FY153" s="172" t="n">
        <v>1</v>
      </c>
      <c r="FZ153" s="172" t="n">
        <v>1</v>
      </c>
      <c r="GA153" s="172" t="n">
        <v>1</v>
      </c>
      <c r="GB153" s="172" t="n">
        <v>1</v>
      </c>
      <c r="GC153" s="172" t="n">
        <v>1</v>
      </c>
      <c r="GD153" s="172" t="n">
        <v>1</v>
      </c>
      <c r="GE153" s="172" t="n">
        <v>1</v>
      </c>
      <c r="GF153" s="172" t="n">
        <v>1</v>
      </c>
      <c r="GG153" s="172" t="n">
        <v>1</v>
      </c>
      <c r="GH153" s="172" t="n">
        <v>1</v>
      </c>
      <c r="GI153" s="172" t="n">
        <v>1</v>
      </c>
      <c r="GJ153" s="172" t="n">
        <v>1</v>
      </c>
      <c r="GK153" s="172" t="n">
        <v>1</v>
      </c>
      <c r="GL153" s="172" t="n">
        <v>1</v>
      </c>
      <c r="GM153" s="172" t="n">
        <v>1</v>
      </c>
      <c r="GN153" s="172" t="n">
        <v>1</v>
      </c>
      <c r="GO153" s="172" t="n">
        <v>1</v>
      </c>
      <c r="GP153" s="172" t="n">
        <v>1</v>
      </c>
      <c r="GQ153" s="172" t="n">
        <v>1</v>
      </c>
      <c r="GR153" s="172" t="n">
        <v>1</v>
      </c>
      <c r="GS153" s="172" t="n">
        <v>1</v>
      </c>
      <c r="GT153" s="172" t="n">
        <v>1</v>
      </c>
      <c r="GU153" s="172" t="n">
        <v>1</v>
      </c>
      <c r="GV153" s="172" t="n">
        <v>1</v>
      </c>
      <c r="GW153" s="172" t="n">
        <v>1</v>
      </c>
      <c r="GX153" s="172" t="n">
        <v>1</v>
      </c>
      <c r="GY153" s="172" t="n">
        <v>1</v>
      </c>
      <c r="GZ153" s="172" t="n">
        <v>1</v>
      </c>
      <c r="HA153" s="172" t="n">
        <v>1</v>
      </c>
      <c r="HB153" s="172" t="n">
        <v>1</v>
      </c>
      <c r="HC153" s="172" t="n">
        <v>1</v>
      </c>
      <c r="HD153" s="172" t="n">
        <v>1</v>
      </c>
      <c r="HE153" s="172" t="n">
        <v>1</v>
      </c>
      <c r="HF153" s="172" t="n">
        <v>1</v>
      </c>
      <c r="HG153" s="172" t="n">
        <v>1</v>
      </c>
      <c r="HH153" s="172" t="n">
        <v>1</v>
      </c>
      <c r="HI153" s="172" t="n">
        <v>1</v>
      </c>
      <c r="HJ153" s="172" t="n">
        <v>1</v>
      </c>
      <c r="HK153" s="172" t="n">
        <v>1</v>
      </c>
      <c r="HL153" s="172" t="n">
        <v>1</v>
      </c>
      <c r="HM153" s="172" t="n">
        <v>1</v>
      </c>
      <c r="HN153" s="172" t="n">
        <v>1</v>
      </c>
      <c r="HO153" s="172" t="n">
        <v>1</v>
      </c>
      <c r="HP153" s="172" t="n">
        <v>1</v>
      </c>
      <c r="HQ153" s="172" t="n">
        <v>1</v>
      </c>
      <c r="HR153" s="172" t="n">
        <v>1</v>
      </c>
      <c r="HS153" s="172" t="n">
        <v>1</v>
      </c>
      <c r="HT153" s="172" t="n">
        <v>1</v>
      </c>
      <c r="HU153" s="172" t="n">
        <v>1</v>
      </c>
      <c r="HV153" s="172" t="n">
        <v>1</v>
      </c>
      <c r="HW153" s="172" t="n">
        <v>1</v>
      </c>
      <c r="HX153" s="172" t="n">
        <v>1</v>
      </c>
      <c r="HY153" s="172" t="n">
        <v>1</v>
      </c>
      <c r="HZ153" s="172" t="n">
        <v>1</v>
      </c>
      <c r="IA153" s="172" t="n">
        <v>1</v>
      </c>
      <c r="IB153" s="172" t="n">
        <v>1</v>
      </c>
      <c r="IC153" s="172" t="n">
        <v>1</v>
      </c>
      <c r="ID153" s="172" t="n">
        <v>1</v>
      </c>
      <c r="IE153" s="172" t="n">
        <v>1</v>
      </c>
      <c r="IF153" s="172" t="n">
        <v>1</v>
      </c>
      <c r="IG153" s="172" t="n">
        <v>1</v>
      </c>
      <c r="IH153" s="172" t="n">
        <v>1</v>
      </c>
      <c r="II153" s="172" t="n">
        <v>1</v>
      </c>
      <c r="IJ153" s="172" t="n">
        <v>1</v>
      </c>
      <c r="IK153" s="172" t="n">
        <v>1</v>
      </c>
      <c r="IL153" s="172" t="n">
        <v>1</v>
      </c>
      <c r="IM153" s="172" t="n">
        <v>1</v>
      </c>
      <c r="IN153" s="172" t="n">
        <v>1</v>
      </c>
      <c r="IO153" s="172" t="n">
        <v>1</v>
      </c>
      <c r="IP153" s="172" t="n">
        <v>1</v>
      </c>
      <c r="IQ153" s="172" t="n">
        <v>1</v>
      </c>
      <c r="IR153" s="172" t="n">
        <v>1</v>
      </c>
    </row>
    <row r="154" ht="43.75" customHeight="1" s="123">
      <c r="A154" s="89" t="inlineStr">
        <is>
          <t>ЧМ (продукция)</t>
        </is>
      </c>
      <c r="B154" s="90" t="n">
        <v>10</v>
      </c>
      <c r="C154" s="5" t="inlineStr">
        <is>
          <t>Остальные грузы</t>
        </is>
      </c>
      <c r="D154" s="91" t="n">
        <v>31607</v>
      </c>
      <c r="E154" s="91" t="inlineStr">
        <is>
          <t xml:space="preserve">Лом черных металлов, не поименованный в алфавите </t>
        </is>
      </c>
      <c r="F154" s="92" t="inlineStr">
        <is>
          <t>ЛОМ ЧЕРНЫХ МЕТАЛЛОВ</t>
        </is>
      </c>
      <c r="G154" s="91" t="inlineStr">
        <is>
          <t>СЕВ</t>
        </is>
      </c>
      <c r="H154" s="91" t="inlineStr">
        <is>
          <t>СВР</t>
        </is>
      </c>
      <c r="I154" s="91" t="inlineStr">
        <is>
          <t>ЧЕРЕПОВЕЦ 2</t>
        </is>
      </c>
      <c r="J154" s="91" t="inlineStr">
        <is>
          <t>ПОЛЕВСКОЙ</t>
        </is>
      </c>
      <c r="K154" s="91" t="n">
        <v>2217</v>
      </c>
      <c r="L154" s="91" t="inlineStr">
        <is>
          <t>Полувагоны</t>
        </is>
      </c>
      <c r="M154" s="91" t="inlineStr">
        <is>
          <t>Внутр. перевозки</t>
        </is>
      </c>
      <c r="N154" s="91" t="inlineStr">
        <is>
          <t>вагонная</t>
        </is>
      </c>
      <c r="O154" s="91" t="inlineStr">
        <is>
          <t xml:space="preserve">Южное </t>
        </is>
      </c>
      <c r="P154" s="89" t="inlineStr">
        <is>
          <t>'000000186217</t>
        </is>
      </c>
      <c r="Q154" s="91" t="inlineStr">
        <is>
          <t>ПАО "Северсталь"</t>
        </is>
      </c>
      <c r="R154" s="91" t="inlineStr">
        <is>
          <t>ПАО "СЕВЕРСТАЛЬ"</t>
        </is>
      </c>
      <c r="S154" s="87" t="n">
        <v>14907</v>
      </c>
      <c r="T154" s="87" t="n">
        <v>33047123</v>
      </c>
      <c r="U154" s="88" t="n">
        <v>232</v>
      </c>
      <c r="V154" s="88" t="n">
        <v>0</v>
      </c>
      <c r="W154" s="87" t="n">
        <v>46960230</v>
      </c>
      <c r="X154" s="112" t="n">
        <v>62</v>
      </c>
      <c r="Y154" s="112" t="inlineStr">
        <is>
          <t>повагонная</t>
        </is>
      </c>
      <c r="Z154" s="113" t="n">
        <v>8</v>
      </c>
      <c r="AA154" s="113" t="n">
        <v>6</v>
      </c>
      <c r="AB154" s="113" t="n">
        <v>4</v>
      </c>
      <c r="AC154" s="161" t="n">
        <v>3598.06</v>
      </c>
      <c r="AD154" s="161">
        <f>AE154-AC154</f>
        <v/>
      </c>
      <c r="AE154" s="161" t="n">
        <v>4176.31</v>
      </c>
      <c r="AF154" s="162">
        <f>(Z154+AA154+AB154)*'Ставки аренды'!$B$3/X154</f>
        <v/>
      </c>
      <c r="AG154" s="164" t="n">
        <v>0</v>
      </c>
      <c r="AH154" s="164" t="n">
        <v>0</v>
      </c>
      <c r="AI154" s="174">
        <f>507353/712157*AJ154</f>
        <v/>
      </c>
      <c r="AJ154" s="166">
        <f>Цены!$D$10</f>
        <v/>
      </c>
      <c r="AK154" s="164">
        <f>AJ154/Цены!$B$1</f>
        <v/>
      </c>
      <c r="AL154" s="164">
        <f>AE154+AF154+AG154</f>
        <v/>
      </c>
      <c r="AM154" s="164">
        <f>AJ154-AL154</f>
        <v/>
      </c>
      <c r="AN154" s="164">
        <f>AI154+AH154+AG154+AF154+AE154</f>
        <v/>
      </c>
      <c r="AO154" s="167">
        <f>(AJ154-AN154)/AJ154</f>
        <v/>
      </c>
      <c r="AP154" s="168">
        <f>AL154/AJ154</f>
        <v/>
      </c>
      <c r="AQ154" s="168">
        <f>AE154/AJ154</f>
        <v/>
      </c>
      <c r="AR154" s="168">
        <f>AE154/AL154</f>
        <v/>
      </c>
      <c r="AS154" s="169" t="n">
        <v>1</v>
      </c>
      <c r="AT154" s="121">
        <f>S154*AS154</f>
        <v/>
      </c>
      <c r="AU154" s="83" t="n">
        <v>0.95</v>
      </c>
      <c r="AV154" s="170">
        <f>(AJ154-(AE154*(1+$IS$2)+AF154+AG154+AH154+AI154))/AJ154</f>
        <v/>
      </c>
      <c r="AW154" s="171">
        <f>(AE154*(1+$IS$2)+AF154+AG154)/AJ154</f>
        <v/>
      </c>
      <c r="AX154" s="171">
        <f>(AE154*(1+$IS$2))/AJ154</f>
        <v/>
      </c>
      <c r="AY154" s="171">
        <f>(AE154*(1+$IS$2))/(AE154*(1+$IS$2)+AF154+AG154)</f>
        <v/>
      </c>
      <c r="AZ154" s="172">
        <f>MIN(IF($AU154=100%,1,1+VLOOKUP(($AJ154-$AI154-$AH154-$AG154-$AF154-$AE154*(1+AZ$3))/$AJ154,'Технический лист'!$I:$J,2,1)-VLOOKUP($AO154,'Технический лист'!$I:$J,2,1)),1+(1-$AU154))</f>
        <v/>
      </c>
      <c r="BA154" s="172">
        <f>MIN(IF($AU154=100%,1,1+VLOOKUP(($AJ154-$AI154-$AH154-$AG154-$AF154-$AE154*(1+BA$3))/$AJ154,'Технический лист'!$I:$J,2,1)-VLOOKUP($AO154,'Технический лист'!$I:$J,2,1)),1+(1-$AU154))</f>
        <v/>
      </c>
      <c r="BB154" s="172">
        <f>MIN(IF($AU154=100%,1,1+VLOOKUP(($AJ154-$AI154-$AH154-$AG154-$AF154-$AE154*(1+BB$3))/$AJ154,'Технический лист'!$I:$J,2,1)-VLOOKUP($AO154,'Технический лист'!$I:$J,2,1)),1+(1-$AU154))</f>
        <v/>
      </c>
      <c r="BC154" s="172">
        <f>MIN(IF($AU154=100%,1,1+VLOOKUP(($AJ154-$AI154-$AH154-$AG154-$AF154-$AE154*(1+BC$3))/$AJ154,'Технический лист'!$I:$J,2,1)-VLOOKUP($AO154,'Технический лист'!$I:$J,2,1)),1+(1-$AU154))</f>
        <v/>
      </c>
      <c r="BD154" s="172">
        <f>MIN(IF($AU154=100%,1,1+VLOOKUP(($AJ154-$AI154-$AH154-$AG154-$AF154-$AE154*(1+BD$3))/$AJ154,'Технический лист'!$I:$J,2,1)-VLOOKUP($AO154,'Технический лист'!$I:$J,2,1)),1+(1-$AU154))</f>
        <v/>
      </c>
      <c r="BE154" s="172">
        <f>MIN(IF($AU154=100%,1,1+VLOOKUP(($AJ154-$AI154-$AH154-$AG154-$AF154-$AE154*(1+BE$3))/$AJ154,'Технический лист'!$I:$J,2,1)-VLOOKUP($AO154,'Технический лист'!$I:$J,2,1)),1+(1-$AU154))</f>
        <v/>
      </c>
      <c r="BF154" s="172">
        <f>MIN(IF($AU154=100%,1,1+VLOOKUP(($AJ154-$AI154-$AH154-$AG154-$AF154-$AE154*(1+BF$3))/$AJ154,'Технический лист'!$I:$J,2,1)-VLOOKUP($AO154,'Технический лист'!$I:$J,2,1)),1+(1-$AU154))</f>
        <v/>
      </c>
      <c r="BG154" s="172">
        <f>MIN(IF($AU154=100%,1,1+VLOOKUP(($AJ154-$AI154-$AH154-$AG154-$AF154-$AE154*(1+BG$3))/$AJ154,'Технический лист'!$I:$J,2,1)-VLOOKUP($AO154,'Технический лист'!$I:$J,2,1)),1+(1-$AU154))</f>
        <v/>
      </c>
      <c r="BH154" s="172">
        <f>MIN(IF($AU154=100%,1,1+VLOOKUP(($AJ154-$AI154-$AH154-$AG154-$AF154-$AE154*(1+BH$3))/$AJ154,'Технический лист'!$I:$J,2,1)-VLOOKUP($AO154,'Технический лист'!$I:$J,2,1)),1+(1-$AU154))</f>
        <v/>
      </c>
      <c r="BI154" s="172">
        <f>MIN(IF($AU154=100%,1,1+VLOOKUP(($AJ154-$AI154-$AH154-$AG154-$AF154-$AE154*(1+BI$3))/$AJ154,'Технический лист'!$I:$J,2,1)-VLOOKUP($AO154,'Технический лист'!$I:$J,2,1)),1+(1-$AU154))</f>
        <v/>
      </c>
      <c r="BJ154" s="172">
        <f>MIN(IF($AU154=100%,1,1+VLOOKUP(($AJ154-$AI154-$AH154-$AG154-$AF154-$AE154*(1+BJ$3))/$AJ154,'Технический лист'!$I:$J,2,1)-VLOOKUP($AO154,'Технический лист'!$I:$J,2,1)),1+(1-$AU154))</f>
        <v/>
      </c>
      <c r="BK154" s="172">
        <f>MIN(IF($AU154=100%,1,1+VLOOKUP(($AJ154-$AI154-$AH154-$AG154-$AF154-$AE154*(1+BK$3))/$AJ154,'Технический лист'!$I:$J,2,1)-VLOOKUP($AO154,'Технический лист'!$I:$J,2,1)),1+(1-$AU154))</f>
        <v/>
      </c>
      <c r="BL154" s="172">
        <f>MIN(IF($AU154=100%,1,1+VLOOKUP(($AJ154-$AI154-$AH154-$AG154-$AF154-$AE154*(1+BL$3))/$AJ154,'Технический лист'!$I:$J,2,1)-VLOOKUP($AO154,'Технический лист'!$I:$J,2,1)),1+(1-$AU154))</f>
        <v/>
      </c>
      <c r="BM154" s="172">
        <f>MIN(IF($AU154=100%,1,1+VLOOKUP(($AJ154-$AI154-$AH154-$AG154-$AF154-$AE154*(1+BM$3))/$AJ154,'Технический лист'!$I:$J,2,1)-VLOOKUP($AO154,'Технический лист'!$I:$J,2,1)),1+(1-$AU154))</f>
        <v/>
      </c>
      <c r="BN154" s="172">
        <f>MIN(IF($AU154=100%,1,1+VLOOKUP(($AJ154-$AI154-$AH154-$AG154-$AF154-$AE154*(1+BN$3))/$AJ154,'Технический лист'!$I:$J,2,1)-VLOOKUP($AO154,'Технический лист'!$I:$J,2,1)),1+(1-$AU154))</f>
        <v/>
      </c>
      <c r="BO154" s="172">
        <f>MIN(IF($AU154=100%,1,1+VLOOKUP(($AJ154-$AI154-$AH154-$AG154-$AF154-$AE154*(1+BO$3))/$AJ154,'Технический лист'!$I:$J,2,1)-VLOOKUP($AO154,'Технический лист'!$I:$J,2,1)),1+(1-$AU154))</f>
        <v/>
      </c>
      <c r="BP154" s="172">
        <f>MIN(IF($AU154=100%,1,1+VLOOKUP(($AJ154-$AI154-$AH154-$AG154-$AF154-$AE154*(1+BP$3))/$AJ154,'Технический лист'!$I:$J,2,1)-VLOOKUP($AO154,'Технический лист'!$I:$J,2,1)),1+(1-$AU154))</f>
        <v/>
      </c>
      <c r="BQ154" s="172">
        <f>MIN(IF($AU154=100%,1,1+VLOOKUP(($AJ154-$AI154-$AH154-$AG154-$AF154-$AE154*(1+BQ$3))/$AJ154,'Технический лист'!$I:$J,2,1)-VLOOKUP($AO154,'Технический лист'!$I:$J,2,1)),1+(1-$AU154))</f>
        <v/>
      </c>
      <c r="BR154" s="172">
        <f>MIN(IF($AU154=100%,1,1+VLOOKUP(($AJ154-$AI154-$AH154-$AG154-$AF154-$AE154*(1+BR$3))/$AJ154,'Технический лист'!$I:$J,2,1)-VLOOKUP($AO154,'Технический лист'!$I:$J,2,1)),1+(1-$AU154))</f>
        <v/>
      </c>
      <c r="BS154" s="172">
        <f>MIN(IF($AU154=100%,1,1+VLOOKUP(($AJ154-$AI154-$AH154-$AG154-$AF154-$AE154*(1+BS$3))/$AJ154,'Технический лист'!$I:$J,2,1)-VLOOKUP($AO154,'Технический лист'!$I:$J,2,1)),1+(1-$AU154))</f>
        <v/>
      </c>
      <c r="BT154" s="172">
        <f>MIN(IF($AU154=100%,1,1+VLOOKUP(($AJ154-$AI154-$AH154-$AG154-$AF154-$AE154*(1+BT$3))/$AJ154,'Технический лист'!$I:$J,2,1)-VLOOKUP($AO154,'Технический лист'!$I:$J,2,1)),1+(1-$AU154))</f>
        <v/>
      </c>
      <c r="BU154" s="172">
        <f>MIN(IF($AU154=100%,1,1+VLOOKUP(($AJ154-$AI154-$AH154-$AG154-$AF154-$AE154*(1+BU$3))/$AJ154,'Технический лист'!$I:$J,2,1)-VLOOKUP($AO154,'Технический лист'!$I:$J,2,1)),1+(1-$AU154))</f>
        <v/>
      </c>
      <c r="BV154" s="172">
        <f>MIN(IF($AU154=100%,1,1+VLOOKUP(($AJ154-$AI154-$AH154-$AG154-$AF154-$AE154*(1+BV$3))/$AJ154,'Технический лист'!$I:$J,2,1)-VLOOKUP($AO154,'Технический лист'!$I:$J,2,1)),1+(1-$AU154))</f>
        <v/>
      </c>
      <c r="BW154" s="172">
        <f>MIN(IF($AU154=100%,1,1+VLOOKUP(($AJ154-$AI154-$AH154-$AG154-$AF154-$AE154*(1+BW$3))/$AJ154,'Технический лист'!$I:$J,2,1)-VLOOKUP($AO154,'Технический лист'!$I:$J,2,1)),1+(1-$AU154))</f>
        <v/>
      </c>
      <c r="BX154" s="172">
        <f>MIN(IF($AU154=100%,1,1+VLOOKUP(($AJ154-$AI154-$AH154-$AG154-$AF154-$AE154*(1+BX$3))/$AJ154,'Технический лист'!$I:$J,2,1)-VLOOKUP($AO154,'Технический лист'!$I:$J,2,1)),1+(1-$AU154))</f>
        <v/>
      </c>
      <c r="BY154" s="172">
        <f>MIN(IF($AU154=100%,1,1+VLOOKUP(($AJ154-$AI154-$AH154-$AG154-$AF154-$AE154*(1+BY$3))/$AJ154,'Технический лист'!$I:$J,2,1)-VLOOKUP($AO154,'Технический лист'!$I:$J,2,1)),1+(1-$AU154))</f>
        <v/>
      </c>
      <c r="BZ154" s="172">
        <f>MIN(IF($AU154=100%,1,1+VLOOKUP(($AJ154-$AI154-$AH154-$AG154-$AF154-$AE154*(1+BZ$3))/$AJ154,'Технический лист'!$I:$J,2,1)-VLOOKUP($AO154,'Технический лист'!$I:$J,2,1)),1+(1-$AU154))</f>
        <v/>
      </c>
      <c r="CA154" s="172">
        <f>MIN(IF($AU154=100%,1,1+VLOOKUP(($AJ154-$AI154-$AH154-$AG154-$AF154-$AE154*(1+CA$3))/$AJ154,'Технический лист'!$I:$J,2,1)-VLOOKUP($AO154,'Технический лист'!$I:$J,2,1)),1+(1-$AU154))</f>
        <v/>
      </c>
      <c r="CB154" s="172">
        <f>MIN(IF($AU154=100%,1,1+VLOOKUP(($AJ154-$AI154-$AH154-$AG154-$AF154-$AE154*(1+CB$3))/$AJ154,'Технический лист'!$I:$J,2,1)-VLOOKUP($AO154,'Технический лист'!$I:$J,2,1)),1+(1-$AU154))</f>
        <v/>
      </c>
      <c r="CC154" s="172">
        <f>MIN(IF($AU154=100%,1,1+VLOOKUP(($AJ154-$AI154-$AH154-$AG154-$AF154-$AE154*(1+CC$3))/$AJ154,'Технический лист'!$I:$J,2,1)-VLOOKUP($AO154,'Технический лист'!$I:$J,2,1)),1+(1-$AU154))</f>
        <v/>
      </c>
      <c r="CD154" s="172">
        <f>MIN(IF($AU154=100%,1,1+VLOOKUP(($AJ154-$AI154-$AH154-$AG154-$AF154-$AE154*(1+CD$3))/$AJ154,'Технический лист'!$I:$J,2,1)-VLOOKUP($AO154,'Технический лист'!$I:$J,2,1)),1+(1-$AU154))</f>
        <v/>
      </c>
      <c r="CE154" s="172">
        <f>MIN(IF($AU154=100%,1,1+VLOOKUP(($AJ154-$AI154-$AH154-$AG154-$AF154-$AE154*(1+CE$3))/$AJ154,'Технический лист'!$I:$J,2,1)-VLOOKUP($AO154,'Технический лист'!$I:$J,2,1)),1+(1-$AU154))</f>
        <v/>
      </c>
      <c r="CF154" s="172">
        <f>MIN(IF($AU154=100%,1,1+VLOOKUP(($AJ154-$AI154-$AH154-$AG154-$AF154-$AE154*(1+CF$3))/$AJ154,'Технический лист'!$I:$J,2,1)-VLOOKUP($AO154,'Технический лист'!$I:$J,2,1)),1+(1-$AU154))</f>
        <v/>
      </c>
      <c r="CG154" s="172">
        <f>MIN(IF($AU154=100%,1,1+VLOOKUP(($AJ154-$AI154-$AH154-$AG154-$AF154-$AE154*(1+CG$3))/$AJ154,'Технический лист'!$I:$J,2,1)-VLOOKUP($AO154,'Технический лист'!$I:$J,2,1)),1+(1-$AU154))</f>
        <v/>
      </c>
      <c r="CH154" s="172">
        <f>MIN(IF($AU154=100%,1,1+VLOOKUP(($AJ154-$AI154-$AH154-$AG154-$AF154-$AE154*(1+CH$3))/$AJ154,'Технический лист'!$I:$J,2,1)-VLOOKUP($AO154,'Технический лист'!$I:$J,2,1)),1+(1-$AU154))</f>
        <v/>
      </c>
      <c r="CI154" s="172">
        <f>MIN(IF($AU154=100%,1,1+VLOOKUP(($AJ154-$AI154-$AH154-$AG154-$AF154-$AE154*(1+CI$3))/$AJ154,'Технический лист'!$I:$J,2,1)-VLOOKUP($AO154,'Технический лист'!$I:$J,2,1)),1+(1-$AU154))</f>
        <v/>
      </c>
      <c r="CJ154" s="172">
        <f>MIN(IF($AU154=100%,1,1+VLOOKUP(($AJ154-$AI154-$AH154-$AG154-$AF154-$AE154*(1+CJ$3))/$AJ154,'Технический лист'!$I:$J,2,1)-VLOOKUP($AO154,'Технический лист'!$I:$J,2,1)),1+(1-$AU154))</f>
        <v/>
      </c>
      <c r="CK154" s="172">
        <f>MIN(IF($AU154=100%,1,1+VLOOKUP(($AJ154-$AI154-$AH154-$AG154-$AF154-$AE154*(1+CK$3))/$AJ154,'Технический лист'!$I:$J,2,1)-VLOOKUP($AO154,'Технический лист'!$I:$J,2,1)),1+(1-$AU154))</f>
        <v/>
      </c>
      <c r="CL154" s="172">
        <f>MIN(IF($AU154=100%,1,1+VLOOKUP(($AJ154-$AI154-$AH154-$AG154-$AF154-$AE154*(1+CL$3))/$AJ154,'Технический лист'!$I:$J,2,1)-VLOOKUP($AO154,'Технический лист'!$I:$J,2,1)),1+(1-$AU154))</f>
        <v/>
      </c>
      <c r="CM154" s="172">
        <f>MIN(IF($AU154=100%,1,1+VLOOKUP(($AJ154-$AI154-$AH154-$AG154-$AF154-$AE154*(1+CM$3))/$AJ154,'Технический лист'!$I:$J,2,1)-VLOOKUP($AO154,'Технический лист'!$I:$J,2,1)),1+(1-$AU154))</f>
        <v/>
      </c>
      <c r="CN154" s="172">
        <f>MIN(IF($AU154=100%,1,1+VLOOKUP(($AJ154-$AI154-$AH154-$AG154-$AF154-$AE154*(1+CN$3))/$AJ154,'Технический лист'!$I:$J,2,1)-VLOOKUP($AO154,'Технический лист'!$I:$J,2,1)),1+(1-$AU154))</f>
        <v/>
      </c>
      <c r="CO154" s="172">
        <f>MIN(IF($AU154=100%,1,1+VLOOKUP(($AJ154-$AI154-$AH154-$AG154-$AF154-$AE154*(1+CO$3))/$AJ154,'Технический лист'!$I:$J,2,1)-VLOOKUP($AO154,'Технический лист'!$I:$J,2,1)),1+(1-$AU154))</f>
        <v/>
      </c>
      <c r="CP154" s="172">
        <f>MIN(IF($AU154=100%,1,1+VLOOKUP(($AJ154-$AI154-$AH154-$AG154-$AF154-$AE154*(1+CP$3))/$AJ154,'Технический лист'!$I:$J,2,1)-VLOOKUP($AO154,'Технический лист'!$I:$J,2,1)),1+(1-$AU154))</f>
        <v/>
      </c>
      <c r="CQ154" s="172">
        <f>MIN(IF($AU154=100%,1,1+VLOOKUP(($AJ154-$AI154-$AH154-$AG154-$AF154-$AE154*(1+CQ$3))/$AJ154,'Технический лист'!$I:$J,2,1)-VLOOKUP($AO154,'Технический лист'!$I:$J,2,1)),1+(1-$AU154))</f>
        <v/>
      </c>
      <c r="CR154" s="172">
        <f>MIN(IF($AU154=100%,1,1+VLOOKUP(($AJ154-$AI154-$AH154-$AG154-$AF154-$AE154*(1+CR$3))/$AJ154,'Технический лист'!$I:$J,2,1)-VLOOKUP($AO154,'Технический лист'!$I:$J,2,1)),1+(1-$AU154))</f>
        <v/>
      </c>
      <c r="CS154" s="172">
        <f>MIN(IF($AU154=100%,1,1+VLOOKUP(($AJ154-$AI154-$AH154-$AG154-$AF154-$AE154*(1+CS$3))/$AJ154,'Технический лист'!$I:$J,2,1)-VLOOKUP($AO154,'Технический лист'!$I:$J,2,1)),1+(1-$AU154))</f>
        <v/>
      </c>
      <c r="CT154" s="172">
        <f>MIN(IF($AU154=100%,1,1+VLOOKUP(($AJ154-$AI154-$AH154-$AG154-$AF154-$AE154*(1+CT$3))/$AJ154,'Технический лист'!$I:$J,2,1)-VLOOKUP($AO154,'Технический лист'!$I:$J,2,1)),1+(1-$AU154))</f>
        <v/>
      </c>
      <c r="CU154" s="172">
        <f>MIN(IF($AU154=100%,1,1+VLOOKUP(($AJ154-$AI154-$AH154-$AG154-$AF154-$AE154*(1+CU$3))/$AJ154,'Технический лист'!$I:$J,2,1)-VLOOKUP($AO154,'Технический лист'!$I:$J,2,1)),1+(1-$AU154))</f>
        <v/>
      </c>
      <c r="CV154" s="172">
        <f>MIN(IF($AU154=100%,1,1+VLOOKUP(($AJ154-$AI154-$AH154-$AG154-$AF154-$AE154*(1+CV$3))/$AJ154,'Технический лист'!$I:$J,2,1)-VLOOKUP($AO154,'Технический лист'!$I:$J,2,1)),1+(1-$AU154))</f>
        <v/>
      </c>
      <c r="CW154" s="172">
        <f>MIN(IF($AU154=100%,1,1+VLOOKUP(($AJ154-$AI154-$AH154-$AG154-$AF154-$AE154*(1+CW$3))/$AJ154,'Технический лист'!$I:$J,2,1)-VLOOKUP($AO154,'Технический лист'!$I:$J,2,1)),1+(1-$AU154))</f>
        <v/>
      </c>
      <c r="CX154" s="172">
        <f>MIN(IF($AU154=100%,1,1+VLOOKUP(($AJ154-$AI154-$AH154-$AG154-$AF154-$AE154*(1+CX$3))/$AJ154,'Технический лист'!$I:$J,2,1)-VLOOKUP($AO154,'Технический лист'!$I:$J,2,1)),1+(1-$AU154))</f>
        <v/>
      </c>
      <c r="CY154" s="172">
        <f>MIN(IF($AU154=100%,1,1+VLOOKUP(($AJ154-$AI154-$AH154-$AG154-$AF154-$AE154*(1+CY$3))/$AJ154,'Технический лист'!$I:$J,2,1)-VLOOKUP($AO154,'Технический лист'!$I:$J,2,1)),1+(1-$AU154))</f>
        <v/>
      </c>
      <c r="CZ154" s="172">
        <f>MIN(IF($AU154=100%,1,1+VLOOKUP(($AJ154-$AI154-$AH154-$AG154-$AF154-$AE154*(1+CZ$3))/$AJ154,'Технический лист'!$I:$J,2,1)-VLOOKUP($AO154,'Технический лист'!$I:$J,2,1)),1+(1-$AU154))</f>
        <v/>
      </c>
      <c r="DA154" s="172">
        <f>MIN(IF($AU154=100%,1,1+VLOOKUP(($AJ154-$AI154-$AH154-$AG154-$AF154-$AE154*(1+DA$3))/$AJ154,'Технический лист'!$I:$J,2,1)-VLOOKUP($AO154,'Технический лист'!$I:$J,2,1)),1+(1-$AU154))</f>
        <v/>
      </c>
      <c r="DB154" s="172">
        <f>MIN(IF($AU154=100%,1,1+VLOOKUP(($AJ154-$AI154-$AH154-$AG154-$AF154-$AE154*(1+DB$3))/$AJ154,'Технический лист'!$I:$J,2,1)-VLOOKUP($AO154,'Технический лист'!$I:$J,2,1)),1+(1-$AU154))</f>
        <v/>
      </c>
      <c r="DC154" s="172">
        <f>MIN(IF($AU154=100%,1,1+VLOOKUP(($AJ154-$AI154-$AH154-$AG154-$AF154-$AE154*(1+DC$3))/$AJ154,'Технический лист'!$I:$J,2,1)-VLOOKUP($AO154,'Технический лист'!$I:$J,2,1)),1+(1-$AU154))</f>
        <v/>
      </c>
      <c r="DD154" s="172">
        <f>MIN(IF($AU154=100%,1,1+VLOOKUP(($AJ154-$AI154-$AH154-$AG154-$AF154-$AE154*(1+DD$3))/$AJ154,'Технический лист'!$I:$J,2,1)-VLOOKUP($AO154,'Технический лист'!$I:$J,2,1)),1+(1-$AU154))</f>
        <v/>
      </c>
      <c r="DE154" s="172">
        <f>MIN(IF($AU154=100%,1,1+VLOOKUP(($AJ154-$AI154-$AH154-$AG154-$AF154-$AE154*(1+DE$3))/$AJ154,'Технический лист'!$I:$J,2,1)-VLOOKUP($AO154,'Технический лист'!$I:$J,2,1)),1+(1-$AU154))</f>
        <v/>
      </c>
      <c r="DF154" s="172">
        <f>MIN(IF($AU154=100%,1,1+VLOOKUP(($AJ154-$AI154-$AH154-$AG154-$AF154-$AE154*(1+DF$3))/$AJ154,'Технический лист'!$I:$J,2,1)-VLOOKUP($AO154,'Технический лист'!$I:$J,2,1)),1+(1-$AU154))</f>
        <v/>
      </c>
      <c r="DG154" s="172">
        <f>MIN(IF($AU154=100%,1,1+VLOOKUP(($AJ154-$AI154-$AH154-$AG154-$AF154-$AE154*(1+DG$3))/$AJ154,'Технический лист'!$I:$J,2,1)-VLOOKUP($AO154,'Технический лист'!$I:$J,2,1)),1+(1-$AU154))</f>
        <v/>
      </c>
      <c r="DH154" s="172">
        <f>MIN(IF($AU154=100%,1,1+VLOOKUP(($AJ154-$AI154-$AH154-$AG154-$AF154-$AE154*(1+DH$3))/$AJ154,'Технический лист'!$I:$J,2,1)-VLOOKUP($AO154,'Технический лист'!$I:$J,2,1)),1+(1-$AU154))</f>
        <v/>
      </c>
      <c r="DI154" s="172">
        <f>MIN(IF($AU154=100%,1,1+VLOOKUP(($AJ154-$AI154-$AH154-$AG154-$AF154-$AE154*(1+DI$3))/$AJ154,'Технический лист'!$I:$J,2,1)-VLOOKUP($AO154,'Технический лист'!$I:$J,2,1)),1+(1-$AU154))</f>
        <v/>
      </c>
      <c r="DJ154" s="172">
        <f>MIN(IF($AU154=100%,1,1+VLOOKUP(($AJ154-$AI154-$AH154-$AG154-$AF154-$AE154*(1+DJ$3))/$AJ154,'Технический лист'!$I:$J,2,1)-VLOOKUP($AO154,'Технический лист'!$I:$J,2,1)),1+(1-$AU154))</f>
        <v/>
      </c>
      <c r="DK154" s="172">
        <f>MIN(IF($AU154=100%,1,1+VLOOKUP(($AJ154-$AI154-$AH154-$AG154-$AF154-$AE154*(1+DK$3))/$AJ154,'Технический лист'!$I:$J,2,1)-VLOOKUP($AO154,'Технический лист'!$I:$J,2,1)),1+(1-$AU154))</f>
        <v/>
      </c>
      <c r="DL154" s="172">
        <f>MIN(IF($AU154=100%,1,1+VLOOKUP(($AJ154-$AI154-$AH154-$AG154-$AF154-$AE154*(1+DL$3))/$AJ154,'Технический лист'!$I:$J,2,1)-VLOOKUP($AO154,'Технический лист'!$I:$J,2,1)),1+(1-$AU154))</f>
        <v/>
      </c>
      <c r="DM154" s="172">
        <f>MIN(IF($AU154=100%,1,1+VLOOKUP(($AJ154-$AI154-$AH154-$AG154-$AF154-$AE154*(1+DM$3))/$AJ154,'Технический лист'!$I:$J,2,1)-VLOOKUP($AO154,'Технический лист'!$I:$J,2,1)),1+(1-$AU154))</f>
        <v/>
      </c>
      <c r="DN154" s="172">
        <f>MIN(IF($AU154=100%,1,1+VLOOKUP(($AJ154-$AI154-$AH154-$AG154-$AF154-$AE154*(1+DN$3))/$AJ154,'Технический лист'!$I:$J,2,1)-VLOOKUP($AO154,'Технический лист'!$I:$J,2,1)),1+(1-$AU154))</f>
        <v/>
      </c>
      <c r="DO154" s="172">
        <f>MIN(IF($AU154=100%,1,1+VLOOKUP(($AJ154-$AI154-$AH154-$AG154-$AF154-$AE154*(1+DO$3))/$AJ154,'Технический лист'!$I:$J,2,1)-VLOOKUP($AO154,'Технический лист'!$I:$J,2,1)),1+(1-$AU154))</f>
        <v/>
      </c>
      <c r="DP154" s="172">
        <f>MIN(IF($AU154=100%,1,1+VLOOKUP(($AJ154-$AI154-$AH154-$AG154-$AF154-$AE154*(1+DP$3))/$AJ154,'Технический лист'!$I:$J,2,1)-VLOOKUP($AO154,'Технический лист'!$I:$J,2,1)),1+(1-$AU154))</f>
        <v/>
      </c>
      <c r="DQ154" s="172">
        <f>MIN(IF($AU154=100%,1,1+VLOOKUP(($AJ154-$AI154-$AH154-$AG154-$AF154-$AE154*(1+DQ$3))/$AJ154,'Технический лист'!$I:$J,2,1)-VLOOKUP($AO154,'Технический лист'!$I:$J,2,1)),1+(1-$AU154))</f>
        <v/>
      </c>
      <c r="DR154" s="172">
        <f>MIN(IF($AU154=100%,1,1+VLOOKUP(($AJ154-$AI154-$AH154-$AG154-$AF154-$AE154*(1+DR$3))/$AJ154,'Технический лист'!$I:$J,2,1)-VLOOKUP($AO154,'Технический лист'!$I:$J,2,1)),1+(1-$AU154))</f>
        <v/>
      </c>
      <c r="DS154" s="172">
        <f>MIN(IF($AU154=100%,1,1+VLOOKUP(($AJ154-$AI154-$AH154-$AG154-$AF154-$AE154*(1+DS$3))/$AJ154,'Технический лист'!$I:$J,2,1)-VLOOKUP($AO154,'Технический лист'!$I:$J,2,1)),1+(1-$AU154))</f>
        <v/>
      </c>
      <c r="DT154" s="172">
        <f>MIN(IF($AU154=100%,1,1+VLOOKUP(($AJ154-$AI154-$AH154-$AG154-$AF154-$AE154*(1+DT$3))/$AJ154,'Технический лист'!$I:$J,2,1)-VLOOKUP($AO154,'Технический лист'!$I:$J,2,1)),1+(1-$AU154))</f>
        <v/>
      </c>
      <c r="DU154" s="172">
        <f>MIN(IF($AU154=100%,1,1+VLOOKUP(($AJ154-$AI154-$AH154-$AG154-$AF154-$AE154*(1+DU$3))/$AJ154,'Технический лист'!$I:$J,2,1)-VLOOKUP($AO154,'Технический лист'!$I:$J,2,1)),1+(1-$AU154))</f>
        <v/>
      </c>
      <c r="DV154" s="172">
        <f>MIN(IF($AU154=100%,1,1+VLOOKUP(($AJ154-$AI154-$AH154-$AG154-$AF154-$AE154*(1+DV$3))/$AJ154,'Технический лист'!$I:$J,2,1)-VLOOKUP($AO154,'Технический лист'!$I:$J,2,1)),1+(1-$AU154))</f>
        <v/>
      </c>
      <c r="DW154" s="172">
        <f>MIN(IF($AU154=100%,1,1+VLOOKUP(($AJ154-$AI154-$AH154-$AG154-$AF154-$AE154*(1+DW$3))/$AJ154,'Технический лист'!$I:$J,2,1)-VLOOKUP($AO154,'Технический лист'!$I:$J,2,1)),1+(1-$AU154))</f>
        <v/>
      </c>
      <c r="DX154" s="172">
        <f>MIN(IF($AU154=100%,1,1+VLOOKUP(($AJ154-$AI154-$AH154-$AG154-$AF154-$AE154*(1+DX$3))/$AJ154,'Технический лист'!$I:$J,2,1)-VLOOKUP($AO154,'Технический лист'!$I:$J,2,1)),1+(1-$AU154))</f>
        <v/>
      </c>
      <c r="DY154" s="172">
        <f>MIN(IF($AU154=100%,1,1+VLOOKUP(($AJ154-$AI154-$AH154-$AG154-$AF154-$AE154*(1+DY$3))/$AJ154,'Технический лист'!$I:$J,2,1)-VLOOKUP($AO154,'Технический лист'!$I:$J,2,1)),1+(1-$AU154))</f>
        <v/>
      </c>
      <c r="DZ154" s="172">
        <f>MIN(IF($AU154=100%,1,1+VLOOKUP(($AJ154-$AI154-$AH154-$AG154-$AF154-$AE154*(1+DZ$3))/$AJ154,'Технический лист'!$I:$J,2,1)-VLOOKUP($AO154,'Технический лист'!$I:$J,2,1)),1+(1-$AU154))</f>
        <v/>
      </c>
      <c r="EA154" s="172">
        <f>MIN(IF($AU154=100%,1,1+VLOOKUP(($AJ154-$AI154-$AH154-$AG154-$AF154-$AE154*(1+EA$3))/$AJ154,'Технический лист'!$I:$J,2,1)-VLOOKUP($AO154,'Технический лист'!$I:$J,2,1)),1+(1-$AU154))</f>
        <v/>
      </c>
      <c r="EB154" s="172">
        <f>MIN(IF($AU154=100%,1,1+VLOOKUP(($AJ154-$AI154-$AH154-$AG154-$AF154-$AE154*(1+EB$3))/$AJ154,'Технический лист'!$I:$J,2,1)-VLOOKUP($AO154,'Технический лист'!$I:$J,2,1)),1+(1-$AU154))</f>
        <v/>
      </c>
      <c r="EC154" s="172">
        <f>MIN(IF($AU154=100%,1,1+VLOOKUP(($AJ154-$AI154-$AH154-$AG154-$AF154-$AE154*(1+EC$3))/$AJ154,'Технический лист'!$I:$J,2,1)-VLOOKUP($AO154,'Технический лист'!$I:$J,2,1)),1+(1-$AU154))</f>
        <v/>
      </c>
      <c r="ED154" s="172">
        <f>MIN(IF($AU154=100%,1,1+VLOOKUP(($AJ154-$AI154-$AH154-$AG154-$AF154-$AE154*(1+ED$3))/$AJ154,'Технический лист'!$I:$J,2,1)-VLOOKUP($AO154,'Технический лист'!$I:$J,2,1)),1+(1-$AU154))</f>
        <v/>
      </c>
      <c r="EE154" s="172">
        <f>MIN(IF($AU154=100%,1,1+VLOOKUP(($AJ154-$AI154-$AH154-$AG154-$AF154-$AE154*(1+EE$3))/$AJ154,'Технический лист'!$I:$J,2,1)-VLOOKUP($AO154,'Технический лист'!$I:$J,2,1)),1+(1-$AU154))</f>
        <v/>
      </c>
      <c r="EF154" s="172">
        <f>MIN(IF($AU154=100%,1,1+VLOOKUP(($AJ154-$AI154-$AH154-$AG154-$AF154-$AE154*(1+EF$3))/$AJ154,'Технический лист'!$I:$J,2,1)-VLOOKUP($AO154,'Технический лист'!$I:$J,2,1)),1+(1-$AU154))</f>
        <v/>
      </c>
      <c r="EG154" s="172">
        <f>MIN(IF($AU154=100%,1,1+VLOOKUP(($AJ154-$AI154-$AH154-$AG154-$AF154-$AE154*(1+EG$3))/$AJ154,'Технический лист'!$I:$J,2,1)-VLOOKUP($AO154,'Технический лист'!$I:$J,2,1)),1+(1-$AU154))</f>
        <v/>
      </c>
      <c r="EH154" s="172">
        <f>MIN(IF($AU154=100%,1,1+VLOOKUP(($AJ154-$AI154-$AH154-$AG154-$AF154-$AE154*(1+EH$3))/$AJ154,'Технический лист'!$I:$J,2,1)-VLOOKUP($AO154,'Технический лист'!$I:$J,2,1)),1+(1-$AU154))</f>
        <v/>
      </c>
      <c r="EI154" s="172">
        <f>MIN(IF($AU154=100%,1,1+VLOOKUP(($AJ154-$AI154-$AH154-$AG154-$AF154-$AE154*(1+EI$3))/$AJ154,'Технический лист'!$I:$J,2,1)-VLOOKUP($AO154,'Технический лист'!$I:$J,2,1)),1+(1-$AU154))</f>
        <v/>
      </c>
      <c r="EJ154" s="172">
        <f>MIN(IF($AU154=100%,1,1+VLOOKUP(($AJ154-$AI154-$AH154-$AG154-$AF154-$AE154*(1+EJ$3))/$AJ154,'Технический лист'!$I:$J,2,1)-VLOOKUP($AO154,'Технический лист'!$I:$J,2,1)),1+(1-$AU154))</f>
        <v/>
      </c>
      <c r="EK154" s="172">
        <f>MIN(IF($AU154=100%,1,1+VLOOKUP(($AJ154-$AI154-$AH154-$AG154-$AF154-$AE154*(1+EK$3))/$AJ154,'Технический лист'!$I:$J,2,1)-VLOOKUP($AO154,'Технический лист'!$I:$J,2,1)),1+(1-$AU154))</f>
        <v/>
      </c>
      <c r="EL154" s="172">
        <f>MIN(IF($AU154=100%,1,1+VLOOKUP(($AJ154-$AI154-$AH154-$AG154-$AF154-$AE154*(1+EL$3))/$AJ154,'Технический лист'!$I:$J,2,1)-VLOOKUP($AO154,'Технический лист'!$I:$J,2,1)),1+(1-$AU154))</f>
        <v/>
      </c>
      <c r="EM154" s="172">
        <f>MIN(IF($AU154=100%,1,1+VLOOKUP(($AJ154-$AI154-$AH154-$AG154-$AF154-$AE154*(1+EM$3))/$AJ154,'Технический лист'!$I:$J,2,1)-VLOOKUP($AO154,'Технический лист'!$I:$J,2,1)),1+(1-$AU154))</f>
        <v/>
      </c>
      <c r="EN154" s="172">
        <f>MIN(IF($AU154=100%,1,1+VLOOKUP(($AJ154-$AI154-$AH154-$AG154-$AF154-$AE154*(1+EN$3))/$AJ154,'Технический лист'!$I:$J,2,1)-VLOOKUP($AO154,'Технический лист'!$I:$J,2,1)),1+(1-$AU154))</f>
        <v/>
      </c>
      <c r="EO154" s="172">
        <f>MIN(IF($AU154=100%,1,1+VLOOKUP(($AJ154-$AI154-$AH154-$AG154-$AF154-$AE154*(1+EO$3))/$AJ154,'Технический лист'!$I:$J,2,1)-VLOOKUP($AO154,'Технический лист'!$I:$J,2,1)),1+(1-$AU154))</f>
        <v/>
      </c>
      <c r="EP154" s="172">
        <f>MIN(IF($AU154=100%,1,1+VLOOKUP(($AJ154-$AI154-$AH154-$AG154-$AF154-$AE154*(1+EP$3))/$AJ154,'Технический лист'!$I:$J,2,1)-VLOOKUP($AO154,'Технический лист'!$I:$J,2,1)),1+(1-$AU154))</f>
        <v/>
      </c>
      <c r="EQ154" s="172">
        <f>MIN(IF($AU154=100%,1,1+VLOOKUP(($AJ154-$AI154-$AH154-$AG154-$AF154-$AE154*(1+EQ$3))/$AJ154,'Технический лист'!$I:$J,2,1)-VLOOKUP($AO154,'Технический лист'!$I:$J,2,1)),1+(1-$AU154))</f>
        <v/>
      </c>
      <c r="ER154" s="172">
        <f>MIN(IF($AU154=100%,1,1+VLOOKUP(($AJ154-$AI154-$AH154-$AG154-$AF154-$AE154*(1+ER$3))/$AJ154,'Технический лист'!$I:$J,2,1)-VLOOKUP($AO154,'Технический лист'!$I:$J,2,1)),1+(1-$AU154))</f>
        <v/>
      </c>
      <c r="ES154" s="172">
        <f>MIN(IF($AU154=100%,1,1+VLOOKUP(($AJ154-$AI154-$AH154-$AG154-$AF154-$AE154*(1+ES$3))/$AJ154,'Технический лист'!$I:$J,2,1)-VLOOKUP($AO154,'Технический лист'!$I:$J,2,1)),1+(1-$AU154))</f>
        <v/>
      </c>
      <c r="ET154" s="172">
        <f>MIN(IF($AU154=100%,1,1+VLOOKUP(($AJ154-$AI154-$AH154-$AG154-$AF154-$AE154*(1+ET$3))/$AJ154,'Технический лист'!$I:$J,2,1)-VLOOKUP($AO154,'Технический лист'!$I:$J,2,1)),1+(1-$AU154))</f>
        <v/>
      </c>
      <c r="EU154" s="172">
        <f>MIN(IF($AU154=100%,1,1+VLOOKUP(($AJ154-$AI154-$AH154-$AG154-$AF154-$AE154*(1+EU$3))/$AJ154,'Технический лист'!$I:$J,2,1)-VLOOKUP($AO154,'Технический лист'!$I:$J,2,1)),1+(1-$AU154))</f>
        <v/>
      </c>
      <c r="EV154" s="173" t="n">
        <v>1</v>
      </c>
      <c r="EW154" s="172">
        <f>MIN(1,MAX(VLOOKUP(($AJ154-$AI154-$AH154-$AG154-$AF154-$AE154*(1+EW$3))/$AJ154,'Технический лист'!$A:$B,2,1),(EV154-0.05)))</f>
        <v/>
      </c>
      <c r="EX154" s="172">
        <f>MIN(1,MAX(VLOOKUP(($AJ154-$AI154-$AH154-$AG154-$AF154-$AE154*(1+EX$3))/$AJ154,'Технический лист'!$A:$B,2,1),(EW154-0.05)))</f>
        <v/>
      </c>
      <c r="EY154" s="172">
        <f>MIN(1,MAX(VLOOKUP(($AJ154-$AI154-$AH154-$AG154-$AF154-$AE154*(1+EY$3))/$AJ154,'Технический лист'!$A:$B,2,1),(EX154-0.05)))</f>
        <v/>
      </c>
      <c r="EZ154" s="172">
        <f>MIN(1,MAX(VLOOKUP(($AJ154-$AI154-$AH154-$AG154-$AF154-$AE154*(1+EZ$3))/$AJ154,'Технический лист'!$A:$B,2,1),(EY154-0.05)))</f>
        <v/>
      </c>
      <c r="FA154" s="172">
        <f>MIN(1,MAX(VLOOKUP(($AJ154-$AI154-$AH154-$AG154-$AF154-$AE154*(1+FA$3))/$AJ154,'Технический лист'!$A:$B,2,1),(EZ154-0.05)))</f>
        <v/>
      </c>
      <c r="FB154" s="172">
        <f>MIN(1,MAX(VLOOKUP(($AJ154-$AI154-$AH154-$AG154-$AF154-$AE154*(1+FB$3))/$AJ154,'Технический лист'!$A:$B,2,1),(FA154-0.05)))</f>
        <v/>
      </c>
      <c r="FC154" s="172">
        <f>MIN(1,MAX(VLOOKUP(($AJ154-$AI154-$AH154-$AG154-$AF154-$AE154*(1+FC$3))/$AJ154,'Технический лист'!$A:$B,2,1),(FB154-0.05)))</f>
        <v/>
      </c>
      <c r="FD154" s="172">
        <f>MIN(1,MAX(VLOOKUP(($AJ154-$AI154-$AH154-$AG154-$AF154-$AE154*(1+FD$3))/$AJ154,'Технический лист'!$A:$B,2,1),(FC154-0.05)))</f>
        <v/>
      </c>
      <c r="FE154" s="172">
        <f>MIN(1,MAX(VLOOKUP(($AJ154-$AI154-$AH154-$AG154-$AF154-$AE154*(1+FE$3))/$AJ154,'Технический лист'!$A:$B,2,1),(FD154-0.05)))</f>
        <v/>
      </c>
      <c r="FF154" s="172">
        <f>MIN(1,MAX(VLOOKUP(($AJ154-$AI154-$AH154-$AG154-$AF154-$AE154*(1+FF$3))/$AJ154,'Технический лист'!$A:$B,2,1),(FE154-0.05)))</f>
        <v/>
      </c>
      <c r="FG154" s="172">
        <f>MIN(1,MAX(VLOOKUP(($AJ154-$AI154-$AH154-$AG154-$AF154-$AE154*(1+FG$3))/$AJ154,'Технический лист'!$A:$B,2,1),(FF154-0.05)))</f>
        <v/>
      </c>
      <c r="FH154" s="172">
        <f>MIN(1,MAX(VLOOKUP(($AJ154-$AI154-$AH154-$AG154-$AF154-$AE154*(1+FH$3))/$AJ154,'Технический лист'!$A:$B,2,1),(FG154-0.05)))</f>
        <v/>
      </c>
      <c r="FI154" s="172">
        <f>MIN(1,MAX(VLOOKUP(($AJ154-$AI154-$AH154-$AG154-$AF154-$AE154*(1+FI$3))/$AJ154,'Технический лист'!$A:$B,2,1),(FH154-0.05)))</f>
        <v/>
      </c>
      <c r="FJ154" s="172">
        <f>MIN(1,MAX(VLOOKUP(($AJ154-$AI154-$AH154-$AG154-$AF154-$AE154*(1+FJ$3))/$AJ154,'Технический лист'!$A:$B,2,1),(FI154-0.05)))</f>
        <v/>
      </c>
      <c r="FK154" s="172">
        <f>MIN(1,MAX(VLOOKUP(($AJ154-$AI154-$AH154-$AG154-$AF154-$AE154*(1+FK$3))/$AJ154,'Технический лист'!$A:$B,2,1),(FJ154-0.05)))</f>
        <v/>
      </c>
      <c r="FL154" s="172">
        <f>MIN(1,MAX(VLOOKUP(($AJ154-$AI154-$AH154-$AG154-$AF154-$AE154*(1+FL$3))/$AJ154,'Технический лист'!$A:$B,2,1),(FK154-0.05)))</f>
        <v/>
      </c>
      <c r="FM154" s="172">
        <f>MIN(1,MAX(VLOOKUP(($AJ154-$AI154-$AH154-$AG154-$AF154-$AE154*(1+FM$3))/$AJ154,'Технический лист'!$A:$B,2,1),(FL154-0.05)))</f>
        <v/>
      </c>
      <c r="FN154" s="172">
        <f>MIN(1,MAX(VLOOKUP(($AJ154-$AI154-$AH154-$AG154-$AF154-$AE154*(1+FN$3))/$AJ154,'Технический лист'!$A:$B,2,1),(FM154-0.05)))</f>
        <v/>
      </c>
      <c r="FO154" s="172">
        <f>MIN(1,MAX(VLOOKUP(($AJ154-$AI154-$AH154-$AG154-$AF154-$AE154*(1+FO$3))/$AJ154,'Технический лист'!$A:$B,2,1),(FN154-0.05)))</f>
        <v/>
      </c>
      <c r="FP154" s="172">
        <f>MIN(1,MAX(VLOOKUP(($AJ154-$AI154-$AH154-$AG154-$AF154-$AE154*(1+FP$3))/$AJ154,'Технический лист'!$A:$B,2,1),(FO154-0.05)))</f>
        <v/>
      </c>
      <c r="FQ154" s="172">
        <f>MIN(1,MAX(VLOOKUP(($AJ154-$AI154-$AH154-$AG154-$AF154-$AE154*(1+FQ$3))/$AJ154,'Технический лист'!$A:$B,2,1),(FP154-0.05)))</f>
        <v/>
      </c>
      <c r="FR154" s="172">
        <f>MIN(1,MAX(VLOOKUP(($AJ154-$AI154-$AH154-$AG154-$AF154-$AE154*(1+FR$3))/$AJ154,'Технический лист'!$A:$B,2,1),(FQ154-0.05)))</f>
        <v/>
      </c>
      <c r="FS154" s="172">
        <f>MIN(1,MAX(VLOOKUP(($AJ154-$AI154-$AH154-$AG154-$AF154-$AE154*(1+FS$3))/$AJ154,'Технический лист'!$A:$B,2,1),(FR154-0.05)))</f>
        <v/>
      </c>
      <c r="FT154" s="172">
        <f>MIN(1,MAX(VLOOKUP(($AJ154-$AI154-$AH154-$AG154-$AF154-$AE154*(1+FT$3))/$AJ154,'Технический лист'!$A:$B,2,1),(FS154-0.05)))</f>
        <v/>
      </c>
      <c r="FU154" s="172">
        <f>MIN(1,MAX(VLOOKUP(($AJ154-$AI154-$AH154-$AG154-$AF154-$AE154*(1+FU$3))/$AJ154,'Технический лист'!$A:$B,2,1),(FT154-0.05)))</f>
        <v/>
      </c>
      <c r="FV154" s="172">
        <f>MIN(1,MAX(VLOOKUP(($AJ154-$AI154-$AH154-$AG154-$AF154-$AE154*(1+FV$3))/$AJ154,'Технический лист'!$A:$B,2,1),(FU154-0.05)))</f>
        <v/>
      </c>
      <c r="FW154" s="172">
        <f>MIN(1,MAX(VLOOKUP(($AJ154-$AI154-$AH154-$AG154-$AF154-$AE154*(1+FW$3))/$AJ154,'Технический лист'!$A:$B,2,1),(FV154-0.05)))</f>
        <v/>
      </c>
      <c r="FX154" s="172">
        <f>MIN(1,MAX(VLOOKUP(($AJ154-$AI154-$AH154-$AG154-$AF154-$AE154*(1+FX$3))/$AJ154,'Технический лист'!$A:$B,2,1),(FW154-0.05)))</f>
        <v/>
      </c>
      <c r="FY154" s="172">
        <f>MIN(1,MAX(VLOOKUP(($AJ154-$AI154-$AH154-$AG154-$AF154-$AE154*(1+FY$3))/$AJ154,'Технический лист'!$A:$B,2,1),(FX154-0.05)))</f>
        <v/>
      </c>
      <c r="FZ154" s="172">
        <f>MIN(1,MAX(VLOOKUP(($AJ154-$AI154-$AH154-$AG154-$AF154-$AE154*(1+FZ$3))/$AJ154,'Технический лист'!$A:$B,2,1),(FY154-0.05)))</f>
        <v/>
      </c>
      <c r="GA154" s="172">
        <f>MIN(1,MAX(VLOOKUP(($AJ154-$AI154-$AH154-$AG154-$AF154-$AE154*(1+GA$3))/$AJ154,'Технический лист'!$A:$B,2,1),(FZ154-0.05)))</f>
        <v/>
      </c>
      <c r="GB154" s="172">
        <f>MIN(1,MAX(VLOOKUP(($AJ154-$AI154-$AH154-$AG154-$AF154-$AE154*(1+GB$3))/$AJ154,'Технический лист'!$A:$B,2,1),(GA154-0.05)))</f>
        <v/>
      </c>
      <c r="GC154" s="172">
        <f>MIN(1,MAX(VLOOKUP(($AJ154-$AI154-$AH154-$AG154-$AF154-$AE154*(1+GC$3))/$AJ154,'Технический лист'!$A:$B,2,1),(GB154-0.05)))</f>
        <v/>
      </c>
      <c r="GD154" s="172">
        <f>MIN(1,MAX(VLOOKUP(($AJ154-$AI154-$AH154-$AG154-$AF154-$AE154*(1+GD$3))/$AJ154,'Технический лист'!$A:$B,2,1),(GC154-0.05)))</f>
        <v/>
      </c>
      <c r="GE154" s="172">
        <f>MIN(1,MAX(VLOOKUP(($AJ154-$AI154-$AH154-$AG154-$AF154-$AE154*(1+GE$3))/$AJ154,'Технический лист'!$A:$B,2,1),(GD154-0.05)))</f>
        <v/>
      </c>
      <c r="GF154" s="172">
        <f>MIN(1,MAX(VLOOKUP(($AJ154-$AI154-$AH154-$AG154-$AF154-$AE154*(1+GF$3))/$AJ154,'Технический лист'!$A:$B,2,1),(GE154-0.05)))</f>
        <v/>
      </c>
      <c r="GG154" s="172">
        <f>MIN(1,MAX(VLOOKUP(($AJ154-$AI154-$AH154-$AG154-$AF154-$AE154*(1+GG$3))/$AJ154,'Технический лист'!$A:$B,2,1),(GF154-0.05)))</f>
        <v/>
      </c>
      <c r="GH154" s="172">
        <f>MIN(1,MAX(VLOOKUP(($AJ154-$AI154-$AH154-$AG154-$AF154-$AE154*(1+GH$3))/$AJ154,'Технический лист'!$A:$B,2,1),(GG154-0.05)))</f>
        <v/>
      </c>
      <c r="GI154" s="172">
        <f>MIN(1,MAX(VLOOKUP(($AJ154-$AI154-$AH154-$AG154-$AF154-$AE154*(1+GI$3))/$AJ154,'Технический лист'!$A:$B,2,1),(GH154-0.05)))</f>
        <v/>
      </c>
      <c r="GJ154" s="172">
        <f>MIN(1,MAX(VLOOKUP(($AJ154-$AI154-$AH154-$AG154-$AF154-$AE154*(1+GJ$3))/$AJ154,'Технический лист'!$A:$B,2,1),(GI154-0.05)))</f>
        <v/>
      </c>
      <c r="GK154" s="172">
        <f>MIN(1,MAX(VLOOKUP(($AJ154-$AI154-$AH154-$AG154-$AF154-$AE154*(1+GK$3))/$AJ154,'Технический лист'!$A:$B,2,1),(GJ154-0.05)))</f>
        <v/>
      </c>
      <c r="GL154" s="172">
        <f>MIN(1,MAX(VLOOKUP(($AJ154-$AI154-$AH154-$AG154-$AF154-$AE154*(1+GL$3))/$AJ154,'Технический лист'!$A:$B,2,1),(GK154-0.05)))</f>
        <v/>
      </c>
      <c r="GM154" s="172">
        <f>MIN(1,MAX(VLOOKUP(($AJ154-$AI154-$AH154-$AG154-$AF154-$AE154*(1+GM$3))/$AJ154,'Технический лист'!$A:$B,2,1),(GL154-0.05)))</f>
        <v/>
      </c>
      <c r="GN154" s="172">
        <f>MIN(1,MAX(VLOOKUP(($AJ154-$AI154-$AH154-$AG154-$AF154-$AE154*(1+GN$3))/$AJ154,'Технический лист'!$A:$B,2,1),(GM154-0.05)))</f>
        <v/>
      </c>
      <c r="GO154" s="172">
        <f>MIN(1,MAX(VLOOKUP(($AJ154-$AI154-$AH154-$AG154-$AF154-$AE154*(1+GO$3))/$AJ154,'Технический лист'!$A:$B,2,1),(GN154-0.05)))</f>
        <v/>
      </c>
      <c r="GP154" s="172">
        <f>MIN(1,MAX(VLOOKUP(($AJ154-$AI154-$AH154-$AG154-$AF154-$AE154*(1+GP$3))/$AJ154,'Технический лист'!$A:$B,2,1),(GO154-0.05)))</f>
        <v/>
      </c>
      <c r="GQ154" s="172">
        <f>MIN(1,MAX(VLOOKUP(($AJ154-$AI154-$AH154-$AG154-$AF154-$AE154*(1+GQ$3))/$AJ154,'Технический лист'!$A:$B,2,1),(GP154-0.05)))</f>
        <v/>
      </c>
      <c r="GR154" s="172">
        <f>MIN(1,MAX(VLOOKUP(($AJ154-$AI154-$AH154-$AG154-$AF154-$AE154*(1+GR$3))/$AJ154,'Технический лист'!$A:$B,2,1),(GQ154-0.05)))</f>
        <v/>
      </c>
      <c r="GS154" s="172">
        <f>MIN(1,MAX(VLOOKUP(($AJ154-$AI154-$AH154-$AG154-$AF154-$AE154*(1+GS$3))/$AJ154,'Технический лист'!$A:$B,2,1),(GR154-0.05)))</f>
        <v/>
      </c>
      <c r="GT154" s="172">
        <f>MIN(1,MAX(VLOOKUP(($AJ154-$AI154-$AH154-$AG154-$AF154-$AE154*(1+GT$3))/$AJ154,'Технический лист'!$A:$B,2,1),(GS154-0.05)))</f>
        <v/>
      </c>
      <c r="GU154" s="172">
        <f>MIN(1,MAX(VLOOKUP(($AJ154-$AI154-$AH154-$AG154-$AF154-$AE154*(1+GU$3))/$AJ154,'Технический лист'!$A:$B,2,1),(GT154-0.05)))</f>
        <v/>
      </c>
      <c r="GV154" s="172">
        <f>MIN(1,MAX(VLOOKUP(($AJ154-$AI154-$AH154-$AG154-$AF154-$AE154*(1+GV$3))/$AJ154,'Технический лист'!$A:$B,2,1),(GU154-0.05)))</f>
        <v/>
      </c>
      <c r="GW154" s="172">
        <f>MIN(1,MAX(VLOOKUP(($AJ154-$AI154-$AH154-$AG154-$AF154-$AE154*(1+GW$3))/$AJ154,'Технический лист'!$A:$B,2,1),(GV154-0.05)))</f>
        <v/>
      </c>
      <c r="GX154" s="172">
        <f>MIN(1,MAX(VLOOKUP(($AJ154-$AI154-$AH154-$AG154-$AF154-$AE154*(1+GX$3))/$AJ154,'Технический лист'!$A:$B,2,1),(GW154-0.05)))</f>
        <v/>
      </c>
      <c r="GY154" s="172">
        <f>MIN(1,MAX(VLOOKUP(($AJ154-$AI154-$AH154-$AG154-$AF154-$AE154*(1+GY$3))/$AJ154,'Технический лист'!$A:$B,2,1),(GX154-0.05)))</f>
        <v/>
      </c>
      <c r="GZ154" s="172">
        <f>MIN(1,MAX(VLOOKUP(($AJ154-$AI154-$AH154-$AG154-$AF154-$AE154*(1+GZ$3))/$AJ154,'Технический лист'!$A:$B,2,1),(GY154-0.05)))</f>
        <v/>
      </c>
      <c r="HA154" s="172">
        <f>MIN(1,MAX(VLOOKUP(($AJ154-$AI154-$AH154-$AG154-$AF154-$AE154*(1+HA$3))/$AJ154,'Технический лист'!$A:$B,2,1),(GZ154-0.05)))</f>
        <v/>
      </c>
      <c r="HB154" s="172">
        <f>MIN(1,MAX(VLOOKUP(($AJ154-$AI154-$AH154-$AG154-$AF154-$AE154*(1+HB$3))/$AJ154,'Технический лист'!$A:$B,2,1),(HA154-0.05)))</f>
        <v/>
      </c>
      <c r="HC154" s="172">
        <f>MIN(1,MAX(VLOOKUP(($AJ154-$AI154-$AH154-$AG154-$AF154-$AE154*(1+HC$3))/$AJ154,'Технический лист'!$A:$B,2,1),(HB154-0.05)))</f>
        <v/>
      </c>
      <c r="HD154" s="172">
        <f>MIN(1,MAX(VLOOKUP(($AJ154-$AI154-$AH154-$AG154-$AF154-$AE154*(1+HD$3))/$AJ154,'Технический лист'!$A:$B,2,1),(HC154-0.05)))</f>
        <v/>
      </c>
      <c r="HE154" s="172">
        <f>MIN(1,MAX(VLOOKUP(($AJ154-$AI154-$AH154-$AG154-$AF154-$AE154*(1+HE$3))/$AJ154,'Технический лист'!$A:$B,2,1),(HD154-0.05)))</f>
        <v/>
      </c>
      <c r="HF154" s="172">
        <f>MIN(1,MAX(VLOOKUP(($AJ154-$AI154-$AH154-$AG154-$AF154-$AE154*(1+HF$3))/$AJ154,'Технический лист'!$A:$B,2,1),(HE154-0.05)))</f>
        <v/>
      </c>
      <c r="HG154" s="172">
        <f>MIN(1,MAX(VLOOKUP(($AJ154-$AI154-$AH154-$AG154-$AF154-$AE154*(1+HG$3))/$AJ154,'Технический лист'!$A:$B,2,1),(HF154-0.05)))</f>
        <v/>
      </c>
      <c r="HH154" s="172">
        <f>MIN(1,MAX(VLOOKUP(($AJ154-$AI154-$AH154-$AG154-$AF154-$AE154*(1+HH$3))/$AJ154,'Технический лист'!$A:$B,2,1),(HG154-0.05)))</f>
        <v/>
      </c>
      <c r="HI154" s="172">
        <f>MIN(1,MAX(VLOOKUP(($AJ154-$AI154-$AH154-$AG154-$AF154-$AE154*(1+HI$3))/$AJ154,'Технический лист'!$A:$B,2,1),(HH154-0.05)))</f>
        <v/>
      </c>
      <c r="HJ154" s="172">
        <f>MIN(1,MAX(VLOOKUP(($AJ154-$AI154-$AH154-$AG154-$AF154-$AE154*(1+HJ$3))/$AJ154,'Технический лист'!$A:$B,2,1),(HI154-0.05)))</f>
        <v/>
      </c>
      <c r="HK154" s="172">
        <f>MIN(1,MAX(VLOOKUP(($AJ154-$AI154-$AH154-$AG154-$AF154-$AE154*(1+HK$3))/$AJ154,'Технический лист'!$A:$B,2,1),(HJ154-0.05)))</f>
        <v/>
      </c>
      <c r="HL154" s="172">
        <f>MIN(1,MAX(VLOOKUP(($AJ154-$AI154-$AH154-$AG154-$AF154-$AE154*(1+HL$3))/$AJ154,'Технический лист'!$A:$B,2,1),(HK154-0.05)))</f>
        <v/>
      </c>
      <c r="HM154" s="172">
        <f>MIN(1,MAX(VLOOKUP(($AJ154-$AI154-$AH154-$AG154-$AF154-$AE154*(1+HM$3))/$AJ154,'Технический лист'!$A:$B,2,1),(HL154-0.05)))</f>
        <v/>
      </c>
      <c r="HN154" s="172">
        <f>MIN(1,MAX(VLOOKUP(($AJ154-$AI154-$AH154-$AG154-$AF154-$AE154*(1+HN$3))/$AJ154,'Технический лист'!$A:$B,2,1),(HM154-0.05)))</f>
        <v/>
      </c>
      <c r="HO154" s="172">
        <f>MIN(1,MAX(VLOOKUP(($AJ154-$AI154-$AH154-$AG154-$AF154-$AE154*(1+HO$3))/$AJ154,'Технический лист'!$A:$B,2,1),(HN154-0.05)))</f>
        <v/>
      </c>
      <c r="HP154" s="172">
        <f>MIN(1,MAX(VLOOKUP(($AJ154-$AI154-$AH154-$AG154-$AF154-$AE154*(1+HP$3))/$AJ154,'Технический лист'!$A:$B,2,1),(HO154-0.05)))</f>
        <v/>
      </c>
      <c r="HQ154" s="172">
        <f>MIN(1,MAX(VLOOKUP(($AJ154-$AI154-$AH154-$AG154-$AF154-$AE154*(1+HQ$3))/$AJ154,'Технический лист'!$A:$B,2,1),(HP154-0.05)))</f>
        <v/>
      </c>
      <c r="HR154" s="172">
        <f>MIN(1,MAX(VLOOKUP(($AJ154-$AI154-$AH154-$AG154-$AF154-$AE154*(1+HR$3))/$AJ154,'Технический лист'!$A:$B,2,1),(HQ154-0.05)))</f>
        <v/>
      </c>
      <c r="HS154" s="172">
        <f>MIN(1,MAX(VLOOKUP(($AJ154-$AI154-$AH154-$AG154-$AF154-$AE154*(1+HS$3))/$AJ154,'Технический лист'!$A:$B,2,1),(HR154-0.05)))</f>
        <v/>
      </c>
      <c r="HT154" s="172">
        <f>MIN(1,MAX(VLOOKUP(($AJ154-$AI154-$AH154-$AG154-$AF154-$AE154*(1+HT$3))/$AJ154,'Технический лист'!$A:$B,2,1),(HS154-0.05)))</f>
        <v/>
      </c>
      <c r="HU154" s="172">
        <f>MIN(1,MAX(VLOOKUP(($AJ154-$AI154-$AH154-$AG154-$AF154-$AE154*(1+HU$3))/$AJ154,'Технический лист'!$A:$B,2,1),(HT154-0.05)))</f>
        <v/>
      </c>
      <c r="HV154" s="172">
        <f>MIN(1,MAX(VLOOKUP(($AJ154-$AI154-$AH154-$AG154-$AF154-$AE154*(1+HV$3))/$AJ154,'Технический лист'!$A:$B,2,1),(HU154-0.05)))</f>
        <v/>
      </c>
      <c r="HW154" s="172">
        <f>MIN(1,MAX(VLOOKUP(($AJ154-$AI154-$AH154-$AG154-$AF154-$AE154*(1+HW$3))/$AJ154,'Технический лист'!$A:$B,2,1),(HV154-0.05)))</f>
        <v/>
      </c>
      <c r="HX154" s="172">
        <f>MIN(1,MAX(VLOOKUP(($AJ154-$AI154-$AH154-$AG154-$AF154-$AE154*(1+HX$3))/$AJ154,'Технический лист'!$A:$B,2,1),(HW154-0.05)))</f>
        <v/>
      </c>
      <c r="HY154" s="172">
        <f>MIN(1,MAX(VLOOKUP(($AJ154-$AI154-$AH154-$AG154-$AF154-$AE154*(1+HY$3))/$AJ154,'Технический лист'!$A:$B,2,1),(HX154-0.05)))</f>
        <v/>
      </c>
      <c r="HZ154" s="172">
        <f>MIN(1,MAX(VLOOKUP(($AJ154-$AI154-$AH154-$AG154-$AF154-$AE154*(1+HZ$3))/$AJ154,'Технический лист'!$A:$B,2,1),(HY154-0.05)))</f>
        <v/>
      </c>
      <c r="IA154" s="172">
        <f>MIN(1,MAX(VLOOKUP(($AJ154-$AI154-$AH154-$AG154-$AF154-$AE154*(1+IA$3))/$AJ154,'Технический лист'!$A:$B,2,1),(HZ154-0.05)))</f>
        <v/>
      </c>
      <c r="IB154" s="172">
        <f>MIN(1,MAX(VLOOKUP(($AJ154-$AI154-$AH154-$AG154-$AF154-$AE154*(1+IB$3))/$AJ154,'Технический лист'!$A:$B,2,1),(IA154-0.05)))</f>
        <v/>
      </c>
      <c r="IC154" s="172">
        <f>MIN(1,MAX(VLOOKUP(($AJ154-$AI154-$AH154-$AG154-$AF154-$AE154*(1+IC$3))/$AJ154,'Технический лист'!$A:$B,2,1),(IB154-0.05)))</f>
        <v/>
      </c>
      <c r="ID154" s="172">
        <f>MIN(1,MAX(VLOOKUP(($AJ154-$AI154-$AH154-$AG154-$AF154-$AE154*(1+ID$3))/$AJ154,'Технический лист'!$A:$B,2,1),(IC154-0.05)))</f>
        <v/>
      </c>
      <c r="IE154" s="172">
        <f>MIN(1,MAX(VLOOKUP(($AJ154-$AI154-$AH154-$AG154-$AF154-$AE154*(1+IE$3))/$AJ154,'Технический лист'!$A:$B,2,1),(ID154-0.05)))</f>
        <v/>
      </c>
      <c r="IF154" s="172">
        <f>MIN(1,MAX(VLOOKUP(($AJ154-$AI154-$AH154-$AG154-$AF154-$AE154*(1+IF$3))/$AJ154,'Технический лист'!$A:$B,2,1),(IE154-0.05)))</f>
        <v/>
      </c>
      <c r="IG154" s="172">
        <f>MIN(1,MAX(VLOOKUP(($AJ154-$AI154-$AH154-$AG154-$AF154-$AE154*(1+IG$3))/$AJ154,'Технический лист'!$A:$B,2,1),(IF154-0.05)))</f>
        <v/>
      </c>
      <c r="IH154" s="172">
        <f>MIN(1,MAX(VLOOKUP(($AJ154-$AI154-$AH154-$AG154-$AF154-$AE154*(1+IH$3))/$AJ154,'Технический лист'!$A:$B,2,1),(IG154-0.05)))</f>
        <v/>
      </c>
      <c r="II154" s="172">
        <f>MIN(1,MAX(VLOOKUP(($AJ154-$AI154-$AH154-$AG154-$AF154-$AE154*(1+II$3))/$AJ154,'Технический лист'!$A:$B,2,1),(IH154-0.05)))</f>
        <v/>
      </c>
      <c r="IJ154" s="172">
        <f>MIN(1,MAX(VLOOKUP(($AJ154-$AI154-$AH154-$AG154-$AF154-$AE154*(1+IJ$3))/$AJ154,'Технический лист'!$A:$B,2,1),(II154-0.05)))</f>
        <v/>
      </c>
      <c r="IK154" s="172">
        <f>MIN(1,MAX(VLOOKUP(($AJ154-$AI154-$AH154-$AG154-$AF154-$AE154*(1+IK$3))/$AJ154,'Технический лист'!$A:$B,2,1),(IJ154-0.05)))</f>
        <v/>
      </c>
      <c r="IL154" s="172">
        <f>MIN(1,MAX(VLOOKUP(($AJ154-$AI154-$AH154-$AG154-$AF154-$AE154*(1+IL$3))/$AJ154,'Технический лист'!$A:$B,2,1),(IK154-0.05)))</f>
        <v/>
      </c>
      <c r="IM154" s="172">
        <f>MIN(1,MAX(VLOOKUP(($AJ154-$AI154-$AH154-$AG154-$AF154-$AE154*(1+IM$3))/$AJ154,'Технический лист'!$A:$B,2,1),(IL154-0.05)))</f>
        <v/>
      </c>
      <c r="IN154" s="172">
        <f>MIN(1,MAX(VLOOKUP(($AJ154-$AI154-$AH154-$AG154-$AF154-$AE154*(1+IN$3))/$AJ154,'Технический лист'!$A:$B,2,1),(IM154-0.05)))</f>
        <v/>
      </c>
      <c r="IO154" s="172">
        <f>MIN(1,MAX(VLOOKUP(($AJ154-$AI154-$AH154-$AG154-$AF154-$AE154*(1+IO$3))/$AJ154,'Технический лист'!$A:$B,2,1),(IN154-0.05)))</f>
        <v/>
      </c>
      <c r="IP154" s="172">
        <f>MIN(1,MAX(VLOOKUP(($AJ154-$AI154-$AH154-$AG154-$AF154-$AE154*(1+IP$3))/$AJ154,'Технический лист'!$A:$B,2,1),(IO154-0.05)))</f>
        <v/>
      </c>
      <c r="IQ154" s="172">
        <f>MIN(1,MAX(VLOOKUP(($AJ154-$AI154-$AH154-$AG154-$AF154-$AE154*(1+IQ$3))/$AJ154,'Технический лист'!$A:$B,2,1),(IP154-0.05)))</f>
        <v/>
      </c>
      <c r="IR154" s="172">
        <f>MIN(1,MAX(VLOOKUP(($AJ154-$AI154-$AH154-$AG154-$AF154-$AE154*(1+IR$3))/$AJ154,'Технический лист'!$A:$B,2,1),(IQ154-0.05)))</f>
        <v/>
      </c>
    </row>
    <row r="155" ht="72.90000000000001" customHeight="1" s="123">
      <c r="A155" s="89" t="inlineStr">
        <is>
          <t>ЦМ (продукция)</t>
        </is>
      </c>
      <c r="B155" s="90" t="n">
        <v>10</v>
      </c>
      <c r="C155" s="5" t="inlineStr">
        <is>
          <t>Остальные грузы</t>
        </is>
      </c>
      <c r="D155" s="91" t="n">
        <v>33147</v>
      </c>
      <c r="E155" s="91" t="inlineStr">
        <is>
          <t>Сплавы цветных металлов в болванках, слитках, чушках, не поименованные в алфавите</t>
        </is>
      </c>
      <c r="F155" s="92" t="inlineStr">
        <is>
          <t>МЕТАЛЛЫ ЦВЕТНЫЕ И ИХ СПЛА</t>
        </is>
      </c>
      <c r="G155" s="91" t="inlineStr">
        <is>
          <t>ОКТ</t>
        </is>
      </c>
      <c r="H155" s="91" t="inlineStr">
        <is>
          <t>КБШ</t>
        </is>
      </c>
      <c r="I155" s="91" t="inlineStr">
        <is>
          <t>КОЛПИНО</t>
        </is>
      </c>
      <c r="J155" s="91" t="inlineStr">
        <is>
          <t>СРЕДНЕВОЛЖСК</t>
        </is>
      </c>
      <c r="K155" s="91" t="n">
        <v>2047</v>
      </c>
      <c r="L155" s="77" t="inlineStr">
        <is>
          <t>Платформы</t>
        </is>
      </c>
      <c r="M155" s="91" t="inlineStr">
        <is>
          <t>Внутр. перевозки</t>
        </is>
      </c>
      <c r="N155" s="91" t="inlineStr">
        <is>
          <t>контейнерная</t>
        </is>
      </c>
      <c r="O155" s="91" t="inlineStr">
        <is>
          <t xml:space="preserve">Южное </t>
        </is>
      </c>
      <c r="P155" s="89" t="inlineStr">
        <is>
          <t>'000071388031</t>
        </is>
      </c>
      <c r="Q155" s="91" t="inlineStr">
        <is>
          <t>'ООО "ЖТЭК" (экспедитор ПАО "Северсталь")</t>
        </is>
      </c>
      <c r="R155" s="91" t="inlineStr">
        <is>
          <t>ПАО "СЕВЕРСТАЛЬ"</t>
        </is>
      </c>
      <c r="S155" s="87" t="n">
        <v>13256</v>
      </c>
      <c r="T155" s="87" t="n">
        <v>27129393</v>
      </c>
      <c r="U155" s="88" t="n">
        <v>220</v>
      </c>
      <c r="V155" s="88" t="n">
        <v>440</v>
      </c>
      <c r="W155" s="87" t="n">
        <v>19031760</v>
      </c>
      <c r="X155" s="112" t="n">
        <v>60</v>
      </c>
      <c r="Y155" s="112" t="inlineStr">
        <is>
          <t>контейнерная</t>
        </is>
      </c>
      <c r="Z155" s="113" t="n">
        <v>10</v>
      </c>
      <c r="AA155" s="113" t="n">
        <v>0</v>
      </c>
      <c r="AB155" s="113" t="n">
        <v>4</v>
      </c>
      <c r="AC155" s="161">
        <f>120890/X155</f>
        <v/>
      </c>
      <c r="AD155" s="161" t="n">
        <v>0</v>
      </c>
      <c r="AE155" s="161">
        <f>AC155</f>
        <v/>
      </c>
      <c r="AF155" s="162">
        <f>(AB155+AA155+Z155)*'Ставки аренды'!$B$6/X155</f>
        <v/>
      </c>
      <c r="AG155" s="164" t="n">
        <v>0</v>
      </c>
      <c r="AH155" s="164" t="n">
        <v>0</v>
      </c>
      <c r="AI155" s="174">
        <f>507353/712157*AJ155</f>
        <v/>
      </c>
      <c r="AJ155" s="166">
        <f>Цены!D32</f>
        <v/>
      </c>
      <c r="AK155" s="164">
        <f>AJ155/Цены!$B$1</f>
        <v/>
      </c>
      <c r="AL155" s="164">
        <f>AE155+AF155+AG155</f>
        <v/>
      </c>
      <c r="AM155" s="164">
        <f>AJ155-AL155</f>
        <v/>
      </c>
      <c r="AN155" s="164">
        <f>AI155+AH155+AG155+AF155+AE155</f>
        <v/>
      </c>
      <c r="AO155" s="167">
        <f>(AJ155-AN155)/AJ155</f>
        <v/>
      </c>
      <c r="AP155" s="168">
        <f>AL155/AJ155</f>
        <v/>
      </c>
      <c r="AQ155" s="168">
        <f>AE155/AJ155</f>
        <v/>
      </c>
      <c r="AR155" s="168">
        <f>AE155/AL155</f>
        <v/>
      </c>
      <c r="AS155" s="169" t="n">
        <v>1</v>
      </c>
      <c r="AT155" s="121">
        <f>S155*AS155</f>
        <v/>
      </c>
      <c r="AU155" s="83" t="n">
        <v>0.95</v>
      </c>
      <c r="AV155" s="170">
        <f>(AJ155-(AE155*(1+$IS$2)+AF155+AG155+AH155+AI155))/AJ155</f>
        <v/>
      </c>
      <c r="AW155" s="171">
        <f>(AE155*(1+$IS$2)+AF155+AG155)/AJ155</f>
        <v/>
      </c>
      <c r="AX155" s="171">
        <f>(AE155*(1+$IS$2))/AJ155</f>
        <v/>
      </c>
      <c r="AY155" s="171">
        <f>(AE155*(1+$IS$2))/(AE155*(1+$IS$2)+AF155+AG155)</f>
        <v/>
      </c>
      <c r="AZ155" s="172">
        <f>MIN(IF($AU155=100%,1,1+VLOOKUP(($AJ155-$AI155-$AH155-$AG155-$AF155-$AE155*(1+AZ$3))/$AJ155,'Технический лист'!$I:$J,2,1)-VLOOKUP($AO155,'Технический лист'!$I:$J,2,1)),1+(1-$AU155))</f>
        <v/>
      </c>
      <c r="BA155" s="172">
        <f>MIN(IF($AU155=100%,1,1+VLOOKUP(($AJ155-$AI155-$AH155-$AG155-$AF155-$AE155*(1+BA$3))/$AJ155,'Технический лист'!$I:$J,2,1)-VLOOKUP($AO155,'Технический лист'!$I:$J,2,1)),1+(1-$AU155))</f>
        <v/>
      </c>
      <c r="BB155" s="172">
        <f>MIN(IF($AU155=100%,1,1+VLOOKUP(($AJ155-$AI155-$AH155-$AG155-$AF155-$AE155*(1+BB$3))/$AJ155,'Технический лист'!$I:$J,2,1)-VLOOKUP($AO155,'Технический лист'!$I:$J,2,1)),1+(1-$AU155))</f>
        <v/>
      </c>
      <c r="BC155" s="172">
        <f>MIN(IF($AU155=100%,1,1+VLOOKUP(($AJ155-$AI155-$AH155-$AG155-$AF155-$AE155*(1+BC$3))/$AJ155,'Технический лист'!$I:$J,2,1)-VLOOKUP($AO155,'Технический лист'!$I:$J,2,1)),1+(1-$AU155))</f>
        <v/>
      </c>
      <c r="BD155" s="172">
        <f>MIN(IF($AU155=100%,1,1+VLOOKUP(($AJ155-$AI155-$AH155-$AG155-$AF155-$AE155*(1+BD$3))/$AJ155,'Технический лист'!$I:$J,2,1)-VLOOKUP($AO155,'Технический лист'!$I:$J,2,1)),1+(1-$AU155))</f>
        <v/>
      </c>
      <c r="BE155" s="172">
        <f>MIN(IF($AU155=100%,1,1+VLOOKUP(($AJ155-$AI155-$AH155-$AG155-$AF155-$AE155*(1+BE$3))/$AJ155,'Технический лист'!$I:$J,2,1)-VLOOKUP($AO155,'Технический лист'!$I:$J,2,1)),1+(1-$AU155))</f>
        <v/>
      </c>
      <c r="BF155" s="172">
        <f>MIN(IF($AU155=100%,1,1+VLOOKUP(($AJ155-$AI155-$AH155-$AG155-$AF155-$AE155*(1+BF$3))/$AJ155,'Технический лист'!$I:$J,2,1)-VLOOKUP($AO155,'Технический лист'!$I:$J,2,1)),1+(1-$AU155))</f>
        <v/>
      </c>
      <c r="BG155" s="172">
        <f>MIN(IF($AU155=100%,1,1+VLOOKUP(($AJ155-$AI155-$AH155-$AG155-$AF155-$AE155*(1+BG$3))/$AJ155,'Технический лист'!$I:$J,2,1)-VLOOKUP($AO155,'Технический лист'!$I:$J,2,1)),1+(1-$AU155))</f>
        <v/>
      </c>
      <c r="BH155" s="172">
        <f>MIN(IF($AU155=100%,1,1+VLOOKUP(($AJ155-$AI155-$AH155-$AG155-$AF155-$AE155*(1+BH$3))/$AJ155,'Технический лист'!$I:$J,2,1)-VLOOKUP($AO155,'Технический лист'!$I:$J,2,1)),1+(1-$AU155))</f>
        <v/>
      </c>
      <c r="BI155" s="172">
        <f>MIN(IF($AU155=100%,1,1+VLOOKUP(($AJ155-$AI155-$AH155-$AG155-$AF155-$AE155*(1+BI$3))/$AJ155,'Технический лист'!$I:$J,2,1)-VLOOKUP($AO155,'Технический лист'!$I:$J,2,1)),1+(1-$AU155))</f>
        <v/>
      </c>
      <c r="BJ155" s="172">
        <f>MIN(IF($AU155=100%,1,1+VLOOKUP(($AJ155-$AI155-$AH155-$AG155-$AF155-$AE155*(1+BJ$3))/$AJ155,'Технический лист'!$I:$J,2,1)-VLOOKUP($AO155,'Технический лист'!$I:$J,2,1)),1+(1-$AU155))</f>
        <v/>
      </c>
      <c r="BK155" s="172">
        <f>MIN(IF($AU155=100%,1,1+VLOOKUP(($AJ155-$AI155-$AH155-$AG155-$AF155-$AE155*(1+BK$3))/$AJ155,'Технический лист'!$I:$J,2,1)-VLOOKUP($AO155,'Технический лист'!$I:$J,2,1)),1+(1-$AU155))</f>
        <v/>
      </c>
      <c r="BL155" s="172">
        <f>MIN(IF($AU155=100%,1,1+VLOOKUP(($AJ155-$AI155-$AH155-$AG155-$AF155-$AE155*(1+BL$3))/$AJ155,'Технический лист'!$I:$J,2,1)-VLOOKUP($AO155,'Технический лист'!$I:$J,2,1)),1+(1-$AU155))</f>
        <v/>
      </c>
      <c r="BM155" s="172">
        <f>MIN(IF($AU155=100%,1,1+VLOOKUP(($AJ155-$AI155-$AH155-$AG155-$AF155-$AE155*(1+BM$3))/$AJ155,'Технический лист'!$I:$J,2,1)-VLOOKUP($AO155,'Технический лист'!$I:$J,2,1)),1+(1-$AU155))</f>
        <v/>
      </c>
      <c r="BN155" s="172">
        <f>MIN(IF($AU155=100%,1,1+VLOOKUP(($AJ155-$AI155-$AH155-$AG155-$AF155-$AE155*(1+BN$3))/$AJ155,'Технический лист'!$I:$J,2,1)-VLOOKUP($AO155,'Технический лист'!$I:$J,2,1)),1+(1-$AU155))</f>
        <v/>
      </c>
      <c r="BO155" s="172">
        <f>MIN(IF($AU155=100%,1,1+VLOOKUP(($AJ155-$AI155-$AH155-$AG155-$AF155-$AE155*(1+BO$3))/$AJ155,'Технический лист'!$I:$J,2,1)-VLOOKUP($AO155,'Технический лист'!$I:$J,2,1)),1+(1-$AU155))</f>
        <v/>
      </c>
      <c r="BP155" s="172">
        <f>MIN(IF($AU155=100%,1,1+VLOOKUP(($AJ155-$AI155-$AH155-$AG155-$AF155-$AE155*(1+BP$3))/$AJ155,'Технический лист'!$I:$J,2,1)-VLOOKUP($AO155,'Технический лист'!$I:$J,2,1)),1+(1-$AU155))</f>
        <v/>
      </c>
      <c r="BQ155" s="172">
        <f>MIN(IF($AU155=100%,1,1+VLOOKUP(($AJ155-$AI155-$AH155-$AG155-$AF155-$AE155*(1+BQ$3))/$AJ155,'Технический лист'!$I:$J,2,1)-VLOOKUP($AO155,'Технический лист'!$I:$J,2,1)),1+(1-$AU155))</f>
        <v/>
      </c>
      <c r="BR155" s="172">
        <f>MIN(IF($AU155=100%,1,1+VLOOKUP(($AJ155-$AI155-$AH155-$AG155-$AF155-$AE155*(1+BR$3))/$AJ155,'Технический лист'!$I:$J,2,1)-VLOOKUP($AO155,'Технический лист'!$I:$J,2,1)),1+(1-$AU155))</f>
        <v/>
      </c>
      <c r="BS155" s="172">
        <f>MIN(IF($AU155=100%,1,1+VLOOKUP(($AJ155-$AI155-$AH155-$AG155-$AF155-$AE155*(1+BS$3))/$AJ155,'Технический лист'!$I:$J,2,1)-VLOOKUP($AO155,'Технический лист'!$I:$J,2,1)),1+(1-$AU155))</f>
        <v/>
      </c>
      <c r="BT155" s="172">
        <f>MIN(IF($AU155=100%,1,1+VLOOKUP(($AJ155-$AI155-$AH155-$AG155-$AF155-$AE155*(1+BT$3))/$AJ155,'Технический лист'!$I:$J,2,1)-VLOOKUP($AO155,'Технический лист'!$I:$J,2,1)),1+(1-$AU155))</f>
        <v/>
      </c>
      <c r="BU155" s="172">
        <f>MIN(IF($AU155=100%,1,1+VLOOKUP(($AJ155-$AI155-$AH155-$AG155-$AF155-$AE155*(1+BU$3))/$AJ155,'Технический лист'!$I:$J,2,1)-VLOOKUP($AO155,'Технический лист'!$I:$J,2,1)),1+(1-$AU155))</f>
        <v/>
      </c>
      <c r="BV155" s="172">
        <f>MIN(IF($AU155=100%,1,1+VLOOKUP(($AJ155-$AI155-$AH155-$AG155-$AF155-$AE155*(1+BV$3))/$AJ155,'Технический лист'!$I:$J,2,1)-VLOOKUP($AO155,'Технический лист'!$I:$J,2,1)),1+(1-$AU155))</f>
        <v/>
      </c>
      <c r="BW155" s="172">
        <f>MIN(IF($AU155=100%,1,1+VLOOKUP(($AJ155-$AI155-$AH155-$AG155-$AF155-$AE155*(1+BW$3))/$AJ155,'Технический лист'!$I:$J,2,1)-VLOOKUP($AO155,'Технический лист'!$I:$J,2,1)),1+(1-$AU155))</f>
        <v/>
      </c>
      <c r="BX155" s="172">
        <f>MIN(IF($AU155=100%,1,1+VLOOKUP(($AJ155-$AI155-$AH155-$AG155-$AF155-$AE155*(1+BX$3))/$AJ155,'Технический лист'!$I:$J,2,1)-VLOOKUP($AO155,'Технический лист'!$I:$J,2,1)),1+(1-$AU155))</f>
        <v/>
      </c>
      <c r="BY155" s="172">
        <f>MIN(IF($AU155=100%,1,1+VLOOKUP(($AJ155-$AI155-$AH155-$AG155-$AF155-$AE155*(1+BY$3))/$AJ155,'Технический лист'!$I:$J,2,1)-VLOOKUP($AO155,'Технический лист'!$I:$J,2,1)),1+(1-$AU155))</f>
        <v/>
      </c>
      <c r="BZ155" s="172">
        <f>MIN(IF($AU155=100%,1,1+VLOOKUP(($AJ155-$AI155-$AH155-$AG155-$AF155-$AE155*(1+BZ$3))/$AJ155,'Технический лист'!$I:$J,2,1)-VLOOKUP($AO155,'Технический лист'!$I:$J,2,1)),1+(1-$AU155))</f>
        <v/>
      </c>
      <c r="CA155" s="172">
        <f>MIN(IF($AU155=100%,1,1+VLOOKUP(($AJ155-$AI155-$AH155-$AG155-$AF155-$AE155*(1+CA$3))/$AJ155,'Технический лист'!$I:$J,2,1)-VLOOKUP($AO155,'Технический лист'!$I:$J,2,1)),1+(1-$AU155))</f>
        <v/>
      </c>
      <c r="CB155" s="172">
        <f>MIN(IF($AU155=100%,1,1+VLOOKUP(($AJ155-$AI155-$AH155-$AG155-$AF155-$AE155*(1+CB$3))/$AJ155,'Технический лист'!$I:$J,2,1)-VLOOKUP($AO155,'Технический лист'!$I:$J,2,1)),1+(1-$AU155))</f>
        <v/>
      </c>
      <c r="CC155" s="172">
        <f>MIN(IF($AU155=100%,1,1+VLOOKUP(($AJ155-$AI155-$AH155-$AG155-$AF155-$AE155*(1+CC$3))/$AJ155,'Технический лист'!$I:$J,2,1)-VLOOKUP($AO155,'Технический лист'!$I:$J,2,1)),1+(1-$AU155))</f>
        <v/>
      </c>
      <c r="CD155" s="172">
        <f>MIN(IF($AU155=100%,1,1+VLOOKUP(($AJ155-$AI155-$AH155-$AG155-$AF155-$AE155*(1+CD$3))/$AJ155,'Технический лист'!$I:$J,2,1)-VLOOKUP($AO155,'Технический лист'!$I:$J,2,1)),1+(1-$AU155))</f>
        <v/>
      </c>
      <c r="CE155" s="172">
        <f>MIN(IF($AU155=100%,1,1+VLOOKUP(($AJ155-$AI155-$AH155-$AG155-$AF155-$AE155*(1+CE$3))/$AJ155,'Технический лист'!$I:$J,2,1)-VLOOKUP($AO155,'Технический лист'!$I:$J,2,1)),1+(1-$AU155))</f>
        <v/>
      </c>
      <c r="CF155" s="172">
        <f>MIN(IF($AU155=100%,1,1+VLOOKUP(($AJ155-$AI155-$AH155-$AG155-$AF155-$AE155*(1+CF$3))/$AJ155,'Технический лист'!$I:$J,2,1)-VLOOKUP($AO155,'Технический лист'!$I:$J,2,1)),1+(1-$AU155))</f>
        <v/>
      </c>
      <c r="CG155" s="172">
        <f>MIN(IF($AU155=100%,1,1+VLOOKUP(($AJ155-$AI155-$AH155-$AG155-$AF155-$AE155*(1+CG$3))/$AJ155,'Технический лист'!$I:$J,2,1)-VLOOKUP($AO155,'Технический лист'!$I:$J,2,1)),1+(1-$AU155))</f>
        <v/>
      </c>
      <c r="CH155" s="172">
        <f>MIN(IF($AU155=100%,1,1+VLOOKUP(($AJ155-$AI155-$AH155-$AG155-$AF155-$AE155*(1+CH$3))/$AJ155,'Технический лист'!$I:$J,2,1)-VLOOKUP($AO155,'Технический лист'!$I:$J,2,1)),1+(1-$AU155))</f>
        <v/>
      </c>
      <c r="CI155" s="172">
        <f>MIN(IF($AU155=100%,1,1+VLOOKUP(($AJ155-$AI155-$AH155-$AG155-$AF155-$AE155*(1+CI$3))/$AJ155,'Технический лист'!$I:$J,2,1)-VLOOKUP($AO155,'Технический лист'!$I:$J,2,1)),1+(1-$AU155))</f>
        <v/>
      </c>
      <c r="CJ155" s="172">
        <f>MIN(IF($AU155=100%,1,1+VLOOKUP(($AJ155-$AI155-$AH155-$AG155-$AF155-$AE155*(1+CJ$3))/$AJ155,'Технический лист'!$I:$J,2,1)-VLOOKUP($AO155,'Технический лист'!$I:$J,2,1)),1+(1-$AU155))</f>
        <v/>
      </c>
      <c r="CK155" s="172">
        <f>MIN(IF($AU155=100%,1,1+VLOOKUP(($AJ155-$AI155-$AH155-$AG155-$AF155-$AE155*(1+CK$3))/$AJ155,'Технический лист'!$I:$J,2,1)-VLOOKUP($AO155,'Технический лист'!$I:$J,2,1)),1+(1-$AU155))</f>
        <v/>
      </c>
      <c r="CL155" s="172">
        <f>MIN(IF($AU155=100%,1,1+VLOOKUP(($AJ155-$AI155-$AH155-$AG155-$AF155-$AE155*(1+CL$3))/$AJ155,'Технический лист'!$I:$J,2,1)-VLOOKUP($AO155,'Технический лист'!$I:$J,2,1)),1+(1-$AU155))</f>
        <v/>
      </c>
      <c r="CM155" s="172">
        <f>MIN(IF($AU155=100%,1,1+VLOOKUP(($AJ155-$AI155-$AH155-$AG155-$AF155-$AE155*(1+CM$3))/$AJ155,'Технический лист'!$I:$J,2,1)-VLOOKUP($AO155,'Технический лист'!$I:$J,2,1)),1+(1-$AU155))</f>
        <v/>
      </c>
      <c r="CN155" s="172">
        <f>MIN(IF($AU155=100%,1,1+VLOOKUP(($AJ155-$AI155-$AH155-$AG155-$AF155-$AE155*(1+CN$3))/$AJ155,'Технический лист'!$I:$J,2,1)-VLOOKUP($AO155,'Технический лист'!$I:$J,2,1)),1+(1-$AU155))</f>
        <v/>
      </c>
      <c r="CO155" s="172">
        <f>MIN(IF($AU155=100%,1,1+VLOOKUP(($AJ155-$AI155-$AH155-$AG155-$AF155-$AE155*(1+CO$3))/$AJ155,'Технический лист'!$I:$J,2,1)-VLOOKUP($AO155,'Технический лист'!$I:$J,2,1)),1+(1-$AU155))</f>
        <v/>
      </c>
      <c r="CP155" s="172">
        <f>MIN(IF($AU155=100%,1,1+VLOOKUP(($AJ155-$AI155-$AH155-$AG155-$AF155-$AE155*(1+CP$3))/$AJ155,'Технический лист'!$I:$J,2,1)-VLOOKUP($AO155,'Технический лист'!$I:$J,2,1)),1+(1-$AU155))</f>
        <v/>
      </c>
      <c r="CQ155" s="172">
        <f>MIN(IF($AU155=100%,1,1+VLOOKUP(($AJ155-$AI155-$AH155-$AG155-$AF155-$AE155*(1+CQ$3))/$AJ155,'Технический лист'!$I:$J,2,1)-VLOOKUP($AO155,'Технический лист'!$I:$J,2,1)),1+(1-$AU155))</f>
        <v/>
      </c>
      <c r="CR155" s="172">
        <f>MIN(IF($AU155=100%,1,1+VLOOKUP(($AJ155-$AI155-$AH155-$AG155-$AF155-$AE155*(1+CR$3))/$AJ155,'Технический лист'!$I:$J,2,1)-VLOOKUP($AO155,'Технический лист'!$I:$J,2,1)),1+(1-$AU155))</f>
        <v/>
      </c>
      <c r="CS155" s="172">
        <f>MIN(IF($AU155=100%,1,1+VLOOKUP(($AJ155-$AI155-$AH155-$AG155-$AF155-$AE155*(1+CS$3))/$AJ155,'Технический лист'!$I:$J,2,1)-VLOOKUP($AO155,'Технический лист'!$I:$J,2,1)),1+(1-$AU155))</f>
        <v/>
      </c>
      <c r="CT155" s="172">
        <f>MIN(IF($AU155=100%,1,1+VLOOKUP(($AJ155-$AI155-$AH155-$AG155-$AF155-$AE155*(1+CT$3))/$AJ155,'Технический лист'!$I:$J,2,1)-VLOOKUP($AO155,'Технический лист'!$I:$J,2,1)),1+(1-$AU155))</f>
        <v/>
      </c>
      <c r="CU155" s="172">
        <f>MIN(IF($AU155=100%,1,1+VLOOKUP(($AJ155-$AI155-$AH155-$AG155-$AF155-$AE155*(1+CU$3))/$AJ155,'Технический лист'!$I:$J,2,1)-VLOOKUP($AO155,'Технический лист'!$I:$J,2,1)),1+(1-$AU155))</f>
        <v/>
      </c>
      <c r="CV155" s="172">
        <f>MIN(IF($AU155=100%,1,1+VLOOKUP(($AJ155-$AI155-$AH155-$AG155-$AF155-$AE155*(1+CV$3))/$AJ155,'Технический лист'!$I:$J,2,1)-VLOOKUP($AO155,'Технический лист'!$I:$J,2,1)),1+(1-$AU155))</f>
        <v/>
      </c>
      <c r="CW155" s="172">
        <f>MIN(IF($AU155=100%,1,1+VLOOKUP(($AJ155-$AI155-$AH155-$AG155-$AF155-$AE155*(1+CW$3))/$AJ155,'Технический лист'!$I:$J,2,1)-VLOOKUP($AO155,'Технический лист'!$I:$J,2,1)),1+(1-$AU155))</f>
        <v/>
      </c>
      <c r="CX155" s="172">
        <f>MIN(IF($AU155=100%,1,1+VLOOKUP(($AJ155-$AI155-$AH155-$AG155-$AF155-$AE155*(1+CX$3))/$AJ155,'Технический лист'!$I:$J,2,1)-VLOOKUP($AO155,'Технический лист'!$I:$J,2,1)),1+(1-$AU155))</f>
        <v/>
      </c>
      <c r="CY155" s="172">
        <f>MIN(IF($AU155=100%,1,1+VLOOKUP(($AJ155-$AI155-$AH155-$AG155-$AF155-$AE155*(1+CY$3))/$AJ155,'Технический лист'!$I:$J,2,1)-VLOOKUP($AO155,'Технический лист'!$I:$J,2,1)),1+(1-$AU155))</f>
        <v/>
      </c>
      <c r="CZ155" s="172">
        <f>MIN(IF($AU155=100%,1,1+VLOOKUP(($AJ155-$AI155-$AH155-$AG155-$AF155-$AE155*(1+CZ$3))/$AJ155,'Технический лист'!$I:$J,2,1)-VLOOKUP($AO155,'Технический лист'!$I:$J,2,1)),1+(1-$AU155))</f>
        <v/>
      </c>
      <c r="DA155" s="172">
        <f>MIN(IF($AU155=100%,1,1+VLOOKUP(($AJ155-$AI155-$AH155-$AG155-$AF155-$AE155*(1+DA$3))/$AJ155,'Технический лист'!$I:$J,2,1)-VLOOKUP($AO155,'Технический лист'!$I:$J,2,1)),1+(1-$AU155))</f>
        <v/>
      </c>
      <c r="DB155" s="172">
        <f>MIN(IF($AU155=100%,1,1+VLOOKUP(($AJ155-$AI155-$AH155-$AG155-$AF155-$AE155*(1+DB$3))/$AJ155,'Технический лист'!$I:$J,2,1)-VLOOKUP($AO155,'Технический лист'!$I:$J,2,1)),1+(1-$AU155))</f>
        <v/>
      </c>
      <c r="DC155" s="172">
        <f>MIN(IF($AU155=100%,1,1+VLOOKUP(($AJ155-$AI155-$AH155-$AG155-$AF155-$AE155*(1+DC$3))/$AJ155,'Технический лист'!$I:$J,2,1)-VLOOKUP($AO155,'Технический лист'!$I:$J,2,1)),1+(1-$AU155))</f>
        <v/>
      </c>
      <c r="DD155" s="172">
        <f>MIN(IF($AU155=100%,1,1+VLOOKUP(($AJ155-$AI155-$AH155-$AG155-$AF155-$AE155*(1+DD$3))/$AJ155,'Технический лист'!$I:$J,2,1)-VLOOKUP($AO155,'Технический лист'!$I:$J,2,1)),1+(1-$AU155))</f>
        <v/>
      </c>
      <c r="DE155" s="172">
        <f>MIN(IF($AU155=100%,1,1+VLOOKUP(($AJ155-$AI155-$AH155-$AG155-$AF155-$AE155*(1+DE$3))/$AJ155,'Технический лист'!$I:$J,2,1)-VLOOKUP($AO155,'Технический лист'!$I:$J,2,1)),1+(1-$AU155))</f>
        <v/>
      </c>
      <c r="DF155" s="172">
        <f>MIN(IF($AU155=100%,1,1+VLOOKUP(($AJ155-$AI155-$AH155-$AG155-$AF155-$AE155*(1+DF$3))/$AJ155,'Технический лист'!$I:$J,2,1)-VLOOKUP($AO155,'Технический лист'!$I:$J,2,1)),1+(1-$AU155))</f>
        <v/>
      </c>
      <c r="DG155" s="172">
        <f>MIN(IF($AU155=100%,1,1+VLOOKUP(($AJ155-$AI155-$AH155-$AG155-$AF155-$AE155*(1+DG$3))/$AJ155,'Технический лист'!$I:$J,2,1)-VLOOKUP($AO155,'Технический лист'!$I:$J,2,1)),1+(1-$AU155))</f>
        <v/>
      </c>
      <c r="DH155" s="172">
        <f>MIN(IF($AU155=100%,1,1+VLOOKUP(($AJ155-$AI155-$AH155-$AG155-$AF155-$AE155*(1+DH$3))/$AJ155,'Технический лист'!$I:$J,2,1)-VLOOKUP($AO155,'Технический лист'!$I:$J,2,1)),1+(1-$AU155))</f>
        <v/>
      </c>
      <c r="DI155" s="172">
        <f>MIN(IF($AU155=100%,1,1+VLOOKUP(($AJ155-$AI155-$AH155-$AG155-$AF155-$AE155*(1+DI$3))/$AJ155,'Технический лист'!$I:$J,2,1)-VLOOKUP($AO155,'Технический лист'!$I:$J,2,1)),1+(1-$AU155))</f>
        <v/>
      </c>
      <c r="DJ155" s="172">
        <f>MIN(IF($AU155=100%,1,1+VLOOKUP(($AJ155-$AI155-$AH155-$AG155-$AF155-$AE155*(1+DJ$3))/$AJ155,'Технический лист'!$I:$J,2,1)-VLOOKUP($AO155,'Технический лист'!$I:$J,2,1)),1+(1-$AU155))</f>
        <v/>
      </c>
      <c r="DK155" s="172">
        <f>MIN(IF($AU155=100%,1,1+VLOOKUP(($AJ155-$AI155-$AH155-$AG155-$AF155-$AE155*(1+DK$3))/$AJ155,'Технический лист'!$I:$J,2,1)-VLOOKUP($AO155,'Технический лист'!$I:$J,2,1)),1+(1-$AU155))</f>
        <v/>
      </c>
      <c r="DL155" s="172">
        <f>MIN(IF($AU155=100%,1,1+VLOOKUP(($AJ155-$AI155-$AH155-$AG155-$AF155-$AE155*(1+DL$3))/$AJ155,'Технический лист'!$I:$J,2,1)-VLOOKUP($AO155,'Технический лист'!$I:$J,2,1)),1+(1-$AU155))</f>
        <v/>
      </c>
      <c r="DM155" s="172">
        <f>MIN(IF($AU155=100%,1,1+VLOOKUP(($AJ155-$AI155-$AH155-$AG155-$AF155-$AE155*(1+DM$3))/$AJ155,'Технический лист'!$I:$J,2,1)-VLOOKUP($AO155,'Технический лист'!$I:$J,2,1)),1+(1-$AU155))</f>
        <v/>
      </c>
      <c r="DN155" s="172">
        <f>MIN(IF($AU155=100%,1,1+VLOOKUP(($AJ155-$AI155-$AH155-$AG155-$AF155-$AE155*(1+DN$3))/$AJ155,'Технический лист'!$I:$J,2,1)-VLOOKUP($AO155,'Технический лист'!$I:$J,2,1)),1+(1-$AU155))</f>
        <v/>
      </c>
      <c r="DO155" s="172">
        <f>MIN(IF($AU155=100%,1,1+VLOOKUP(($AJ155-$AI155-$AH155-$AG155-$AF155-$AE155*(1+DO$3))/$AJ155,'Технический лист'!$I:$J,2,1)-VLOOKUP($AO155,'Технический лист'!$I:$J,2,1)),1+(1-$AU155))</f>
        <v/>
      </c>
      <c r="DP155" s="172">
        <f>MIN(IF($AU155=100%,1,1+VLOOKUP(($AJ155-$AI155-$AH155-$AG155-$AF155-$AE155*(1+DP$3))/$AJ155,'Технический лист'!$I:$J,2,1)-VLOOKUP($AO155,'Технический лист'!$I:$J,2,1)),1+(1-$AU155))</f>
        <v/>
      </c>
      <c r="DQ155" s="172">
        <f>MIN(IF($AU155=100%,1,1+VLOOKUP(($AJ155-$AI155-$AH155-$AG155-$AF155-$AE155*(1+DQ$3))/$AJ155,'Технический лист'!$I:$J,2,1)-VLOOKUP($AO155,'Технический лист'!$I:$J,2,1)),1+(1-$AU155))</f>
        <v/>
      </c>
      <c r="DR155" s="172">
        <f>MIN(IF($AU155=100%,1,1+VLOOKUP(($AJ155-$AI155-$AH155-$AG155-$AF155-$AE155*(1+DR$3))/$AJ155,'Технический лист'!$I:$J,2,1)-VLOOKUP($AO155,'Технический лист'!$I:$J,2,1)),1+(1-$AU155))</f>
        <v/>
      </c>
      <c r="DS155" s="172">
        <f>MIN(IF($AU155=100%,1,1+VLOOKUP(($AJ155-$AI155-$AH155-$AG155-$AF155-$AE155*(1+DS$3))/$AJ155,'Технический лист'!$I:$J,2,1)-VLOOKUP($AO155,'Технический лист'!$I:$J,2,1)),1+(1-$AU155))</f>
        <v/>
      </c>
      <c r="DT155" s="172">
        <f>MIN(IF($AU155=100%,1,1+VLOOKUP(($AJ155-$AI155-$AH155-$AG155-$AF155-$AE155*(1+DT$3))/$AJ155,'Технический лист'!$I:$J,2,1)-VLOOKUP($AO155,'Технический лист'!$I:$J,2,1)),1+(1-$AU155))</f>
        <v/>
      </c>
      <c r="DU155" s="172">
        <f>MIN(IF($AU155=100%,1,1+VLOOKUP(($AJ155-$AI155-$AH155-$AG155-$AF155-$AE155*(1+DU$3))/$AJ155,'Технический лист'!$I:$J,2,1)-VLOOKUP($AO155,'Технический лист'!$I:$J,2,1)),1+(1-$AU155))</f>
        <v/>
      </c>
      <c r="DV155" s="172">
        <f>MIN(IF($AU155=100%,1,1+VLOOKUP(($AJ155-$AI155-$AH155-$AG155-$AF155-$AE155*(1+DV$3))/$AJ155,'Технический лист'!$I:$J,2,1)-VLOOKUP($AO155,'Технический лист'!$I:$J,2,1)),1+(1-$AU155))</f>
        <v/>
      </c>
      <c r="DW155" s="172">
        <f>MIN(IF($AU155=100%,1,1+VLOOKUP(($AJ155-$AI155-$AH155-$AG155-$AF155-$AE155*(1+DW$3))/$AJ155,'Технический лист'!$I:$J,2,1)-VLOOKUP($AO155,'Технический лист'!$I:$J,2,1)),1+(1-$AU155))</f>
        <v/>
      </c>
      <c r="DX155" s="172">
        <f>MIN(IF($AU155=100%,1,1+VLOOKUP(($AJ155-$AI155-$AH155-$AG155-$AF155-$AE155*(1+DX$3))/$AJ155,'Технический лист'!$I:$J,2,1)-VLOOKUP($AO155,'Технический лист'!$I:$J,2,1)),1+(1-$AU155))</f>
        <v/>
      </c>
      <c r="DY155" s="172">
        <f>MIN(IF($AU155=100%,1,1+VLOOKUP(($AJ155-$AI155-$AH155-$AG155-$AF155-$AE155*(1+DY$3))/$AJ155,'Технический лист'!$I:$J,2,1)-VLOOKUP($AO155,'Технический лист'!$I:$J,2,1)),1+(1-$AU155))</f>
        <v/>
      </c>
      <c r="DZ155" s="172">
        <f>MIN(IF($AU155=100%,1,1+VLOOKUP(($AJ155-$AI155-$AH155-$AG155-$AF155-$AE155*(1+DZ$3))/$AJ155,'Технический лист'!$I:$J,2,1)-VLOOKUP($AO155,'Технический лист'!$I:$J,2,1)),1+(1-$AU155))</f>
        <v/>
      </c>
      <c r="EA155" s="172">
        <f>MIN(IF($AU155=100%,1,1+VLOOKUP(($AJ155-$AI155-$AH155-$AG155-$AF155-$AE155*(1+EA$3))/$AJ155,'Технический лист'!$I:$J,2,1)-VLOOKUP($AO155,'Технический лист'!$I:$J,2,1)),1+(1-$AU155))</f>
        <v/>
      </c>
      <c r="EB155" s="172">
        <f>MIN(IF($AU155=100%,1,1+VLOOKUP(($AJ155-$AI155-$AH155-$AG155-$AF155-$AE155*(1+EB$3))/$AJ155,'Технический лист'!$I:$J,2,1)-VLOOKUP($AO155,'Технический лист'!$I:$J,2,1)),1+(1-$AU155))</f>
        <v/>
      </c>
      <c r="EC155" s="172">
        <f>MIN(IF($AU155=100%,1,1+VLOOKUP(($AJ155-$AI155-$AH155-$AG155-$AF155-$AE155*(1+EC$3))/$AJ155,'Технический лист'!$I:$J,2,1)-VLOOKUP($AO155,'Технический лист'!$I:$J,2,1)),1+(1-$AU155))</f>
        <v/>
      </c>
      <c r="ED155" s="172">
        <f>MIN(IF($AU155=100%,1,1+VLOOKUP(($AJ155-$AI155-$AH155-$AG155-$AF155-$AE155*(1+ED$3))/$AJ155,'Технический лист'!$I:$J,2,1)-VLOOKUP($AO155,'Технический лист'!$I:$J,2,1)),1+(1-$AU155))</f>
        <v/>
      </c>
      <c r="EE155" s="172">
        <f>MIN(IF($AU155=100%,1,1+VLOOKUP(($AJ155-$AI155-$AH155-$AG155-$AF155-$AE155*(1+EE$3))/$AJ155,'Технический лист'!$I:$J,2,1)-VLOOKUP($AO155,'Технический лист'!$I:$J,2,1)),1+(1-$AU155))</f>
        <v/>
      </c>
      <c r="EF155" s="172">
        <f>MIN(IF($AU155=100%,1,1+VLOOKUP(($AJ155-$AI155-$AH155-$AG155-$AF155-$AE155*(1+EF$3))/$AJ155,'Технический лист'!$I:$J,2,1)-VLOOKUP($AO155,'Технический лист'!$I:$J,2,1)),1+(1-$AU155))</f>
        <v/>
      </c>
      <c r="EG155" s="172">
        <f>MIN(IF($AU155=100%,1,1+VLOOKUP(($AJ155-$AI155-$AH155-$AG155-$AF155-$AE155*(1+EG$3))/$AJ155,'Технический лист'!$I:$J,2,1)-VLOOKUP($AO155,'Технический лист'!$I:$J,2,1)),1+(1-$AU155))</f>
        <v/>
      </c>
      <c r="EH155" s="172">
        <f>MIN(IF($AU155=100%,1,1+VLOOKUP(($AJ155-$AI155-$AH155-$AG155-$AF155-$AE155*(1+EH$3))/$AJ155,'Технический лист'!$I:$J,2,1)-VLOOKUP($AO155,'Технический лист'!$I:$J,2,1)),1+(1-$AU155))</f>
        <v/>
      </c>
      <c r="EI155" s="172">
        <f>MIN(IF($AU155=100%,1,1+VLOOKUP(($AJ155-$AI155-$AH155-$AG155-$AF155-$AE155*(1+EI$3))/$AJ155,'Технический лист'!$I:$J,2,1)-VLOOKUP($AO155,'Технический лист'!$I:$J,2,1)),1+(1-$AU155))</f>
        <v/>
      </c>
      <c r="EJ155" s="172">
        <f>MIN(IF($AU155=100%,1,1+VLOOKUP(($AJ155-$AI155-$AH155-$AG155-$AF155-$AE155*(1+EJ$3))/$AJ155,'Технический лист'!$I:$J,2,1)-VLOOKUP($AO155,'Технический лист'!$I:$J,2,1)),1+(1-$AU155))</f>
        <v/>
      </c>
      <c r="EK155" s="172">
        <f>MIN(IF($AU155=100%,1,1+VLOOKUP(($AJ155-$AI155-$AH155-$AG155-$AF155-$AE155*(1+EK$3))/$AJ155,'Технический лист'!$I:$J,2,1)-VLOOKUP($AO155,'Технический лист'!$I:$J,2,1)),1+(1-$AU155))</f>
        <v/>
      </c>
      <c r="EL155" s="172">
        <f>MIN(IF($AU155=100%,1,1+VLOOKUP(($AJ155-$AI155-$AH155-$AG155-$AF155-$AE155*(1+EL$3))/$AJ155,'Технический лист'!$I:$J,2,1)-VLOOKUP($AO155,'Технический лист'!$I:$J,2,1)),1+(1-$AU155))</f>
        <v/>
      </c>
      <c r="EM155" s="172">
        <f>MIN(IF($AU155=100%,1,1+VLOOKUP(($AJ155-$AI155-$AH155-$AG155-$AF155-$AE155*(1+EM$3))/$AJ155,'Технический лист'!$I:$J,2,1)-VLOOKUP($AO155,'Технический лист'!$I:$J,2,1)),1+(1-$AU155))</f>
        <v/>
      </c>
      <c r="EN155" s="172">
        <f>MIN(IF($AU155=100%,1,1+VLOOKUP(($AJ155-$AI155-$AH155-$AG155-$AF155-$AE155*(1+EN$3))/$AJ155,'Технический лист'!$I:$J,2,1)-VLOOKUP($AO155,'Технический лист'!$I:$J,2,1)),1+(1-$AU155))</f>
        <v/>
      </c>
      <c r="EO155" s="172">
        <f>MIN(IF($AU155=100%,1,1+VLOOKUP(($AJ155-$AI155-$AH155-$AG155-$AF155-$AE155*(1+EO$3))/$AJ155,'Технический лист'!$I:$J,2,1)-VLOOKUP($AO155,'Технический лист'!$I:$J,2,1)),1+(1-$AU155))</f>
        <v/>
      </c>
      <c r="EP155" s="172">
        <f>MIN(IF($AU155=100%,1,1+VLOOKUP(($AJ155-$AI155-$AH155-$AG155-$AF155-$AE155*(1+EP$3))/$AJ155,'Технический лист'!$I:$J,2,1)-VLOOKUP($AO155,'Технический лист'!$I:$J,2,1)),1+(1-$AU155))</f>
        <v/>
      </c>
      <c r="EQ155" s="172">
        <f>MIN(IF($AU155=100%,1,1+VLOOKUP(($AJ155-$AI155-$AH155-$AG155-$AF155-$AE155*(1+EQ$3))/$AJ155,'Технический лист'!$I:$J,2,1)-VLOOKUP($AO155,'Технический лист'!$I:$J,2,1)),1+(1-$AU155))</f>
        <v/>
      </c>
      <c r="ER155" s="172">
        <f>MIN(IF($AU155=100%,1,1+VLOOKUP(($AJ155-$AI155-$AH155-$AG155-$AF155-$AE155*(1+ER$3))/$AJ155,'Технический лист'!$I:$J,2,1)-VLOOKUP($AO155,'Технический лист'!$I:$J,2,1)),1+(1-$AU155))</f>
        <v/>
      </c>
      <c r="ES155" s="172">
        <f>MIN(IF($AU155=100%,1,1+VLOOKUP(($AJ155-$AI155-$AH155-$AG155-$AF155-$AE155*(1+ES$3))/$AJ155,'Технический лист'!$I:$J,2,1)-VLOOKUP($AO155,'Технический лист'!$I:$J,2,1)),1+(1-$AU155))</f>
        <v/>
      </c>
      <c r="ET155" s="172">
        <f>MIN(IF($AU155=100%,1,1+VLOOKUP(($AJ155-$AI155-$AH155-$AG155-$AF155-$AE155*(1+ET$3))/$AJ155,'Технический лист'!$I:$J,2,1)-VLOOKUP($AO155,'Технический лист'!$I:$J,2,1)),1+(1-$AU155))</f>
        <v/>
      </c>
      <c r="EU155" s="172">
        <f>MIN(IF($AU155=100%,1,1+VLOOKUP(($AJ155-$AI155-$AH155-$AG155-$AF155-$AE155*(1+EU$3))/$AJ155,'Технический лист'!$I:$J,2,1)-VLOOKUP($AO155,'Технический лист'!$I:$J,2,1)),1+(1-$AU155))</f>
        <v/>
      </c>
      <c r="EV155" s="173" t="n">
        <v>1</v>
      </c>
      <c r="EW155" s="172">
        <f>MIN(1,MAX(VLOOKUP(($AJ155-$AI155-$AH155-$AG155-$AF155-$AE155*(1+EW$3))/$AJ155,'Технический лист'!$A:$B,2,1),(EV155-0.05)))</f>
        <v/>
      </c>
      <c r="EX155" s="172">
        <f>MIN(1,MAX(VLOOKUP(($AJ155-$AI155-$AH155-$AG155-$AF155-$AE155*(1+EX$3))/$AJ155,'Технический лист'!$A:$B,2,1),(EW155-0.05)))</f>
        <v/>
      </c>
      <c r="EY155" s="172">
        <f>MIN(1,MAX(VLOOKUP(($AJ155-$AI155-$AH155-$AG155-$AF155-$AE155*(1+EY$3))/$AJ155,'Технический лист'!$A:$B,2,1),(EX155-0.05)))</f>
        <v/>
      </c>
      <c r="EZ155" s="172">
        <f>MIN(1,MAX(VLOOKUP(($AJ155-$AI155-$AH155-$AG155-$AF155-$AE155*(1+EZ$3))/$AJ155,'Технический лист'!$A:$B,2,1),(EY155-0.05)))</f>
        <v/>
      </c>
      <c r="FA155" s="172">
        <f>MIN(1,MAX(VLOOKUP(($AJ155-$AI155-$AH155-$AG155-$AF155-$AE155*(1+FA$3))/$AJ155,'Технический лист'!$A:$B,2,1),(EZ155-0.05)))</f>
        <v/>
      </c>
      <c r="FB155" s="172">
        <f>MIN(1,MAX(VLOOKUP(($AJ155-$AI155-$AH155-$AG155-$AF155-$AE155*(1+FB$3))/$AJ155,'Технический лист'!$A:$B,2,1),(FA155-0.05)))</f>
        <v/>
      </c>
      <c r="FC155" s="172">
        <f>MIN(1,MAX(VLOOKUP(($AJ155-$AI155-$AH155-$AG155-$AF155-$AE155*(1+FC$3))/$AJ155,'Технический лист'!$A:$B,2,1),(FB155-0.05)))</f>
        <v/>
      </c>
      <c r="FD155" s="172">
        <f>MIN(1,MAX(VLOOKUP(($AJ155-$AI155-$AH155-$AG155-$AF155-$AE155*(1+FD$3))/$AJ155,'Технический лист'!$A:$B,2,1),(FC155-0.05)))</f>
        <v/>
      </c>
      <c r="FE155" s="172">
        <f>MIN(1,MAX(VLOOKUP(($AJ155-$AI155-$AH155-$AG155-$AF155-$AE155*(1+FE$3))/$AJ155,'Технический лист'!$A:$B,2,1),(FD155-0.05)))</f>
        <v/>
      </c>
      <c r="FF155" s="172">
        <f>MIN(1,MAX(VLOOKUP(($AJ155-$AI155-$AH155-$AG155-$AF155-$AE155*(1+FF$3))/$AJ155,'Технический лист'!$A:$B,2,1),(FE155-0.05)))</f>
        <v/>
      </c>
      <c r="FG155" s="172">
        <f>MIN(1,MAX(VLOOKUP(($AJ155-$AI155-$AH155-$AG155-$AF155-$AE155*(1+FG$3))/$AJ155,'Технический лист'!$A:$B,2,1),(FF155-0.05)))</f>
        <v/>
      </c>
      <c r="FH155" s="172">
        <f>MIN(1,MAX(VLOOKUP(($AJ155-$AI155-$AH155-$AG155-$AF155-$AE155*(1+FH$3))/$AJ155,'Технический лист'!$A:$B,2,1),(FG155-0.05)))</f>
        <v/>
      </c>
      <c r="FI155" s="172">
        <f>MIN(1,MAX(VLOOKUP(($AJ155-$AI155-$AH155-$AG155-$AF155-$AE155*(1+FI$3))/$AJ155,'Технический лист'!$A:$B,2,1),(FH155-0.05)))</f>
        <v/>
      </c>
      <c r="FJ155" s="172">
        <f>MIN(1,MAX(VLOOKUP(($AJ155-$AI155-$AH155-$AG155-$AF155-$AE155*(1+FJ$3))/$AJ155,'Технический лист'!$A:$B,2,1),(FI155-0.05)))</f>
        <v/>
      </c>
      <c r="FK155" s="172">
        <f>MIN(1,MAX(VLOOKUP(($AJ155-$AI155-$AH155-$AG155-$AF155-$AE155*(1+FK$3))/$AJ155,'Технический лист'!$A:$B,2,1),(FJ155-0.05)))</f>
        <v/>
      </c>
      <c r="FL155" s="172">
        <f>MIN(1,MAX(VLOOKUP(($AJ155-$AI155-$AH155-$AG155-$AF155-$AE155*(1+FL$3))/$AJ155,'Технический лист'!$A:$B,2,1),(FK155-0.05)))</f>
        <v/>
      </c>
      <c r="FM155" s="172">
        <f>MIN(1,MAX(VLOOKUP(($AJ155-$AI155-$AH155-$AG155-$AF155-$AE155*(1+FM$3))/$AJ155,'Технический лист'!$A:$B,2,1),(FL155-0.05)))</f>
        <v/>
      </c>
      <c r="FN155" s="172">
        <f>MIN(1,MAX(VLOOKUP(($AJ155-$AI155-$AH155-$AG155-$AF155-$AE155*(1+FN$3))/$AJ155,'Технический лист'!$A:$B,2,1),(FM155-0.05)))</f>
        <v/>
      </c>
      <c r="FO155" s="172">
        <f>MIN(1,MAX(VLOOKUP(($AJ155-$AI155-$AH155-$AG155-$AF155-$AE155*(1+FO$3))/$AJ155,'Технический лист'!$A:$B,2,1),(FN155-0.05)))</f>
        <v/>
      </c>
      <c r="FP155" s="172">
        <f>MIN(1,MAX(VLOOKUP(($AJ155-$AI155-$AH155-$AG155-$AF155-$AE155*(1+FP$3))/$AJ155,'Технический лист'!$A:$B,2,1),(FO155-0.05)))</f>
        <v/>
      </c>
      <c r="FQ155" s="172">
        <f>MIN(1,MAX(VLOOKUP(($AJ155-$AI155-$AH155-$AG155-$AF155-$AE155*(1+FQ$3))/$AJ155,'Технический лист'!$A:$B,2,1),(FP155-0.05)))</f>
        <v/>
      </c>
      <c r="FR155" s="172">
        <f>MIN(1,MAX(VLOOKUP(($AJ155-$AI155-$AH155-$AG155-$AF155-$AE155*(1+FR$3))/$AJ155,'Технический лист'!$A:$B,2,1),(FQ155-0.05)))</f>
        <v/>
      </c>
      <c r="FS155" s="172">
        <f>MIN(1,MAX(VLOOKUP(($AJ155-$AI155-$AH155-$AG155-$AF155-$AE155*(1+FS$3))/$AJ155,'Технический лист'!$A:$B,2,1),(FR155-0.05)))</f>
        <v/>
      </c>
      <c r="FT155" s="172">
        <f>MIN(1,MAX(VLOOKUP(($AJ155-$AI155-$AH155-$AG155-$AF155-$AE155*(1+FT$3))/$AJ155,'Технический лист'!$A:$B,2,1),(FS155-0.05)))</f>
        <v/>
      </c>
      <c r="FU155" s="172">
        <f>MIN(1,MAX(VLOOKUP(($AJ155-$AI155-$AH155-$AG155-$AF155-$AE155*(1+FU$3))/$AJ155,'Технический лист'!$A:$B,2,1),(FT155-0.05)))</f>
        <v/>
      </c>
      <c r="FV155" s="172">
        <f>MIN(1,MAX(VLOOKUP(($AJ155-$AI155-$AH155-$AG155-$AF155-$AE155*(1+FV$3))/$AJ155,'Технический лист'!$A:$B,2,1),(FU155-0.05)))</f>
        <v/>
      </c>
      <c r="FW155" s="172">
        <f>MIN(1,MAX(VLOOKUP(($AJ155-$AI155-$AH155-$AG155-$AF155-$AE155*(1+FW$3))/$AJ155,'Технический лист'!$A:$B,2,1),(FV155-0.05)))</f>
        <v/>
      </c>
      <c r="FX155" s="172">
        <f>MIN(1,MAX(VLOOKUP(($AJ155-$AI155-$AH155-$AG155-$AF155-$AE155*(1+FX$3))/$AJ155,'Технический лист'!$A:$B,2,1),(FW155-0.05)))</f>
        <v/>
      </c>
      <c r="FY155" s="172">
        <f>MIN(1,MAX(VLOOKUP(($AJ155-$AI155-$AH155-$AG155-$AF155-$AE155*(1+FY$3))/$AJ155,'Технический лист'!$A:$B,2,1),(FX155-0.05)))</f>
        <v/>
      </c>
      <c r="FZ155" s="172">
        <f>MIN(1,MAX(VLOOKUP(($AJ155-$AI155-$AH155-$AG155-$AF155-$AE155*(1+FZ$3))/$AJ155,'Технический лист'!$A:$B,2,1),(FY155-0.05)))</f>
        <v/>
      </c>
      <c r="GA155" s="172">
        <f>MIN(1,MAX(VLOOKUP(($AJ155-$AI155-$AH155-$AG155-$AF155-$AE155*(1+GA$3))/$AJ155,'Технический лист'!$A:$B,2,1),(FZ155-0.05)))</f>
        <v/>
      </c>
      <c r="GB155" s="172">
        <f>MIN(1,MAX(VLOOKUP(($AJ155-$AI155-$AH155-$AG155-$AF155-$AE155*(1+GB$3))/$AJ155,'Технический лист'!$A:$B,2,1),(GA155-0.05)))</f>
        <v/>
      </c>
      <c r="GC155" s="172">
        <f>MIN(1,MAX(VLOOKUP(($AJ155-$AI155-$AH155-$AG155-$AF155-$AE155*(1+GC$3))/$AJ155,'Технический лист'!$A:$B,2,1),(GB155-0.05)))</f>
        <v/>
      </c>
      <c r="GD155" s="172">
        <f>MIN(1,MAX(VLOOKUP(($AJ155-$AI155-$AH155-$AG155-$AF155-$AE155*(1+GD$3))/$AJ155,'Технический лист'!$A:$B,2,1),(GC155-0.05)))</f>
        <v/>
      </c>
      <c r="GE155" s="172">
        <f>MIN(1,MAX(VLOOKUP(($AJ155-$AI155-$AH155-$AG155-$AF155-$AE155*(1+GE$3))/$AJ155,'Технический лист'!$A:$B,2,1),(GD155-0.05)))</f>
        <v/>
      </c>
      <c r="GF155" s="172">
        <f>MIN(1,MAX(VLOOKUP(($AJ155-$AI155-$AH155-$AG155-$AF155-$AE155*(1+GF$3))/$AJ155,'Технический лист'!$A:$B,2,1),(GE155-0.05)))</f>
        <v/>
      </c>
      <c r="GG155" s="172">
        <f>MIN(1,MAX(VLOOKUP(($AJ155-$AI155-$AH155-$AG155-$AF155-$AE155*(1+GG$3))/$AJ155,'Технический лист'!$A:$B,2,1),(GF155-0.05)))</f>
        <v/>
      </c>
      <c r="GH155" s="172">
        <f>MIN(1,MAX(VLOOKUP(($AJ155-$AI155-$AH155-$AG155-$AF155-$AE155*(1+GH$3))/$AJ155,'Технический лист'!$A:$B,2,1),(GG155-0.05)))</f>
        <v/>
      </c>
      <c r="GI155" s="172">
        <f>MIN(1,MAX(VLOOKUP(($AJ155-$AI155-$AH155-$AG155-$AF155-$AE155*(1+GI$3))/$AJ155,'Технический лист'!$A:$B,2,1),(GH155-0.05)))</f>
        <v/>
      </c>
      <c r="GJ155" s="172">
        <f>MIN(1,MAX(VLOOKUP(($AJ155-$AI155-$AH155-$AG155-$AF155-$AE155*(1+GJ$3))/$AJ155,'Технический лист'!$A:$B,2,1),(GI155-0.05)))</f>
        <v/>
      </c>
      <c r="GK155" s="172">
        <f>MIN(1,MAX(VLOOKUP(($AJ155-$AI155-$AH155-$AG155-$AF155-$AE155*(1+GK$3))/$AJ155,'Технический лист'!$A:$B,2,1),(GJ155-0.05)))</f>
        <v/>
      </c>
      <c r="GL155" s="172">
        <f>MIN(1,MAX(VLOOKUP(($AJ155-$AI155-$AH155-$AG155-$AF155-$AE155*(1+GL$3))/$AJ155,'Технический лист'!$A:$B,2,1),(GK155-0.05)))</f>
        <v/>
      </c>
      <c r="GM155" s="172">
        <f>MIN(1,MAX(VLOOKUP(($AJ155-$AI155-$AH155-$AG155-$AF155-$AE155*(1+GM$3))/$AJ155,'Технический лист'!$A:$B,2,1),(GL155-0.05)))</f>
        <v/>
      </c>
      <c r="GN155" s="172">
        <f>MIN(1,MAX(VLOOKUP(($AJ155-$AI155-$AH155-$AG155-$AF155-$AE155*(1+GN$3))/$AJ155,'Технический лист'!$A:$B,2,1),(GM155-0.05)))</f>
        <v/>
      </c>
      <c r="GO155" s="172">
        <f>MIN(1,MAX(VLOOKUP(($AJ155-$AI155-$AH155-$AG155-$AF155-$AE155*(1+GO$3))/$AJ155,'Технический лист'!$A:$B,2,1),(GN155-0.05)))</f>
        <v/>
      </c>
      <c r="GP155" s="172">
        <f>MIN(1,MAX(VLOOKUP(($AJ155-$AI155-$AH155-$AG155-$AF155-$AE155*(1+GP$3))/$AJ155,'Технический лист'!$A:$B,2,1),(GO155-0.05)))</f>
        <v/>
      </c>
      <c r="GQ155" s="172">
        <f>MIN(1,MAX(VLOOKUP(($AJ155-$AI155-$AH155-$AG155-$AF155-$AE155*(1+GQ$3))/$AJ155,'Технический лист'!$A:$B,2,1),(GP155-0.05)))</f>
        <v/>
      </c>
      <c r="GR155" s="172">
        <f>MIN(1,MAX(VLOOKUP(($AJ155-$AI155-$AH155-$AG155-$AF155-$AE155*(1+GR$3))/$AJ155,'Технический лист'!$A:$B,2,1),(GQ155-0.05)))</f>
        <v/>
      </c>
      <c r="GS155" s="172">
        <f>MIN(1,MAX(VLOOKUP(($AJ155-$AI155-$AH155-$AG155-$AF155-$AE155*(1+GS$3))/$AJ155,'Технический лист'!$A:$B,2,1),(GR155-0.05)))</f>
        <v/>
      </c>
      <c r="GT155" s="172">
        <f>MIN(1,MAX(VLOOKUP(($AJ155-$AI155-$AH155-$AG155-$AF155-$AE155*(1+GT$3))/$AJ155,'Технический лист'!$A:$B,2,1),(GS155-0.05)))</f>
        <v/>
      </c>
      <c r="GU155" s="172">
        <f>MIN(1,MAX(VLOOKUP(($AJ155-$AI155-$AH155-$AG155-$AF155-$AE155*(1+GU$3))/$AJ155,'Технический лист'!$A:$B,2,1),(GT155-0.05)))</f>
        <v/>
      </c>
      <c r="GV155" s="172">
        <f>MIN(1,MAX(VLOOKUP(($AJ155-$AI155-$AH155-$AG155-$AF155-$AE155*(1+GV$3))/$AJ155,'Технический лист'!$A:$B,2,1),(GU155-0.05)))</f>
        <v/>
      </c>
      <c r="GW155" s="172">
        <f>MIN(1,MAX(VLOOKUP(($AJ155-$AI155-$AH155-$AG155-$AF155-$AE155*(1+GW$3))/$AJ155,'Технический лист'!$A:$B,2,1),(GV155-0.05)))</f>
        <v/>
      </c>
      <c r="GX155" s="172">
        <f>MIN(1,MAX(VLOOKUP(($AJ155-$AI155-$AH155-$AG155-$AF155-$AE155*(1+GX$3))/$AJ155,'Технический лист'!$A:$B,2,1),(GW155-0.05)))</f>
        <v/>
      </c>
      <c r="GY155" s="172">
        <f>MIN(1,MAX(VLOOKUP(($AJ155-$AI155-$AH155-$AG155-$AF155-$AE155*(1+GY$3))/$AJ155,'Технический лист'!$A:$B,2,1),(GX155-0.05)))</f>
        <v/>
      </c>
      <c r="GZ155" s="172">
        <f>MIN(1,MAX(VLOOKUP(($AJ155-$AI155-$AH155-$AG155-$AF155-$AE155*(1+GZ$3))/$AJ155,'Технический лист'!$A:$B,2,1),(GY155-0.05)))</f>
        <v/>
      </c>
      <c r="HA155" s="172">
        <f>MIN(1,MAX(VLOOKUP(($AJ155-$AI155-$AH155-$AG155-$AF155-$AE155*(1+HA$3))/$AJ155,'Технический лист'!$A:$B,2,1),(GZ155-0.05)))</f>
        <v/>
      </c>
      <c r="HB155" s="172">
        <f>MIN(1,MAX(VLOOKUP(($AJ155-$AI155-$AH155-$AG155-$AF155-$AE155*(1+HB$3))/$AJ155,'Технический лист'!$A:$B,2,1),(HA155-0.05)))</f>
        <v/>
      </c>
      <c r="HC155" s="172">
        <f>MIN(1,MAX(VLOOKUP(($AJ155-$AI155-$AH155-$AG155-$AF155-$AE155*(1+HC$3))/$AJ155,'Технический лист'!$A:$B,2,1),(HB155-0.05)))</f>
        <v/>
      </c>
      <c r="HD155" s="172">
        <f>MIN(1,MAX(VLOOKUP(($AJ155-$AI155-$AH155-$AG155-$AF155-$AE155*(1+HD$3))/$AJ155,'Технический лист'!$A:$B,2,1),(HC155-0.05)))</f>
        <v/>
      </c>
      <c r="HE155" s="172">
        <f>MIN(1,MAX(VLOOKUP(($AJ155-$AI155-$AH155-$AG155-$AF155-$AE155*(1+HE$3))/$AJ155,'Технический лист'!$A:$B,2,1),(HD155-0.05)))</f>
        <v/>
      </c>
      <c r="HF155" s="172">
        <f>MIN(1,MAX(VLOOKUP(($AJ155-$AI155-$AH155-$AG155-$AF155-$AE155*(1+HF$3))/$AJ155,'Технический лист'!$A:$B,2,1),(HE155-0.05)))</f>
        <v/>
      </c>
      <c r="HG155" s="172">
        <f>MIN(1,MAX(VLOOKUP(($AJ155-$AI155-$AH155-$AG155-$AF155-$AE155*(1+HG$3))/$AJ155,'Технический лист'!$A:$B,2,1),(HF155-0.05)))</f>
        <v/>
      </c>
      <c r="HH155" s="172">
        <f>MIN(1,MAX(VLOOKUP(($AJ155-$AI155-$AH155-$AG155-$AF155-$AE155*(1+HH$3))/$AJ155,'Технический лист'!$A:$B,2,1),(HG155-0.05)))</f>
        <v/>
      </c>
      <c r="HI155" s="172">
        <f>MIN(1,MAX(VLOOKUP(($AJ155-$AI155-$AH155-$AG155-$AF155-$AE155*(1+HI$3))/$AJ155,'Технический лист'!$A:$B,2,1),(HH155-0.05)))</f>
        <v/>
      </c>
      <c r="HJ155" s="172">
        <f>MIN(1,MAX(VLOOKUP(($AJ155-$AI155-$AH155-$AG155-$AF155-$AE155*(1+HJ$3))/$AJ155,'Технический лист'!$A:$B,2,1),(HI155-0.05)))</f>
        <v/>
      </c>
      <c r="HK155" s="172">
        <f>MIN(1,MAX(VLOOKUP(($AJ155-$AI155-$AH155-$AG155-$AF155-$AE155*(1+HK$3))/$AJ155,'Технический лист'!$A:$B,2,1),(HJ155-0.05)))</f>
        <v/>
      </c>
      <c r="HL155" s="172">
        <f>MIN(1,MAX(VLOOKUP(($AJ155-$AI155-$AH155-$AG155-$AF155-$AE155*(1+HL$3))/$AJ155,'Технический лист'!$A:$B,2,1),(HK155-0.05)))</f>
        <v/>
      </c>
      <c r="HM155" s="172">
        <f>MIN(1,MAX(VLOOKUP(($AJ155-$AI155-$AH155-$AG155-$AF155-$AE155*(1+HM$3))/$AJ155,'Технический лист'!$A:$B,2,1),(HL155-0.05)))</f>
        <v/>
      </c>
      <c r="HN155" s="172">
        <f>MIN(1,MAX(VLOOKUP(($AJ155-$AI155-$AH155-$AG155-$AF155-$AE155*(1+HN$3))/$AJ155,'Технический лист'!$A:$B,2,1),(HM155-0.05)))</f>
        <v/>
      </c>
      <c r="HO155" s="172">
        <f>MIN(1,MAX(VLOOKUP(($AJ155-$AI155-$AH155-$AG155-$AF155-$AE155*(1+HO$3))/$AJ155,'Технический лист'!$A:$B,2,1),(HN155-0.05)))</f>
        <v/>
      </c>
      <c r="HP155" s="172">
        <f>MIN(1,MAX(VLOOKUP(($AJ155-$AI155-$AH155-$AG155-$AF155-$AE155*(1+HP$3))/$AJ155,'Технический лист'!$A:$B,2,1),(HO155-0.05)))</f>
        <v/>
      </c>
      <c r="HQ155" s="172">
        <f>MIN(1,MAX(VLOOKUP(($AJ155-$AI155-$AH155-$AG155-$AF155-$AE155*(1+HQ$3))/$AJ155,'Технический лист'!$A:$B,2,1),(HP155-0.05)))</f>
        <v/>
      </c>
      <c r="HR155" s="172">
        <f>MIN(1,MAX(VLOOKUP(($AJ155-$AI155-$AH155-$AG155-$AF155-$AE155*(1+HR$3))/$AJ155,'Технический лист'!$A:$B,2,1),(HQ155-0.05)))</f>
        <v/>
      </c>
      <c r="HS155" s="172">
        <f>MIN(1,MAX(VLOOKUP(($AJ155-$AI155-$AH155-$AG155-$AF155-$AE155*(1+HS$3))/$AJ155,'Технический лист'!$A:$B,2,1),(HR155-0.05)))</f>
        <v/>
      </c>
      <c r="HT155" s="172">
        <f>MIN(1,MAX(VLOOKUP(($AJ155-$AI155-$AH155-$AG155-$AF155-$AE155*(1+HT$3))/$AJ155,'Технический лист'!$A:$B,2,1),(HS155-0.05)))</f>
        <v/>
      </c>
      <c r="HU155" s="172">
        <f>MIN(1,MAX(VLOOKUP(($AJ155-$AI155-$AH155-$AG155-$AF155-$AE155*(1+HU$3))/$AJ155,'Технический лист'!$A:$B,2,1),(HT155-0.05)))</f>
        <v/>
      </c>
      <c r="HV155" s="172">
        <f>MIN(1,MAX(VLOOKUP(($AJ155-$AI155-$AH155-$AG155-$AF155-$AE155*(1+HV$3))/$AJ155,'Технический лист'!$A:$B,2,1),(HU155-0.05)))</f>
        <v/>
      </c>
      <c r="HW155" s="172">
        <f>MIN(1,MAX(VLOOKUP(($AJ155-$AI155-$AH155-$AG155-$AF155-$AE155*(1+HW$3))/$AJ155,'Технический лист'!$A:$B,2,1),(HV155-0.05)))</f>
        <v/>
      </c>
      <c r="HX155" s="172">
        <f>MIN(1,MAX(VLOOKUP(($AJ155-$AI155-$AH155-$AG155-$AF155-$AE155*(1+HX$3))/$AJ155,'Технический лист'!$A:$B,2,1),(HW155-0.05)))</f>
        <v/>
      </c>
      <c r="HY155" s="172">
        <f>MIN(1,MAX(VLOOKUP(($AJ155-$AI155-$AH155-$AG155-$AF155-$AE155*(1+HY$3))/$AJ155,'Технический лист'!$A:$B,2,1),(HX155-0.05)))</f>
        <v/>
      </c>
      <c r="HZ155" s="172">
        <f>MIN(1,MAX(VLOOKUP(($AJ155-$AI155-$AH155-$AG155-$AF155-$AE155*(1+HZ$3))/$AJ155,'Технический лист'!$A:$B,2,1),(HY155-0.05)))</f>
        <v/>
      </c>
      <c r="IA155" s="172">
        <f>MIN(1,MAX(VLOOKUP(($AJ155-$AI155-$AH155-$AG155-$AF155-$AE155*(1+IA$3))/$AJ155,'Технический лист'!$A:$B,2,1),(HZ155-0.05)))</f>
        <v/>
      </c>
      <c r="IB155" s="172">
        <f>MIN(1,MAX(VLOOKUP(($AJ155-$AI155-$AH155-$AG155-$AF155-$AE155*(1+IB$3))/$AJ155,'Технический лист'!$A:$B,2,1),(IA155-0.05)))</f>
        <v/>
      </c>
      <c r="IC155" s="172">
        <f>MIN(1,MAX(VLOOKUP(($AJ155-$AI155-$AH155-$AG155-$AF155-$AE155*(1+IC$3))/$AJ155,'Технический лист'!$A:$B,2,1),(IB155-0.05)))</f>
        <v/>
      </c>
      <c r="ID155" s="172">
        <f>MIN(1,MAX(VLOOKUP(($AJ155-$AI155-$AH155-$AG155-$AF155-$AE155*(1+ID$3))/$AJ155,'Технический лист'!$A:$B,2,1),(IC155-0.05)))</f>
        <v/>
      </c>
      <c r="IE155" s="172">
        <f>MIN(1,MAX(VLOOKUP(($AJ155-$AI155-$AH155-$AG155-$AF155-$AE155*(1+IE$3))/$AJ155,'Технический лист'!$A:$B,2,1),(ID155-0.05)))</f>
        <v/>
      </c>
      <c r="IF155" s="172">
        <f>MIN(1,MAX(VLOOKUP(($AJ155-$AI155-$AH155-$AG155-$AF155-$AE155*(1+IF$3))/$AJ155,'Технический лист'!$A:$B,2,1),(IE155-0.05)))</f>
        <v/>
      </c>
      <c r="IG155" s="172">
        <f>MIN(1,MAX(VLOOKUP(($AJ155-$AI155-$AH155-$AG155-$AF155-$AE155*(1+IG$3))/$AJ155,'Технический лист'!$A:$B,2,1),(IF155-0.05)))</f>
        <v/>
      </c>
      <c r="IH155" s="172">
        <f>MIN(1,MAX(VLOOKUP(($AJ155-$AI155-$AH155-$AG155-$AF155-$AE155*(1+IH$3))/$AJ155,'Технический лист'!$A:$B,2,1),(IG155-0.05)))</f>
        <v/>
      </c>
      <c r="II155" s="172">
        <f>MIN(1,MAX(VLOOKUP(($AJ155-$AI155-$AH155-$AG155-$AF155-$AE155*(1+II$3))/$AJ155,'Технический лист'!$A:$B,2,1),(IH155-0.05)))</f>
        <v/>
      </c>
      <c r="IJ155" s="172">
        <f>MIN(1,MAX(VLOOKUP(($AJ155-$AI155-$AH155-$AG155-$AF155-$AE155*(1+IJ$3))/$AJ155,'Технический лист'!$A:$B,2,1),(II155-0.05)))</f>
        <v/>
      </c>
      <c r="IK155" s="172">
        <f>MIN(1,MAX(VLOOKUP(($AJ155-$AI155-$AH155-$AG155-$AF155-$AE155*(1+IK$3))/$AJ155,'Технический лист'!$A:$B,2,1),(IJ155-0.05)))</f>
        <v/>
      </c>
      <c r="IL155" s="172">
        <f>MIN(1,MAX(VLOOKUP(($AJ155-$AI155-$AH155-$AG155-$AF155-$AE155*(1+IL$3))/$AJ155,'Технический лист'!$A:$B,2,1),(IK155-0.05)))</f>
        <v/>
      </c>
      <c r="IM155" s="172">
        <f>MIN(1,MAX(VLOOKUP(($AJ155-$AI155-$AH155-$AG155-$AF155-$AE155*(1+IM$3))/$AJ155,'Технический лист'!$A:$B,2,1),(IL155-0.05)))</f>
        <v/>
      </c>
      <c r="IN155" s="172">
        <f>MIN(1,MAX(VLOOKUP(($AJ155-$AI155-$AH155-$AG155-$AF155-$AE155*(1+IN$3))/$AJ155,'Технический лист'!$A:$B,2,1),(IM155-0.05)))</f>
        <v/>
      </c>
      <c r="IO155" s="172">
        <f>MIN(1,MAX(VLOOKUP(($AJ155-$AI155-$AH155-$AG155-$AF155-$AE155*(1+IO$3))/$AJ155,'Технический лист'!$A:$B,2,1),(IN155-0.05)))</f>
        <v/>
      </c>
      <c r="IP155" s="172">
        <f>MIN(1,MAX(VLOOKUP(($AJ155-$AI155-$AH155-$AG155-$AF155-$AE155*(1+IP$3))/$AJ155,'Технический лист'!$A:$B,2,1),(IO155-0.05)))</f>
        <v/>
      </c>
      <c r="IQ155" s="172">
        <f>MIN(1,MAX(VLOOKUP(($AJ155-$AI155-$AH155-$AG155-$AF155-$AE155*(1+IQ$3))/$AJ155,'Технический лист'!$A:$B,2,1),(IP155-0.05)))</f>
        <v/>
      </c>
      <c r="IR155" s="172">
        <f>MIN(1,MAX(VLOOKUP(($AJ155-$AI155-$AH155-$AG155-$AF155-$AE155*(1+IR$3))/$AJ155,'Технический лист'!$A:$B,2,1),(IQ155-0.05)))</f>
        <v/>
      </c>
    </row>
    <row r="156" ht="29.15" customHeight="1" s="123">
      <c r="A156" s="89" t="inlineStr">
        <is>
          <t>ЧМ (продукция)</t>
        </is>
      </c>
      <c r="B156" s="90" t="n">
        <v>10</v>
      </c>
      <c r="C156" s="5" t="inlineStr">
        <is>
          <t>Остальные грузы</t>
        </is>
      </c>
      <c r="D156" s="91" t="n">
        <v>31609</v>
      </c>
      <c r="E156" s="91" t="inlineStr">
        <is>
          <t xml:space="preserve">Окалина черных металлов </t>
        </is>
      </c>
      <c r="F156" s="92" t="inlineStr">
        <is>
          <t>ЛОМ ЧЕРНЫХ МЕТАЛЛОВ</t>
        </is>
      </c>
      <c r="G156" s="91" t="inlineStr">
        <is>
          <t>СКВ</t>
        </is>
      </c>
      <c r="H156" s="91" t="inlineStr">
        <is>
          <t>СВР</t>
        </is>
      </c>
      <c r="I156" s="91" t="inlineStr">
        <is>
          <t>ТАГАНРОГ</t>
        </is>
      </c>
      <c r="J156" s="91" t="inlineStr">
        <is>
          <t>СМЫЧКА</t>
        </is>
      </c>
      <c r="K156" s="91" t="n">
        <v>3005</v>
      </c>
      <c r="L156" s="91" t="inlineStr">
        <is>
          <t>Полувагоны</t>
        </is>
      </c>
      <c r="M156" s="91" t="inlineStr">
        <is>
          <t>Внутр. перевозки</t>
        </is>
      </c>
      <c r="N156" s="91" t="inlineStr">
        <is>
          <t>вагонная</t>
        </is>
      </c>
      <c r="O156" s="91" t="inlineStr">
        <is>
          <t xml:space="preserve">Южное </t>
        </is>
      </c>
      <c r="P156" s="89" t="inlineStr">
        <is>
          <t>'000000186602</t>
        </is>
      </c>
      <c r="Q156" s="91" t="inlineStr">
        <is>
          <t>'АО "Таганрогский металлургический завод"</t>
        </is>
      </c>
      <c r="R156" s="91" t="inlineStr">
        <is>
          <t>ПАО "ТМК"</t>
        </is>
      </c>
      <c r="S156" s="87" t="n">
        <v>15534</v>
      </c>
      <c r="T156" s="87" t="n">
        <v>46687068</v>
      </c>
      <c r="U156" s="88" t="n">
        <v>228</v>
      </c>
      <c r="V156" s="88" t="n">
        <v>0</v>
      </c>
      <c r="W156" s="87" t="n">
        <v>66623557</v>
      </c>
      <c r="X156" s="112" t="n">
        <v>62</v>
      </c>
      <c r="Y156" s="112" t="inlineStr">
        <is>
          <t>повагонная</t>
        </is>
      </c>
      <c r="Z156" s="113" t="n">
        <v>11</v>
      </c>
      <c r="AA156" s="113" t="n">
        <v>8</v>
      </c>
      <c r="AB156" s="113" t="n">
        <v>4</v>
      </c>
      <c r="AC156" s="161" t="n">
        <v>5216.65</v>
      </c>
      <c r="AD156" s="161">
        <f>AE156-AC156</f>
        <v/>
      </c>
      <c r="AE156" s="161" t="n">
        <v>5942.66</v>
      </c>
      <c r="AF156" s="162">
        <f>(Z156+AA156+AB156)*'Ставки аренды'!$B$3/X156</f>
        <v/>
      </c>
      <c r="AG156" s="164" t="n">
        <v>0</v>
      </c>
      <c r="AH156" s="164" t="n">
        <v>0</v>
      </c>
      <c r="AI156" s="165">
        <f>314456/404359*AJ156</f>
        <v/>
      </c>
      <c r="AJ156" s="166">
        <f>Цены!$D$10</f>
        <v/>
      </c>
      <c r="AK156" s="164">
        <f>AJ156/Цены!$B$1</f>
        <v/>
      </c>
      <c r="AL156" s="164">
        <f>AE156+AF156+AG156</f>
        <v/>
      </c>
      <c r="AM156" s="164">
        <f>AJ156-AL156</f>
        <v/>
      </c>
      <c r="AN156" s="164">
        <f>AI156+AH156+AG156+AF156+AE156</f>
        <v/>
      </c>
      <c r="AO156" s="167">
        <f>(AJ156-AN156)/AJ156</f>
        <v/>
      </c>
      <c r="AP156" s="168">
        <f>AL156/AJ156</f>
        <v/>
      </c>
      <c r="AQ156" s="168">
        <f>AE156/AJ156</f>
        <v/>
      </c>
      <c r="AR156" s="168">
        <f>AE156/AL156</f>
        <v/>
      </c>
      <c r="AS156" s="169" t="n">
        <v>1</v>
      </c>
      <c r="AT156" s="121">
        <f>S156*AS156</f>
        <v/>
      </c>
      <c r="AU156" s="83" t="n">
        <v>0.7</v>
      </c>
      <c r="AV156" s="170">
        <f>(AJ156-(AE156*(1+$IS$2)+AF156+AG156+AH156+AI156))/AJ156</f>
        <v/>
      </c>
      <c r="AW156" s="171">
        <f>(AE156*(1+$IS$2)+AF156+AG156)/AJ156</f>
        <v/>
      </c>
      <c r="AX156" s="171">
        <f>(AE156*(1+$IS$2))/AJ156</f>
        <v/>
      </c>
      <c r="AY156" s="171">
        <f>(AE156*(1+$IS$2))/(AE156*(1+$IS$2)+AF156+AG156)</f>
        <v/>
      </c>
      <c r="AZ156" s="172">
        <f>MIN(IF($AU156=100%,1,1+VLOOKUP(($AJ156-$AI156-$AH156-$AG156-$AF156-$AE156*(1+AZ$3))/$AJ156,'Технический лист'!$I:$J,2,1)-VLOOKUP($AO156,'Технический лист'!$I:$J,2,1)),1+(1-$AU156))</f>
        <v/>
      </c>
      <c r="BA156" s="172">
        <f>MIN(IF($AU156=100%,1,1+VLOOKUP(($AJ156-$AI156-$AH156-$AG156-$AF156-$AE156*(1+BA$3))/$AJ156,'Технический лист'!$I:$J,2,1)-VLOOKUP($AO156,'Технический лист'!$I:$J,2,1)),1+(1-$AU156))</f>
        <v/>
      </c>
      <c r="BB156" s="172">
        <f>MIN(IF($AU156=100%,1,1+VLOOKUP(($AJ156-$AI156-$AH156-$AG156-$AF156-$AE156*(1+BB$3))/$AJ156,'Технический лист'!$I:$J,2,1)-VLOOKUP($AO156,'Технический лист'!$I:$J,2,1)),1+(1-$AU156))</f>
        <v/>
      </c>
      <c r="BC156" s="172">
        <f>MIN(IF($AU156=100%,1,1+VLOOKUP(($AJ156-$AI156-$AH156-$AG156-$AF156-$AE156*(1+BC$3))/$AJ156,'Технический лист'!$I:$J,2,1)-VLOOKUP($AO156,'Технический лист'!$I:$J,2,1)),1+(1-$AU156))</f>
        <v/>
      </c>
      <c r="BD156" s="172">
        <f>MIN(IF($AU156=100%,1,1+VLOOKUP(($AJ156-$AI156-$AH156-$AG156-$AF156-$AE156*(1+BD$3))/$AJ156,'Технический лист'!$I:$J,2,1)-VLOOKUP($AO156,'Технический лист'!$I:$J,2,1)),1+(1-$AU156))</f>
        <v/>
      </c>
      <c r="BE156" s="172">
        <f>MIN(IF($AU156=100%,1,1+VLOOKUP(($AJ156-$AI156-$AH156-$AG156-$AF156-$AE156*(1+BE$3))/$AJ156,'Технический лист'!$I:$J,2,1)-VLOOKUP($AO156,'Технический лист'!$I:$J,2,1)),1+(1-$AU156))</f>
        <v/>
      </c>
      <c r="BF156" s="172">
        <f>MIN(IF($AU156=100%,1,1+VLOOKUP(($AJ156-$AI156-$AH156-$AG156-$AF156-$AE156*(1+BF$3))/$AJ156,'Технический лист'!$I:$J,2,1)-VLOOKUP($AO156,'Технический лист'!$I:$J,2,1)),1+(1-$AU156))</f>
        <v/>
      </c>
      <c r="BG156" s="172">
        <f>MIN(IF($AU156=100%,1,1+VLOOKUP(($AJ156-$AI156-$AH156-$AG156-$AF156-$AE156*(1+BG$3))/$AJ156,'Технический лист'!$I:$J,2,1)-VLOOKUP($AO156,'Технический лист'!$I:$J,2,1)),1+(1-$AU156))</f>
        <v/>
      </c>
      <c r="BH156" s="172">
        <f>MIN(IF($AU156=100%,1,1+VLOOKUP(($AJ156-$AI156-$AH156-$AG156-$AF156-$AE156*(1+BH$3))/$AJ156,'Технический лист'!$I:$J,2,1)-VLOOKUP($AO156,'Технический лист'!$I:$J,2,1)),1+(1-$AU156))</f>
        <v/>
      </c>
      <c r="BI156" s="172">
        <f>MIN(IF($AU156=100%,1,1+VLOOKUP(($AJ156-$AI156-$AH156-$AG156-$AF156-$AE156*(1+BI$3))/$AJ156,'Технический лист'!$I:$J,2,1)-VLOOKUP($AO156,'Технический лист'!$I:$J,2,1)),1+(1-$AU156))</f>
        <v/>
      </c>
      <c r="BJ156" s="172">
        <f>MIN(IF($AU156=100%,1,1+VLOOKUP(($AJ156-$AI156-$AH156-$AG156-$AF156-$AE156*(1+BJ$3))/$AJ156,'Технический лист'!$I:$J,2,1)-VLOOKUP($AO156,'Технический лист'!$I:$J,2,1)),1+(1-$AU156))</f>
        <v/>
      </c>
      <c r="BK156" s="172">
        <f>MIN(IF($AU156=100%,1,1+VLOOKUP(($AJ156-$AI156-$AH156-$AG156-$AF156-$AE156*(1+BK$3))/$AJ156,'Технический лист'!$I:$J,2,1)-VLOOKUP($AO156,'Технический лист'!$I:$J,2,1)),1+(1-$AU156))</f>
        <v/>
      </c>
      <c r="BL156" s="172">
        <f>MIN(IF($AU156=100%,1,1+VLOOKUP(($AJ156-$AI156-$AH156-$AG156-$AF156-$AE156*(1+BL$3))/$AJ156,'Технический лист'!$I:$J,2,1)-VLOOKUP($AO156,'Технический лист'!$I:$J,2,1)),1+(1-$AU156))</f>
        <v/>
      </c>
      <c r="BM156" s="172">
        <f>MIN(IF($AU156=100%,1,1+VLOOKUP(($AJ156-$AI156-$AH156-$AG156-$AF156-$AE156*(1+BM$3))/$AJ156,'Технический лист'!$I:$J,2,1)-VLOOKUP($AO156,'Технический лист'!$I:$J,2,1)),1+(1-$AU156))</f>
        <v/>
      </c>
      <c r="BN156" s="172">
        <f>MIN(IF($AU156=100%,1,1+VLOOKUP(($AJ156-$AI156-$AH156-$AG156-$AF156-$AE156*(1+BN$3))/$AJ156,'Технический лист'!$I:$J,2,1)-VLOOKUP($AO156,'Технический лист'!$I:$J,2,1)),1+(1-$AU156))</f>
        <v/>
      </c>
      <c r="BO156" s="172">
        <f>MIN(IF($AU156=100%,1,1+VLOOKUP(($AJ156-$AI156-$AH156-$AG156-$AF156-$AE156*(1+BO$3))/$AJ156,'Технический лист'!$I:$J,2,1)-VLOOKUP($AO156,'Технический лист'!$I:$J,2,1)),1+(1-$AU156))</f>
        <v/>
      </c>
      <c r="BP156" s="172">
        <f>MIN(IF($AU156=100%,1,1+VLOOKUP(($AJ156-$AI156-$AH156-$AG156-$AF156-$AE156*(1+BP$3))/$AJ156,'Технический лист'!$I:$J,2,1)-VLOOKUP($AO156,'Технический лист'!$I:$J,2,1)),1+(1-$AU156))</f>
        <v/>
      </c>
      <c r="BQ156" s="172">
        <f>MIN(IF($AU156=100%,1,1+VLOOKUP(($AJ156-$AI156-$AH156-$AG156-$AF156-$AE156*(1+BQ$3))/$AJ156,'Технический лист'!$I:$J,2,1)-VLOOKUP($AO156,'Технический лист'!$I:$J,2,1)),1+(1-$AU156))</f>
        <v/>
      </c>
      <c r="BR156" s="172">
        <f>MIN(IF($AU156=100%,1,1+VLOOKUP(($AJ156-$AI156-$AH156-$AG156-$AF156-$AE156*(1+BR$3))/$AJ156,'Технический лист'!$I:$J,2,1)-VLOOKUP($AO156,'Технический лист'!$I:$J,2,1)),1+(1-$AU156))</f>
        <v/>
      </c>
      <c r="BS156" s="172">
        <f>MIN(IF($AU156=100%,1,1+VLOOKUP(($AJ156-$AI156-$AH156-$AG156-$AF156-$AE156*(1+BS$3))/$AJ156,'Технический лист'!$I:$J,2,1)-VLOOKUP($AO156,'Технический лист'!$I:$J,2,1)),1+(1-$AU156))</f>
        <v/>
      </c>
      <c r="BT156" s="172">
        <f>MIN(IF($AU156=100%,1,1+VLOOKUP(($AJ156-$AI156-$AH156-$AG156-$AF156-$AE156*(1+BT$3))/$AJ156,'Технический лист'!$I:$J,2,1)-VLOOKUP($AO156,'Технический лист'!$I:$J,2,1)),1+(1-$AU156))</f>
        <v/>
      </c>
      <c r="BU156" s="172">
        <f>MIN(IF($AU156=100%,1,1+VLOOKUP(($AJ156-$AI156-$AH156-$AG156-$AF156-$AE156*(1+BU$3))/$AJ156,'Технический лист'!$I:$J,2,1)-VLOOKUP($AO156,'Технический лист'!$I:$J,2,1)),1+(1-$AU156))</f>
        <v/>
      </c>
      <c r="BV156" s="172">
        <f>MIN(IF($AU156=100%,1,1+VLOOKUP(($AJ156-$AI156-$AH156-$AG156-$AF156-$AE156*(1+BV$3))/$AJ156,'Технический лист'!$I:$J,2,1)-VLOOKUP($AO156,'Технический лист'!$I:$J,2,1)),1+(1-$AU156))</f>
        <v/>
      </c>
      <c r="BW156" s="172">
        <f>MIN(IF($AU156=100%,1,1+VLOOKUP(($AJ156-$AI156-$AH156-$AG156-$AF156-$AE156*(1+BW$3))/$AJ156,'Технический лист'!$I:$J,2,1)-VLOOKUP($AO156,'Технический лист'!$I:$J,2,1)),1+(1-$AU156))</f>
        <v/>
      </c>
      <c r="BX156" s="172">
        <f>MIN(IF($AU156=100%,1,1+VLOOKUP(($AJ156-$AI156-$AH156-$AG156-$AF156-$AE156*(1+BX$3))/$AJ156,'Технический лист'!$I:$J,2,1)-VLOOKUP($AO156,'Технический лист'!$I:$J,2,1)),1+(1-$AU156))</f>
        <v/>
      </c>
      <c r="BY156" s="172">
        <f>MIN(IF($AU156=100%,1,1+VLOOKUP(($AJ156-$AI156-$AH156-$AG156-$AF156-$AE156*(1+BY$3))/$AJ156,'Технический лист'!$I:$J,2,1)-VLOOKUP($AO156,'Технический лист'!$I:$J,2,1)),1+(1-$AU156))</f>
        <v/>
      </c>
      <c r="BZ156" s="172">
        <f>MIN(IF($AU156=100%,1,1+VLOOKUP(($AJ156-$AI156-$AH156-$AG156-$AF156-$AE156*(1+BZ$3))/$AJ156,'Технический лист'!$I:$J,2,1)-VLOOKUP($AO156,'Технический лист'!$I:$J,2,1)),1+(1-$AU156))</f>
        <v/>
      </c>
      <c r="CA156" s="172">
        <f>MIN(IF($AU156=100%,1,1+VLOOKUP(($AJ156-$AI156-$AH156-$AG156-$AF156-$AE156*(1+CA$3))/$AJ156,'Технический лист'!$I:$J,2,1)-VLOOKUP($AO156,'Технический лист'!$I:$J,2,1)),1+(1-$AU156))</f>
        <v/>
      </c>
      <c r="CB156" s="172">
        <f>MIN(IF($AU156=100%,1,1+VLOOKUP(($AJ156-$AI156-$AH156-$AG156-$AF156-$AE156*(1+CB$3))/$AJ156,'Технический лист'!$I:$J,2,1)-VLOOKUP($AO156,'Технический лист'!$I:$J,2,1)),1+(1-$AU156))</f>
        <v/>
      </c>
      <c r="CC156" s="172">
        <f>MIN(IF($AU156=100%,1,1+VLOOKUP(($AJ156-$AI156-$AH156-$AG156-$AF156-$AE156*(1+CC$3))/$AJ156,'Технический лист'!$I:$J,2,1)-VLOOKUP($AO156,'Технический лист'!$I:$J,2,1)),1+(1-$AU156))</f>
        <v/>
      </c>
      <c r="CD156" s="172">
        <f>MIN(IF($AU156=100%,1,1+VLOOKUP(($AJ156-$AI156-$AH156-$AG156-$AF156-$AE156*(1+CD$3))/$AJ156,'Технический лист'!$I:$J,2,1)-VLOOKUP($AO156,'Технический лист'!$I:$J,2,1)),1+(1-$AU156))</f>
        <v/>
      </c>
      <c r="CE156" s="172">
        <f>MIN(IF($AU156=100%,1,1+VLOOKUP(($AJ156-$AI156-$AH156-$AG156-$AF156-$AE156*(1+CE$3))/$AJ156,'Технический лист'!$I:$J,2,1)-VLOOKUP($AO156,'Технический лист'!$I:$J,2,1)),1+(1-$AU156))</f>
        <v/>
      </c>
      <c r="CF156" s="172">
        <f>MIN(IF($AU156=100%,1,1+VLOOKUP(($AJ156-$AI156-$AH156-$AG156-$AF156-$AE156*(1+CF$3))/$AJ156,'Технический лист'!$I:$J,2,1)-VLOOKUP($AO156,'Технический лист'!$I:$J,2,1)),1+(1-$AU156))</f>
        <v/>
      </c>
      <c r="CG156" s="172">
        <f>MIN(IF($AU156=100%,1,1+VLOOKUP(($AJ156-$AI156-$AH156-$AG156-$AF156-$AE156*(1+CG$3))/$AJ156,'Технический лист'!$I:$J,2,1)-VLOOKUP($AO156,'Технический лист'!$I:$J,2,1)),1+(1-$AU156))</f>
        <v/>
      </c>
      <c r="CH156" s="172">
        <f>MIN(IF($AU156=100%,1,1+VLOOKUP(($AJ156-$AI156-$AH156-$AG156-$AF156-$AE156*(1+CH$3))/$AJ156,'Технический лист'!$I:$J,2,1)-VLOOKUP($AO156,'Технический лист'!$I:$J,2,1)),1+(1-$AU156))</f>
        <v/>
      </c>
      <c r="CI156" s="172">
        <f>MIN(IF($AU156=100%,1,1+VLOOKUP(($AJ156-$AI156-$AH156-$AG156-$AF156-$AE156*(1+CI$3))/$AJ156,'Технический лист'!$I:$J,2,1)-VLOOKUP($AO156,'Технический лист'!$I:$J,2,1)),1+(1-$AU156))</f>
        <v/>
      </c>
      <c r="CJ156" s="172">
        <f>MIN(IF($AU156=100%,1,1+VLOOKUP(($AJ156-$AI156-$AH156-$AG156-$AF156-$AE156*(1+CJ$3))/$AJ156,'Технический лист'!$I:$J,2,1)-VLOOKUP($AO156,'Технический лист'!$I:$J,2,1)),1+(1-$AU156))</f>
        <v/>
      </c>
      <c r="CK156" s="172">
        <f>MIN(IF($AU156=100%,1,1+VLOOKUP(($AJ156-$AI156-$AH156-$AG156-$AF156-$AE156*(1+CK$3))/$AJ156,'Технический лист'!$I:$J,2,1)-VLOOKUP($AO156,'Технический лист'!$I:$J,2,1)),1+(1-$AU156))</f>
        <v/>
      </c>
      <c r="CL156" s="172">
        <f>MIN(IF($AU156=100%,1,1+VLOOKUP(($AJ156-$AI156-$AH156-$AG156-$AF156-$AE156*(1+CL$3))/$AJ156,'Технический лист'!$I:$J,2,1)-VLOOKUP($AO156,'Технический лист'!$I:$J,2,1)),1+(1-$AU156))</f>
        <v/>
      </c>
      <c r="CM156" s="172">
        <f>MIN(IF($AU156=100%,1,1+VLOOKUP(($AJ156-$AI156-$AH156-$AG156-$AF156-$AE156*(1+CM$3))/$AJ156,'Технический лист'!$I:$J,2,1)-VLOOKUP($AO156,'Технический лист'!$I:$J,2,1)),1+(1-$AU156))</f>
        <v/>
      </c>
      <c r="CN156" s="172">
        <f>MIN(IF($AU156=100%,1,1+VLOOKUP(($AJ156-$AI156-$AH156-$AG156-$AF156-$AE156*(1+CN$3))/$AJ156,'Технический лист'!$I:$J,2,1)-VLOOKUP($AO156,'Технический лист'!$I:$J,2,1)),1+(1-$AU156))</f>
        <v/>
      </c>
      <c r="CO156" s="172">
        <f>MIN(IF($AU156=100%,1,1+VLOOKUP(($AJ156-$AI156-$AH156-$AG156-$AF156-$AE156*(1+CO$3))/$AJ156,'Технический лист'!$I:$J,2,1)-VLOOKUP($AO156,'Технический лист'!$I:$J,2,1)),1+(1-$AU156))</f>
        <v/>
      </c>
      <c r="CP156" s="172">
        <f>MIN(IF($AU156=100%,1,1+VLOOKUP(($AJ156-$AI156-$AH156-$AG156-$AF156-$AE156*(1+CP$3))/$AJ156,'Технический лист'!$I:$J,2,1)-VLOOKUP($AO156,'Технический лист'!$I:$J,2,1)),1+(1-$AU156))</f>
        <v/>
      </c>
      <c r="CQ156" s="172">
        <f>MIN(IF($AU156=100%,1,1+VLOOKUP(($AJ156-$AI156-$AH156-$AG156-$AF156-$AE156*(1+CQ$3))/$AJ156,'Технический лист'!$I:$J,2,1)-VLOOKUP($AO156,'Технический лист'!$I:$J,2,1)),1+(1-$AU156))</f>
        <v/>
      </c>
      <c r="CR156" s="172">
        <f>MIN(IF($AU156=100%,1,1+VLOOKUP(($AJ156-$AI156-$AH156-$AG156-$AF156-$AE156*(1+CR$3))/$AJ156,'Технический лист'!$I:$J,2,1)-VLOOKUP($AO156,'Технический лист'!$I:$J,2,1)),1+(1-$AU156))</f>
        <v/>
      </c>
      <c r="CS156" s="172">
        <f>MIN(IF($AU156=100%,1,1+VLOOKUP(($AJ156-$AI156-$AH156-$AG156-$AF156-$AE156*(1+CS$3))/$AJ156,'Технический лист'!$I:$J,2,1)-VLOOKUP($AO156,'Технический лист'!$I:$J,2,1)),1+(1-$AU156))</f>
        <v/>
      </c>
      <c r="CT156" s="172">
        <f>MIN(IF($AU156=100%,1,1+VLOOKUP(($AJ156-$AI156-$AH156-$AG156-$AF156-$AE156*(1+CT$3))/$AJ156,'Технический лист'!$I:$J,2,1)-VLOOKUP($AO156,'Технический лист'!$I:$J,2,1)),1+(1-$AU156))</f>
        <v/>
      </c>
      <c r="CU156" s="172">
        <f>MIN(IF($AU156=100%,1,1+VLOOKUP(($AJ156-$AI156-$AH156-$AG156-$AF156-$AE156*(1+CU$3))/$AJ156,'Технический лист'!$I:$J,2,1)-VLOOKUP($AO156,'Технический лист'!$I:$J,2,1)),1+(1-$AU156))</f>
        <v/>
      </c>
      <c r="CV156" s="172">
        <f>MIN(IF($AU156=100%,1,1+VLOOKUP(($AJ156-$AI156-$AH156-$AG156-$AF156-$AE156*(1+CV$3))/$AJ156,'Технический лист'!$I:$J,2,1)-VLOOKUP($AO156,'Технический лист'!$I:$J,2,1)),1+(1-$AU156))</f>
        <v/>
      </c>
      <c r="CW156" s="172">
        <f>MIN(IF($AU156=100%,1,1+VLOOKUP(($AJ156-$AI156-$AH156-$AG156-$AF156-$AE156*(1+CW$3))/$AJ156,'Технический лист'!$I:$J,2,1)-VLOOKUP($AO156,'Технический лист'!$I:$J,2,1)),1+(1-$AU156))</f>
        <v/>
      </c>
      <c r="CX156" s="172">
        <f>MIN(IF($AU156=100%,1,1+VLOOKUP(($AJ156-$AI156-$AH156-$AG156-$AF156-$AE156*(1+CX$3))/$AJ156,'Технический лист'!$I:$J,2,1)-VLOOKUP($AO156,'Технический лист'!$I:$J,2,1)),1+(1-$AU156))</f>
        <v/>
      </c>
      <c r="CY156" s="172">
        <f>MIN(IF($AU156=100%,1,1+VLOOKUP(($AJ156-$AI156-$AH156-$AG156-$AF156-$AE156*(1+CY$3))/$AJ156,'Технический лист'!$I:$J,2,1)-VLOOKUP($AO156,'Технический лист'!$I:$J,2,1)),1+(1-$AU156))</f>
        <v/>
      </c>
      <c r="CZ156" s="172">
        <f>MIN(IF($AU156=100%,1,1+VLOOKUP(($AJ156-$AI156-$AH156-$AG156-$AF156-$AE156*(1+CZ$3))/$AJ156,'Технический лист'!$I:$J,2,1)-VLOOKUP($AO156,'Технический лист'!$I:$J,2,1)),1+(1-$AU156))</f>
        <v/>
      </c>
      <c r="DA156" s="172">
        <f>MIN(IF($AU156=100%,1,1+VLOOKUP(($AJ156-$AI156-$AH156-$AG156-$AF156-$AE156*(1+DA$3))/$AJ156,'Технический лист'!$I:$J,2,1)-VLOOKUP($AO156,'Технический лист'!$I:$J,2,1)),1+(1-$AU156))</f>
        <v/>
      </c>
      <c r="DB156" s="172">
        <f>MIN(IF($AU156=100%,1,1+VLOOKUP(($AJ156-$AI156-$AH156-$AG156-$AF156-$AE156*(1+DB$3))/$AJ156,'Технический лист'!$I:$J,2,1)-VLOOKUP($AO156,'Технический лист'!$I:$J,2,1)),1+(1-$AU156))</f>
        <v/>
      </c>
      <c r="DC156" s="172">
        <f>MIN(IF($AU156=100%,1,1+VLOOKUP(($AJ156-$AI156-$AH156-$AG156-$AF156-$AE156*(1+DC$3))/$AJ156,'Технический лист'!$I:$J,2,1)-VLOOKUP($AO156,'Технический лист'!$I:$J,2,1)),1+(1-$AU156))</f>
        <v/>
      </c>
      <c r="DD156" s="172">
        <f>MIN(IF($AU156=100%,1,1+VLOOKUP(($AJ156-$AI156-$AH156-$AG156-$AF156-$AE156*(1+DD$3))/$AJ156,'Технический лист'!$I:$J,2,1)-VLOOKUP($AO156,'Технический лист'!$I:$J,2,1)),1+(1-$AU156))</f>
        <v/>
      </c>
      <c r="DE156" s="172">
        <f>MIN(IF($AU156=100%,1,1+VLOOKUP(($AJ156-$AI156-$AH156-$AG156-$AF156-$AE156*(1+DE$3))/$AJ156,'Технический лист'!$I:$J,2,1)-VLOOKUP($AO156,'Технический лист'!$I:$J,2,1)),1+(1-$AU156))</f>
        <v/>
      </c>
      <c r="DF156" s="172">
        <f>MIN(IF($AU156=100%,1,1+VLOOKUP(($AJ156-$AI156-$AH156-$AG156-$AF156-$AE156*(1+DF$3))/$AJ156,'Технический лист'!$I:$J,2,1)-VLOOKUP($AO156,'Технический лист'!$I:$J,2,1)),1+(1-$AU156))</f>
        <v/>
      </c>
      <c r="DG156" s="172">
        <f>MIN(IF($AU156=100%,1,1+VLOOKUP(($AJ156-$AI156-$AH156-$AG156-$AF156-$AE156*(1+DG$3))/$AJ156,'Технический лист'!$I:$J,2,1)-VLOOKUP($AO156,'Технический лист'!$I:$J,2,1)),1+(1-$AU156))</f>
        <v/>
      </c>
      <c r="DH156" s="172">
        <f>MIN(IF($AU156=100%,1,1+VLOOKUP(($AJ156-$AI156-$AH156-$AG156-$AF156-$AE156*(1+DH$3))/$AJ156,'Технический лист'!$I:$J,2,1)-VLOOKUP($AO156,'Технический лист'!$I:$J,2,1)),1+(1-$AU156))</f>
        <v/>
      </c>
      <c r="DI156" s="172">
        <f>MIN(IF($AU156=100%,1,1+VLOOKUP(($AJ156-$AI156-$AH156-$AG156-$AF156-$AE156*(1+DI$3))/$AJ156,'Технический лист'!$I:$J,2,1)-VLOOKUP($AO156,'Технический лист'!$I:$J,2,1)),1+(1-$AU156))</f>
        <v/>
      </c>
      <c r="DJ156" s="172">
        <f>MIN(IF($AU156=100%,1,1+VLOOKUP(($AJ156-$AI156-$AH156-$AG156-$AF156-$AE156*(1+DJ$3))/$AJ156,'Технический лист'!$I:$J,2,1)-VLOOKUP($AO156,'Технический лист'!$I:$J,2,1)),1+(1-$AU156))</f>
        <v/>
      </c>
      <c r="DK156" s="172">
        <f>MIN(IF($AU156=100%,1,1+VLOOKUP(($AJ156-$AI156-$AH156-$AG156-$AF156-$AE156*(1+DK$3))/$AJ156,'Технический лист'!$I:$J,2,1)-VLOOKUP($AO156,'Технический лист'!$I:$J,2,1)),1+(1-$AU156))</f>
        <v/>
      </c>
      <c r="DL156" s="172">
        <f>MIN(IF($AU156=100%,1,1+VLOOKUP(($AJ156-$AI156-$AH156-$AG156-$AF156-$AE156*(1+DL$3))/$AJ156,'Технический лист'!$I:$J,2,1)-VLOOKUP($AO156,'Технический лист'!$I:$J,2,1)),1+(1-$AU156))</f>
        <v/>
      </c>
      <c r="DM156" s="172">
        <f>MIN(IF($AU156=100%,1,1+VLOOKUP(($AJ156-$AI156-$AH156-$AG156-$AF156-$AE156*(1+DM$3))/$AJ156,'Технический лист'!$I:$J,2,1)-VLOOKUP($AO156,'Технический лист'!$I:$J,2,1)),1+(1-$AU156))</f>
        <v/>
      </c>
      <c r="DN156" s="172">
        <f>MIN(IF($AU156=100%,1,1+VLOOKUP(($AJ156-$AI156-$AH156-$AG156-$AF156-$AE156*(1+DN$3))/$AJ156,'Технический лист'!$I:$J,2,1)-VLOOKUP($AO156,'Технический лист'!$I:$J,2,1)),1+(1-$AU156))</f>
        <v/>
      </c>
      <c r="DO156" s="172">
        <f>MIN(IF($AU156=100%,1,1+VLOOKUP(($AJ156-$AI156-$AH156-$AG156-$AF156-$AE156*(1+DO$3))/$AJ156,'Технический лист'!$I:$J,2,1)-VLOOKUP($AO156,'Технический лист'!$I:$J,2,1)),1+(1-$AU156))</f>
        <v/>
      </c>
      <c r="DP156" s="172">
        <f>MIN(IF($AU156=100%,1,1+VLOOKUP(($AJ156-$AI156-$AH156-$AG156-$AF156-$AE156*(1+DP$3))/$AJ156,'Технический лист'!$I:$J,2,1)-VLOOKUP($AO156,'Технический лист'!$I:$J,2,1)),1+(1-$AU156))</f>
        <v/>
      </c>
      <c r="DQ156" s="172">
        <f>MIN(IF($AU156=100%,1,1+VLOOKUP(($AJ156-$AI156-$AH156-$AG156-$AF156-$AE156*(1+DQ$3))/$AJ156,'Технический лист'!$I:$J,2,1)-VLOOKUP($AO156,'Технический лист'!$I:$J,2,1)),1+(1-$AU156))</f>
        <v/>
      </c>
      <c r="DR156" s="172">
        <f>MIN(IF($AU156=100%,1,1+VLOOKUP(($AJ156-$AI156-$AH156-$AG156-$AF156-$AE156*(1+DR$3))/$AJ156,'Технический лист'!$I:$J,2,1)-VLOOKUP($AO156,'Технический лист'!$I:$J,2,1)),1+(1-$AU156))</f>
        <v/>
      </c>
      <c r="DS156" s="172">
        <f>MIN(IF($AU156=100%,1,1+VLOOKUP(($AJ156-$AI156-$AH156-$AG156-$AF156-$AE156*(1+DS$3))/$AJ156,'Технический лист'!$I:$J,2,1)-VLOOKUP($AO156,'Технический лист'!$I:$J,2,1)),1+(1-$AU156))</f>
        <v/>
      </c>
      <c r="DT156" s="172">
        <f>MIN(IF($AU156=100%,1,1+VLOOKUP(($AJ156-$AI156-$AH156-$AG156-$AF156-$AE156*(1+DT$3))/$AJ156,'Технический лист'!$I:$J,2,1)-VLOOKUP($AO156,'Технический лист'!$I:$J,2,1)),1+(1-$AU156))</f>
        <v/>
      </c>
      <c r="DU156" s="172">
        <f>MIN(IF($AU156=100%,1,1+VLOOKUP(($AJ156-$AI156-$AH156-$AG156-$AF156-$AE156*(1+DU$3))/$AJ156,'Технический лист'!$I:$J,2,1)-VLOOKUP($AO156,'Технический лист'!$I:$J,2,1)),1+(1-$AU156))</f>
        <v/>
      </c>
      <c r="DV156" s="172">
        <f>MIN(IF($AU156=100%,1,1+VLOOKUP(($AJ156-$AI156-$AH156-$AG156-$AF156-$AE156*(1+DV$3))/$AJ156,'Технический лист'!$I:$J,2,1)-VLOOKUP($AO156,'Технический лист'!$I:$J,2,1)),1+(1-$AU156))</f>
        <v/>
      </c>
      <c r="DW156" s="172">
        <f>MIN(IF($AU156=100%,1,1+VLOOKUP(($AJ156-$AI156-$AH156-$AG156-$AF156-$AE156*(1+DW$3))/$AJ156,'Технический лист'!$I:$J,2,1)-VLOOKUP($AO156,'Технический лист'!$I:$J,2,1)),1+(1-$AU156))</f>
        <v/>
      </c>
      <c r="DX156" s="172">
        <f>MIN(IF($AU156=100%,1,1+VLOOKUP(($AJ156-$AI156-$AH156-$AG156-$AF156-$AE156*(1+DX$3))/$AJ156,'Технический лист'!$I:$J,2,1)-VLOOKUP($AO156,'Технический лист'!$I:$J,2,1)),1+(1-$AU156))</f>
        <v/>
      </c>
      <c r="DY156" s="172">
        <f>MIN(IF($AU156=100%,1,1+VLOOKUP(($AJ156-$AI156-$AH156-$AG156-$AF156-$AE156*(1+DY$3))/$AJ156,'Технический лист'!$I:$J,2,1)-VLOOKUP($AO156,'Технический лист'!$I:$J,2,1)),1+(1-$AU156))</f>
        <v/>
      </c>
      <c r="DZ156" s="172">
        <f>MIN(IF($AU156=100%,1,1+VLOOKUP(($AJ156-$AI156-$AH156-$AG156-$AF156-$AE156*(1+DZ$3))/$AJ156,'Технический лист'!$I:$J,2,1)-VLOOKUP($AO156,'Технический лист'!$I:$J,2,1)),1+(1-$AU156))</f>
        <v/>
      </c>
      <c r="EA156" s="172">
        <f>MIN(IF($AU156=100%,1,1+VLOOKUP(($AJ156-$AI156-$AH156-$AG156-$AF156-$AE156*(1+EA$3))/$AJ156,'Технический лист'!$I:$J,2,1)-VLOOKUP($AO156,'Технический лист'!$I:$J,2,1)),1+(1-$AU156))</f>
        <v/>
      </c>
      <c r="EB156" s="172">
        <f>MIN(IF($AU156=100%,1,1+VLOOKUP(($AJ156-$AI156-$AH156-$AG156-$AF156-$AE156*(1+EB$3))/$AJ156,'Технический лист'!$I:$J,2,1)-VLOOKUP($AO156,'Технический лист'!$I:$J,2,1)),1+(1-$AU156))</f>
        <v/>
      </c>
      <c r="EC156" s="172">
        <f>MIN(IF($AU156=100%,1,1+VLOOKUP(($AJ156-$AI156-$AH156-$AG156-$AF156-$AE156*(1+EC$3))/$AJ156,'Технический лист'!$I:$J,2,1)-VLOOKUP($AO156,'Технический лист'!$I:$J,2,1)),1+(1-$AU156))</f>
        <v/>
      </c>
      <c r="ED156" s="172">
        <f>MIN(IF($AU156=100%,1,1+VLOOKUP(($AJ156-$AI156-$AH156-$AG156-$AF156-$AE156*(1+ED$3))/$AJ156,'Технический лист'!$I:$J,2,1)-VLOOKUP($AO156,'Технический лист'!$I:$J,2,1)),1+(1-$AU156))</f>
        <v/>
      </c>
      <c r="EE156" s="172">
        <f>MIN(IF($AU156=100%,1,1+VLOOKUP(($AJ156-$AI156-$AH156-$AG156-$AF156-$AE156*(1+EE$3))/$AJ156,'Технический лист'!$I:$J,2,1)-VLOOKUP($AO156,'Технический лист'!$I:$J,2,1)),1+(1-$AU156))</f>
        <v/>
      </c>
      <c r="EF156" s="172">
        <f>MIN(IF($AU156=100%,1,1+VLOOKUP(($AJ156-$AI156-$AH156-$AG156-$AF156-$AE156*(1+EF$3))/$AJ156,'Технический лист'!$I:$J,2,1)-VLOOKUP($AO156,'Технический лист'!$I:$J,2,1)),1+(1-$AU156))</f>
        <v/>
      </c>
      <c r="EG156" s="172">
        <f>MIN(IF($AU156=100%,1,1+VLOOKUP(($AJ156-$AI156-$AH156-$AG156-$AF156-$AE156*(1+EG$3))/$AJ156,'Технический лист'!$I:$J,2,1)-VLOOKUP($AO156,'Технический лист'!$I:$J,2,1)),1+(1-$AU156))</f>
        <v/>
      </c>
      <c r="EH156" s="172">
        <f>MIN(IF($AU156=100%,1,1+VLOOKUP(($AJ156-$AI156-$AH156-$AG156-$AF156-$AE156*(1+EH$3))/$AJ156,'Технический лист'!$I:$J,2,1)-VLOOKUP($AO156,'Технический лист'!$I:$J,2,1)),1+(1-$AU156))</f>
        <v/>
      </c>
      <c r="EI156" s="172">
        <f>MIN(IF($AU156=100%,1,1+VLOOKUP(($AJ156-$AI156-$AH156-$AG156-$AF156-$AE156*(1+EI$3))/$AJ156,'Технический лист'!$I:$J,2,1)-VLOOKUP($AO156,'Технический лист'!$I:$J,2,1)),1+(1-$AU156))</f>
        <v/>
      </c>
      <c r="EJ156" s="172">
        <f>MIN(IF($AU156=100%,1,1+VLOOKUP(($AJ156-$AI156-$AH156-$AG156-$AF156-$AE156*(1+EJ$3))/$AJ156,'Технический лист'!$I:$J,2,1)-VLOOKUP($AO156,'Технический лист'!$I:$J,2,1)),1+(1-$AU156))</f>
        <v/>
      </c>
      <c r="EK156" s="172">
        <f>MIN(IF($AU156=100%,1,1+VLOOKUP(($AJ156-$AI156-$AH156-$AG156-$AF156-$AE156*(1+EK$3))/$AJ156,'Технический лист'!$I:$J,2,1)-VLOOKUP($AO156,'Технический лист'!$I:$J,2,1)),1+(1-$AU156))</f>
        <v/>
      </c>
      <c r="EL156" s="172">
        <f>MIN(IF($AU156=100%,1,1+VLOOKUP(($AJ156-$AI156-$AH156-$AG156-$AF156-$AE156*(1+EL$3))/$AJ156,'Технический лист'!$I:$J,2,1)-VLOOKUP($AO156,'Технический лист'!$I:$J,2,1)),1+(1-$AU156))</f>
        <v/>
      </c>
      <c r="EM156" s="172">
        <f>MIN(IF($AU156=100%,1,1+VLOOKUP(($AJ156-$AI156-$AH156-$AG156-$AF156-$AE156*(1+EM$3))/$AJ156,'Технический лист'!$I:$J,2,1)-VLOOKUP($AO156,'Технический лист'!$I:$J,2,1)),1+(1-$AU156))</f>
        <v/>
      </c>
      <c r="EN156" s="172">
        <f>MIN(IF($AU156=100%,1,1+VLOOKUP(($AJ156-$AI156-$AH156-$AG156-$AF156-$AE156*(1+EN$3))/$AJ156,'Технический лист'!$I:$J,2,1)-VLOOKUP($AO156,'Технический лист'!$I:$J,2,1)),1+(1-$AU156))</f>
        <v/>
      </c>
      <c r="EO156" s="172">
        <f>MIN(IF($AU156=100%,1,1+VLOOKUP(($AJ156-$AI156-$AH156-$AG156-$AF156-$AE156*(1+EO$3))/$AJ156,'Технический лист'!$I:$J,2,1)-VLOOKUP($AO156,'Технический лист'!$I:$J,2,1)),1+(1-$AU156))</f>
        <v/>
      </c>
      <c r="EP156" s="172">
        <f>MIN(IF($AU156=100%,1,1+VLOOKUP(($AJ156-$AI156-$AH156-$AG156-$AF156-$AE156*(1+EP$3))/$AJ156,'Технический лист'!$I:$J,2,1)-VLOOKUP($AO156,'Технический лист'!$I:$J,2,1)),1+(1-$AU156))</f>
        <v/>
      </c>
      <c r="EQ156" s="172">
        <f>MIN(IF($AU156=100%,1,1+VLOOKUP(($AJ156-$AI156-$AH156-$AG156-$AF156-$AE156*(1+EQ$3))/$AJ156,'Технический лист'!$I:$J,2,1)-VLOOKUP($AO156,'Технический лист'!$I:$J,2,1)),1+(1-$AU156))</f>
        <v/>
      </c>
      <c r="ER156" s="172">
        <f>MIN(IF($AU156=100%,1,1+VLOOKUP(($AJ156-$AI156-$AH156-$AG156-$AF156-$AE156*(1+ER$3))/$AJ156,'Технический лист'!$I:$J,2,1)-VLOOKUP($AO156,'Технический лист'!$I:$J,2,1)),1+(1-$AU156))</f>
        <v/>
      </c>
      <c r="ES156" s="172">
        <f>MIN(IF($AU156=100%,1,1+VLOOKUP(($AJ156-$AI156-$AH156-$AG156-$AF156-$AE156*(1+ES$3))/$AJ156,'Технический лист'!$I:$J,2,1)-VLOOKUP($AO156,'Технический лист'!$I:$J,2,1)),1+(1-$AU156))</f>
        <v/>
      </c>
      <c r="ET156" s="172">
        <f>MIN(IF($AU156=100%,1,1+VLOOKUP(($AJ156-$AI156-$AH156-$AG156-$AF156-$AE156*(1+ET$3))/$AJ156,'Технический лист'!$I:$J,2,1)-VLOOKUP($AO156,'Технический лист'!$I:$J,2,1)),1+(1-$AU156))</f>
        <v/>
      </c>
      <c r="EU156" s="172">
        <f>MIN(IF($AU156=100%,1,1+VLOOKUP(($AJ156-$AI156-$AH156-$AG156-$AF156-$AE156*(1+EU$3))/$AJ156,'Технический лист'!$I:$J,2,1)-VLOOKUP($AO156,'Технический лист'!$I:$J,2,1)),1+(1-$AU156))</f>
        <v/>
      </c>
      <c r="EV156" s="173" t="n">
        <v>1</v>
      </c>
      <c r="EW156" s="172">
        <f>MIN(1,MAX(VLOOKUP(($AJ156-$AI156-$AH156-$AG156-$AF156-$AE156*(1+EW$3))/$AJ156,'Технический лист'!$A:$B,2,1),(EV156-0.05)))</f>
        <v/>
      </c>
      <c r="EX156" s="172">
        <f>MIN(1,MAX(VLOOKUP(($AJ156-$AI156-$AH156-$AG156-$AF156-$AE156*(1+EX$3))/$AJ156,'Технический лист'!$A:$B,2,1),(EW156-0.05)))</f>
        <v/>
      </c>
      <c r="EY156" s="172">
        <f>MIN(1,MAX(VLOOKUP(($AJ156-$AI156-$AH156-$AG156-$AF156-$AE156*(1+EY$3))/$AJ156,'Технический лист'!$A:$B,2,1),(EX156-0.05)))</f>
        <v/>
      </c>
      <c r="EZ156" s="172">
        <f>MIN(1,MAX(VLOOKUP(($AJ156-$AI156-$AH156-$AG156-$AF156-$AE156*(1+EZ$3))/$AJ156,'Технический лист'!$A:$B,2,1),(EY156-0.05)))</f>
        <v/>
      </c>
      <c r="FA156" s="172">
        <f>MIN(1,MAX(VLOOKUP(($AJ156-$AI156-$AH156-$AG156-$AF156-$AE156*(1+FA$3))/$AJ156,'Технический лист'!$A:$B,2,1),(EZ156-0.05)))</f>
        <v/>
      </c>
      <c r="FB156" s="172">
        <f>MIN(1,MAX(VLOOKUP(($AJ156-$AI156-$AH156-$AG156-$AF156-$AE156*(1+FB$3))/$AJ156,'Технический лист'!$A:$B,2,1),(FA156-0.05)))</f>
        <v/>
      </c>
      <c r="FC156" s="172">
        <f>MIN(1,MAX(VLOOKUP(($AJ156-$AI156-$AH156-$AG156-$AF156-$AE156*(1+FC$3))/$AJ156,'Технический лист'!$A:$B,2,1),(FB156-0.05)))</f>
        <v/>
      </c>
      <c r="FD156" s="172">
        <f>MIN(1,MAX(VLOOKUP(($AJ156-$AI156-$AH156-$AG156-$AF156-$AE156*(1+FD$3))/$AJ156,'Технический лист'!$A:$B,2,1),(FC156-0.05)))</f>
        <v/>
      </c>
      <c r="FE156" s="172">
        <f>MIN(1,MAX(VLOOKUP(($AJ156-$AI156-$AH156-$AG156-$AF156-$AE156*(1+FE$3))/$AJ156,'Технический лист'!$A:$B,2,1),(FD156-0.05)))</f>
        <v/>
      </c>
      <c r="FF156" s="172">
        <f>MIN(1,MAX(VLOOKUP(($AJ156-$AI156-$AH156-$AG156-$AF156-$AE156*(1+FF$3))/$AJ156,'Технический лист'!$A:$B,2,1),(FE156-0.05)))</f>
        <v/>
      </c>
      <c r="FG156" s="172">
        <f>MIN(1,MAX(VLOOKUP(($AJ156-$AI156-$AH156-$AG156-$AF156-$AE156*(1+FG$3))/$AJ156,'Технический лист'!$A:$B,2,1),(FF156-0.05)))</f>
        <v/>
      </c>
      <c r="FH156" s="172">
        <f>MIN(1,MAX(VLOOKUP(($AJ156-$AI156-$AH156-$AG156-$AF156-$AE156*(1+FH$3))/$AJ156,'Технический лист'!$A:$B,2,1),(FG156-0.05)))</f>
        <v/>
      </c>
      <c r="FI156" s="172">
        <f>MIN(1,MAX(VLOOKUP(($AJ156-$AI156-$AH156-$AG156-$AF156-$AE156*(1+FI$3))/$AJ156,'Технический лист'!$A:$B,2,1),(FH156-0.05)))</f>
        <v/>
      </c>
      <c r="FJ156" s="172">
        <f>MIN(1,MAX(VLOOKUP(($AJ156-$AI156-$AH156-$AG156-$AF156-$AE156*(1+FJ$3))/$AJ156,'Технический лист'!$A:$B,2,1),(FI156-0.05)))</f>
        <v/>
      </c>
      <c r="FK156" s="172">
        <f>MIN(1,MAX(VLOOKUP(($AJ156-$AI156-$AH156-$AG156-$AF156-$AE156*(1+FK$3))/$AJ156,'Технический лист'!$A:$B,2,1),(FJ156-0.05)))</f>
        <v/>
      </c>
      <c r="FL156" s="172">
        <f>MIN(1,MAX(VLOOKUP(($AJ156-$AI156-$AH156-$AG156-$AF156-$AE156*(1+FL$3))/$AJ156,'Технический лист'!$A:$B,2,1),(FK156-0.05)))</f>
        <v/>
      </c>
      <c r="FM156" s="172">
        <f>MIN(1,MAX(VLOOKUP(($AJ156-$AI156-$AH156-$AG156-$AF156-$AE156*(1+FM$3))/$AJ156,'Технический лист'!$A:$B,2,1),(FL156-0.05)))</f>
        <v/>
      </c>
      <c r="FN156" s="172">
        <f>MIN(1,MAX(VLOOKUP(($AJ156-$AI156-$AH156-$AG156-$AF156-$AE156*(1+FN$3))/$AJ156,'Технический лист'!$A:$B,2,1),(FM156-0.05)))</f>
        <v/>
      </c>
      <c r="FO156" s="172">
        <f>MIN(1,MAX(VLOOKUP(($AJ156-$AI156-$AH156-$AG156-$AF156-$AE156*(1+FO$3))/$AJ156,'Технический лист'!$A:$B,2,1),(FN156-0.05)))</f>
        <v/>
      </c>
      <c r="FP156" s="172">
        <f>MIN(1,MAX(VLOOKUP(($AJ156-$AI156-$AH156-$AG156-$AF156-$AE156*(1+FP$3))/$AJ156,'Технический лист'!$A:$B,2,1),(FO156-0.05)))</f>
        <v/>
      </c>
      <c r="FQ156" s="172">
        <f>MIN(1,MAX(VLOOKUP(($AJ156-$AI156-$AH156-$AG156-$AF156-$AE156*(1+FQ$3))/$AJ156,'Технический лист'!$A:$B,2,1),(FP156-0.05)))</f>
        <v/>
      </c>
      <c r="FR156" s="172">
        <f>MIN(1,MAX(VLOOKUP(($AJ156-$AI156-$AH156-$AG156-$AF156-$AE156*(1+FR$3))/$AJ156,'Технический лист'!$A:$B,2,1),(FQ156-0.05)))</f>
        <v/>
      </c>
      <c r="FS156" s="172">
        <f>MIN(1,MAX(VLOOKUP(($AJ156-$AI156-$AH156-$AG156-$AF156-$AE156*(1+FS$3))/$AJ156,'Технический лист'!$A:$B,2,1),(FR156-0.05)))</f>
        <v/>
      </c>
      <c r="FT156" s="172">
        <f>MIN(1,MAX(VLOOKUP(($AJ156-$AI156-$AH156-$AG156-$AF156-$AE156*(1+FT$3))/$AJ156,'Технический лист'!$A:$B,2,1),(FS156-0.05)))</f>
        <v/>
      </c>
      <c r="FU156" s="172">
        <f>MIN(1,MAX(VLOOKUP(($AJ156-$AI156-$AH156-$AG156-$AF156-$AE156*(1+FU$3))/$AJ156,'Технический лист'!$A:$B,2,1),(FT156-0.05)))</f>
        <v/>
      </c>
      <c r="FV156" s="172">
        <f>MIN(1,MAX(VLOOKUP(($AJ156-$AI156-$AH156-$AG156-$AF156-$AE156*(1+FV$3))/$AJ156,'Технический лист'!$A:$B,2,1),(FU156-0.05)))</f>
        <v/>
      </c>
      <c r="FW156" s="172">
        <f>MIN(1,MAX(VLOOKUP(($AJ156-$AI156-$AH156-$AG156-$AF156-$AE156*(1+FW$3))/$AJ156,'Технический лист'!$A:$B,2,1),(FV156-0.05)))</f>
        <v/>
      </c>
      <c r="FX156" s="172">
        <f>MIN(1,MAX(VLOOKUP(($AJ156-$AI156-$AH156-$AG156-$AF156-$AE156*(1+FX$3))/$AJ156,'Технический лист'!$A:$B,2,1),(FW156-0.05)))</f>
        <v/>
      </c>
      <c r="FY156" s="172">
        <f>MIN(1,MAX(VLOOKUP(($AJ156-$AI156-$AH156-$AG156-$AF156-$AE156*(1+FY$3))/$AJ156,'Технический лист'!$A:$B,2,1),(FX156-0.05)))</f>
        <v/>
      </c>
      <c r="FZ156" s="172">
        <f>MIN(1,MAX(VLOOKUP(($AJ156-$AI156-$AH156-$AG156-$AF156-$AE156*(1+FZ$3))/$AJ156,'Технический лист'!$A:$B,2,1),(FY156-0.05)))</f>
        <v/>
      </c>
      <c r="GA156" s="172">
        <f>MIN(1,MAX(VLOOKUP(($AJ156-$AI156-$AH156-$AG156-$AF156-$AE156*(1+GA$3))/$AJ156,'Технический лист'!$A:$B,2,1),(FZ156-0.05)))</f>
        <v/>
      </c>
      <c r="GB156" s="172">
        <f>MIN(1,MAX(VLOOKUP(($AJ156-$AI156-$AH156-$AG156-$AF156-$AE156*(1+GB$3))/$AJ156,'Технический лист'!$A:$B,2,1),(GA156-0.05)))</f>
        <v/>
      </c>
      <c r="GC156" s="172">
        <f>MIN(1,MAX(VLOOKUP(($AJ156-$AI156-$AH156-$AG156-$AF156-$AE156*(1+GC$3))/$AJ156,'Технический лист'!$A:$B,2,1),(GB156-0.05)))</f>
        <v/>
      </c>
      <c r="GD156" s="172">
        <f>MIN(1,MAX(VLOOKUP(($AJ156-$AI156-$AH156-$AG156-$AF156-$AE156*(1+GD$3))/$AJ156,'Технический лист'!$A:$B,2,1),(GC156-0.05)))</f>
        <v/>
      </c>
      <c r="GE156" s="172">
        <f>MIN(1,MAX(VLOOKUP(($AJ156-$AI156-$AH156-$AG156-$AF156-$AE156*(1+GE$3))/$AJ156,'Технический лист'!$A:$B,2,1),(GD156-0.05)))</f>
        <v/>
      </c>
      <c r="GF156" s="172">
        <f>MIN(1,MAX(VLOOKUP(($AJ156-$AI156-$AH156-$AG156-$AF156-$AE156*(1+GF$3))/$AJ156,'Технический лист'!$A:$B,2,1),(GE156-0.05)))</f>
        <v/>
      </c>
      <c r="GG156" s="172">
        <f>MIN(1,MAX(VLOOKUP(($AJ156-$AI156-$AH156-$AG156-$AF156-$AE156*(1+GG$3))/$AJ156,'Технический лист'!$A:$B,2,1),(GF156-0.05)))</f>
        <v/>
      </c>
      <c r="GH156" s="172">
        <f>MIN(1,MAX(VLOOKUP(($AJ156-$AI156-$AH156-$AG156-$AF156-$AE156*(1+GH$3))/$AJ156,'Технический лист'!$A:$B,2,1),(GG156-0.05)))</f>
        <v/>
      </c>
      <c r="GI156" s="172">
        <f>MIN(1,MAX(VLOOKUP(($AJ156-$AI156-$AH156-$AG156-$AF156-$AE156*(1+GI$3))/$AJ156,'Технический лист'!$A:$B,2,1),(GH156-0.05)))</f>
        <v/>
      </c>
      <c r="GJ156" s="172">
        <f>MIN(1,MAX(VLOOKUP(($AJ156-$AI156-$AH156-$AG156-$AF156-$AE156*(1+GJ$3))/$AJ156,'Технический лист'!$A:$B,2,1),(GI156-0.05)))</f>
        <v/>
      </c>
      <c r="GK156" s="172">
        <f>MIN(1,MAX(VLOOKUP(($AJ156-$AI156-$AH156-$AG156-$AF156-$AE156*(1+GK$3))/$AJ156,'Технический лист'!$A:$B,2,1),(GJ156-0.05)))</f>
        <v/>
      </c>
      <c r="GL156" s="172">
        <f>MIN(1,MAX(VLOOKUP(($AJ156-$AI156-$AH156-$AG156-$AF156-$AE156*(1+GL$3))/$AJ156,'Технический лист'!$A:$B,2,1),(GK156-0.05)))</f>
        <v/>
      </c>
      <c r="GM156" s="172">
        <f>MIN(1,MAX(VLOOKUP(($AJ156-$AI156-$AH156-$AG156-$AF156-$AE156*(1+GM$3))/$AJ156,'Технический лист'!$A:$B,2,1),(GL156-0.05)))</f>
        <v/>
      </c>
      <c r="GN156" s="172">
        <f>MIN(1,MAX(VLOOKUP(($AJ156-$AI156-$AH156-$AG156-$AF156-$AE156*(1+GN$3))/$AJ156,'Технический лист'!$A:$B,2,1),(GM156-0.05)))</f>
        <v/>
      </c>
      <c r="GO156" s="172">
        <f>MIN(1,MAX(VLOOKUP(($AJ156-$AI156-$AH156-$AG156-$AF156-$AE156*(1+GO$3))/$AJ156,'Технический лист'!$A:$B,2,1),(GN156-0.05)))</f>
        <v/>
      </c>
      <c r="GP156" s="172">
        <f>MIN(1,MAX(VLOOKUP(($AJ156-$AI156-$AH156-$AG156-$AF156-$AE156*(1+GP$3))/$AJ156,'Технический лист'!$A:$B,2,1),(GO156-0.05)))</f>
        <v/>
      </c>
      <c r="GQ156" s="172">
        <f>MIN(1,MAX(VLOOKUP(($AJ156-$AI156-$AH156-$AG156-$AF156-$AE156*(1+GQ$3))/$AJ156,'Технический лист'!$A:$B,2,1),(GP156-0.05)))</f>
        <v/>
      </c>
      <c r="GR156" s="172">
        <f>MIN(1,MAX(VLOOKUP(($AJ156-$AI156-$AH156-$AG156-$AF156-$AE156*(1+GR$3))/$AJ156,'Технический лист'!$A:$B,2,1),(GQ156-0.05)))</f>
        <v/>
      </c>
      <c r="GS156" s="172">
        <f>MIN(1,MAX(VLOOKUP(($AJ156-$AI156-$AH156-$AG156-$AF156-$AE156*(1+GS$3))/$AJ156,'Технический лист'!$A:$B,2,1),(GR156-0.05)))</f>
        <v/>
      </c>
      <c r="GT156" s="172">
        <f>MIN(1,MAX(VLOOKUP(($AJ156-$AI156-$AH156-$AG156-$AF156-$AE156*(1+GT$3))/$AJ156,'Технический лист'!$A:$B,2,1),(GS156-0.05)))</f>
        <v/>
      </c>
      <c r="GU156" s="172">
        <f>MIN(1,MAX(VLOOKUP(($AJ156-$AI156-$AH156-$AG156-$AF156-$AE156*(1+GU$3))/$AJ156,'Технический лист'!$A:$B,2,1),(GT156-0.05)))</f>
        <v/>
      </c>
      <c r="GV156" s="172">
        <f>MIN(1,MAX(VLOOKUP(($AJ156-$AI156-$AH156-$AG156-$AF156-$AE156*(1+GV$3))/$AJ156,'Технический лист'!$A:$B,2,1),(GU156-0.05)))</f>
        <v/>
      </c>
      <c r="GW156" s="172">
        <f>MIN(1,MAX(VLOOKUP(($AJ156-$AI156-$AH156-$AG156-$AF156-$AE156*(1+GW$3))/$AJ156,'Технический лист'!$A:$B,2,1),(GV156-0.05)))</f>
        <v/>
      </c>
      <c r="GX156" s="172">
        <f>MIN(1,MAX(VLOOKUP(($AJ156-$AI156-$AH156-$AG156-$AF156-$AE156*(1+GX$3))/$AJ156,'Технический лист'!$A:$B,2,1),(GW156-0.05)))</f>
        <v/>
      </c>
      <c r="GY156" s="172">
        <f>MIN(1,MAX(VLOOKUP(($AJ156-$AI156-$AH156-$AG156-$AF156-$AE156*(1+GY$3))/$AJ156,'Технический лист'!$A:$B,2,1),(GX156-0.05)))</f>
        <v/>
      </c>
      <c r="GZ156" s="172">
        <f>MIN(1,MAX(VLOOKUP(($AJ156-$AI156-$AH156-$AG156-$AF156-$AE156*(1+GZ$3))/$AJ156,'Технический лист'!$A:$B,2,1),(GY156-0.05)))</f>
        <v/>
      </c>
      <c r="HA156" s="172">
        <f>MIN(1,MAX(VLOOKUP(($AJ156-$AI156-$AH156-$AG156-$AF156-$AE156*(1+HA$3))/$AJ156,'Технический лист'!$A:$B,2,1),(GZ156-0.05)))</f>
        <v/>
      </c>
      <c r="HB156" s="172">
        <f>MIN(1,MAX(VLOOKUP(($AJ156-$AI156-$AH156-$AG156-$AF156-$AE156*(1+HB$3))/$AJ156,'Технический лист'!$A:$B,2,1),(HA156-0.05)))</f>
        <v/>
      </c>
      <c r="HC156" s="172">
        <f>MIN(1,MAX(VLOOKUP(($AJ156-$AI156-$AH156-$AG156-$AF156-$AE156*(1+HC$3))/$AJ156,'Технический лист'!$A:$B,2,1),(HB156-0.05)))</f>
        <v/>
      </c>
      <c r="HD156" s="172">
        <f>MIN(1,MAX(VLOOKUP(($AJ156-$AI156-$AH156-$AG156-$AF156-$AE156*(1+HD$3))/$AJ156,'Технический лист'!$A:$B,2,1),(HC156-0.05)))</f>
        <v/>
      </c>
      <c r="HE156" s="172">
        <f>MIN(1,MAX(VLOOKUP(($AJ156-$AI156-$AH156-$AG156-$AF156-$AE156*(1+HE$3))/$AJ156,'Технический лист'!$A:$B,2,1),(HD156-0.05)))</f>
        <v/>
      </c>
      <c r="HF156" s="172">
        <f>MIN(1,MAX(VLOOKUP(($AJ156-$AI156-$AH156-$AG156-$AF156-$AE156*(1+HF$3))/$AJ156,'Технический лист'!$A:$B,2,1),(HE156-0.05)))</f>
        <v/>
      </c>
      <c r="HG156" s="172">
        <f>MIN(1,MAX(VLOOKUP(($AJ156-$AI156-$AH156-$AG156-$AF156-$AE156*(1+HG$3))/$AJ156,'Технический лист'!$A:$B,2,1),(HF156-0.05)))</f>
        <v/>
      </c>
      <c r="HH156" s="172">
        <f>MIN(1,MAX(VLOOKUP(($AJ156-$AI156-$AH156-$AG156-$AF156-$AE156*(1+HH$3))/$AJ156,'Технический лист'!$A:$B,2,1),(HG156-0.05)))</f>
        <v/>
      </c>
      <c r="HI156" s="172">
        <f>MIN(1,MAX(VLOOKUP(($AJ156-$AI156-$AH156-$AG156-$AF156-$AE156*(1+HI$3))/$AJ156,'Технический лист'!$A:$B,2,1),(HH156-0.05)))</f>
        <v/>
      </c>
      <c r="HJ156" s="172">
        <f>MIN(1,MAX(VLOOKUP(($AJ156-$AI156-$AH156-$AG156-$AF156-$AE156*(1+HJ$3))/$AJ156,'Технический лист'!$A:$B,2,1),(HI156-0.05)))</f>
        <v/>
      </c>
      <c r="HK156" s="172">
        <f>MIN(1,MAX(VLOOKUP(($AJ156-$AI156-$AH156-$AG156-$AF156-$AE156*(1+HK$3))/$AJ156,'Технический лист'!$A:$B,2,1),(HJ156-0.05)))</f>
        <v/>
      </c>
      <c r="HL156" s="172">
        <f>MIN(1,MAX(VLOOKUP(($AJ156-$AI156-$AH156-$AG156-$AF156-$AE156*(1+HL$3))/$AJ156,'Технический лист'!$A:$B,2,1),(HK156-0.05)))</f>
        <v/>
      </c>
      <c r="HM156" s="172">
        <f>MIN(1,MAX(VLOOKUP(($AJ156-$AI156-$AH156-$AG156-$AF156-$AE156*(1+HM$3))/$AJ156,'Технический лист'!$A:$B,2,1),(HL156-0.05)))</f>
        <v/>
      </c>
      <c r="HN156" s="172">
        <f>MIN(1,MAX(VLOOKUP(($AJ156-$AI156-$AH156-$AG156-$AF156-$AE156*(1+HN$3))/$AJ156,'Технический лист'!$A:$B,2,1),(HM156-0.05)))</f>
        <v/>
      </c>
      <c r="HO156" s="172">
        <f>MIN(1,MAX(VLOOKUP(($AJ156-$AI156-$AH156-$AG156-$AF156-$AE156*(1+HO$3))/$AJ156,'Технический лист'!$A:$B,2,1),(HN156-0.05)))</f>
        <v/>
      </c>
      <c r="HP156" s="172">
        <f>MIN(1,MAX(VLOOKUP(($AJ156-$AI156-$AH156-$AG156-$AF156-$AE156*(1+HP$3))/$AJ156,'Технический лист'!$A:$B,2,1),(HO156-0.05)))</f>
        <v/>
      </c>
      <c r="HQ156" s="172">
        <f>MIN(1,MAX(VLOOKUP(($AJ156-$AI156-$AH156-$AG156-$AF156-$AE156*(1+HQ$3))/$AJ156,'Технический лист'!$A:$B,2,1),(HP156-0.05)))</f>
        <v/>
      </c>
      <c r="HR156" s="172">
        <f>MIN(1,MAX(VLOOKUP(($AJ156-$AI156-$AH156-$AG156-$AF156-$AE156*(1+HR$3))/$AJ156,'Технический лист'!$A:$B,2,1),(HQ156-0.05)))</f>
        <v/>
      </c>
      <c r="HS156" s="172">
        <f>MIN(1,MAX(VLOOKUP(($AJ156-$AI156-$AH156-$AG156-$AF156-$AE156*(1+HS$3))/$AJ156,'Технический лист'!$A:$B,2,1),(HR156-0.05)))</f>
        <v/>
      </c>
      <c r="HT156" s="172">
        <f>MIN(1,MAX(VLOOKUP(($AJ156-$AI156-$AH156-$AG156-$AF156-$AE156*(1+HT$3))/$AJ156,'Технический лист'!$A:$B,2,1),(HS156-0.05)))</f>
        <v/>
      </c>
      <c r="HU156" s="172">
        <f>MIN(1,MAX(VLOOKUP(($AJ156-$AI156-$AH156-$AG156-$AF156-$AE156*(1+HU$3))/$AJ156,'Технический лист'!$A:$B,2,1),(HT156-0.05)))</f>
        <v/>
      </c>
      <c r="HV156" s="172">
        <f>MIN(1,MAX(VLOOKUP(($AJ156-$AI156-$AH156-$AG156-$AF156-$AE156*(1+HV$3))/$AJ156,'Технический лист'!$A:$B,2,1),(HU156-0.05)))</f>
        <v/>
      </c>
      <c r="HW156" s="172">
        <f>MIN(1,MAX(VLOOKUP(($AJ156-$AI156-$AH156-$AG156-$AF156-$AE156*(1+HW$3))/$AJ156,'Технический лист'!$A:$B,2,1),(HV156-0.05)))</f>
        <v/>
      </c>
      <c r="HX156" s="172">
        <f>MIN(1,MAX(VLOOKUP(($AJ156-$AI156-$AH156-$AG156-$AF156-$AE156*(1+HX$3))/$AJ156,'Технический лист'!$A:$B,2,1),(HW156-0.05)))</f>
        <v/>
      </c>
      <c r="HY156" s="172">
        <f>MIN(1,MAX(VLOOKUP(($AJ156-$AI156-$AH156-$AG156-$AF156-$AE156*(1+HY$3))/$AJ156,'Технический лист'!$A:$B,2,1),(HX156-0.05)))</f>
        <v/>
      </c>
      <c r="HZ156" s="172">
        <f>MIN(1,MAX(VLOOKUP(($AJ156-$AI156-$AH156-$AG156-$AF156-$AE156*(1+HZ$3))/$AJ156,'Технический лист'!$A:$B,2,1),(HY156-0.05)))</f>
        <v/>
      </c>
      <c r="IA156" s="172">
        <f>MIN(1,MAX(VLOOKUP(($AJ156-$AI156-$AH156-$AG156-$AF156-$AE156*(1+IA$3))/$AJ156,'Технический лист'!$A:$B,2,1),(HZ156-0.05)))</f>
        <v/>
      </c>
      <c r="IB156" s="172">
        <f>MIN(1,MAX(VLOOKUP(($AJ156-$AI156-$AH156-$AG156-$AF156-$AE156*(1+IB$3))/$AJ156,'Технический лист'!$A:$B,2,1),(IA156-0.05)))</f>
        <v/>
      </c>
      <c r="IC156" s="172">
        <f>MIN(1,MAX(VLOOKUP(($AJ156-$AI156-$AH156-$AG156-$AF156-$AE156*(1+IC$3))/$AJ156,'Технический лист'!$A:$B,2,1),(IB156-0.05)))</f>
        <v/>
      </c>
      <c r="ID156" s="172">
        <f>MIN(1,MAX(VLOOKUP(($AJ156-$AI156-$AH156-$AG156-$AF156-$AE156*(1+ID$3))/$AJ156,'Технический лист'!$A:$B,2,1),(IC156-0.05)))</f>
        <v/>
      </c>
      <c r="IE156" s="172">
        <f>MIN(1,MAX(VLOOKUP(($AJ156-$AI156-$AH156-$AG156-$AF156-$AE156*(1+IE$3))/$AJ156,'Технический лист'!$A:$B,2,1),(ID156-0.05)))</f>
        <v/>
      </c>
      <c r="IF156" s="172">
        <f>MIN(1,MAX(VLOOKUP(($AJ156-$AI156-$AH156-$AG156-$AF156-$AE156*(1+IF$3))/$AJ156,'Технический лист'!$A:$B,2,1),(IE156-0.05)))</f>
        <v/>
      </c>
      <c r="IG156" s="172">
        <f>MIN(1,MAX(VLOOKUP(($AJ156-$AI156-$AH156-$AG156-$AF156-$AE156*(1+IG$3))/$AJ156,'Технический лист'!$A:$B,2,1),(IF156-0.05)))</f>
        <v/>
      </c>
      <c r="IH156" s="172">
        <f>MIN(1,MAX(VLOOKUP(($AJ156-$AI156-$AH156-$AG156-$AF156-$AE156*(1+IH$3))/$AJ156,'Технический лист'!$A:$B,2,1),(IG156-0.05)))</f>
        <v/>
      </c>
      <c r="II156" s="172">
        <f>MIN(1,MAX(VLOOKUP(($AJ156-$AI156-$AH156-$AG156-$AF156-$AE156*(1+II$3))/$AJ156,'Технический лист'!$A:$B,2,1),(IH156-0.05)))</f>
        <v/>
      </c>
      <c r="IJ156" s="172">
        <f>MIN(1,MAX(VLOOKUP(($AJ156-$AI156-$AH156-$AG156-$AF156-$AE156*(1+IJ$3))/$AJ156,'Технический лист'!$A:$B,2,1),(II156-0.05)))</f>
        <v/>
      </c>
      <c r="IK156" s="172">
        <f>MIN(1,MAX(VLOOKUP(($AJ156-$AI156-$AH156-$AG156-$AF156-$AE156*(1+IK$3))/$AJ156,'Технический лист'!$A:$B,2,1),(IJ156-0.05)))</f>
        <v/>
      </c>
      <c r="IL156" s="172">
        <f>MIN(1,MAX(VLOOKUP(($AJ156-$AI156-$AH156-$AG156-$AF156-$AE156*(1+IL$3))/$AJ156,'Технический лист'!$A:$B,2,1),(IK156-0.05)))</f>
        <v/>
      </c>
      <c r="IM156" s="172">
        <f>MIN(1,MAX(VLOOKUP(($AJ156-$AI156-$AH156-$AG156-$AF156-$AE156*(1+IM$3))/$AJ156,'Технический лист'!$A:$B,2,1),(IL156-0.05)))</f>
        <v/>
      </c>
      <c r="IN156" s="172">
        <f>MIN(1,MAX(VLOOKUP(($AJ156-$AI156-$AH156-$AG156-$AF156-$AE156*(1+IN$3))/$AJ156,'Технический лист'!$A:$B,2,1),(IM156-0.05)))</f>
        <v/>
      </c>
      <c r="IO156" s="172">
        <f>MIN(1,MAX(VLOOKUP(($AJ156-$AI156-$AH156-$AG156-$AF156-$AE156*(1+IO$3))/$AJ156,'Технический лист'!$A:$B,2,1),(IN156-0.05)))</f>
        <v/>
      </c>
      <c r="IP156" s="172">
        <f>MIN(1,MAX(VLOOKUP(($AJ156-$AI156-$AH156-$AG156-$AF156-$AE156*(1+IP$3))/$AJ156,'Технический лист'!$A:$B,2,1),(IO156-0.05)))</f>
        <v/>
      </c>
      <c r="IQ156" s="172">
        <f>MIN(1,MAX(VLOOKUP(($AJ156-$AI156-$AH156-$AG156-$AF156-$AE156*(1+IQ$3))/$AJ156,'Технический лист'!$A:$B,2,1),(IP156-0.05)))</f>
        <v/>
      </c>
      <c r="IR156" s="172">
        <f>MIN(1,MAX(VLOOKUP(($AJ156-$AI156-$AH156-$AG156-$AF156-$AE156*(1+IR$3))/$AJ156,'Технический лист'!$A:$B,2,1),(IQ156-0.05)))</f>
        <v/>
      </c>
    </row>
  </sheetData>
  <autoFilter ref="A3:XFD156"/>
  <mergeCells count="7">
    <mergeCell ref="AU2:AU3"/>
    <mergeCell ref="CX2:IR2"/>
    <mergeCell ref="X2:AB2"/>
    <mergeCell ref="IS1:IT1"/>
    <mergeCell ref="AV2:AY2"/>
    <mergeCell ref="A2:W2"/>
    <mergeCell ref="AC2:AS2"/>
  </mergeCells>
  <conditionalFormatting sqref="AS4:AS1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:EU156 EW4:IR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79:EU79 EW4:IR1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paperSize="9" scale="1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B4" sqref="B4"/>
    </sheetView>
  </sheetViews>
  <sheetFormatPr baseColWidth="8" defaultRowHeight="14.6"/>
  <sheetData>
    <row r="1">
      <c r="A1" t="inlineStr">
        <is>
          <t>Порт</t>
        </is>
      </c>
      <c r="B1" t="inlineStr">
        <is>
          <t>Ставка перепвалки угля, долл./т</t>
        </is>
      </c>
    </row>
    <row r="2">
      <c r="A2" t="inlineStr">
        <is>
          <t>Порты ДВ</t>
        </is>
      </c>
      <c r="B2" s="175" t="n">
        <v>10</v>
      </c>
    </row>
    <row r="3">
      <c r="A3" t="inlineStr">
        <is>
          <t>Тамань</t>
        </is>
      </c>
      <c r="B3" s="175" t="n">
        <v>13</v>
      </c>
    </row>
    <row r="4">
      <c r="A4" t="inlineStr">
        <is>
          <t>Усть-Луга</t>
        </is>
      </c>
      <c r="B4" s="175" t="n">
        <v>8</v>
      </c>
    </row>
    <row r="7">
      <c r="A7" t="inlineStr">
        <is>
          <t>Порт</t>
        </is>
      </c>
      <c r="B7" t="inlineStr">
        <is>
          <t>Ставка перепвалки металлов, долл./т</t>
        </is>
      </c>
    </row>
    <row r="8">
      <c r="A8" t="inlineStr">
        <is>
          <t>Порты ДВ</t>
        </is>
      </c>
      <c r="B8" s="175" t="n">
        <v>19</v>
      </c>
    </row>
    <row r="9">
      <c r="A9" t="inlineStr">
        <is>
          <t>Тамань</t>
        </is>
      </c>
      <c r="B9" s="175" t="n">
        <v>16</v>
      </c>
    </row>
    <row r="10">
      <c r="A10" t="inlineStr">
        <is>
          <t>Усть-Луга</t>
        </is>
      </c>
      <c r="B10" s="175" t="n">
        <v>10</v>
      </c>
    </row>
    <row r="12">
      <c r="A12" t="inlineStr">
        <is>
          <t>Порт</t>
        </is>
      </c>
      <c r="B12" t="inlineStr">
        <is>
          <t>Ставка перепвалки руды, руб./т</t>
        </is>
      </c>
    </row>
    <row r="13">
      <c r="A13" t="inlineStr">
        <is>
          <t>Все порты</t>
        </is>
      </c>
      <c r="B13" s="175" t="n">
        <v>1500</v>
      </c>
    </row>
    <row r="15">
      <c r="A15" t="inlineStr">
        <is>
          <t>Порт</t>
        </is>
      </c>
      <c r="B15" t="inlineStr">
        <is>
          <t>Ставка перепвалки контейнера, руб./конт.</t>
        </is>
      </c>
    </row>
    <row r="16">
      <c r="A16" t="inlineStr">
        <is>
          <t>Все порты</t>
        </is>
      </c>
      <c r="B16" s="175" t="n">
        <v>22500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B5" sqref="B5"/>
    </sheetView>
  </sheetViews>
  <sheetFormatPr baseColWidth="8" defaultRowHeight="14.6"/>
  <cols>
    <col width="17.69140625" customWidth="1" style="123" min="1" max="1"/>
  </cols>
  <sheetData>
    <row r="1">
      <c r="A1" t="inlineStr">
        <is>
          <t>Ти подвижного состава</t>
        </is>
      </c>
      <c r="B1" t="inlineStr">
        <is>
          <t>Ставка за вагон, руб./сутки</t>
        </is>
      </c>
    </row>
    <row r="2">
      <c r="A2" t="inlineStr">
        <is>
          <t>Полувагон 25 тс</t>
        </is>
      </c>
      <c r="B2" t="n">
        <v>1000</v>
      </c>
    </row>
    <row r="3">
      <c r="A3" t="inlineStr">
        <is>
          <t>Полувагон 23,5 тс</t>
        </is>
      </c>
      <c r="B3" t="n">
        <v>700</v>
      </c>
    </row>
    <row r="4">
      <c r="A4" t="inlineStr">
        <is>
          <t>Хоппер</t>
        </is>
      </c>
      <c r="B4" t="n">
        <v>2700</v>
      </c>
    </row>
    <row r="5">
      <c r="A5" t="inlineStr">
        <is>
          <t>Думпкар</t>
        </is>
      </c>
    </row>
    <row r="6">
      <c r="A6" t="inlineStr">
        <is>
          <t>Платформа 40 фт + 2 контейнера 20 фт</t>
        </is>
      </c>
      <c r="B6">
        <f>1100+250*2</f>
        <v/>
      </c>
    </row>
    <row r="7">
      <c r="A7" t="inlineStr">
        <is>
          <t>Платформа специализированная</t>
        </is>
      </c>
      <c r="B7" t="n">
        <v>1500</v>
      </c>
    </row>
    <row r="8">
      <c r="A8" t="inlineStr">
        <is>
          <t>Крытые</t>
        </is>
      </c>
      <c r="B8" t="n">
        <v>3000</v>
      </c>
    </row>
    <row r="9">
      <c r="A9" t="inlineStr">
        <is>
          <t>Думпкары</t>
        </is>
      </c>
      <c r="B9" t="n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workbookViewId="0">
      <selection activeCell="B2" sqref="B2"/>
    </sheetView>
  </sheetViews>
  <sheetFormatPr baseColWidth="8" defaultRowHeight="14.6"/>
  <cols>
    <col width="15.3046875" customWidth="1" style="123" min="1" max="1"/>
    <col width="32.3828125" customWidth="1" style="123" min="2" max="2"/>
    <col width="13.3828125" customWidth="1" style="123" min="3" max="3"/>
  </cols>
  <sheetData>
    <row r="1" ht="18.45" customHeight="1" s="123">
      <c r="A1" s="8" t="inlineStr">
        <is>
          <t>Валюта</t>
        </is>
      </c>
      <c r="B1" s="8" t="inlineStr">
        <is>
          <t>Средний курс с начала 2026</t>
        </is>
      </c>
      <c r="C1" s="51" t="inlineStr">
        <is>
          <t>https://ru.myfin.by/currency/cb-rf-archive/2026</t>
        </is>
      </c>
    </row>
    <row r="2">
      <c r="A2" s="52" t="inlineStr">
        <is>
          <t>Доллар США</t>
        </is>
      </c>
      <c r="B2" s="176">
        <f>AVERAGE(B4:B15)</f>
        <v/>
      </c>
      <c r="C2" s="10" t="n">
        <v>46196</v>
      </c>
    </row>
    <row r="4">
      <c r="A4" s="54" t="inlineStr">
        <is>
          <t>январь</t>
        </is>
      </c>
      <c r="B4" s="54" t="n">
        <v>77.56319999999999</v>
      </c>
    </row>
    <row r="5">
      <c r="A5" s="54" t="inlineStr">
        <is>
          <t>февраль</t>
        </is>
      </c>
      <c r="B5" s="54" t="n">
        <v>76.8516</v>
      </c>
    </row>
    <row r="6">
      <c r="A6" s="54" t="inlineStr">
        <is>
          <t>март</t>
        </is>
      </c>
      <c r="B6" s="54" t="n">
        <v>80.76130000000001</v>
      </c>
    </row>
    <row r="7">
      <c r="A7" s="54" t="inlineStr">
        <is>
          <t>апрель</t>
        </is>
      </c>
      <c r="B7" s="54" t="n">
        <v>76.938</v>
      </c>
    </row>
    <row r="8">
      <c r="A8" s="54" t="inlineStr">
        <is>
          <t>май</t>
        </is>
      </c>
      <c r="B8" s="54" t="n">
        <v>73.0069</v>
      </c>
    </row>
    <row r="9">
      <c r="A9" s="54" t="inlineStr">
        <is>
          <t>июнь</t>
        </is>
      </c>
      <c r="B9" s="54" t="n">
        <v>72.712</v>
      </c>
    </row>
    <row r="10">
      <c r="A10" s="54" t="inlineStr">
        <is>
          <t>июль</t>
        </is>
      </c>
      <c r="B10" s="54" t="n"/>
    </row>
    <row r="11">
      <c r="A11" s="54" t="inlineStr">
        <is>
          <t>август</t>
        </is>
      </c>
      <c r="B11" s="55" t="n"/>
      <c r="C11" s="177" t="n"/>
    </row>
    <row r="12">
      <c r="A12" s="54" t="inlineStr">
        <is>
          <t>сентябрь</t>
        </is>
      </c>
      <c r="B12" s="55" t="n"/>
      <c r="C12" s="177" t="n"/>
    </row>
    <row r="13">
      <c r="A13" s="54" t="inlineStr">
        <is>
          <t>октябрь</t>
        </is>
      </c>
      <c r="B13" s="55" t="n"/>
      <c r="C13" s="177" t="n"/>
    </row>
    <row r="14">
      <c r="A14" s="54" t="inlineStr">
        <is>
          <t>ноябрь</t>
        </is>
      </c>
      <c r="B14" s="55" t="n"/>
      <c r="C14" s="177" t="n"/>
    </row>
    <row r="15">
      <c r="A15" s="54" t="inlineStr">
        <is>
          <t>декабрь</t>
        </is>
      </c>
      <c r="B15" s="55" t="n"/>
      <c r="C15" s="177" t="n"/>
    </row>
    <row r="16">
      <c r="A16" s="9" t="n"/>
      <c r="B16" s="10" t="n"/>
      <c r="C16" s="177" t="n"/>
    </row>
    <row r="17">
      <c r="A17" s="9" t="n"/>
      <c r="B17" s="10" t="n"/>
      <c r="C17" s="177" t="n"/>
    </row>
    <row r="18">
      <c r="A18" s="9" t="n"/>
      <c r="B18" s="10" t="n"/>
      <c r="C18" s="177" t="n"/>
    </row>
    <row r="19">
      <c r="A19" s="9" t="n"/>
      <c r="B19" s="10" t="n"/>
      <c r="C19" s="177" t="n"/>
    </row>
    <row r="20">
      <c r="A20" s="9" t="n"/>
      <c r="B20" s="10" t="n"/>
      <c r="C20" s="177" t="n"/>
    </row>
    <row r="21">
      <c r="A21" s="9" t="n"/>
      <c r="B21" s="10" t="n"/>
      <c r="C21" s="177" t="n"/>
    </row>
    <row r="22">
      <c r="A22" s="9" t="n"/>
      <c r="B22" s="10" t="n"/>
      <c r="C22" s="177" t="n"/>
    </row>
    <row r="23">
      <c r="A23" s="9" t="n"/>
      <c r="B23" s="10" t="n"/>
      <c r="C23" s="177" t="n"/>
    </row>
    <row r="24">
      <c r="A24" s="9" t="n"/>
      <c r="B24" s="10" t="n"/>
      <c r="C24" s="177" t="n"/>
    </row>
    <row r="25">
      <c r="A25" s="9" t="n"/>
      <c r="B25" s="10" t="n"/>
      <c r="C25" s="177" t="n"/>
    </row>
    <row r="26">
      <c r="A26" s="9" t="n"/>
      <c r="B26" s="10" t="n"/>
      <c r="C26" s="177" t="n"/>
    </row>
    <row r="27">
      <c r="A27" s="9" t="n"/>
      <c r="B27" s="10" t="n"/>
      <c r="C27" s="177" t="n"/>
    </row>
    <row r="28">
      <c r="A28" s="9" t="n"/>
      <c r="B28" s="10" t="n"/>
      <c r="C28" s="177" t="n"/>
    </row>
    <row r="29">
      <c r="A29" s="9" t="n"/>
      <c r="B29" s="10" t="n"/>
      <c r="C29" s="177" t="n"/>
    </row>
    <row r="30">
      <c r="A30" s="9" t="n"/>
      <c r="B30" s="10" t="n"/>
      <c r="C30" s="177" t="n"/>
    </row>
    <row r="31">
      <c r="A31" s="9" t="n"/>
      <c r="B31" s="10" t="n"/>
      <c r="C31" s="177" t="n"/>
    </row>
    <row r="32">
      <c r="A32" s="9" t="n"/>
      <c r="B32" s="10" t="n"/>
      <c r="C32" s="177" t="n"/>
    </row>
    <row r="33">
      <c r="A33" s="9" t="n"/>
      <c r="B33" s="10" t="n"/>
      <c r="C33" s="177" t="n"/>
    </row>
    <row r="34">
      <c r="A34" s="9" t="n"/>
      <c r="B34" s="10" t="n"/>
      <c r="C34" s="177" t="n"/>
    </row>
    <row r="35">
      <c r="A35" s="9" t="n"/>
      <c r="B35" s="10" t="n"/>
      <c r="C35" s="177" t="n"/>
    </row>
    <row r="36">
      <c r="A36" s="9" t="n"/>
      <c r="B36" s="10" t="n"/>
      <c r="C36" s="177" t="n"/>
    </row>
    <row r="37">
      <c r="A37" s="9" t="n"/>
      <c r="B37" s="10" t="n"/>
      <c r="C37" s="177" t="n"/>
    </row>
    <row r="38">
      <c r="A38" s="9" t="n"/>
      <c r="B38" s="10" t="n"/>
      <c r="C38" s="177" t="n"/>
    </row>
    <row r="39">
      <c r="A39" s="9" t="n"/>
      <c r="B39" s="10" t="n"/>
      <c r="C39" s="177" t="n"/>
    </row>
    <row r="40">
      <c r="A40" s="9" t="n"/>
      <c r="B40" s="10" t="n"/>
      <c r="C40" s="177" t="n"/>
    </row>
    <row r="41">
      <c r="A41" s="9" t="n"/>
      <c r="B41" s="10" t="n"/>
      <c r="C41" s="177" t="n"/>
    </row>
    <row r="42">
      <c r="A42" s="9" t="n"/>
      <c r="B42" s="10" t="n"/>
      <c r="C42" s="177" t="n"/>
    </row>
    <row r="43">
      <c r="A43" s="9" t="n"/>
      <c r="B43" s="10" t="n"/>
      <c r="C43" s="177" t="n"/>
    </row>
    <row r="44">
      <c r="A44" s="9" t="n"/>
      <c r="B44" s="10" t="n"/>
      <c r="C44" s="177" t="n"/>
    </row>
    <row r="45">
      <c r="A45" s="9" t="n"/>
      <c r="B45" s="10" t="n"/>
      <c r="C45" s="177" t="n"/>
    </row>
    <row r="46">
      <c r="A46" s="9" t="n"/>
      <c r="B46" s="10" t="n"/>
      <c r="C46" s="177" t="n"/>
    </row>
    <row r="47">
      <c r="A47" s="9" t="n"/>
      <c r="B47" s="10" t="n"/>
      <c r="C47" s="177" t="n"/>
    </row>
    <row r="48">
      <c r="A48" s="9" t="n"/>
      <c r="B48" s="10" t="n"/>
      <c r="C48" s="177" t="n"/>
    </row>
    <row r="49">
      <c r="A49" s="9" t="n"/>
      <c r="B49" s="10" t="n"/>
      <c r="C49" s="177" t="n"/>
    </row>
    <row r="50">
      <c r="A50" s="9" t="n"/>
      <c r="B50" s="10" t="n"/>
      <c r="C50" s="177" t="n"/>
    </row>
    <row r="51">
      <c r="A51" s="9" t="n"/>
      <c r="B51" s="10" t="n"/>
      <c r="C51" s="177" t="n"/>
    </row>
    <row r="52">
      <c r="A52" s="9" t="n"/>
      <c r="B52" s="10" t="n"/>
      <c r="C52" s="177" t="n"/>
    </row>
    <row r="53">
      <c r="A53" s="9" t="n"/>
      <c r="B53" s="10" t="n"/>
      <c r="C53" s="177" t="n"/>
    </row>
    <row r="54">
      <c r="A54" s="9" t="n"/>
      <c r="B54" s="10" t="n"/>
      <c r="C54" s="177" t="n"/>
    </row>
    <row r="55">
      <c r="A55" s="9" t="n"/>
      <c r="B55" s="10" t="n"/>
      <c r="C55" s="177" t="n"/>
    </row>
    <row r="56">
      <c r="A56" s="9" t="n"/>
      <c r="B56" s="10" t="n"/>
      <c r="C56" s="177" t="n"/>
    </row>
    <row r="57">
      <c r="A57" s="9" t="n"/>
      <c r="B57" s="10" t="n"/>
      <c r="C57" s="177" t="n"/>
    </row>
    <row r="58">
      <c r="A58" s="9" t="n"/>
      <c r="B58" s="10" t="n"/>
      <c r="C58" s="177" t="n"/>
    </row>
    <row r="59">
      <c r="A59" s="9" t="n"/>
      <c r="B59" s="10" t="n"/>
      <c r="C59" s="177" t="n"/>
    </row>
    <row r="60">
      <c r="A60" s="9" t="n"/>
      <c r="B60" s="10" t="n"/>
      <c r="C60" s="177" t="n"/>
    </row>
    <row r="61">
      <c r="A61" s="9" t="n"/>
      <c r="B61" s="10" t="n"/>
      <c r="C61" s="177" t="n"/>
    </row>
    <row r="62">
      <c r="A62" s="9" t="n"/>
      <c r="B62" s="10" t="n"/>
      <c r="C62" s="177" t="n"/>
    </row>
    <row r="63">
      <c r="A63" s="9" t="n"/>
      <c r="B63" s="10" t="n"/>
      <c r="C63" s="177" t="n"/>
    </row>
    <row r="64">
      <c r="A64" s="9" t="n"/>
      <c r="B64" s="10" t="n"/>
      <c r="C64" s="177" t="n"/>
    </row>
    <row r="65">
      <c r="A65" s="9" t="n"/>
      <c r="B65" s="10" t="n"/>
      <c r="C65" s="177" t="n"/>
    </row>
    <row r="66">
      <c r="A66" s="9" t="n"/>
      <c r="B66" s="10" t="n"/>
      <c r="C66" s="177" t="n"/>
    </row>
    <row r="67">
      <c r="A67" s="9" t="n"/>
      <c r="B67" s="10" t="n"/>
      <c r="C67" s="177" t="n"/>
    </row>
    <row r="68">
      <c r="A68" s="9" t="n"/>
      <c r="B68" s="10" t="n"/>
      <c r="C68" s="177" t="n"/>
    </row>
    <row r="69">
      <c r="A69" s="9" t="n"/>
      <c r="B69" s="10" t="n"/>
      <c r="C69" s="177" t="n"/>
    </row>
    <row r="70">
      <c r="A70" s="9" t="n"/>
      <c r="B70" s="10" t="n"/>
      <c r="C70" s="177" t="n"/>
    </row>
    <row r="71">
      <c r="A71" s="9" t="n"/>
      <c r="B71" s="10" t="n"/>
      <c r="C71" s="177" t="n"/>
    </row>
    <row r="72">
      <c r="A72" s="9" t="n"/>
      <c r="B72" s="10" t="n"/>
      <c r="C72" s="177" t="n"/>
    </row>
    <row r="73">
      <c r="A73" s="9" t="n"/>
      <c r="B73" s="10" t="n"/>
      <c r="C73" s="177" t="n"/>
    </row>
    <row r="74">
      <c r="A74" s="9" t="n"/>
      <c r="B74" s="10" t="n"/>
      <c r="C74" s="177" t="n"/>
    </row>
    <row r="75">
      <c r="A75" s="9" t="n"/>
      <c r="B75" s="10" t="n"/>
      <c r="C75" s="177" t="n"/>
    </row>
    <row r="76">
      <c r="A76" s="9" t="n"/>
      <c r="B76" s="10" t="n"/>
      <c r="C76" s="177" t="n"/>
    </row>
    <row r="77">
      <c r="A77" s="9" t="n"/>
      <c r="B77" s="10" t="n"/>
      <c r="C77" s="177" t="n"/>
    </row>
    <row r="78">
      <c r="A78" s="9" t="n"/>
      <c r="B78" s="10" t="n"/>
      <c r="C78" s="177" t="n"/>
    </row>
    <row r="79">
      <c r="A79" s="9" t="n"/>
      <c r="B79" s="10" t="n"/>
      <c r="C79" s="177" t="n"/>
    </row>
    <row r="80">
      <c r="A80" s="9" t="n"/>
      <c r="B80" s="10" t="n"/>
      <c r="C80" s="177" t="n"/>
    </row>
    <row r="81">
      <c r="A81" s="9" t="n"/>
      <c r="B81" s="10" t="n"/>
      <c r="C81" s="177" t="n"/>
    </row>
    <row r="82">
      <c r="A82" s="9" t="n"/>
      <c r="B82" s="10" t="n"/>
      <c r="C82" s="177" t="n"/>
    </row>
    <row r="83">
      <c r="A83" s="9" t="n"/>
      <c r="B83" s="10" t="n"/>
      <c r="C83" s="177" t="n"/>
    </row>
    <row r="84">
      <c r="A84" s="9" t="n"/>
      <c r="B84" s="10" t="n"/>
      <c r="C84" s="177" t="n"/>
    </row>
    <row r="85">
      <c r="A85" s="9" t="n"/>
      <c r="B85" s="10" t="n"/>
      <c r="C85" s="177" t="n"/>
    </row>
    <row r="86">
      <c r="A86" s="9" t="n"/>
      <c r="B86" s="10" t="n"/>
      <c r="C86" s="177" t="n"/>
    </row>
    <row r="87">
      <c r="A87" s="9" t="n"/>
      <c r="B87" s="10" t="n"/>
      <c r="C87" s="177" t="n"/>
    </row>
    <row r="88">
      <c r="A88" s="9" t="n"/>
      <c r="B88" s="10" t="n"/>
      <c r="C88" s="177" t="n"/>
    </row>
    <row r="89">
      <c r="A89" s="9" t="n"/>
      <c r="B89" s="10" t="n"/>
      <c r="C89" s="177" t="n"/>
    </row>
    <row r="90">
      <c r="A90" s="9" t="n"/>
      <c r="B90" s="10" t="n"/>
      <c r="C90" s="177" t="n"/>
    </row>
    <row r="91">
      <c r="A91" s="9" t="n"/>
      <c r="B91" s="10" t="n"/>
      <c r="C91" s="177" t="n"/>
    </row>
    <row r="92">
      <c r="A92" s="9" t="n"/>
      <c r="B92" s="10" t="n"/>
      <c r="C92" s="177" t="n"/>
    </row>
    <row r="93">
      <c r="A93" s="9" t="n"/>
      <c r="B93" s="10" t="n"/>
      <c r="C93" s="177" t="n"/>
    </row>
    <row r="94">
      <c r="A94" s="9" t="n"/>
      <c r="B94" s="10" t="n"/>
      <c r="C94" s="177" t="n"/>
    </row>
    <row r="95">
      <c r="A95" s="9" t="n"/>
      <c r="B95" s="10" t="n"/>
      <c r="C95" s="177" t="n"/>
    </row>
    <row r="96">
      <c r="A96" s="9" t="n"/>
      <c r="B96" s="10" t="n"/>
      <c r="C96" s="177" t="n"/>
    </row>
    <row r="97">
      <c r="A97" s="9" t="n"/>
      <c r="B97" s="10" t="n"/>
      <c r="C97" s="177" t="n"/>
    </row>
    <row r="98">
      <c r="A98" s="9" t="n"/>
      <c r="B98" s="10" t="n"/>
      <c r="C98" s="177" t="n"/>
    </row>
    <row r="99">
      <c r="A99" s="9" t="n"/>
      <c r="B99" s="10" t="n"/>
      <c r="C99" s="177" t="n"/>
    </row>
    <row r="100">
      <c r="A100" s="9" t="n"/>
      <c r="B100" s="10" t="n"/>
      <c r="C100" s="177" t="n"/>
    </row>
    <row r="101">
      <c r="A101" s="9" t="n"/>
      <c r="B101" s="10" t="n"/>
      <c r="C101" s="177" t="n"/>
    </row>
    <row r="102">
      <c r="A102" s="9" t="n"/>
      <c r="B102" s="10" t="n"/>
      <c r="C102" s="177" t="n"/>
    </row>
    <row r="103">
      <c r="A103" s="9" t="n"/>
      <c r="B103" s="10" t="n"/>
      <c r="C103" s="177" t="n"/>
    </row>
  </sheetData>
  <hyperlinks>
    <hyperlink xmlns:r="http://schemas.openxmlformats.org/officeDocument/2006/relationships" ref="C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zoomScale="115" zoomScaleNormal="115" workbookViewId="0">
      <selection activeCell="A13" sqref="A13:G13"/>
    </sheetView>
  </sheetViews>
  <sheetFormatPr baseColWidth="8" defaultRowHeight="14.6"/>
  <cols>
    <col width="33.921875" customWidth="1" style="123" min="1" max="1"/>
    <col width="13.84375" customWidth="1" style="123" min="2" max="2"/>
    <col width="13.84375" customWidth="1" style="123" min="3" max="3"/>
    <col width="12.53515625" customWidth="1" style="123" min="4" max="4"/>
    <col width="15.15234375" customWidth="1" style="123" min="5" max="5"/>
    <col width="11.23046875" customWidth="1" style="123" min="6" max="6"/>
  </cols>
  <sheetData>
    <row r="1" s="123">
      <c r="A1" s="49" t="inlineStr">
        <is>
          <t>Курс доллара</t>
        </is>
      </c>
      <c r="B1" s="49">
        <f>'Курсы валют'!B2</f>
        <v/>
      </c>
      <c r="C1" s="49" t="n"/>
    </row>
    <row r="2" s="123"/>
    <row r="3" s="123"/>
    <row r="4">
      <c r="A4" t="inlineStr">
        <is>
          <t>Груз</t>
        </is>
      </c>
      <c r="B4" t="inlineStr">
        <is>
          <t xml:space="preserve">Вид перевозки </t>
        </is>
      </c>
      <c r="C4" s="8" t="inlineStr">
        <is>
          <t>Цена $/т</t>
        </is>
      </c>
      <c r="D4" t="inlineStr">
        <is>
          <t>Цена руб/т</t>
        </is>
      </c>
      <c r="E4" t="inlineStr">
        <is>
          <t>Источник</t>
        </is>
      </c>
    </row>
    <row r="5">
      <c r="A5" s="47" t="inlineStr">
        <is>
          <t>Заготовка стальная квадратная</t>
        </is>
      </c>
      <c r="B5" s="47" t="inlineStr">
        <is>
          <t>Экспорт</t>
        </is>
      </c>
      <c r="C5" s="47" t="n">
        <v>470</v>
      </c>
      <c r="D5" s="47" t="n"/>
      <c r="E5" s="47" t="inlineStr">
        <is>
          <t xml:space="preserve">Дайджест ЦФТО </t>
        </is>
      </c>
      <c r="F5" s="48" t="n">
        <v>46206</v>
      </c>
      <c r="G5" s="47" t="inlineStr">
        <is>
          <t>FOB Черное море</t>
        </is>
      </c>
    </row>
    <row r="6">
      <c r="A6" t="inlineStr">
        <is>
          <t>Слябы</t>
        </is>
      </c>
      <c r="B6" t="inlineStr">
        <is>
          <t>Экспорт</t>
        </is>
      </c>
      <c r="C6" t="n">
        <v>440</v>
      </c>
      <c r="E6" t="inlineStr">
        <is>
          <t>ФАС/ЕВРАЗ</t>
        </is>
      </c>
    </row>
    <row r="7">
      <c r="A7" t="inlineStr">
        <is>
          <t>Лом черных металлов</t>
        </is>
      </c>
      <c r="B7" t="inlineStr">
        <is>
          <t>Экспорт</t>
        </is>
      </c>
      <c r="D7" t="n">
        <v>22500</v>
      </c>
      <c r="E7" t="inlineStr">
        <is>
          <t>ФАС/Обзоры рынков</t>
        </is>
      </c>
    </row>
    <row r="8">
      <c r="A8" t="inlineStr">
        <is>
          <t>Кокс металлургический</t>
        </is>
      </c>
      <c r="B8" t="inlineStr">
        <is>
          <t>Экспорт</t>
        </is>
      </c>
      <c r="C8" t="n">
        <v>207</v>
      </c>
      <c r="E8" t="inlineStr">
        <is>
          <t>Металторг</t>
        </is>
      </c>
    </row>
    <row r="9">
      <c r="A9" t="inlineStr">
        <is>
          <t>Кокс металлургический</t>
        </is>
      </c>
      <c r="B9" t="inlineStr">
        <is>
          <t>Внутренние</t>
        </is>
      </c>
      <c r="D9" t="n">
        <v>17000</v>
      </c>
      <c r="E9" t="inlineStr">
        <is>
          <t>ЕМИСС</t>
        </is>
      </c>
    </row>
    <row r="10">
      <c r="A10" t="inlineStr">
        <is>
          <t xml:space="preserve">Лом черных металлов </t>
        </is>
      </c>
      <c r="B10" t="inlineStr">
        <is>
          <t>Внутренние</t>
        </is>
      </c>
      <c r="D10" t="n">
        <v>18000</v>
      </c>
      <c r="E10" t="inlineStr">
        <is>
          <t>ФАС/Обзоры рынков</t>
        </is>
      </c>
    </row>
    <row r="11">
      <c r="A11" s="50" t="inlineStr">
        <is>
          <t>Заготовка стальная</t>
        </is>
      </c>
      <c r="B11" s="50" t="inlineStr">
        <is>
          <t>Внутренние</t>
        </is>
      </c>
      <c r="C11" s="50" t="n"/>
      <c r="D11" s="50" t="n">
        <v>62000</v>
      </c>
      <c r="E11" s="50" t="inlineStr">
        <is>
          <t xml:space="preserve">Дайджест ЦФТО </t>
        </is>
      </c>
      <c r="F11" s="58" t="n">
        <v>46206</v>
      </c>
      <c r="G11" s="50" t="n"/>
    </row>
    <row r="12">
      <c r="A12" s="50" t="inlineStr">
        <is>
          <t>Окатыши жезезорудные</t>
        </is>
      </c>
      <c r="B12" s="50" t="inlineStr">
        <is>
          <t>Внутренние</t>
        </is>
      </c>
      <c r="C12" s="50" t="n"/>
      <c r="D12" s="50" t="n">
        <v>6000</v>
      </c>
      <c r="E12" s="50" t="inlineStr">
        <is>
          <t xml:space="preserve">Дайджест ЦФТО </t>
        </is>
      </c>
      <c r="F12" s="58" t="n">
        <v>46206</v>
      </c>
      <c r="G12" s="50" t="inlineStr">
        <is>
          <t>FCA</t>
        </is>
      </c>
    </row>
    <row r="13" s="123">
      <c r="A13" s="47" t="inlineStr">
        <is>
          <t>Окатыши жезезорудные</t>
        </is>
      </c>
      <c r="B13" s="47" t="inlineStr">
        <is>
          <t>Экспорт</t>
        </is>
      </c>
      <c r="C13" s="47" t="n">
        <v>103</v>
      </c>
      <c r="D13" s="56">
        <f>$C$13*$B$1</f>
        <v/>
      </c>
      <c r="E13" s="47" t="inlineStr">
        <is>
          <t xml:space="preserve">Дайджест ЦФТО </t>
        </is>
      </c>
      <c r="F13" s="48" t="n">
        <v>46206</v>
      </c>
      <c r="G13" s="47" t="inlineStr">
        <is>
          <t>DAP Забайкальск-Манжули</t>
        </is>
      </c>
    </row>
    <row r="14">
      <c r="A14" s="50" t="inlineStr">
        <is>
          <t xml:space="preserve">Концентрат железорудный (гематит) </t>
        </is>
      </c>
      <c r="B14" s="50" t="inlineStr">
        <is>
          <t>Внутренние</t>
        </is>
      </c>
      <c r="C14" s="50" t="n"/>
      <c r="D14" s="50" t="n">
        <v>5400</v>
      </c>
      <c r="E14" s="50" t="inlineStr">
        <is>
          <t xml:space="preserve">Дайджест ЦФТО </t>
        </is>
      </c>
      <c r="F14" s="58" t="n">
        <v>46206</v>
      </c>
      <c r="G14" s="50" t="inlineStr">
        <is>
          <t>FCA</t>
        </is>
      </c>
    </row>
    <row r="15" s="123">
      <c r="A15" s="47" t="inlineStr">
        <is>
          <t xml:space="preserve">Концентрат железорудный (гематит) </t>
        </is>
      </c>
      <c r="B15" s="47" t="inlineStr">
        <is>
          <t>Экспорт</t>
        </is>
      </c>
      <c r="C15" s="47" t="n">
        <v>80</v>
      </c>
      <c r="D15" s="47" t="n"/>
      <c r="E15" s="47" t="inlineStr">
        <is>
          <t xml:space="preserve">Дайджест ЦФТО </t>
        </is>
      </c>
      <c r="F15" s="48" t="n">
        <v>46206</v>
      </c>
      <c r="G15" s="47" t="inlineStr">
        <is>
          <t>DAP Забайкальск-Манжули</t>
        </is>
      </c>
    </row>
    <row r="16">
      <c r="A16" s="50" t="inlineStr">
        <is>
          <t>Сталь листовая</t>
        </is>
      </c>
      <c r="B16" s="50" t="inlineStr">
        <is>
          <t>Внутренние</t>
        </is>
      </c>
      <c r="C16" s="50" t="n"/>
      <c r="D16" s="50" t="n">
        <v>48600</v>
      </c>
      <c r="E16" s="50" t="inlineStr">
        <is>
          <t xml:space="preserve">Дайджест ЦФТО </t>
        </is>
      </c>
      <c r="F16" s="58" t="n">
        <v>46206</v>
      </c>
      <c r="G16" s="50" t="n"/>
    </row>
    <row r="17" s="123">
      <c r="A17" s="47" t="inlineStr">
        <is>
          <t>Сталь листовая</t>
        </is>
      </c>
      <c r="B17" s="47" t="inlineStr">
        <is>
          <t>Экспорт</t>
        </is>
      </c>
      <c r="C17" s="47" t="n">
        <v>520</v>
      </c>
      <c r="D17" s="47" t="n"/>
      <c r="E17" s="47" t="inlineStr">
        <is>
          <t xml:space="preserve">Дайджест ЦФТО </t>
        </is>
      </c>
      <c r="F17" s="48" t="n">
        <v>46206</v>
      </c>
      <c r="G17" s="47" t="inlineStr">
        <is>
          <t>FOB Черное море</t>
        </is>
      </c>
    </row>
    <row r="18">
      <c r="A18" t="inlineStr">
        <is>
          <t>Рельсы</t>
        </is>
      </c>
      <c r="B18" t="inlineStr">
        <is>
          <t>Внутренние</t>
        </is>
      </c>
      <c r="D18" t="n">
        <v>82500</v>
      </c>
      <c r="E18" t="inlineStr">
        <is>
          <t>ЕМИСС</t>
        </is>
      </c>
    </row>
    <row r="19">
      <c r="A19" t="inlineStr">
        <is>
          <t>Алюминий</t>
        </is>
      </c>
      <c r="B19" t="inlineStr">
        <is>
          <t>Внутренние</t>
        </is>
      </c>
      <c r="D19" t="n">
        <v>280000</v>
      </c>
      <c r="E19" t="inlineStr">
        <is>
          <t>Русал</t>
        </is>
      </c>
    </row>
    <row r="20" s="123">
      <c r="A20" s="47" t="inlineStr">
        <is>
          <t>Алюминий</t>
        </is>
      </c>
      <c r="B20" s="47" t="inlineStr">
        <is>
          <t>Экспорт</t>
        </is>
      </c>
      <c r="C20" s="47" t="n">
        <v>3085</v>
      </c>
      <c r="D20" s="47" t="n"/>
      <c r="E20" s="47" t="inlineStr">
        <is>
          <t xml:space="preserve">Дайджест ЦФТО </t>
        </is>
      </c>
      <c r="F20" s="48" t="n">
        <v>46206</v>
      </c>
      <c r="G20" s="47" t="inlineStr">
        <is>
          <t>LME</t>
        </is>
      </c>
    </row>
    <row r="21">
      <c r="A21" t="inlineStr">
        <is>
          <t>Глинозем</t>
        </is>
      </c>
      <c r="B21" t="inlineStr">
        <is>
          <t>Внутренние</t>
        </is>
      </c>
      <c r="D21" t="n">
        <v>58000</v>
      </c>
      <c r="E21" t="inlineStr">
        <is>
          <t>Русал</t>
        </is>
      </c>
    </row>
    <row r="22">
      <c r="A22" t="inlineStr">
        <is>
          <t>Руда железорудная, аглоруда</t>
        </is>
      </c>
      <c r="B22" t="inlineStr">
        <is>
          <t>Внутренние</t>
        </is>
      </c>
      <c r="D22" t="n">
        <v>5200</v>
      </c>
      <c r="E22" t="inlineStr">
        <is>
          <t>ЕМИСС</t>
        </is>
      </c>
    </row>
    <row r="23">
      <c r="A23" t="inlineStr">
        <is>
          <t>Прокат сортовой стальной</t>
        </is>
      </c>
      <c r="B23" t="inlineStr">
        <is>
          <t>Внутренние</t>
        </is>
      </c>
      <c r="D23" t="n">
        <v>35000</v>
      </c>
      <c r="E23" t="inlineStr">
        <is>
          <t>ЕМИСС</t>
        </is>
      </c>
    </row>
    <row r="24" s="123">
      <c r="A24" t="inlineStr">
        <is>
          <t>Прокат черных металлов</t>
        </is>
      </c>
      <c r="B24" t="inlineStr">
        <is>
          <t>Экспорт</t>
        </is>
      </c>
      <c r="C24" t="n">
        <v>490</v>
      </c>
      <c r="E24" t="inlineStr">
        <is>
          <t>Металторг</t>
        </is>
      </c>
    </row>
    <row r="25">
      <c r="A25" t="inlineStr">
        <is>
          <t>Колеса цельнокатаные</t>
        </is>
      </c>
      <c r="B25" t="inlineStr">
        <is>
          <t>Внутренние</t>
        </is>
      </c>
      <c r="D25" t="n">
        <v>180000</v>
      </c>
      <c r="E25" t="inlineStr">
        <is>
          <t>ЕМИСС</t>
        </is>
      </c>
    </row>
    <row r="26">
      <c r="A26" t="inlineStr">
        <is>
          <t>Штрипс - заготовка трубная</t>
        </is>
      </c>
      <c r="B26" t="inlineStr">
        <is>
          <t>Внутренние</t>
        </is>
      </c>
      <c r="D26" t="n">
        <v>54500</v>
      </c>
      <c r="E26" t="inlineStr">
        <is>
          <t>ЕМИСС</t>
        </is>
      </c>
    </row>
    <row r="27">
      <c r="A27" t="inlineStr">
        <is>
          <t>Бокситы</t>
        </is>
      </c>
      <c r="B27" t="inlineStr">
        <is>
          <t>Нетоварная продукция (экспертно)</t>
        </is>
      </c>
      <c r="D27" t="n">
        <v>16000</v>
      </c>
      <c r="E27" t="inlineStr">
        <is>
          <t>-</t>
        </is>
      </c>
    </row>
    <row r="28">
      <c r="A28" t="inlineStr">
        <is>
          <t>Трубы</t>
        </is>
      </c>
      <c r="D28" t="n">
        <v>72000</v>
      </c>
      <c r="E28" t="inlineStr">
        <is>
          <t>ЕМИСС</t>
        </is>
      </c>
    </row>
    <row r="29">
      <c r="A29" t="inlineStr">
        <is>
          <t>Медь</t>
        </is>
      </c>
      <c r="C29" t="n">
        <v>13370</v>
      </c>
      <c r="E29" t="inlineStr">
        <is>
          <t>Норникель</t>
        </is>
      </c>
    </row>
    <row r="30">
      <c r="A30" t="inlineStr">
        <is>
          <t>Концентрат  медный</t>
        </is>
      </c>
      <c r="C30" t="n">
        <v>2000</v>
      </c>
      <c r="E30" t="inlineStr">
        <is>
          <t>Экспертно</t>
        </is>
      </c>
    </row>
    <row r="31">
      <c r="A31" t="inlineStr">
        <is>
          <t>Лом цветных металлов</t>
        </is>
      </c>
      <c r="B31" t="inlineStr">
        <is>
          <t>Большой диапазон в зависимости от металла и категории</t>
        </is>
      </c>
      <c r="D31" t="n">
        <v>300000</v>
      </c>
      <c r="E31" t="inlineStr">
        <is>
          <t>Экспертно</t>
        </is>
      </c>
    </row>
    <row r="32">
      <c r="A32" t="inlineStr">
        <is>
          <t>Сплавы цветных металлов</t>
        </is>
      </c>
      <c r="B32" t="inlineStr">
        <is>
          <t>Большой диапазон в зависимости от металла и категории</t>
        </is>
      </c>
      <c r="D32" t="n">
        <v>500000</v>
      </c>
      <c r="E32" t="inlineStr">
        <is>
          <t>Экспертно</t>
        </is>
      </c>
    </row>
    <row r="33">
      <c r="A33" s="57" t="inlineStr">
        <is>
          <t xml:space="preserve">Концентраты марганцевой руды </t>
        </is>
      </c>
      <c r="C33" t="n">
        <v>200</v>
      </c>
      <c r="E33" t="inlineStr">
        <is>
          <t>Экспертно</t>
        </is>
      </c>
    </row>
    <row r="34">
      <c r="A34" t="inlineStr">
        <is>
          <t>Никель</t>
        </is>
      </c>
      <c r="C34" t="n">
        <v>18000</v>
      </c>
      <c r="E34" t="inlineStr">
        <is>
          <t>Норникель</t>
        </is>
      </c>
    </row>
    <row r="35">
      <c r="A35" t="inlineStr">
        <is>
          <t>Свинец</t>
        </is>
      </c>
      <c r="C35" t="n">
        <v>2000</v>
      </c>
      <c r="E35" t="inlineStr">
        <is>
          <t>Норникель</t>
        </is>
      </c>
    </row>
    <row r="36">
      <c r="A36" t="inlineStr">
        <is>
          <t>Цинк</t>
        </is>
      </c>
      <c r="C36" t="n">
        <v>3500</v>
      </c>
      <c r="E36" t="inlineStr">
        <is>
          <t>Норникель</t>
        </is>
      </c>
    </row>
    <row r="37">
      <c r="A37" s="47" t="inlineStr">
        <is>
          <t>Чугун</t>
        </is>
      </c>
      <c r="B37" s="47" t="inlineStr">
        <is>
          <t>Экспорт</t>
        </is>
      </c>
      <c r="C37" s="47" t="n">
        <v>355</v>
      </c>
      <c r="D37" s="47" t="n"/>
      <c r="E37" s="47" t="inlineStr">
        <is>
          <t xml:space="preserve">Дайджест ЦФТО </t>
        </is>
      </c>
      <c r="F37" s="48" t="n">
        <v>46206</v>
      </c>
      <c r="G37" s="47" t="inlineStr">
        <is>
          <t>FOB Черное море</t>
        </is>
      </c>
    </row>
    <row r="38">
      <c r="A38" t="inlineStr">
        <is>
          <t xml:space="preserve">Катанка алюминиевая, латунная, медная </t>
        </is>
      </c>
      <c r="B38" t="inlineStr">
        <is>
          <t>Большой диапазон в зависимости от металла и категории</t>
        </is>
      </c>
      <c r="D38" t="n">
        <v>800000</v>
      </c>
      <c r="E38" t="inlineStr">
        <is>
          <t>Экспертно</t>
        </is>
      </c>
    </row>
    <row r="39">
      <c r="A39" t="inlineStr">
        <is>
          <t>Ферросилиций</t>
        </is>
      </c>
      <c r="D39" t="n">
        <v>76000</v>
      </c>
      <c r="E39" t="inlineStr">
        <is>
          <t>ЕМИСС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7"/>
  <sheetViews>
    <sheetView showGridLines="0" tabSelected="1" topLeftCell="A2" zoomScale="115" zoomScaleNormal="115" workbookViewId="0">
      <selection activeCell="G8" sqref="G8"/>
    </sheetView>
  </sheetViews>
  <sheetFormatPr baseColWidth="8" defaultColWidth="9.15234375" defaultRowHeight="14.6"/>
  <cols>
    <col width="9.15234375" customWidth="1" style="123" min="1" max="16384"/>
  </cols>
  <sheetData>
    <row r="1">
      <c r="A1" s="138" t="inlineStr">
        <is>
          <t>Уголь_Экспорт</t>
        </is>
      </c>
      <c r="C1" s="16" t="n"/>
      <c r="D1" s="16" t="n"/>
      <c r="E1" s="138" t="inlineStr">
        <is>
          <t>Уголь_Внутренние</t>
        </is>
      </c>
      <c r="G1" s="16" t="n"/>
      <c r="I1" s="32" t="n"/>
      <c r="J1" s="32" t="inlineStr">
        <is>
          <t>Черные металлы, алюминий, Лес</t>
        </is>
      </c>
      <c r="K1" s="32" t="n"/>
      <c r="M1" s="43" t="n"/>
      <c r="N1" s="43" t="inlineStr">
        <is>
          <t>Руда</t>
        </is>
      </c>
      <c r="O1" s="37" t="n"/>
    </row>
    <row r="2">
      <c r="A2" s="17" t="inlineStr">
        <is>
          <t>Значение</t>
        </is>
      </c>
      <c r="B2" s="17" t="inlineStr">
        <is>
          <t>Коэффициент</t>
        </is>
      </c>
      <c r="C2" s="16" t="n"/>
      <c r="D2" s="16" t="n"/>
      <c r="E2" s="17" t="inlineStr">
        <is>
          <t>Значение</t>
        </is>
      </c>
      <c r="F2" s="17" t="inlineStr">
        <is>
          <t>Коэффициент</t>
        </is>
      </c>
      <c r="G2" s="16" t="n"/>
      <c r="I2" s="27" t="inlineStr">
        <is>
          <t>Значение</t>
        </is>
      </c>
      <c r="J2" s="27" t="inlineStr">
        <is>
          <t>Коэффициент</t>
        </is>
      </c>
      <c r="K2" s="27" t="n"/>
      <c r="M2" s="38" t="inlineStr">
        <is>
          <t>Значение</t>
        </is>
      </c>
      <c r="N2" s="38" t="inlineStr">
        <is>
          <t>Коэффициент</t>
        </is>
      </c>
      <c r="O2" s="38" t="n"/>
    </row>
    <row r="3">
      <c r="A3" s="178" t="n">
        <v>-5</v>
      </c>
      <c r="B3" s="17" t="n">
        <v>0</v>
      </c>
      <c r="C3" s="16" t="n"/>
      <c r="D3" s="16" t="n"/>
      <c r="E3" s="178" t="n">
        <v>-5</v>
      </c>
      <c r="F3" s="17" t="n">
        <v>1</v>
      </c>
      <c r="G3" s="16" t="n"/>
      <c r="I3" s="178" t="n">
        <v>-3</v>
      </c>
      <c r="J3" s="27" t="n">
        <v>0</v>
      </c>
      <c r="K3" s="27" t="n"/>
      <c r="M3" s="41" t="n">
        <v>-3</v>
      </c>
      <c r="N3" s="38" t="n">
        <v>0</v>
      </c>
      <c r="O3" s="38" t="n"/>
    </row>
    <row r="4">
      <c r="A4" s="178" t="n">
        <v>-2.45</v>
      </c>
      <c r="B4" s="17" t="n">
        <v>0</v>
      </c>
      <c r="C4" s="16" t="n"/>
      <c r="D4" s="16" t="n"/>
      <c r="E4" s="178" t="n">
        <v>-2.45</v>
      </c>
      <c r="F4" s="17" t="n">
        <v>1</v>
      </c>
      <c r="G4" s="16" t="n"/>
      <c r="I4" s="178" t="n">
        <v>-0.49</v>
      </c>
      <c r="J4" s="27" t="n">
        <v>0</v>
      </c>
      <c r="K4" s="27" t="n"/>
      <c r="M4" s="41" t="n">
        <v>-2.45</v>
      </c>
      <c r="N4" s="38" t="n">
        <v>0</v>
      </c>
      <c r="O4" s="38" t="n"/>
    </row>
    <row r="5">
      <c r="A5" s="178" t="n">
        <v>-2.4</v>
      </c>
      <c r="B5" s="17" t="n">
        <v>0</v>
      </c>
      <c r="C5" s="16" t="n"/>
      <c r="D5" s="16" t="n"/>
      <c r="E5" s="178" t="n">
        <v>-2.4</v>
      </c>
      <c r="F5" s="17" t="n">
        <v>1</v>
      </c>
      <c r="G5" s="16" t="n"/>
      <c r="I5" s="178" t="n">
        <v>-0.48</v>
      </c>
      <c r="J5" s="27" t="n">
        <v>0</v>
      </c>
      <c r="K5" s="27" t="n"/>
      <c r="M5" s="41" t="n">
        <v>-2.4</v>
      </c>
      <c r="N5" s="38" t="n">
        <v>0</v>
      </c>
      <c r="O5" s="38" t="n"/>
    </row>
    <row r="6">
      <c r="A6" s="178" t="n">
        <v>-2.35</v>
      </c>
      <c r="B6" s="17" t="n">
        <v>0</v>
      </c>
      <c r="C6" s="16" t="n"/>
      <c r="D6" s="16" t="n"/>
      <c r="E6" s="178" t="n">
        <v>-2.35</v>
      </c>
      <c r="F6" s="17" t="n">
        <v>1</v>
      </c>
      <c r="G6" s="16" t="n"/>
      <c r="I6" s="178" t="n">
        <v>-0.47</v>
      </c>
      <c r="J6" s="27" t="n">
        <v>0</v>
      </c>
      <c r="K6" s="27" t="n"/>
      <c r="M6" s="41" t="n">
        <v>-2.35</v>
      </c>
      <c r="N6" s="38" t="n">
        <v>0</v>
      </c>
      <c r="O6" s="38" t="n"/>
    </row>
    <row r="7">
      <c r="A7" s="178" t="n">
        <v>-2.3</v>
      </c>
      <c r="B7" s="17" t="n">
        <v>0</v>
      </c>
      <c r="C7" s="16" t="n"/>
      <c r="D7" s="16" t="n"/>
      <c r="E7" s="178" t="n">
        <v>-2.3</v>
      </c>
      <c r="F7" s="17" t="n">
        <v>1</v>
      </c>
      <c r="G7" s="16" t="n"/>
      <c r="I7" s="178" t="n">
        <v>-0.46</v>
      </c>
      <c r="J7" s="27" t="n">
        <v>0</v>
      </c>
      <c r="K7" s="27" t="n"/>
      <c r="M7" s="41" t="n">
        <v>-2.3</v>
      </c>
      <c r="N7" s="38" t="n">
        <v>0</v>
      </c>
      <c r="O7" s="38" t="n"/>
    </row>
    <row r="8">
      <c r="A8" s="178" t="n">
        <v>-2.25</v>
      </c>
      <c r="B8" s="17" t="n">
        <v>0</v>
      </c>
      <c r="C8" s="16" t="n"/>
      <c r="D8" s="16" t="n"/>
      <c r="E8" s="178" t="n">
        <v>-2.25</v>
      </c>
      <c r="F8" s="17" t="n">
        <v>1</v>
      </c>
      <c r="G8" s="16" t="n"/>
      <c r="I8" s="178" t="n">
        <v>-0.45</v>
      </c>
      <c r="J8" s="27" t="n">
        <v>0</v>
      </c>
      <c r="K8" s="27" t="n"/>
      <c r="M8" s="41" t="n">
        <v>-2.25</v>
      </c>
      <c r="N8" s="38" t="n">
        <v>0</v>
      </c>
      <c r="O8" s="38" t="n"/>
    </row>
    <row r="9">
      <c r="A9" s="178" t="n">
        <v>-2.2</v>
      </c>
      <c r="B9" s="17" t="n">
        <v>0</v>
      </c>
      <c r="C9" s="16" t="n"/>
      <c r="D9" s="16" t="n"/>
      <c r="E9" s="178" t="n">
        <v>-2.2</v>
      </c>
      <c r="F9" s="17" t="n">
        <v>1</v>
      </c>
      <c r="G9" s="16" t="n"/>
      <c r="I9" s="178" t="n">
        <v>-0.44</v>
      </c>
      <c r="J9" s="27" t="n">
        <v>0</v>
      </c>
      <c r="K9" s="27" t="n"/>
      <c r="M9" s="41" t="n">
        <v>-2.2</v>
      </c>
      <c r="N9" s="38" t="n">
        <v>0</v>
      </c>
      <c r="O9" s="38" t="n"/>
    </row>
    <row r="10">
      <c r="A10" s="178" t="n">
        <v>-2.15</v>
      </c>
      <c r="B10" s="17" t="n">
        <v>0</v>
      </c>
      <c r="C10" s="16" t="n"/>
      <c r="D10" s="16" t="n"/>
      <c r="E10" s="178" t="n">
        <v>-2.15</v>
      </c>
      <c r="F10" s="17" t="n">
        <v>1</v>
      </c>
      <c r="G10" s="16" t="n"/>
      <c r="I10" s="178" t="n">
        <v>-0.43</v>
      </c>
      <c r="J10" s="27" t="n">
        <v>0</v>
      </c>
      <c r="K10" s="27" t="n"/>
      <c r="M10" s="41" t="n">
        <v>-2.15</v>
      </c>
      <c r="N10" s="38" t="n">
        <v>0</v>
      </c>
      <c r="O10" s="38" t="n"/>
    </row>
    <row r="11">
      <c r="A11" s="178" t="n">
        <v>-2.1</v>
      </c>
      <c r="B11" s="17" t="n">
        <v>0</v>
      </c>
      <c r="C11" s="16" t="n"/>
      <c r="D11" s="16" t="n"/>
      <c r="E11" s="178" t="n">
        <v>-2.1</v>
      </c>
      <c r="F11" s="17" t="n">
        <v>1</v>
      </c>
      <c r="G11" s="16" t="n"/>
      <c r="I11" s="178" t="n">
        <v>-0.42</v>
      </c>
      <c r="J11" s="27" t="n">
        <v>0</v>
      </c>
      <c r="K11" s="27" t="n"/>
      <c r="M11" s="41" t="n">
        <v>-2.1</v>
      </c>
      <c r="N11" s="38" t="n">
        <v>0</v>
      </c>
      <c r="O11" s="38" t="n"/>
    </row>
    <row r="12">
      <c r="A12" s="178" t="n">
        <v>-2.05</v>
      </c>
      <c r="B12" s="17" t="n">
        <v>0</v>
      </c>
      <c r="C12" s="16" t="n"/>
      <c r="D12" s="16" t="n"/>
      <c r="E12" s="178" t="n">
        <v>-2.05</v>
      </c>
      <c r="F12" s="17" t="n">
        <v>1</v>
      </c>
      <c r="G12" s="16" t="n"/>
      <c r="I12" s="178" t="n">
        <v>-0.41</v>
      </c>
      <c r="J12" s="27" t="n">
        <v>0</v>
      </c>
      <c r="K12" s="27" t="n"/>
      <c r="M12" s="41" t="n">
        <v>-2.05</v>
      </c>
      <c r="N12" s="38" t="n">
        <v>0</v>
      </c>
      <c r="O12" s="38" t="n"/>
    </row>
    <row r="13">
      <c r="A13" s="178" t="n">
        <v>-2</v>
      </c>
      <c r="B13" s="17" t="n">
        <v>0</v>
      </c>
      <c r="C13" s="16" t="n"/>
      <c r="D13" s="16" t="n"/>
      <c r="E13" s="178" t="n">
        <v>-2</v>
      </c>
      <c r="F13" s="17" t="n">
        <v>1</v>
      </c>
      <c r="G13" s="16" t="n"/>
      <c r="I13" s="178" t="n">
        <v>-0.4</v>
      </c>
      <c r="J13" s="27" t="n">
        <v>0</v>
      </c>
      <c r="K13" s="27" t="n"/>
      <c r="M13" s="41" t="n">
        <v>-2</v>
      </c>
      <c r="N13" s="38" t="n">
        <v>0</v>
      </c>
      <c r="O13" s="38" t="n"/>
    </row>
    <row r="14">
      <c r="A14" s="178" t="n">
        <v>-1.95</v>
      </c>
      <c r="B14" s="17" t="n">
        <v>0</v>
      </c>
      <c r="C14" s="16" t="n"/>
      <c r="D14" s="16" t="n"/>
      <c r="E14" s="178" t="n">
        <v>-1.95</v>
      </c>
      <c r="F14" s="17" t="n">
        <v>1</v>
      </c>
      <c r="G14" s="179" t="n">
        <v>0</v>
      </c>
      <c r="I14" s="178" t="n">
        <v>-0.39</v>
      </c>
      <c r="J14" s="27" t="n">
        <v>0</v>
      </c>
      <c r="K14" s="27" t="n"/>
      <c r="M14" s="41" t="n">
        <v>-1.95</v>
      </c>
      <c r="N14" s="38" t="n">
        <v>0</v>
      </c>
      <c r="O14" s="38" t="n"/>
    </row>
    <row r="15">
      <c r="A15" s="178" t="n">
        <v>-1.9</v>
      </c>
      <c r="B15" s="17" t="n">
        <v>0</v>
      </c>
      <c r="C15" s="16" t="n"/>
      <c r="D15" s="16" t="n"/>
      <c r="E15" s="178" t="n">
        <v>-1.9</v>
      </c>
      <c r="F15" s="17" t="n">
        <v>1</v>
      </c>
      <c r="G15" s="179" t="n">
        <v>0</v>
      </c>
      <c r="I15" s="178" t="n">
        <v>-0.38</v>
      </c>
      <c r="J15" s="27" t="n">
        <v>0</v>
      </c>
      <c r="K15" s="27" t="n"/>
      <c r="M15" s="41" t="n">
        <v>-1.9</v>
      </c>
      <c r="N15" s="38" t="n">
        <v>0</v>
      </c>
      <c r="O15" s="38" t="n"/>
    </row>
    <row r="16">
      <c r="A16" s="178" t="n">
        <v>-1.85</v>
      </c>
      <c r="B16" s="17" t="n">
        <v>0</v>
      </c>
      <c r="C16" s="16" t="n"/>
      <c r="D16" s="16" t="n"/>
      <c r="E16" s="178" t="n">
        <v>-1.85</v>
      </c>
      <c r="F16" s="17" t="n">
        <v>1</v>
      </c>
      <c r="G16" s="179" t="n">
        <v>0</v>
      </c>
      <c r="I16" s="178" t="n">
        <v>-0.37</v>
      </c>
      <c r="J16" s="27" t="n">
        <v>0</v>
      </c>
      <c r="K16" s="27" t="n"/>
      <c r="M16" s="41" t="n">
        <v>-1.85</v>
      </c>
      <c r="N16" s="38" t="n">
        <v>0</v>
      </c>
      <c r="O16" s="38" t="n"/>
    </row>
    <row r="17">
      <c r="A17" s="178" t="n">
        <v>-1.8</v>
      </c>
      <c r="B17" s="17" t="n">
        <v>0</v>
      </c>
      <c r="C17" s="16" t="n"/>
      <c r="D17" s="16" t="n"/>
      <c r="E17" s="178" t="n">
        <v>-1.8</v>
      </c>
      <c r="F17" s="17" t="n">
        <v>1</v>
      </c>
      <c r="G17" s="179" t="n">
        <v>0</v>
      </c>
      <c r="I17" s="178" t="n">
        <v>-0.36</v>
      </c>
      <c r="J17" s="27" t="n">
        <v>0</v>
      </c>
      <c r="K17" s="27" t="n"/>
      <c r="M17" s="41" t="n">
        <v>-1.8</v>
      </c>
      <c r="N17" s="38" t="n">
        <v>0</v>
      </c>
      <c r="O17" s="38" t="n"/>
    </row>
    <row r="18">
      <c r="A18" s="178" t="n">
        <v>-1.75</v>
      </c>
      <c r="B18" s="17" t="n">
        <v>0</v>
      </c>
      <c r="C18" s="16" t="n"/>
      <c r="D18" s="16" t="n"/>
      <c r="E18" s="178" t="n">
        <v>-1.75</v>
      </c>
      <c r="F18" s="17" t="n">
        <v>1</v>
      </c>
      <c r="G18" s="179" t="n">
        <v>0</v>
      </c>
      <c r="I18" s="178" t="n">
        <v>-0.35</v>
      </c>
      <c r="J18" s="27" t="n">
        <v>0</v>
      </c>
      <c r="K18" s="29" t="n"/>
      <c r="M18" s="178" t="n">
        <v>-0.31</v>
      </c>
      <c r="N18" s="38" t="n">
        <v>0</v>
      </c>
      <c r="O18" s="40" t="n"/>
    </row>
    <row r="19">
      <c r="A19" s="178" t="n">
        <v>-1.7</v>
      </c>
      <c r="B19" s="17" t="n">
        <v>0</v>
      </c>
      <c r="C19" s="16" t="n"/>
      <c r="D19" s="16" t="n"/>
      <c r="E19" s="178" t="n">
        <v>-1.7</v>
      </c>
      <c r="F19" s="17" t="n">
        <v>1</v>
      </c>
      <c r="G19" s="179" t="n">
        <v>0</v>
      </c>
      <c r="I19" s="178" t="n">
        <v>-0.34</v>
      </c>
      <c r="J19" s="27" t="n">
        <v>0</v>
      </c>
      <c r="K19" s="29" t="n"/>
      <c r="M19" s="178" t="n">
        <v>-0.3</v>
      </c>
      <c r="N19" s="38" t="n">
        <v>0</v>
      </c>
      <c r="O19" s="40" t="n"/>
    </row>
    <row r="20">
      <c r="A20" s="178" t="n">
        <v>-1.65</v>
      </c>
      <c r="B20" s="17" t="n">
        <v>0</v>
      </c>
      <c r="C20" s="16" t="n"/>
      <c r="D20" s="16" t="n"/>
      <c r="E20" s="178" t="n">
        <v>-1.65</v>
      </c>
      <c r="F20" s="17" t="n">
        <v>1</v>
      </c>
      <c r="G20" s="179" t="n">
        <v>0</v>
      </c>
      <c r="I20" s="178" t="n">
        <v>-0.33</v>
      </c>
      <c r="J20" s="27" t="n">
        <v>0</v>
      </c>
      <c r="K20" s="27" t="n"/>
      <c r="M20" s="178" t="n">
        <v>-0.29</v>
      </c>
      <c r="N20" s="38" t="n">
        <v>0</v>
      </c>
      <c r="O20" s="38" t="n"/>
    </row>
    <row r="21">
      <c r="A21" s="178" t="n">
        <v>-1.6</v>
      </c>
      <c r="B21" s="17" t="n">
        <v>0</v>
      </c>
      <c r="C21" s="16" t="n"/>
      <c r="D21" s="16" t="n"/>
      <c r="E21" s="178" t="n">
        <v>-1.6</v>
      </c>
      <c r="F21" s="17" t="n">
        <v>1</v>
      </c>
      <c r="G21" s="179" t="n">
        <v>0</v>
      </c>
      <c r="I21" s="178" t="n">
        <v>-0.32</v>
      </c>
      <c r="J21" s="27" t="n">
        <v>0</v>
      </c>
      <c r="K21" s="27" t="n"/>
      <c r="M21" s="178" t="n">
        <v>-0.28</v>
      </c>
      <c r="N21" s="38" t="n">
        <v>0</v>
      </c>
      <c r="O21" s="180" t="n">
        <v>0</v>
      </c>
    </row>
    <row r="22">
      <c r="A22" s="178" t="n">
        <v>-1.55</v>
      </c>
      <c r="B22" s="17" t="n">
        <v>0</v>
      </c>
      <c r="C22" s="16" t="n"/>
      <c r="D22" s="16" t="n"/>
      <c r="E22" s="178" t="n">
        <v>-1.55</v>
      </c>
      <c r="F22" s="17" t="n">
        <v>1</v>
      </c>
      <c r="G22" s="179" t="n">
        <v>0</v>
      </c>
      <c r="I22" s="178" t="n">
        <v>-0.31</v>
      </c>
      <c r="J22" s="27" t="n">
        <v>0</v>
      </c>
      <c r="K22" s="181">
        <f>J23-J22</f>
        <v/>
      </c>
      <c r="M22" s="178" t="n">
        <v>-0.27</v>
      </c>
      <c r="N22" s="180" t="n">
        <v>0</v>
      </c>
      <c r="O22" s="180" t="n">
        <v>0</v>
      </c>
    </row>
    <row r="23">
      <c r="A23" s="178" t="n">
        <v>-1.5</v>
      </c>
      <c r="B23" s="17" t="n">
        <v>0</v>
      </c>
      <c r="C23" s="16" t="n"/>
      <c r="D23" s="16" t="n"/>
      <c r="E23" s="178" t="n">
        <v>-1.5</v>
      </c>
      <c r="F23" s="17" t="n">
        <v>1</v>
      </c>
      <c r="G23" s="179" t="n">
        <v>0</v>
      </c>
      <c r="I23" s="178" t="n">
        <v>-0.3</v>
      </c>
      <c r="J23" s="27" t="n">
        <v>0</v>
      </c>
      <c r="K23" s="181">
        <f>J24-J23</f>
        <v/>
      </c>
      <c r="M23" s="178" t="n">
        <v>-0.26</v>
      </c>
      <c r="N23" s="180" t="n">
        <v>0</v>
      </c>
      <c r="O23" s="180" t="n">
        <v>0</v>
      </c>
    </row>
    <row r="24">
      <c r="A24" s="178" t="n">
        <v>-1.45</v>
      </c>
      <c r="B24" s="17" t="n">
        <v>0</v>
      </c>
      <c r="C24" s="16" t="n"/>
      <c r="D24" s="16" t="n"/>
      <c r="E24" s="178" t="n">
        <v>-1.45</v>
      </c>
      <c r="F24" s="17" t="n">
        <v>1</v>
      </c>
      <c r="G24" s="179" t="n">
        <v>0</v>
      </c>
      <c r="I24" s="178" t="n">
        <v>-0.29</v>
      </c>
      <c r="J24" s="27" t="n">
        <v>0</v>
      </c>
      <c r="K24" s="181">
        <f>J25-J24</f>
        <v/>
      </c>
      <c r="M24" s="178" t="n">
        <v>-0.25</v>
      </c>
      <c r="N24" s="38" t="n">
        <v>0</v>
      </c>
      <c r="O24" s="180" t="n">
        <v>0</v>
      </c>
    </row>
    <row r="25">
      <c r="A25" s="178" t="n">
        <v>-1.4</v>
      </c>
      <c r="B25" s="17" t="n">
        <v>0</v>
      </c>
      <c r="C25" s="16" t="n"/>
      <c r="D25" s="16" t="n"/>
      <c r="E25" s="178" t="n">
        <v>-1.4</v>
      </c>
      <c r="F25" s="17" t="n">
        <v>1</v>
      </c>
      <c r="G25" s="179" t="n">
        <v>0</v>
      </c>
      <c r="I25" s="178" t="n">
        <v>-0.28</v>
      </c>
      <c r="J25" s="27" t="n">
        <v>0</v>
      </c>
      <c r="K25" s="181">
        <f>J26-J25</f>
        <v/>
      </c>
      <c r="M25" s="182" t="n">
        <v>-0.245</v>
      </c>
      <c r="N25" s="37" t="n">
        <v>0</v>
      </c>
      <c r="O25" s="180" t="n">
        <v>0</v>
      </c>
    </row>
    <row r="26">
      <c r="A26" s="178" t="n">
        <v>-1.35</v>
      </c>
      <c r="B26" s="17" t="n">
        <v>0</v>
      </c>
      <c r="C26" s="16" t="n"/>
      <c r="D26" s="16" t="n"/>
      <c r="E26" s="178" t="n">
        <v>-1.35</v>
      </c>
      <c r="F26" s="17" t="n">
        <v>1</v>
      </c>
      <c r="G26" s="179" t="n">
        <v>0</v>
      </c>
      <c r="I26" s="178" t="n">
        <v>-0.27</v>
      </c>
      <c r="J26" s="27" t="n">
        <v>0</v>
      </c>
      <c r="K26" s="181">
        <f>J27-J26</f>
        <v/>
      </c>
      <c r="M26" s="178" t="n">
        <v>-0.24</v>
      </c>
      <c r="N26" s="37" t="n">
        <v>0</v>
      </c>
      <c r="O26" s="180" t="n">
        <v>0</v>
      </c>
    </row>
    <row r="27">
      <c r="A27" s="178" t="n">
        <v>-1.3</v>
      </c>
      <c r="B27" s="17" t="n">
        <v>0</v>
      </c>
      <c r="C27" s="16" t="n"/>
      <c r="D27" s="16" t="n"/>
      <c r="E27" s="178" t="n">
        <v>-1.3</v>
      </c>
      <c r="F27" s="17" t="n">
        <v>1</v>
      </c>
      <c r="G27" s="179" t="n">
        <v>0</v>
      </c>
      <c r="I27" s="178" t="n">
        <v>-0.26</v>
      </c>
      <c r="J27" s="27" t="n">
        <v>0</v>
      </c>
      <c r="K27" s="181">
        <f>J28-J27</f>
        <v/>
      </c>
      <c r="M27" s="182" t="n">
        <v>-0.235</v>
      </c>
      <c r="N27" s="37" t="n">
        <v>0</v>
      </c>
      <c r="O27" s="180" t="n">
        <v>0.06</v>
      </c>
    </row>
    <row r="28">
      <c r="A28" s="178" t="n">
        <v>-1.25</v>
      </c>
      <c r="B28" s="17" t="n">
        <v>0</v>
      </c>
      <c r="C28" s="16" t="n"/>
      <c r="D28" s="16" t="n"/>
      <c r="E28" s="178" t="n">
        <v>-1.25</v>
      </c>
      <c r="F28" s="17" t="n">
        <v>1</v>
      </c>
      <c r="G28" s="179" t="n">
        <v>0</v>
      </c>
      <c r="I28" s="178" t="n">
        <v>-0.25</v>
      </c>
      <c r="J28" s="27" t="n">
        <v>0</v>
      </c>
      <c r="K28" s="181">
        <f>J29-J28</f>
        <v/>
      </c>
      <c r="M28" s="178" t="n">
        <v>-0.23</v>
      </c>
      <c r="N28" s="37" t="n">
        <v>0.06</v>
      </c>
      <c r="O28" s="180" t="n">
        <v>0.05</v>
      </c>
    </row>
    <row r="29">
      <c r="A29" s="178" t="n">
        <v>-1.2</v>
      </c>
      <c r="B29" s="17" t="n">
        <v>0</v>
      </c>
      <c r="C29" s="16" t="n"/>
      <c r="D29" s="16" t="n"/>
      <c r="E29" s="178" t="n">
        <v>-1.2</v>
      </c>
      <c r="F29" s="17" t="n">
        <v>1</v>
      </c>
      <c r="G29" s="179" t="n">
        <v>0</v>
      </c>
      <c r="I29" s="178" t="n">
        <v>-0.24</v>
      </c>
      <c r="J29" s="27" t="n">
        <v>0</v>
      </c>
      <c r="K29" s="181">
        <f>J30-J29</f>
        <v/>
      </c>
      <c r="M29" s="182" t="n">
        <v>-0.225</v>
      </c>
      <c r="N29" s="37" t="n">
        <v>0.11</v>
      </c>
      <c r="O29" s="180" t="n">
        <v>0.045</v>
      </c>
    </row>
    <row r="30">
      <c r="A30" s="178" t="n">
        <v>-1.15</v>
      </c>
      <c r="B30" s="17" t="n">
        <v>0</v>
      </c>
      <c r="C30" s="16" t="n"/>
      <c r="D30" s="16" t="n"/>
      <c r="E30" s="178" t="n">
        <v>-1.15</v>
      </c>
      <c r="F30" s="17" t="n">
        <v>1</v>
      </c>
      <c r="G30" s="179" t="n">
        <v>0</v>
      </c>
      <c r="I30" s="178" t="n">
        <v>-0.23</v>
      </c>
      <c r="J30" s="27" t="n">
        <v>0</v>
      </c>
      <c r="K30" s="181">
        <f>J31-J30</f>
        <v/>
      </c>
      <c r="M30" s="178" t="n">
        <v>-0.22</v>
      </c>
      <c r="N30" s="37" t="n">
        <v>0.155</v>
      </c>
      <c r="O30" s="180" t="n">
        <v>0.04500000000000001</v>
      </c>
    </row>
    <row r="31">
      <c r="A31" s="178" t="n">
        <v>-1.1</v>
      </c>
      <c r="B31" s="183" t="n">
        <v>0</v>
      </c>
      <c r="C31" s="179" t="n">
        <v>0.018</v>
      </c>
      <c r="D31" s="16" t="n"/>
      <c r="E31" s="178" t="n">
        <v>-1.1</v>
      </c>
      <c r="F31" s="17" t="n">
        <v>1</v>
      </c>
      <c r="G31" s="179" t="n">
        <v>0</v>
      </c>
      <c r="I31" s="178" t="n">
        <v>-0.22</v>
      </c>
      <c r="J31" s="27" t="n">
        <v>0</v>
      </c>
      <c r="K31" s="181">
        <f>J32-J31</f>
        <v/>
      </c>
      <c r="M31" s="182" t="n">
        <v>-0.215</v>
      </c>
      <c r="N31" s="37" t="n">
        <v>0.2</v>
      </c>
      <c r="O31" s="180" t="n">
        <v>0.03999999999999998</v>
      </c>
    </row>
    <row r="32">
      <c r="A32" s="178" t="n">
        <v>-1.05</v>
      </c>
      <c r="B32" s="183" t="n">
        <v>0.018</v>
      </c>
      <c r="C32" s="179" t="n">
        <v>0.018</v>
      </c>
      <c r="D32" s="16" t="n"/>
      <c r="E32" s="178" t="n">
        <v>-1.05</v>
      </c>
      <c r="F32" s="17" t="n">
        <v>1</v>
      </c>
      <c r="G32" s="179" t="n">
        <v>0</v>
      </c>
      <c r="I32" s="178" t="n">
        <v>-0.21</v>
      </c>
      <c r="J32" s="27" t="n">
        <v>0</v>
      </c>
      <c r="K32" s="181">
        <f>J33-J32</f>
        <v/>
      </c>
      <c r="M32" s="178" t="n">
        <v>-0.21</v>
      </c>
      <c r="N32" s="37" t="n">
        <v>0.24</v>
      </c>
      <c r="O32" s="180" t="n">
        <v>0.04000000000000004</v>
      </c>
    </row>
    <row r="33">
      <c r="A33" s="178" t="n">
        <v>-1.04</v>
      </c>
      <c r="B33" s="183" t="n">
        <v>0.036</v>
      </c>
      <c r="C33" s="179" t="n">
        <v>0.018</v>
      </c>
      <c r="D33" s="16" t="n"/>
      <c r="E33" s="178" t="n">
        <v>-1.04</v>
      </c>
      <c r="F33" s="17" t="n">
        <v>1</v>
      </c>
      <c r="G33" s="179" t="n">
        <v>0</v>
      </c>
      <c r="I33" s="178" t="n">
        <v>-0.2</v>
      </c>
      <c r="J33" s="27" t="n">
        <v>0</v>
      </c>
      <c r="K33" s="181">
        <f>J34-J33</f>
        <v/>
      </c>
      <c r="M33" s="182" t="n">
        <v>-0.205</v>
      </c>
      <c r="N33" s="180" t="n">
        <v>0.28</v>
      </c>
      <c r="O33" s="180" t="n">
        <v>0.03999999999999998</v>
      </c>
    </row>
    <row r="34">
      <c r="A34" s="178" t="n">
        <v>-1.03</v>
      </c>
      <c r="B34" s="183" t="n">
        <v>0.054</v>
      </c>
      <c r="C34" s="179" t="n">
        <v>0.01699999999999999</v>
      </c>
      <c r="D34" s="16" t="n"/>
      <c r="E34" s="178" t="n">
        <v>-1.03</v>
      </c>
      <c r="F34" s="17" t="n">
        <v>1</v>
      </c>
      <c r="G34" s="179" t="n">
        <v>0</v>
      </c>
      <c r="I34" s="178" t="n">
        <v>-0.19</v>
      </c>
      <c r="J34" s="27" t="n">
        <v>0</v>
      </c>
      <c r="K34" s="181">
        <f>J35-J34</f>
        <v/>
      </c>
      <c r="M34" s="178" t="n">
        <v>-0.2</v>
      </c>
      <c r="N34" s="180" t="n">
        <v>0.32</v>
      </c>
      <c r="O34" s="180" t="n">
        <v>0.03499999999999998</v>
      </c>
    </row>
    <row r="35">
      <c r="A35" s="178" t="n">
        <v>-1.02</v>
      </c>
      <c r="B35" s="183" t="n">
        <v>0.07099999999999999</v>
      </c>
      <c r="C35" s="179" t="n">
        <v>0.017</v>
      </c>
      <c r="D35" s="16" t="n"/>
      <c r="E35" s="178" t="n">
        <v>-1.02</v>
      </c>
      <c r="F35" s="17" t="n">
        <v>1</v>
      </c>
      <c r="G35" s="179" t="n">
        <v>0</v>
      </c>
      <c r="I35" s="178" t="n">
        <v>-0.18</v>
      </c>
      <c r="J35" s="27" t="n">
        <v>0</v>
      </c>
      <c r="K35" s="181">
        <f>J36-J35</f>
        <v/>
      </c>
      <c r="M35" s="182" t="n">
        <v>-0.195</v>
      </c>
      <c r="N35" s="180" t="n">
        <v>0.355</v>
      </c>
      <c r="O35" s="180" t="n">
        <v>0.03500000000000003</v>
      </c>
    </row>
    <row r="36">
      <c r="A36" s="178" t="n">
        <v>-1.01</v>
      </c>
      <c r="B36" s="183" t="n">
        <v>0.08799999999999999</v>
      </c>
      <c r="C36" s="179" t="n">
        <v>0.017</v>
      </c>
      <c r="D36" s="16" t="n"/>
      <c r="E36" s="178" t="n">
        <v>-1.01</v>
      </c>
      <c r="F36" s="17" t="n">
        <v>1</v>
      </c>
      <c r="G36" s="179" t="n">
        <v>0</v>
      </c>
      <c r="I36" s="178" t="n">
        <v>-0.17</v>
      </c>
      <c r="J36" s="27" t="n">
        <v>0</v>
      </c>
      <c r="K36" s="181">
        <f>J37-J36</f>
        <v/>
      </c>
      <c r="M36" s="178" t="n">
        <v>-0.19</v>
      </c>
      <c r="N36" s="180" t="n">
        <v>0.39</v>
      </c>
      <c r="O36" s="180" t="n">
        <v>0.03499999999999998</v>
      </c>
    </row>
    <row r="37">
      <c r="A37" s="178" t="n">
        <v>-1</v>
      </c>
      <c r="B37" s="183" t="n">
        <v>0.105</v>
      </c>
      <c r="C37" s="179" t="n">
        <v>0.017</v>
      </c>
      <c r="D37" s="16" t="n"/>
      <c r="E37" s="178" t="n">
        <v>-1</v>
      </c>
      <c r="F37" s="17" t="n">
        <v>1</v>
      </c>
      <c r="G37" s="179" t="n">
        <v>0</v>
      </c>
      <c r="I37" s="178" t="n">
        <v>-0.165</v>
      </c>
      <c r="J37" s="27" t="n">
        <v>0.05</v>
      </c>
      <c r="K37" s="181">
        <f>J38-J37</f>
        <v/>
      </c>
      <c r="M37" s="182" t="n">
        <v>-0.185</v>
      </c>
      <c r="N37" s="180" t="n">
        <v>0.425</v>
      </c>
      <c r="O37" s="180" t="n">
        <v>0.03500000000000003</v>
      </c>
    </row>
    <row r="38">
      <c r="A38" s="178" t="n">
        <v>-0.99</v>
      </c>
      <c r="B38" s="183" t="n">
        <v>0.122</v>
      </c>
      <c r="C38" s="179" t="n">
        <v>0.01600000000000001</v>
      </c>
      <c r="D38" s="16" t="n"/>
      <c r="E38" s="178" t="n">
        <v>-0.99</v>
      </c>
      <c r="F38" s="17" t="n">
        <v>1</v>
      </c>
      <c r="G38" s="179" t="n">
        <v>0</v>
      </c>
      <c r="I38" s="178" t="n">
        <v>-0.16</v>
      </c>
      <c r="J38" s="27" t="n">
        <v>0.1</v>
      </c>
      <c r="K38" s="181">
        <f>J39-J38</f>
        <v/>
      </c>
      <c r="M38" s="178" t="n">
        <v>-0.18</v>
      </c>
      <c r="N38" s="180" t="n">
        <v>0.46</v>
      </c>
      <c r="O38" s="180" t="n">
        <v>0.02999999999999997</v>
      </c>
    </row>
    <row r="39">
      <c r="A39" s="178" t="n">
        <v>-0.98</v>
      </c>
      <c r="B39" s="183" t="n">
        <v>0.138</v>
      </c>
      <c r="C39" s="179" t="n">
        <v>0.01599999999999999</v>
      </c>
      <c r="D39" s="16" t="n"/>
      <c r="E39" s="178" t="n">
        <v>-0.98</v>
      </c>
      <c r="F39" s="17" t="n">
        <v>1</v>
      </c>
      <c r="G39" s="179" t="n">
        <v>0</v>
      </c>
      <c r="I39" s="178" t="n">
        <v>-0.155</v>
      </c>
      <c r="J39" s="27" t="n">
        <v>0.15</v>
      </c>
      <c r="K39" s="181">
        <f>J40-J39</f>
        <v/>
      </c>
      <c r="M39" s="178" t="n">
        <v>-0.175</v>
      </c>
      <c r="N39" s="180" t="n">
        <v>0.49</v>
      </c>
      <c r="O39" s="180" t="n">
        <v>0.03000000000000003</v>
      </c>
    </row>
    <row r="40">
      <c r="A40" s="178" t="n">
        <v>-0.97</v>
      </c>
      <c r="B40" s="183" t="n">
        <v>0.154</v>
      </c>
      <c r="C40" s="179" t="n">
        <v>0.01600000000000001</v>
      </c>
      <c r="D40" s="16" t="n"/>
      <c r="E40" s="178" t="n">
        <v>-0.97</v>
      </c>
      <c r="F40" s="17" t="n">
        <v>1</v>
      </c>
      <c r="G40" s="179" t="n">
        <v>0</v>
      </c>
      <c r="I40" s="178" t="n">
        <v>-0.15</v>
      </c>
      <c r="J40" s="27" t="n">
        <v>0.2</v>
      </c>
      <c r="K40" s="181">
        <f>J41-J40</f>
        <v/>
      </c>
      <c r="M40" s="178" t="n">
        <v>-0.17</v>
      </c>
      <c r="N40" s="180" t="n">
        <v>0.52</v>
      </c>
      <c r="O40" s="180" t="n">
        <v>0.03000000000000003</v>
      </c>
    </row>
    <row r="41">
      <c r="A41" s="178" t="n">
        <v>-0.96</v>
      </c>
      <c r="B41" s="183" t="n">
        <v>0.17</v>
      </c>
      <c r="C41" s="179" t="n">
        <v>0.01599999999999999</v>
      </c>
      <c r="D41" s="16" t="n"/>
      <c r="E41" s="178" t="n">
        <v>-0.96</v>
      </c>
      <c r="F41" s="17" t="n">
        <v>1</v>
      </c>
      <c r="G41" s="179" t="n">
        <v>0</v>
      </c>
      <c r="I41" s="178" t="n">
        <v>-0.145</v>
      </c>
      <c r="J41" s="27" t="n">
        <v>0.245</v>
      </c>
      <c r="K41" s="181">
        <f>J42-J41</f>
        <v/>
      </c>
      <c r="M41" s="178" t="n">
        <v>-0.165</v>
      </c>
      <c r="N41" s="180" t="n">
        <v>0.55</v>
      </c>
      <c r="O41" s="180" t="n">
        <v>0.02999999999999992</v>
      </c>
    </row>
    <row r="42">
      <c r="A42" s="178" t="n">
        <v>-0.95</v>
      </c>
      <c r="B42" s="183" t="n">
        <v>0.186</v>
      </c>
      <c r="C42" s="179" t="n">
        <v>0.01600000000000001</v>
      </c>
      <c r="D42" s="16" t="n"/>
      <c r="E42" s="178" t="n">
        <v>-0.95</v>
      </c>
      <c r="F42" s="17" t="n">
        <v>1</v>
      </c>
      <c r="G42" s="179" t="n">
        <v>0</v>
      </c>
      <c r="I42" s="178" t="n">
        <v>-0.14</v>
      </c>
      <c r="J42" s="27" t="n">
        <v>0.29</v>
      </c>
      <c r="K42" s="181">
        <f>J43-J42</f>
        <v/>
      </c>
      <c r="M42" s="178" t="n">
        <v>-0.16</v>
      </c>
      <c r="N42" s="180" t="n">
        <v>0.58</v>
      </c>
      <c r="O42" s="180" t="n">
        <v>0.03000000000000003</v>
      </c>
    </row>
    <row r="43">
      <c r="A43" s="178" t="n">
        <v>-0.9399999999999999</v>
      </c>
      <c r="B43" s="183" t="n">
        <v>0.202</v>
      </c>
      <c r="C43" s="179" t="n">
        <v>0.01499999999999999</v>
      </c>
      <c r="D43" s="16" t="n"/>
      <c r="E43" s="178" t="n">
        <v>-0.9399999999999999</v>
      </c>
      <c r="F43" s="17" t="n">
        <v>1</v>
      </c>
      <c r="G43" s="179" t="n">
        <v>0</v>
      </c>
      <c r="I43" s="178" t="n">
        <v>-0.135</v>
      </c>
      <c r="J43" s="27" t="n">
        <v>0.33</v>
      </c>
      <c r="K43" s="181">
        <f>J44-J43</f>
        <v/>
      </c>
      <c r="M43" s="178" t="n">
        <v>-0.155</v>
      </c>
      <c r="N43" s="180" t="n">
        <v>0.61</v>
      </c>
      <c r="O43" s="180" t="n">
        <v>0.02500000000000002</v>
      </c>
    </row>
    <row r="44">
      <c r="A44" s="178" t="n">
        <v>-0.93</v>
      </c>
      <c r="B44" s="183" t="n">
        <v>0.217</v>
      </c>
      <c r="C44" s="179" t="n">
        <v>0.01500000000000001</v>
      </c>
      <c r="D44" s="16" t="n"/>
      <c r="E44" s="178" t="n">
        <v>-0.93</v>
      </c>
      <c r="F44" s="17" t="n">
        <v>1</v>
      </c>
      <c r="G44" s="179" t="n">
        <v>0</v>
      </c>
      <c r="I44" s="178" t="n">
        <v>-0.13</v>
      </c>
      <c r="J44" s="27" t="n">
        <v>0.37</v>
      </c>
      <c r="K44" s="181">
        <f>J45-J44</f>
        <v/>
      </c>
      <c r="M44" s="178" t="n">
        <v>-0.15</v>
      </c>
      <c r="N44" s="180" t="n">
        <v>0.635</v>
      </c>
      <c r="O44" s="180" t="n">
        <v>0.02500000000000002</v>
      </c>
    </row>
    <row r="45">
      <c r="A45" s="178" t="n">
        <v>-0.92</v>
      </c>
      <c r="B45" s="183" t="n">
        <v>0.232</v>
      </c>
      <c r="C45" s="179" t="n">
        <v>0.01499999999999999</v>
      </c>
      <c r="D45" s="16" t="n"/>
      <c r="E45" s="178" t="n">
        <v>-0.92</v>
      </c>
      <c r="F45" s="17" t="n">
        <v>1</v>
      </c>
      <c r="G45" s="179" t="n">
        <v>0</v>
      </c>
      <c r="I45" s="178" t="n">
        <v>-0.125</v>
      </c>
      <c r="J45" s="27" t="n">
        <v>0.41</v>
      </c>
      <c r="K45" s="181">
        <f>J46-J45</f>
        <v/>
      </c>
      <c r="M45" s="182" t="n">
        <v>-0.145</v>
      </c>
      <c r="N45" s="180" t="n">
        <v>0.66</v>
      </c>
      <c r="O45" s="180" t="n">
        <v>0.02500000000000002</v>
      </c>
    </row>
    <row r="46">
      <c r="A46" s="178" t="n">
        <v>-0.91</v>
      </c>
      <c r="B46" s="183" t="n">
        <v>0.247</v>
      </c>
      <c r="C46" s="179" t="n">
        <v>0.01500000000000001</v>
      </c>
      <c r="D46" s="16" t="n"/>
      <c r="E46" s="178" t="n">
        <v>-0.91</v>
      </c>
      <c r="F46" s="17" t="n">
        <v>1</v>
      </c>
      <c r="G46" s="179" t="n">
        <v>0</v>
      </c>
      <c r="I46" s="178" t="n">
        <v>-0.12</v>
      </c>
      <c r="J46" s="27" t="n">
        <v>0.45</v>
      </c>
      <c r="K46" s="181">
        <f>J47-J46</f>
        <v/>
      </c>
      <c r="M46" s="178" t="n">
        <v>-0.14</v>
      </c>
      <c r="N46" s="180" t="n">
        <v>0.6850000000000001</v>
      </c>
      <c r="O46" s="180" t="n">
        <v>0.02499999999999991</v>
      </c>
    </row>
    <row r="47">
      <c r="A47" s="178" t="n">
        <v>-0.9</v>
      </c>
      <c r="B47" s="183" t="n">
        <v>0.262</v>
      </c>
      <c r="C47" s="179" t="n">
        <v>0.01500000000000001</v>
      </c>
      <c r="D47" s="16" t="n"/>
      <c r="E47" s="178" t="n">
        <v>-0.9</v>
      </c>
      <c r="F47" s="17" t="n">
        <v>1</v>
      </c>
      <c r="G47" s="179" t="n">
        <v>0</v>
      </c>
      <c r="I47" s="178" t="n">
        <v>-0.115</v>
      </c>
      <c r="J47" s="27" t="n">
        <v>0.485</v>
      </c>
      <c r="K47" s="181">
        <f>J48-J47</f>
        <v/>
      </c>
      <c r="M47" s="182" t="n">
        <v>-0.135</v>
      </c>
      <c r="N47" s="180" t="n">
        <v>0.71</v>
      </c>
      <c r="O47" s="180" t="n">
        <v>0.02000000000000002</v>
      </c>
    </row>
    <row r="48">
      <c r="A48" s="178" t="n">
        <v>-0.89</v>
      </c>
      <c r="B48" s="183" t="n">
        <v>0.277</v>
      </c>
      <c r="C48" s="179" t="n">
        <v>0.01399999999999996</v>
      </c>
      <c r="D48" s="16" t="n"/>
      <c r="E48" s="178" t="n">
        <v>-0.89</v>
      </c>
      <c r="F48" s="17" t="n">
        <v>1</v>
      </c>
      <c r="G48" s="179" t="n">
        <v>0</v>
      </c>
      <c r="I48" s="178" t="n">
        <v>-0.11</v>
      </c>
      <c r="J48" s="27" t="n">
        <v>0.52</v>
      </c>
      <c r="K48" s="181">
        <f>J49-J48</f>
        <v/>
      </c>
      <c r="M48" s="178" t="n">
        <v>-0.13</v>
      </c>
      <c r="N48" s="180" t="n">
        <v>0.73</v>
      </c>
      <c r="O48" s="180" t="n">
        <v>0.02000000000000002</v>
      </c>
    </row>
    <row r="49">
      <c r="A49" s="178" t="n">
        <v>-0.88</v>
      </c>
      <c r="B49" s="183" t="n">
        <v>0.291</v>
      </c>
      <c r="C49" s="179" t="n">
        <v>0.01400000000000001</v>
      </c>
      <c r="D49" s="16" t="n"/>
      <c r="E49" s="178" t="n">
        <v>-0.88</v>
      </c>
      <c r="F49" s="17" t="n">
        <v>1</v>
      </c>
      <c r="G49" s="179" t="n">
        <v>0</v>
      </c>
      <c r="I49" s="178" t="n">
        <v>-0.105</v>
      </c>
      <c r="J49" s="27" t="n">
        <v>0.555</v>
      </c>
      <c r="K49" s="181">
        <f>J50-J49</f>
        <v/>
      </c>
      <c r="M49" s="182" t="n">
        <v>-0.125</v>
      </c>
      <c r="N49" s="180" t="n">
        <v>0.75</v>
      </c>
      <c r="O49" s="180" t="n">
        <v>0.02000000000000002</v>
      </c>
    </row>
    <row r="50">
      <c r="A50" s="178" t="n">
        <v>-0.87</v>
      </c>
      <c r="B50" s="183" t="n">
        <v>0.305</v>
      </c>
      <c r="C50" s="179" t="n">
        <v>0.01400000000000001</v>
      </c>
      <c r="D50" s="16" t="n"/>
      <c r="E50" s="178" t="n">
        <v>-0.87</v>
      </c>
      <c r="F50" s="17" t="n">
        <v>1</v>
      </c>
      <c r="G50" s="179" t="n">
        <v>0</v>
      </c>
      <c r="I50" s="178" t="n">
        <v>-0.1</v>
      </c>
      <c r="J50" s="27" t="n">
        <v>0.59</v>
      </c>
      <c r="K50" s="181">
        <f>J51-J50</f>
        <v/>
      </c>
      <c r="M50" s="178" t="n">
        <v>-0.12</v>
      </c>
      <c r="N50" s="180" t="n">
        <v>0.77</v>
      </c>
      <c r="O50" s="180" t="n">
        <v>0.02000000000000002</v>
      </c>
    </row>
    <row r="51">
      <c r="A51" s="178" t="n">
        <v>-0.86</v>
      </c>
      <c r="B51" s="183" t="n">
        <v>0.319</v>
      </c>
      <c r="C51" s="179" t="n">
        <v>0.01400000000000001</v>
      </c>
      <c r="D51" s="16" t="n"/>
      <c r="E51" s="178" t="n">
        <v>-0.86</v>
      </c>
      <c r="F51" s="17" t="n">
        <v>1</v>
      </c>
      <c r="G51" s="179" t="n">
        <v>0</v>
      </c>
      <c r="I51" s="178" t="n">
        <v>-0.095</v>
      </c>
      <c r="J51" s="27" t="n">
        <v>0.62</v>
      </c>
      <c r="K51" s="181">
        <f>J52-J51</f>
        <v/>
      </c>
      <c r="M51" s="178" t="n">
        <v>-0.115</v>
      </c>
      <c r="N51" s="180" t="n">
        <v>0.79</v>
      </c>
      <c r="O51" s="180" t="n">
        <v>0.02000000000000002</v>
      </c>
    </row>
    <row r="52">
      <c r="A52" s="178" t="n">
        <v>-0.85</v>
      </c>
      <c r="B52" s="183" t="n">
        <v>0.333</v>
      </c>
      <c r="C52" s="179" t="n">
        <v>0.01399999999999996</v>
      </c>
      <c r="D52" s="16" t="n"/>
      <c r="E52" s="178" t="n">
        <v>-0.85</v>
      </c>
      <c r="F52" s="17" t="n">
        <v>1</v>
      </c>
      <c r="G52" s="179" t="n">
        <v>0</v>
      </c>
      <c r="I52" s="178" t="n">
        <v>-0.09</v>
      </c>
      <c r="J52" s="27" t="n">
        <v>0.65</v>
      </c>
      <c r="K52" s="181">
        <f>J53-J52</f>
        <v/>
      </c>
      <c r="M52" s="178" t="n">
        <v>-0.11</v>
      </c>
      <c r="N52" s="180" t="n">
        <v>0.8100000000000001</v>
      </c>
      <c r="O52" s="180" t="n">
        <v>0.0149999999999999</v>
      </c>
    </row>
    <row r="53">
      <c r="A53" s="178" t="n">
        <v>-0.84</v>
      </c>
      <c r="B53" s="183" t="n">
        <v>0.347</v>
      </c>
      <c r="C53" s="179" t="n">
        <v>0.01300000000000001</v>
      </c>
      <c r="D53" s="16" t="n"/>
      <c r="E53" s="178" t="n">
        <v>-0.84</v>
      </c>
      <c r="F53" s="17" t="n">
        <v>1</v>
      </c>
      <c r="G53" s="179" t="n">
        <v>0</v>
      </c>
      <c r="I53" s="178" t="n">
        <v>-0.08500000000000001</v>
      </c>
      <c r="J53" s="27" t="n">
        <v>0.68</v>
      </c>
      <c r="K53" s="181">
        <f>J54-J53</f>
        <v/>
      </c>
      <c r="M53" s="182" t="n">
        <v>-0.105</v>
      </c>
      <c r="N53" s="180" t="n">
        <v>0.825</v>
      </c>
      <c r="O53" s="180" t="n">
        <v>0.01500000000000001</v>
      </c>
    </row>
    <row r="54">
      <c r="A54" s="178" t="n">
        <v>-0.83</v>
      </c>
      <c r="B54" s="183" t="n">
        <v>0.36</v>
      </c>
      <c r="C54" s="179" t="n">
        <v>0.01300000000000001</v>
      </c>
      <c r="D54" s="16" t="n"/>
      <c r="E54" s="178" t="n">
        <v>-0.83</v>
      </c>
      <c r="F54" s="17" t="n">
        <v>1</v>
      </c>
      <c r="G54" s="179" t="n">
        <v>0</v>
      </c>
      <c r="I54" s="178" t="n">
        <v>-0.08</v>
      </c>
      <c r="J54" s="27" t="n">
        <v>0.71</v>
      </c>
      <c r="K54" s="181">
        <f>J55-J54</f>
        <v/>
      </c>
      <c r="M54" s="178" t="n">
        <v>-0.1</v>
      </c>
      <c r="N54" s="180" t="n">
        <v>0.84</v>
      </c>
      <c r="O54" s="180" t="n">
        <v>0.01500000000000001</v>
      </c>
    </row>
    <row r="55">
      <c r="A55" s="178" t="n">
        <v>-0.82</v>
      </c>
      <c r="B55" s="183" t="n">
        <v>0.373</v>
      </c>
      <c r="C55" s="179" t="n">
        <v>0.01300000000000001</v>
      </c>
      <c r="D55" s="16" t="n"/>
      <c r="E55" s="178" t="n">
        <v>-0.82</v>
      </c>
      <c r="F55" s="17" t="n">
        <v>1</v>
      </c>
      <c r="G55" s="179" t="n">
        <v>0</v>
      </c>
      <c r="I55" s="178" t="n">
        <v>-0.075</v>
      </c>
      <c r="J55" s="27" t="n">
        <v>0.735</v>
      </c>
      <c r="K55" s="181">
        <f>J56-J55</f>
        <v/>
      </c>
      <c r="M55" s="182" t="n">
        <v>-0.095</v>
      </c>
      <c r="N55" s="180" t="n">
        <v>0.855</v>
      </c>
      <c r="O55" s="180" t="n">
        <v>0.01500000000000001</v>
      </c>
    </row>
    <row r="56">
      <c r="A56" s="178" t="n">
        <v>-0.8100000000000001</v>
      </c>
      <c r="B56" s="183" t="n">
        <v>0.386</v>
      </c>
      <c r="C56" s="179" t="n">
        <v>0.01300000000000001</v>
      </c>
      <c r="D56" s="16" t="n"/>
      <c r="E56" s="178" t="n">
        <v>-0.8100000000000001</v>
      </c>
      <c r="F56" s="17" t="n">
        <v>1</v>
      </c>
      <c r="G56" s="179" t="n">
        <v>0</v>
      </c>
      <c r="I56" s="178" t="n">
        <v>-0.07000000000000001</v>
      </c>
      <c r="J56" s="27" t="n">
        <v>0.76</v>
      </c>
      <c r="K56" s="181">
        <f>J57-J56</f>
        <v/>
      </c>
      <c r="M56" s="178" t="n">
        <v>-0.09</v>
      </c>
      <c r="N56" s="180" t="n">
        <v>0.87</v>
      </c>
      <c r="O56" s="180" t="n">
        <v>0.01500000000000001</v>
      </c>
    </row>
    <row r="57">
      <c r="A57" s="178" t="n">
        <v>-0.8</v>
      </c>
      <c r="B57" s="183" t="n">
        <v>0.399</v>
      </c>
      <c r="C57" s="179" t="n">
        <v>0.01299999999999996</v>
      </c>
      <c r="D57" s="16" t="n"/>
      <c r="E57" s="178" t="n">
        <v>-0.8</v>
      </c>
      <c r="F57" s="17" t="n">
        <v>1</v>
      </c>
      <c r="G57" s="179" t="n">
        <v>0</v>
      </c>
      <c r="I57" s="178" t="n">
        <v>-0.065</v>
      </c>
      <c r="J57" s="27" t="n">
        <v>0.785</v>
      </c>
      <c r="K57" s="181">
        <f>J58-J57</f>
        <v/>
      </c>
      <c r="M57" s="178" t="n">
        <v>-0.08500000000000001</v>
      </c>
      <c r="N57" s="37" t="n">
        <v>0.885</v>
      </c>
      <c r="O57" s="180" t="n">
        <v>0.01500000000000001</v>
      </c>
    </row>
    <row r="58">
      <c r="A58" s="178" t="n">
        <v>-0.79</v>
      </c>
      <c r="B58" s="183" t="n">
        <v>0.412</v>
      </c>
      <c r="C58" s="179" t="n">
        <v>0.01200000000000001</v>
      </c>
      <c r="D58" s="16" t="n"/>
      <c r="E58" s="178" t="n">
        <v>-0.79</v>
      </c>
      <c r="F58" s="17" t="n">
        <v>1</v>
      </c>
      <c r="G58" s="179" t="n">
        <v>0</v>
      </c>
      <c r="I58" s="178" t="n">
        <v>-0.06</v>
      </c>
      <c r="J58" s="27" t="n">
        <v>0.8100000000000001</v>
      </c>
      <c r="K58" s="181">
        <f>J59-J58</f>
        <v/>
      </c>
      <c r="M58" s="178" t="n">
        <v>-0.08</v>
      </c>
      <c r="N58" s="180" t="n">
        <v>0.9</v>
      </c>
      <c r="O58" s="180" t="n">
        <v>0.01000000000000001</v>
      </c>
    </row>
    <row r="59">
      <c r="A59" s="178" t="n">
        <v>-0.78</v>
      </c>
      <c r="B59" s="183" t="n">
        <v>0.424</v>
      </c>
      <c r="C59" s="179" t="n">
        <v>0.01200000000000001</v>
      </c>
      <c r="D59" s="16" t="n"/>
      <c r="E59" s="178" t="n">
        <v>-0.78</v>
      </c>
      <c r="F59" s="17" t="n">
        <v>1</v>
      </c>
      <c r="G59" s="179" t="n">
        <v>0</v>
      </c>
      <c r="I59" s="178" t="n">
        <v>-0.055</v>
      </c>
      <c r="J59" s="27" t="n">
        <v>0.83</v>
      </c>
      <c r="K59" s="181">
        <f>J60-J59</f>
        <v/>
      </c>
      <c r="M59" s="178" t="n">
        <v>-0.075</v>
      </c>
      <c r="N59" s="37" t="n">
        <v>0.91</v>
      </c>
      <c r="O59" s="180" t="n">
        <v>0.01000000000000001</v>
      </c>
    </row>
    <row r="60">
      <c r="A60" s="178" t="n">
        <v>-0.77</v>
      </c>
      <c r="B60" s="183" t="n">
        <v>0.436</v>
      </c>
      <c r="C60" s="179" t="n">
        <v>0.01200000000000001</v>
      </c>
      <c r="D60" s="16" t="n"/>
      <c r="E60" s="178" t="n">
        <v>-0.77</v>
      </c>
      <c r="F60" s="17" t="n">
        <v>1</v>
      </c>
      <c r="G60" s="179" t="n">
        <v>0</v>
      </c>
      <c r="I60" s="178" t="n">
        <v>-0.05</v>
      </c>
      <c r="J60" s="27" t="n">
        <v>0.85</v>
      </c>
      <c r="K60" s="181">
        <f>J61-J60</f>
        <v/>
      </c>
      <c r="M60" s="178" t="n">
        <v>-0.07000000000000001</v>
      </c>
      <c r="N60" s="180" t="n">
        <v>0.92</v>
      </c>
      <c r="O60" s="180" t="n">
        <v>0.01000000000000001</v>
      </c>
    </row>
    <row r="61">
      <c r="A61" s="178" t="n">
        <v>-0.76</v>
      </c>
      <c r="B61" s="183" t="n">
        <v>0.448</v>
      </c>
      <c r="C61" s="179" t="n">
        <v>0.01200000000000001</v>
      </c>
      <c r="D61" s="16" t="n"/>
      <c r="E61" s="178" t="n">
        <v>-0.76</v>
      </c>
      <c r="F61" s="17" t="n">
        <v>1</v>
      </c>
      <c r="G61" s="179" t="n">
        <v>0</v>
      </c>
      <c r="I61" s="178" t="n">
        <v>-0.045</v>
      </c>
      <c r="J61" s="27" t="n">
        <v>0.87</v>
      </c>
      <c r="K61" s="181">
        <f>J62-J61</f>
        <v/>
      </c>
      <c r="M61" s="182" t="n">
        <v>-0.065</v>
      </c>
      <c r="N61" s="37" t="n">
        <v>0.93</v>
      </c>
      <c r="O61" s="180" t="n">
        <v>0.009999999999999898</v>
      </c>
    </row>
    <row r="62">
      <c r="A62" s="178" t="n">
        <v>-0.75</v>
      </c>
      <c r="B62" s="183" t="n">
        <v>0.46</v>
      </c>
      <c r="C62" s="179" t="n">
        <v>0.01199999999999996</v>
      </c>
      <c r="D62" s="16" t="n"/>
      <c r="E62" s="178" t="n">
        <v>-0.75</v>
      </c>
      <c r="F62" s="17" t="n">
        <v>1</v>
      </c>
      <c r="G62" s="179" t="n">
        <v>0</v>
      </c>
      <c r="I62" s="178" t="n">
        <v>-0.04</v>
      </c>
      <c r="J62" s="27" t="n">
        <v>0.89</v>
      </c>
      <c r="K62" s="181">
        <f>J63-J62</f>
        <v/>
      </c>
      <c r="M62" s="178" t="n">
        <v>-0.06</v>
      </c>
      <c r="N62" s="184" t="n">
        <v>0.9399999999999999</v>
      </c>
      <c r="O62" s="180" t="n">
        <v>0.01000000000000001</v>
      </c>
    </row>
    <row r="63">
      <c r="A63" s="178" t="n">
        <v>-0.74</v>
      </c>
      <c r="B63" s="183" t="n">
        <v>0.472</v>
      </c>
      <c r="C63" s="179" t="n">
        <v>0.01100000000000001</v>
      </c>
      <c r="D63" s="16" t="n"/>
      <c r="E63" s="178" t="n">
        <v>-0.74</v>
      </c>
      <c r="F63" s="17" t="n">
        <v>1</v>
      </c>
      <c r="G63" s="179" t="n">
        <v>0</v>
      </c>
      <c r="I63" s="178" t="n">
        <v>-0.035</v>
      </c>
      <c r="J63" s="27" t="n">
        <v>0.905</v>
      </c>
      <c r="K63" s="181">
        <f>J64-J63</f>
        <v/>
      </c>
      <c r="M63" s="178" t="n">
        <v>-0.055</v>
      </c>
      <c r="N63" s="180" t="n">
        <v>0.95</v>
      </c>
      <c r="O63" s="180" t="n">
        <v>0.01000000000000001</v>
      </c>
    </row>
    <row r="64">
      <c r="A64" s="178" t="n">
        <v>-0.73</v>
      </c>
      <c r="B64" s="183" t="n">
        <v>0.483</v>
      </c>
      <c r="C64" s="179" t="n">
        <v>0.01100000000000001</v>
      </c>
      <c r="D64" s="16" t="n"/>
      <c r="E64" s="178" t="n">
        <v>-0.73</v>
      </c>
      <c r="F64" s="17" t="n">
        <v>1</v>
      </c>
      <c r="G64" s="179" t="n">
        <v>0</v>
      </c>
      <c r="I64" s="178" t="n">
        <v>-0.03</v>
      </c>
      <c r="J64" s="27" t="n">
        <v>0.92</v>
      </c>
      <c r="K64" s="181">
        <f>J65-J64</f>
        <v/>
      </c>
      <c r="M64" s="178" t="n">
        <v>-0.05</v>
      </c>
      <c r="N64" s="180" t="n">
        <v>0.96</v>
      </c>
      <c r="O64" s="180" t="n">
        <v>0.005000000000000004</v>
      </c>
    </row>
    <row r="65">
      <c r="A65" s="178" t="n">
        <v>-0.72</v>
      </c>
      <c r="B65" s="183" t="n">
        <v>0.494</v>
      </c>
      <c r="C65" s="179" t="n">
        <v>0.01100000000000001</v>
      </c>
      <c r="D65" s="16" t="n"/>
      <c r="E65" s="178" t="n">
        <v>-0.72</v>
      </c>
      <c r="F65" s="17" t="n">
        <v>1</v>
      </c>
      <c r="G65" s="179" t="n">
        <v>0</v>
      </c>
      <c r="I65" s="182" t="n">
        <v>-0.025</v>
      </c>
      <c r="J65" s="27" t="n">
        <v>0.9350000000000001</v>
      </c>
      <c r="K65" s="181">
        <f>J66-J65</f>
        <v/>
      </c>
      <c r="M65" s="178" t="n">
        <v>-0.045</v>
      </c>
      <c r="N65" s="180" t="n">
        <v>0.965</v>
      </c>
      <c r="O65" s="180" t="n">
        <v>0.005000000000000004</v>
      </c>
    </row>
    <row r="66">
      <c r="A66" s="178" t="n">
        <v>-0.71</v>
      </c>
      <c r="B66" s="183" t="n">
        <v>0.505</v>
      </c>
      <c r="C66" s="179" t="n">
        <v>0.01100000000000001</v>
      </c>
      <c r="D66" s="16" t="n"/>
      <c r="E66" s="178" t="n">
        <v>-0.71</v>
      </c>
      <c r="F66" s="17" t="n">
        <v>1</v>
      </c>
      <c r="G66" s="179" t="n">
        <v>0</v>
      </c>
      <c r="I66" s="178" t="n">
        <v>-0.02</v>
      </c>
      <c r="J66" s="27" t="n">
        <v>0.95</v>
      </c>
      <c r="K66" s="181">
        <f>J67-J66</f>
        <v/>
      </c>
      <c r="M66" s="178" t="n">
        <v>-0.04</v>
      </c>
      <c r="N66" s="180" t="n">
        <v>0.97</v>
      </c>
      <c r="O66" s="180" t="n">
        <v>0.005000000000000004</v>
      </c>
    </row>
    <row r="67">
      <c r="A67" s="178" t="n">
        <v>-0.7</v>
      </c>
      <c r="B67" s="183" t="n">
        <v>0.516</v>
      </c>
      <c r="C67" s="179" t="n">
        <v>0.01100000000000001</v>
      </c>
      <c r="D67" s="16" t="n"/>
      <c r="E67" s="178" t="n">
        <v>-0.7</v>
      </c>
      <c r="F67" s="17" t="n">
        <v>1</v>
      </c>
      <c r="G67" s="179" t="n">
        <v>0</v>
      </c>
      <c r="I67" s="182" t="n">
        <v>-0.015</v>
      </c>
      <c r="J67" s="27" t="n">
        <v>0.965</v>
      </c>
      <c r="K67" s="181">
        <f>J68-J67</f>
        <v/>
      </c>
      <c r="M67" s="178" t="n">
        <v>-0.035</v>
      </c>
      <c r="N67" s="180" t="n">
        <v>0.975</v>
      </c>
      <c r="O67" s="180" t="n">
        <v>0.005000000000000004</v>
      </c>
    </row>
    <row r="68">
      <c r="A68" s="178" t="n">
        <v>-0.6899999999999999</v>
      </c>
      <c r="B68" s="183" t="n">
        <v>0.527</v>
      </c>
      <c r="C68" s="179" t="n">
        <v>0.01100000000000001</v>
      </c>
      <c r="D68" s="16" t="n"/>
      <c r="E68" s="178" t="n">
        <v>-0.6899999999999999</v>
      </c>
      <c r="F68" s="17" t="n">
        <v>1</v>
      </c>
      <c r="G68" s="179" t="n">
        <v>0</v>
      </c>
      <c r="I68" s="178" t="n">
        <v>-0.01</v>
      </c>
      <c r="J68" s="27" t="n">
        <v>0.98</v>
      </c>
      <c r="K68" s="181">
        <f>J69-J68</f>
        <v/>
      </c>
      <c r="M68" s="178" t="n">
        <v>-0.03</v>
      </c>
      <c r="N68" s="180" t="n">
        <v>0.98</v>
      </c>
      <c r="O68" s="180" t="n">
        <v>0.005000000000000004</v>
      </c>
    </row>
    <row r="69">
      <c r="A69" s="178" t="n">
        <v>-0.68</v>
      </c>
      <c r="B69" s="183" t="n">
        <v>0.538</v>
      </c>
      <c r="C69" s="179" t="n">
        <v>0.01000000000000001</v>
      </c>
      <c r="D69" s="16" t="n"/>
      <c r="E69" s="178" t="n">
        <v>-0.68</v>
      </c>
      <c r="F69" s="17" t="n">
        <v>1</v>
      </c>
      <c r="G69" s="179" t="n">
        <v>0</v>
      </c>
      <c r="I69" s="182" t="n">
        <v>-0.005</v>
      </c>
      <c r="J69" s="27" t="n">
        <v>0.99</v>
      </c>
      <c r="K69" s="181">
        <f>J70-J69</f>
        <v/>
      </c>
      <c r="M69" s="178" t="n">
        <v>-0.025</v>
      </c>
      <c r="N69" s="180" t="n">
        <v>0.985</v>
      </c>
      <c r="O69" s="180" t="n">
        <v>0.005000000000000004</v>
      </c>
    </row>
    <row r="70">
      <c r="A70" s="178" t="n">
        <v>-0.67</v>
      </c>
      <c r="B70" s="183" t="n">
        <v>0.548</v>
      </c>
      <c r="C70" s="179" t="n">
        <v>0.01000000000000001</v>
      </c>
      <c r="D70" s="16" t="n"/>
      <c r="E70" s="178" t="n">
        <v>-0.67</v>
      </c>
      <c r="F70" s="17" t="n">
        <v>1</v>
      </c>
      <c r="G70" s="179" t="n">
        <v>0</v>
      </c>
      <c r="I70" s="182" t="n">
        <v>0</v>
      </c>
      <c r="J70" s="185" t="n">
        <v>1</v>
      </c>
      <c r="M70" s="178" t="n">
        <v>-0.02</v>
      </c>
      <c r="N70" s="180" t="n">
        <v>0.99</v>
      </c>
      <c r="O70" s="180" t="n">
        <v>0.005000000000000004</v>
      </c>
    </row>
    <row r="71">
      <c r="A71" s="178" t="n">
        <v>-0.66</v>
      </c>
      <c r="B71" s="183" t="n">
        <v>0.5580000000000001</v>
      </c>
      <c r="C71" s="179" t="n">
        <v>0.009999999999999898</v>
      </c>
      <c r="D71" s="16" t="n"/>
      <c r="E71" s="178" t="n">
        <v>-0.66</v>
      </c>
      <c r="F71" s="17" t="n">
        <v>1</v>
      </c>
      <c r="G71" s="179" t="n">
        <v>0</v>
      </c>
      <c r="I71" s="182" t="n">
        <v>0.005</v>
      </c>
      <c r="J71" s="26" t="n">
        <v>1.01</v>
      </c>
      <c r="K71" s="181" t="n">
        <v>0.01000000000000001</v>
      </c>
      <c r="M71" s="178" t="n">
        <v>-0.015</v>
      </c>
      <c r="N71" s="180" t="n">
        <v>0.995</v>
      </c>
      <c r="O71" s="180" t="n">
        <v>0.005000000000000004</v>
      </c>
    </row>
    <row r="72">
      <c r="A72" s="178" t="n">
        <v>-0.65</v>
      </c>
      <c r="B72" s="183" t="n">
        <v>0.5679999999999999</v>
      </c>
      <c r="C72" s="179" t="n">
        <v>0.01000000000000001</v>
      </c>
      <c r="D72" s="16" t="n"/>
      <c r="E72" s="178" t="n">
        <v>-0.65</v>
      </c>
      <c r="F72" s="17" t="n">
        <v>1</v>
      </c>
      <c r="G72" s="179" t="n">
        <v>0</v>
      </c>
      <c r="I72" s="182" t="n">
        <v>0.01</v>
      </c>
      <c r="J72" s="36">
        <f>J71+K72</f>
        <v/>
      </c>
      <c r="K72" s="181" t="n">
        <v>0.01000000000000001</v>
      </c>
      <c r="M72" s="178" t="n">
        <v>-0.01</v>
      </c>
      <c r="N72" s="186" t="n">
        <v>1</v>
      </c>
      <c r="O72" s="180" t="n">
        <v>0</v>
      </c>
    </row>
    <row r="73">
      <c r="A73" s="178" t="n">
        <v>-0.64</v>
      </c>
      <c r="B73" s="183" t="n">
        <v>0.578</v>
      </c>
      <c r="C73" s="179" t="n">
        <v>0.01000000000000001</v>
      </c>
      <c r="D73" s="16" t="n"/>
      <c r="E73" s="178" t="n">
        <v>-0.64</v>
      </c>
      <c r="F73" s="17" t="n">
        <v>1</v>
      </c>
      <c r="G73" s="179" t="n">
        <v>0</v>
      </c>
      <c r="I73" s="182" t="n">
        <v>0.015</v>
      </c>
      <c r="J73" s="36">
        <f>J72+K73</f>
        <v/>
      </c>
      <c r="K73" s="181" t="n">
        <v>0.01500000000000001</v>
      </c>
      <c r="M73" s="178" t="n">
        <v>-0.005</v>
      </c>
      <c r="N73" s="180" t="n">
        <v>1</v>
      </c>
      <c r="O73" s="180" t="n">
        <v>0</v>
      </c>
    </row>
    <row r="74">
      <c r="A74" s="178" t="n">
        <v>-0.63</v>
      </c>
      <c r="B74" s="183" t="n">
        <v>0.588</v>
      </c>
      <c r="C74" s="179" t="n">
        <v>0.01000000000000001</v>
      </c>
      <c r="D74" s="16" t="n"/>
      <c r="E74" s="178" t="n">
        <v>-0.63</v>
      </c>
      <c r="F74" s="17" t="n">
        <v>1</v>
      </c>
      <c r="G74" s="179" t="n">
        <v>0</v>
      </c>
      <c r="I74" s="182" t="n">
        <v>0.02</v>
      </c>
      <c r="J74" s="36">
        <f>J73+K74</f>
        <v/>
      </c>
      <c r="K74" s="181" t="n">
        <v>0.01500000000000001</v>
      </c>
      <c r="M74" s="41" t="n">
        <v>0</v>
      </c>
      <c r="N74" s="180" t="n">
        <v>1</v>
      </c>
      <c r="O74" s="180" t="n"/>
    </row>
    <row r="75">
      <c r="A75" s="178" t="n">
        <v>-0.62</v>
      </c>
      <c r="B75" s="183" t="n">
        <v>0.598</v>
      </c>
      <c r="C75" s="179" t="n">
        <v>0.01000000000000001</v>
      </c>
      <c r="D75" s="16" t="n"/>
      <c r="E75" s="178" t="n">
        <v>-0.62</v>
      </c>
      <c r="F75" s="17" t="n">
        <v>1</v>
      </c>
      <c r="G75" s="179" t="n">
        <v>0</v>
      </c>
      <c r="I75" s="182" t="n">
        <v>0.025</v>
      </c>
      <c r="J75" s="36">
        <f>J74+K75</f>
        <v/>
      </c>
      <c r="K75" s="181" t="n">
        <v>0.0149999999999999</v>
      </c>
      <c r="M75" s="178" t="n">
        <v>0.005</v>
      </c>
      <c r="N75" s="187">
        <f>N74+O75</f>
        <v/>
      </c>
      <c r="O75" s="180" t="n">
        <v>0</v>
      </c>
    </row>
    <row r="76">
      <c r="A76" s="178" t="n">
        <v>-0.61</v>
      </c>
      <c r="B76" s="183" t="n">
        <v>0.608</v>
      </c>
      <c r="C76" s="179" t="n">
        <v>0.009000000000000008</v>
      </c>
      <c r="D76" s="16" t="n"/>
      <c r="E76" s="178" t="n">
        <v>-0.61</v>
      </c>
      <c r="F76" s="17" t="n">
        <v>1</v>
      </c>
      <c r="G76" s="179" t="n">
        <v>0</v>
      </c>
      <c r="I76" s="182" t="n">
        <v>0.03</v>
      </c>
      <c r="J76" s="36">
        <f>J75+K76</f>
        <v/>
      </c>
      <c r="K76" s="181" t="n">
        <v>0.01500000000000001</v>
      </c>
      <c r="M76" s="178" t="n">
        <v>0.01</v>
      </c>
      <c r="N76" s="187">
        <f>N75+O76</f>
        <v/>
      </c>
      <c r="O76" s="180" t="n">
        <v>0</v>
      </c>
    </row>
    <row r="77">
      <c r="A77" s="178" t="n">
        <v>-0.6</v>
      </c>
      <c r="B77" s="183" t="n">
        <v>0.617</v>
      </c>
      <c r="C77" s="179" t="n">
        <v>0.009000000000000008</v>
      </c>
      <c r="D77" s="16" t="n"/>
      <c r="E77" s="178" t="n">
        <v>-0.6</v>
      </c>
      <c r="F77" s="17" t="n">
        <v>1</v>
      </c>
      <c r="G77" s="179" t="n">
        <v>0</v>
      </c>
      <c r="I77" s="182" t="n">
        <v>0.035</v>
      </c>
      <c r="J77" s="36">
        <f>J76+K77</f>
        <v/>
      </c>
      <c r="K77" s="181" t="n">
        <v>0.01500000000000001</v>
      </c>
      <c r="M77" s="178" t="n">
        <v>0.015</v>
      </c>
      <c r="N77" s="187">
        <f>N76+O77</f>
        <v/>
      </c>
      <c r="O77" s="180" t="n">
        <v>0.005000000000000004</v>
      </c>
    </row>
    <row r="78">
      <c r="A78" s="178" t="n">
        <v>-0.59</v>
      </c>
      <c r="B78" s="183" t="n">
        <v>0.626</v>
      </c>
      <c r="C78" s="179" t="n">
        <v>0.009000000000000008</v>
      </c>
      <c r="D78" s="16" t="n"/>
      <c r="E78" s="178" t="n">
        <v>-0.59</v>
      </c>
      <c r="F78" s="17" t="n">
        <v>1</v>
      </c>
      <c r="G78" s="179" t="n">
        <v>0</v>
      </c>
      <c r="I78" s="182" t="n">
        <v>0.04</v>
      </c>
      <c r="J78" s="36">
        <f>J77+K78</f>
        <v/>
      </c>
      <c r="K78" s="30" t="n">
        <v>0.01999999999999991</v>
      </c>
      <c r="M78" s="178" t="n">
        <v>0.02</v>
      </c>
      <c r="N78" s="187">
        <f>N77+O78</f>
        <v/>
      </c>
      <c r="O78" s="180" t="n">
        <v>0.005000000000000004</v>
      </c>
    </row>
    <row r="79">
      <c r="A79" s="178" t="n">
        <v>-0.58</v>
      </c>
      <c r="B79" s="183" t="n">
        <v>0.635</v>
      </c>
      <c r="C79" s="179" t="n">
        <v>0.009000000000000008</v>
      </c>
      <c r="D79" s="16" t="n"/>
      <c r="E79" s="178" t="n">
        <v>-0.58</v>
      </c>
      <c r="F79" s="17" t="n">
        <v>1</v>
      </c>
      <c r="G79" s="179" t="n">
        <v>0</v>
      </c>
      <c r="I79" s="182" t="n">
        <v>0.045</v>
      </c>
      <c r="J79" s="36">
        <f>J78+K79</f>
        <v/>
      </c>
      <c r="K79" s="30" t="n">
        <v>0.02000000000000002</v>
      </c>
      <c r="M79" s="178" t="n">
        <v>0.025</v>
      </c>
      <c r="N79" s="187">
        <f>N78+O79</f>
        <v/>
      </c>
      <c r="O79" s="180" t="n">
        <v>0.005000000000000004</v>
      </c>
    </row>
    <row r="80">
      <c r="A80" s="178" t="n">
        <v>-0.57</v>
      </c>
      <c r="B80" s="183" t="n">
        <v>0.644</v>
      </c>
      <c r="C80" s="179" t="n">
        <v>0.009000000000000008</v>
      </c>
      <c r="D80" s="16" t="n"/>
      <c r="E80" s="178" t="n">
        <v>-0.57</v>
      </c>
      <c r="F80" s="17" t="n">
        <v>1</v>
      </c>
      <c r="G80" s="179" t="n">
        <v>0</v>
      </c>
      <c r="I80" s="182" t="n">
        <v>0.05</v>
      </c>
      <c r="J80" s="36">
        <f>J79+K80</f>
        <v/>
      </c>
      <c r="K80" s="30" t="n">
        <v>0.02000000000000002</v>
      </c>
      <c r="M80" s="178" t="n">
        <v>0.03</v>
      </c>
      <c r="N80" s="187">
        <f>N79+O80</f>
        <v/>
      </c>
      <c r="O80" s="180" t="n">
        <v>0.005000000000000004</v>
      </c>
    </row>
    <row r="81">
      <c r="A81" s="178" t="n">
        <v>-0.5600000000000001</v>
      </c>
      <c r="B81" s="183" t="n">
        <v>0.653</v>
      </c>
      <c r="C81" s="179" t="n">
        <v>0.009000000000000008</v>
      </c>
      <c r="D81" s="16" t="n"/>
      <c r="E81" s="178" t="n">
        <v>-0.5600000000000001</v>
      </c>
      <c r="F81" s="17" t="n">
        <v>1</v>
      </c>
      <c r="G81" s="179" t="n">
        <v>0</v>
      </c>
      <c r="I81" s="182" t="n">
        <v>0.055</v>
      </c>
      <c r="J81" s="36">
        <f>J80+K81</f>
        <v/>
      </c>
      <c r="K81" s="30" t="n">
        <v>0.02000000000000002</v>
      </c>
      <c r="M81" s="178" t="n">
        <v>0.035</v>
      </c>
      <c r="N81" s="187">
        <f>N80+O81</f>
        <v/>
      </c>
      <c r="O81" s="180" t="n">
        <v>0.005000000000000004</v>
      </c>
    </row>
    <row r="82">
      <c r="A82" s="178" t="n">
        <v>-0.55</v>
      </c>
      <c r="B82" s="183" t="n">
        <v>0.662</v>
      </c>
      <c r="C82" s="179" t="n">
        <v>0.009000000000000008</v>
      </c>
      <c r="D82" s="16" t="n"/>
      <c r="E82" s="178" t="n">
        <v>-0.55</v>
      </c>
      <c r="F82" s="17" t="n">
        <v>1</v>
      </c>
      <c r="G82" s="179" t="n">
        <v>0</v>
      </c>
      <c r="I82" s="182" t="n">
        <v>0.06</v>
      </c>
      <c r="J82" s="36">
        <f>J81+K82</f>
        <v/>
      </c>
      <c r="K82" s="30" t="n">
        <v>0.01500000000000001</v>
      </c>
      <c r="M82" s="178" t="n">
        <v>0.04</v>
      </c>
      <c r="N82" s="187">
        <f>N81+O82</f>
        <v/>
      </c>
      <c r="O82" s="180" t="n">
        <v>0.005000000000000004</v>
      </c>
    </row>
    <row r="83">
      <c r="A83" s="178" t="n">
        <v>-0.54</v>
      </c>
      <c r="B83" s="183" t="n">
        <v>0.671</v>
      </c>
      <c r="C83" s="179" t="n">
        <v>0.009000000000000008</v>
      </c>
      <c r="D83" s="16" t="n"/>
      <c r="E83" s="178" t="n">
        <v>-0.54</v>
      </c>
      <c r="F83" s="17" t="n">
        <v>1</v>
      </c>
      <c r="G83" s="179" t="n">
        <v>0</v>
      </c>
      <c r="I83" s="182" t="n">
        <v>0.065</v>
      </c>
      <c r="J83" s="36">
        <f>J82+K83</f>
        <v/>
      </c>
      <c r="K83" t="n">
        <v>0.02500000000000002</v>
      </c>
      <c r="M83" s="178" t="n">
        <v>0.045</v>
      </c>
      <c r="N83" s="187">
        <f>N82+O83</f>
        <v/>
      </c>
      <c r="O83" s="180" t="n">
        <v>0.005000000000000004</v>
      </c>
    </row>
    <row r="84">
      <c r="A84" s="178" t="n">
        <v>-0.53</v>
      </c>
      <c r="B84" s="183" t="n">
        <v>0.68</v>
      </c>
      <c r="C84" s="179" t="n">
        <v>0.007999999999999896</v>
      </c>
      <c r="D84" s="16" t="n"/>
      <c r="E84" s="178" t="n">
        <v>-0.53</v>
      </c>
      <c r="F84" s="17" t="n">
        <v>1</v>
      </c>
      <c r="G84" s="179" t="n">
        <v>0</v>
      </c>
      <c r="I84" s="182" t="n">
        <v>0.07000000000000001</v>
      </c>
      <c r="J84" s="36">
        <f>J83+K84</f>
        <v/>
      </c>
      <c r="K84" t="n">
        <v>0.02500000000000002</v>
      </c>
      <c r="M84" s="178" t="n">
        <v>0.05</v>
      </c>
      <c r="N84" s="187">
        <f>N83+O84</f>
        <v/>
      </c>
      <c r="O84" s="180" t="n">
        <v>0.005000000000000004</v>
      </c>
    </row>
    <row r="85">
      <c r="A85" s="178" t="n">
        <v>-0.52</v>
      </c>
      <c r="B85" s="183" t="n">
        <v>0.6879999999999999</v>
      </c>
      <c r="C85" s="179" t="n">
        <v>0.008000000000000007</v>
      </c>
      <c r="D85" s="16" t="n"/>
      <c r="E85" s="178" t="n">
        <v>-0.52</v>
      </c>
      <c r="F85" s="17" t="n">
        <v>1</v>
      </c>
      <c r="G85" s="179" t="n">
        <v>0</v>
      </c>
      <c r="I85" s="182" t="n">
        <v>0.075</v>
      </c>
      <c r="J85" s="36">
        <f>J84+K85</f>
        <v/>
      </c>
      <c r="K85" t="n">
        <v>0.02500000000000002</v>
      </c>
      <c r="M85" s="178" t="n">
        <v>0.055</v>
      </c>
      <c r="N85" s="187">
        <f>N84+O85</f>
        <v/>
      </c>
      <c r="O85" s="180" t="n">
        <v>0.01000000000000001</v>
      </c>
    </row>
    <row r="86">
      <c r="A86" s="178" t="n">
        <v>-0.51</v>
      </c>
      <c r="B86" s="183" t="n">
        <v>0.696</v>
      </c>
      <c r="C86" s="179" t="n">
        <v>0.008000000000000007</v>
      </c>
      <c r="D86" s="16" t="n"/>
      <c r="E86" s="178" t="n">
        <v>-0.51</v>
      </c>
      <c r="F86" s="17" t="n">
        <v>1</v>
      </c>
      <c r="G86" s="179" t="n">
        <v>0</v>
      </c>
      <c r="I86" s="182" t="n">
        <v>0.08</v>
      </c>
      <c r="J86" s="36">
        <f>J85+K86</f>
        <v/>
      </c>
      <c r="K86" t="n">
        <v>0.02500000000000002</v>
      </c>
      <c r="M86" s="178" t="n">
        <v>0.06</v>
      </c>
      <c r="N86" s="187">
        <f>N85+O86</f>
        <v/>
      </c>
      <c r="O86" s="180" t="n">
        <v>0.01000000000000001</v>
      </c>
    </row>
    <row r="87">
      <c r="A87" s="178" t="n">
        <v>-0.5</v>
      </c>
      <c r="B87" s="183" t="n">
        <v>0.704</v>
      </c>
      <c r="C87" s="179" t="n">
        <v>0.008000000000000007</v>
      </c>
      <c r="D87" s="16" t="n"/>
      <c r="E87" s="178" t="n">
        <v>-0.5</v>
      </c>
      <c r="F87" s="17" t="n">
        <v>1</v>
      </c>
      <c r="G87" s="179" t="n">
        <v>0</v>
      </c>
      <c r="I87" s="182" t="n">
        <v>0.08500000000000001</v>
      </c>
      <c r="J87" s="36">
        <f>J86+K87</f>
        <v/>
      </c>
      <c r="K87" t="n">
        <v>0.03000000000000003</v>
      </c>
      <c r="M87" s="178" t="n">
        <v>0.065</v>
      </c>
      <c r="N87" s="187">
        <f>N86+O87</f>
        <v/>
      </c>
      <c r="O87" s="180" t="n">
        <v>0.01000000000000001</v>
      </c>
    </row>
    <row r="88">
      <c r="A88" s="178" t="n">
        <v>-0.49</v>
      </c>
      <c r="B88" s="183" t="n">
        <v>0.712</v>
      </c>
      <c r="C88" s="179" t="n">
        <v>0.008000000000000007</v>
      </c>
      <c r="D88" s="16" t="n"/>
      <c r="E88" s="178" t="n">
        <v>-0.49</v>
      </c>
      <c r="F88" s="17" t="n">
        <v>1</v>
      </c>
      <c r="G88" s="179" t="n">
        <v>0</v>
      </c>
      <c r="I88" s="182" t="n">
        <v>0.09</v>
      </c>
      <c r="J88" s="36">
        <f>J87+K88</f>
        <v/>
      </c>
      <c r="K88" t="n">
        <v>0.03000000000000003</v>
      </c>
      <c r="M88" s="178" t="n">
        <v>0.07000000000000001</v>
      </c>
      <c r="N88" s="187">
        <f>N87+O88</f>
        <v/>
      </c>
      <c r="O88" s="180" t="n">
        <v>0.009999999999999898</v>
      </c>
    </row>
    <row r="89">
      <c r="A89" s="178" t="n">
        <v>-0.48</v>
      </c>
      <c r="B89" s="183" t="n">
        <v>0.72</v>
      </c>
      <c r="C89" s="179" t="n">
        <v>0.008000000000000007</v>
      </c>
      <c r="D89" s="16" t="n"/>
      <c r="E89" s="178" t="n">
        <v>-0.48</v>
      </c>
      <c r="F89" s="17" t="n">
        <v>1</v>
      </c>
      <c r="G89" s="179" t="n">
        <v>0</v>
      </c>
      <c r="I89" s="182" t="n">
        <v>0.095</v>
      </c>
      <c r="J89" s="36">
        <f>J88+K89</f>
        <v/>
      </c>
      <c r="K89" t="n">
        <v>0.03000000000000003</v>
      </c>
      <c r="M89" s="178" t="n">
        <v>0.075</v>
      </c>
      <c r="N89" s="187">
        <f>N88+O89</f>
        <v/>
      </c>
      <c r="O89" s="180" t="n">
        <v>0.01000000000000001</v>
      </c>
    </row>
    <row r="90">
      <c r="A90" s="178" t="n">
        <v>-0.47</v>
      </c>
      <c r="B90" s="183" t="n">
        <v>0.728</v>
      </c>
      <c r="C90" s="179" t="n">
        <v>0.008000000000000007</v>
      </c>
      <c r="D90" s="16" t="n"/>
      <c r="E90" s="178" t="n">
        <v>-0.47</v>
      </c>
      <c r="F90" s="17" t="n">
        <v>1</v>
      </c>
      <c r="G90" s="179" t="n">
        <v>0</v>
      </c>
      <c r="I90" s="182" t="n">
        <v>0.1</v>
      </c>
      <c r="J90" s="36">
        <f>J89+K90</f>
        <v/>
      </c>
      <c r="K90" t="n">
        <v>0.02999999999999992</v>
      </c>
      <c r="M90" s="178" t="n">
        <v>0.08</v>
      </c>
      <c r="N90" s="187">
        <f>N89+O90</f>
        <v/>
      </c>
      <c r="O90" s="180" t="n">
        <v>0.01000000000000001</v>
      </c>
    </row>
    <row r="91">
      <c r="A91" s="178" t="n">
        <v>-0.46</v>
      </c>
      <c r="B91" s="183" t="n">
        <v>0.736</v>
      </c>
      <c r="C91" s="179" t="n">
        <v>0.008000000000000007</v>
      </c>
      <c r="D91" s="16" t="n"/>
      <c r="E91" s="178" t="n">
        <v>-0.46</v>
      </c>
      <c r="F91" s="17" t="n">
        <v>1</v>
      </c>
      <c r="G91" s="179" t="n">
        <v>0</v>
      </c>
      <c r="I91" s="182" t="n">
        <v>0.105</v>
      </c>
      <c r="J91" s="36">
        <f>J90+K91</f>
        <v/>
      </c>
      <c r="K91" t="n">
        <v>0.03499999999999998</v>
      </c>
      <c r="M91" s="178" t="n">
        <v>0.08500000000000001</v>
      </c>
      <c r="N91" s="187">
        <f>N90+O91</f>
        <v/>
      </c>
      <c r="O91" s="180" t="n">
        <v>0.0149999999999999</v>
      </c>
    </row>
    <row r="92">
      <c r="A92" s="178" t="n">
        <v>-0.45</v>
      </c>
      <c r="B92" s="183" t="n">
        <v>0.744</v>
      </c>
      <c r="C92" s="179" t="n">
        <v>0.008000000000000007</v>
      </c>
      <c r="D92" s="16" t="n"/>
      <c r="E92" s="178" t="n">
        <v>-0.45</v>
      </c>
      <c r="F92" s="17" t="n">
        <v>1</v>
      </c>
      <c r="G92" s="179" t="n">
        <v>0</v>
      </c>
      <c r="I92" s="182" t="n">
        <v>0.11</v>
      </c>
      <c r="J92" s="36">
        <f>J91+K92</f>
        <v/>
      </c>
      <c r="K92" t="n">
        <v>0.03500000000000003</v>
      </c>
      <c r="M92" s="178" t="n">
        <v>0.09</v>
      </c>
      <c r="N92" s="187">
        <f>N91+O92</f>
        <v/>
      </c>
      <c r="O92" s="180" t="n">
        <v>0.01500000000000001</v>
      </c>
    </row>
    <row r="93">
      <c r="A93" s="178" t="n">
        <v>-0.44</v>
      </c>
      <c r="B93" s="183" t="n">
        <v>0.752</v>
      </c>
      <c r="C93" s="179" t="n">
        <v>0.007000000000000006</v>
      </c>
      <c r="D93" s="16" t="n"/>
      <c r="E93" s="178" t="n">
        <v>-0.44</v>
      </c>
      <c r="F93" s="17" t="n">
        <v>1</v>
      </c>
      <c r="G93" s="179" t="n">
        <v>0</v>
      </c>
      <c r="I93" s="182" t="n">
        <v>0.115</v>
      </c>
      <c r="J93" s="36">
        <f>J92+K93</f>
        <v/>
      </c>
      <c r="K93" t="n">
        <v>0.03500000000000003</v>
      </c>
      <c r="M93" s="178" t="n">
        <v>0.095</v>
      </c>
      <c r="N93" s="187">
        <f>N92+O93</f>
        <v/>
      </c>
      <c r="O93" s="180" t="n">
        <v>0.01500000000000001</v>
      </c>
    </row>
    <row r="94">
      <c r="A94" s="178" t="n">
        <v>-0.43</v>
      </c>
      <c r="B94" s="183" t="n">
        <v>0.759</v>
      </c>
      <c r="C94" s="179" t="n">
        <v>0.007000000000000006</v>
      </c>
      <c r="D94" s="16" t="n"/>
      <c r="E94" s="178" t="n">
        <v>-0.43</v>
      </c>
      <c r="F94" s="17" t="n">
        <v>1</v>
      </c>
      <c r="G94" s="179" t="n">
        <v>0</v>
      </c>
      <c r="I94" s="182" t="n">
        <v>0.12</v>
      </c>
      <c r="J94" s="36">
        <f>J93+K94</f>
        <v/>
      </c>
      <c r="K94" t="n">
        <v>0.03499999999999992</v>
      </c>
      <c r="M94" s="178" t="n">
        <v>0.1</v>
      </c>
      <c r="N94" s="187">
        <f>N93+O94</f>
        <v/>
      </c>
      <c r="O94" s="180" t="n">
        <v>0.01500000000000001</v>
      </c>
    </row>
    <row r="95">
      <c r="A95" s="178" t="n">
        <v>-0.42</v>
      </c>
      <c r="B95" s="183" t="n">
        <v>0.766</v>
      </c>
      <c r="C95" s="179" t="n">
        <v>0.007000000000000006</v>
      </c>
      <c r="D95" s="16" t="n"/>
      <c r="E95" s="178" t="n">
        <v>-0.42</v>
      </c>
      <c r="F95" s="17" t="n">
        <v>1</v>
      </c>
      <c r="G95" s="179" t="n">
        <v>0</v>
      </c>
      <c r="I95" s="182" t="n">
        <v>0.125</v>
      </c>
      <c r="J95" s="36">
        <f>J94+K95</f>
        <v/>
      </c>
      <c r="K95" s="181" t="n">
        <v>0.04000000000000004</v>
      </c>
      <c r="M95" s="178" t="n">
        <v>0.105</v>
      </c>
      <c r="N95" s="187">
        <f>N94+O95</f>
        <v/>
      </c>
      <c r="O95" s="180" t="n">
        <v>0.01500000000000001</v>
      </c>
    </row>
    <row r="96">
      <c r="A96" s="178" t="n">
        <v>-0.41</v>
      </c>
      <c r="B96" s="183" t="n">
        <v>0.773</v>
      </c>
      <c r="C96" s="179" t="n">
        <v>0.007000000000000006</v>
      </c>
      <c r="D96" s="16" t="n"/>
      <c r="E96" s="178" t="n">
        <v>-0.41</v>
      </c>
      <c r="F96" s="17" t="n">
        <v>1</v>
      </c>
      <c r="G96" s="179" t="n">
        <v>0</v>
      </c>
      <c r="I96" s="182" t="n">
        <v>0.13</v>
      </c>
      <c r="J96" s="36">
        <f>J95+K96</f>
        <v/>
      </c>
      <c r="K96" s="181" t="n">
        <v>0.03999999999999998</v>
      </c>
      <c r="M96" s="178" t="n">
        <v>0.11</v>
      </c>
      <c r="N96" s="187">
        <f>N95+O96</f>
        <v/>
      </c>
      <c r="O96" s="180" t="n">
        <v>0.01500000000000001</v>
      </c>
    </row>
    <row r="97">
      <c r="A97" s="178" t="n">
        <v>-0.4</v>
      </c>
      <c r="B97" s="183" t="n">
        <v>0.78</v>
      </c>
      <c r="C97" s="179" t="n">
        <v>0.007000000000000006</v>
      </c>
      <c r="D97" s="16" t="n"/>
      <c r="E97" s="178" t="n">
        <v>-0.4</v>
      </c>
      <c r="F97" s="17" t="n">
        <v>1</v>
      </c>
      <c r="G97" s="179" t="n">
        <v>0</v>
      </c>
      <c r="I97" s="182" t="n">
        <v>0.135</v>
      </c>
      <c r="J97" s="36">
        <f>J96+K97</f>
        <v/>
      </c>
      <c r="K97" s="181" t="n">
        <v>0.03999999999999998</v>
      </c>
      <c r="M97" s="178" t="n">
        <v>0.115</v>
      </c>
      <c r="N97" s="187">
        <f>N96+O97</f>
        <v/>
      </c>
      <c r="O97" s="180" t="n">
        <v>0.02000000000000002</v>
      </c>
    </row>
    <row r="98">
      <c r="A98" s="178" t="n">
        <v>-0.39</v>
      </c>
      <c r="B98" s="183" t="n">
        <v>0.787</v>
      </c>
      <c r="C98" s="179" t="n">
        <v>0.007000000000000006</v>
      </c>
      <c r="D98" s="16" t="n"/>
      <c r="E98" s="178" t="n">
        <v>-0.39</v>
      </c>
      <c r="F98" s="17" t="n">
        <v>1</v>
      </c>
      <c r="G98" s="179" t="n">
        <v>0</v>
      </c>
      <c r="I98" s="182" t="n">
        <v>0.14</v>
      </c>
      <c r="J98" s="36">
        <f>J97+K98</f>
        <v/>
      </c>
      <c r="K98" s="181" t="n">
        <v>0.04000000000000004</v>
      </c>
      <c r="M98" s="178" t="n">
        <v>0.12</v>
      </c>
      <c r="N98" s="187">
        <f>N97+O98</f>
        <v/>
      </c>
      <c r="O98" s="180" t="n">
        <v>0.02000000000000002</v>
      </c>
    </row>
    <row r="99">
      <c r="A99" s="178" t="n">
        <v>-0.38</v>
      </c>
      <c r="B99" s="183" t="n">
        <v>0.794</v>
      </c>
      <c r="C99" s="179" t="n">
        <v>0.007000000000000006</v>
      </c>
      <c r="D99" s="16" t="n"/>
      <c r="E99" s="178" t="n">
        <v>-0.38</v>
      </c>
      <c r="F99" s="17" t="n">
        <v>1</v>
      </c>
      <c r="G99" s="179" t="n">
        <v>0</v>
      </c>
      <c r="I99" s="182" t="n">
        <v>0.145</v>
      </c>
      <c r="J99" s="36">
        <f>J98+K99</f>
        <v/>
      </c>
      <c r="K99" t="n">
        <v>0.04499999999999998</v>
      </c>
      <c r="M99" s="178" t="n">
        <v>0.125</v>
      </c>
      <c r="N99" s="187">
        <f>N98+O99</f>
        <v/>
      </c>
      <c r="O99" s="180" t="n">
        <v>0.02000000000000002</v>
      </c>
    </row>
    <row r="100">
      <c r="A100" s="178" t="n">
        <v>-0.37</v>
      </c>
      <c r="B100" s="183" t="n">
        <v>0.801</v>
      </c>
      <c r="C100" s="179" t="n">
        <v>0.007000000000000006</v>
      </c>
      <c r="D100" s="16" t="n"/>
      <c r="E100" s="178" t="n">
        <v>-0.37</v>
      </c>
      <c r="F100" s="17" t="n">
        <v>1</v>
      </c>
      <c r="G100" s="179" t="n">
        <v>0</v>
      </c>
      <c r="I100" s="182" t="n">
        <v>0.15</v>
      </c>
      <c r="J100" s="36">
        <f>J99+K100</f>
        <v/>
      </c>
      <c r="K100" t="n">
        <v>0.04499999999999998</v>
      </c>
      <c r="M100" s="178" t="n">
        <v>0.13</v>
      </c>
      <c r="N100" s="187">
        <f>N99+O100</f>
        <v/>
      </c>
      <c r="O100" s="180" t="n">
        <v>0.02000000000000002</v>
      </c>
    </row>
    <row r="101">
      <c r="A101" s="178" t="n">
        <v>-0.36</v>
      </c>
      <c r="B101" s="183" t="n">
        <v>0.8080000000000001</v>
      </c>
      <c r="C101" s="179" t="n">
        <v>0.006999999999999895</v>
      </c>
      <c r="D101" s="16" t="n"/>
      <c r="E101" s="178" t="n">
        <v>-0.36</v>
      </c>
      <c r="F101" s="17" t="n">
        <v>1</v>
      </c>
      <c r="G101" s="179" t="n">
        <v>0</v>
      </c>
      <c r="I101" s="182" t="n">
        <v>0.155</v>
      </c>
      <c r="J101" s="36">
        <f>J100+K101</f>
        <v/>
      </c>
      <c r="K101" t="n">
        <v>0.05</v>
      </c>
      <c r="M101" s="178" t="n">
        <v>0.135</v>
      </c>
      <c r="N101" s="187">
        <f>N100+O101</f>
        <v/>
      </c>
      <c r="O101" s="180" t="n">
        <v>0.02000000000000002</v>
      </c>
    </row>
    <row r="102">
      <c r="A102" s="178" t="n">
        <v>-0.35</v>
      </c>
      <c r="B102" s="183" t="n">
        <v>0.8149999999999999</v>
      </c>
      <c r="C102" s="179" t="n">
        <v>0.007000000000000006</v>
      </c>
      <c r="D102" s="16" t="n"/>
      <c r="E102" s="178" t="n">
        <v>-0.35</v>
      </c>
      <c r="F102" s="17" t="n">
        <v>1</v>
      </c>
      <c r="G102" s="179" t="n">
        <v>0</v>
      </c>
      <c r="I102" s="182" t="n">
        <v>0.16</v>
      </c>
      <c r="J102" s="36">
        <f>J101+K102</f>
        <v/>
      </c>
      <c r="K102" t="n">
        <v>0.05</v>
      </c>
      <c r="M102" s="178" t="n">
        <v>0.14</v>
      </c>
      <c r="N102" s="187">
        <f>N101+O102</f>
        <v/>
      </c>
      <c r="O102" s="180" t="n">
        <v>0.02500000000000002</v>
      </c>
    </row>
    <row r="103">
      <c r="A103" s="178" t="n">
        <v>-0.34</v>
      </c>
      <c r="B103" s="183" t="n">
        <v>0.822</v>
      </c>
      <c r="C103" s="179" t="n">
        <v>0.007000000000000006</v>
      </c>
      <c r="D103" s="16" t="n"/>
      <c r="E103" s="178" t="n">
        <v>-0.34</v>
      </c>
      <c r="F103" s="17" t="n">
        <v>1</v>
      </c>
      <c r="G103" s="179" t="n">
        <v>0</v>
      </c>
      <c r="I103" s="182" t="n">
        <v>0.165</v>
      </c>
      <c r="J103" s="36">
        <f>J102+K103</f>
        <v/>
      </c>
      <c r="K103" t="n">
        <v>0.04999999999999999</v>
      </c>
      <c r="M103" s="178" t="n">
        <v>0.145</v>
      </c>
      <c r="N103" s="187">
        <f>N102+O103</f>
        <v/>
      </c>
      <c r="O103" s="180" t="n">
        <v>0.02500000000000002</v>
      </c>
    </row>
    <row r="104">
      <c r="A104" s="178" t="n">
        <v>-0.33</v>
      </c>
      <c r="B104" s="183" t="n">
        <v>0.829</v>
      </c>
      <c r="C104" s="179" t="n">
        <v>0.007000000000000006</v>
      </c>
      <c r="D104" s="16" t="n"/>
      <c r="E104" s="178" t="n">
        <v>-0.33</v>
      </c>
      <c r="F104" s="17" t="n">
        <v>1</v>
      </c>
      <c r="G104" s="179" t="n">
        <v>0</v>
      </c>
      <c r="I104" s="182" t="n">
        <v>0.17</v>
      </c>
      <c r="J104" s="36">
        <f>J103+K104</f>
        <v/>
      </c>
      <c r="K104" t="n">
        <v>0.05000000000000002</v>
      </c>
      <c r="M104" s="178" t="n">
        <v>0.15</v>
      </c>
      <c r="N104" s="187">
        <f>N103+O104</f>
        <v/>
      </c>
      <c r="O104" s="180" t="n">
        <v>0.02500000000000002</v>
      </c>
    </row>
    <row r="105">
      <c r="A105" s="178" t="n">
        <v>-0.32</v>
      </c>
      <c r="B105" s="183" t="n">
        <v>0.836</v>
      </c>
      <c r="C105" s="179" t="n">
        <v>0.006000000000000005</v>
      </c>
      <c r="D105" s="16" t="n"/>
      <c r="E105" s="178" t="n">
        <v>-0.32</v>
      </c>
      <c r="F105" s="17" t="n">
        <v>1</v>
      </c>
      <c r="G105" s="179" t="n">
        <v>0</v>
      </c>
      <c r="M105" s="178" t="n">
        <v>0.155</v>
      </c>
      <c r="N105" s="187">
        <f>N104+O105</f>
        <v/>
      </c>
      <c r="O105" s="180" t="n">
        <v>0.02499999999999991</v>
      </c>
    </row>
    <row r="106">
      <c r="A106" s="178" t="n">
        <v>-0.31</v>
      </c>
      <c r="B106" s="183" t="n">
        <v>0.842</v>
      </c>
      <c r="C106" s="179" t="n">
        <v>0.006000000000000005</v>
      </c>
      <c r="D106" s="16" t="n"/>
      <c r="E106" s="178" t="n">
        <v>-0.31</v>
      </c>
      <c r="F106" s="17" t="n">
        <v>1</v>
      </c>
      <c r="G106" s="179" t="n">
        <v>0</v>
      </c>
      <c r="M106" s="178" t="n">
        <v>0.16</v>
      </c>
      <c r="N106" s="187">
        <f>N105+O106</f>
        <v/>
      </c>
      <c r="O106" s="180" t="n">
        <v>0.02999999999999997</v>
      </c>
    </row>
    <row r="107">
      <c r="A107" s="178" t="n">
        <v>-0.3</v>
      </c>
      <c r="B107" s="183" t="n">
        <v>0.848</v>
      </c>
      <c r="C107" s="179" t="n">
        <v>0.006000000000000005</v>
      </c>
      <c r="D107" s="16" t="n"/>
      <c r="E107" s="178" t="n">
        <v>-0.3</v>
      </c>
      <c r="F107" s="17" t="n">
        <v>1</v>
      </c>
      <c r="G107" s="179" t="n">
        <v>0</v>
      </c>
      <c r="M107" s="178" t="n">
        <v>0.165</v>
      </c>
      <c r="N107" s="187">
        <f>N106+O107</f>
        <v/>
      </c>
      <c r="O107" s="180" t="n">
        <v>0.03000000000000003</v>
      </c>
    </row>
    <row r="108">
      <c r="A108" s="178" t="n">
        <v>-0.29</v>
      </c>
      <c r="B108" s="183" t="n">
        <v>0.854</v>
      </c>
      <c r="C108" s="179" t="n">
        <v>0.006000000000000005</v>
      </c>
      <c r="D108" s="16" t="n"/>
      <c r="E108" s="178" t="n">
        <v>-0.29</v>
      </c>
      <c r="F108" s="17" t="n">
        <v>1</v>
      </c>
      <c r="G108" s="179" t="n">
        <v>0</v>
      </c>
      <c r="M108" s="178" t="n">
        <v>0.17</v>
      </c>
      <c r="N108" s="187">
        <f>N107+O108</f>
        <v/>
      </c>
      <c r="O108" s="180" t="n">
        <v>0.03000000000000003</v>
      </c>
    </row>
    <row r="109">
      <c r="A109" s="178" t="n">
        <v>-0.28</v>
      </c>
      <c r="B109" s="183" t="n">
        <v>0.86</v>
      </c>
      <c r="C109" s="179" t="n">
        <v>0.006000000000000005</v>
      </c>
      <c r="D109" s="16" t="n"/>
      <c r="E109" s="178" t="n">
        <v>-0.28</v>
      </c>
      <c r="F109" s="17" t="n">
        <v>1</v>
      </c>
      <c r="G109" s="179" t="n">
        <v>0</v>
      </c>
      <c r="M109" s="178" t="n">
        <v>0.175</v>
      </c>
      <c r="N109" s="187">
        <f>N108+O109</f>
        <v/>
      </c>
      <c r="O109" s="180" t="n">
        <v>0.02999999999999992</v>
      </c>
    </row>
    <row r="110">
      <c r="A110" s="178" t="n">
        <v>-0.27</v>
      </c>
      <c r="B110" s="183" t="n">
        <v>0.866</v>
      </c>
      <c r="C110" s="179" t="n">
        <v>0.006000000000000005</v>
      </c>
      <c r="D110" s="16" t="n"/>
      <c r="E110" s="178" t="n">
        <v>-0.27</v>
      </c>
      <c r="F110" s="17" t="n">
        <v>1</v>
      </c>
      <c r="G110" s="179" t="n">
        <v>0</v>
      </c>
      <c r="M110" s="178" t="n">
        <v>0.18</v>
      </c>
      <c r="N110" s="187">
        <f>N109+O110</f>
        <v/>
      </c>
      <c r="O110" s="180" t="n">
        <v>0.03000000000000003</v>
      </c>
    </row>
    <row r="111">
      <c r="A111" s="178" t="n">
        <v>-0.26</v>
      </c>
      <c r="B111" s="183" t="n">
        <v>0.872</v>
      </c>
      <c r="C111" s="179" t="n">
        <v>0.006000000000000005</v>
      </c>
      <c r="D111" s="16" t="n"/>
      <c r="E111" s="178" t="n">
        <v>-0.26</v>
      </c>
      <c r="F111" s="17" t="n">
        <v>1</v>
      </c>
      <c r="G111" s="179" t="n">
        <v>0</v>
      </c>
      <c r="M111" s="178" t="n">
        <v>0.185</v>
      </c>
      <c r="N111" s="187">
        <f>N110+O111</f>
        <v/>
      </c>
      <c r="O111" s="180" t="n">
        <v>0.03499999999999998</v>
      </c>
    </row>
    <row r="112">
      <c r="A112" s="178" t="n">
        <v>-0.25</v>
      </c>
      <c r="B112" s="183" t="n">
        <v>0.878</v>
      </c>
      <c r="C112" s="179" t="n">
        <v>0.006000000000000005</v>
      </c>
      <c r="D112" s="16" t="n"/>
      <c r="E112" s="178" t="n">
        <v>-0.25</v>
      </c>
      <c r="F112" s="17" t="n">
        <v>1</v>
      </c>
      <c r="G112" s="179" t="n">
        <v>0</v>
      </c>
      <c r="M112" s="178" t="n">
        <v>0.19</v>
      </c>
      <c r="N112" s="187">
        <f>N111+O112</f>
        <v/>
      </c>
      <c r="O112" s="180" t="n">
        <v>0.03500000000000003</v>
      </c>
    </row>
    <row r="113">
      <c r="A113" s="178" t="n">
        <v>-0.24</v>
      </c>
      <c r="B113" s="183" t="n">
        <v>0.884</v>
      </c>
      <c r="C113" s="179" t="n">
        <v>0.006000000000000005</v>
      </c>
      <c r="D113" s="16" t="n"/>
      <c r="E113" s="178" t="n">
        <v>-0.24</v>
      </c>
      <c r="F113" s="17" t="n">
        <v>1</v>
      </c>
      <c r="G113" s="179" t="n">
        <v>0</v>
      </c>
      <c r="M113" s="178" t="n">
        <v>0.195</v>
      </c>
      <c r="N113" s="187">
        <f>N112+O113</f>
        <v/>
      </c>
      <c r="O113" s="180" t="n">
        <v>0.03499999999999998</v>
      </c>
    </row>
    <row r="114">
      <c r="A114" s="178" t="n">
        <v>-0.23</v>
      </c>
      <c r="B114" s="183" t="n">
        <v>0.89</v>
      </c>
      <c r="C114" s="179" t="n">
        <v>0.006000000000000005</v>
      </c>
      <c r="D114" s="16" t="n"/>
      <c r="E114" s="178" t="n">
        <v>-0.23</v>
      </c>
      <c r="F114" s="17" t="n">
        <v>1</v>
      </c>
      <c r="G114" s="179" t="n">
        <v>0</v>
      </c>
      <c r="M114" s="178" t="n">
        <v>0.2</v>
      </c>
      <c r="N114" s="187">
        <f>N113+O114</f>
        <v/>
      </c>
      <c r="O114" s="180" t="n">
        <v>0.03500000000000003</v>
      </c>
    </row>
    <row r="115">
      <c r="A115" s="178" t="n">
        <v>-0.22</v>
      </c>
      <c r="B115" s="183" t="n">
        <v>0.896</v>
      </c>
      <c r="C115" s="179" t="n">
        <v>0.006000000000000005</v>
      </c>
      <c r="D115" s="16" t="n"/>
      <c r="E115" s="178" t="n">
        <v>-0.22</v>
      </c>
      <c r="F115" s="17" t="n">
        <v>1</v>
      </c>
      <c r="G115" s="179" t="n">
        <v>0</v>
      </c>
      <c r="M115" s="178" t="n">
        <v>0.205</v>
      </c>
      <c r="N115" s="187">
        <f>N114+O115</f>
        <v/>
      </c>
      <c r="O115" s="180" t="n">
        <v>0.03999999999999998</v>
      </c>
    </row>
    <row r="116">
      <c r="A116" s="178" t="n">
        <v>-0.21</v>
      </c>
      <c r="B116" s="183" t="n">
        <v>0.902</v>
      </c>
      <c r="C116" s="179" t="n">
        <v>0.006000000000000005</v>
      </c>
      <c r="D116" s="16" t="n"/>
      <c r="E116" s="178" t="n">
        <v>-0.21</v>
      </c>
      <c r="F116" s="17" t="n">
        <v>1</v>
      </c>
      <c r="G116" s="179" t="n">
        <v>0</v>
      </c>
      <c r="M116" s="178" t="n">
        <v>0.21</v>
      </c>
      <c r="N116" s="187">
        <f>N115+O116</f>
        <v/>
      </c>
      <c r="O116" s="180" t="n">
        <v>0.04000000000000004</v>
      </c>
    </row>
    <row r="117">
      <c r="A117" s="178" t="n">
        <v>-0.2</v>
      </c>
      <c r="B117" s="183" t="n">
        <v>0.908</v>
      </c>
      <c r="C117" s="179" t="n">
        <v>0.006000000000000005</v>
      </c>
      <c r="D117" s="16" t="n"/>
      <c r="E117" s="178" t="n">
        <v>-0.2</v>
      </c>
      <c r="F117" s="17" t="n">
        <v>1</v>
      </c>
      <c r="G117" s="179" t="n">
        <v>0</v>
      </c>
      <c r="M117" s="178" t="n">
        <v>0.215</v>
      </c>
      <c r="N117" s="187">
        <f>N116+O117</f>
        <v/>
      </c>
      <c r="O117" s="180" t="n">
        <v>0.03999999999999998</v>
      </c>
    </row>
    <row r="118">
      <c r="A118" s="178" t="n">
        <v>-0.19</v>
      </c>
      <c r="B118" s="183" t="n">
        <v>0.914</v>
      </c>
      <c r="C118" s="179" t="n">
        <v>0.006000000000000005</v>
      </c>
      <c r="D118" s="16" t="n"/>
      <c r="E118" s="178" t="n">
        <v>-0.19</v>
      </c>
      <c r="F118" s="17" t="n">
        <v>1</v>
      </c>
      <c r="G118" s="179" t="n">
        <v>0</v>
      </c>
      <c r="M118" s="178" t="n">
        <v>0.22</v>
      </c>
      <c r="N118" s="187">
        <f>N117+O118</f>
        <v/>
      </c>
      <c r="O118" s="180" t="n">
        <v>0.045</v>
      </c>
    </row>
    <row r="119">
      <c r="A119" s="178" t="n">
        <v>-0.18</v>
      </c>
      <c r="B119" s="183" t="n">
        <v>0.92</v>
      </c>
      <c r="C119" s="179" t="n">
        <v>0.005000000000000004</v>
      </c>
      <c r="D119" s="16" t="n"/>
      <c r="E119" s="178" t="n">
        <v>-0.18</v>
      </c>
      <c r="F119" s="17" t="n">
        <v>1</v>
      </c>
      <c r="G119" s="179" t="n">
        <v>0</v>
      </c>
      <c r="M119" s="178" t="n">
        <v>0.225</v>
      </c>
      <c r="N119" s="187">
        <f>N118+O119</f>
        <v/>
      </c>
      <c r="O119" s="180" t="n">
        <v>0.04500000000000001</v>
      </c>
    </row>
    <row r="120">
      <c r="A120" s="178" t="n">
        <v>-0.17</v>
      </c>
      <c r="B120" s="183" t="n">
        <v>0.925</v>
      </c>
      <c r="C120" s="179" t="n">
        <v>0.005000000000000004</v>
      </c>
      <c r="D120" s="16" t="n"/>
      <c r="E120" s="178" t="n">
        <v>-0.17</v>
      </c>
      <c r="F120" s="17" t="n">
        <v>1</v>
      </c>
      <c r="G120" s="179" t="n">
        <v>0</v>
      </c>
      <c r="M120" s="178" t="n">
        <v>0.23</v>
      </c>
      <c r="N120" s="187">
        <f>N119+O120</f>
        <v/>
      </c>
      <c r="O120" s="180" t="n">
        <v>0.06</v>
      </c>
    </row>
    <row r="121">
      <c r="A121" s="178" t="n">
        <v>-0.16</v>
      </c>
      <c r="B121" s="183" t="n">
        <v>0.93</v>
      </c>
      <c r="C121" s="179" t="n">
        <v>0.005000000000000004</v>
      </c>
      <c r="D121" s="16" t="n"/>
      <c r="E121" s="178" t="n">
        <v>-0.16</v>
      </c>
      <c r="F121" s="17" t="n">
        <v>1</v>
      </c>
      <c r="G121" s="179" t="n">
        <v>0</v>
      </c>
      <c r="M121" s="178" t="n">
        <v>0.235</v>
      </c>
      <c r="N121" s="187">
        <f>N120+O121</f>
        <v/>
      </c>
      <c r="O121" s="180" t="n">
        <v>0.05</v>
      </c>
    </row>
    <row r="122">
      <c r="A122" s="178" t="n">
        <v>-0.15</v>
      </c>
      <c r="B122" s="183" t="n">
        <v>0.9350000000000001</v>
      </c>
      <c r="C122" s="179" t="n">
        <v>0.004999999999999893</v>
      </c>
      <c r="D122" s="16" t="n"/>
      <c r="E122" s="178" t="n">
        <v>-0.15</v>
      </c>
      <c r="F122" s="17" t="n">
        <v>1</v>
      </c>
      <c r="G122" s="179" t="n">
        <v>0</v>
      </c>
      <c r="M122" s="178" t="n">
        <v>0.24</v>
      </c>
      <c r="N122" s="187">
        <f>N121+O122</f>
        <v/>
      </c>
    </row>
    <row r="123">
      <c r="A123" s="178" t="n">
        <v>-0.14</v>
      </c>
      <c r="B123" s="183" t="n">
        <v>0.9399999999999999</v>
      </c>
      <c r="C123" s="179" t="n">
        <v>0.005000000000000004</v>
      </c>
      <c r="D123" s="16" t="n"/>
      <c r="E123" s="178" t="n">
        <v>-0.14</v>
      </c>
      <c r="F123" s="17" t="n">
        <v>1</v>
      </c>
      <c r="G123" s="179" t="n">
        <v>0</v>
      </c>
    </row>
    <row r="124">
      <c r="A124" s="178" t="n">
        <v>-0.13</v>
      </c>
      <c r="B124" s="183" t="n">
        <v>0.945</v>
      </c>
      <c r="C124" s="179" t="n">
        <v>0.005000000000000004</v>
      </c>
      <c r="D124" s="16" t="n"/>
      <c r="E124" s="178" t="n">
        <v>-0.13</v>
      </c>
      <c r="F124" s="17" t="n">
        <v>1</v>
      </c>
      <c r="G124" s="179" t="n">
        <v>0</v>
      </c>
    </row>
    <row r="125">
      <c r="A125" s="178" t="n">
        <v>-0.12</v>
      </c>
      <c r="B125" s="183" t="n">
        <v>0.95</v>
      </c>
      <c r="C125" s="179" t="n">
        <v>0.005000000000000004</v>
      </c>
      <c r="D125" s="16" t="n"/>
      <c r="E125" s="178" t="n">
        <v>-0.12</v>
      </c>
      <c r="F125" s="17" t="n">
        <v>1</v>
      </c>
      <c r="G125" s="179" t="n">
        <v>0</v>
      </c>
    </row>
    <row r="126">
      <c r="A126" s="178" t="n">
        <v>-0.11</v>
      </c>
      <c r="B126" s="183" t="n">
        <v>0.955</v>
      </c>
      <c r="C126" s="179" t="n">
        <v>0.005000000000000004</v>
      </c>
      <c r="D126" s="16" t="n"/>
      <c r="E126" s="178" t="n">
        <v>-0.11</v>
      </c>
      <c r="F126" s="17" t="n">
        <v>1</v>
      </c>
      <c r="G126" s="179" t="n">
        <v>0</v>
      </c>
    </row>
    <row r="127">
      <c r="A127" s="178" t="n">
        <v>-0.1</v>
      </c>
      <c r="B127" s="183" t="n">
        <v>0.96</v>
      </c>
      <c r="C127" s="179" t="n">
        <v>0.005000000000000004</v>
      </c>
      <c r="D127" s="16" t="n"/>
      <c r="E127" s="178" t="n">
        <v>-0.1</v>
      </c>
      <c r="F127" s="17" t="n">
        <v>1</v>
      </c>
      <c r="G127" s="179" t="n">
        <v>0</v>
      </c>
    </row>
    <row r="128">
      <c r="A128" s="178" t="n">
        <v>-0.09</v>
      </c>
      <c r="B128" s="183" t="n">
        <v>0.965</v>
      </c>
      <c r="C128" s="179" t="n">
        <v>0.005000000000000004</v>
      </c>
      <c r="D128" s="16" t="n"/>
      <c r="E128" s="178" t="n">
        <v>-0.09</v>
      </c>
      <c r="F128" s="17" t="n">
        <v>1</v>
      </c>
      <c r="G128" s="179" t="n">
        <v>0</v>
      </c>
    </row>
    <row r="129">
      <c r="A129" s="178" t="n">
        <v>-0.08</v>
      </c>
      <c r="B129" s="183" t="n">
        <v>0.97</v>
      </c>
      <c r="C129" s="179" t="n">
        <v>0.005000000000000004</v>
      </c>
      <c r="D129" s="16" t="n"/>
      <c r="E129" s="178" t="n">
        <v>-0.08</v>
      </c>
      <c r="F129" s="17" t="n">
        <v>1</v>
      </c>
      <c r="G129" s="179" t="n">
        <v>0</v>
      </c>
    </row>
    <row r="130">
      <c r="A130" s="178" t="n">
        <v>-0.07000000000000001</v>
      </c>
      <c r="B130" s="183" t="n">
        <v>0.975</v>
      </c>
      <c r="C130" s="179" t="n">
        <v>0.005000000000000004</v>
      </c>
      <c r="D130" s="16" t="n"/>
      <c r="E130" s="178" t="n">
        <v>-0.07000000000000001</v>
      </c>
      <c r="F130" s="17" t="n">
        <v>1</v>
      </c>
      <c r="G130" s="179" t="n">
        <v>0</v>
      </c>
    </row>
    <row r="131">
      <c r="A131" s="178" t="n">
        <v>-0.06</v>
      </c>
      <c r="B131" s="183" t="n">
        <v>0.98</v>
      </c>
      <c r="C131" s="179" t="n">
        <v>0.005000000000000004</v>
      </c>
      <c r="D131" s="16" t="n"/>
      <c r="E131" s="178" t="n">
        <v>-0.06</v>
      </c>
      <c r="F131" s="17" t="n">
        <v>1</v>
      </c>
      <c r="G131" s="179" t="n">
        <v>0</v>
      </c>
    </row>
    <row r="132">
      <c r="A132" s="178" t="n">
        <v>-0.05</v>
      </c>
      <c r="B132" s="183" t="n">
        <v>0.985</v>
      </c>
      <c r="C132" s="179" t="n">
        <v>0.005000000000000004</v>
      </c>
      <c r="D132" s="16" t="n"/>
      <c r="E132" s="178" t="n">
        <v>-0.05</v>
      </c>
      <c r="F132" s="17" t="n">
        <v>1</v>
      </c>
      <c r="G132" s="179" t="n">
        <v>0</v>
      </c>
    </row>
    <row r="133">
      <c r="A133" s="178" t="n">
        <v>-0.04</v>
      </c>
      <c r="B133" s="183" t="n">
        <v>0.99</v>
      </c>
      <c r="C133" s="179" t="n">
        <v>0.005000000000000004</v>
      </c>
      <c r="D133" s="16" t="n"/>
      <c r="E133" s="178" t="n">
        <v>-0.04</v>
      </c>
      <c r="F133" s="17" t="n">
        <v>1</v>
      </c>
      <c r="G133" s="179" t="n">
        <v>0</v>
      </c>
    </row>
    <row r="134">
      <c r="A134" s="178" t="n">
        <v>-0.03</v>
      </c>
      <c r="B134" s="183" t="n">
        <v>0.995</v>
      </c>
      <c r="C134" s="179" t="n">
        <v>0.005000000000000004</v>
      </c>
      <c r="D134" s="16" t="n"/>
      <c r="E134" s="178" t="n">
        <v>-0.03</v>
      </c>
      <c r="F134" s="17" t="n">
        <v>1</v>
      </c>
      <c r="G134" s="179" t="n">
        <v>0</v>
      </c>
    </row>
    <row r="135">
      <c r="A135" s="178" t="n">
        <v>-0.02</v>
      </c>
      <c r="B135" s="17" t="n">
        <v>1</v>
      </c>
      <c r="C135" s="179" t="n">
        <v>0</v>
      </c>
      <c r="D135" s="16" t="n"/>
      <c r="E135" s="178" t="n">
        <v>-0.02</v>
      </c>
      <c r="F135" s="17" t="n">
        <v>1</v>
      </c>
      <c r="G135" s="179" t="n">
        <v>0</v>
      </c>
    </row>
    <row r="136">
      <c r="A136" s="41" t="n">
        <v>0</v>
      </c>
      <c r="B136" s="188" t="n">
        <v>1</v>
      </c>
      <c r="C136" s="16" t="n"/>
      <c r="D136" s="16" t="n"/>
      <c r="E136" s="41" t="n">
        <v>0</v>
      </c>
      <c r="F136" s="17" t="n">
        <v>1</v>
      </c>
      <c r="G136" s="16" t="n"/>
    </row>
    <row r="137">
      <c r="A137" s="182" t="n">
        <v>0.02</v>
      </c>
      <c r="B137" s="183" t="n">
        <v>1</v>
      </c>
      <c r="E137" s="182" t="n">
        <v>0.02</v>
      </c>
      <c r="F137" s="17" t="n">
        <v>1</v>
      </c>
    </row>
    <row r="138">
      <c r="A138" s="182" t="n">
        <v>0.06</v>
      </c>
      <c r="B138" s="183" t="n">
        <v>1.005</v>
      </c>
      <c r="E138" s="182" t="n">
        <v>0.03</v>
      </c>
      <c r="F138" s="17" t="n">
        <v>1</v>
      </c>
    </row>
    <row r="139">
      <c r="A139" s="182" t="n">
        <v>0.04</v>
      </c>
      <c r="B139" s="183" t="n">
        <v>1.01</v>
      </c>
      <c r="E139" s="182" t="n">
        <v>0.04</v>
      </c>
      <c r="F139" s="17" t="n">
        <v>1</v>
      </c>
    </row>
    <row r="140">
      <c r="A140" s="182" t="n">
        <v>0.05</v>
      </c>
      <c r="B140" s="183" t="n">
        <v>1.015</v>
      </c>
      <c r="E140" s="182" t="n">
        <v>0.05</v>
      </c>
      <c r="F140" s="17" t="n">
        <v>1</v>
      </c>
    </row>
    <row r="141">
      <c r="A141" s="182" t="n">
        <v>0.06</v>
      </c>
      <c r="B141" s="183" t="n">
        <v>1.02</v>
      </c>
      <c r="E141" s="182" t="n">
        <v>0.06</v>
      </c>
      <c r="F141" s="17" t="n">
        <v>1</v>
      </c>
    </row>
    <row r="142">
      <c r="A142" s="182" t="n">
        <v>0.04</v>
      </c>
      <c r="B142" s="183" t="n">
        <v>1.025</v>
      </c>
      <c r="E142" s="182" t="n">
        <v>0.07000000000000001</v>
      </c>
      <c r="F142" s="17" t="n">
        <v>1</v>
      </c>
    </row>
    <row r="143">
      <c r="A143" s="182" t="n">
        <v>0.08</v>
      </c>
      <c r="B143" s="183" t="n">
        <v>1.03</v>
      </c>
      <c r="E143" s="182" t="n">
        <v>0.08</v>
      </c>
      <c r="F143" s="17" t="n">
        <v>1</v>
      </c>
    </row>
    <row r="144">
      <c r="A144" s="182" t="n">
        <v>0.09</v>
      </c>
      <c r="B144" s="183" t="n">
        <v>1.035</v>
      </c>
      <c r="E144" s="182" t="n">
        <v>0.09</v>
      </c>
      <c r="F144" s="17" t="n">
        <v>1</v>
      </c>
    </row>
    <row r="145">
      <c r="A145" s="182" t="n">
        <v>0.1</v>
      </c>
      <c r="B145" s="183" t="n">
        <v>1.04</v>
      </c>
      <c r="E145" s="182" t="n">
        <v>0.1</v>
      </c>
      <c r="F145" s="17" t="n">
        <v>1</v>
      </c>
    </row>
    <row r="146">
      <c r="A146" s="182" t="n">
        <v>0.11</v>
      </c>
      <c r="B146" s="183" t="n">
        <v>1.045</v>
      </c>
    </row>
    <row r="147">
      <c r="A147" s="182" t="n">
        <v>0.12</v>
      </c>
      <c r="B147" s="183" t="n">
        <v>1.05</v>
      </c>
    </row>
    <row r="148">
      <c r="A148" s="182" t="n">
        <v>0.13</v>
      </c>
      <c r="B148" s="183" t="n">
        <v>1.055</v>
      </c>
    </row>
    <row r="149">
      <c r="A149" s="182" t="n">
        <v>0.14</v>
      </c>
      <c r="B149" s="183" t="n">
        <v>1.06</v>
      </c>
    </row>
    <row r="150">
      <c r="A150" s="182" t="n">
        <v>0.15</v>
      </c>
      <c r="B150" s="183" t="n">
        <v>1.065</v>
      </c>
    </row>
    <row r="151">
      <c r="A151" s="182" t="n">
        <v>0.16</v>
      </c>
      <c r="B151" s="183" t="n">
        <v>1.07</v>
      </c>
    </row>
    <row r="152">
      <c r="A152" s="182" t="n">
        <v>0.17</v>
      </c>
      <c r="B152" s="183" t="n">
        <v>1.075</v>
      </c>
    </row>
    <row r="153">
      <c r="A153" s="182" t="n">
        <v>0.18</v>
      </c>
      <c r="B153" s="183" t="n">
        <v>1.08</v>
      </c>
    </row>
    <row r="154">
      <c r="A154" s="182" t="n">
        <v>0.19</v>
      </c>
      <c r="B154" s="183" t="n">
        <v>1.086</v>
      </c>
    </row>
    <row r="155">
      <c r="A155" s="182" t="n">
        <v>0.2</v>
      </c>
      <c r="B155" s="183" t="n">
        <v>1.092</v>
      </c>
    </row>
    <row r="156">
      <c r="A156" s="182" t="n">
        <v>0.21</v>
      </c>
      <c r="B156" s="183" t="n">
        <v>1.098</v>
      </c>
    </row>
    <row r="157">
      <c r="A157" s="182" t="n">
        <v>0.22</v>
      </c>
      <c r="B157" s="183" t="n">
        <v>1.104</v>
      </c>
    </row>
    <row r="158">
      <c r="A158" s="182" t="n">
        <v>0.23</v>
      </c>
      <c r="B158" s="183" t="n">
        <v>1.11</v>
      </c>
    </row>
    <row r="159">
      <c r="A159" s="182" t="n">
        <v>0.24</v>
      </c>
      <c r="B159" s="183" t="n">
        <v>1.116</v>
      </c>
    </row>
    <row r="160">
      <c r="A160" s="182" t="n">
        <v>0.25</v>
      </c>
      <c r="B160" s="183" t="n">
        <v>1.122</v>
      </c>
    </row>
    <row r="161">
      <c r="A161" s="182" t="n">
        <v>0.26</v>
      </c>
      <c r="B161" s="183" t="n">
        <v>1.128</v>
      </c>
    </row>
    <row r="162">
      <c r="A162" s="182" t="n">
        <v>0.27</v>
      </c>
      <c r="B162" s="183" t="n">
        <v>1.134</v>
      </c>
    </row>
    <row r="163">
      <c r="A163" s="182" t="n">
        <v>0.28</v>
      </c>
      <c r="B163" s="183" t="n">
        <v>1.14</v>
      </c>
    </row>
    <row r="164">
      <c r="A164" s="182" t="n">
        <v>0.29</v>
      </c>
      <c r="B164" s="183" t="n">
        <v>1.146</v>
      </c>
    </row>
    <row r="165">
      <c r="A165" s="182" t="n">
        <v>0.3</v>
      </c>
      <c r="B165" s="183" t="n">
        <v>1.152</v>
      </c>
    </row>
    <row r="166">
      <c r="A166" s="182" t="n">
        <v>0.31</v>
      </c>
      <c r="B166" s="183" t="n">
        <v>1.158</v>
      </c>
    </row>
    <row r="167">
      <c r="A167" s="182" t="n">
        <v>0.32</v>
      </c>
      <c r="B167" s="183" t="n">
        <v>1.164</v>
      </c>
    </row>
    <row r="168">
      <c r="A168" s="182" t="n">
        <v>0.33</v>
      </c>
      <c r="B168" s="183" t="n">
        <v>1.171</v>
      </c>
    </row>
    <row r="169">
      <c r="A169" s="182" t="n">
        <v>0.34</v>
      </c>
      <c r="B169" s="183" t="n">
        <v>1.178</v>
      </c>
    </row>
    <row r="170">
      <c r="A170" s="182" t="n">
        <v>0.35</v>
      </c>
      <c r="B170" s="183" t="n">
        <v>1.185</v>
      </c>
    </row>
    <row r="171">
      <c r="A171" s="182" t="n">
        <v>0.36</v>
      </c>
      <c r="B171" s="183" t="n">
        <v>1.192</v>
      </c>
    </row>
    <row r="172">
      <c r="A172" s="182" t="n">
        <v>0.37</v>
      </c>
      <c r="B172" s="183" t="n">
        <v>1.199</v>
      </c>
    </row>
    <row r="173">
      <c r="A173" s="182" t="n">
        <v>0.38</v>
      </c>
      <c r="B173" s="183" t="n">
        <v>1.206</v>
      </c>
    </row>
    <row r="174">
      <c r="A174" s="182" t="n">
        <v>0.39</v>
      </c>
      <c r="B174" s="183" t="n">
        <v>1.213</v>
      </c>
    </row>
    <row r="175">
      <c r="A175" s="182" t="n">
        <v>0.4</v>
      </c>
      <c r="B175" s="183" t="n">
        <v>1.22</v>
      </c>
    </row>
    <row r="176">
      <c r="A176" s="182" t="n">
        <v>0.41</v>
      </c>
      <c r="B176" s="183" t="n">
        <v>1.227</v>
      </c>
    </row>
    <row r="177">
      <c r="A177" s="182" t="n">
        <v>0.42</v>
      </c>
      <c r="B177" s="183" t="n">
        <v>1.234</v>
      </c>
    </row>
    <row r="178">
      <c r="A178" s="182" t="n">
        <v>0.43</v>
      </c>
      <c r="B178" s="183" t="n">
        <v>1.241</v>
      </c>
    </row>
    <row r="179">
      <c r="A179" s="182" t="n">
        <v>0.44</v>
      </c>
      <c r="B179" s="183" t="n">
        <v>1.248</v>
      </c>
    </row>
    <row r="180">
      <c r="A180" s="182" t="n">
        <v>0.45</v>
      </c>
      <c r="B180" s="183" t="n">
        <v>1.256</v>
      </c>
    </row>
    <row r="181">
      <c r="A181" s="182" t="n">
        <v>0.46</v>
      </c>
      <c r="B181" s="183" t="n">
        <v>1.264</v>
      </c>
    </row>
    <row r="182">
      <c r="A182" s="182" t="n">
        <v>0.47</v>
      </c>
      <c r="B182" s="183" t="n">
        <v>1.272</v>
      </c>
    </row>
    <row r="183">
      <c r="A183" s="182" t="n">
        <v>0.48</v>
      </c>
      <c r="B183" s="183" t="n">
        <v>1.28</v>
      </c>
    </row>
    <row r="184">
      <c r="A184" s="182" t="n">
        <v>0.49</v>
      </c>
      <c r="B184" s="183" t="n">
        <v>1.288</v>
      </c>
    </row>
    <row r="185">
      <c r="A185" s="182" t="n">
        <v>0.5</v>
      </c>
      <c r="B185" s="189">
        <f>2-B87</f>
        <v/>
      </c>
    </row>
    <row r="186">
      <c r="A186" s="182" t="n">
        <v>0.51</v>
      </c>
      <c r="B186" s="183" t="n">
        <v>1.296</v>
      </c>
    </row>
    <row r="187">
      <c r="A187" s="182" t="n">
        <v>0.52</v>
      </c>
      <c r="B187" s="183" t="n">
        <v>1.304</v>
      </c>
    </row>
  </sheetData>
  <mergeCells count="2">
    <mergeCell ref="E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kurkinda</dc:creator>
  <dcterms:created xmlns:dcterms="http://purl.org/dc/terms/" xmlns:xsi="http://www.w3.org/2001/XMLSchema-instance" xsi:type="dcterms:W3CDTF">2026-04-22T14:39:13Z</dcterms:created>
  <dcterms:modified xmlns:dcterms="http://purl.org/dc/terms/" xmlns:xsi="http://www.w3.org/2001/XMLSchema-instance" xsi:type="dcterms:W3CDTF">2026-07-09T12:32:21Z</dcterms:modified>
  <cp:lastModifiedBy>Emiit PowerBI</cp:lastModifiedBy>
  <cp:lastPrinted>2026-06-08T08:44:33Z</cp:lastPrinted>
</cp:coreProperties>
</file>